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e" sheetId="1" state="visible" r:id="rId1"/>
    <sheet xmlns:r="http://schemas.openxmlformats.org/officeDocument/2006/relationships" name="Einstellungen" sheetId="2" state="visible" r:id="rId2"/>
    <sheet xmlns:r="http://schemas.openxmlformats.org/officeDocument/2006/relationships" name="Rangl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Ordnungsnummer</t>
        </is>
      </c>
      <c r="B1" s="1" t="inlineStr">
        <is>
          <t>Name</t>
        </is>
      </c>
      <c r="C1" s="1" t="inlineStr">
        <is>
          <t>Link Objekt (URL)</t>
        </is>
      </c>
      <c r="D1" s="1" t="inlineStr">
        <is>
          <t>Charme/Ästhetik (1-5)</t>
        </is>
      </c>
      <c r="E1" s="1" t="inlineStr">
        <is>
          <t>Zimmer</t>
        </is>
      </c>
      <c r="F1" s="1" t="inlineStr">
        <is>
          <t>Bäder</t>
        </is>
      </c>
      <c r="G1" s="1" t="inlineStr">
        <is>
          <t>Grundstücksgröße (m²)</t>
        </is>
      </c>
      <c r="H1" s="1" t="inlineStr">
        <is>
          <t>Bebaute Fläche (m²)</t>
        </is>
      </c>
      <c r="I1" s="1" t="inlineStr">
        <is>
          <t>Garten zu bewirtschaften (m²)</t>
        </is>
      </c>
      <c r="J1" s="1" t="inlineStr">
        <is>
          <t>Location</t>
        </is>
      </c>
      <c r="K1" s="1" t="inlineStr">
        <is>
          <t>Entfernung Flughafen (km)</t>
        </is>
      </c>
      <c r="L1" s="1" t="inlineStr">
        <is>
          <t>Entfernung Flughafen (min)</t>
        </is>
      </c>
      <c r="M1" s="1" t="inlineStr">
        <is>
          <t>Entfernung Daia Haus (km)</t>
        </is>
      </c>
      <c r="N1" s="1" t="inlineStr">
        <is>
          <t>Entfernung Daia Haus (min)</t>
        </is>
      </c>
      <c r="O1" s="1" t="inlineStr">
        <is>
          <t>Entfernung Andratx (km)</t>
        </is>
      </c>
      <c r="P1" s="1" t="inlineStr">
        <is>
          <t>Entfernung Andratx (min)</t>
        </is>
      </c>
      <c r="Q1" s="2" t="inlineStr">
        <is>
          <t>Entfernung Ses Salines (km)</t>
        </is>
      </c>
      <c r="R1" s="2" t="inlineStr">
        <is>
          <t>Entfernung Ses Salines (min)</t>
        </is>
      </c>
      <c r="S1" s="1" t="inlineStr">
        <is>
          <t>Preis (€)</t>
        </is>
      </c>
      <c r="T1" s="1" t="inlineStr">
        <is>
          <t>€/m² (bebaut)</t>
        </is>
      </c>
      <c r="U1" s="1" t="inlineStr">
        <is>
          <t>€/m² (Grundstück)</t>
        </is>
      </c>
      <c r="V1" s="1" t="inlineStr">
        <is>
          <t>Renovierung (0-100)</t>
        </is>
      </c>
      <c r="W1" s="1" t="inlineStr">
        <is>
          <t>Bewirtschaftung (1-5, 5=pflegeleicht)</t>
        </is>
      </c>
      <c r="X1" s="1" t="inlineStr">
        <is>
          <t>Vermietlizenz (100/50/0)</t>
        </is>
      </c>
      <c r="Y1" s="1" t="inlineStr">
        <is>
          <t>Erreichbarkeit (0-100)</t>
        </is>
      </c>
      <c r="Z1" s="1" t="inlineStr">
        <is>
          <t>Score (0-100)</t>
        </is>
      </c>
      <c r="AA1" s="1" t="inlineStr">
        <is>
          <t>SortKey (intern)</t>
        </is>
      </c>
      <c r="AB1" s="1" t="inlineStr">
        <is>
          <t>Rang</t>
        </is>
      </c>
      <c r="AC1" s="1" t="inlineStr">
        <is>
          <t>Gebäudestruktur</t>
        </is>
      </c>
      <c r="AD1" s="1" t="inlineStr">
        <is>
          <t>Baujahr (geschätzt)</t>
        </is>
      </c>
      <c r="AE1" t="inlineStr">
        <is>
          <t>Letzte Renovierung (geschätzt)</t>
        </is>
      </c>
      <c r="AF1" t="inlineStr">
        <is>
          <t>Reno-Score (0-100)</t>
        </is>
      </c>
      <c r="AG1" t="inlineStr">
        <is>
          <t>Reno-Begründung</t>
        </is>
      </c>
      <c r="AH1" t="inlineStr">
        <is>
          <t>Kommentar</t>
        </is>
      </c>
      <c r="AI1" t="inlineStr">
        <is>
          <t>Beschreibung</t>
        </is>
      </c>
    </row>
    <row r="2">
      <c r="A2" t="n">
        <v>1</v>
      </c>
      <c r="B2" t="inlineStr">
        <is>
          <t>Establiments — Das Volumen; 762m² zum Umdenken</t>
        </is>
      </c>
      <c r="C2" t="inlineStr">
        <is>
          <t>https://www.idealista.com/de/inmueble/106332052/mapa?utm_medium=socialmedia&amp;utm_campaign=private_sendadtofriend&amp;utm_source=copiedLink</t>
        </is>
      </c>
      <c r="D2" t="n">
        <v>4</v>
      </c>
      <c r="E2" t="n">
        <v>4</v>
      </c>
      <c r="F2" t="n">
        <v>5</v>
      </c>
      <c r="G2" t="n">
        <v>20262</v>
      </c>
      <c r="H2" t="n">
        <v>762</v>
      </c>
      <c r="I2" t="n">
        <v>19500</v>
      </c>
      <c r="J2" t="inlineStr">
        <is>
          <t>Establiments</t>
        </is>
      </c>
      <c r="K2" t="n">
        <v>16.5</v>
      </c>
      <c r="L2" t="n">
        <v>20</v>
      </c>
      <c r="M2" t="n">
        <v>30.5</v>
      </c>
      <c r="N2" t="n">
        <v>39</v>
      </c>
      <c r="O2" t="n">
        <v>34.1</v>
      </c>
      <c r="P2" t="n">
        <v>35</v>
      </c>
      <c r="Q2" t="n">
        <v>59.4</v>
      </c>
      <c r="R2" t="n">
        <v>53</v>
      </c>
      <c r="S2" t="n">
        <v>3600000</v>
      </c>
      <c r="T2" t="n">
        <v>4724</v>
      </c>
      <c r="U2" t="n">
        <v>178</v>
      </c>
      <c r="V2" t="n">
        <v>70</v>
      </c>
      <c r="W2" t="n">
        <v>3</v>
      </c>
      <c r="X2" t="n">
        <v>0</v>
      </c>
      <c r="Y2" t="n">
        <v>58.5</v>
      </c>
      <c r="Z2" t="n">
        <v>50</v>
      </c>
      <c r="AA2" t="n">
        <v>50020262781500.96</v>
      </c>
      <c r="AB2" t="n">
        <v>6</v>
      </c>
      <c r="AC2" t="inlineStr">
        <is>
          <t>Haupthaus (2 Stockwerke + Turm), große Terrassen</t>
        </is>
      </c>
      <c r="AD2" t="inlineStr">
        <is>
          <t>~1960s</t>
        </is>
      </c>
      <c r="AE2" t="inlineStr">
        <is>
          <t>~2022</t>
        </is>
      </c>
      <c r="AF2" t="n">
        <v>70</v>
      </c>
      <c r="AG2" t="inlineStr">
        <is>
          <t>Traditional country house, fully renovated with high-end kitchen (Gaggenau/Bora), modern open-plan layout. No build year listed suggests older structure. Excel comment notes 'Haupthaus (2 Stockwerke + Turm), große Terrassen'. Well-renovated but original structure is old. Old=4 → 70.</t>
        </is>
      </c>
      <c r="AI2" t="inlineStr">
        <is>
          <t>Riesig, tolle Lage — aber nur 4 Zimmer. Umbau nötig, dann ein Monster.</t>
        </is>
      </c>
    </row>
    <row r="3">
      <c r="A3" t="n">
        <v>2</v>
      </c>
      <c r="B3" t="inlineStr">
        <is>
          <t>Binissalem — Platz für alle; 8 Zimmer, endlose Gärten</t>
        </is>
      </c>
      <c r="C3" t="inlineStr">
        <is>
          <t>https://www.engelvoelkers.com/es/de/exposes/6971ac2a-f182-5703-a001-2c6f306cd2ae?utm_source=expose_sharing&amp;utm_medium=copy_link</t>
        </is>
      </c>
      <c r="D3" t="n">
        <v>4</v>
      </c>
      <c r="E3" t="n">
        <v>8</v>
      </c>
      <c r="F3" t="n">
        <v>6</v>
      </c>
      <c r="G3" t="n">
        <v>8261</v>
      </c>
      <c r="H3" t="n">
        <v>400</v>
      </c>
      <c r="I3" t="n">
        <v>7861</v>
      </c>
      <c r="J3" t="inlineStr">
        <is>
          <t>Binissalem</t>
        </is>
      </c>
      <c r="K3" t="n">
        <v>29</v>
      </c>
      <c r="L3" t="n">
        <v>24</v>
      </c>
      <c r="M3" t="n">
        <v>36.2</v>
      </c>
      <c r="N3" t="n">
        <v>42</v>
      </c>
      <c r="O3" t="n">
        <v>51.6</v>
      </c>
      <c r="P3" t="n">
        <v>42</v>
      </c>
      <c r="Q3" t="n">
        <v>71.90000000000001</v>
      </c>
      <c r="R3" t="n">
        <v>57</v>
      </c>
      <c r="S3" t="n">
        <v>3400000</v>
      </c>
      <c r="T3" t="n">
        <v>8500</v>
      </c>
      <c r="U3" t="n">
        <v>412</v>
      </c>
      <c r="V3" t="n">
        <v>72</v>
      </c>
      <c r="W3" t="n">
        <v>3</v>
      </c>
      <c r="X3" t="n">
        <v>0</v>
      </c>
      <c r="Y3" t="n">
        <v>49.3</v>
      </c>
      <c r="Z3" t="n">
        <v>57.5</v>
      </c>
      <c r="AA3" t="n">
        <v>57508261407861.96</v>
      </c>
      <c r="AB3" t="n">
        <v>3</v>
      </c>
      <c r="AC3" t="inlineStr">
        <is>
          <t>Haupthaus + 2 separate Gästehäuser</t>
        </is>
      </c>
      <c r="AD3" t="inlineStr">
        <is>
          <t>2002</t>
        </is>
      </c>
      <c r="AE3" t="inlineStr">
        <is>
          <t>~2022</t>
        </is>
      </c>
      <c r="AF3" t="n">
        <v>72</v>
      </c>
      <c r="AG3" t="inlineStr">
        <is>
          <t>Built 2002, comprehensively modernized with PV, Starlink, modern insulation. Condition rated 'Sehr gut'. Only 23 years old with full modernization. Excel: 'Sehr schön, evtl. Ausbaumöglichkeit'. Old=4 → 72.</t>
        </is>
      </c>
      <c r="AH3" t="inlineStr">
        <is>
          <t>Sehr schön, evtl. Ausbaumöglichkeit für zusätzliches Zimmer prüfen</t>
        </is>
      </c>
      <c r="AI3" t="inlineStr">
        <is>
          <t>Sommer im Garten, Großmutter zum Abendessen — alles nah, alles einfach.</t>
        </is>
      </c>
    </row>
    <row r="4">
      <c r="A4" t="n">
        <v>3</v>
      </c>
      <c r="B4" t="inlineStr">
        <is>
          <t>Establiments — Charme-Refugium; altes Steinhaus mit Charakter</t>
        </is>
      </c>
      <c r="C4" t="inlineStr">
        <is>
          <t>https://www.idealista.com/de/inmueble/106744049/foto/1/?utm_medium=socialmedia&amp;utm_campaign=private_sendadtofriend&amp;utm_source=copiedLink</t>
        </is>
      </c>
      <c r="D4" t="n">
        <v>5</v>
      </c>
      <c r="E4" t="n">
        <v>7</v>
      </c>
      <c r="F4" t="n">
        <v>7</v>
      </c>
      <c r="G4" t="n">
        <v>14393</v>
      </c>
      <c r="H4" t="n">
        <v>601</v>
      </c>
      <c r="I4" t="n">
        <v>13792</v>
      </c>
      <c r="J4" t="inlineStr">
        <is>
          <t>Establiments</t>
        </is>
      </c>
      <c r="K4" t="n">
        <v>16.5</v>
      </c>
      <c r="L4" t="n">
        <v>20</v>
      </c>
      <c r="M4" t="n">
        <v>30.5</v>
      </c>
      <c r="N4" t="n">
        <v>39</v>
      </c>
      <c r="O4" t="n">
        <v>34.1</v>
      </c>
      <c r="P4" t="n">
        <v>35</v>
      </c>
      <c r="Q4" t="n">
        <v>59.4</v>
      </c>
      <c r="R4" t="n">
        <v>53</v>
      </c>
      <c r="S4" t="n">
        <v>4500000</v>
      </c>
      <c r="T4" t="n">
        <v>7488</v>
      </c>
      <c r="U4" t="n">
        <v>313</v>
      </c>
      <c r="V4" t="n">
        <v>62</v>
      </c>
      <c r="W4" t="n">
        <v>2</v>
      </c>
      <c r="X4" t="n">
        <v>0</v>
      </c>
      <c r="Y4" t="n">
        <v>58.5</v>
      </c>
      <c r="Z4" t="n">
        <v>58.6</v>
      </c>
      <c r="AA4" t="n">
        <v>58614393614792.96</v>
      </c>
      <c r="AB4" t="n">
        <v>2</v>
      </c>
      <c r="AC4" t="inlineStr">
        <is>
          <t>Haupthaus (5 SZ, 6 Bäder) + unabhängiges Gästehaus (2 SZ, 1 Bad)</t>
        </is>
      </c>
      <c r="AD4" t="inlineStr">
        <is>
          <t>1980</t>
        </is>
      </c>
      <c r="AE4" t="inlineStr">
        <is>
          <t>~2015</t>
        </is>
      </c>
      <c r="AF4" t="n">
        <v>62</v>
      </c>
      <c r="AG4" t="inlineStr">
        <is>
          <t>Built 1980 (45 years old), maintained in Mallorcan country house style with modern amenities (underfloor heating, designer kitchen). Excel: 'Gute Raumanzahl + Gästehaus, innen nicht ganz überzeugend'. Interior not fully convincing suggests renovation is partial. Old=4 → 62.</t>
        </is>
      </c>
      <c r="AH4" t="inlineStr">
        <is>
          <t>Gute Raumanzahl + Gästehaus, innen nicht ganz überzeugend</t>
        </is>
      </c>
      <c r="AI4" t="inlineStr">
        <is>
          <t>Alte Mauern, warmes Licht — ein Haus das die Kinder nie vergessen werden.</t>
        </is>
      </c>
    </row>
    <row r="5">
      <c r="A5" t="n">
        <v>4</v>
      </c>
      <c r="B5" t="inlineStr">
        <is>
          <t>Palmanyola — Klein aber Wow; Designvilla vor den Toren Palmas</t>
        </is>
      </c>
      <c r="C5" t="inlineStr">
        <is>
          <t>https://www.idealista.com/de/inmueble/109708161/plano/2/?utm_medium=socialmedia&amp;utm_campaign=private_sendadtofriend&amp;utm_source=copiedLink</t>
        </is>
      </c>
      <c r="D5" t="n">
        <v>4</v>
      </c>
      <c r="E5" t="n">
        <v>5</v>
      </c>
      <c r="F5" t="n">
        <v>5</v>
      </c>
      <c r="G5" t="n">
        <v>2500</v>
      </c>
      <c r="H5" t="n">
        <v>670</v>
      </c>
      <c r="I5" t="n">
        <v>1830</v>
      </c>
      <c r="J5" t="inlineStr">
        <is>
          <t>Palmanyola</t>
        </is>
      </c>
      <c r="K5" t="n">
        <v>16.6</v>
      </c>
      <c r="L5" t="n">
        <v>16</v>
      </c>
      <c r="M5" t="n">
        <v>18</v>
      </c>
      <c r="N5" t="n">
        <v>23</v>
      </c>
      <c r="O5" t="n">
        <v>36.2</v>
      </c>
      <c r="P5" t="n">
        <v>32</v>
      </c>
      <c r="Q5" t="n">
        <v>59.5</v>
      </c>
      <c r="R5" t="n">
        <v>50</v>
      </c>
      <c r="S5" t="n">
        <v>5600000</v>
      </c>
      <c r="T5" t="n">
        <v>8358</v>
      </c>
      <c r="U5" t="n">
        <v>2240</v>
      </c>
      <c r="V5" t="n">
        <v>78</v>
      </c>
      <c r="W5" t="n">
        <v>4</v>
      </c>
      <c r="X5" t="n">
        <v>0</v>
      </c>
      <c r="Y5" t="n">
        <v>76</v>
      </c>
      <c r="Z5" t="n">
        <v>31.3</v>
      </c>
      <c r="AA5" t="n">
        <v>31302500671830.98</v>
      </c>
      <c r="AB5" t="n">
        <v>12</v>
      </c>
      <c r="AC5" t="inlineStr">
        <is>
          <t>Freistehendes Haus mit Pool und Garten</t>
        </is>
      </c>
      <c r="AD5" t="inlineStr">
        <is>
          <t>~1990s</t>
        </is>
      </c>
      <c r="AE5" t="inlineStr">
        <is>
          <t>~2024</t>
        </is>
      </c>
      <c r="AF5" t="n">
        <v>78</v>
      </c>
      <c r="AG5" t="inlineStr">
        <is>
          <t>Description explicitly says 'komplett kernsaniert' – complete core renovation. Modern open kitchen, fireplace, 2 floors with 670m². Excel old=3 probably reflected pre-renovation state or plot size concern ('Grundstück evtl. zu klein'). Actual condition is excellent post-renovation. → 78.</t>
        </is>
      </c>
      <c r="AH5" t="inlineStr">
        <is>
          <t>Sehr modern, Grundstück evtl. zu klein</t>
        </is>
      </c>
      <c r="AI5" t="inlineStr">
        <is>
          <t>Modern, sofort bezugsfertig, nah dran — aber Grundstück zu klein für drei Kinder.</t>
        </is>
      </c>
    </row>
    <row r="6">
      <c r="A6" t="n">
        <v>5</v>
      </c>
      <c r="B6" t="inlineStr">
        <is>
          <t>Santa Maria — Potenzial pur; Rohling in Traumlage</t>
        </is>
      </c>
      <c r="C6" t="inlineStr">
        <is>
          <t>https://www.idealista.com/de/inmueble/106300856/foto/17/?utm_medium=socialmedia&amp;utm_campaign=private_sendadtofriend&amp;utm_source=copiedLink</t>
        </is>
      </c>
      <c r="D6" t="n">
        <v>4</v>
      </c>
      <c r="E6" t="n">
        <v>5</v>
      </c>
      <c r="F6" t="n">
        <v>5</v>
      </c>
      <c r="G6" t="n">
        <v>29307</v>
      </c>
      <c r="H6" t="n">
        <v>500</v>
      </c>
      <c r="I6" t="n">
        <v>28807</v>
      </c>
      <c r="J6" t="inlineStr">
        <is>
          <t>Santa Maria del Cami</t>
        </is>
      </c>
      <c r="K6" t="n">
        <v>21</v>
      </c>
      <c r="L6" t="n">
        <v>16</v>
      </c>
      <c r="M6" t="n">
        <v>24.2</v>
      </c>
      <c r="N6" t="n">
        <v>32</v>
      </c>
      <c r="O6" t="n">
        <v>43.6</v>
      </c>
      <c r="P6" t="n">
        <v>34</v>
      </c>
      <c r="Q6" t="n">
        <v>63.8</v>
      </c>
      <c r="R6" t="n">
        <v>49</v>
      </c>
      <c r="S6" t="n">
        <v>4100000</v>
      </c>
      <c r="T6" t="n">
        <v>8200</v>
      </c>
      <c r="U6" t="n">
        <v>140</v>
      </c>
      <c r="V6" t="n">
        <v>48</v>
      </c>
      <c r="W6" t="n">
        <v>3</v>
      </c>
      <c r="X6" t="n">
        <v>0</v>
      </c>
      <c r="Y6" t="n">
        <v>66</v>
      </c>
      <c r="Z6" t="n">
        <v>43.5</v>
      </c>
      <c r="AA6" t="n">
        <v>43529307528807.97</v>
      </c>
      <c r="AB6" t="n">
        <v>10</v>
      </c>
      <c r="AC6" t="inlineStr">
        <is>
          <t>Landhaus mit Pool und Terrassen, teils unfertig</t>
        </is>
      </c>
      <c r="AD6" t="inlineStr">
        <is>
          <t>2024</t>
        </is>
      </c>
      <c r="AE6" t="inlineStr">
        <is>
          <t>n/a (new build)</t>
        </is>
      </c>
      <c r="AF6" t="n">
        <v>48</v>
      </c>
      <c r="AG6" t="inlineStr">
        <is>
          <t>New build 2024 but still under construction ('In Bearbeitung'). Excel: 'Gute Lage, einiges noch nicht fertig'. While the finished product will be new, incomplete status means uncertain timeline and finishing quality. Old=3 → 48.</t>
        </is>
      </c>
      <c r="AH6" t="inlineStr">
        <is>
          <t>Gute Lage, einiges noch nicht fertig</t>
        </is>
      </c>
      <c r="AI6" t="inlineStr">
        <is>
          <t>Traumlage, nah am Flughafen — aber unfertig. Mit kleinen Kindern erstmal stressig.</t>
        </is>
      </c>
    </row>
    <row r="7">
      <c r="A7" t="n">
        <v>6</v>
      </c>
      <c r="B7" t="inlineStr">
        <is>
          <t>Campos — Zum Selbermachen; ehrliche Finca, ehrlicher Preis</t>
        </is>
      </c>
      <c r="C7" t="inlineStr">
        <is>
          <t>https://www.idealista.com/de/inmueble/81539590/?utm_medium=socialmedia&amp;utm_campaign=private_sendadtofriend&amp;utm_source=copiedLink</t>
        </is>
      </c>
      <c r="D7" t="n">
        <v>4</v>
      </c>
      <c r="E7" t="n">
        <v>6</v>
      </c>
      <c r="F7" t="n">
        <v>5</v>
      </c>
      <c r="G7" t="n">
        <v>11700</v>
      </c>
      <c r="H7" t="n">
        <v>356</v>
      </c>
      <c r="I7" t="n">
        <v>11344</v>
      </c>
      <c r="J7" t="inlineStr">
        <is>
          <t>Campos</t>
        </is>
      </c>
      <c r="K7" t="n">
        <v>29.9</v>
      </c>
      <c r="L7" t="n">
        <v>21</v>
      </c>
      <c r="M7" t="n">
        <v>64.2</v>
      </c>
      <c r="N7" t="n">
        <v>57</v>
      </c>
      <c r="O7" t="n">
        <v>67.90000000000001</v>
      </c>
      <c r="P7" t="n">
        <v>50</v>
      </c>
      <c r="Q7" t="n">
        <v>12.2</v>
      </c>
      <c r="R7" t="n">
        <v>13</v>
      </c>
      <c r="S7" t="n">
        <v>2850000</v>
      </c>
      <c r="T7" t="n">
        <v>8006</v>
      </c>
      <c r="U7" t="n">
        <v>244</v>
      </c>
      <c r="V7" t="n">
        <v>50</v>
      </c>
      <c r="W7" t="n">
        <v>3</v>
      </c>
      <c r="X7" t="n">
        <v>0</v>
      </c>
      <c r="Y7" t="n">
        <v>57.8</v>
      </c>
      <c r="Z7" t="n">
        <v>44</v>
      </c>
      <c r="AA7" t="n">
        <v>44011700367344.95</v>
      </c>
      <c r="AB7" t="n">
        <v>9</v>
      </c>
      <c r="AC7" t="inlineStr">
        <is>
          <t>Modernes Landhaus mit großem Pool und Garten</t>
        </is>
      </c>
      <c r="AD7" t="inlineStr">
        <is>
          <t>~1990s</t>
        </is>
      </c>
      <c r="AE7" t="inlineStr">
        <is>
          <t>~2010</t>
        </is>
      </c>
      <c r="AF7" t="n">
        <v>50</v>
      </c>
      <c r="AG7" t="inlineStr">
        <is>
          <t>No build year, 'In Bearbeitung' status, no heating system. Excel: 'Interessante Substanz, viel Interior-Arbeit, evtl. günstiger'. Needs significant interior renovation work. Good bones but unfinished. Old=4 seems generous; actual condition warrants 50.</t>
        </is>
      </c>
      <c r="AH7" t="inlineStr">
        <is>
          <t>Interessante Substanz, viel Interior-Arbeit, evtl. günstiger</t>
        </is>
      </c>
      <c r="AI7" t="inlineStr">
        <is>
          <t>Solide Basis, fairer Preis — aber hier muss noch Hand angelegt werden.</t>
        </is>
      </c>
    </row>
    <row r="8">
      <c r="A8" t="n">
        <v>7</v>
      </c>
      <c r="B8" t="inlineStr">
        <is>
          <t>Sa Ràpita — Strandgold; aufwachen, Es Trenc, fertig</t>
        </is>
      </c>
      <c r="C8" t="inlineStr">
        <is>
          <t>https://www.idealista.com/de/inmueble/109467637/foto/18/?utm_medium=socialmedia&amp;utm_campaign=private_sendadtofriend&amp;utm_source=copiedLink</t>
        </is>
      </c>
      <c r="D8" t="n">
        <v>4</v>
      </c>
      <c r="E8" t="n">
        <v>5</v>
      </c>
      <c r="F8" t="n">
        <v>5</v>
      </c>
      <c r="G8" t="n">
        <v>30000</v>
      </c>
      <c r="H8" t="n">
        <v>533</v>
      </c>
      <c r="I8" t="n">
        <v>29467</v>
      </c>
      <c r="J8" t="inlineStr">
        <is>
          <t>Sa Ràpita</t>
        </is>
      </c>
      <c r="K8" t="n">
        <v>35</v>
      </c>
      <c r="L8" t="n">
        <v>28</v>
      </c>
      <c r="M8" t="n">
        <v>69.40000000000001</v>
      </c>
      <c r="N8" t="n">
        <v>64</v>
      </c>
      <c r="O8" t="n">
        <v>73.09999999999999</v>
      </c>
      <c r="P8" t="n">
        <v>58</v>
      </c>
      <c r="Q8" t="n">
        <v>14.9</v>
      </c>
      <c r="R8" t="n">
        <v>17</v>
      </c>
      <c r="S8" t="n">
        <v>3950000</v>
      </c>
      <c r="T8" t="n">
        <v>7411</v>
      </c>
      <c r="U8" t="n">
        <v>132</v>
      </c>
      <c r="V8" t="n">
        <v>68</v>
      </c>
      <c r="W8" t="n">
        <v>2</v>
      </c>
      <c r="X8" t="n">
        <v>0</v>
      </c>
      <c r="Y8" t="n">
        <v>42</v>
      </c>
      <c r="Z8" t="n">
        <v>37.4</v>
      </c>
      <c r="AA8" t="n">
        <v>37430000562467.94</v>
      </c>
      <c r="AB8" t="n">
        <v>11</v>
      </c>
      <c r="AC8" t="inlineStr">
        <is>
          <t>Haupthaus mit ausgedehntem Grundstück und Pool</t>
        </is>
      </c>
      <c r="AD8" t="inlineStr">
        <is>
          <t>2024</t>
        </is>
      </c>
      <c r="AE8" t="inlineStr">
        <is>
          <t>n/a (new build)</t>
        </is>
      </c>
      <c r="AF8" t="n">
        <v>68</v>
      </c>
      <c r="AG8" t="inlineStr">
        <is>
          <t>New build 2024 with modern design and natural elements. 30,000m² plot near Es Trenc beach. No 'In Bearbeitung' flag suggests more complete than Santa Maria property. Excel old=3 seems low for a 2024 new build; possibly reflected other concerns. → 68.</t>
        </is>
      </c>
      <c r="AH8" t="inlineStr">
        <is>
          <t>Nähe Es Trenc</t>
        </is>
      </c>
      <c r="AI8" t="inlineStr">
        <is>
          <t>Strand vor der Tür, perfekt für Sommer — aber über eine Stunde zum Familienhaus.</t>
        </is>
      </c>
    </row>
    <row r="9">
      <c r="A9" t="n">
        <v>8</v>
      </c>
      <c r="B9" t="inlineStr">
        <is>
          <t>Sa Ràpita — Vision 1800; 5 Hektar warten auf deine Handschrift</t>
        </is>
      </c>
      <c r="C9" t="inlineStr">
        <is>
          <t>https://www.idealista.com/de/inmueble/106134268/video/1/?utm_medium=socialmedia&amp;utm_campaign=private_sendadtofriend&amp;utm_source=copiedLink</t>
        </is>
      </c>
      <c r="D9" t="n">
        <v>3</v>
      </c>
      <c r="E9" t="n">
        <v>6</v>
      </c>
      <c r="F9" t="n">
        <v>3</v>
      </c>
      <c r="G9" t="n">
        <v>51000</v>
      </c>
      <c r="H9" t="n">
        <v>680</v>
      </c>
      <c r="I9" t="n">
        <v>50320</v>
      </c>
      <c r="J9" t="inlineStr">
        <is>
          <t>Sa Ràpita</t>
        </is>
      </c>
      <c r="K9" t="n">
        <v>35</v>
      </c>
      <c r="L9" t="n">
        <v>28</v>
      </c>
      <c r="M9" t="n">
        <v>69.40000000000001</v>
      </c>
      <c r="N9" t="n">
        <v>64</v>
      </c>
      <c r="O9" t="n">
        <v>73.09999999999999</v>
      </c>
      <c r="P9" t="n">
        <v>58</v>
      </c>
      <c r="Q9" t="n">
        <v>14.9</v>
      </c>
      <c r="R9" t="n">
        <v>17</v>
      </c>
      <c r="S9" t="n">
        <v>2950000</v>
      </c>
      <c r="T9" t="n">
        <v>4338</v>
      </c>
      <c r="U9" t="n">
        <v>58</v>
      </c>
      <c r="V9" t="n">
        <v>30</v>
      </c>
      <c r="W9" t="n">
        <v>4</v>
      </c>
      <c r="X9" t="n">
        <v>0</v>
      </c>
      <c r="Y9" t="n">
        <v>42</v>
      </c>
      <c r="Z9" t="n">
        <v>49.3</v>
      </c>
      <c r="AA9" t="n">
        <v>49351000730320.94</v>
      </c>
      <c r="AB9" t="n">
        <v>7</v>
      </c>
      <c r="AC9" t="inlineStr">
        <is>
          <t>Haus mit Pool in ruhiger Lage</t>
        </is>
      </c>
      <c r="AD9" t="inlineStr">
        <is>
          <t>1800</t>
        </is>
      </c>
      <c r="AE9" t="inlineStr">
        <is>
          <t>unknown</t>
        </is>
      </c>
      <c r="AF9" t="n">
        <v>30</v>
      </c>
      <c r="AG9" t="inlineStr">
        <is>
          <t>Built around 1800 – over 200 years old. 'In Bearbeitung' and Excel says 'Hier könnte sich Mathieu verwirklichen' (creative project). Traditional Mallorcan farmhouse needing significant work. Described as 'gut erhalten' (well-maintained) but very old. Old=3 → 30.</t>
        </is>
      </c>
      <c r="AH9" t="inlineStr">
        <is>
          <t>Hier könnte sich Mathieu verwirklichen 😉</t>
        </is>
      </c>
      <c r="AI9" t="inlineStr">
        <is>
          <t>Für Visionäre — aber nichts für 6 Wochen im Jahr. Ehrlich gesagt: zu viel Projekt.</t>
        </is>
      </c>
    </row>
    <row r="10">
      <c r="A10" t="n">
        <v>9</v>
      </c>
      <c r="B10" t="inlineStr">
        <is>
          <t>Sencelles — 13 Hektar Paradies; dein eigenes Landgut</t>
        </is>
      </c>
      <c r="C10" t="inlineStr">
        <is>
          <t>https://ev-mallorca.com/en/mallorca-property/excellent-estate-with-its-own-vineyard-olive-grove-and-incredible-charm-W-02Q8YG</t>
        </is>
      </c>
      <c r="D10" t="n">
        <v>5</v>
      </c>
      <c r="E10" t="n">
        <v>6</v>
      </c>
      <c r="F10" t="n">
        <v>5</v>
      </c>
      <c r="G10" t="n">
        <v>132500</v>
      </c>
      <c r="H10" t="n">
        <v>682</v>
      </c>
      <c r="I10" t="n">
        <v>131818</v>
      </c>
      <c r="J10" t="inlineStr">
        <is>
          <t>Sencelles</t>
        </is>
      </c>
      <c r="K10" t="n">
        <v>31.7</v>
      </c>
      <c r="L10" t="n">
        <v>26</v>
      </c>
      <c r="M10" t="n">
        <v>38.9</v>
      </c>
      <c r="N10" t="n">
        <v>44</v>
      </c>
      <c r="O10" t="n">
        <v>54.3</v>
      </c>
      <c r="P10" t="n">
        <v>45</v>
      </c>
      <c r="Q10" t="n">
        <v>44</v>
      </c>
      <c r="R10" t="n">
        <v>45</v>
      </c>
      <c r="S10" t="n">
        <v>3900000</v>
      </c>
      <c r="T10" t="n">
        <v>5718</v>
      </c>
      <c r="U10" t="n">
        <v>29</v>
      </c>
      <c r="V10" t="n">
        <v>85</v>
      </c>
      <c r="W10" t="n">
        <v>2</v>
      </c>
      <c r="X10" t="n">
        <v>50</v>
      </c>
      <c r="Y10" t="n">
        <v>44.8</v>
      </c>
      <c r="Z10" t="n">
        <v>59.8</v>
      </c>
      <c r="AA10" t="n">
        <v>59932500813818.95</v>
      </c>
      <c r="AB10" t="n">
        <v>1</v>
      </c>
      <c r="AC10" t="inlineStr">
        <is>
          <t>Haupthaus + Gästeapartment + Studio, Weinberg &amp; Olivenhain</t>
        </is>
      </c>
      <c r="AD10" t="inlineStr">
        <is>
          <t>1890</t>
        </is>
      </c>
      <c r="AE10" t="inlineStr">
        <is>
          <t>~2020</t>
        </is>
      </c>
      <c r="AF10" t="n">
        <v>85</v>
      </c>
      <c r="AG10" t="inlineStr">
        <is>
          <t>Built 1890 but rated neuwertig (5) in Excel. Must have undergone comprehensive luxury renovation. 132,000m²+ estate with vineyard and olive grove. The 'incredible charm' title plus neuwertig rating suggests top-quality restoration. Historic character + modern luxury. → 85.</t>
        </is>
      </c>
      <c r="AI10" t="inlineStr">
        <is>
          <t>So viel Platz, dass sich drei kleine Entdecker darin verlaufen können.</t>
        </is>
      </c>
    </row>
    <row r="11">
      <c r="A11" t="n">
        <v>10</v>
      </c>
      <c r="B11" t="inlineStr">
        <is>
          <t>Ses Salines — Neubau Deluxe; einziehen und leben</t>
        </is>
      </c>
      <c r="C11" t="inlineStr">
        <is>
          <t>https://ev-mallorca.com/en/mallorca-property/unique-designer-house-in-a-quiet-location-W-0475DS</t>
        </is>
      </c>
      <c r="D11" t="n">
        <v>5</v>
      </c>
      <c r="E11" t="n">
        <v>5</v>
      </c>
      <c r="F11" t="n">
        <v>5</v>
      </c>
      <c r="G11" t="n">
        <v>23800</v>
      </c>
      <c r="H11" t="n">
        <v>399</v>
      </c>
      <c r="I11" t="n">
        <v>23401</v>
      </c>
      <c r="J11" t="inlineStr">
        <is>
          <t>Ses Salines</t>
        </is>
      </c>
      <c r="K11" t="n">
        <v>42.2</v>
      </c>
      <c r="L11" t="n">
        <v>34</v>
      </c>
      <c r="M11" t="n">
        <v>76.5</v>
      </c>
      <c r="N11" t="n">
        <v>70</v>
      </c>
      <c r="O11" t="n">
        <v>80.2</v>
      </c>
      <c r="P11" t="n">
        <v>63</v>
      </c>
      <c r="Q11" t="n">
        <v>0</v>
      </c>
      <c r="R11" t="n">
        <v>0</v>
      </c>
      <c r="S11" t="n">
        <v>5450000</v>
      </c>
      <c r="T11" t="n">
        <v>13659</v>
      </c>
      <c r="U11" t="n">
        <v>229</v>
      </c>
      <c r="V11" t="n">
        <v>98</v>
      </c>
      <c r="W11" t="n">
        <v>4</v>
      </c>
      <c r="X11" t="n">
        <v>0</v>
      </c>
      <c r="Y11" t="n">
        <v>33.3</v>
      </c>
      <c r="Z11" t="n">
        <v>31</v>
      </c>
      <c r="AA11" t="n">
        <v>31023800422401.93</v>
      </c>
      <c r="AB11" t="n">
        <v>13</v>
      </c>
      <c r="AC11" t="inlineStr">
        <is>
          <t>Einzelgebäude (einstöckig), Neubau 2025</t>
        </is>
      </c>
      <c r="AD11" t="inlineStr">
        <is>
          <t>2025</t>
        </is>
      </c>
      <c r="AE11" t="inlineStr">
        <is>
          <t>n/a (new build)</t>
        </is>
      </c>
      <c r="AF11" t="n">
        <v>98</v>
      </c>
      <c r="AG11" t="inlineStr">
        <is>
          <t>Brand new construction 2025. Designer house, single-story, quiet location. As new as it gets. Old=5 → 98.</t>
        </is>
      </c>
      <c r="AI11" t="inlineStr">
        <is>
          <t>Koffer abstellen, fertig. Aber weit vom Familienhaus und über Budget.</t>
        </is>
      </c>
    </row>
    <row r="12">
      <c r="A12" t="n">
        <v>11</v>
      </c>
      <c r="B12" t="inlineStr">
        <is>
          <t>Moscari — Architekten-Traum; Design trifft Serra de Tramuntana</t>
        </is>
      </c>
      <c r="C12" t="inlineStr">
        <is>
          <t>https://ev-mallorca.com/en/mallorca-property/where-contemporary-design-blends-in-perfect-harmony-with-the-mediterranean-landscape-W-02NQDS</t>
        </is>
      </c>
      <c r="D12" t="n">
        <v>5</v>
      </c>
      <c r="E12" t="n">
        <v>5</v>
      </c>
      <c r="F12" t="n">
        <v>5</v>
      </c>
      <c r="G12" t="n">
        <v>19811</v>
      </c>
      <c r="H12" t="n">
        <v>832</v>
      </c>
      <c r="I12" t="n">
        <v>18979</v>
      </c>
      <c r="J12" t="inlineStr">
        <is>
          <t>Moscari</t>
        </is>
      </c>
      <c r="K12" t="n">
        <v>46.3</v>
      </c>
      <c r="L12" t="n">
        <v>34</v>
      </c>
      <c r="M12" t="n">
        <v>53.5</v>
      </c>
      <c r="N12" t="n">
        <v>52</v>
      </c>
      <c r="O12" t="n">
        <v>68.90000000000001</v>
      </c>
      <c r="P12" t="n">
        <v>52</v>
      </c>
      <c r="Q12" t="n">
        <v>64.59999999999999</v>
      </c>
      <c r="R12" t="n">
        <v>62</v>
      </c>
      <c r="S12" t="n">
        <v>3950000</v>
      </c>
      <c r="T12" t="n">
        <v>4748</v>
      </c>
      <c r="U12" t="n">
        <v>199</v>
      </c>
      <c r="V12" t="n">
        <v>92</v>
      </c>
      <c r="W12" t="n">
        <v>4</v>
      </c>
      <c r="X12" t="n">
        <v>0</v>
      </c>
      <c r="Y12" t="n">
        <v>29.3</v>
      </c>
      <c r="Z12" t="n">
        <v>48.8</v>
      </c>
      <c r="AA12" t="n">
        <v>48819811850979.95</v>
      </c>
      <c r="AB12" t="n">
        <v>8</v>
      </c>
      <c r="AC12" t="inlineStr">
        <is>
          <t>Haupthaus + separater Gästebereich</t>
        </is>
      </c>
      <c r="AD12" t="inlineStr">
        <is>
          <t>2018</t>
        </is>
      </c>
      <c r="AE12" t="inlineStr">
        <is>
          <t>n/a</t>
        </is>
      </c>
      <c r="AF12" t="n">
        <v>92</v>
      </c>
      <c r="AG12" t="inlineStr">
        <is>
          <t>Built 2018, only 8 years old. Contemporary design, large 832m² living area. Wheelchair accessible and senior-oriented suggests high-spec modern build. Excel: 'Haupthaus + separater Gästebereich'. Old=5 → 92.</t>
        </is>
      </c>
      <c r="AI12" t="inlineStr">
        <is>
          <t>Aufwachen mit Bergblick, einschlafen mit Stille — aber weit weg vom Familienhaus.</t>
        </is>
      </c>
    </row>
    <row r="13">
      <c r="A13" t="n">
        <v>12</v>
      </c>
      <c r="B13" t="inlineStr">
        <is>
          <t>Campos — Finca mit Lizenz; 14 Hektar mallorquinischer Traum</t>
        </is>
      </c>
      <c r="C13" t="inlineStr">
        <is>
          <t>https://ev-mallorca.com/en/mallorca-property/dreamlike-finca-with-rental-license-near-es-trenc-W-02ZICD</t>
        </is>
      </c>
      <c r="D13" t="n">
        <v>4</v>
      </c>
      <c r="E13" t="n">
        <v>6</v>
      </c>
      <c r="F13" t="n">
        <v>6</v>
      </c>
      <c r="G13" t="n">
        <v>14200</v>
      </c>
      <c r="H13" t="n">
        <v>436</v>
      </c>
      <c r="I13" t="n">
        <v>13764</v>
      </c>
      <c r="J13" t="inlineStr">
        <is>
          <t>Campos</t>
        </is>
      </c>
      <c r="K13" t="n">
        <v>30.6</v>
      </c>
      <c r="L13" t="n">
        <v>23</v>
      </c>
      <c r="M13" t="n">
        <v>64.2</v>
      </c>
      <c r="N13" t="n">
        <v>57</v>
      </c>
      <c r="O13" t="n">
        <v>67.90000000000001</v>
      </c>
      <c r="P13" t="n">
        <v>50</v>
      </c>
      <c r="Q13" t="n">
        <v>12.2</v>
      </c>
      <c r="R13" t="n">
        <v>13</v>
      </c>
      <c r="S13" t="n">
        <v>3490000</v>
      </c>
      <c r="T13" t="n">
        <v>8005</v>
      </c>
      <c r="U13" t="n">
        <v>246</v>
      </c>
      <c r="V13" t="n">
        <v>65</v>
      </c>
      <c r="W13" t="n">
        <v>2</v>
      </c>
      <c r="X13" t="n">
        <v>100</v>
      </c>
      <c r="Y13" t="n">
        <v>56.2</v>
      </c>
      <c r="Z13" t="n">
        <v>54.4</v>
      </c>
      <c r="AA13" t="n">
        <v>54414200449764.95</v>
      </c>
      <c r="AB13" t="n">
        <v>4</v>
      </c>
      <c r="AC13" t="inlineStr">
        <is>
          <t>Haupthaus + separater Gebäudeteil (L-Form), Sportanlagen</t>
        </is>
      </c>
      <c r="AD13" t="inlineStr">
        <is>
          <t>1997</t>
        </is>
      </c>
      <c r="AE13" t="inlineStr">
        <is>
          <t>2014</t>
        </is>
      </c>
      <c r="AF13" t="n">
        <v>65</v>
      </c>
      <c r="AG13" t="inlineStr">
        <is>
          <t>Built 1997, last restored 2014 (12 years ago). Well-equipped with PV, underfloor heating, A/C. Sports facilities. But restoration is over a decade old now. Excel: 'Haupthaus + separater Gebäudeteil (L-Form), Sportanlagen'. Old=4 → 65.</t>
        </is>
      </c>
      <c r="AI13" t="inlineStr">
        <is>
          <t>Vermieten wenn ihr nicht da seid, ankommen wenn ihr wollt — die Finca rechnet sich.</t>
        </is>
      </c>
    </row>
    <row r="14">
      <c r="A14" t="n">
        <v>13</v>
      </c>
      <c r="B14" t="inlineStr">
        <is>
          <t>Bunyola — Berglage mit Lizenz; Tramuntana vor der Tür</t>
        </is>
      </c>
      <c r="C14" t="inlineStr">
        <is>
          <t>https://www.idealista.com/inmueble/110322709/</t>
        </is>
      </c>
      <c r="D14" t="n">
        <v>5</v>
      </c>
      <c r="E14" t="n">
        <v>6</v>
      </c>
      <c r="F14" t="n">
        <v>5</v>
      </c>
      <c r="G14" t="n">
        <v>14785</v>
      </c>
      <c r="H14" t="n">
        <v>355</v>
      </c>
      <c r="J14" t="inlineStr">
        <is>
          <t>Bunyola</t>
        </is>
      </c>
      <c r="K14" t="n">
        <v>23.8</v>
      </c>
      <c r="L14" t="n">
        <v>20</v>
      </c>
      <c r="M14" t="n">
        <v>14.8</v>
      </c>
      <c r="N14" t="n">
        <v>20</v>
      </c>
      <c r="O14" t="n">
        <v>46.4</v>
      </c>
      <c r="P14" t="n">
        <v>38</v>
      </c>
      <c r="Q14" t="n">
        <v>66.7</v>
      </c>
      <c r="R14" t="n">
        <v>53</v>
      </c>
      <c r="S14" t="n">
        <v>3500000</v>
      </c>
      <c r="T14" t="n">
        <v>9859</v>
      </c>
      <c r="U14" t="n">
        <v>237</v>
      </c>
      <c r="V14" t="n">
        <v>70</v>
      </c>
      <c r="W14" t="n">
        <v>3</v>
      </c>
      <c r="X14" t="n">
        <v>100</v>
      </c>
      <c r="Y14" t="n">
        <v>76</v>
      </c>
      <c r="Z14" t="n">
        <v>51.2</v>
      </c>
      <c r="AA14" t="n">
        <v>51214785355000.98</v>
      </c>
      <c r="AB14" t="n">
        <v>5</v>
      </c>
      <c r="AC14" t="inlineStr">
        <is>
          <t>Haupthaus + Gästehaus (70m²) + Turm (30m²)</t>
        </is>
      </c>
      <c r="AD14" t="inlineStr">
        <is>
          <t>2008</t>
        </is>
      </c>
      <c r="AE14" t="inlineStr">
        <is>
          <t>unknown</t>
        </is>
      </c>
      <c r="AF14" t="n">
        <v>70</v>
      </c>
      <c r="AG14" t="inlineStr">
        <is>
          <t>Built 2008 (18 years old), good condition ('buen estado'). Single-story, 6 rooms, 5 baths. Excel: 'Haupthaus + Gästehaus (70m²) + Turm (30m²)'. Solid build age with good condition rating. Old=4 → 70.</t>
        </is>
      </c>
      <c r="AI14" t="inlineStr">
        <is>
          <t>20 Minuten zum Familienhaus, Berge vor der Tür, Gäste im Haus — alles gleichzeitig.</t>
        </is>
      </c>
    </row>
    <row r="15">
      <c r="A15" t="n">
        <v>14</v>
      </c>
      <c r="D15" t="n">
        <v>5</v>
      </c>
      <c r="T15">
        <f>IFERROR(IF($Q15="","",$Q15/$H15),"")</f>
        <v/>
      </c>
      <c r="U15">
        <f>IFERROR(IF($Q15="","",$Q15/$G15),"")</f>
        <v/>
      </c>
      <c r="V15" t="n">
        <v>4</v>
      </c>
      <c r="W15" t="n">
        <v>3</v>
      </c>
      <c r="Y15">
        <f>IF(AND($L15="",$N15="",$P15=""),"",ROUND((IF($L15="",0,IF($L15&lt;=Einstellungen!$B$16,100,IF($L15&lt;=Einstellungen!$C$16,80+(100-80)*(Einstellungen!$C$16-$L15)/(Einstellungen!$C$16-Einstellungen!$B$16),IF($L15&lt;=Einstellungen!$D$16,80*(Einstellungen!$D$16-$L15)/(Einstellungen!$D$16-Einstellungen!$C$16),0))))*Einstellungen!$E$16+IF($N15="",0,IF($N15&lt;=Einstellungen!$B$17,100,IF($N15&lt;=Einstellungen!$C$17,80+(100-80)*(Einstellungen!$C$17-$N15)/(Einstellungen!$C$17-Einstellungen!$B$17),IF($N15&lt;=Einstellungen!$D$17,80*(Einstellungen!$D$17-$N15)/(Einstellungen!$D$17-Einstellungen!$C$17),0))))*Einstellungen!$E$17+IF($P15="",0,IF($P15&lt;=Einstellungen!$B$18,100,IF($P15&lt;=Einstellungen!$C$18,80+(100-80)*(Einstellungen!$C$18-$P15)/(Einstellungen!$C$18-Einstellungen!$B$18),IF($P15&lt;=Einstellungen!$D$18,80*(Einstellungen!$D$18-$P15)/(Einstellungen!$D$18-Einstellungen!$C$18),0))))*Einstellungen!$E$18)/(Einstellungen!$E$16+Einstellungen!$E$17+Einstellungen!$E$18),0))</f>
        <v/>
      </c>
      <c r="Z15">
        <f>IF(AND($E15="",$D15="",$G15="",$V15="",$Q15="",$T15="",$W15="",$U15=""),"",ROUND(IF($E15="",0,IF($E15&lt;Einstellungen!$B$21,0,IF($E15&gt;=Einstellungen!$B$22,100,($E15-Einstellungen!$B$21)/(Einstellungen!$B$22-Einstellungen!$B$21)*100)))/100*Einstellungen!$B$5+IF($W15="",0,$W15/100)*Einstellungen!$B$6+(IF($G15="",0,MAX(0,MIN(100,($G15-Einstellungen!$B$25)/(Einstellungen!$B$26-Einstellungen!$B$25)*100)))+IF($I15="",0,MAX(0,MIN(100,($I15-Einstellungen!$B$27)/(Einstellungen!$B$28-Einstellungen!$B$27)*100))))/2/100*Einstellungen!$B$7+IF($V15="",0,$V15/100)*Einstellungen!$B$8+IF($R15="",0,MAX(0,MIN(100,(Einstellungen!$B$32-$R15)/(Einstellungen!$B$32-Einstellungen!$B$31)*100)))/100*Einstellungen!$B$9+IF($D15="",0,$D15/5*100)/100*Einstellungen!$B$10+IF($AD15="",0,$AD15)/100*Einstellungen!$B$11+IF($U15="",0,$U15/5*100)/100*Einstellungen!$B$12,0))</f>
        <v/>
      </c>
      <c r="AA15">
        <f>IF($X15="","",$X15*1000000000000+IF($G15="",0,$G15)*1000000+IF($H15="",0,$H15)*1000+IF($I15="",0,$I15)+IF($N15="",0,MAX(0,1000-$N15))/1000+IF($A15="",0,$A15)/1000000)</f>
        <v/>
      </c>
      <c r="AB15">
        <f>IF($Y15="","",_xludf.RANK.EQ($Y15,$Y$2:$Y$201,0))</f>
        <v/>
      </c>
      <c r="AC15" t="inlineStr">
        <is>
          <t>Unabhängiges Chalet mit Pool und Bergblick</t>
        </is>
      </c>
    </row>
    <row r="16">
      <c r="T16">
        <f>IFERROR(IF($Q16="","",$Q16/$H16),"")</f>
        <v/>
      </c>
      <c r="U16">
        <f>IFERROR(IF($Q16="","",$Q16/$G16),"")</f>
        <v/>
      </c>
      <c r="Y16">
        <f>IF(AND($L16="",$N16="",$P16=""),"",ROUND((IF($L16="",0,IF($L16&lt;=Einstellungen!$B$16,100,IF($L16&lt;=Einstellungen!$C$16,80+(100-80)*(Einstellungen!$C$16-$L16)/(Einstellungen!$C$16-Einstellungen!$B$16),IF($L16&lt;=Einstellungen!$D$16,80*(Einstellungen!$D$16-$L16)/(Einstellungen!$D$16-Einstellungen!$C$16),0))))*Einstellungen!$E$16+IF($N16="",0,IF($N16&lt;=Einstellungen!$B$17,100,IF($N16&lt;=Einstellungen!$C$17,80+(100-80)*(Einstellungen!$C$17-$N16)/(Einstellungen!$C$17-Einstellungen!$B$17),IF($N16&lt;=Einstellungen!$D$17,80*(Einstellungen!$D$17-$N16)/(Einstellungen!$D$17-Einstellungen!$C$17),0))))*Einstellungen!$E$17+IF($P16="",0,IF($P16&lt;=Einstellungen!$B$18,100,IF($P16&lt;=Einstellungen!$C$18,80+(100-80)*(Einstellungen!$C$18-$P16)/(Einstellungen!$C$18-Einstellungen!$B$18),IF($P16&lt;=Einstellungen!$D$18,80*(Einstellungen!$D$18-$P16)/(Einstellungen!$D$18-Einstellungen!$C$18),0))))*Einstellungen!$E$18)/(Einstellungen!$E$16+Einstellungen!$E$17+Einstellungen!$E$18),0))</f>
        <v/>
      </c>
      <c r="Z16">
        <f>IF(AND($E16="",$D16="",$G16="",$V16="",$Q16="",$T16="",$W16="",$U16=""),"",ROUND(IF($E16="",0,IF($E16&lt;Einstellungen!$B$21,0,IF($E16&gt;=Einstellungen!$B$22,100,($E16-Einstellungen!$B$21)/(Einstellungen!$B$22-Einstellungen!$B$21)*100)))/100*Einstellungen!$B$5+IF($W16="",0,$W16/100)*Einstellungen!$B$6+(IF($G16="",0,MAX(0,MIN(100,($G16-Einstellungen!$B$25)/(Einstellungen!$B$26-Einstellungen!$B$25)*100)))+IF($I16="",0,MAX(0,MIN(100,($I16-Einstellungen!$B$27)/(Einstellungen!$B$28-Einstellungen!$B$27)*100))))/2/100*Einstellungen!$B$7+IF($V16="",0,$V16/100)*Einstellungen!$B$8+IF($R16="",0,MAX(0,MIN(100,(Einstellungen!$B$32-$R16)/(Einstellungen!$B$32-Einstellungen!$B$31)*100)))/100*Einstellungen!$B$9+IF($D16="",0,$D16/5*100)/100*Einstellungen!$B$10+IF($AD16="",0,$AD16)/100*Einstellungen!$B$11+IF($U16="",0,$U16/5*100)/100*Einstellungen!$B$12,0))</f>
        <v/>
      </c>
      <c r="AA16">
        <f>IF($X16="","",$X16*1000000000000+IF($G16="",0,$G16)*1000000+IF($H16="",0,$H16)*1000+IF($I16="",0,$I16)+IF($N16="",0,MAX(0,1000-$N16))/1000+IF($A16="",0,$A16)/1000000)</f>
        <v/>
      </c>
      <c r="AB16">
        <f>IF($Y16="","",_xludf.RANK.EQ($Y16,$Y$2:$Y$201,0))</f>
        <v/>
      </c>
    </row>
    <row r="17">
      <c r="T17">
        <f>IFERROR(IF($Q17="","",$Q17/$H17),"")</f>
        <v/>
      </c>
      <c r="U17">
        <f>IFERROR(IF($Q17="","",$Q17/$G17),"")</f>
        <v/>
      </c>
      <c r="Y17">
        <f>IF(AND($L17="",$N17="",$P17=""),"",ROUND((IF($L17="",0,IF($L17&lt;=Einstellungen!$B$16,100,IF($L17&lt;=Einstellungen!$C$16,80+(100-80)*(Einstellungen!$C$16-$L17)/(Einstellungen!$C$16-Einstellungen!$B$16),IF($L17&lt;=Einstellungen!$D$16,80*(Einstellungen!$D$16-$L17)/(Einstellungen!$D$16-Einstellungen!$C$16),0))))*Einstellungen!$E$16+IF($N17="",0,IF($N17&lt;=Einstellungen!$B$17,100,IF($N17&lt;=Einstellungen!$C$17,80+(100-80)*(Einstellungen!$C$17-$N17)/(Einstellungen!$C$17-Einstellungen!$B$17),IF($N17&lt;=Einstellungen!$D$17,80*(Einstellungen!$D$17-$N17)/(Einstellungen!$D$17-Einstellungen!$C$17),0))))*Einstellungen!$E$17+IF($P17="",0,IF($P17&lt;=Einstellungen!$B$18,100,IF($P17&lt;=Einstellungen!$C$18,80+(100-80)*(Einstellungen!$C$18-$P17)/(Einstellungen!$C$18-Einstellungen!$B$18),IF($P17&lt;=Einstellungen!$D$18,80*(Einstellungen!$D$18-$P17)/(Einstellungen!$D$18-Einstellungen!$C$18),0))))*Einstellungen!$E$18)/(Einstellungen!$E$16+Einstellungen!$E$17+Einstellungen!$E$18),0))</f>
        <v/>
      </c>
      <c r="Z17">
        <f>IF(AND($E17="",$D17="",$G17="",$V17="",$Q17="",$T17="",$W17="",$U17=""),"",ROUND(IF($E17="",0,IF($E17&lt;Einstellungen!$B$21,0,IF($E17&gt;=Einstellungen!$B$22,100,($E17-Einstellungen!$B$21)/(Einstellungen!$B$22-Einstellungen!$B$21)*100)))/100*Einstellungen!$B$5+IF($W17="",0,$W17/100)*Einstellungen!$B$6+(IF($G17="",0,MAX(0,MIN(100,($G17-Einstellungen!$B$25)/(Einstellungen!$B$26-Einstellungen!$B$25)*100)))+IF($I17="",0,MAX(0,MIN(100,($I17-Einstellungen!$B$27)/(Einstellungen!$B$28-Einstellungen!$B$27)*100))))/2/100*Einstellungen!$B$7+IF($V17="",0,$V17/100)*Einstellungen!$B$8+IF($R17="",0,MAX(0,MIN(100,(Einstellungen!$B$32-$R17)/(Einstellungen!$B$32-Einstellungen!$B$31)*100)))/100*Einstellungen!$B$9+IF($D17="",0,$D17/5*100)/100*Einstellungen!$B$10+IF($AD17="",0,$AD17)/100*Einstellungen!$B$11+IF($U17="",0,$U17/5*100)/100*Einstellungen!$B$12,0))</f>
        <v/>
      </c>
      <c r="AA17">
        <f>IF($X17="","",$X17*1000000000000+IF($G17="",0,$G17)*1000000+IF($H17="",0,$H17)*1000+IF($I17="",0,$I17)+IF($N17="",0,MAX(0,1000-$N17))/1000+IF($A17="",0,$A17)/1000000)</f>
        <v/>
      </c>
      <c r="AB17">
        <f>IF($Y17="","",_xludf.RANK.EQ($Y17,$Y$2:$Y$201,0))</f>
        <v/>
      </c>
    </row>
    <row r="18">
      <c r="T18">
        <f>IFERROR(IF($Q18="","",$Q18/$H18),"")</f>
        <v/>
      </c>
      <c r="U18">
        <f>IFERROR(IF($Q18="","",$Q18/$G18),"")</f>
        <v/>
      </c>
      <c r="Y18">
        <f>IF(AND($L18="",$N18="",$P18=""),"",ROUND((IF($L18="",0,IF($L18&lt;=Einstellungen!$B$16,100,IF($L18&lt;=Einstellungen!$C$16,80+(100-80)*(Einstellungen!$C$16-$L18)/(Einstellungen!$C$16-Einstellungen!$B$16),IF($L18&lt;=Einstellungen!$D$16,80*(Einstellungen!$D$16-$L18)/(Einstellungen!$D$16-Einstellungen!$C$16),0))))*Einstellungen!$E$16+IF($N18="",0,IF($N18&lt;=Einstellungen!$B$17,100,IF($N18&lt;=Einstellungen!$C$17,80+(100-80)*(Einstellungen!$C$17-$N18)/(Einstellungen!$C$17-Einstellungen!$B$17),IF($N18&lt;=Einstellungen!$D$17,80*(Einstellungen!$D$17-$N18)/(Einstellungen!$D$17-Einstellungen!$C$17),0))))*Einstellungen!$E$17+IF($P18="",0,IF($P18&lt;=Einstellungen!$B$18,100,IF($P18&lt;=Einstellungen!$C$18,80+(100-80)*(Einstellungen!$C$18-$P18)/(Einstellungen!$C$18-Einstellungen!$B$18),IF($P18&lt;=Einstellungen!$D$18,80*(Einstellungen!$D$18-$P18)/(Einstellungen!$D$18-Einstellungen!$C$18),0))))*Einstellungen!$E$18)/(Einstellungen!$E$16+Einstellungen!$E$17+Einstellungen!$E$18),0))</f>
        <v/>
      </c>
      <c r="Z18">
        <f>IF(AND($E18="",$D18="",$G18="",$V18="",$Q18="",$T18="",$W18="",$U18=""),"",ROUND(IF($E18="",0,IF($E18&lt;Einstellungen!$B$21,0,IF($E18&gt;=Einstellungen!$B$22,100,($E18-Einstellungen!$B$21)/(Einstellungen!$B$22-Einstellungen!$B$21)*100)))/100*Einstellungen!$B$5+IF($W18="",0,$W18/100)*Einstellungen!$B$6+(IF($G18="",0,MAX(0,MIN(100,($G18-Einstellungen!$B$25)/(Einstellungen!$B$26-Einstellungen!$B$25)*100)))+IF($I18="",0,MAX(0,MIN(100,($I18-Einstellungen!$B$27)/(Einstellungen!$B$28-Einstellungen!$B$27)*100))))/2/100*Einstellungen!$B$7+IF($V18="",0,$V18/100)*Einstellungen!$B$8+IF($R18="",0,MAX(0,MIN(100,(Einstellungen!$B$32-$R18)/(Einstellungen!$B$32-Einstellungen!$B$31)*100)))/100*Einstellungen!$B$9+IF($D18="",0,$D18/5*100)/100*Einstellungen!$B$10+IF($AD18="",0,$AD18)/100*Einstellungen!$B$11+IF($U18="",0,$U18/5*100)/100*Einstellungen!$B$12,0))</f>
        <v/>
      </c>
      <c r="AA18">
        <f>IF($X18="","",$X18*1000000000000+IF($G18="",0,$G18)*1000000+IF($H18="",0,$H18)*1000+IF($I18="",0,$I18)+IF($N18="",0,MAX(0,1000-$N18))/1000+IF($A18="",0,$A18)/1000000)</f>
        <v/>
      </c>
      <c r="AB18">
        <f>IF($Y18="","",_xludf.RANK.EQ($Y18,$Y$2:$Y$201,0))</f>
        <v/>
      </c>
    </row>
    <row r="19">
      <c r="T19">
        <f>IFERROR(IF($Q19="","",$Q19/$H19),"")</f>
        <v/>
      </c>
      <c r="U19">
        <f>IFERROR(IF($Q19="","",$Q19/$G19),"")</f>
        <v/>
      </c>
      <c r="Y19">
        <f>IF(AND($L19="",$N19="",$P19=""),"",ROUND((IF($L19="",0,IF($L19&lt;=Einstellungen!$B$16,100,IF($L19&lt;=Einstellungen!$C$16,80+(100-80)*(Einstellungen!$C$16-$L19)/(Einstellungen!$C$16-Einstellungen!$B$16),IF($L19&lt;=Einstellungen!$D$16,80*(Einstellungen!$D$16-$L19)/(Einstellungen!$D$16-Einstellungen!$C$16),0))))*Einstellungen!$E$16+IF($N19="",0,IF($N19&lt;=Einstellungen!$B$17,100,IF($N19&lt;=Einstellungen!$C$17,80+(100-80)*(Einstellungen!$C$17-$N19)/(Einstellungen!$C$17-Einstellungen!$B$17),IF($N19&lt;=Einstellungen!$D$17,80*(Einstellungen!$D$17-$N19)/(Einstellungen!$D$17-Einstellungen!$C$17),0))))*Einstellungen!$E$17+IF($P19="",0,IF($P19&lt;=Einstellungen!$B$18,100,IF($P19&lt;=Einstellungen!$C$18,80+(100-80)*(Einstellungen!$C$18-$P19)/(Einstellungen!$C$18-Einstellungen!$B$18),IF($P19&lt;=Einstellungen!$D$18,80*(Einstellungen!$D$18-$P19)/(Einstellungen!$D$18-Einstellungen!$C$18),0))))*Einstellungen!$E$18)/(Einstellungen!$E$16+Einstellungen!$E$17+Einstellungen!$E$18),0))</f>
        <v/>
      </c>
      <c r="Z19">
        <f>IF(AND($E19="",$D19="",$G19="",$V19="",$Q19="",$T19="",$W19="",$U19=""),"",ROUND(IF($E19="",0,IF($E19&lt;Einstellungen!$B$21,0,IF($E19&gt;=Einstellungen!$B$22,100,($E19-Einstellungen!$B$21)/(Einstellungen!$B$22-Einstellungen!$B$21)*100)))/100*Einstellungen!$B$5+IF($W19="",0,$W19/100)*Einstellungen!$B$6+(IF($G19="",0,MAX(0,MIN(100,($G19-Einstellungen!$B$25)/(Einstellungen!$B$26-Einstellungen!$B$25)*100)))+IF($I19="",0,MAX(0,MIN(100,($I19-Einstellungen!$B$27)/(Einstellungen!$B$28-Einstellungen!$B$27)*100))))/2/100*Einstellungen!$B$7+IF($V19="",0,$V19/100)*Einstellungen!$B$8+IF($R19="",0,MAX(0,MIN(100,(Einstellungen!$B$32-$R19)/(Einstellungen!$B$32-Einstellungen!$B$31)*100)))/100*Einstellungen!$B$9+IF($D19="",0,$D19/5*100)/100*Einstellungen!$B$10+IF($AD19="",0,$AD19)/100*Einstellungen!$B$11+IF($U19="",0,$U19/5*100)/100*Einstellungen!$B$12,0))</f>
        <v/>
      </c>
      <c r="AA19">
        <f>IF($X19="","",$X19*1000000000000+IF($G19="",0,$G19)*1000000+IF($H19="",0,$H19)*1000+IF($I19="",0,$I19)+IF($N19="",0,MAX(0,1000-$N19))/1000+IF($A19="",0,$A19)/1000000)</f>
        <v/>
      </c>
      <c r="AB19">
        <f>IF($Y19="","",_xludf.RANK.EQ($Y19,$Y$2:$Y$201,0))</f>
        <v/>
      </c>
    </row>
    <row r="20">
      <c r="T20">
        <f>IFERROR(IF($Q20="","",$Q20/$H20),"")</f>
        <v/>
      </c>
      <c r="U20">
        <f>IFERROR(IF($Q20="","",$Q20/$G20),"")</f>
        <v/>
      </c>
      <c r="Y20">
        <f>IF(AND($L20="",$N20="",$P20=""),"",ROUND((IF($L20="",0,IF($L20&lt;=Einstellungen!$B$16,100,IF($L20&lt;=Einstellungen!$C$16,80+(100-80)*(Einstellungen!$C$16-$L20)/(Einstellungen!$C$16-Einstellungen!$B$16),IF($L20&lt;=Einstellungen!$D$16,80*(Einstellungen!$D$16-$L20)/(Einstellungen!$D$16-Einstellungen!$C$16),0))))*Einstellungen!$E$16+IF($N20="",0,IF($N20&lt;=Einstellungen!$B$17,100,IF($N20&lt;=Einstellungen!$C$17,80+(100-80)*(Einstellungen!$C$17-$N20)/(Einstellungen!$C$17-Einstellungen!$B$17),IF($N20&lt;=Einstellungen!$D$17,80*(Einstellungen!$D$17-$N20)/(Einstellungen!$D$17-Einstellungen!$C$17),0))))*Einstellungen!$E$17+IF($P20="",0,IF($P20&lt;=Einstellungen!$B$18,100,IF($P20&lt;=Einstellungen!$C$18,80+(100-80)*(Einstellungen!$C$18-$P20)/(Einstellungen!$C$18-Einstellungen!$B$18),IF($P20&lt;=Einstellungen!$D$18,80*(Einstellungen!$D$18-$P20)/(Einstellungen!$D$18-Einstellungen!$C$18),0))))*Einstellungen!$E$18)/(Einstellungen!$E$16+Einstellungen!$E$17+Einstellungen!$E$18),0))</f>
        <v/>
      </c>
      <c r="Z20">
        <f>IF(AND($E20="",$D20="",$G20="",$V20="",$Q20="",$T20="",$W20="",$U20=""),"",ROUND(IF($E20="",0,IF($E20&lt;Einstellungen!$B$21,0,IF($E20&gt;=Einstellungen!$B$22,100,($E20-Einstellungen!$B$21)/(Einstellungen!$B$22-Einstellungen!$B$21)*100)))/100*Einstellungen!$B$5+IF($W20="",0,$W20/100)*Einstellungen!$B$6+(IF($G20="",0,MAX(0,MIN(100,($G20-Einstellungen!$B$25)/(Einstellungen!$B$26-Einstellungen!$B$25)*100)))+IF($I20="",0,MAX(0,MIN(100,($I20-Einstellungen!$B$27)/(Einstellungen!$B$28-Einstellungen!$B$27)*100))))/2/100*Einstellungen!$B$7+IF($V20="",0,$V20/100)*Einstellungen!$B$8+IF($R20="",0,MAX(0,MIN(100,(Einstellungen!$B$32-$R20)/(Einstellungen!$B$32-Einstellungen!$B$31)*100)))/100*Einstellungen!$B$9+IF($D20="",0,$D20/5*100)/100*Einstellungen!$B$10+IF($AD20="",0,$AD20)/100*Einstellungen!$B$11+IF($U20="",0,$U20/5*100)/100*Einstellungen!$B$12,0))</f>
        <v/>
      </c>
      <c r="AA20">
        <f>IF($X20="","",$X20*1000000000000+IF($G20="",0,$G20)*1000000+IF($H20="",0,$H20)*1000+IF($I20="",0,$I20)+IF($N20="",0,MAX(0,1000-$N20))/1000+IF($A20="",0,$A20)/1000000)</f>
        <v/>
      </c>
      <c r="AB20">
        <f>IF($Y20="","",_xludf.RANK.EQ($Y20,$Y$2:$Y$201,0))</f>
        <v/>
      </c>
    </row>
    <row r="21">
      <c r="T21">
        <f>IFERROR(IF($Q21="","",$Q21/$H21),"")</f>
        <v/>
      </c>
      <c r="U21">
        <f>IFERROR(IF($Q21="","",$Q21/$G21),"")</f>
        <v/>
      </c>
      <c r="Y21">
        <f>IF(AND($L21="",$N21="",$P21=""),"",ROUND((IF($L21="",0,IF($L21&lt;=Einstellungen!$B$16,100,IF($L21&lt;=Einstellungen!$C$16,80+(100-80)*(Einstellungen!$C$16-$L21)/(Einstellungen!$C$16-Einstellungen!$B$16),IF($L21&lt;=Einstellungen!$D$16,80*(Einstellungen!$D$16-$L21)/(Einstellungen!$D$16-Einstellungen!$C$16),0))))*Einstellungen!$E$16+IF($N21="",0,IF($N21&lt;=Einstellungen!$B$17,100,IF($N21&lt;=Einstellungen!$C$17,80+(100-80)*(Einstellungen!$C$17-$N21)/(Einstellungen!$C$17-Einstellungen!$B$17),IF($N21&lt;=Einstellungen!$D$17,80*(Einstellungen!$D$17-$N21)/(Einstellungen!$D$17-Einstellungen!$C$17),0))))*Einstellungen!$E$17+IF($P21="",0,IF($P21&lt;=Einstellungen!$B$18,100,IF($P21&lt;=Einstellungen!$C$18,80+(100-80)*(Einstellungen!$C$18-$P21)/(Einstellungen!$C$18-Einstellungen!$B$18),IF($P21&lt;=Einstellungen!$D$18,80*(Einstellungen!$D$18-$P21)/(Einstellungen!$D$18-Einstellungen!$C$18),0))))*Einstellungen!$E$18)/(Einstellungen!$E$16+Einstellungen!$E$17+Einstellungen!$E$18),0))</f>
        <v/>
      </c>
      <c r="Z21">
        <f>IF(AND($E21="",$D21="",$G21="",$V21="",$Q21="",$T21="",$W21="",$U21=""),"",ROUND(IF($E21="",0,IF($E21&lt;Einstellungen!$B$21,0,IF($E21&gt;=Einstellungen!$B$22,100,($E21-Einstellungen!$B$21)/(Einstellungen!$B$22-Einstellungen!$B$21)*100)))/100*Einstellungen!$B$5+IF($W21="",0,$W21/100)*Einstellungen!$B$6+(IF($G21="",0,MAX(0,MIN(100,($G21-Einstellungen!$B$25)/(Einstellungen!$B$26-Einstellungen!$B$25)*100)))+IF($I21="",0,MAX(0,MIN(100,($I21-Einstellungen!$B$27)/(Einstellungen!$B$28-Einstellungen!$B$27)*100))))/2/100*Einstellungen!$B$7+IF($V21="",0,$V21/100)*Einstellungen!$B$8+IF($R21="",0,MAX(0,MIN(100,(Einstellungen!$B$32-$R21)/(Einstellungen!$B$32-Einstellungen!$B$31)*100)))/100*Einstellungen!$B$9+IF($D21="",0,$D21/5*100)/100*Einstellungen!$B$10+IF($AD21="",0,$AD21)/100*Einstellungen!$B$11+IF($U21="",0,$U21/5*100)/100*Einstellungen!$B$12,0))</f>
        <v/>
      </c>
      <c r="AA21">
        <f>IF($X21="","",$X21*1000000000000+IF($G21="",0,$G21)*1000000+IF($H21="",0,$H21)*1000+IF($I21="",0,$I21)+IF($N21="",0,MAX(0,1000-$N21))/1000+IF($A21="",0,$A21)/1000000)</f>
        <v/>
      </c>
      <c r="AB21">
        <f>IF($Y21="","",_xludf.RANK.EQ($Y21,$Y$2:$Y$201,0))</f>
        <v/>
      </c>
    </row>
    <row r="22">
      <c r="T22">
        <f>IFERROR(IF($Q22="","",$Q22/$H22),"")</f>
        <v/>
      </c>
      <c r="U22">
        <f>IFERROR(IF($Q22="","",$Q22/$G22),"")</f>
        <v/>
      </c>
      <c r="Y22">
        <f>IF(AND($L22="",$N22="",$P22=""),"",ROUND((IF($L22="",0,IF($L22&lt;=Einstellungen!$B$16,100,IF($L22&lt;=Einstellungen!$C$16,80+(100-80)*(Einstellungen!$C$16-$L22)/(Einstellungen!$C$16-Einstellungen!$B$16),IF($L22&lt;=Einstellungen!$D$16,80*(Einstellungen!$D$16-$L22)/(Einstellungen!$D$16-Einstellungen!$C$16),0))))*Einstellungen!$E$16+IF($N22="",0,IF($N22&lt;=Einstellungen!$B$17,100,IF($N22&lt;=Einstellungen!$C$17,80+(100-80)*(Einstellungen!$C$17-$N22)/(Einstellungen!$C$17-Einstellungen!$B$17),IF($N22&lt;=Einstellungen!$D$17,80*(Einstellungen!$D$17-$N22)/(Einstellungen!$D$17-Einstellungen!$C$17),0))))*Einstellungen!$E$17+IF($P22="",0,IF($P22&lt;=Einstellungen!$B$18,100,IF($P22&lt;=Einstellungen!$C$18,80+(100-80)*(Einstellungen!$C$18-$P22)/(Einstellungen!$C$18-Einstellungen!$B$18),IF($P22&lt;=Einstellungen!$D$18,80*(Einstellungen!$D$18-$P22)/(Einstellungen!$D$18-Einstellungen!$C$18),0))))*Einstellungen!$E$18)/(Einstellungen!$E$16+Einstellungen!$E$17+Einstellungen!$E$18),0))</f>
        <v/>
      </c>
      <c r="Z22">
        <f>IF(AND($E22="",$D22="",$G22="",$V22="",$Q22="",$T22="",$W22="",$U22=""),"",ROUND(IF($E22="",0,IF($E22&lt;Einstellungen!$B$21,0,IF($E22&gt;=Einstellungen!$B$22,100,($E22-Einstellungen!$B$21)/(Einstellungen!$B$22-Einstellungen!$B$21)*100)))/100*Einstellungen!$B$5+IF($W22="",0,$W22/100)*Einstellungen!$B$6+(IF($G22="",0,MAX(0,MIN(100,($G22-Einstellungen!$B$25)/(Einstellungen!$B$26-Einstellungen!$B$25)*100)))+IF($I22="",0,MAX(0,MIN(100,($I22-Einstellungen!$B$27)/(Einstellungen!$B$28-Einstellungen!$B$27)*100))))/2/100*Einstellungen!$B$7+IF($V22="",0,$V22/100)*Einstellungen!$B$8+IF($R22="",0,MAX(0,MIN(100,(Einstellungen!$B$32-$R22)/(Einstellungen!$B$32-Einstellungen!$B$31)*100)))/100*Einstellungen!$B$9+IF($D22="",0,$D22/5*100)/100*Einstellungen!$B$10+IF($AD22="",0,$AD22)/100*Einstellungen!$B$11+IF($U22="",0,$U22/5*100)/100*Einstellungen!$B$12,0))</f>
        <v/>
      </c>
      <c r="AA22">
        <f>IF($X22="","",$X22*1000000000000+IF($G22="",0,$G22)*1000000+IF($H22="",0,$H22)*1000+IF($I22="",0,$I22)+IF($N22="",0,MAX(0,1000-$N22))/1000+IF($A22="",0,$A22)/1000000)</f>
        <v/>
      </c>
      <c r="AB22">
        <f>IF($Y22="","",_xludf.RANK.EQ($Y22,$Y$2:$Y$201,0))</f>
        <v/>
      </c>
    </row>
    <row r="23">
      <c r="T23">
        <f>IFERROR(IF($Q23="","",$Q23/$H23),"")</f>
        <v/>
      </c>
      <c r="U23">
        <f>IFERROR(IF($Q23="","",$Q23/$G23),"")</f>
        <v/>
      </c>
      <c r="Y23">
        <f>IF(AND($L23="",$N23="",$P23=""),"",ROUND((IF($L23="",0,IF($L23&lt;=Einstellungen!$B$16,100,IF($L23&lt;=Einstellungen!$C$16,80+(100-80)*(Einstellungen!$C$16-$L23)/(Einstellungen!$C$16-Einstellungen!$B$16),IF($L23&lt;=Einstellungen!$D$16,80*(Einstellungen!$D$16-$L23)/(Einstellungen!$D$16-Einstellungen!$C$16),0))))*Einstellungen!$E$16+IF($N23="",0,IF($N23&lt;=Einstellungen!$B$17,100,IF($N23&lt;=Einstellungen!$C$17,80+(100-80)*(Einstellungen!$C$17-$N23)/(Einstellungen!$C$17-Einstellungen!$B$17),IF($N23&lt;=Einstellungen!$D$17,80*(Einstellungen!$D$17-$N23)/(Einstellungen!$D$17-Einstellungen!$C$17),0))))*Einstellungen!$E$17+IF($P23="",0,IF($P23&lt;=Einstellungen!$B$18,100,IF($P23&lt;=Einstellungen!$C$18,80+(100-80)*(Einstellungen!$C$18-$P23)/(Einstellungen!$C$18-Einstellungen!$B$18),IF($P23&lt;=Einstellungen!$D$18,80*(Einstellungen!$D$18-$P23)/(Einstellungen!$D$18-Einstellungen!$C$18),0))))*Einstellungen!$E$18)/(Einstellungen!$E$16+Einstellungen!$E$17+Einstellungen!$E$18),0))</f>
        <v/>
      </c>
      <c r="Z23">
        <f>IF(AND($E23="",$D23="",$G23="",$V23="",$Q23="",$T23="",$W23="",$U23=""),"",ROUND(IF($E23="",0,IF($E23&lt;Einstellungen!$B$21,0,IF($E23&gt;=Einstellungen!$B$22,100,($E23-Einstellungen!$B$21)/(Einstellungen!$B$22-Einstellungen!$B$21)*100)))/100*Einstellungen!$B$5+IF($W23="",0,$W23/100)*Einstellungen!$B$6+(IF($G23="",0,MAX(0,MIN(100,($G23-Einstellungen!$B$25)/(Einstellungen!$B$26-Einstellungen!$B$25)*100)))+IF($I23="",0,MAX(0,MIN(100,($I23-Einstellungen!$B$27)/(Einstellungen!$B$28-Einstellungen!$B$27)*100))))/2/100*Einstellungen!$B$7+IF($V23="",0,$V23/100)*Einstellungen!$B$8+IF($R23="",0,MAX(0,MIN(100,(Einstellungen!$B$32-$R23)/(Einstellungen!$B$32-Einstellungen!$B$31)*100)))/100*Einstellungen!$B$9+IF($D23="",0,$D23/5*100)/100*Einstellungen!$B$10+IF($AD23="",0,$AD23)/100*Einstellungen!$B$11+IF($U23="",0,$U23/5*100)/100*Einstellungen!$B$12,0))</f>
        <v/>
      </c>
      <c r="AA23">
        <f>IF($X23="","",$X23*1000000000000+IF($G23="",0,$G23)*1000000+IF($H23="",0,$H23)*1000+IF($I23="",0,$I23)+IF($N23="",0,MAX(0,1000-$N23))/1000+IF($A23="",0,$A23)/1000000)</f>
        <v/>
      </c>
      <c r="AB23">
        <f>IF($Y23="","",_xludf.RANK.EQ($Y23,$Y$2:$Y$201,0))</f>
        <v/>
      </c>
    </row>
    <row r="24">
      <c r="T24">
        <f>IFERROR(IF($Q24="","",$Q24/$H24),"")</f>
        <v/>
      </c>
      <c r="U24">
        <f>IFERROR(IF($Q24="","",$Q24/$G24),"")</f>
        <v/>
      </c>
      <c r="Y24">
        <f>IF(AND($L24="",$N24="",$P24=""),"",ROUND((IF($L24="",0,IF($L24&lt;=Einstellungen!$B$16,100,IF($L24&lt;=Einstellungen!$C$16,80+(100-80)*(Einstellungen!$C$16-$L24)/(Einstellungen!$C$16-Einstellungen!$B$16),IF($L24&lt;=Einstellungen!$D$16,80*(Einstellungen!$D$16-$L24)/(Einstellungen!$D$16-Einstellungen!$C$16),0))))*Einstellungen!$E$16+IF($N24="",0,IF($N24&lt;=Einstellungen!$B$17,100,IF($N24&lt;=Einstellungen!$C$17,80+(100-80)*(Einstellungen!$C$17-$N24)/(Einstellungen!$C$17-Einstellungen!$B$17),IF($N24&lt;=Einstellungen!$D$17,80*(Einstellungen!$D$17-$N24)/(Einstellungen!$D$17-Einstellungen!$C$17),0))))*Einstellungen!$E$17+IF($P24="",0,IF($P24&lt;=Einstellungen!$B$18,100,IF($P24&lt;=Einstellungen!$C$18,80+(100-80)*(Einstellungen!$C$18-$P24)/(Einstellungen!$C$18-Einstellungen!$B$18),IF($P24&lt;=Einstellungen!$D$18,80*(Einstellungen!$D$18-$P24)/(Einstellungen!$D$18-Einstellungen!$C$18),0))))*Einstellungen!$E$18)/(Einstellungen!$E$16+Einstellungen!$E$17+Einstellungen!$E$18),0))</f>
        <v/>
      </c>
      <c r="Z24">
        <f>IF(AND($E24="",$D24="",$G24="",$V24="",$Q24="",$T24="",$W24="",$U24=""),"",ROUND(IF($E24="",0,IF($E24&lt;Einstellungen!$B$21,0,IF($E24&gt;=Einstellungen!$B$22,100,($E24-Einstellungen!$B$21)/(Einstellungen!$B$22-Einstellungen!$B$21)*100)))/100*Einstellungen!$B$5+IF($W24="",0,$W24/100)*Einstellungen!$B$6+(IF($G24="",0,MAX(0,MIN(100,($G24-Einstellungen!$B$25)/(Einstellungen!$B$26-Einstellungen!$B$25)*100)))+IF($I24="",0,MAX(0,MIN(100,($I24-Einstellungen!$B$27)/(Einstellungen!$B$28-Einstellungen!$B$27)*100))))/2/100*Einstellungen!$B$7+IF($V24="",0,$V24/100)*Einstellungen!$B$8+IF($R24="",0,MAX(0,MIN(100,(Einstellungen!$B$32-$R24)/(Einstellungen!$B$32-Einstellungen!$B$31)*100)))/100*Einstellungen!$B$9+IF($D24="",0,$D24/5*100)/100*Einstellungen!$B$10+IF($AD24="",0,$AD24)/100*Einstellungen!$B$11+IF($U24="",0,$U24/5*100)/100*Einstellungen!$B$12,0))</f>
        <v/>
      </c>
      <c r="AA24">
        <f>IF($X24="","",$X24*1000000000000+IF($G24="",0,$G24)*1000000+IF($H24="",0,$H24)*1000+IF($I24="",0,$I24)+IF($N24="",0,MAX(0,1000-$N24))/1000+IF($A24="",0,$A24)/1000000)</f>
        <v/>
      </c>
      <c r="AB24">
        <f>IF($Y24="","",_xludf.RANK.EQ($Y24,$Y$2:$Y$201,0))</f>
        <v/>
      </c>
    </row>
    <row r="25">
      <c r="T25">
        <f>IFERROR(IF($Q25="","",$Q25/$H25),"")</f>
        <v/>
      </c>
      <c r="U25">
        <f>IFERROR(IF($Q25="","",$Q25/$G25),"")</f>
        <v/>
      </c>
      <c r="Y25">
        <f>IF(AND($L25="",$N25="",$P25=""),"",ROUND((IF($L25="",0,IF($L25&lt;=Einstellungen!$B$16,100,IF($L25&lt;=Einstellungen!$C$16,80+(100-80)*(Einstellungen!$C$16-$L25)/(Einstellungen!$C$16-Einstellungen!$B$16),IF($L25&lt;=Einstellungen!$D$16,80*(Einstellungen!$D$16-$L25)/(Einstellungen!$D$16-Einstellungen!$C$16),0))))*Einstellungen!$E$16+IF($N25="",0,IF($N25&lt;=Einstellungen!$B$17,100,IF($N25&lt;=Einstellungen!$C$17,80+(100-80)*(Einstellungen!$C$17-$N25)/(Einstellungen!$C$17-Einstellungen!$B$17),IF($N25&lt;=Einstellungen!$D$17,80*(Einstellungen!$D$17-$N25)/(Einstellungen!$D$17-Einstellungen!$C$17),0))))*Einstellungen!$E$17+IF($P25="",0,IF($P25&lt;=Einstellungen!$B$18,100,IF($P25&lt;=Einstellungen!$C$18,80+(100-80)*(Einstellungen!$C$18-$P25)/(Einstellungen!$C$18-Einstellungen!$B$18),IF($P25&lt;=Einstellungen!$D$18,80*(Einstellungen!$D$18-$P25)/(Einstellungen!$D$18-Einstellungen!$C$18),0))))*Einstellungen!$E$18)/(Einstellungen!$E$16+Einstellungen!$E$17+Einstellungen!$E$18),0))</f>
        <v/>
      </c>
      <c r="Z25">
        <f>IF(AND($E25="",$D25="",$G25="",$V25="",$Q25="",$T25="",$W25="",$U25=""),"",ROUND(IF($E25="",0,IF($E25&lt;Einstellungen!$B$21,0,IF($E25&gt;=Einstellungen!$B$22,100,($E25-Einstellungen!$B$21)/(Einstellungen!$B$22-Einstellungen!$B$21)*100)))/100*Einstellungen!$B$5+IF($W25="",0,$W25/100)*Einstellungen!$B$6+(IF($G25="",0,MAX(0,MIN(100,($G25-Einstellungen!$B$25)/(Einstellungen!$B$26-Einstellungen!$B$25)*100)))+IF($I25="",0,MAX(0,MIN(100,($I25-Einstellungen!$B$27)/(Einstellungen!$B$28-Einstellungen!$B$27)*100))))/2/100*Einstellungen!$B$7+IF($V25="",0,$V25/100)*Einstellungen!$B$8+IF($R25="",0,MAX(0,MIN(100,(Einstellungen!$B$32-$R25)/(Einstellungen!$B$32-Einstellungen!$B$31)*100)))/100*Einstellungen!$B$9+IF($D25="",0,$D25/5*100)/100*Einstellungen!$B$10+IF($AD25="",0,$AD25)/100*Einstellungen!$B$11+IF($U25="",0,$U25/5*100)/100*Einstellungen!$B$12,0))</f>
        <v/>
      </c>
      <c r="AA25">
        <f>IF($X25="","",$X25*1000000000000+IF($G25="",0,$G25)*1000000+IF($H25="",0,$H25)*1000+IF($I25="",0,$I25)+IF($N25="",0,MAX(0,1000-$N25))/1000+IF($A25="",0,$A25)/1000000)</f>
        <v/>
      </c>
      <c r="AB25">
        <f>IF($Y25="","",_xludf.RANK.EQ($Y25,$Y$2:$Y$201,0))</f>
        <v/>
      </c>
    </row>
    <row r="26">
      <c r="T26">
        <f>IFERROR(IF($Q26="","",$Q26/$H26),"")</f>
        <v/>
      </c>
      <c r="U26">
        <f>IFERROR(IF($Q26="","",$Q26/$G26),"")</f>
        <v/>
      </c>
      <c r="Y26">
        <f>IF(AND($L26="",$N26="",$P26=""),"",ROUND((IF($L26="",0,IF($L26&lt;=Einstellungen!$B$16,100,IF($L26&lt;=Einstellungen!$C$16,80+(100-80)*(Einstellungen!$C$16-$L26)/(Einstellungen!$C$16-Einstellungen!$B$16),IF($L26&lt;=Einstellungen!$D$16,80*(Einstellungen!$D$16-$L26)/(Einstellungen!$D$16-Einstellungen!$C$16),0))))*Einstellungen!$E$16+IF($N26="",0,IF($N26&lt;=Einstellungen!$B$17,100,IF($N26&lt;=Einstellungen!$C$17,80+(100-80)*(Einstellungen!$C$17-$N26)/(Einstellungen!$C$17-Einstellungen!$B$17),IF($N26&lt;=Einstellungen!$D$17,80*(Einstellungen!$D$17-$N26)/(Einstellungen!$D$17-Einstellungen!$C$17),0))))*Einstellungen!$E$17+IF($P26="",0,IF($P26&lt;=Einstellungen!$B$18,100,IF($P26&lt;=Einstellungen!$C$18,80+(100-80)*(Einstellungen!$C$18-$P26)/(Einstellungen!$C$18-Einstellungen!$B$18),IF($P26&lt;=Einstellungen!$D$18,80*(Einstellungen!$D$18-$P26)/(Einstellungen!$D$18-Einstellungen!$C$18),0))))*Einstellungen!$E$18)/(Einstellungen!$E$16+Einstellungen!$E$17+Einstellungen!$E$18),0))</f>
        <v/>
      </c>
      <c r="Z26">
        <f>IF(AND($E26="",$D26="",$G26="",$V26="",$Q26="",$T26="",$W26="",$U26=""),"",ROUND(IF($E26="",0,IF($E26&lt;Einstellungen!$B$21,0,IF($E26&gt;=Einstellungen!$B$22,100,($E26-Einstellungen!$B$21)/(Einstellungen!$B$22-Einstellungen!$B$21)*100)))/100*Einstellungen!$B$5+IF($W26="",0,$W26/100)*Einstellungen!$B$6+(IF($G26="",0,MAX(0,MIN(100,($G26-Einstellungen!$B$25)/(Einstellungen!$B$26-Einstellungen!$B$25)*100)))+IF($I26="",0,MAX(0,MIN(100,($I26-Einstellungen!$B$27)/(Einstellungen!$B$28-Einstellungen!$B$27)*100))))/2/100*Einstellungen!$B$7+IF($V26="",0,$V26/100)*Einstellungen!$B$8+IF($R26="",0,MAX(0,MIN(100,(Einstellungen!$B$32-$R26)/(Einstellungen!$B$32-Einstellungen!$B$31)*100)))/100*Einstellungen!$B$9+IF($D26="",0,$D26/5*100)/100*Einstellungen!$B$10+IF($AD26="",0,$AD26)/100*Einstellungen!$B$11+IF($U26="",0,$U26/5*100)/100*Einstellungen!$B$12,0))</f>
        <v/>
      </c>
      <c r="AA26">
        <f>IF($X26="","",$X26*1000000000000+IF($G26="",0,$G26)*1000000+IF($H26="",0,$H26)*1000+IF($I26="",0,$I26)+IF($N26="",0,MAX(0,1000-$N26))/1000+IF($A26="",0,$A26)/1000000)</f>
        <v/>
      </c>
      <c r="AB26">
        <f>IF($Y26="","",_xludf.RANK.EQ($Y26,$Y$2:$Y$201,0))</f>
        <v/>
      </c>
    </row>
    <row r="27">
      <c r="T27">
        <f>IFERROR(IF($Q27="","",$Q27/$H27),"")</f>
        <v/>
      </c>
      <c r="U27">
        <f>IFERROR(IF($Q27="","",$Q27/$G27),"")</f>
        <v/>
      </c>
      <c r="Y27">
        <f>IF(AND($L27="",$N27="",$P27=""),"",ROUND((IF($L27="",0,IF($L27&lt;=Einstellungen!$B$16,100,IF($L27&lt;=Einstellungen!$C$16,80+(100-80)*(Einstellungen!$C$16-$L27)/(Einstellungen!$C$16-Einstellungen!$B$16),IF($L27&lt;=Einstellungen!$D$16,80*(Einstellungen!$D$16-$L27)/(Einstellungen!$D$16-Einstellungen!$C$16),0))))*Einstellungen!$E$16+IF($N27="",0,IF($N27&lt;=Einstellungen!$B$17,100,IF($N27&lt;=Einstellungen!$C$17,80+(100-80)*(Einstellungen!$C$17-$N27)/(Einstellungen!$C$17-Einstellungen!$B$17),IF($N27&lt;=Einstellungen!$D$17,80*(Einstellungen!$D$17-$N27)/(Einstellungen!$D$17-Einstellungen!$C$17),0))))*Einstellungen!$E$17+IF($P27="",0,IF($P27&lt;=Einstellungen!$B$18,100,IF($P27&lt;=Einstellungen!$C$18,80+(100-80)*(Einstellungen!$C$18-$P27)/(Einstellungen!$C$18-Einstellungen!$B$18),IF($P27&lt;=Einstellungen!$D$18,80*(Einstellungen!$D$18-$P27)/(Einstellungen!$D$18-Einstellungen!$C$18),0))))*Einstellungen!$E$18)/(Einstellungen!$E$16+Einstellungen!$E$17+Einstellungen!$E$18),0))</f>
        <v/>
      </c>
      <c r="Z27">
        <f>IF(AND($E27="",$D27="",$G27="",$V27="",$Q27="",$T27="",$W27="",$U27=""),"",ROUND(IF($E27="",0,IF($E27&lt;Einstellungen!$B$21,0,IF($E27&gt;=Einstellungen!$B$22,100,($E27-Einstellungen!$B$21)/(Einstellungen!$B$22-Einstellungen!$B$21)*100)))/100*Einstellungen!$B$5+IF($W27="",0,$W27/100)*Einstellungen!$B$6+(IF($G27="",0,MAX(0,MIN(100,($G27-Einstellungen!$B$25)/(Einstellungen!$B$26-Einstellungen!$B$25)*100)))+IF($I27="",0,MAX(0,MIN(100,($I27-Einstellungen!$B$27)/(Einstellungen!$B$28-Einstellungen!$B$27)*100))))/2/100*Einstellungen!$B$7+IF($V27="",0,$V27/100)*Einstellungen!$B$8+IF($R27="",0,MAX(0,MIN(100,(Einstellungen!$B$32-$R27)/(Einstellungen!$B$32-Einstellungen!$B$31)*100)))/100*Einstellungen!$B$9+IF($D27="",0,$D27/5*100)/100*Einstellungen!$B$10+IF($AD27="",0,$AD27)/100*Einstellungen!$B$11+IF($U27="",0,$U27/5*100)/100*Einstellungen!$B$12,0))</f>
        <v/>
      </c>
      <c r="AA27">
        <f>IF($X27="","",$X27*1000000000000+IF($G27="",0,$G27)*1000000+IF($H27="",0,$H27)*1000+IF($I27="",0,$I27)+IF($N27="",0,MAX(0,1000-$N27))/1000+IF($A27="",0,$A27)/1000000)</f>
        <v/>
      </c>
      <c r="AB27">
        <f>IF($Y27="","",_xludf.RANK.EQ($Y27,$Y$2:$Y$201,0))</f>
        <v/>
      </c>
    </row>
    <row r="28">
      <c r="T28">
        <f>IFERROR(IF($Q28="","",$Q28/$H28),"")</f>
        <v/>
      </c>
      <c r="U28">
        <f>IFERROR(IF($Q28="","",$Q28/$G28),"")</f>
        <v/>
      </c>
      <c r="Y28">
        <f>IF(AND($L28="",$N28="",$P28=""),"",ROUND((IF($L28="",0,IF($L28&lt;=Einstellungen!$B$16,100,IF($L28&lt;=Einstellungen!$C$16,80+(100-80)*(Einstellungen!$C$16-$L28)/(Einstellungen!$C$16-Einstellungen!$B$16),IF($L28&lt;=Einstellungen!$D$16,80*(Einstellungen!$D$16-$L28)/(Einstellungen!$D$16-Einstellungen!$C$16),0))))*Einstellungen!$E$16+IF($N28="",0,IF($N28&lt;=Einstellungen!$B$17,100,IF($N28&lt;=Einstellungen!$C$17,80+(100-80)*(Einstellungen!$C$17-$N28)/(Einstellungen!$C$17-Einstellungen!$B$17),IF($N28&lt;=Einstellungen!$D$17,80*(Einstellungen!$D$17-$N28)/(Einstellungen!$D$17-Einstellungen!$C$17),0))))*Einstellungen!$E$17+IF($P28="",0,IF($P28&lt;=Einstellungen!$B$18,100,IF($P28&lt;=Einstellungen!$C$18,80+(100-80)*(Einstellungen!$C$18-$P28)/(Einstellungen!$C$18-Einstellungen!$B$18),IF($P28&lt;=Einstellungen!$D$18,80*(Einstellungen!$D$18-$P28)/(Einstellungen!$D$18-Einstellungen!$C$18),0))))*Einstellungen!$E$18)/(Einstellungen!$E$16+Einstellungen!$E$17+Einstellungen!$E$18),0))</f>
        <v/>
      </c>
      <c r="Z28">
        <f>IF(AND($E28="",$D28="",$G28="",$V28="",$Q28="",$T28="",$W28="",$U28=""),"",ROUND(IF($E28="",0,IF($E28&lt;Einstellungen!$B$21,0,IF($E28&gt;=Einstellungen!$B$22,100,($E28-Einstellungen!$B$21)/(Einstellungen!$B$22-Einstellungen!$B$21)*100)))/100*Einstellungen!$B$5+IF($W28="",0,$W28/100)*Einstellungen!$B$6+(IF($G28="",0,MAX(0,MIN(100,($G28-Einstellungen!$B$25)/(Einstellungen!$B$26-Einstellungen!$B$25)*100)))+IF($I28="",0,MAX(0,MIN(100,($I28-Einstellungen!$B$27)/(Einstellungen!$B$28-Einstellungen!$B$27)*100))))/2/100*Einstellungen!$B$7+IF($V28="",0,$V28/100)*Einstellungen!$B$8+IF($R28="",0,MAX(0,MIN(100,(Einstellungen!$B$32-$R28)/(Einstellungen!$B$32-Einstellungen!$B$31)*100)))/100*Einstellungen!$B$9+IF($D28="",0,$D28/5*100)/100*Einstellungen!$B$10+IF($AD28="",0,$AD28)/100*Einstellungen!$B$11+IF($U28="",0,$U28/5*100)/100*Einstellungen!$B$12,0))</f>
        <v/>
      </c>
      <c r="AA28">
        <f>IF($X28="","",$X28*1000000000000+IF($G28="",0,$G28)*1000000+IF($H28="",0,$H28)*1000+IF($I28="",0,$I28)+IF($N28="",0,MAX(0,1000-$N28))/1000+IF($A28="",0,$A28)/1000000)</f>
        <v/>
      </c>
      <c r="AB28">
        <f>IF($Y28="","",_xludf.RANK.EQ($Y28,$Y$2:$Y$201,0))</f>
        <v/>
      </c>
    </row>
    <row r="29">
      <c r="T29">
        <f>IFERROR(IF($Q29="","",$Q29/$H29),"")</f>
        <v/>
      </c>
      <c r="U29">
        <f>IFERROR(IF($Q29="","",$Q29/$G29),"")</f>
        <v/>
      </c>
      <c r="Y29">
        <f>IF(AND($L29="",$N29="",$P29=""),"",ROUND((IF($L29="",0,IF($L29&lt;=Einstellungen!$B$16,100,IF($L29&lt;=Einstellungen!$C$16,80+(100-80)*(Einstellungen!$C$16-$L29)/(Einstellungen!$C$16-Einstellungen!$B$16),IF($L29&lt;=Einstellungen!$D$16,80*(Einstellungen!$D$16-$L29)/(Einstellungen!$D$16-Einstellungen!$C$16),0))))*Einstellungen!$E$16+IF($N29="",0,IF($N29&lt;=Einstellungen!$B$17,100,IF($N29&lt;=Einstellungen!$C$17,80+(100-80)*(Einstellungen!$C$17-$N29)/(Einstellungen!$C$17-Einstellungen!$B$17),IF($N29&lt;=Einstellungen!$D$17,80*(Einstellungen!$D$17-$N29)/(Einstellungen!$D$17-Einstellungen!$C$17),0))))*Einstellungen!$E$17+IF($P29="",0,IF($P29&lt;=Einstellungen!$B$18,100,IF($P29&lt;=Einstellungen!$C$18,80+(100-80)*(Einstellungen!$C$18-$P29)/(Einstellungen!$C$18-Einstellungen!$B$18),IF($P29&lt;=Einstellungen!$D$18,80*(Einstellungen!$D$18-$P29)/(Einstellungen!$D$18-Einstellungen!$C$18),0))))*Einstellungen!$E$18)/(Einstellungen!$E$16+Einstellungen!$E$17+Einstellungen!$E$18),0))</f>
        <v/>
      </c>
      <c r="Z29">
        <f>IF(AND($E29="",$D29="",$G29="",$V29="",$Q29="",$T29="",$W29="",$U29=""),"",ROUND(IF($E29="",0,IF($E29&lt;Einstellungen!$B$21,0,IF($E29&gt;=Einstellungen!$B$22,100,($E29-Einstellungen!$B$21)/(Einstellungen!$B$22-Einstellungen!$B$21)*100)))/100*Einstellungen!$B$5+IF($W29="",0,$W29/100)*Einstellungen!$B$6+(IF($G29="",0,MAX(0,MIN(100,($G29-Einstellungen!$B$25)/(Einstellungen!$B$26-Einstellungen!$B$25)*100)))+IF($I29="",0,MAX(0,MIN(100,($I29-Einstellungen!$B$27)/(Einstellungen!$B$28-Einstellungen!$B$27)*100))))/2/100*Einstellungen!$B$7+IF($V29="",0,$V29/100)*Einstellungen!$B$8+IF($R29="",0,MAX(0,MIN(100,(Einstellungen!$B$32-$R29)/(Einstellungen!$B$32-Einstellungen!$B$31)*100)))/100*Einstellungen!$B$9+IF($D29="",0,$D29/5*100)/100*Einstellungen!$B$10+IF($AD29="",0,$AD29)/100*Einstellungen!$B$11+IF($U29="",0,$U29/5*100)/100*Einstellungen!$B$12,0))</f>
        <v/>
      </c>
      <c r="AA29">
        <f>IF($X29="","",$X29*1000000000000+IF($G29="",0,$G29)*1000000+IF($H29="",0,$H29)*1000+IF($I29="",0,$I29)+IF($N29="",0,MAX(0,1000-$N29))/1000+IF($A29="",0,$A29)/1000000)</f>
        <v/>
      </c>
      <c r="AB29">
        <f>IF($Y29="","",_xludf.RANK.EQ($Y29,$Y$2:$Y$201,0))</f>
        <v/>
      </c>
    </row>
    <row r="30">
      <c r="T30">
        <f>IFERROR(IF($Q30="","",$Q30/$H30),"")</f>
        <v/>
      </c>
      <c r="U30">
        <f>IFERROR(IF($Q30="","",$Q30/$G30),"")</f>
        <v/>
      </c>
      <c r="Y30">
        <f>IF(AND($L30="",$N30="",$P30=""),"",ROUND((IF($L30="",0,IF($L30&lt;=Einstellungen!$B$16,100,IF($L30&lt;=Einstellungen!$C$16,80+(100-80)*(Einstellungen!$C$16-$L30)/(Einstellungen!$C$16-Einstellungen!$B$16),IF($L30&lt;=Einstellungen!$D$16,80*(Einstellungen!$D$16-$L30)/(Einstellungen!$D$16-Einstellungen!$C$16),0))))*Einstellungen!$E$16+IF($N30="",0,IF($N30&lt;=Einstellungen!$B$17,100,IF($N30&lt;=Einstellungen!$C$17,80+(100-80)*(Einstellungen!$C$17-$N30)/(Einstellungen!$C$17-Einstellungen!$B$17),IF($N30&lt;=Einstellungen!$D$17,80*(Einstellungen!$D$17-$N30)/(Einstellungen!$D$17-Einstellungen!$C$17),0))))*Einstellungen!$E$17+IF($P30="",0,IF($P30&lt;=Einstellungen!$B$18,100,IF($P30&lt;=Einstellungen!$C$18,80+(100-80)*(Einstellungen!$C$18-$P30)/(Einstellungen!$C$18-Einstellungen!$B$18),IF($P30&lt;=Einstellungen!$D$18,80*(Einstellungen!$D$18-$P30)/(Einstellungen!$D$18-Einstellungen!$C$18),0))))*Einstellungen!$E$18)/(Einstellungen!$E$16+Einstellungen!$E$17+Einstellungen!$E$18),0))</f>
        <v/>
      </c>
      <c r="Z30">
        <f>IF(AND($E30="",$D30="",$G30="",$V30="",$Q30="",$T30="",$W30="",$U30=""),"",ROUND(IF($E30="",0,IF($E30&lt;Einstellungen!$B$21,0,IF($E30&gt;=Einstellungen!$B$22,100,($E30-Einstellungen!$B$21)/(Einstellungen!$B$22-Einstellungen!$B$21)*100)))/100*Einstellungen!$B$5+IF($W30="",0,$W30/100)*Einstellungen!$B$6+(IF($G30="",0,MAX(0,MIN(100,($G30-Einstellungen!$B$25)/(Einstellungen!$B$26-Einstellungen!$B$25)*100)))+IF($I30="",0,MAX(0,MIN(100,($I30-Einstellungen!$B$27)/(Einstellungen!$B$28-Einstellungen!$B$27)*100))))/2/100*Einstellungen!$B$7+IF($V30="",0,$V30/100)*Einstellungen!$B$8+IF($R30="",0,MAX(0,MIN(100,(Einstellungen!$B$32-$R30)/(Einstellungen!$B$32-Einstellungen!$B$31)*100)))/100*Einstellungen!$B$9+IF($D30="",0,$D30/5*100)/100*Einstellungen!$B$10+IF($AD30="",0,$AD30)/100*Einstellungen!$B$11+IF($U30="",0,$U30/5*100)/100*Einstellungen!$B$12,0))</f>
        <v/>
      </c>
      <c r="AA30">
        <f>IF($X30="","",$X30*1000000000000+IF($G30="",0,$G30)*1000000+IF($H30="",0,$H30)*1000+IF($I30="",0,$I30)+IF($N30="",0,MAX(0,1000-$N30))/1000+IF($A30="",0,$A30)/1000000)</f>
        <v/>
      </c>
      <c r="AB30">
        <f>IF($Y30="","",_xludf.RANK.EQ($Y30,$Y$2:$Y$201,0))</f>
        <v/>
      </c>
    </row>
    <row r="31">
      <c r="T31">
        <f>IFERROR(IF($Q31="","",$Q31/$H31),"")</f>
        <v/>
      </c>
      <c r="U31">
        <f>IFERROR(IF($Q31="","",$Q31/$G31),"")</f>
        <v/>
      </c>
      <c r="Y31">
        <f>IF(AND($L31="",$N31="",$P31=""),"",ROUND((IF($L31="",0,IF($L31&lt;=Einstellungen!$B$16,100,IF($L31&lt;=Einstellungen!$C$16,80+(100-80)*(Einstellungen!$C$16-$L31)/(Einstellungen!$C$16-Einstellungen!$B$16),IF($L31&lt;=Einstellungen!$D$16,80*(Einstellungen!$D$16-$L31)/(Einstellungen!$D$16-Einstellungen!$C$16),0))))*Einstellungen!$E$16+IF($N31="",0,IF($N31&lt;=Einstellungen!$B$17,100,IF($N31&lt;=Einstellungen!$C$17,80+(100-80)*(Einstellungen!$C$17-$N31)/(Einstellungen!$C$17-Einstellungen!$B$17),IF($N31&lt;=Einstellungen!$D$17,80*(Einstellungen!$D$17-$N31)/(Einstellungen!$D$17-Einstellungen!$C$17),0))))*Einstellungen!$E$17+IF($P31="",0,IF($P31&lt;=Einstellungen!$B$18,100,IF($P31&lt;=Einstellungen!$C$18,80+(100-80)*(Einstellungen!$C$18-$P31)/(Einstellungen!$C$18-Einstellungen!$B$18),IF($P31&lt;=Einstellungen!$D$18,80*(Einstellungen!$D$18-$P31)/(Einstellungen!$D$18-Einstellungen!$C$18),0))))*Einstellungen!$E$18)/(Einstellungen!$E$16+Einstellungen!$E$17+Einstellungen!$E$18),0))</f>
        <v/>
      </c>
      <c r="Z31">
        <f>IF(AND($E31="",$D31="",$G31="",$V31="",$Q31="",$T31="",$W31="",$U31=""),"",ROUND(IF($E31="",0,IF($E31&lt;Einstellungen!$B$21,0,IF($E31&gt;=Einstellungen!$B$22,100,($E31-Einstellungen!$B$21)/(Einstellungen!$B$22-Einstellungen!$B$21)*100)))/100*Einstellungen!$B$5+IF($W31="",0,$W31/100)*Einstellungen!$B$6+(IF($G31="",0,MAX(0,MIN(100,($G31-Einstellungen!$B$25)/(Einstellungen!$B$26-Einstellungen!$B$25)*100)))+IF($I31="",0,MAX(0,MIN(100,($I31-Einstellungen!$B$27)/(Einstellungen!$B$28-Einstellungen!$B$27)*100))))/2/100*Einstellungen!$B$7+IF($V31="",0,$V31/100)*Einstellungen!$B$8+IF($R31="",0,MAX(0,MIN(100,(Einstellungen!$B$32-$R31)/(Einstellungen!$B$32-Einstellungen!$B$31)*100)))/100*Einstellungen!$B$9+IF($D31="",0,$D31/5*100)/100*Einstellungen!$B$10+IF($AD31="",0,$AD31)/100*Einstellungen!$B$11+IF($U31="",0,$U31/5*100)/100*Einstellungen!$B$12,0))</f>
        <v/>
      </c>
      <c r="AA31">
        <f>IF($X31="","",$X31*1000000000000+IF($G31="",0,$G31)*1000000+IF($H31="",0,$H31)*1000+IF($I31="",0,$I31)+IF($N31="",0,MAX(0,1000-$N31))/1000+IF($A31="",0,$A31)/1000000)</f>
        <v/>
      </c>
      <c r="AB31">
        <f>IF($Y31="","",_xludf.RANK.EQ($Y31,$Y$2:$Y$201,0))</f>
        <v/>
      </c>
    </row>
    <row r="32">
      <c r="T32">
        <f>IFERROR(IF($Q32="","",$Q32/$H32),"")</f>
        <v/>
      </c>
      <c r="U32">
        <f>IFERROR(IF($Q32="","",$Q32/$G32),"")</f>
        <v/>
      </c>
      <c r="Y32">
        <f>IF(AND($L32="",$N32="",$P32=""),"",ROUND((IF($L32="",0,IF($L32&lt;=Einstellungen!$B$16,100,IF($L32&lt;=Einstellungen!$C$16,80+(100-80)*(Einstellungen!$C$16-$L32)/(Einstellungen!$C$16-Einstellungen!$B$16),IF($L32&lt;=Einstellungen!$D$16,80*(Einstellungen!$D$16-$L32)/(Einstellungen!$D$16-Einstellungen!$C$16),0))))*Einstellungen!$E$16+IF($N32="",0,IF($N32&lt;=Einstellungen!$B$17,100,IF($N32&lt;=Einstellungen!$C$17,80+(100-80)*(Einstellungen!$C$17-$N32)/(Einstellungen!$C$17-Einstellungen!$B$17),IF($N32&lt;=Einstellungen!$D$17,80*(Einstellungen!$D$17-$N32)/(Einstellungen!$D$17-Einstellungen!$C$17),0))))*Einstellungen!$E$17+IF($P32="",0,IF($P32&lt;=Einstellungen!$B$18,100,IF($P32&lt;=Einstellungen!$C$18,80+(100-80)*(Einstellungen!$C$18-$P32)/(Einstellungen!$C$18-Einstellungen!$B$18),IF($P32&lt;=Einstellungen!$D$18,80*(Einstellungen!$D$18-$P32)/(Einstellungen!$D$18-Einstellungen!$C$18),0))))*Einstellungen!$E$18)/(Einstellungen!$E$16+Einstellungen!$E$17+Einstellungen!$E$18),0))</f>
        <v/>
      </c>
      <c r="Z32">
        <f>IF(AND($E32="",$D32="",$G32="",$V32="",$Q32="",$T32="",$W32="",$U32=""),"",ROUND(IF($E32="",0,IF($E32&lt;Einstellungen!$B$21,0,IF($E32&gt;=Einstellungen!$B$22,100,($E32-Einstellungen!$B$21)/(Einstellungen!$B$22-Einstellungen!$B$21)*100)))/100*Einstellungen!$B$5+IF($W32="",0,$W32/100)*Einstellungen!$B$6+(IF($G32="",0,MAX(0,MIN(100,($G32-Einstellungen!$B$25)/(Einstellungen!$B$26-Einstellungen!$B$25)*100)))+IF($I32="",0,MAX(0,MIN(100,($I32-Einstellungen!$B$27)/(Einstellungen!$B$28-Einstellungen!$B$27)*100))))/2/100*Einstellungen!$B$7+IF($V32="",0,$V32/100)*Einstellungen!$B$8+IF($R32="",0,MAX(0,MIN(100,(Einstellungen!$B$32-$R32)/(Einstellungen!$B$32-Einstellungen!$B$31)*100)))/100*Einstellungen!$B$9+IF($D32="",0,$D32/5*100)/100*Einstellungen!$B$10+IF($AD32="",0,$AD32)/100*Einstellungen!$B$11+IF($U32="",0,$U32/5*100)/100*Einstellungen!$B$12,0))</f>
        <v/>
      </c>
      <c r="AA32">
        <f>IF($X32="","",$X32*1000000000000+IF($G32="",0,$G32)*1000000+IF($H32="",0,$H32)*1000+IF($I32="",0,$I32)+IF($N32="",0,MAX(0,1000-$N32))/1000+IF($A32="",0,$A32)/1000000)</f>
        <v/>
      </c>
      <c r="AB32">
        <f>IF($Y32="","",_xludf.RANK.EQ($Y32,$Y$2:$Y$201,0))</f>
        <v/>
      </c>
    </row>
    <row r="33">
      <c r="T33">
        <f>IFERROR(IF($Q33="","",$Q33/$H33),"")</f>
        <v/>
      </c>
      <c r="U33">
        <f>IFERROR(IF($Q33="","",$Q33/$G33),"")</f>
        <v/>
      </c>
      <c r="Y33">
        <f>IF(AND($L33="",$N33="",$P33=""),"",ROUND((IF($L33="",0,IF($L33&lt;=Einstellungen!$B$16,100,IF($L33&lt;=Einstellungen!$C$16,80+(100-80)*(Einstellungen!$C$16-$L33)/(Einstellungen!$C$16-Einstellungen!$B$16),IF($L33&lt;=Einstellungen!$D$16,80*(Einstellungen!$D$16-$L33)/(Einstellungen!$D$16-Einstellungen!$C$16),0))))*Einstellungen!$E$16+IF($N33="",0,IF($N33&lt;=Einstellungen!$B$17,100,IF($N33&lt;=Einstellungen!$C$17,80+(100-80)*(Einstellungen!$C$17-$N33)/(Einstellungen!$C$17-Einstellungen!$B$17),IF($N33&lt;=Einstellungen!$D$17,80*(Einstellungen!$D$17-$N33)/(Einstellungen!$D$17-Einstellungen!$C$17),0))))*Einstellungen!$E$17+IF($P33="",0,IF($P33&lt;=Einstellungen!$B$18,100,IF($P33&lt;=Einstellungen!$C$18,80+(100-80)*(Einstellungen!$C$18-$P33)/(Einstellungen!$C$18-Einstellungen!$B$18),IF($P33&lt;=Einstellungen!$D$18,80*(Einstellungen!$D$18-$P33)/(Einstellungen!$D$18-Einstellungen!$C$18),0))))*Einstellungen!$E$18)/(Einstellungen!$E$16+Einstellungen!$E$17+Einstellungen!$E$18),0))</f>
        <v/>
      </c>
      <c r="Z33">
        <f>IF(AND($E33="",$D33="",$G33="",$V33="",$Q33="",$T33="",$W33="",$U33=""),"",ROUND(IF($E33="",0,IF($E33&lt;Einstellungen!$B$21,0,IF($E33&gt;=Einstellungen!$B$22,100,($E33-Einstellungen!$B$21)/(Einstellungen!$B$22-Einstellungen!$B$21)*100)))/100*Einstellungen!$B$5+IF($W33="",0,$W33/100)*Einstellungen!$B$6+(IF($G33="",0,MAX(0,MIN(100,($G33-Einstellungen!$B$25)/(Einstellungen!$B$26-Einstellungen!$B$25)*100)))+IF($I33="",0,MAX(0,MIN(100,($I33-Einstellungen!$B$27)/(Einstellungen!$B$28-Einstellungen!$B$27)*100))))/2/100*Einstellungen!$B$7+IF($V33="",0,$V33/100)*Einstellungen!$B$8+IF($R33="",0,MAX(0,MIN(100,(Einstellungen!$B$32-$R33)/(Einstellungen!$B$32-Einstellungen!$B$31)*100)))/100*Einstellungen!$B$9+IF($D33="",0,$D33/5*100)/100*Einstellungen!$B$10+IF($AD33="",0,$AD33)/100*Einstellungen!$B$11+IF($U33="",0,$U33/5*100)/100*Einstellungen!$B$12,0))</f>
        <v/>
      </c>
      <c r="AA33">
        <f>IF($X33="","",$X33*1000000000000+IF($G33="",0,$G33)*1000000+IF($H33="",0,$H33)*1000+IF($I33="",0,$I33)+IF($N33="",0,MAX(0,1000-$N33))/1000+IF($A33="",0,$A33)/1000000)</f>
        <v/>
      </c>
      <c r="AB33">
        <f>IF($Y33="","",_xludf.RANK.EQ($Y33,$Y$2:$Y$201,0))</f>
        <v/>
      </c>
    </row>
    <row r="34">
      <c r="T34">
        <f>IFERROR(IF($Q34="","",$Q34/$H34),"")</f>
        <v/>
      </c>
      <c r="U34">
        <f>IFERROR(IF($Q34="","",$Q34/$G34),"")</f>
        <v/>
      </c>
      <c r="Y34">
        <f>IF(AND($L34="",$N34="",$P34=""),"",ROUND((IF($L34="",0,IF($L34&lt;=Einstellungen!$B$16,100,IF($L34&lt;=Einstellungen!$C$16,80+(100-80)*(Einstellungen!$C$16-$L34)/(Einstellungen!$C$16-Einstellungen!$B$16),IF($L34&lt;=Einstellungen!$D$16,80*(Einstellungen!$D$16-$L34)/(Einstellungen!$D$16-Einstellungen!$C$16),0))))*Einstellungen!$E$16+IF($N34="",0,IF($N34&lt;=Einstellungen!$B$17,100,IF($N34&lt;=Einstellungen!$C$17,80+(100-80)*(Einstellungen!$C$17-$N34)/(Einstellungen!$C$17-Einstellungen!$B$17),IF($N34&lt;=Einstellungen!$D$17,80*(Einstellungen!$D$17-$N34)/(Einstellungen!$D$17-Einstellungen!$C$17),0))))*Einstellungen!$E$17+IF($P34="",0,IF($P34&lt;=Einstellungen!$B$18,100,IF($P34&lt;=Einstellungen!$C$18,80+(100-80)*(Einstellungen!$C$18-$P34)/(Einstellungen!$C$18-Einstellungen!$B$18),IF($P34&lt;=Einstellungen!$D$18,80*(Einstellungen!$D$18-$P34)/(Einstellungen!$D$18-Einstellungen!$C$18),0))))*Einstellungen!$E$18)/(Einstellungen!$E$16+Einstellungen!$E$17+Einstellungen!$E$18),0))</f>
        <v/>
      </c>
      <c r="Z34">
        <f>IF(AND($E34="",$D34="",$G34="",$V34="",$Q34="",$T34="",$W34="",$U34=""),"",ROUND(IF($E34="",0,IF($E34&lt;Einstellungen!$B$21,0,IF($E34&gt;=Einstellungen!$B$22,100,($E34-Einstellungen!$B$21)/(Einstellungen!$B$22-Einstellungen!$B$21)*100)))/100*Einstellungen!$B$5+IF($W34="",0,$W34/100)*Einstellungen!$B$6+(IF($G34="",0,MAX(0,MIN(100,($G34-Einstellungen!$B$25)/(Einstellungen!$B$26-Einstellungen!$B$25)*100)))+IF($I34="",0,MAX(0,MIN(100,($I34-Einstellungen!$B$27)/(Einstellungen!$B$28-Einstellungen!$B$27)*100))))/2/100*Einstellungen!$B$7+IF($V34="",0,$V34/100)*Einstellungen!$B$8+IF($R34="",0,MAX(0,MIN(100,(Einstellungen!$B$32-$R34)/(Einstellungen!$B$32-Einstellungen!$B$31)*100)))/100*Einstellungen!$B$9+IF($D34="",0,$D34/5*100)/100*Einstellungen!$B$10+IF($AD34="",0,$AD34)/100*Einstellungen!$B$11+IF($U34="",0,$U34/5*100)/100*Einstellungen!$B$12,0))</f>
        <v/>
      </c>
      <c r="AA34">
        <f>IF($X34="","",$X34*1000000000000+IF($G34="",0,$G34)*1000000+IF($H34="",0,$H34)*1000+IF($I34="",0,$I34)+IF($N34="",0,MAX(0,1000-$N34))/1000+IF($A34="",0,$A34)/1000000)</f>
        <v/>
      </c>
      <c r="AB34">
        <f>IF($Y34="","",_xludf.RANK.EQ($Y34,$Y$2:$Y$201,0))</f>
        <v/>
      </c>
    </row>
    <row r="35">
      <c r="T35">
        <f>IFERROR(IF($Q35="","",$Q35/$H35),"")</f>
        <v/>
      </c>
      <c r="U35">
        <f>IFERROR(IF($Q35="","",$Q35/$G35),"")</f>
        <v/>
      </c>
      <c r="Y35">
        <f>IF(AND($L35="",$N35="",$P35=""),"",ROUND((IF($L35="",0,IF($L35&lt;=Einstellungen!$B$16,100,IF($L35&lt;=Einstellungen!$C$16,80+(100-80)*(Einstellungen!$C$16-$L35)/(Einstellungen!$C$16-Einstellungen!$B$16),IF($L35&lt;=Einstellungen!$D$16,80*(Einstellungen!$D$16-$L35)/(Einstellungen!$D$16-Einstellungen!$C$16),0))))*Einstellungen!$E$16+IF($N35="",0,IF($N35&lt;=Einstellungen!$B$17,100,IF($N35&lt;=Einstellungen!$C$17,80+(100-80)*(Einstellungen!$C$17-$N35)/(Einstellungen!$C$17-Einstellungen!$B$17),IF($N35&lt;=Einstellungen!$D$17,80*(Einstellungen!$D$17-$N35)/(Einstellungen!$D$17-Einstellungen!$C$17),0))))*Einstellungen!$E$17+IF($P35="",0,IF($P35&lt;=Einstellungen!$B$18,100,IF($P35&lt;=Einstellungen!$C$18,80+(100-80)*(Einstellungen!$C$18-$P35)/(Einstellungen!$C$18-Einstellungen!$B$18),IF($P35&lt;=Einstellungen!$D$18,80*(Einstellungen!$D$18-$P35)/(Einstellungen!$D$18-Einstellungen!$C$18),0))))*Einstellungen!$E$18)/(Einstellungen!$E$16+Einstellungen!$E$17+Einstellungen!$E$18),0))</f>
        <v/>
      </c>
      <c r="Z35">
        <f>IF(AND($E35="",$D35="",$G35="",$V35="",$Q35="",$T35="",$W35="",$U35=""),"",ROUND(IF($E35="",0,IF($E35&lt;Einstellungen!$B$21,0,IF($E35&gt;=Einstellungen!$B$22,100,($E35-Einstellungen!$B$21)/(Einstellungen!$B$22-Einstellungen!$B$21)*100)))/100*Einstellungen!$B$5+IF($W35="",0,$W35/100)*Einstellungen!$B$6+(IF($G35="",0,MAX(0,MIN(100,($G35-Einstellungen!$B$25)/(Einstellungen!$B$26-Einstellungen!$B$25)*100)))+IF($I35="",0,MAX(0,MIN(100,($I35-Einstellungen!$B$27)/(Einstellungen!$B$28-Einstellungen!$B$27)*100))))/2/100*Einstellungen!$B$7+IF($V35="",0,$V35/100)*Einstellungen!$B$8+IF($R35="",0,MAX(0,MIN(100,(Einstellungen!$B$32-$R35)/(Einstellungen!$B$32-Einstellungen!$B$31)*100)))/100*Einstellungen!$B$9+IF($D35="",0,$D35/5*100)/100*Einstellungen!$B$10+IF($AD35="",0,$AD35)/100*Einstellungen!$B$11+IF($U35="",0,$U35/5*100)/100*Einstellungen!$B$12,0))</f>
        <v/>
      </c>
      <c r="AA35">
        <f>IF($X35="","",$X35*1000000000000+IF($G35="",0,$G35)*1000000+IF($H35="",0,$H35)*1000+IF($I35="",0,$I35)+IF($N35="",0,MAX(0,1000-$N35))/1000+IF($A35="",0,$A35)/1000000)</f>
        <v/>
      </c>
      <c r="AB35">
        <f>IF($Y35="","",_xludf.RANK.EQ($Y35,$Y$2:$Y$201,0))</f>
        <v/>
      </c>
    </row>
    <row r="36">
      <c r="T36">
        <f>IFERROR(IF($Q36="","",$Q36/$H36),"")</f>
        <v/>
      </c>
      <c r="U36">
        <f>IFERROR(IF($Q36="","",$Q36/$G36),"")</f>
        <v/>
      </c>
      <c r="Y36">
        <f>IF(AND($L36="",$N36="",$P36=""),"",ROUND((IF($L36="",0,IF($L36&lt;=Einstellungen!$B$16,100,IF($L36&lt;=Einstellungen!$C$16,80+(100-80)*(Einstellungen!$C$16-$L36)/(Einstellungen!$C$16-Einstellungen!$B$16),IF($L36&lt;=Einstellungen!$D$16,80*(Einstellungen!$D$16-$L36)/(Einstellungen!$D$16-Einstellungen!$C$16),0))))*Einstellungen!$E$16+IF($N36="",0,IF($N36&lt;=Einstellungen!$B$17,100,IF($N36&lt;=Einstellungen!$C$17,80+(100-80)*(Einstellungen!$C$17-$N36)/(Einstellungen!$C$17-Einstellungen!$B$17),IF($N36&lt;=Einstellungen!$D$17,80*(Einstellungen!$D$17-$N36)/(Einstellungen!$D$17-Einstellungen!$C$17),0))))*Einstellungen!$E$17+IF($P36="",0,IF($P36&lt;=Einstellungen!$B$18,100,IF($P36&lt;=Einstellungen!$C$18,80+(100-80)*(Einstellungen!$C$18-$P36)/(Einstellungen!$C$18-Einstellungen!$B$18),IF($P36&lt;=Einstellungen!$D$18,80*(Einstellungen!$D$18-$P36)/(Einstellungen!$D$18-Einstellungen!$C$18),0))))*Einstellungen!$E$18)/(Einstellungen!$E$16+Einstellungen!$E$17+Einstellungen!$E$18),0))</f>
        <v/>
      </c>
      <c r="Z36">
        <f>IF(AND($E36="",$D36="",$G36="",$V36="",$Q36="",$T36="",$W36="",$U36=""),"",ROUND(IF($E36="",0,IF($E36&lt;Einstellungen!$B$21,0,IF($E36&gt;=Einstellungen!$B$22,100,($E36-Einstellungen!$B$21)/(Einstellungen!$B$22-Einstellungen!$B$21)*100)))/100*Einstellungen!$B$5+IF($W36="",0,$W36/100)*Einstellungen!$B$6+(IF($G36="",0,MAX(0,MIN(100,($G36-Einstellungen!$B$25)/(Einstellungen!$B$26-Einstellungen!$B$25)*100)))+IF($I36="",0,MAX(0,MIN(100,($I36-Einstellungen!$B$27)/(Einstellungen!$B$28-Einstellungen!$B$27)*100))))/2/100*Einstellungen!$B$7+IF($V36="",0,$V36/100)*Einstellungen!$B$8+IF($R36="",0,MAX(0,MIN(100,(Einstellungen!$B$32-$R36)/(Einstellungen!$B$32-Einstellungen!$B$31)*100)))/100*Einstellungen!$B$9+IF($D36="",0,$D36/5*100)/100*Einstellungen!$B$10+IF($AD36="",0,$AD36)/100*Einstellungen!$B$11+IF($U36="",0,$U36/5*100)/100*Einstellungen!$B$12,0))</f>
        <v/>
      </c>
      <c r="AA36">
        <f>IF($X36="","",$X36*1000000000000+IF($G36="",0,$G36)*1000000+IF($H36="",0,$H36)*1000+IF($I36="",0,$I36)+IF($N36="",0,MAX(0,1000-$N36))/1000+IF($A36="",0,$A36)/1000000)</f>
        <v/>
      </c>
      <c r="AB36">
        <f>IF($Y36="","",_xludf.RANK.EQ($Y36,$Y$2:$Y$201,0))</f>
        <v/>
      </c>
    </row>
    <row r="37">
      <c r="T37">
        <f>IFERROR(IF($Q37="","",$Q37/$H37),"")</f>
        <v/>
      </c>
      <c r="U37">
        <f>IFERROR(IF($Q37="","",$Q37/$G37),"")</f>
        <v/>
      </c>
      <c r="Y37">
        <f>IF(AND($L37="",$N37="",$P37=""),"",ROUND((IF($L37="",0,IF($L37&lt;=Einstellungen!$B$16,100,IF($L37&lt;=Einstellungen!$C$16,80+(100-80)*(Einstellungen!$C$16-$L37)/(Einstellungen!$C$16-Einstellungen!$B$16),IF($L37&lt;=Einstellungen!$D$16,80*(Einstellungen!$D$16-$L37)/(Einstellungen!$D$16-Einstellungen!$C$16),0))))*Einstellungen!$E$16+IF($N37="",0,IF($N37&lt;=Einstellungen!$B$17,100,IF($N37&lt;=Einstellungen!$C$17,80+(100-80)*(Einstellungen!$C$17-$N37)/(Einstellungen!$C$17-Einstellungen!$B$17),IF($N37&lt;=Einstellungen!$D$17,80*(Einstellungen!$D$17-$N37)/(Einstellungen!$D$17-Einstellungen!$C$17),0))))*Einstellungen!$E$17+IF($P37="",0,IF($P37&lt;=Einstellungen!$B$18,100,IF($P37&lt;=Einstellungen!$C$18,80+(100-80)*(Einstellungen!$C$18-$P37)/(Einstellungen!$C$18-Einstellungen!$B$18),IF($P37&lt;=Einstellungen!$D$18,80*(Einstellungen!$D$18-$P37)/(Einstellungen!$D$18-Einstellungen!$C$18),0))))*Einstellungen!$E$18)/(Einstellungen!$E$16+Einstellungen!$E$17+Einstellungen!$E$18),0))</f>
        <v/>
      </c>
      <c r="Z37">
        <f>IF(AND($E37="",$D37="",$G37="",$V37="",$Q37="",$T37="",$W37="",$U37=""),"",ROUND(IF($E37="",0,IF($E37&lt;Einstellungen!$B$21,0,IF($E37&gt;=Einstellungen!$B$22,100,($E37-Einstellungen!$B$21)/(Einstellungen!$B$22-Einstellungen!$B$21)*100)))/100*Einstellungen!$B$5+IF($W37="",0,$W37/100)*Einstellungen!$B$6+(IF($G37="",0,MAX(0,MIN(100,($G37-Einstellungen!$B$25)/(Einstellungen!$B$26-Einstellungen!$B$25)*100)))+IF($I37="",0,MAX(0,MIN(100,($I37-Einstellungen!$B$27)/(Einstellungen!$B$28-Einstellungen!$B$27)*100))))/2/100*Einstellungen!$B$7+IF($V37="",0,$V37/100)*Einstellungen!$B$8+IF($R37="",0,MAX(0,MIN(100,(Einstellungen!$B$32-$R37)/(Einstellungen!$B$32-Einstellungen!$B$31)*100)))/100*Einstellungen!$B$9+IF($D37="",0,$D37/5*100)/100*Einstellungen!$B$10+IF($AD37="",0,$AD37)/100*Einstellungen!$B$11+IF($U37="",0,$U37/5*100)/100*Einstellungen!$B$12,0))</f>
        <v/>
      </c>
      <c r="AA37">
        <f>IF($X37="","",$X37*1000000000000+IF($G37="",0,$G37)*1000000+IF($H37="",0,$H37)*1000+IF($I37="",0,$I37)+IF($N37="",0,MAX(0,1000-$N37))/1000+IF($A37="",0,$A37)/1000000)</f>
        <v/>
      </c>
      <c r="AB37">
        <f>IF($Y37="","",_xludf.RANK.EQ($Y37,$Y$2:$Y$201,0))</f>
        <v/>
      </c>
    </row>
    <row r="38">
      <c r="T38">
        <f>IFERROR(IF($Q38="","",$Q38/$H38),"")</f>
        <v/>
      </c>
      <c r="U38">
        <f>IFERROR(IF($Q38="","",$Q38/$G38),"")</f>
        <v/>
      </c>
      <c r="Y38">
        <f>IF(AND($L38="",$N38="",$P38=""),"",ROUND((IF($L38="",0,IF($L38&lt;=Einstellungen!$B$16,100,IF($L38&lt;=Einstellungen!$C$16,80+(100-80)*(Einstellungen!$C$16-$L38)/(Einstellungen!$C$16-Einstellungen!$B$16),IF($L38&lt;=Einstellungen!$D$16,80*(Einstellungen!$D$16-$L38)/(Einstellungen!$D$16-Einstellungen!$C$16),0))))*Einstellungen!$E$16+IF($N38="",0,IF($N38&lt;=Einstellungen!$B$17,100,IF($N38&lt;=Einstellungen!$C$17,80+(100-80)*(Einstellungen!$C$17-$N38)/(Einstellungen!$C$17-Einstellungen!$B$17),IF($N38&lt;=Einstellungen!$D$17,80*(Einstellungen!$D$17-$N38)/(Einstellungen!$D$17-Einstellungen!$C$17),0))))*Einstellungen!$E$17+IF($P38="",0,IF($P38&lt;=Einstellungen!$B$18,100,IF($P38&lt;=Einstellungen!$C$18,80+(100-80)*(Einstellungen!$C$18-$P38)/(Einstellungen!$C$18-Einstellungen!$B$18),IF($P38&lt;=Einstellungen!$D$18,80*(Einstellungen!$D$18-$P38)/(Einstellungen!$D$18-Einstellungen!$C$18),0))))*Einstellungen!$E$18)/(Einstellungen!$E$16+Einstellungen!$E$17+Einstellungen!$E$18),0))</f>
        <v/>
      </c>
      <c r="Z38">
        <f>IF(AND($E38="",$D38="",$G38="",$V38="",$Q38="",$T38="",$W38="",$U38=""),"",ROUND(IF($E38="",0,IF($E38&lt;Einstellungen!$B$21,0,IF($E38&gt;=Einstellungen!$B$22,100,($E38-Einstellungen!$B$21)/(Einstellungen!$B$22-Einstellungen!$B$21)*100)))/100*Einstellungen!$B$5+IF($W38="",0,$W38/100)*Einstellungen!$B$6+(IF($G38="",0,MAX(0,MIN(100,($G38-Einstellungen!$B$25)/(Einstellungen!$B$26-Einstellungen!$B$25)*100)))+IF($I38="",0,MAX(0,MIN(100,($I38-Einstellungen!$B$27)/(Einstellungen!$B$28-Einstellungen!$B$27)*100))))/2/100*Einstellungen!$B$7+IF($V38="",0,$V38/100)*Einstellungen!$B$8+IF($R38="",0,MAX(0,MIN(100,(Einstellungen!$B$32-$R38)/(Einstellungen!$B$32-Einstellungen!$B$31)*100)))/100*Einstellungen!$B$9+IF($D38="",0,$D38/5*100)/100*Einstellungen!$B$10+IF($AD38="",0,$AD38)/100*Einstellungen!$B$11+IF($U38="",0,$U38/5*100)/100*Einstellungen!$B$12,0))</f>
        <v/>
      </c>
      <c r="AA38">
        <f>IF($X38="","",$X38*1000000000000+IF($G38="",0,$G38)*1000000+IF($H38="",0,$H38)*1000+IF($I38="",0,$I38)+IF($N38="",0,MAX(0,1000-$N38))/1000+IF($A38="",0,$A38)/1000000)</f>
        <v/>
      </c>
      <c r="AB38">
        <f>IF($Y38="","",_xludf.RANK.EQ($Y38,$Y$2:$Y$201,0))</f>
        <v/>
      </c>
    </row>
    <row r="39">
      <c r="T39">
        <f>IFERROR(IF($Q39="","",$Q39/$H39),"")</f>
        <v/>
      </c>
      <c r="U39">
        <f>IFERROR(IF($Q39="","",$Q39/$G39),"")</f>
        <v/>
      </c>
      <c r="Y39">
        <f>IF(AND($L39="",$N39="",$P39=""),"",ROUND((IF($L39="",0,IF($L39&lt;=Einstellungen!$B$16,100,IF($L39&lt;=Einstellungen!$C$16,80+(100-80)*(Einstellungen!$C$16-$L39)/(Einstellungen!$C$16-Einstellungen!$B$16),IF($L39&lt;=Einstellungen!$D$16,80*(Einstellungen!$D$16-$L39)/(Einstellungen!$D$16-Einstellungen!$C$16),0))))*Einstellungen!$E$16+IF($N39="",0,IF($N39&lt;=Einstellungen!$B$17,100,IF($N39&lt;=Einstellungen!$C$17,80+(100-80)*(Einstellungen!$C$17-$N39)/(Einstellungen!$C$17-Einstellungen!$B$17),IF($N39&lt;=Einstellungen!$D$17,80*(Einstellungen!$D$17-$N39)/(Einstellungen!$D$17-Einstellungen!$C$17),0))))*Einstellungen!$E$17+IF($P39="",0,IF($P39&lt;=Einstellungen!$B$18,100,IF($P39&lt;=Einstellungen!$C$18,80+(100-80)*(Einstellungen!$C$18-$P39)/(Einstellungen!$C$18-Einstellungen!$B$18),IF($P39&lt;=Einstellungen!$D$18,80*(Einstellungen!$D$18-$P39)/(Einstellungen!$D$18-Einstellungen!$C$18),0))))*Einstellungen!$E$18)/(Einstellungen!$E$16+Einstellungen!$E$17+Einstellungen!$E$18),0))</f>
        <v/>
      </c>
      <c r="Z39">
        <f>IF(AND($E39="",$D39="",$G39="",$V39="",$Q39="",$T39="",$W39="",$U39=""),"",ROUND(IF($E39="",0,IF($E39&lt;Einstellungen!$B$21,0,IF($E39&gt;=Einstellungen!$B$22,100,($E39-Einstellungen!$B$21)/(Einstellungen!$B$22-Einstellungen!$B$21)*100)))/100*Einstellungen!$B$5+IF($W39="",0,$W39/100)*Einstellungen!$B$6+(IF($G39="",0,MAX(0,MIN(100,($G39-Einstellungen!$B$25)/(Einstellungen!$B$26-Einstellungen!$B$25)*100)))+IF($I39="",0,MAX(0,MIN(100,($I39-Einstellungen!$B$27)/(Einstellungen!$B$28-Einstellungen!$B$27)*100))))/2/100*Einstellungen!$B$7+IF($V39="",0,$V39/100)*Einstellungen!$B$8+IF($R39="",0,MAX(0,MIN(100,(Einstellungen!$B$32-$R39)/(Einstellungen!$B$32-Einstellungen!$B$31)*100)))/100*Einstellungen!$B$9+IF($D39="",0,$D39/5*100)/100*Einstellungen!$B$10+IF($AD39="",0,$AD39)/100*Einstellungen!$B$11+IF($U39="",0,$U39/5*100)/100*Einstellungen!$B$12,0))</f>
        <v/>
      </c>
      <c r="AA39">
        <f>IF($X39="","",$X39*1000000000000+IF($G39="",0,$G39)*1000000+IF($H39="",0,$H39)*1000+IF($I39="",0,$I39)+IF($N39="",0,MAX(0,1000-$N39))/1000+IF($A39="",0,$A39)/1000000)</f>
        <v/>
      </c>
      <c r="AB39">
        <f>IF($Y39="","",_xludf.RANK.EQ($Y39,$Y$2:$Y$201,0))</f>
        <v/>
      </c>
    </row>
    <row r="40">
      <c r="T40">
        <f>IFERROR(IF($Q40="","",$Q40/$H40),"")</f>
        <v/>
      </c>
      <c r="U40">
        <f>IFERROR(IF($Q40="","",$Q40/$G40),"")</f>
        <v/>
      </c>
      <c r="Y40">
        <f>IF(AND($L40="",$N40="",$P40=""),"",ROUND((IF($L40="",0,IF($L40&lt;=Einstellungen!$B$16,100,IF($L40&lt;=Einstellungen!$C$16,80+(100-80)*(Einstellungen!$C$16-$L40)/(Einstellungen!$C$16-Einstellungen!$B$16),IF($L40&lt;=Einstellungen!$D$16,80*(Einstellungen!$D$16-$L40)/(Einstellungen!$D$16-Einstellungen!$C$16),0))))*Einstellungen!$E$16+IF($N40="",0,IF($N40&lt;=Einstellungen!$B$17,100,IF($N40&lt;=Einstellungen!$C$17,80+(100-80)*(Einstellungen!$C$17-$N40)/(Einstellungen!$C$17-Einstellungen!$B$17),IF($N40&lt;=Einstellungen!$D$17,80*(Einstellungen!$D$17-$N40)/(Einstellungen!$D$17-Einstellungen!$C$17),0))))*Einstellungen!$E$17+IF($P40="",0,IF($P40&lt;=Einstellungen!$B$18,100,IF($P40&lt;=Einstellungen!$C$18,80+(100-80)*(Einstellungen!$C$18-$P40)/(Einstellungen!$C$18-Einstellungen!$B$18),IF($P40&lt;=Einstellungen!$D$18,80*(Einstellungen!$D$18-$P40)/(Einstellungen!$D$18-Einstellungen!$C$18),0))))*Einstellungen!$E$18)/(Einstellungen!$E$16+Einstellungen!$E$17+Einstellungen!$E$18),0))</f>
        <v/>
      </c>
      <c r="Z40">
        <f>IF(AND($E40="",$D40="",$G40="",$V40="",$Q40="",$T40="",$W40="",$U40=""),"",ROUND(IF($E40="",0,IF($E40&lt;Einstellungen!$B$21,0,IF($E40&gt;=Einstellungen!$B$22,100,($E40-Einstellungen!$B$21)/(Einstellungen!$B$22-Einstellungen!$B$21)*100)))/100*Einstellungen!$B$5+IF($W40="",0,$W40/100)*Einstellungen!$B$6+(IF($G40="",0,MAX(0,MIN(100,($G40-Einstellungen!$B$25)/(Einstellungen!$B$26-Einstellungen!$B$25)*100)))+IF($I40="",0,MAX(0,MIN(100,($I40-Einstellungen!$B$27)/(Einstellungen!$B$28-Einstellungen!$B$27)*100))))/2/100*Einstellungen!$B$7+IF($V40="",0,$V40/100)*Einstellungen!$B$8+IF($R40="",0,MAX(0,MIN(100,(Einstellungen!$B$32-$R40)/(Einstellungen!$B$32-Einstellungen!$B$31)*100)))/100*Einstellungen!$B$9+IF($D40="",0,$D40/5*100)/100*Einstellungen!$B$10+IF($AD40="",0,$AD40)/100*Einstellungen!$B$11+IF($U40="",0,$U40/5*100)/100*Einstellungen!$B$12,0))</f>
        <v/>
      </c>
      <c r="AA40">
        <f>IF($X40="","",$X40*1000000000000+IF($G40="",0,$G40)*1000000+IF($H40="",0,$H40)*1000+IF($I40="",0,$I40)+IF($N40="",0,MAX(0,1000-$N40))/1000+IF($A40="",0,$A40)/1000000)</f>
        <v/>
      </c>
      <c r="AB40">
        <f>IF($Y40="","",_xludf.RANK.EQ($Y40,$Y$2:$Y$201,0))</f>
        <v/>
      </c>
    </row>
    <row r="41">
      <c r="T41">
        <f>IFERROR(IF($Q41="","",$Q41/$H41),"")</f>
        <v/>
      </c>
      <c r="U41">
        <f>IFERROR(IF($Q41="","",$Q41/$G41),"")</f>
        <v/>
      </c>
      <c r="Y41">
        <f>IF(AND($L41="",$N41="",$P41=""),"",ROUND((IF($L41="",0,IF($L41&lt;=Einstellungen!$B$16,100,IF($L41&lt;=Einstellungen!$C$16,80+(100-80)*(Einstellungen!$C$16-$L41)/(Einstellungen!$C$16-Einstellungen!$B$16),IF($L41&lt;=Einstellungen!$D$16,80*(Einstellungen!$D$16-$L41)/(Einstellungen!$D$16-Einstellungen!$C$16),0))))*Einstellungen!$E$16+IF($N41="",0,IF($N41&lt;=Einstellungen!$B$17,100,IF($N41&lt;=Einstellungen!$C$17,80+(100-80)*(Einstellungen!$C$17-$N41)/(Einstellungen!$C$17-Einstellungen!$B$17),IF($N41&lt;=Einstellungen!$D$17,80*(Einstellungen!$D$17-$N41)/(Einstellungen!$D$17-Einstellungen!$C$17),0))))*Einstellungen!$E$17+IF($P41="",0,IF($P41&lt;=Einstellungen!$B$18,100,IF($P41&lt;=Einstellungen!$C$18,80+(100-80)*(Einstellungen!$C$18-$P41)/(Einstellungen!$C$18-Einstellungen!$B$18),IF($P41&lt;=Einstellungen!$D$18,80*(Einstellungen!$D$18-$P41)/(Einstellungen!$D$18-Einstellungen!$C$18),0))))*Einstellungen!$E$18)/(Einstellungen!$E$16+Einstellungen!$E$17+Einstellungen!$E$18),0))</f>
        <v/>
      </c>
      <c r="Z41">
        <f>IF(AND($E41="",$D41="",$G41="",$V41="",$Q41="",$T41="",$W41="",$U41=""),"",ROUND(IF($E41="",0,IF($E41&lt;Einstellungen!$B$21,0,IF($E41&gt;=Einstellungen!$B$22,100,($E41-Einstellungen!$B$21)/(Einstellungen!$B$22-Einstellungen!$B$21)*100)))/100*Einstellungen!$B$5+IF($W41="",0,$W41/100)*Einstellungen!$B$6+(IF($G41="",0,MAX(0,MIN(100,($G41-Einstellungen!$B$25)/(Einstellungen!$B$26-Einstellungen!$B$25)*100)))+IF($I41="",0,MAX(0,MIN(100,($I41-Einstellungen!$B$27)/(Einstellungen!$B$28-Einstellungen!$B$27)*100))))/2/100*Einstellungen!$B$7+IF($V41="",0,$V41/100)*Einstellungen!$B$8+IF($R41="",0,MAX(0,MIN(100,(Einstellungen!$B$32-$R41)/(Einstellungen!$B$32-Einstellungen!$B$31)*100)))/100*Einstellungen!$B$9+IF($D41="",0,$D41/5*100)/100*Einstellungen!$B$10+IF($AD41="",0,$AD41)/100*Einstellungen!$B$11+IF($U41="",0,$U41/5*100)/100*Einstellungen!$B$12,0))</f>
        <v/>
      </c>
      <c r="AA41">
        <f>IF($X41="","",$X41*1000000000000+IF($G41="",0,$G41)*1000000+IF($H41="",0,$H41)*1000+IF($I41="",0,$I41)+IF($N41="",0,MAX(0,1000-$N41))/1000+IF($A41="",0,$A41)/1000000)</f>
        <v/>
      </c>
      <c r="AB41">
        <f>IF($Y41="","",_xludf.RANK.EQ($Y41,$Y$2:$Y$201,0))</f>
        <v/>
      </c>
    </row>
    <row r="42">
      <c r="T42">
        <f>IFERROR(IF($Q42="","",$Q42/$H42),"")</f>
        <v/>
      </c>
      <c r="U42">
        <f>IFERROR(IF($Q42="","",$Q42/$G42),"")</f>
        <v/>
      </c>
      <c r="Y42">
        <f>IF(AND($L42="",$N42="",$P42=""),"",ROUND((IF($L42="",0,IF($L42&lt;=Einstellungen!$B$16,100,IF($L42&lt;=Einstellungen!$C$16,80+(100-80)*(Einstellungen!$C$16-$L42)/(Einstellungen!$C$16-Einstellungen!$B$16),IF($L42&lt;=Einstellungen!$D$16,80*(Einstellungen!$D$16-$L42)/(Einstellungen!$D$16-Einstellungen!$C$16),0))))*Einstellungen!$E$16+IF($N42="",0,IF($N42&lt;=Einstellungen!$B$17,100,IF($N42&lt;=Einstellungen!$C$17,80+(100-80)*(Einstellungen!$C$17-$N42)/(Einstellungen!$C$17-Einstellungen!$B$17),IF($N42&lt;=Einstellungen!$D$17,80*(Einstellungen!$D$17-$N42)/(Einstellungen!$D$17-Einstellungen!$C$17),0))))*Einstellungen!$E$17+IF($P42="",0,IF($P42&lt;=Einstellungen!$B$18,100,IF($P42&lt;=Einstellungen!$C$18,80+(100-80)*(Einstellungen!$C$18-$P42)/(Einstellungen!$C$18-Einstellungen!$B$18),IF($P42&lt;=Einstellungen!$D$18,80*(Einstellungen!$D$18-$P42)/(Einstellungen!$D$18-Einstellungen!$C$18),0))))*Einstellungen!$E$18)/(Einstellungen!$E$16+Einstellungen!$E$17+Einstellungen!$E$18),0))</f>
        <v/>
      </c>
      <c r="Z42">
        <f>IF(AND($E42="",$D42="",$G42="",$V42="",$Q42="",$T42="",$W42="",$U42=""),"",ROUND(IF($E42="",0,IF($E42&lt;Einstellungen!$B$21,0,IF($E42&gt;=Einstellungen!$B$22,100,($E42-Einstellungen!$B$21)/(Einstellungen!$B$22-Einstellungen!$B$21)*100)))/100*Einstellungen!$B$5+IF($W42="",0,$W42/100)*Einstellungen!$B$6+(IF($G42="",0,MAX(0,MIN(100,($G42-Einstellungen!$B$25)/(Einstellungen!$B$26-Einstellungen!$B$25)*100)))+IF($I42="",0,MAX(0,MIN(100,($I42-Einstellungen!$B$27)/(Einstellungen!$B$28-Einstellungen!$B$27)*100))))/2/100*Einstellungen!$B$7+IF($V42="",0,$V42/100)*Einstellungen!$B$8+IF($R42="",0,MAX(0,MIN(100,(Einstellungen!$B$32-$R42)/(Einstellungen!$B$32-Einstellungen!$B$31)*100)))/100*Einstellungen!$B$9+IF($D42="",0,$D42/5*100)/100*Einstellungen!$B$10+IF($AD42="",0,$AD42)/100*Einstellungen!$B$11+IF($U42="",0,$U42/5*100)/100*Einstellungen!$B$12,0))</f>
        <v/>
      </c>
      <c r="AA42">
        <f>IF($X42="","",$X42*1000000000000+IF($G42="",0,$G42)*1000000+IF($H42="",0,$H42)*1000+IF($I42="",0,$I42)+IF($N42="",0,MAX(0,1000-$N42))/1000+IF($A42="",0,$A42)/1000000)</f>
        <v/>
      </c>
      <c r="AB42">
        <f>IF($Y42="","",_xludf.RANK.EQ($Y42,$Y$2:$Y$201,0))</f>
        <v/>
      </c>
    </row>
    <row r="43">
      <c r="T43">
        <f>IFERROR(IF($Q43="","",$Q43/$H43),"")</f>
        <v/>
      </c>
      <c r="U43">
        <f>IFERROR(IF($Q43="","",$Q43/$G43),"")</f>
        <v/>
      </c>
      <c r="Y43">
        <f>IF(AND($L43="",$N43="",$P43=""),"",ROUND((IF($L43="",0,IF($L43&lt;=Einstellungen!$B$16,100,IF($L43&lt;=Einstellungen!$C$16,80+(100-80)*(Einstellungen!$C$16-$L43)/(Einstellungen!$C$16-Einstellungen!$B$16),IF($L43&lt;=Einstellungen!$D$16,80*(Einstellungen!$D$16-$L43)/(Einstellungen!$D$16-Einstellungen!$C$16),0))))*Einstellungen!$E$16+IF($N43="",0,IF($N43&lt;=Einstellungen!$B$17,100,IF($N43&lt;=Einstellungen!$C$17,80+(100-80)*(Einstellungen!$C$17-$N43)/(Einstellungen!$C$17-Einstellungen!$B$17),IF($N43&lt;=Einstellungen!$D$17,80*(Einstellungen!$D$17-$N43)/(Einstellungen!$D$17-Einstellungen!$C$17),0))))*Einstellungen!$E$17+IF($P43="",0,IF($P43&lt;=Einstellungen!$B$18,100,IF($P43&lt;=Einstellungen!$C$18,80+(100-80)*(Einstellungen!$C$18-$P43)/(Einstellungen!$C$18-Einstellungen!$B$18),IF($P43&lt;=Einstellungen!$D$18,80*(Einstellungen!$D$18-$P43)/(Einstellungen!$D$18-Einstellungen!$C$18),0))))*Einstellungen!$E$18)/(Einstellungen!$E$16+Einstellungen!$E$17+Einstellungen!$E$18),0))</f>
        <v/>
      </c>
      <c r="Z43">
        <f>IF(AND($E43="",$D43="",$G43="",$V43="",$Q43="",$T43="",$W43="",$U43=""),"",ROUND(IF($E43="",0,IF($E43&lt;Einstellungen!$B$21,0,IF($E43&gt;=Einstellungen!$B$22,100,($E43-Einstellungen!$B$21)/(Einstellungen!$B$22-Einstellungen!$B$21)*100)))/100*Einstellungen!$B$5+IF($W43="",0,$W43/100)*Einstellungen!$B$6+(IF($G43="",0,MAX(0,MIN(100,($G43-Einstellungen!$B$25)/(Einstellungen!$B$26-Einstellungen!$B$25)*100)))+IF($I43="",0,MAX(0,MIN(100,($I43-Einstellungen!$B$27)/(Einstellungen!$B$28-Einstellungen!$B$27)*100))))/2/100*Einstellungen!$B$7+IF($V43="",0,$V43/100)*Einstellungen!$B$8+IF($R43="",0,MAX(0,MIN(100,(Einstellungen!$B$32-$R43)/(Einstellungen!$B$32-Einstellungen!$B$31)*100)))/100*Einstellungen!$B$9+IF($D43="",0,$D43/5*100)/100*Einstellungen!$B$10+IF($AD43="",0,$AD43)/100*Einstellungen!$B$11+IF($U43="",0,$U43/5*100)/100*Einstellungen!$B$12,0))</f>
        <v/>
      </c>
      <c r="AA43">
        <f>IF($X43="","",$X43*1000000000000+IF($G43="",0,$G43)*1000000+IF($H43="",0,$H43)*1000+IF($I43="",0,$I43)+IF($N43="",0,MAX(0,1000-$N43))/1000+IF($A43="",0,$A43)/1000000)</f>
        <v/>
      </c>
      <c r="AB43">
        <f>IF($Y43="","",_xludf.RANK.EQ($Y43,$Y$2:$Y$201,0))</f>
        <v/>
      </c>
    </row>
    <row r="44">
      <c r="T44">
        <f>IFERROR(IF($Q44="","",$Q44/$H44),"")</f>
        <v/>
      </c>
      <c r="U44">
        <f>IFERROR(IF($Q44="","",$Q44/$G44),"")</f>
        <v/>
      </c>
      <c r="Y44">
        <f>IF(AND($L44="",$N44="",$P44=""),"",ROUND((IF($L44="",0,IF($L44&lt;=Einstellungen!$B$16,100,IF($L44&lt;=Einstellungen!$C$16,80+(100-80)*(Einstellungen!$C$16-$L44)/(Einstellungen!$C$16-Einstellungen!$B$16),IF($L44&lt;=Einstellungen!$D$16,80*(Einstellungen!$D$16-$L44)/(Einstellungen!$D$16-Einstellungen!$C$16),0))))*Einstellungen!$E$16+IF($N44="",0,IF($N44&lt;=Einstellungen!$B$17,100,IF($N44&lt;=Einstellungen!$C$17,80+(100-80)*(Einstellungen!$C$17-$N44)/(Einstellungen!$C$17-Einstellungen!$B$17),IF($N44&lt;=Einstellungen!$D$17,80*(Einstellungen!$D$17-$N44)/(Einstellungen!$D$17-Einstellungen!$C$17),0))))*Einstellungen!$E$17+IF($P44="",0,IF($P44&lt;=Einstellungen!$B$18,100,IF($P44&lt;=Einstellungen!$C$18,80+(100-80)*(Einstellungen!$C$18-$P44)/(Einstellungen!$C$18-Einstellungen!$B$18),IF($P44&lt;=Einstellungen!$D$18,80*(Einstellungen!$D$18-$P44)/(Einstellungen!$D$18-Einstellungen!$C$18),0))))*Einstellungen!$E$18)/(Einstellungen!$E$16+Einstellungen!$E$17+Einstellungen!$E$18),0))</f>
        <v/>
      </c>
      <c r="Z44">
        <f>IF(AND($E44="",$D44="",$G44="",$V44="",$Q44="",$T44="",$W44="",$U44=""),"",ROUND(IF($E44="",0,IF($E44&lt;Einstellungen!$B$21,0,IF($E44&gt;=Einstellungen!$B$22,100,($E44-Einstellungen!$B$21)/(Einstellungen!$B$22-Einstellungen!$B$21)*100)))/100*Einstellungen!$B$5+IF($W44="",0,$W44/100)*Einstellungen!$B$6+(IF($G44="",0,MAX(0,MIN(100,($G44-Einstellungen!$B$25)/(Einstellungen!$B$26-Einstellungen!$B$25)*100)))+IF($I44="",0,MAX(0,MIN(100,($I44-Einstellungen!$B$27)/(Einstellungen!$B$28-Einstellungen!$B$27)*100))))/2/100*Einstellungen!$B$7+IF($V44="",0,$V44/100)*Einstellungen!$B$8+IF($R44="",0,MAX(0,MIN(100,(Einstellungen!$B$32-$R44)/(Einstellungen!$B$32-Einstellungen!$B$31)*100)))/100*Einstellungen!$B$9+IF($D44="",0,$D44/5*100)/100*Einstellungen!$B$10+IF($AD44="",0,$AD44)/100*Einstellungen!$B$11+IF($U44="",0,$U44/5*100)/100*Einstellungen!$B$12,0))</f>
        <v/>
      </c>
      <c r="AA44">
        <f>IF($X44="","",$X44*1000000000000+IF($G44="",0,$G44)*1000000+IF($H44="",0,$H44)*1000+IF($I44="",0,$I44)+IF($N44="",0,MAX(0,1000-$N44))/1000+IF($A44="",0,$A44)/1000000)</f>
        <v/>
      </c>
      <c r="AB44">
        <f>IF($Y44="","",_xludf.RANK.EQ($Y44,$Y$2:$Y$201,0))</f>
        <v/>
      </c>
    </row>
    <row r="45">
      <c r="T45">
        <f>IFERROR(IF($Q45="","",$Q45/$H45),"")</f>
        <v/>
      </c>
      <c r="U45">
        <f>IFERROR(IF($Q45="","",$Q45/$G45),"")</f>
        <v/>
      </c>
      <c r="Y45">
        <f>IF(AND($L45="",$N45="",$P45=""),"",ROUND((IF($L45="",0,IF($L45&lt;=Einstellungen!$B$16,100,IF($L45&lt;=Einstellungen!$C$16,80+(100-80)*(Einstellungen!$C$16-$L45)/(Einstellungen!$C$16-Einstellungen!$B$16),IF($L45&lt;=Einstellungen!$D$16,80*(Einstellungen!$D$16-$L45)/(Einstellungen!$D$16-Einstellungen!$C$16),0))))*Einstellungen!$E$16+IF($N45="",0,IF($N45&lt;=Einstellungen!$B$17,100,IF($N45&lt;=Einstellungen!$C$17,80+(100-80)*(Einstellungen!$C$17-$N45)/(Einstellungen!$C$17-Einstellungen!$B$17),IF($N45&lt;=Einstellungen!$D$17,80*(Einstellungen!$D$17-$N45)/(Einstellungen!$D$17-Einstellungen!$C$17),0))))*Einstellungen!$E$17+IF($P45="",0,IF($P45&lt;=Einstellungen!$B$18,100,IF($P45&lt;=Einstellungen!$C$18,80+(100-80)*(Einstellungen!$C$18-$P45)/(Einstellungen!$C$18-Einstellungen!$B$18),IF($P45&lt;=Einstellungen!$D$18,80*(Einstellungen!$D$18-$P45)/(Einstellungen!$D$18-Einstellungen!$C$18),0))))*Einstellungen!$E$18)/(Einstellungen!$E$16+Einstellungen!$E$17+Einstellungen!$E$18),0))</f>
        <v/>
      </c>
      <c r="Z45">
        <f>IF(AND($E45="",$D45="",$G45="",$V45="",$Q45="",$T45="",$W45="",$U45=""),"",ROUND(IF($E45="",0,IF($E45&lt;Einstellungen!$B$21,0,IF($E45&gt;=Einstellungen!$B$22,100,($E45-Einstellungen!$B$21)/(Einstellungen!$B$22-Einstellungen!$B$21)*100)))/100*Einstellungen!$B$5+IF($W45="",0,$W45/100)*Einstellungen!$B$6+(IF($G45="",0,MAX(0,MIN(100,($G45-Einstellungen!$B$25)/(Einstellungen!$B$26-Einstellungen!$B$25)*100)))+IF($I45="",0,MAX(0,MIN(100,($I45-Einstellungen!$B$27)/(Einstellungen!$B$28-Einstellungen!$B$27)*100))))/2/100*Einstellungen!$B$7+IF($V45="",0,$V45/100)*Einstellungen!$B$8+IF($R45="",0,MAX(0,MIN(100,(Einstellungen!$B$32-$R45)/(Einstellungen!$B$32-Einstellungen!$B$31)*100)))/100*Einstellungen!$B$9+IF($D45="",0,$D45/5*100)/100*Einstellungen!$B$10+IF($AD45="",0,$AD45)/100*Einstellungen!$B$11+IF($U45="",0,$U45/5*100)/100*Einstellungen!$B$12,0))</f>
        <v/>
      </c>
      <c r="AA45">
        <f>IF($X45="","",$X45*1000000000000+IF($G45="",0,$G45)*1000000+IF($H45="",0,$H45)*1000+IF($I45="",0,$I45)+IF($N45="",0,MAX(0,1000-$N45))/1000+IF($A45="",0,$A45)/1000000)</f>
        <v/>
      </c>
      <c r="AB45">
        <f>IF($Y45="","",_xludf.RANK.EQ($Y45,$Y$2:$Y$201,0))</f>
        <v/>
      </c>
    </row>
    <row r="46">
      <c r="T46">
        <f>IFERROR(IF($Q46="","",$Q46/$H46),"")</f>
        <v/>
      </c>
      <c r="U46">
        <f>IFERROR(IF($Q46="","",$Q46/$G46),"")</f>
        <v/>
      </c>
      <c r="Y46">
        <f>IF(AND($L46="",$N46="",$P46=""),"",ROUND((IF($L46="",0,IF($L46&lt;=Einstellungen!$B$16,100,IF($L46&lt;=Einstellungen!$C$16,80+(100-80)*(Einstellungen!$C$16-$L46)/(Einstellungen!$C$16-Einstellungen!$B$16),IF($L46&lt;=Einstellungen!$D$16,80*(Einstellungen!$D$16-$L46)/(Einstellungen!$D$16-Einstellungen!$C$16),0))))*Einstellungen!$E$16+IF($N46="",0,IF($N46&lt;=Einstellungen!$B$17,100,IF($N46&lt;=Einstellungen!$C$17,80+(100-80)*(Einstellungen!$C$17-$N46)/(Einstellungen!$C$17-Einstellungen!$B$17),IF($N46&lt;=Einstellungen!$D$17,80*(Einstellungen!$D$17-$N46)/(Einstellungen!$D$17-Einstellungen!$C$17),0))))*Einstellungen!$E$17+IF($P46="",0,IF($P46&lt;=Einstellungen!$B$18,100,IF($P46&lt;=Einstellungen!$C$18,80+(100-80)*(Einstellungen!$C$18-$P46)/(Einstellungen!$C$18-Einstellungen!$B$18),IF($P46&lt;=Einstellungen!$D$18,80*(Einstellungen!$D$18-$P46)/(Einstellungen!$D$18-Einstellungen!$C$18),0))))*Einstellungen!$E$18)/(Einstellungen!$E$16+Einstellungen!$E$17+Einstellungen!$E$18),0))</f>
        <v/>
      </c>
      <c r="Z46">
        <f>IF(AND($E46="",$D46="",$G46="",$V46="",$Q46="",$T46="",$W46="",$U46=""),"",ROUND(IF($E46="",0,IF($E46&lt;Einstellungen!$B$21,0,IF($E46&gt;=Einstellungen!$B$22,100,($E46-Einstellungen!$B$21)/(Einstellungen!$B$22-Einstellungen!$B$21)*100)))/100*Einstellungen!$B$5+IF($W46="",0,$W46/100)*Einstellungen!$B$6+(IF($G46="",0,MAX(0,MIN(100,($G46-Einstellungen!$B$25)/(Einstellungen!$B$26-Einstellungen!$B$25)*100)))+IF($I46="",0,MAX(0,MIN(100,($I46-Einstellungen!$B$27)/(Einstellungen!$B$28-Einstellungen!$B$27)*100))))/2/100*Einstellungen!$B$7+IF($V46="",0,$V46/100)*Einstellungen!$B$8+IF($R46="",0,MAX(0,MIN(100,(Einstellungen!$B$32-$R46)/(Einstellungen!$B$32-Einstellungen!$B$31)*100)))/100*Einstellungen!$B$9+IF($D46="",0,$D46/5*100)/100*Einstellungen!$B$10+IF($AD46="",0,$AD46)/100*Einstellungen!$B$11+IF($U46="",0,$U46/5*100)/100*Einstellungen!$B$12,0))</f>
        <v/>
      </c>
      <c r="AA46">
        <f>IF($X46="","",$X46*1000000000000+IF($G46="",0,$G46)*1000000+IF($H46="",0,$H46)*1000+IF($I46="",0,$I46)+IF($N46="",0,MAX(0,1000-$N46))/1000+IF($A46="",0,$A46)/1000000)</f>
        <v/>
      </c>
      <c r="AB46">
        <f>IF($Y46="","",_xludf.RANK.EQ($Y46,$Y$2:$Y$201,0))</f>
        <v/>
      </c>
    </row>
    <row r="47">
      <c r="T47">
        <f>IFERROR(IF($Q47="","",$Q47/$H47),"")</f>
        <v/>
      </c>
      <c r="U47">
        <f>IFERROR(IF($Q47="","",$Q47/$G47),"")</f>
        <v/>
      </c>
      <c r="Y47">
        <f>IF(AND($L47="",$N47="",$P47=""),"",ROUND((IF($L47="",0,IF($L47&lt;=Einstellungen!$B$16,100,IF($L47&lt;=Einstellungen!$C$16,80+(100-80)*(Einstellungen!$C$16-$L47)/(Einstellungen!$C$16-Einstellungen!$B$16),IF($L47&lt;=Einstellungen!$D$16,80*(Einstellungen!$D$16-$L47)/(Einstellungen!$D$16-Einstellungen!$C$16),0))))*Einstellungen!$E$16+IF($N47="",0,IF($N47&lt;=Einstellungen!$B$17,100,IF($N47&lt;=Einstellungen!$C$17,80+(100-80)*(Einstellungen!$C$17-$N47)/(Einstellungen!$C$17-Einstellungen!$B$17),IF($N47&lt;=Einstellungen!$D$17,80*(Einstellungen!$D$17-$N47)/(Einstellungen!$D$17-Einstellungen!$C$17),0))))*Einstellungen!$E$17+IF($P47="",0,IF($P47&lt;=Einstellungen!$B$18,100,IF($P47&lt;=Einstellungen!$C$18,80+(100-80)*(Einstellungen!$C$18-$P47)/(Einstellungen!$C$18-Einstellungen!$B$18),IF($P47&lt;=Einstellungen!$D$18,80*(Einstellungen!$D$18-$P47)/(Einstellungen!$D$18-Einstellungen!$C$18),0))))*Einstellungen!$E$18)/(Einstellungen!$E$16+Einstellungen!$E$17+Einstellungen!$E$18),0))</f>
        <v/>
      </c>
      <c r="Z47">
        <f>IF(AND($E47="",$D47="",$G47="",$V47="",$Q47="",$T47="",$W47="",$U47=""),"",ROUND(IF($E47="",0,IF($E47&lt;Einstellungen!$B$21,0,IF($E47&gt;=Einstellungen!$B$22,100,($E47-Einstellungen!$B$21)/(Einstellungen!$B$22-Einstellungen!$B$21)*100)))/100*Einstellungen!$B$5+IF($W47="",0,$W47/100)*Einstellungen!$B$6+(IF($G47="",0,MAX(0,MIN(100,($G47-Einstellungen!$B$25)/(Einstellungen!$B$26-Einstellungen!$B$25)*100)))+IF($I47="",0,MAX(0,MIN(100,($I47-Einstellungen!$B$27)/(Einstellungen!$B$28-Einstellungen!$B$27)*100))))/2/100*Einstellungen!$B$7+IF($V47="",0,$V47/100)*Einstellungen!$B$8+IF($R47="",0,MAX(0,MIN(100,(Einstellungen!$B$32-$R47)/(Einstellungen!$B$32-Einstellungen!$B$31)*100)))/100*Einstellungen!$B$9+IF($D47="",0,$D47/5*100)/100*Einstellungen!$B$10+IF($AD47="",0,$AD47)/100*Einstellungen!$B$11+IF($U47="",0,$U47/5*100)/100*Einstellungen!$B$12,0))</f>
        <v/>
      </c>
      <c r="AA47">
        <f>IF($X47="","",$X47*1000000000000+IF($G47="",0,$G47)*1000000+IF($H47="",0,$H47)*1000+IF($I47="",0,$I47)+IF($N47="",0,MAX(0,1000-$N47))/1000+IF($A47="",0,$A47)/1000000)</f>
        <v/>
      </c>
      <c r="AB47">
        <f>IF($Y47="","",_xludf.RANK.EQ($Y47,$Y$2:$Y$201,0))</f>
        <v/>
      </c>
    </row>
    <row r="48">
      <c r="T48">
        <f>IFERROR(IF($Q48="","",$Q48/$H48),"")</f>
        <v/>
      </c>
      <c r="U48">
        <f>IFERROR(IF($Q48="","",$Q48/$G48),"")</f>
        <v/>
      </c>
      <c r="Y48">
        <f>IF(AND($L48="",$N48="",$P48=""),"",ROUND((IF($L48="",0,IF($L48&lt;=Einstellungen!$B$16,100,IF($L48&lt;=Einstellungen!$C$16,80+(100-80)*(Einstellungen!$C$16-$L48)/(Einstellungen!$C$16-Einstellungen!$B$16),IF($L48&lt;=Einstellungen!$D$16,80*(Einstellungen!$D$16-$L48)/(Einstellungen!$D$16-Einstellungen!$C$16),0))))*Einstellungen!$E$16+IF($N48="",0,IF($N48&lt;=Einstellungen!$B$17,100,IF($N48&lt;=Einstellungen!$C$17,80+(100-80)*(Einstellungen!$C$17-$N48)/(Einstellungen!$C$17-Einstellungen!$B$17),IF($N48&lt;=Einstellungen!$D$17,80*(Einstellungen!$D$17-$N48)/(Einstellungen!$D$17-Einstellungen!$C$17),0))))*Einstellungen!$E$17+IF($P48="",0,IF($P48&lt;=Einstellungen!$B$18,100,IF($P48&lt;=Einstellungen!$C$18,80+(100-80)*(Einstellungen!$C$18-$P48)/(Einstellungen!$C$18-Einstellungen!$B$18),IF($P48&lt;=Einstellungen!$D$18,80*(Einstellungen!$D$18-$P48)/(Einstellungen!$D$18-Einstellungen!$C$18),0))))*Einstellungen!$E$18)/(Einstellungen!$E$16+Einstellungen!$E$17+Einstellungen!$E$18),0))</f>
        <v/>
      </c>
      <c r="Z48">
        <f>IF(AND($E48="",$D48="",$G48="",$V48="",$Q48="",$T48="",$W48="",$U48=""),"",ROUND(IF($E48="",0,IF($E48&lt;Einstellungen!$B$21,0,IF($E48&gt;=Einstellungen!$B$22,100,($E48-Einstellungen!$B$21)/(Einstellungen!$B$22-Einstellungen!$B$21)*100)))/100*Einstellungen!$B$5+IF($W48="",0,$W48/100)*Einstellungen!$B$6+(IF($G48="",0,MAX(0,MIN(100,($G48-Einstellungen!$B$25)/(Einstellungen!$B$26-Einstellungen!$B$25)*100)))+IF($I48="",0,MAX(0,MIN(100,($I48-Einstellungen!$B$27)/(Einstellungen!$B$28-Einstellungen!$B$27)*100))))/2/100*Einstellungen!$B$7+IF($V48="",0,$V48/100)*Einstellungen!$B$8+IF($R48="",0,MAX(0,MIN(100,(Einstellungen!$B$32-$R48)/(Einstellungen!$B$32-Einstellungen!$B$31)*100)))/100*Einstellungen!$B$9+IF($D48="",0,$D48/5*100)/100*Einstellungen!$B$10+IF($AD48="",0,$AD48)/100*Einstellungen!$B$11+IF($U48="",0,$U48/5*100)/100*Einstellungen!$B$12,0))</f>
        <v/>
      </c>
      <c r="AA48">
        <f>IF($X48="","",$X48*1000000000000+IF($G48="",0,$G48)*1000000+IF($H48="",0,$H48)*1000+IF($I48="",0,$I48)+IF($N48="",0,MAX(0,1000-$N48))/1000+IF($A48="",0,$A48)/1000000)</f>
        <v/>
      </c>
      <c r="AB48">
        <f>IF($Y48="","",_xludf.RANK.EQ($Y48,$Y$2:$Y$201,0))</f>
        <v/>
      </c>
    </row>
    <row r="49">
      <c r="T49">
        <f>IFERROR(IF($Q49="","",$Q49/$H49),"")</f>
        <v/>
      </c>
      <c r="U49">
        <f>IFERROR(IF($Q49="","",$Q49/$G49),"")</f>
        <v/>
      </c>
      <c r="Y49">
        <f>IF(AND($L49="",$N49="",$P49=""),"",ROUND((IF($L49="",0,IF($L49&lt;=Einstellungen!$B$16,100,IF($L49&lt;=Einstellungen!$C$16,80+(100-80)*(Einstellungen!$C$16-$L49)/(Einstellungen!$C$16-Einstellungen!$B$16),IF($L49&lt;=Einstellungen!$D$16,80*(Einstellungen!$D$16-$L49)/(Einstellungen!$D$16-Einstellungen!$C$16),0))))*Einstellungen!$E$16+IF($N49="",0,IF($N49&lt;=Einstellungen!$B$17,100,IF($N49&lt;=Einstellungen!$C$17,80+(100-80)*(Einstellungen!$C$17-$N49)/(Einstellungen!$C$17-Einstellungen!$B$17),IF($N49&lt;=Einstellungen!$D$17,80*(Einstellungen!$D$17-$N49)/(Einstellungen!$D$17-Einstellungen!$C$17),0))))*Einstellungen!$E$17+IF($P49="",0,IF($P49&lt;=Einstellungen!$B$18,100,IF($P49&lt;=Einstellungen!$C$18,80+(100-80)*(Einstellungen!$C$18-$P49)/(Einstellungen!$C$18-Einstellungen!$B$18),IF($P49&lt;=Einstellungen!$D$18,80*(Einstellungen!$D$18-$P49)/(Einstellungen!$D$18-Einstellungen!$C$18),0))))*Einstellungen!$E$18)/(Einstellungen!$E$16+Einstellungen!$E$17+Einstellungen!$E$18),0))</f>
        <v/>
      </c>
      <c r="Z49">
        <f>IF(AND($E49="",$D49="",$G49="",$V49="",$Q49="",$T49="",$W49="",$U49=""),"",ROUND(IF($E49="",0,IF($E49&lt;Einstellungen!$B$21,0,IF($E49&gt;=Einstellungen!$B$22,100,($E49-Einstellungen!$B$21)/(Einstellungen!$B$22-Einstellungen!$B$21)*100)))/100*Einstellungen!$B$5+IF($W49="",0,$W49/100)*Einstellungen!$B$6+(IF($G49="",0,MAX(0,MIN(100,($G49-Einstellungen!$B$25)/(Einstellungen!$B$26-Einstellungen!$B$25)*100)))+IF($I49="",0,MAX(0,MIN(100,($I49-Einstellungen!$B$27)/(Einstellungen!$B$28-Einstellungen!$B$27)*100))))/2/100*Einstellungen!$B$7+IF($V49="",0,$V49/100)*Einstellungen!$B$8+IF($R49="",0,MAX(0,MIN(100,(Einstellungen!$B$32-$R49)/(Einstellungen!$B$32-Einstellungen!$B$31)*100)))/100*Einstellungen!$B$9+IF($D49="",0,$D49/5*100)/100*Einstellungen!$B$10+IF($AD49="",0,$AD49)/100*Einstellungen!$B$11+IF($U49="",0,$U49/5*100)/100*Einstellungen!$B$12,0))</f>
        <v/>
      </c>
      <c r="AA49">
        <f>IF($X49="","",$X49*1000000000000+IF($G49="",0,$G49)*1000000+IF($H49="",0,$H49)*1000+IF($I49="",0,$I49)+IF($N49="",0,MAX(0,1000-$N49))/1000+IF($A49="",0,$A49)/1000000)</f>
        <v/>
      </c>
      <c r="AB49">
        <f>IF($Y49="","",_xludf.RANK.EQ($Y49,$Y$2:$Y$201,0))</f>
        <v/>
      </c>
    </row>
    <row r="50">
      <c r="T50">
        <f>IFERROR(IF($Q50="","",$Q50/$H50),"")</f>
        <v/>
      </c>
      <c r="U50">
        <f>IFERROR(IF($Q50="","",$Q50/$G50),"")</f>
        <v/>
      </c>
      <c r="Y50">
        <f>IF(AND($L50="",$N50="",$P50=""),"",ROUND((IF($L50="",0,IF($L50&lt;=Einstellungen!$B$16,100,IF($L50&lt;=Einstellungen!$C$16,80+(100-80)*(Einstellungen!$C$16-$L50)/(Einstellungen!$C$16-Einstellungen!$B$16),IF($L50&lt;=Einstellungen!$D$16,80*(Einstellungen!$D$16-$L50)/(Einstellungen!$D$16-Einstellungen!$C$16),0))))*Einstellungen!$E$16+IF($N50="",0,IF($N50&lt;=Einstellungen!$B$17,100,IF($N50&lt;=Einstellungen!$C$17,80+(100-80)*(Einstellungen!$C$17-$N50)/(Einstellungen!$C$17-Einstellungen!$B$17),IF($N50&lt;=Einstellungen!$D$17,80*(Einstellungen!$D$17-$N50)/(Einstellungen!$D$17-Einstellungen!$C$17),0))))*Einstellungen!$E$17+IF($P50="",0,IF($P50&lt;=Einstellungen!$B$18,100,IF($P50&lt;=Einstellungen!$C$18,80+(100-80)*(Einstellungen!$C$18-$P50)/(Einstellungen!$C$18-Einstellungen!$B$18),IF($P50&lt;=Einstellungen!$D$18,80*(Einstellungen!$D$18-$P50)/(Einstellungen!$D$18-Einstellungen!$C$18),0))))*Einstellungen!$E$18)/(Einstellungen!$E$16+Einstellungen!$E$17+Einstellungen!$E$18),0))</f>
        <v/>
      </c>
      <c r="Z50">
        <f>IF(AND($E50="",$D50="",$G50="",$V50="",$Q50="",$T50="",$W50="",$U50=""),"",ROUND(IF($E50="",0,IF($E50&lt;Einstellungen!$B$21,0,IF($E50&gt;=Einstellungen!$B$22,100,($E50-Einstellungen!$B$21)/(Einstellungen!$B$22-Einstellungen!$B$21)*100)))/100*Einstellungen!$B$5+IF($W50="",0,$W50/100)*Einstellungen!$B$6+(IF($G50="",0,MAX(0,MIN(100,($G50-Einstellungen!$B$25)/(Einstellungen!$B$26-Einstellungen!$B$25)*100)))+IF($I50="",0,MAX(0,MIN(100,($I50-Einstellungen!$B$27)/(Einstellungen!$B$28-Einstellungen!$B$27)*100))))/2/100*Einstellungen!$B$7+IF($V50="",0,$V50/100)*Einstellungen!$B$8+IF($R50="",0,MAX(0,MIN(100,(Einstellungen!$B$32-$R50)/(Einstellungen!$B$32-Einstellungen!$B$31)*100)))/100*Einstellungen!$B$9+IF($D50="",0,$D50/5*100)/100*Einstellungen!$B$10+IF($AD50="",0,$AD50)/100*Einstellungen!$B$11+IF($U50="",0,$U50/5*100)/100*Einstellungen!$B$12,0))</f>
        <v/>
      </c>
      <c r="AA50">
        <f>IF($X50="","",$X50*1000000000000+IF($G50="",0,$G50)*1000000+IF($H50="",0,$H50)*1000+IF($I50="",0,$I50)+IF($N50="",0,MAX(0,1000-$N50))/1000+IF($A50="",0,$A50)/1000000)</f>
        <v/>
      </c>
      <c r="AB50">
        <f>IF($Y50="","",_xludf.RANK.EQ($Y50,$Y$2:$Y$201,0))</f>
        <v/>
      </c>
    </row>
    <row r="51">
      <c r="T51">
        <f>IFERROR(IF($Q51="","",$Q51/$H51),"")</f>
        <v/>
      </c>
      <c r="U51">
        <f>IFERROR(IF($Q51="","",$Q51/$G51),"")</f>
        <v/>
      </c>
      <c r="Y51">
        <f>IF(AND($L51="",$N51="",$P51=""),"",ROUND((IF($L51="",0,IF($L51&lt;=Einstellungen!$B$16,100,IF($L51&lt;=Einstellungen!$C$16,80+(100-80)*(Einstellungen!$C$16-$L51)/(Einstellungen!$C$16-Einstellungen!$B$16),IF($L51&lt;=Einstellungen!$D$16,80*(Einstellungen!$D$16-$L51)/(Einstellungen!$D$16-Einstellungen!$C$16),0))))*Einstellungen!$E$16+IF($N51="",0,IF($N51&lt;=Einstellungen!$B$17,100,IF($N51&lt;=Einstellungen!$C$17,80+(100-80)*(Einstellungen!$C$17-$N51)/(Einstellungen!$C$17-Einstellungen!$B$17),IF($N51&lt;=Einstellungen!$D$17,80*(Einstellungen!$D$17-$N51)/(Einstellungen!$D$17-Einstellungen!$C$17),0))))*Einstellungen!$E$17+IF($P51="",0,IF($P51&lt;=Einstellungen!$B$18,100,IF($P51&lt;=Einstellungen!$C$18,80+(100-80)*(Einstellungen!$C$18-$P51)/(Einstellungen!$C$18-Einstellungen!$B$18),IF($P51&lt;=Einstellungen!$D$18,80*(Einstellungen!$D$18-$P51)/(Einstellungen!$D$18-Einstellungen!$C$18),0))))*Einstellungen!$E$18)/(Einstellungen!$E$16+Einstellungen!$E$17+Einstellungen!$E$18),0))</f>
        <v/>
      </c>
      <c r="Z51">
        <f>IF(AND($E51="",$D51="",$G51="",$V51="",$Q51="",$T51="",$W51="",$U51=""),"",ROUND(IF($E51="",0,IF($E51&lt;Einstellungen!$B$21,0,IF($E51&gt;=Einstellungen!$B$22,100,($E51-Einstellungen!$B$21)/(Einstellungen!$B$22-Einstellungen!$B$21)*100)))/100*Einstellungen!$B$5+IF($W51="",0,$W51/100)*Einstellungen!$B$6+(IF($G51="",0,MAX(0,MIN(100,($G51-Einstellungen!$B$25)/(Einstellungen!$B$26-Einstellungen!$B$25)*100)))+IF($I51="",0,MAX(0,MIN(100,($I51-Einstellungen!$B$27)/(Einstellungen!$B$28-Einstellungen!$B$27)*100))))/2/100*Einstellungen!$B$7+IF($V51="",0,$V51/100)*Einstellungen!$B$8+IF($R51="",0,MAX(0,MIN(100,(Einstellungen!$B$32-$R51)/(Einstellungen!$B$32-Einstellungen!$B$31)*100)))/100*Einstellungen!$B$9+IF($D51="",0,$D51/5*100)/100*Einstellungen!$B$10+IF($AD51="",0,$AD51)/100*Einstellungen!$B$11+IF($U51="",0,$U51/5*100)/100*Einstellungen!$B$12,0))</f>
        <v/>
      </c>
      <c r="AA51">
        <f>IF($X51="","",$X51*1000000000000+IF($G51="",0,$G51)*1000000+IF($H51="",0,$H51)*1000+IF($I51="",0,$I51)+IF($N51="",0,MAX(0,1000-$N51))/1000+IF($A51="",0,$A51)/1000000)</f>
        <v/>
      </c>
      <c r="AB51">
        <f>IF($Y51="","",_xludf.RANK.EQ($Y51,$Y$2:$Y$201,0))</f>
        <v/>
      </c>
    </row>
    <row r="52">
      <c r="T52">
        <f>IFERROR(IF($Q52="","",$Q52/$H52),"")</f>
        <v/>
      </c>
      <c r="U52">
        <f>IFERROR(IF($Q52="","",$Q52/$G52),"")</f>
        <v/>
      </c>
      <c r="Y52">
        <f>IF(AND($L52="",$N52="",$P52=""),"",ROUND((IF($L52="",0,IF($L52&lt;=Einstellungen!$B$16,100,IF($L52&lt;=Einstellungen!$C$16,80+(100-80)*(Einstellungen!$C$16-$L52)/(Einstellungen!$C$16-Einstellungen!$B$16),IF($L52&lt;=Einstellungen!$D$16,80*(Einstellungen!$D$16-$L52)/(Einstellungen!$D$16-Einstellungen!$C$16),0))))*Einstellungen!$E$16+IF($N52="",0,IF($N52&lt;=Einstellungen!$B$17,100,IF($N52&lt;=Einstellungen!$C$17,80+(100-80)*(Einstellungen!$C$17-$N52)/(Einstellungen!$C$17-Einstellungen!$B$17),IF($N52&lt;=Einstellungen!$D$17,80*(Einstellungen!$D$17-$N52)/(Einstellungen!$D$17-Einstellungen!$C$17),0))))*Einstellungen!$E$17+IF($P52="",0,IF($P52&lt;=Einstellungen!$B$18,100,IF($P52&lt;=Einstellungen!$C$18,80+(100-80)*(Einstellungen!$C$18-$P52)/(Einstellungen!$C$18-Einstellungen!$B$18),IF($P52&lt;=Einstellungen!$D$18,80*(Einstellungen!$D$18-$P52)/(Einstellungen!$D$18-Einstellungen!$C$18),0))))*Einstellungen!$E$18)/(Einstellungen!$E$16+Einstellungen!$E$17+Einstellungen!$E$18),0))</f>
        <v/>
      </c>
      <c r="Z52">
        <f>IF(AND($E52="",$D52="",$G52="",$V52="",$Q52="",$T52="",$W52="",$U52=""),"",ROUND(IF($E52="",0,IF($E52&lt;Einstellungen!$B$21,0,IF($E52&gt;=Einstellungen!$B$22,100,($E52-Einstellungen!$B$21)/(Einstellungen!$B$22-Einstellungen!$B$21)*100)))/100*Einstellungen!$B$5+IF($W52="",0,$W52/100)*Einstellungen!$B$6+(IF($G52="",0,MAX(0,MIN(100,($G52-Einstellungen!$B$25)/(Einstellungen!$B$26-Einstellungen!$B$25)*100)))+IF($I52="",0,MAX(0,MIN(100,($I52-Einstellungen!$B$27)/(Einstellungen!$B$28-Einstellungen!$B$27)*100))))/2/100*Einstellungen!$B$7+IF($V52="",0,$V52/100)*Einstellungen!$B$8+IF($R52="",0,MAX(0,MIN(100,(Einstellungen!$B$32-$R52)/(Einstellungen!$B$32-Einstellungen!$B$31)*100)))/100*Einstellungen!$B$9+IF($D52="",0,$D52/5*100)/100*Einstellungen!$B$10+IF($AD52="",0,$AD52)/100*Einstellungen!$B$11+IF($U52="",0,$U52/5*100)/100*Einstellungen!$B$12,0))</f>
        <v/>
      </c>
      <c r="AA52">
        <f>IF($X52="","",$X52*1000000000000+IF($G52="",0,$G52)*1000000+IF($H52="",0,$H52)*1000+IF($I52="",0,$I52)+IF($N52="",0,MAX(0,1000-$N52))/1000+IF($A52="",0,$A52)/1000000)</f>
        <v/>
      </c>
      <c r="AB52">
        <f>IF($Y52="","",_xludf.RANK.EQ($Y52,$Y$2:$Y$201,0))</f>
        <v/>
      </c>
    </row>
    <row r="53">
      <c r="T53">
        <f>IFERROR(IF($Q53="","",$Q53/$H53),"")</f>
        <v/>
      </c>
      <c r="U53">
        <f>IFERROR(IF($Q53="","",$Q53/$G53),"")</f>
        <v/>
      </c>
      <c r="Y53">
        <f>IF(AND($L53="",$N53="",$P53=""),"",ROUND((IF($L53="",0,IF($L53&lt;=Einstellungen!$B$16,100,IF($L53&lt;=Einstellungen!$C$16,80+(100-80)*(Einstellungen!$C$16-$L53)/(Einstellungen!$C$16-Einstellungen!$B$16),IF($L53&lt;=Einstellungen!$D$16,80*(Einstellungen!$D$16-$L53)/(Einstellungen!$D$16-Einstellungen!$C$16),0))))*Einstellungen!$E$16+IF($N53="",0,IF($N53&lt;=Einstellungen!$B$17,100,IF($N53&lt;=Einstellungen!$C$17,80+(100-80)*(Einstellungen!$C$17-$N53)/(Einstellungen!$C$17-Einstellungen!$B$17),IF($N53&lt;=Einstellungen!$D$17,80*(Einstellungen!$D$17-$N53)/(Einstellungen!$D$17-Einstellungen!$C$17),0))))*Einstellungen!$E$17+IF($P53="",0,IF($P53&lt;=Einstellungen!$B$18,100,IF($P53&lt;=Einstellungen!$C$18,80+(100-80)*(Einstellungen!$C$18-$P53)/(Einstellungen!$C$18-Einstellungen!$B$18),IF($P53&lt;=Einstellungen!$D$18,80*(Einstellungen!$D$18-$P53)/(Einstellungen!$D$18-Einstellungen!$C$18),0))))*Einstellungen!$E$18)/(Einstellungen!$E$16+Einstellungen!$E$17+Einstellungen!$E$18),0))</f>
        <v/>
      </c>
      <c r="Z53">
        <f>IF(AND($E53="",$D53="",$G53="",$V53="",$Q53="",$T53="",$W53="",$U53=""),"",ROUND(IF($E53="",0,IF($E53&lt;Einstellungen!$B$21,0,IF($E53&gt;=Einstellungen!$B$22,100,($E53-Einstellungen!$B$21)/(Einstellungen!$B$22-Einstellungen!$B$21)*100)))/100*Einstellungen!$B$5+IF($W53="",0,$W53/100)*Einstellungen!$B$6+(IF($G53="",0,MAX(0,MIN(100,($G53-Einstellungen!$B$25)/(Einstellungen!$B$26-Einstellungen!$B$25)*100)))+IF($I53="",0,MAX(0,MIN(100,($I53-Einstellungen!$B$27)/(Einstellungen!$B$28-Einstellungen!$B$27)*100))))/2/100*Einstellungen!$B$7+IF($V53="",0,$V53/100)*Einstellungen!$B$8+IF($R53="",0,MAX(0,MIN(100,(Einstellungen!$B$32-$R53)/(Einstellungen!$B$32-Einstellungen!$B$31)*100)))/100*Einstellungen!$B$9+IF($D53="",0,$D53/5*100)/100*Einstellungen!$B$10+IF($AD53="",0,$AD53)/100*Einstellungen!$B$11+IF($U53="",0,$U53/5*100)/100*Einstellungen!$B$12,0))</f>
        <v/>
      </c>
      <c r="AA53">
        <f>IF($X53="","",$X53*1000000000000+IF($G53="",0,$G53)*1000000+IF($H53="",0,$H53)*1000+IF($I53="",0,$I53)+IF($N53="",0,MAX(0,1000-$N53))/1000+IF($A53="",0,$A53)/1000000)</f>
        <v/>
      </c>
      <c r="AB53">
        <f>IF($Y53="","",_xludf.RANK.EQ($Y53,$Y$2:$Y$201,0))</f>
        <v/>
      </c>
    </row>
    <row r="54">
      <c r="T54">
        <f>IFERROR(IF($Q54="","",$Q54/$H54),"")</f>
        <v/>
      </c>
      <c r="U54">
        <f>IFERROR(IF($Q54="","",$Q54/$G54),"")</f>
        <v/>
      </c>
      <c r="Y54">
        <f>IF(AND($L54="",$N54="",$P54=""),"",ROUND((IF($L54="",0,IF($L54&lt;=Einstellungen!$B$16,100,IF($L54&lt;=Einstellungen!$C$16,80+(100-80)*(Einstellungen!$C$16-$L54)/(Einstellungen!$C$16-Einstellungen!$B$16),IF($L54&lt;=Einstellungen!$D$16,80*(Einstellungen!$D$16-$L54)/(Einstellungen!$D$16-Einstellungen!$C$16),0))))*Einstellungen!$E$16+IF($N54="",0,IF($N54&lt;=Einstellungen!$B$17,100,IF($N54&lt;=Einstellungen!$C$17,80+(100-80)*(Einstellungen!$C$17-$N54)/(Einstellungen!$C$17-Einstellungen!$B$17),IF($N54&lt;=Einstellungen!$D$17,80*(Einstellungen!$D$17-$N54)/(Einstellungen!$D$17-Einstellungen!$C$17),0))))*Einstellungen!$E$17+IF($P54="",0,IF($P54&lt;=Einstellungen!$B$18,100,IF($P54&lt;=Einstellungen!$C$18,80+(100-80)*(Einstellungen!$C$18-$P54)/(Einstellungen!$C$18-Einstellungen!$B$18),IF($P54&lt;=Einstellungen!$D$18,80*(Einstellungen!$D$18-$P54)/(Einstellungen!$D$18-Einstellungen!$C$18),0))))*Einstellungen!$E$18)/(Einstellungen!$E$16+Einstellungen!$E$17+Einstellungen!$E$18),0))</f>
        <v/>
      </c>
      <c r="Z54">
        <f>IF(AND($E54="",$D54="",$G54="",$V54="",$Q54="",$T54="",$W54="",$U54=""),"",ROUND(IF($E54="",0,IF($E54&lt;Einstellungen!$B$21,0,IF($E54&gt;=Einstellungen!$B$22,100,($E54-Einstellungen!$B$21)/(Einstellungen!$B$22-Einstellungen!$B$21)*100)))/100*Einstellungen!$B$5+IF($W54="",0,$W54/100)*Einstellungen!$B$6+(IF($G54="",0,MAX(0,MIN(100,($G54-Einstellungen!$B$25)/(Einstellungen!$B$26-Einstellungen!$B$25)*100)))+IF($I54="",0,MAX(0,MIN(100,($I54-Einstellungen!$B$27)/(Einstellungen!$B$28-Einstellungen!$B$27)*100))))/2/100*Einstellungen!$B$7+IF($V54="",0,$V54/100)*Einstellungen!$B$8+IF($R54="",0,MAX(0,MIN(100,(Einstellungen!$B$32-$R54)/(Einstellungen!$B$32-Einstellungen!$B$31)*100)))/100*Einstellungen!$B$9+IF($D54="",0,$D54/5*100)/100*Einstellungen!$B$10+IF($AD54="",0,$AD54)/100*Einstellungen!$B$11+IF($U54="",0,$U54/5*100)/100*Einstellungen!$B$12,0))</f>
        <v/>
      </c>
      <c r="AA54">
        <f>IF($X54="","",$X54*1000000000000+IF($G54="",0,$G54)*1000000+IF($H54="",0,$H54)*1000+IF($I54="",0,$I54)+IF($N54="",0,MAX(0,1000-$N54))/1000+IF($A54="",0,$A54)/1000000)</f>
        <v/>
      </c>
      <c r="AB54">
        <f>IF($Y54="","",_xludf.RANK.EQ($Y54,$Y$2:$Y$201,0))</f>
        <v/>
      </c>
    </row>
    <row r="55">
      <c r="T55">
        <f>IFERROR(IF($Q55="","",$Q55/$H55),"")</f>
        <v/>
      </c>
      <c r="U55">
        <f>IFERROR(IF($Q55="","",$Q55/$G55),"")</f>
        <v/>
      </c>
      <c r="Y55">
        <f>IF(AND($L55="",$N55="",$P55=""),"",ROUND((IF($L55="",0,IF($L55&lt;=Einstellungen!$B$16,100,IF($L55&lt;=Einstellungen!$C$16,80+(100-80)*(Einstellungen!$C$16-$L55)/(Einstellungen!$C$16-Einstellungen!$B$16),IF($L55&lt;=Einstellungen!$D$16,80*(Einstellungen!$D$16-$L55)/(Einstellungen!$D$16-Einstellungen!$C$16),0))))*Einstellungen!$E$16+IF($N55="",0,IF($N55&lt;=Einstellungen!$B$17,100,IF($N55&lt;=Einstellungen!$C$17,80+(100-80)*(Einstellungen!$C$17-$N55)/(Einstellungen!$C$17-Einstellungen!$B$17),IF($N55&lt;=Einstellungen!$D$17,80*(Einstellungen!$D$17-$N55)/(Einstellungen!$D$17-Einstellungen!$C$17),0))))*Einstellungen!$E$17+IF($P55="",0,IF($P55&lt;=Einstellungen!$B$18,100,IF($P55&lt;=Einstellungen!$C$18,80+(100-80)*(Einstellungen!$C$18-$P55)/(Einstellungen!$C$18-Einstellungen!$B$18),IF($P55&lt;=Einstellungen!$D$18,80*(Einstellungen!$D$18-$P55)/(Einstellungen!$D$18-Einstellungen!$C$18),0))))*Einstellungen!$E$18)/(Einstellungen!$E$16+Einstellungen!$E$17+Einstellungen!$E$18),0))</f>
        <v/>
      </c>
      <c r="Z55">
        <f>IF(AND($E55="",$D55="",$G55="",$V55="",$Q55="",$T55="",$W55="",$U55=""),"",ROUND(IF($E55="",0,IF($E55&lt;Einstellungen!$B$21,0,IF($E55&gt;=Einstellungen!$B$22,100,($E55-Einstellungen!$B$21)/(Einstellungen!$B$22-Einstellungen!$B$21)*100)))/100*Einstellungen!$B$5+IF($W55="",0,$W55/100)*Einstellungen!$B$6+(IF($G55="",0,MAX(0,MIN(100,($G55-Einstellungen!$B$25)/(Einstellungen!$B$26-Einstellungen!$B$25)*100)))+IF($I55="",0,MAX(0,MIN(100,($I55-Einstellungen!$B$27)/(Einstellungen!$B$28-Einstellungen!$B$27)*100))))/2/100*Einstellungen!$B$7+IF($V55="",0,$V55/100)*Einstellungen!$B$8+IF($R55="",0,MAX(0,MIN(100,(Einstellungen!$B$32-$R55)/(Einstellungen!$B$32-Einstellungen!$B$31)*100)))/100*Einstellungen!$B$9+IF($D55="",0,$D55/5*100)/100*Einstellungen!$B$10+IF($AD55="",0,$AD55)/100*Einstellungen!$B$11+IF($U55="",0,$U55/5*100)/100*Einstellungen!$B$12,0))</f>
        <v/>
      </c>
      <c r="AA55">
        <f>IF($X55="","",$X55*1000000000000+IF($G55="",0,$G55)*1000000+IF($H55="",0,$H55)*1000+IF($I55="",0,$I55)+IF($N55="",0,MAX(0,1000-$N55))/1000+IF($A55="",0,$A55)/1000000)</f>
        <v/>
      </c>
      <c r="AB55">
        <f>IF($Y55="","",_xludf.RANK.EQ($Y55,$Y$2:$Y$201,0))</f>
        <v/>
      </c>
    </row>
    <row r="56">
      <c r="T56">
        <f>IFERROR(IF($Q56="","",$Q56/$H56),"")</f>
        <v/>
      </c>
      <c r="U56">
        <f>IFERROR(IF($Q56="","",$Q56/$G56),"")</f>
        <v/>
      </c>
      <c r="Y56">
        <f>IF(AND($L56="",$N56="",$P56=""),"",ROUND((IF($L56="",0,IF($L56&lt;=Einstellungen!$B$16,100,IF($L56&lt;=Einstellungen!$C$16,80+(100-80)*(Einstellungen!$C$16-$L56)/(Einstellungen!$C$16-Einstellungen!$B$16),IF($L56&lt;=Einstellungen!$D$16,80*(Einstellungen!$D$16-$L56)/(Einstellungen!$D$16-Einstellungen!$C$16),0))))*Einstellungen!$E$16+IF($N56="",0,IF($N56&lt;=Einstellungen!$B$17,100,IF($N56&lt;=Einstellungen!$C$17,80+(100-80)*(Einstellungen!$C$17-$N56)/(Einstellungen!$C$17-Einstellungen!$B$17),IF($N56&lt;=Einstellungen!$D$17,80*(Einstellungen!$D$17-$N56)/(Einstellungen!$D$17-Einstellungen!$C$17),0))))*Einstellungen!$E$17+IF($P56="",0,IF($P56&lt;=Einstellungen!$B$18,100,IF($P56&lt;=Einstellungen!$C$18,80+(100-80)*(Einstellungen!$C$18-$P56)/(Einstellungen!$C$18-Einstellungen!$B$18),IF($P56&lt;=Einstellungen!$D$18,80*(Einstellungen!$D$18-$P56)/(Einstellungen!$D$18-Einstellungen!$C$18),0))))*Einstellungen!$E$18)/(Einstellungen!$E$16+Einstellungen!$E$17+Einstellungen!$E$18),0))</f>
        <v/>
      </c>
      <c r="Z56">
        <f>IF(AND($E56="",$D56="",$G56="",$V56="",$Q56="",$T56="",$W56="",$U56=""),"",ROUND(IF($E56="",0,IF($E56&lt;Einstellungen!$B$21,0,IF($E56&gt;=Einstellungen!$B$22,100,($E56-Einstellungen!$B$21)/(Einstellungen!$B$22-Einstellungen!$B$21)*100)))/100*Einstellungen!$B$5+IF($W56="",0,$W56/100)*Einstellungen!$B$6+(IF($G56="",0,MAX(0,MIN(100,($G56-Einstellungen!$B$25)/(Einstellungen!$B$26-Einstellungen!$B$25)*100)))+IF($I56="",0,MAX(0,MIN(100,($I56-Einstellungen!$B$27)/(Einstellungen!$B$28-Einstellungen!$B$27)*100))))/2/100*Einstellungen!$B$7+IF($V56="",0,$V56/100)*Einstellungen!$B$8+IF($R56="",0,MAX(0,MIN(100,(Einstellungen!$B$32-$R56)/(Einstellungen!$B$32-Einstellungen!$B$31)*100)))/100*Einstellungen!$B$9+IF($D56="",0,$D56/5*100)/100*Einstellungen!$B$10+IF($AD56="",0,$AD56)/100*Einstellungen!$B$11+IF($U56="",0,$U56/5*100)/100*Einstellungen!$B$12,0))</f>
        <v/>
      </c>
      <c r="AA56">
        <f>IF($X56="","",$X56*1000000000000+IF($G56="",0,$G56)*1000000+IF($H56="",0,$H56)*1000+IF($I56="",0,$I56)+IF($N56="",0,MAX(0,1000-$N56))/1000+IF($A56="",0,$A56)/1000000)</f>
        <v/>
      </c>
      <c r="AB56">
        <f>IF($Y56="","",_xludf.RANK.EQ($Y56,$Y$2:$Y$201,0))</f>
        <v/>
      </c>
    </row>
    <row r="57">
      <c r="T57">
        <f>IFERROR(IF($Q57="","",$Q57/$H57),"")</f>
        <v/>
      </c>
      <c r="U57">
        <f>IFERROR(IF($Q57="","",$Q57/$G57),"")</f>
        <v/>
      </c>
      <c r="Y57">
        <f>IF(AND($L57="",$N57="",$P57=""),"",ROUND((IF($L57="",0,IF($L57&lt;=Einstellungen!$B$16,100,IF($L57&lt;=Einstellungen!$C$16,80+(100-80)*(Einstellungen!$C$16-$L57)/(Einstellungen!$C$16-Einstellungen!$B$16),IF($L57&lt;=Einstellungen!$D$16,80*(Einstellungen!$D$16-$L57)/(Einstellungen!$D$16-Einstellungen!$C$16),0))))*Einstellungen!$E$16+IF($N57="",0,IF($N57&lt;=Einstellungen!$B$17,100,IF($N57&lt;=Einstellungen!$C$17,80+(100-80)*(Einstellungen!$C$17-$N57)/(Einstellungen!$C$17-Einstellungen!$B$17),IF($N57&lt;=Einstellungen!$D$17,80*(Einstellungen!$D$17-$N57)/(Einstellungen!$D$17-Einstellungen!$C$17),0))))*Einstellungen!$E$17+IF($P57="",0,IF($P57&lt;=Einstellungen!$B$18,100,IF($P57&lt;=Einstellungen!$C$18,80+(100-80)*(Einstellungen!$C$18-$P57)/(Einstellungen!$C$18-Einstellungen!$B$18),IF($P57&lt;=Einstellungen!$D$18,80*(Einstellungen!$D$18-$P57)/(Einstellungen!$D$18-Einstellungen!$C$18),0))))*Einstellungen!$E$18)/(Einstellungen!$E$16+Einstellungen!$E$17+Einstellungen!$E$18),0))</f>
        <v/>
      </c>
      <c r="Z57">
        <f>IF(AND($E57="",$D57="",$G57="",$V57="",$Q57="",$T57="",$W57="",$U57=""),"",ROUND(IF($E57="",0,IF($E57&lt;Einstellungen!$B$21,0,IF($E57&gt;=Einstellungen!$B$22,100,($E57-Einstellungen!$B$21)/(Einstellungen!$B$22-Einstellungen!$B$21)*100)))/100*Einstellungen!$B$5+IF($W57="",0,$W57/100)*Einstellungen!$B$6+(IF($G57="",0,MAX(0,MIN(100,($G57-Einstellungen!$B$25)/(Einstellungen!$B$26-Einstellungen!$B$25)*100)))+IF($I57="",0,MAX(0,MIN(100,($I57-Einstellungen!$B$27)/(Einstellungen!$B$28-Einstellungen!$B$27)*100))))/2/100*Einstellungen!$B$7+IF($V57="",0,$V57/100)*Einstellungen!$B$8+IF($R57="",0,MAX(0,MIN(100,(Einstellungen!$B$32-$R57)/(Einstellungen!$B$32-Einstellungen!$B$31)*100)))/100*Einstellungen!$B$9+IF($D57="",0,$D57/5*100)/100*Einstellungen!$B$10+IF($AD57="",0,$AD57)/100*Einstellungen!$B$11+IF($U57="",0,$U57/5*100)/100*Einstellungen!$B$12,0))</f>
        <v/>
      </c>
      <c r="AA57">
        <f>IF($X57="","",$X57*1000000000000+IF($G57="",0,$G57)*1000000+IF($H57="",0,$H57)*1000+IF($I57="",0,$I57)+IF($N57="",0,MAX(0,1000-$N57))/1000+IF($A57="",0,$A57)/1000000)</f>
        <v/>
      </c>
      <c r="AB57">
        <f>IF($Y57="","",_xludf.RANK.EQ($Y57,$Y$2:$Y$201,0))</f>
        <v/>
      </c>
    </row>
    <row r="58">
      <c r="T58">
        <f>IFERROR(IF($Q58="","",$Q58/$H58),"")</f>
        <v/>
      </c>
      <c r="U58">
        <f>IFERROR(IF($Q58="","",$Q58/$G58),"")</f>
        <v/>
      </c>
      <c r="Y58">
        <f>IF(AND($L58="",$N58="",$P58=""),"",ROUND((IF($L58="",0,IF($L58&lt;=Einstellungen!$B$16,100,IF($L58&lt;=Einstellungen!$C$16,80+(100-80)*(Einstellungen!$C$16-$L58)/(Einstellungen!$C$16-Einstellungen!$B$16),IF($L58&lt;=Einstellungen!$D$16,80*(Einstellungen!$D$16-$L58)/(Einstellungen!$D$16-Einstellungen!$C$16),0))))*Einstellungen!$E$16+IF($N58="",0,IF($N58&lt;=Einstellungen!$B$17,100,IF($N58&lt;=Einstellungen!$C$17,80+(100-80)*(Einstellungen!$C$17-$N58)/(Einstellungen!$C$17-Einstellungen!$B$17),IF($N58&lt;=Einstellungen!$D$17,80*(Einstellungen!$D$17-$N58)/(Einstellungen!$D$17-Einstellungen!$C$17),0))))*Einstellungen!$E$17+IF($P58="",0,IF($P58&lt;=Einstellungen!$B$18,100,IF($P58&lt;=Einstellungen!$C$18,80+(100-80)*(Einstellungen!$C$18-$P58)/(Einstellungen!$C$18-Einstellungen!$B$18),IF($P58&lt;=Einstellungen!$D$18,80*(Einstellungen!$D$18-$P58)/(Einstellungen!$D$18-Einstellungen!$C$18),0))))*Einstellungen!$E$18)/(Einstellungen!$E$16+Einstellungen!$E$17+Einstellungen!$E$18),0))</f>
        <v/>
      </c>
      <c r="Z58">
        <f>IF(AND($E58="",$D58="",$G58="",$V58="",$Q58="",$T58="",$W58="",$U58=""),"",ROUND(IF($E58="",0,IF($E58&lt;Einstellungen!$B$21,0,IF($E58&gt;=Einstellungen!$B$22,100,($E58-Einstellungen!$B$21)/(Einstellungen!$B$22-Einstellungen!$B$21)*100)))/100*Einstellungen!$B$5+IF($W58="",0,$W58/100)*Einstellungen!$B$6+(IF($G58="",0,MAX(0,MIN(100,($G58-Einstellungen!$B$25)/(Einstellungen!$B$26-Einstellungen!$B$25)*100)))+IF($I58="",0,MAX(0,MIN(100,($I58-Einstellungen!$B$27)/(Einstellungen!$B$28-Einstellungen!$B$27)*100))))/2/100*Einstellungen!$B$7+IF($V58="",0,$V58/100)*Einstellungen!$B$8+IF($R58="",0,MAX(0,MIN(100,(Einstellungen!$B$32-$R58)/(Einstellungen!$B$32-Einstellungen!$B$31)*100)))/100*Einstellungen!$B$9+IF($D58="",0,$D58/5*100)/100*Einstellungen!$B$10+IF($AD58="",0,$AD58)/100*Einstellungen!$B$11+IF($U58="",0,$U58/5*100)/100*Einstellungen!$B$12,0))</f>
        <v/>
      </c>
      <c r="AA58">
        <f>IF($X58="","",$X58*1000000000000+IF($G58="",0,$G58)*1000000+IF($H58="",0,$H58)*1000+IF($I58="",0,$I58)+IF($N58="",0,MAX(0,1000-$N58))/1000+IF($A58="",0,$A58)/1000000)</f>
        <v/>
      </c>
      <c r="AB58">
        <f>IF($Y58="","",_xludf.RANK.EQ($Y58,$Y$2:$Y$201,0))</f>
        <v/>
      </c>
    </row>
    <row r="59">
      <c r="T59">
        <f>IFERROR(IF($Q59="","",$Q59/$H59),"")</f>
        <v/>
      </c>
      <c r="U59">
        <f>IFERROR(IF($Q59="","",$Q59/$G59),"")</f>
        <v/>
      </c>
      <c r="Y59">
        <f>IF(AND($L59="",$N59="",$P59=""),"",ROUND((IF($L59="",0,IF($L59&lt;=Einstellungen!$B$16,100,IF($L59&lt;=Einstellungen!$C$16,80+(100-80)*(Einstellungen!$C$16-$L59)/(Einstellungen!$C$16-Einstellungen!$B$16),IF($L59&lt;=Einstellungen!$D$16,80*(Einstellungen!$D$16-$L59)/(Einstellungen!$D$16-Einstellungen!$C$16),0))))*Einstellungen!$E$16+IF($N59="",0,IF($N59&lt;=Einstellungen!$B$17,100,IF($N59&lt;=Einstellungen!$C$17,80+(100-80)*(Einstellungen!$C$17-$N59)/(Einstellungen!$C$17-Einstellungen!$B$17),IF($N59&lt;=Einstellungen!$D$17,80*(Einstellungen!$D$17-$N59)/(Einstellungen!$D$17-Einstellungen!$C$17),0))))*Einstellungen!$E$17+IF($P59="",0,IF($P59&lt;=Einstellungen!$B$18,100,IF($P59&lt;=Einstellungen!$C$18,80+(100-80)*(Einstellungen!$C$18-$P59)/(Einstellungen!$C$18-Einstellungen!$B$18),IF($P59&lt;=Einstellungen!$D$18,80*(Einstellungen!$D$18-$P59)/(Einstellungen!$D$18-Einstellungen!$C$18),0))))*Einstellungen!$E$18)/(Einstellungen!$E$16+Einstellungen!$E$17+Einstellungen!$E$18),0))</f>
        <v/>
      </c>
      <c r="Z59">
        <f>IF(AND($E59="",$D59="",$G59="",$V59="",$Q59="",$T59="",$W59="",$U59=""),"",ROUND(IF($E59="",0,IF($E59&lt;Einstellungen!$B$21,0,IF($E59&gt;=Einstellungen!$B$22,100,($E59-Einstellungen!$B$21)/(Einstellungen!$B$22-Einstellungen!$B$21)*100)))/100*Einstellungen!$B$5+IF($W59="",0,$W59/100)*Einstellungen!$B$6+(IF($G59="",0,MAX(0,MIN(100,($G59-Einstellungen!$B$25)/(Einstellungen!$B$26-Einstellungen!$B$25)*100)))+IF($I59="",0,MAX(0,MIN(100,($I59-Einstellungen!$B$27)/(Einstellungen!$B$28-Einstellungen!$B$27)*100))))/2/100*Einstellungen!$B$7+IF($V59="",0,$V59/100)*Einstellungen!$B$8+IF($R59="",0,MAX(0,MIN(100,(Einstellungen!$B$32-$R59)/(Einstellungen!$B$32-Einstellungen!$B$31)*100)))/100*Einstellungen!$B$9+IF($D59="",0,$D59/5*100)/100*Einstellungen!$B$10+IF($AD59="",0,$AD59)/100*Einstellungen!$B$11+IF($U59="",0,$U59/5*100)/100*Einstellungen!$B$12,0))</f>
        <v/>
      </c>
      <c r="AA59">
        <f>IF($X59="","",$X59*1000000000000+IF($G59="",0,$G59)*1000000+IF($H59="",0,$H59)*1000+IF($I59="",0,$I59)+IF($N59="",0,MAX(0,1000-$N59))/1000+IF($A59="",0,$A59)/1000000)</f>
        <v/>
      </c>
      <c r="AB59">
        <f>IF($Y59="","",_xludf.RANK.EQ($Y59,$Y$2:$Y$201,0))</f>
        <v/>
      </c>
    </row>
    <row r="60">
      <c r="T60">
        <f>IFERROR(IF($Q60="","",$Q60/$H60),"")</f>
        <v/>
      </c>
      <c r="U60">
        <f>IFERROR(IF($Q60="","",$Q60/$G60),"")</f>
        <v/>
      </c>
      <c r="Y60">
        <f>IF(AND($L60="",$N60="",$P60=""),"",ROUND((IF($L60="",0,IF($L60&lt;=Einstellungen!$B$16,100,IF($L60&lt;=Einstellungen!$C$16,80+(100-80)*(Einstellungen!$C$16-$L60)/(Einstellungen!$C$16-Einstellungen!$B$16),IF($L60&lt;=Einstellungen!$D$16,80*(Einstellungen!$D$16-$L60)/(Einstellungen!$D$16-Einstellungen!$C$16),0))))*Einstellungen!$E$16+IF($N60="",0,IF($N60&lt;=Einstellungen!$B$17,100,IF($N60&lt;=Einstellungen!$C$17,80+(100-80)*(Einstellungen!$C$17-$N60)/(Einstellungen!$C$17-Einstellungen!$B$17),IF($N60&lt;=Einstellungen!$D$17,80*(Einstellungen!$D$17-$N60)/(Einstellungen!$D$17-Einstellungen!$C$17),0))))*Einstellungen!$E$17+IF($P60="",0,IF($P60&lt;=Einstellungen!$B$18,100,IF($P60&lt;=Einstellungen!$C$18,80+(100-80)*(Einstellungen!$C$18-$P60)/(Einstellungen!$C$18-Einstellungen!$B$18),IF($P60&lt;=Einstellungen!$D$18,80*(Einstellungen!$D$18-$P60)/(Einstellungen!$D$18-Einstellungen!$C$18),0))))*Einstellungen!$E$18)/(Einstellungen!$E$16+Einstellungen!$E$17+Einstellungen!$E$18),0))</f>
        <v/>
      </c>
      <c r="Z60">
        <f>IF(AND($E60="",$D60="",$G60="",$V60="",$Q60="",$T60="",$W60="",$U60=""),"",ROUND(IF($E60="",0,IF($E60&lt;Einstellungen!$B$21,0,IF($E60&gt;=Einstellungen!$B$22,100,($E60-Einstellungen!$B$21)/(Einstellungen!$B$22-Einstellungen!$B$21)*100)))/100*Einstellungen!$B$5+IF($W60="",0,$W60/100)*Einstellungen!$B$6+(IF($G60="",0,MAX(0,MIN(100,($G60-Einstellungen!$B$25)/(Einstellungen!$B$26-Einstellungen!$B$25)*100)))+IF($I60="",0,MAX(0,MIN(100,($I60-Einstellungen!$B$27)/(Einstellungen!$B$28-Einstellungen!$B$27)*100))))/2/100*Einstellungen!$B$7+IF($V60="",0,$V60/100)*Einstellungen!$B$8+IF($R60="",0,MAX(0,MIN(100,(Einstellungen!$B$32-$R60)/(Einstellungen!$B$32-Einstellungen!$B$31)*100)))/100*Einstellungen!$B$9+IF($D60="",0,$D60/5*100)/100*Einstellungen!$B$10+IF($AD60="",0,$AD60)/100*Einstellungen!$B$11+IF($U60="",0,$U60/5*100)/100*Einstellungen!$B$12,0))</f>
        <v/>
      </c>
      <c r="AA60">
        <f>IF($X60="","",$X60*1000000000000+IF($G60="",0,$G60)*1000000+IF($H60="",0,$H60)*1000+IF($I60="",0,$I60)+IF($N60="",0,MAX(0,1000-$N60))/1000+IF($A60="",0,$A60)/1000000)</f>
        <v/>
      </c>
      <c r="AB60">
        <f>IF($Y60="","",_xludf.RANK.EQ($Y60,$Y$2:$Y$201,0))</f>
        <v/>
      </c>
    </row>
    <row r="61">
      <c r="T61">
        <f>IFERROR(IF($Q61="","",$Q61/$H61),"")</f>
        <v/>
      </c>
      <c r="U61">
        <f>IFERROR(IF($Q61="","",$Q61/$G61),"")</f>
        <v/>
      </c>
      <c r="Y61">
        <f>IF(AND($L61="",$N61="",$P61=""),"",ROUND((IF($L61="",0,IF($L61&lt;=Einstellungen!$B$16,100,IF($L61&lt;=Einstellungen!$C$16,80+(100-80)*(Einstellungen!$C$16-$L61)/(Einstellungen!$C$16-Einstellungen!$B$16),IF($L61&lt;=Einstellungen!$D$16,80*(Einstellungen!$D$16-$L61)/(Einstellungen!$D$16-Einstellungen!$C$16),0))))*Einstellungen!$E$16+IF($N61="",0,IF($N61&lt;=Einstellungen!$B$17,100,IF($N61&lt;=Einstellungen!$C$17,80+(100-80)*(Einstellungen!$C$17-$N61)/(Einstellungen!$C$17-Einstellungen!$B$17),IF($N61&lt;=Einstellungen!$D$17,80*(Einstellungen!$D$17-$N61)/(Einstellungen!$D$17-Einstellungen!$C$17),0))))*Einstellungen!$E$17+IF($P61="",0,IF($P61&lt;=Einstellungen!$B$18,100,IF($P61&lt;=Einstellungen!$C$18,80+(100-80)*(Einstellungen!$C$18-$P61)/(Einstellungen!$C$18-Einstellungen!$B$18),IF($P61&lt;=Einstellungen!$D$18,80*(Einstellungen!$D$18-$P61)/(Einstellungen!$D$18-Einstellungen!$C$18),0))))*Einstellungen!$E$18)/(Einstellungen!$E$16+Einstellungen!$E$17+Einstellungen!$E$18),0))</f>
        <v/>
      </c>
      <c r="Z61">
        <f>IF(AND($E61="",$D61="",$G61="",$V61="",$Q61="",$T61="",$W61="",$U61=""),"",ROUND(IF($E61="",0,IF($E61&lt;Einstellungen!$B$21,0,IF($E61&gt;=Einstellungen!$B$22,100,($E61-Einstellungen!$B$21)/(Einstellungen!$B$22-Einstellungen!$B$21)*100)))/100*Einstellungen!$B$5+IF($W61="",0,$W61/100)*Einstellungen!$B$6+(IF($G61="",0,MAX(0,MIN(100,($G61-Einstellungen!$B$25)/(Einstellungen!$B$26-Einstellungen!$B$25)*100)))+IF($I61="",0,MAX(0,MIN(100,($I61-Einstellungen!$B$27)/(Einstellungen!$B$28-Einstellungen!$B$27)*100))))/2/100*Einstellungen!$B$7+IF($V61="",0,$V61/100)*Einstellungen!$B$8+IF($R61="",0,MAX(0,MIN(100,(Einstellungen!$B$32-$R61)/(Einstellungen!$B$32-Einstellungen!$B$31)*100)))/100*Einstellungen!$B$9+IF($D61="",0,$D61/5*100)/100*Einstellungen!$B$10+IF($AD61="",0,$AD61)/100*Einstellungen!$B$11+IF($U61="",0,$U61/5*100)/100*Einstellungen!$B$12,0))</f>
        <v/>
      </c>
      <c r="AA61">
        <f>IF($X61="","",$X61*1000000000000+IF($G61="",0,$G61)*1000000+IF($H61="",0,$H61)*1000+IF($I61="",0,$I61)+IF($N61="",0,MAX(0,1000-$N61))/1000+IF($A61="",0,$A61)/1000000)</f>
        <v/>
      </c>
      <c r="AB61">
        <f>IF($Y61="","",_xludf.RANK.EQ($Y61,$Y$2:$Y$201,0))</f>
        <v/>
      </c>
    </row>
    <row r="62">
      <c r="T62">
        <f>IFERROR(IF($Q62="","",$Q62/$H62),"")</f>
        <v/>
      </c>
      <c r="U62">
        <f>IFERROR(IF($Q62="","",$Q62/$G62),"")</f>
        <v/>
      </c>
      <c r="Y62">
        <f>IF(AND($L62="",$N62="",$P62=""),"",ROUND((IF($L62="",0,IF($L62&lt;=Einstellungen!$B$16,100,IF($L62&lt;=Einstellungen!$C$16,80+(100-80)*(Einstellungen!$C$16-$L62)/(Einstellungen!$C$16-Einstellungen!$B$16),IF($L62&lt;=Einstellungen!$D$16,80*(Einstellungen!$D$16-$L62)/(Einstellungen!$D$16-Einstellungen!$C$16),0))))*Einstellungen!$E$16+IF($N62="",0,IF($N62&lt;=Einstellungen!$B$17,100,IF($N62&lt;=Einstellungen!$C$17,80+(100-80)*(Einstellungen!$C$17-$N62)/(Einstellungen!$C$17-Einstellungen!$B$17),IF($N62&lt;=Einstellungen!$D$17,80*(Einstellungen!$D$17-$N62)/(Einstellungen!$D$17-Einstellungen!$C$17),0))))*Einstellungen!$E$17+IF($P62="",0,IF($P62&lt;=Einstellungen!$B$18,100,IF($P62&lt;=Einstellungen!$C$18,80+(100-80)*(Einstellungen!$C$18-$P62)/(Einstellungen!$C$18-Einstellungen!$B$18),IF($P62&lt;=Einstellungen!$D$18,80*(Einstellungen!$D$18-$P62)/(Einstellungen!$D$18-Einstellungen!$C$18),0))))*Einstellungen!$E$18)/(Einstellungen!$E$16+Einstellungen!$E$17+Einstellungen!$E$18),0))</f>
        <v/>
      </c>
      <c r="Z62">
        <f>IF(AND($E62="",$D62="",$G62="",$V62="",$Q62="",$T62="",$W62="",$U62=""),"",ROUND(IF($E62="",0,IF($E62&lt;Einstellungen!$B$21,0,IF($E62&gt;=Einstellungen!$B$22,100,($E62-Einstellungen!$B$21)/(Einstellungen!$B$22-Einstellungen!$B$21)*100)))/100*Einstellungen!$B$5+IF($W62="",0,$W62/100)*Einstellungen!$B$6+(IF($G62="",0,MAX(0,MIN(100,($G62-Einstellungen!$B$25)/(Einstellungen!$B$26-Einstellungen!$B$25)*100)))+IF($I62="",0,MAX(0,MIN(100,($I62-Einstellungen!$B$27)/(Einstellungen!$B$28-Einstellungen!$B$27)*100))))/2/100*Einstellungen!$B$7+IF($V62="",0,$V62/100)*Einstellungen!$B$8+IF($R62="",0,MAX(0,MIN(100,(Einstellungen!$B$32-$R62)/(Einstellungen!$B$32-Einstellungen!$B$31)*100)))/100*Einstellungen!$B$9+IF($D62="",0,$D62/5*100)/100*Einstellungen!$B$10+IF($AD62="",0,$AD62)/100*Einstellungen!$B$11+IF($U62="",0,$U62/5*100)/100*Einstellungen!$B$12,0))</f>
        <v/>
      </c>
      <c r="AA62">
        <f>IF($X62="","",$X62*1000000000000+IF($G62="",0,$G62)*1000000+IF($H62="",0,$H62)*1000+IF($I62="",0,$I62)+IF($N62="",0,MAX(0,1000-$N62))/1000+IF($A62="",0,$A62)/1000000)</f>
        <v/>
      </c>
      <c r="AB62">
        <f>IF($Y62="","",_xludf.RANK.EQ($Y62,$Y$2:$Y$201,0))</f>
        <v/>
      </c>
    </row>
    <row r="63">
      <c r="T63">
        <f>IFERROR(IF($Q63="","",$Q63/$H63),"")</f>
        <v/>
      </c>
      <c r="U63">
        <f>IFERROR(IF($Q63="","",$Q63/$G63),"")</f>
        <v/>
      </c>
      <c r="Y63">
        <f>IF(AND($L63="",$N63="",$P63=""),"",ROUND((IF($L63="",0,IF($L63&lt;=Einstellungen!$B$16,100,IF($L63&lt;=Einstellungen!$C$16,80+(100-80)*(Einstellungen!$C$16-$L63)/(Einstellungen!$C$16-Einstellungen!$B$16),IF($L63&lt;=Einstellungen!$D$16,80*(Einstellungen!$D$16-$L63)/(Einstellungen!$D$16-Einstellungen!$C$16),0))))*Einstellungen!$E$16+IF($N63="",0,IF($N63&lt;=Einstellungen!$B$17,100,IF($N63&lt;=Einstellungen!$C$17,80+(100-80)*(Einstellungen!$C$17-$N63)/(Einstellungen!$C$17-Einstellungen!$B$17),IF($N63&lt;=Einstellungen!$D$17,80*(Einstellungen!$D$17-$N63)/(Einstellungen!$D$17-Einstellungen!$C$17),0))))*Einstellungen!$E$17+IF($P63="",0,IF($P63&lt;=Einstellungen!$B$18,100,IF($P63&lt;=Einstellungen!$C$18,80+(100-80)*(Einstellungen!$C$18-$P63)/(Einstellungen!$C$18-Einstellungen!$B$18),IF($P63&lt;=Einstellungen!$D$18,80*(Einstellungen!$D$18-$P63)/(Einstellungen!$D$18-Einstellungen!$C$18),0))))*Einstellungen!$E$18)/(Einstellungen!$E$16+Einstellungen!$E$17+Einstellungen!$E$18),0))</f>
        <v/>
      </c>
      <c r="Z63">
        <f>IF(AND($E63="",$D63="",$G63="",$V63="",$Q63="",$T63="",$W63="",$U63=""),"",ROUND(IF($E63="",0,IF($E63&lt;Einstellungen!$B$21,0,IF($E63&gt;=Einstellungen!$B$22,100,($E63-Einstellungen!$B$21)/(Einstellungen!$B$22-Einstellungen!$B$21)*100)))/100*Einstellungen!$B$5+IF($W63="",0,$W63/100)*Einstellungen!$B$6+(IF($G63="",0,MAX(0,MIN(100,($G63-Einstellungen!$B$25)/(Einstellungen!$B$26-Einstellungen!$B$25)*100)))+IF($I63="",0,MAX(0,MIN(100,($I63-Einstellungen!$B$27)/(Einstellungen!$B$28-Einstellungen!$B$27)*100))))/2/100*Einstellungen!$B$7+IF($V63="",0,$V63/100)*Einstellungen!$B$8+IF($R63="",0,MAX(0,MIN(100,(Einstellungen!$B$32-$R63)/(Einstellungen!$B$32-Einstellungen!$B$31)*100)))/100*Einstellungen!$B$9+IF($D63="",0,$D63/5*100)/100*Einstellungen!$B$10+IF($AD63="",0,$AD63)/100*Einstellungen!$B$11+IF($U63="",0,$U63/5*100)/100*Einstellungen!$B$12,0))</f>
        <v/>
      </c>
      <c r="AA63">
        <f>IF($X63="","",$X63*1000000000000+IF($G63="",0,$G63)*1000000+IF($H63="",0,$H63)*1000+IF($I63="",0,$I63)+IF($N63="",0,MAX(0,1000-$N63))/1000+IF($A63="",0,$A63)/1000000)</f>
        <v/>
      </c>
      <c r="AB63">
        <f>IF($Y63="","",_xludf.RANK.EQ($Y63,$Y$2:$Y$201,0))</f>
        <v/>
      </c>
    </row>
    <row r="64">
      <c r="T64">
        <f>IFERROR(IF($Q64="","",$Q64/$H64),"")</f>
        <v/>
      </c>
      <c r="U64">
        <f>IFERROR(IF($Q64="","",$Q64/$G64),"")</f>
        <v/>
      </c>
      <c r="Y64">
        <f>IF(AND($L64="",$N64="",$P64=""),"",ROUND((IF($L64="",0,IF($L64&lt;=Einstellungen!$B$16,100,IF($L64&lt;=Einstellungen!$C$16,80+(100-80)*(Einstellungen!$C$16-$L64)/(Einstellungen!$C$16-Einstellungen!$B$16),IF($L64&lt;=Einstellungen!$D$16,80*(Einstellungen!$D$16-$L64)/(Einstellungen!$D$16-Einstellungen!$C$16),0))))*Einstellungen!$E$16+IF($N64="",0,IF($N64&lt;=Einstellungen!$B$17,100,IF($N64&lt;=Einstellungen!$C$17,80+(100-80)*(Einstellungen!$C$17-$N64)/(Einstellungen!$C$17-Einstellungen!$B$17),IF($N64&lt;=Einstellungen!$D$17,80*(Einstellungen!$D$17-$N64)/(Einstellungen!$D$17-Einstellungen!$C$17),0))))*Einstellungen!$E$17+IF($P64="",0,IF($P64&lt;=Einstellungen!$B$18,100,IF($P64&lt;=Einstellungen!$C$18,80+(100-80)*(Einstellungen!$C$18-$P64)/(Einstellungen!$C$18-Einstellungen!$B$18),IF($P64&lt;=Einstellungen!$D$18,80*(Einstellungen!$D$18-$P64)/(Einstellungen!$D$18-Einstellungen!$C$18),0))))*Einstellungen!$E$18)/(Einstellungen!$E$16+Einstellungen!$E$17+Einstellungen!$E$18),0))</f>
        <v/>
      </c>
      <c r="Z64">
        <f>IF(AND($E64="",$D64="",$G64="",$V64="",$Q64="",$T64="",$W64="",$U64=""),"",ROUND(IF($E64="",0,IF($E64&lt;Einstellungen!$B$21,0,IF($E64&gt;=Einstellungen!$B$22,100,($E64-Einstellungen!$B$21)/(Einstellungen!$B$22-Einstellungen!$B$21)*100)))/100*Einstellungen!$B$5+IF($W64="",0,$W64/100)*Einstellungen!$B$6+(IF($G64="",0,MAX(0,MIN(100,($G64-Einstellungen!$B$25)/(Einstellungen!$B$26-Einstellungen!$B$25)*100)))+IF($I64="",0,MAX(0,MIN(100,($I64-Einstellungen!$B$27)/(Einstellungen!$B$28-Einstellungen!$B$27)*100))))/2/100*Einstellungen!$B$7+IF($V64="",0,$V64/100)*Einstellungen!$B$8+IF($R64="",0,MAX(0,MIN(100,(Einstellungen!$B$32-$R64)/(Einstellungen!$B$32-Einstellungen!$B$31)*100)))/100*Einstellungen!$B$9+IF($D64="",0,$D64/5*100)/100*Einstellungen!$B$10+IF($AD64="",0,$AD64)/100*Einstellungen!$B$11+IF($U64="",0,$U64/5*100)/100*Einstellungen!$B$12,0))</f>
        <v/>
      </c>
      <c r="AA64">
        <f>IF($X64="","",$X64*1000000000000+IF($G64="",0,$G64)*1000000+IF($H64="",0,$H64)*1000+IF($I64="",0,$I64)+IF($N64="",0,MAX(0,1000-$N64))/1000+IF($A64="",0,$A64)/1000000)</f>
        <v/>
      </c>
      <c r="AB64">
        <f>IF($Y64="","",_xludf.RANK.EQ($Y64,$Y$2:$Y$201,0))</f>
        <v/>
      </c>
    </row>
    <row r="65">
      <c r="T65">
        <f>IFERROR(IF($Q65="","",$Q65/$H65),"")</f>
        <v/>
      </c>
      <c r="U65">
        <f>IFERROR(IF($Q65="","",$Q65/$G65),"")</f>
        <v/>
      </c>
      <c r="Y65">
        <f>IF(AND($L65="",$N65="",$P65=""),"",ROUND((IF($L65="",0,IF($L65&lt;=Einstellungen!$B$16,100,IF($L65&lt;=Einstellungen!$C$16,80+(100-80)*(Einstellungen!$C$16-$L65)/(Einstellungen!$C$16-Einstellungen!$B$16),IF($L65&lt;=Einstellungen!$D$16,80*(Einstellungen!$D$16-$L65)/(Einstellungen!$D$16-Einstellungen!$C$16),0))))*Einstellungen!$E$16+IF($N65="",0,IF($N65&lt;=Einstellungen!$B$17,100,IF($N65&lt;=Einstellungen!$C$17,80+(100-80)*(Einstellungen!$C$17-$N65)/(Einstellungen!$C$17-Einstellungen!$B$17),IF($N65&lt;=Einstellungen!$D$17,80*(Einstellungen!$D$17-$N65)/(Einstellungen!$D$17-Einstellungen!$C$17),0))))*Einstellungen!$E$17+IF($P65="",0,IF($P65&lt;=Einstellungen!$B$18,100,IF($P65&lt;=Einstellungen!$C$18,80+(100-80)*(Einstellungen!$C$18-$P65)/(Einstellungen!$C$18-Einstellungen!$B$18),IF($P65&lt;=Einstellungen!$D$18,80*(Einstellungen!$D$18-$P65)/(Einstellungen!$D$18-Einstellungen!$C$18),0))))*Einstellungen!$E$18)/(Einstellungen!$E$16+Einstellungen!$E$17+Einstellungen!$E$18),0))</f>
        <v/>
      </c>
      <c r="Z65">
        <f>IF(AND($E65="",$D65="",$G65="",$V65="",$Q65="",$T65="",$W65="",$U65=""),"",ROUND(IF($E65="",0,IF($E65&lt;Einstellungen!$B$21,0,IF($E65&gt;=Einstellungen!$B$22,100,($E65-Einstellungen!$B$21)/(Einstellungen!$B$22-Einstellungen!$B$21)*100)))/100*Einstellungen!$B$5+IF($W65="",0,$W65/100)*Einstellungen!$B$6+(IF($G65="",0,MAX(0,MIN(100,($G65-Einstellungen!$B$25)/(Einstellungen!$B$26-Einstellungen!$B$25)*100)))+IF($I65="",0,MAX(0,MIN(100,($I65-Einstellungen!$B$27)/(Einstellungen!$B$28-Einstellungen!$B$27)*100))))/2/100*Einstellungen!$B$7+IF($V65="",0,$V65/100)*Einstellungen!$B$8+IF($R65="",0,MAX(0,MIN(100,(Einstellungen!$B$32-$R65)/(Einstellungen!$B$32-Einstellungen!$B$31)*100)))/100*Einstellungen!$B$9+IF($D65="",0,$D65/5*100)/100*Einstellungen!$B$10+IF($AD65="",0,$AD65)/100*Einstellungen!$B$11+IF($U65="",0,$U65/5*100)/100*Einstellungen!$B$12,0))</f>
        <v/>
      </c>
      <c r="AA65">
        <f>IF($X65="","",$X65*1000000000000+IF($G65="",0,$G65)*1000000+IF($H65="",0,$H65)*1000+IF($I65="",0,$I65)+IF($N65="",0,MAX(0,1000-$N65))/1000+IF($A65="",0,$A65)/1000000)</f>
        <v/>
      </c>
      <c r="AB65">
        <f>IF($Y65="","",_xludf.RANK.EQ($Y65,$Y$2:$Y$201,0))</f>
        <v/>
      </c>
    </row>
    <row r="66">
      <c r="T66">
        <f>IFERROR(IF($Q66="","",$Q66/$H66),"")</f>
        <v/>
      </c>
      <c r="U66">
        <f>IFERROR(IF($Q66="","",$Q66/$G66),"")</f>
        <v/>
      </c>
      <c r="Y66">
        <f>IF(AND($L66="",$N66="",$P66=""),"",ROUND((IF($L66="",0,IF($L66&lt;=Einstellungen!$B$16,100,IF($L66&lt;=Einstellungen!$C$16,80+(100-80)*(Einstellungen!$C$16-$L66)/(Einstellungen!$C$16-Einstellungen!$B$16),IF($L66&lt;=Einstellungen!$D$16,80*(Einstellungen!$D$16-$L66)/(Einstellungen!$D$16-Einstellungen!$C$16),0))))*Einstellungen!$E$16+IF($N66="",0,IF($N66&lt;=Einstellungen!$B$17,100,IF($N66&lt;=Einstellungen!$C$17,80+(100-80)*(Einstellungen!$C$17-$N66)/(Einstellungen!$C$17-Einstellungen!$B$17),IF($N66&lt;=Einstellungen!$D$17,80*(Einstellungen!$D$17-$N66)/(Einstellungen!$D$17-Einstellungen!$C$17),0))))*Einstellungen!$E$17+IF($P66="",0,IF($P66&lt;=Einstellungen!$B$18,100,IF($P66&lt;=Einstellungen!$C$18,80+(100-80)*(Einstellungen!$C$18-$P66)/(Einstellungen!$C$18-Einstellungen!$B$18),IF($P66&lt;=Einstellungen!$D$18,80*(Einstellungen!$D$18-$P66)/(Einstellungen!$D$18-Einstellungen!$C$18),0))))*Einstellungen!$E$18)/(Einstellungen!$E$16+Einstellungen!$E$17+Einstellungen!$E$18),0))</f>
        <v/>
      </c>
      <c r="Z66">
        <f>IF(AND($E66="",$D66="",$G66="",$V66="",$Q66="",$T66="",$W66="",$U66=""),"",ROUND(IF($E66="",0,IF($E66&lt;Einstellungen!$B$21,0,IF($E66&gt;=Einstellungen!$B$22,100,($E66-Einstellungen!$B$21)/(Einstellungen!$B$22-Einstellungen!$B$21)*100)))/100*Einstellungen!$B$5+IF($W66="",0,$W66/100)*Einstellungen!$B$6+(IF($G66="",0,MAX(0,MIN(100,($G66-Einstellungen!$B$25)/(Einstellungen!$B$26-Einstellungen!$B$25)*100)))+IF($I66="",0,MAX(0,MIN(100,($I66-Einstellungen!$B$27)/(Einstellungen!$B$28-Einstellungen!$B$27)*100))))/2/100*Einstellungen!$B$7+IF($V66="",0,$V66/100)*Einstellungen!$B$8+IF($R66="",0,MAX(0,MIN(100,(Einstellungen!$B$32-$R66)/(Einstellungen!$B$32-Einstellungen!$B$31)*100)))/100*Einstellungen!$B$9+IF($D66="",0,$D66/5*100)/100*Einstellungen!$B$10+IF($AD66="",0,$AD66)/100*Einstellungen!$B$11+IF($U66="",0,$U66/5*100)/100*Einstellungen!$B$12,0))</f>
        <v/>
      </c>
      <c r="AA66">
        <f>IF($X66="","",$X66*1000000000000+IF($G66="",0,$G66)*1000000+IF($H66="",0,$H66)*1000+IF($I66="",0,$I66)+IF($N66="",0,MAX(0,1000-$N66))/1000+IF($A66="",0,$A66)/1000000)</f>
        <v/>
      </c>
      <c r="AB66">
        <f>IF($Y66="","",_xludf.RANK.EQ($Y66,$Y$2:$Y$201,0))</f>
        <v/>
      </c>
    </row>
    <row r="67">
      <c r="T67">
        <f>IFERROR(IF($Q67="","",$Q67/$H67),"")</f>
        <v/>
      </c>
      <c r="U67">
        <f>IFERROR(IF($Q67="","",$Q67/$G67),"")</f>
        <v/>
      </c>
      <c r="Y67">
        <f>IF(AND($L67="",$N67="",$P67=""),"",ROUND((IF($L67="",0,IF($L67&lt;=Einstellungen!$B$16,100,IF($L67&lt;=Einstellungen!$C$16,80+(100-80)*(Einstellungen!$C$16-$L67)/(Einstellungen!$C$16-Einstellungen!$B$16),IF($L67&lt;=Einstellungen!$D$16,80*(Einstellungen!$D$16-$L67)/(Einstellungen!$D$16-Einstellungen!$C$16),0))))*Einstellungen!$E$16+IF($N67="",0,IF($N67&lt;=Einstellungen!$B$17,100,IF($N67&lt;=Einstellungen!$C$17,80+(100-80)*(Einstellungen!$C$17-$N67)/(Einstellungen!$C$17-Einstellungen!$B$17),IF($N67&lt;=Einstellungen!$D$17,80*(Einstellungen!$D$17-$N67)/(Einstellungen!$D$17-Einstellungen!$C$17),0))))*Einstellungen!$E$17+IF($P67="",0,IF($P67&lt;=Einstellungen!$B$18,100,IF($P67&lt;=Einstellungen!$C$18,80+(100-80)*(Einstellungen!$C$18-$P67)/(Einstellungen!$C$18-Einstellungen!$B$18),IF($P67&lt;=Einstellungen!$D$18,80*(Einstellungen!$D$18-$P67)/(Einstellungen!$D$18-Einstellungen!$C$18),0))))*Einstellungen!$E$18)/(Einstellungen!$E$16+Einstellungen!$E$17+Einstellungen!$E$18),0))</f>
        <v/>
      </c>
      <c r="Z67">
        <f>IF(AND($E67="",$D67="",$G67="",$V67="",$Q67="",$T67="",$W67="",$U67=""),"",ROUND(IF($E67="",0,IF($E67&lt;Einstellungen!$B$21,0,IF($E67&gt;=Einstellungen!$B$22,100,($E67-Einstellungen!$B$21)/(Einstellungen!$B$22-Einstellungen!$B$21)*100)))/100*Einstellungen!$B$5+IF($W67="",0,$W67/100)*Einstellungen!$B$6+(IF($G67="",0,MAX(0,MIN(100,($G67-Einstellungen!$B$25)/(Einstellungen!$B$26-Einstellungen!$B$25)*100)))+IF($I67="",0,MAX(0,MIN(100,($I67-Einstellungen!$B$27)/(Einstellungen!$B$28-Einstellungen!$B$27)*100))))/2/100*Einstellungen!$B$7+IF($V67="",0,$V67/100)*Einstellungen!$B$8+IF($R67="",0,MAX(0,MIN(100,(Einstellungen!$B$32-$R67)/(Einstellungen!$B$32-Einstellungen!$B$31)*100)))/100*Einstellungen!$B$9+IF($D67="",0,$D67/5*100)/100*Einstellungen!$B$10+IF($AD67="",0,$AD67)/100*Einstellungen!$B$11+IF($U67="",0,$U67/5*100)/100*Einstellungen!$B$12,0))</f>
        <v/>
      </c>
      <c r="AA67">
        <f>IF($X67="","",$X67*1000000000000+IF($G67="",0,$G67)*1000000+IF($H67="",0,$H67)*1000+IF($I67="",0,$I67)+IF($N67="",0,MAX(0,1000-$N67))/1000+IF($A67="",0,$A67)/1000000)</f>
        <v/>
      </c>
      <c r="AB67">
        <f>IF($Y67="","",_xludf.RANK.EQ($Y67,$Y$2:$Y$201,0))</f>
        <v/>
      </c>
    </row>
    <row r="68">
      <c r="T68">
        <f>IFERROR(IF($Q68="","",$Q68/$H68),"")</f>
        <v/>
      </c>
      <c r="U68">
        <f>IFERROR(IF($Q68="","",$Q68/$G68),"")</f>
        <v/>
      </c>
      <c r="Y68">
        <f>IF(AND($L68="",$N68="",$P68=""),"",ROUND((IF($L68="",0,IF($L68&lt;=Einstellungen!$B$16,100,IF($L68&lt;=Einstellungen!$C$16,80+(100-80)*(Einstellungen!$C$16-$L68)/(Einstellungen!$C$16-Einstellungen!$B$16),IF($L68&lt;=Einstellungen!$D$16,80*(Einstellungen!$D$16-$L68)/(Einstellungen!$D$16-Einstellungen!$C$16),0))))*Einstellungen!$E$16+IF($N68="",0,IF($N68&lt;=Einstellungen!$B$17,100,IF($N68&lt;=Einstellungen!$C$17,80+(100-80)*(Einstellungen!$C$17-$N68)/(Einstellungen!$C$17-Einstellungen!$B$17),IF($N68&lt;=Einstellungen!$D$17,80*(Einstellungen!$D$17-$N68)/(Einstellungen!$D$17-Einstellungen!$C$17),0))))*Einstellungen!$E$17+IF($P68="",0,IF($P68&lt;=Einstellungen!$B$18,100,IF($P68&lt;=Einstellungen!$C$18,80+(100-80)*(Einstellungen!$C$18-$P68)/(Einstellungen!$C$18-Einstellungen!$B$18),IF($P68&lt;=Einstellungen!$D$18,80*(Einstellungen!$D$18-$P68)/(Einstellungen!$D$18-Einstellungen!$C$18),0))))*Einstellungen!$E$18)/(Einstellungen!$E$16+Einstellungen!$E$17+Einstellungen!$E$18),0))</f>
        <v/>
      </c>
      <c r="Z68">
        <f>IF(AND($E68="",$D68="",$G68="",$V68="",$Q68="",$T68="",$W68="",$U68=""),"",ROUND(IF($E68="",0,IF($E68&lt;Einstellungen!$B$21,0,IF($E68&gt;=Einstellungen!$B$22,100,($E68-Einstellungen!$B$21)/(Einstellungen!$B$22-Einstellungen!$B$21)*100)))/100*Einstellungen!$B$5+IF($W68="",0,$W68/100)*Einstellungen!$B$6+(IF($G68="",0,MAX(0,MIN(100,($G68-Einstellungen!$B$25)/(Einstellungen!$B$26-Einstellungen!$B$25)*100)))+IF($I68="",0,MAX(0,MIN(100,($I68-Einstellungen!$B$27)/(Einstellungen!$B$28-Einstellungen!$B$27)*100))))/2/100*Einstellungen!$B$7+IF($V68="",0,$V68/100)*Einstellungen!$B$8+IF($R68="",0,MAX(0,MIN(100,(Einstellungen!$B$32-$R68)/(Einstellungen!$B$32-Einstellungen!$B$31)*100)))/100*Einstellungen!$B$9+IF($D68="",0,$D68/5*100)/100*Einstellungen!$B$10+IF($AD68="",0,$AD68)/100*Einstellungen!$B$11+IF($U68="",0,$U68/5*100)/100*Einstellungen!$B$12,0))</f>
        <v/>
      </c>
      <c r="AA68">
        <f>IF($X68="","",$X68*1000000000000+IF($G68="",0,$G68)*1000000+IF($H68="",0,$H68)*1000+IF($I68="",0,$I68)+IF($N68="",0,MAX(0,1000-$N68))/1000+IF($A68="",0,$A68)/1000000)</f>
        <v/>
      </c>
      <c r="AB68">
        <f>IF($Y68="","",_xludf.RANK.EQ($Y68,$Y$2:$Y$201,0))</f>
        <v/>
      </c>
    </row>
    <row r="69">
      <c r="T69">
        <f>IFERROR(IF($Q69="","",$Q69/$H69),"")</f>
        <v/>
      </c>
      <c r="U69">
        <f>IFERROR(IF($Q69="","",$Q69/$G69),"")</f>
        <v/>
      </c>
      <c r="Y69">
        <f>IF(AND($L69="",$N69="",$P69=""),"",ROUND((IF($L69="",0,IF($L69&lt;=Einstellungen!$B$16,100,IF($L69&lt;=Einstellungen!$C$16,80+(100-80)*(Einstellungen!$C$16-$L69)/(Einstellungen!$C$16-Einstellungen!$B$16),IF($L69&lt;=Einstellungen!$D$16,80*(Einstellungen!$D$16-$L69)/(Einstellungen!$D$16-Einstellungen!$C$16),0))))*Einstellungen!$E$16+IF($N69="",0,IF($N69&lt;=Einstellungen!$B$17,100,IF($N69&lt;=Einstellungen!$C$17,80+(100-80)*(Einstellungen!$C$17-$N69)/(Einstellungen!$C$17-Einstellungen!$B$17),IF($N69&lt;=Einstellungen!$D$17,80*(Einstellungen!$D$17-$N69)/(Einstellungen!$D$17-Einstellungen!$C$17),0))))*Einstellungen!$E$17+IF($P69="",0,IF($P69&lt;=Einstellungen!$B$18,100,IF($P69&lt;=Einstellungen!$C$18,80+(100-80)*(Einstellungen!$C$18-$P69)/(Einstellungen!$C$18-Einstellungen!$B$18),IF($P69&lt;=Einstellungen!$D$18,80*(Einstellungen!$D$18-$P69)/(Einstellungen!$D$18-Einstellungen!$C$18),0))))*Einstellungen!$E$18)/(Einstellungen!$E$16+Einstellungen!$E$17+Einstellungen!$E$18),0))</f>
        <v/>
      </c>
      <c r="Z69">
        <f>IF(AND($E69="",$D69="",$G69="",$V69="",$Q69="",$T69="",$W69="",$U69=""),"",ROUND(IF($E69="",0,IF($E69&lt;Einstellungen!$B$21,0,IF($E69&gt;=Einstellungen!$B$22,100,($E69-Einstellungen!$B$21)/(Einstellungen!$B$22-Einstellungen!$B$21)*100)))/100*Einstellungen!$B$5+IF($W69="",0,$W69/100)*Einstellungen!$B$6+(IF($G69="",0,MAX(0,MIN(100,($G69-Einstellungen!$B$25)/(Einstellungen!$B$26-Einstellungen!$B$25)*100)))+IF($I69="",0,MAX(0,MIN(100,($I69-Einstellungen!$B$27)/(Einstellungen!$B$28-Einstellungen!$B$27)*100))))/2/100*Einstellungen!$B$7+IF($V69="",0,$V69/100)*Einstellungen!$B$8+IF($R69="",0,MAX(0,MIN(100,(Einstellungen!$B$32-$R69)/(Einstellungen!$B$32-Einstellungen!$B$31)*100)))/100*Einstellungen!$B$9+IF($D69="",0,$D69/5*100)/100*Einstellungen!$B$10+IF($AD69="",0,$AD69)/100*Einstellungen!$B$11+IF($U69="",0,$U69/5*100)/100*Einstellungen!$B$12,0))</f>
        <v/>
      </c>
      <c r="AA69">
        <f>IF($X69="","",$X69*1000000000000+IF($G69="",0,$G69)*1000000+IF($H69="",0,$H69)*1000+IF($I69="",0,$I69)+IF($N69="",0,MAX(0,1000-$N69))/1000+IF($A69="",0,$A69)/1000000)</f>
        <v/>
      </c>
      <c r="AB69">
        <f>IF($Y69="","",_xludf.RANK.EQ($Y69,$Y$2:$Y$201,0))</f>
        <v/>
      </c>
    </row>
    <row r="70">
      <c r="T70">
        <f>IFERROR(IF($Q70="","",$Q70/$H70),"")</f>
        <v/>
      </c>
      <c r="U70">
        <f>IFERROR(IF($Q70="","",$Q70/$G70),"")</f>
        <v/>
      </c>
      <c r="Y70">
        <f>IF(AND($L70="",$N70="",$P70=""),"",ROUND((IF($L70="",0,IF($L70&lt;=Einstellungen!$B$16,100,IF($L70&lt;=Einstellungen!$C$16,80+(100-80)*(Einstellungen!$C$16-$L70)/(Einstellungen!$C$16-Einstellungen!$B$16),IF($L70&lt;=Einstellungen!$D$16,80*(Einstellungen!$D$16-$L70)/(Einstellungen!$D$16-Einstellungen!$C$16),0))))*Einstellungen!$E$16+IF($N70="",0,IF($N70&lt;=Einstellungen!$B$17,100,IF($N70&lt;=Einstellungen!$C$17,80+(100-80)*(Einstellungen!$C$17-$N70)/(Einstellungen!$C$17-Einstellungen!$B$17),IF($N70&lt;=Einstellungen!$D$17,80*(Einstellungen!$D$17-$N70)/(Einstellungen!$D$17-Einstellungen!$C$17),0))))*Einstellungen!$E$17+IF($P70="",0,IF($P70&lt;=Einstellungen!$B$18,100,IF($P70&lt;=Einstellungen!$C$18,80+(100-80)*(Einstellungen!$C$18-$P70)/(Einstellungen!$C$18-Einstellungen!$B$18),IF($P70&lt;=Einstellungen!$D$18,80*(Einstellungen!$D$18-$P70)/(Einstellungen!$D$18-Einstellungen!$C$18),0))))*Einstellungen!$E$18)/(Einstellungen!$E$16+Einstellungen!$E$17+Einstellungen!$E$18),0))</f>
        <v/>
      </c>
      <c r="Z70">
        <f>IF(AND($E70="",$D70="",$G70="",$V70="",$Q70="",$T70="",$W70="",$U70=""),"",ROUND(IF($E70="",0,IF($E70&lt;Einstellungen!$B$21,0,IF($E70&gt;=Einstellungen!$B$22,100,($E70-Einstellungen!$B$21)/(Einstellungen!$B$22-Einstellungen!$B$21)*100)))/100*Einstellungen!$B$5+IF($W70="",0,$W70/100)*Einstellungen!$B$6+(IF($G70="",0,MAX(0,MIN(100,($G70-Einstellungen!$B$25)/(Einstellungen!$B$26-Einstellungen!$B$25)*100)))+IF($I70="",0,MAX(0,MIN(100,($I70-Einstellungen!$B$27)/(Einstellungen!$B$28-Einstellungen!$B$27)*100))))/2/100*Einstellungen!$B$7+IF($V70="",0,$V70/100)*Einstellungen!$B$8+IF($R70="",0,MAX(0,MIN(100,(Einstellungen!$B$32-$R70)/(Einstellungen!$B$32-Einstellungen!$B$31)*100)))/100*Einstellungen!$B$9+IF($D70="",0,$D70/5*100)/100*Einstellungen!$B$10+IF($AD70="",0,$AD70)/100*Einstellungen!$B$11+IF($U70="",0,$U70/5*100)/100*Einstellungen!$B$12,0))</f>
        <v/>
      </c>
      <c r="AA70">
        <f>IF($X70="","",$X70*1000000000000+IF($G70="",0,$G70)*1000000+IF($H70="",0,$H70)*1000+IF($I70="",0,$I70)+IF($N70="",0,MAX(0,1000-$N70))/1000+IF($A70="",0,$A70)/1000000)</f>
        <v/>
      </c>
      <c r="AB70">
        <f>IF($Y70="","",_xludf.RANK.EQ($Y70,$Y$2:$Y$201,0))</f>
        <v/>
      </c>
    </row>
    <row r="71">
      <c r="T71">
        <f>IFERROR(IF($Q71="","",$Q71/$H71),"")</f>
        <v/>
      </c>
      <c r="U71">
        <f>IFERROR(IF($Q71="","",$Q71/$G71),"")</f>
        <v/>
      </c>
      <c r="Y71">
        <f>IF(AND($L71="",$N71="",$P71=""),"",ROUND((IF($L71="",0,IF($L71&lt;=Einstellungen!$B$16,100,IF($L71&lt;=Einstellungen!$C$16,80+(100-80)*(Einstellungen!$C$16-$L71)/(Einstellungen!$C$16-Einstellungen!$B$16),IF($L71&lt;=Einstellungen!$D$16,80*(Einstellungen!$D$16-$L71)/(Einstellungen!$D$16-Einstellungen!$C$16),0))))*Einstellungen!$E$16+IF($N71="",0,IF($N71&lt;=Einstellungen!$B$17,100,IF($N71&lt;=Einstellungen!$C$17,80+(100-80)*(Einstellungen!$C$17-$N71)/(Einstellungen!$C$17-Einstellungen!$B$17),IF($N71&lt;=Einstellungen!$D$17,80*(Einstellungen!$D$17-$N71)/(Einstellungen!$D$17-Einstellungen!$C$17),0))))*Einstellungen!$E$17+IF($P71="",0,IF($P71&lt;=Einstellungen!$B$18,100,IF($P71&lt;=Einstellungen!$C$18,80+(100-80)*(Einstellungen!$C$18-$P71)/(Einstellungen!$C$18-Einstellungen!$B$18),IF($P71&lt;=Einstellungen!$D$18,80*(Einstellungen!$D$18-$P71)/(Einstellungen!$D$18-Einstellungen!$C$18),0))))*Einstellungen!$E$18)/(Einstellungen!$E$16+Einstellungen!$E$17+Einstellungen!$E$18),0))</f>
        <v/>
      </c>
      <c r="Z71">
        <f>IF(AND($E71="",$D71="",$G71="",$V71="",$Q71="",$T71="",$W71="",$U71=""),"",ROUND(IF($E71="",0,IF($E71&lt;Einstellungen!$B$21,0,IF($E71&gt;=Einstellungen!$B$22,100,($E71-Einstellungen!$B$21)/(Einstellungen!$B$22-Einstellungen!$B$21)*100)))/100*Einstellungen!$B$5+IF($W71="",0,$W71/100)*Einstellungen!$B$6+(IF($G71="",0,MAX(0,MIN(100,($G71-Einstellungen!$B$25)/(Einstellungen!$B$26-Einstellungen!$B$25)*100)))+IF($I71="",0,MAX(0,MIN(100,($I71-Einstellungen!$B$27)/(Einstellungen!$B$28-Einstellungen!$B$27)*100))))/2/100*Einstellungen!$B$7+IF($V71="",0,$V71/100)*Einstellungen!$B$8+IF($R71="",0,MAX(0,MIN(100,(Einstellungen!$B$32-$R71)/(Einstellungen!$B$32-Einstellungen!$B$31)*100)))/100*Einstellungen!$B$9+IF($D71="",0,$D71/5*100)/100*Einstellungen!$B$10+IF($AD71="",0,$AD71)/100*Einstellungen!$B$11+IF($U71="",0,$U71/5*100)/100*Einstellungen!$B$12,0))</f>
        <v/>
      </c>
      <c r="AA71">
        <f>IF($X71="","",$X71*1000000000000+IF($G71="",0,$G71)*1000000+IF($H71="",0,$H71)*1000+IF($I71="",0,$I71)+IF($N71="",0,MAX(0,1000-$N71))/1000+IF($A71="",0,$A71)/1000000)</f>
        <v/>
      </c>
      <c r="AB71">
        <f>IF($Y71="","",_xludf.RANK.EQ($Y71,$Y$2:$Y$201,0))</f>
        <v/>
      </c>
    </row>
    <row r="72">
      <c r="T72">
        <f>IFERROR(IF($Q72="","",$Q72/$H72),"")</f>
        <v/>
      </c>
      <c r="U72">
        <f>IFERROR(IF($Q72="","",$Q72/$G72),"")</f>
        <v/>
      </c>
      <c r="Y72">
        <f>IF(AND($L72="",$N72="",$P72=""),"",ROUND((IF($L72="",0,IF($L72&lt;=Einstellungen!$B$16,100,IF($L72&lt;=Einstellungen!$C$16,80+(100-80)*(Einstellungen!$C$16-$L72)/(Einstellungen!$C$16-Einstellungen!$B$16),IF($L72&lt;=Einstellungen!$D$16,80*(Einstellungen!$D$16-$L72)/(Einstellungen!$D$16-Einstellungen!$C$16),0))))*Einstellungen!$E$16+IF($N72="",0,IF($N72&lt;=Einstellungen!$B$17,100,IF($N72&lt;=Einstellungen!$C$17,80+(100-80)*(Einstellungen!$C$17-$N72)/(Einstellungen!$C$17-Einstellungen!$B$17),IF($N72&lt;=Einstellungen!$D$17,80*(Einstellungen!$D$17-$N72)/(Einstellungen!$D$17-Einstellungen!$C$17),0))))*Einstellungen!$E$17+IF($P72="",0,IF($P72&lt;=Einstellungen!$B$18,100,IF($P72&lt;=Einstellungen!$C$18,80+(100-80)*(Einstellungen!$C$18-$P72)/(Einstellungen!$C$18-Einstellungen!$B$18),IF($P72&lt;=Einstellungen!$D$18,80*(Einstellungen!$D$18-$P72)/(Einstellungen!$D$18-Einstellungen!$C$18),0))))*Einstellungen!$E$18)/(Einstellungen!$E$16+Einstellungen!$E$17+Einstellungen!$E$18),0))</f>
        <v/>
      </c>
      <c r="Z72">
        <f>IF(AND($E72="",$D72="",$G72="",$V72="",$Q72="",$T72="",$W72="",$U72=""),"",ROUND(IF($E72="",0,IF($E72&lt;Einstellungen!$B$21,0,IF($E72&gt;=Einstellungen!$B$22,100,($E72-Einstellungen!$B$21)/(Einstellungen!$B$22-Einstellungen!$B$21)*100)))/100*Einstellungen!$B$5+IF($W72="",0,$W72/100)*Einstellungen!$B$6+(IF($G72="",0,MAX(0,MIN(100,($G72-Einstellungen!$B$25)/(Einstellungen!$B$26-Einstellungen!$B$25)*100)))+IF($I72="",0,MAX(0,MIN(100,($I72-Einstellungen!$B$27)/(Einstellungen!$B$28-Einstellungen!$B$27)*100))))/2/100*Einstellungen!$B$7+IF($V72="",0,$V72/100)*Einstellungen!$B$8+IF($R72="",0,MAX(0,MIN(100,(Einstellungen!$B$32-$R72)/(Einstellungen!$B$32-Einstellungen!$B$31)*100)))/100*Einstellungen!$B$9+IF($D72="",0,$D72/5*100)/100*Einstellungen!$B$10+IF($AD72="",0,$AD72)/100*Einstellungen!$B$11+IF($U72="",0,$U72/5*100)/100*Einstellungen!$B$12,0))</f>
        <v/>
      </c>
      <c r="AA72">
        <f>IF($X72="","",$X72*1000000000000+IF($G72="",0,$G72)*1000000+IF($H72="",0,$H72)*1000+IF($I72="",0,$I72)+IF($N72="",0,MAX(0,1000-$N72))/1000+IF($A72="",0,$A72)/1000000)</f>
        <v/>
      </c>
      <c r="AB72">
        <f>IF($Y72="","",_xludf.RANK.EQ($Y72,$Y$2:$Y$201,0))</f>
        <v/>
      </c>
    </row>
    <row r="73">
      <c r="T73">
        <f>IFERROR(IF($Q73="","",$Q73/$H73),"")</f>
        <v/>
      </c>
      <c r="U73">
        <f>IFERROR(IF($Q73="","",$Q73/$G73),"")</f>
        <v/>
      </c>
      <c r="Y73">
        <f>IF(AND($L73="",$N73="",$P73=""),"",ROUND((IF($L73="",0,IF($L73&lt;=Einstellungen!$B$16,100,IF($L73&lt;=Einstellungen!$C$16,80+(100-80)*(Einstellungen!$C$16-$L73)/(Einstellungen!$C$16-Einstellungen!$B$16),IF($L73&lt;=Einstellungen!$D$16,80*(Einstellungen!$D$16-$L73)/(Einstellungen!$D$16-Einstellungen!$C$16),0))))*Einstellungen!$E$16+IF($N73="",0,IF($N73&lt;=Einstellungen!$B$17,100,IF($N73&lt;=Einstellungen!$C$17,80+(100-80)*(Einstellungen!$C$17-$N73)/(Einstellungen!$C$17-Einstellungen!$B$17),IF($N73&lt;=Einstellungen!$D$17,80*(Einstellungen!$D$17-$N73)/(Einstellungen!$D$17-Einstellungen!$C$17),0))))*Einstellungen!$E$17+IF($P73="",0,IF($P73&lt;=Einstellungen!$B$18,100,IF($P73&lt;=Einstellungen!$C$18,80+(100-80)*(Einstellungen!$C$18-$P73)/(Einstellungen!$C$18-Einstellungen!$B$18),IF($P73&lt;=Einstellungen!$D$18,80*(Einstellungen!$D$18-$P73)/(Einstellungen!$D$18-Einstellungen!$C$18),0))))*Einstellungen!$E$18)/(Einstellungen!$E$16+Einstellungen!$E$17+Einstellungen!$E$18),0))</f>
        <v/>
      </c>
      <c r="Z73">
        <f>IF(AND($E73="",$D73="",$G73="",$V73="",$Q73="",$T73="",$W73="",$U73=""),"",ROUND(IF($E73="",0,IF($E73&lt;Einstellungen!$B$21,0,IF($E73&gt;=Einstellungen!$B$22,100,($E73-Einstellungen!$B$21)/(Einstellungen!$B$22-Einstellungen!$B$21)*100)))/100*Einstellungen!$B$5+IF($W73="",0,$W73/100)*Einstellungen!$B$6+(IF($G73="",0,MAX(0,MIN(100,($G73-Einstellungen!$B$25)/(Einstellungen!$B$26-Einstellungen!$B$25)*100)))+IF($I73="",0,MAX(0,MIN(100,($I73-Einstellungen!$B$27)/(Einstellungen!$B$28-Einstellungen!$B$27)*100))))/2/100*Einstellungen!$B$7+IF($V73="",0,$V73/100)*Einstellungen!$B$8+IF($R73="",0,MAX(0,MIN(100,(Einstellungen!$B$32-$R73)/(Einstellungen!$B$32-Einstellungen!$B$31)*100)))/100*Einstellungen!$B$9+IF($D73="",0,$D73/5*100)/100*Einstellungen!$B$10+IF($AD73="",0,$AD73)/100*Einstellungen!$B$11+IF($U73="",0,$U73/5*100)/100*Einstellungen!$B$12,0))</f>
        <v/>
      </c>
      <c r="AA73">
        <f>IF($X73="","",$X73*1000000000000+IF($G73="",0,$G73)*1000000+IF($H73="",0,$H73)*1000+IF($I73="",0,$I73)+IF($N73="",0,MAX(0,1000-$N73))/1000+IF($A73="",0,$A73)/1000000)</f>
        <v/>
      </c>
      <c r="AB73">
        <f>IF($Y73="","",_xludf.RANK.EQ($Y73,$Y$2:$Y$201,0))</f>
        <v/>
      </c>
    </row>
    <row r="74">
      <c r="T74">
        <f>IFERROR(IF($Q74="","",$Q74/$H74),"")</f>
        <v/>
      </c>
      <c r="U74">
        <f>IFERROR(IF($Q74="","",$Q74/$G74),"")</f>
        <v/>
      </c>
      <c r="Y74">
        <f>IF(AND($L74="",$N74="",$P74=""),"",ROUND((IF($L74="",0,IF($L74&lt;=Einstellungen!$B$16,100,IF($L74&lt;=Einstellungen!$C$16,80+(100-80)*(Einstellungen!$C$16-$L74)/(Einstellungen!$C$16-Einstellungen!$B$16),IF($L74&lt;=Einstellungen!$D$16,80*(Einstellungen!$D$16-$L74)/(Einstellungen!$D$16-Einstellungen!$C$16),0))))*Einstellungen!$E$16+IF($N74="",0,IF($N74&lt;=Einstellungen!$B$17,100,IF($N74&lt;=Einstellungen!$C$17,80+(100-80)*(Einstellungen!$C$17-$N74)/(Einstellungen!$C$17-Einstellungen!$B$17),IF($N74&lt;=Einstellungen!$D$17,80*(Einstellungen!$D$17-$N74)/(Einstellungen!$D$17-Einstellungen!$C$17),0))))*Einstellungen!$E$17+IF($P74="",0,IF($P74&lt;=Einstellungen!$B$18,100,IF($P74&lt;=Einstellungen!$C$18,80+(100-80)*(Einstellungen!$C$18-$P74)/(Einstellungen!$C$18-Einstellungen!$B$18),IF($P74&lt;=Einstellungen!$D$18,80*(Einstellungen!$D$18-$P74)/(Einstellungen!$D$18-Einstellungen!$C$18),0))))*Einstellungen!$E$18)/(Einstellungen!$E$16+Einstellungen!$E$17+Einstellungen!$E$18),0))</f>
        <v/>
      </c>
      <c r="Z74">
        <f>IF(AND($E74="",$D74="",$G74="",$V74="",$Q74="",$T74="",$W74="",$U74=""),"",ROUND(IF($E74="",0,IF($E74&lt;Einstellungen!$B$21,0,IF($E74&gt;=Einstellungen!$B$22,100,($E74-Einstellungen!$B$21)/(Einstellungen!$B$22-Einstellungen!$B$21)*100)))/100*Einstellungen!$B$5+IF($W74="",0,$W74/100)*Einstellungen!$B$6+(IF($G74="",0,MAX(0,MIN(100,($G74-Einstellungen!$B$25)/(Einstellungen!$B$26-Einstellungen!$B$25)*100)))+IF($I74="",0,MAX(0,MIN(100,($I74-Einstellungen!$B$27)/(Einstellungen!$B$28-Einstellungen!$B$27)*100))))/2/100*Einstellungen!$B$7+IF($V74="",0,$V74/100)*Einstellungen!$B$8+IF($R74="",0,MAX(0,MIN(100,(Einstellungen!$B$32-$R74)/(Einstellungen!$B$32-Einstellungen!$B$31)*100)))/100*Einstellungen!$B$9+IF($D74="",0,$D74/5*100)/100*Einstellungen!$B$10+IF($AD74="",0,$AD74)/100*Einstellungen!$B$11+IF($U74="",0,$U74/5*100)/100*Einstellungen!$B$12,0))</f>
        <v/>
      </c>
      <c r="AA74">
        <f>IF($X74="","",$X74*1000000000000+IF($G74="",0,$G74)*1000000+IF($H74="",0,$H74)*1000+IF($I74="",0,$I74)+IF($N74="",0,MAX(0,1000-$N74))/1000+IF($A74="",0,$A74)/1000000)</f>
        <v/>
      </c>
      <c r="AB74">
        <f>IF($Y74="","",_xludf.RANK.EQ($Y74,$Y$2:$Y$201,0))</f>
        <v/>
      </c>
    </row>
    <row r="75">
      <c r="T75">
        <f>IFERROR(IF($Q75="","",$Q75/$H75),"")</f>
        <v/>
      </c>
      <c r="U75">
        <f>IFERROR(IF($Q75="","",$Q75/$G75),"")</f>
        <v/>
      </c>
      <c r="Y75">
        <f>IF(AND($L75="",$N75="",$P75=""),"",ROUND((IF($L75="",0,IF($L75&lt;=Einstellungen!$B$16,100,IF($L75&lt;=Einstellungen!$C$16,80+(100-80)*(Einstellungen!$C$16-$L75)/(Einstellungen!$C$16-Einstellungen!$B$16),IF($L75&lt;=Einstellungen!$D$16,80*(Einstellungen!$D$16-$L75)/(Einstellungen!$D$16-Einstellungen!$C$16),0))))*Einstellungen!$E$16+IF($N75="",0,IF($N75&lt;=Einstellungen!$B$17,100,IF($N75&lt;=Einstellungen!$C$17,80+(100-80)*(Einstellungen!$C$17-$N75)/(Einstellungen!$C$17-Einstellungen!$B$17),IF($N75&lt;=Einstellungen!$D$17,80*(Einstellungen!$D$17-$N75)/(Einstellungen!$D$17-Einstellungen!$C$17),0))))*Einstellungen!$E$17+IF($P75="",0,IF($P75&lt;=Einstellungen!$B$18,100,IF($P75&lt;=Einstellungen!$C$18,80+(100-80)*(Einstellungen!$C$18-$P75)/(Einstellungen!$C$18-Einstellungen!$B$18),IF($P75&lt;=Einstellungen!$D$18,80*(Einstellungen!$D$18-$P75)/(Einstellungen!$D$18-Einstellungen!$C$18),0))))*Einstellungen!$E$18)/(Einstellungen!$E$16+Einstellungen!$E$17+Einstellungen!$E$18),0))</f>
        <v/>
      </c>
      <c r="Z75">
        <f>IF(AND($E75="",$D75="",$G75="",$V75="",$Q75="",$T75="",$W75="",$U75=""),"",ROUND(IF($E75="",0,IF($E75&lt;Einstellungen!$B$21,0,IF($E75&gt;=Einstellungen!$B$22,100,($E75-Einstellungen!$B$21)/(Einstellungen!$B$22-Einstellungen!$B$21)*100)))/100*Einstellungen!$B$5+IF($W75="",0,$W75/100)*Einstellungen!$B$6+(IF($G75="",0,MAX(0,MIN(100,($G75-Einstellungen!$B$25)/(Einstellungen!$B$26-Einstellungen!$B$25)*100)))+IF($I75="",0,MAX(0,MIN(100,($I75-Einstellungen!$B$27)/(Einstellungen!$B$28-Einstellungen!$B$27)*100))))/2/100*Einstellungen!$B$7+IF($V75="",0,$V75/100)*Einstellungen!$B$8+IF($R75="",0,MAX(0,MIN(100,(Einstellungen!$B$32-$R75)/(Einstellungen!$B$32-Einstellungen!$B$31)*100)))/100*Einstellungen!$B$9+IF($D75="",0,$D75/5*100)/100*Einstellungen!$B$10+IF($AD75="",0,$AD75)/100*Einstellungen!$B$11+IF($U75="",0,$U75/5*100)/100*Einstellungen!$B$12,0))</f>
        <v/>
      </c>
      <c r="AA75">
        <f>IF($X75="","",$X75*1000000000000+IF($G75="",0,$G75)*1000000+IF($H75="",0,$H75)*1000+IF($I75="",0,$I75)+IF($N75="",0,MAX(0,1000-$N75))/1000+IF($A75="",0,$A75)/1000000)</f>
        <v/>
      </c>
      <c r="AB75">
        <f>IF($Y75="","",_xludf.RANK.EQ($Y75,$Y$2:$Y$201,0))</f>
        <v/>
      </c>
    </row>
    <row r="76">
      <c r="T76">
        <f>IFERROR(IF($Q76="","",$Q76/$H76),"")</f>
        <v/>
      </c>
      <c r="U76">
        <f>IFERROR(IF($Q76="","",$Q76/$G76),"")</f>
        <v/>
      </c>
      <c r="Y76">
        <f>IF(AND($L76="",$N76="",$P76=""),"",ROUND((IF($L76="",0,IF($L76&lt;=Einstellungen!$B$16,100,IF($L76&lt;=Einstellungen!$C$16,80+(100-80)*(Einstellungen!$C$16-$L76)/(Einstellungen!$C$16-Einstellungen!$B$16),IF($L76&lt;=Einstellungen!$D$16,80*(Einstellungen!$D$16-$L76)/(Einstellungen!$D$16-Einstellungen!$C$16),0))))*Einstellungen!$E$16+IF($N76="",0,IF($N76&lt;=Einstellungen!$B$17,100,IF($N76&lt;=Einstellungen!$C$17,80+(100-80)*(Einstellungen!$C$17-$N76)/(Einstellungen!$C$17-Einstellungen!$B$17),IF($N76&lt;=Einstellungen!$D$17,80*(Einstellungen!$D$17-$N76)/(Einstellungen!$D$17-Einstellungen!$C$17),0))))*Einstellungen!$E$17+IF($P76="",0,IF($P76&lt;=Einstellungen!$B$18,100,IF($P76&lt;=Einstellungen!$C$18,80+(100-80)*(Einstellungen!$C$18-$P76)/(Einstellungen!$C$18-Einstellungen!$B$18),IF($P76&lt;=Einstellungen!$D$18,80*(Einstellungen!$D$18-$P76)/(Einstellungen!$D$18-Einstellungen!$C$18),0))))*Einstellungen!$E$18)/(Einstellungen!$E$16+Einstellungen!$E$17+Einstellungen!$E$18),0))</f>
        <v/>
      </c>
      <c r="Z76">
        <f>IF(AND($E76="",$D76="",$G76="",$V76="",$Q76="",$T76="",$W76="",$U76=""),"",ROUND(IF($E76="",0,IF($E76&lt;Einstellungen!$B$21,0,IF($E76&gt;=Einstellungen!$B$22,100,($E76-Einstellungen!$B$21)/(Einstellungen!$B$22-Einstellungen!$B$21)*100)))/100*Einstellungen!$B$5+IF($W76="",0,$W76/100)*Einstellungen!$B$6+(IF($G76="",0,MAX(0,MIN(100,($G76-Einstellungen!$B$25)/(Einstellungen!$B$26-Einstellungen!$B$25)*100)))+IF($I76="",0,MAX(0,MIN(100,($I76-Einstellungen!$B$27)/(Einstellungen!$B$28-Einstellungen!$B$27)*100))))/2/100*Einstellungen!$B$7+IF($V76="",0,$V76/100)*Einstellungen!$B$8+IF($R76="",0,MAX(0,MIN(100,(Einstellungen!$B$32-$R76)/(Einstellungen!$B$32-Einstellungen!$B$31)*100)))/100*Einstellungen!$B$9+IF($D76="",0,$D76/5*100)/100*Einstellungen!$B$10+IF($AD76="",0,$AD76)/100*Einstellungen!$B$11+IF($U76="",0,$U76/5*100)/100*Einstellungen!$B$12,0))</f>
        <v/>
      </c>
      <c r="AA76">
        <f>IF($X76="","",$X76*1000000000000+IF($G76="",0,$G76)*1000000+IF($H76="",0,$H76)*1000+IF($I76="",0,$I76)+IF($N76="",0,MAX(0,1000-$N76))/1000+IF($A76="",0,$A76)/1000000)</f>
        <v/>
      </c>
      <c r="AB76">
        <f>IF($Y76="","",_xludf.RANK.EQ($Y76,$Y$2:$Y$201,0))</f>
        <v/>
      </c>
    </row>
    <row r="77">
      <c r="T77">
        <f>IFERROR(IF($Q77="","",$Q77/$H77),"")</f>
        <v/>
      </c>
      <c r="U77">
        <f>IFERROR(IF($Q77="","",$Q77/$G77),"")</f>
        <v/>
      </c>
      <c r="Y77">
        <f>IF(AND($L77="",$N77="",$P77=""),"",ROUND((IF($L77="",0,IF($L77&lt;=Einstellungen!$B$16,100,IF($L77&lt;=Einstellungen!$C$16,80+(100-80)*(Einstellungen!$C$16-$L77)/(Einstellungen!$C$16-Einstellungen!$B$16),IF($L77&lt;=Einstellungen!$D$16,80*(Einstellungen!$D$16-$L77)/(Einstellungen!$D$16-Einstellungen!$C$16),0))))*Einstellungen!$E$16+IF($N77="",0,IF($N77&lt;=Einstellungen!$B$17,100,IF($N77&lt;=Einstellungen!$C$17,80+(100-80)*(Einstellungen!$C$17-$N77)/(Einstellungen!$C$17-Einstellungen!$B$17),IF($N77&lt;=Einstellungen!$D$17,80*(Einstellungen!$D$17-$N77)/(Einstellungen!$D$17-Einstellungen!$C$17),0))))*Einstellungen!$E$17+IF($P77="",0,IF($P77&lt;=Einstellungen!$B$18,100,IF($P77&lt;=Einstellungen!$C$18,80+(100-80)*(Einstellungen!$C$18-$P77)/(Einstellungen!$C$18-Einstellungen!$B$18),IF($P77&lt;=Einstellungen!$D$18,80*(Einstellungen!$D$18-$P77)/(Einstellungen!$D$18-Einstellungen!$C$18),0))))*Einstellungen!$E$18)/(Einstellungen!$E$16+Einstellungen!$E$17+Einstellungen!$E$18),0))</f>
        <v/>
      </c>
      <c r="Z77">
        <f>IF(AND($E77="",$D77="",$G77="",$V77="",$Q77="",$T77="",$W77="",$U77=""),"",ROUND(IF($E77="",0,IF($E77&lt;Einstellungen!$B$21,0,IF($E77&gt;=Einstellungen!$B$22,100,($E77-Einstellungen!$B$21)/(Einstellungen!$B$22-Einstellungen!$B$21)*100)))/100*Einstellungen!$B$5+IF($W77="",0,$W77/100)*Einstellungen!$B$6+(IF($G77="",0,MAX(0,MIN(100,($G77-Einstellungen!$B$25)/(Einstellungen!$B$26-Einstellungen!$B$25)*100)))+IF($I77="",0,MAX(0,MIN(100,($I77-Einstellungen!$B$27)/(Einstellungen!$B$28-Einstellungen!$B$27)*100))))/2/100*Einstellungen!$B$7+IF($V77="",0,$V77/100)*Einstellungen!$B$8+IF($R77="",0,MAX(0,MIN(100,(Einstellungen!$B$32-$R77)/(Einstellungen!$B$32-Einstellungen!$B$31)*100)))/100*Einstellungen!$B$9+IF($D77="",0,$D77/5*100)/100*Einstellungen!$B$10+IF($AD77="",0,$AD77)/100*Einstellungen!$B$11+IF($U77="",0,$U77/5*100)/100*Einstellungen!$B$12,0))</f>
        <v/>
      </c>
      <c r="AA77">
        <f>IF($X77="","",$X77*1000000000000+IF($G77="",0,$G77)*1000000+IF($H77="",0,$H77)*1000+IF($I77="",0,$I77)+IF($N77="",0,MAX(0,1000-$N77))/1000+IF($A77="",0,$A77)/1000000)</f>
        <v/>
      </c>
      <c r="AB77">
        <f>IF($Y77="","",_xludf.RANK.EQ($Y77,$Y$2:$Y$201,0))</f>
        <v/>
      </c>
    </row>
    <row r="78">
      <c r="T78">
        <f>IFERROR(IF($Q78="","",$Q78/$H78),"")</f>
        <v/>
      </c>
      <c r="U78">
        <f>IFERROR(IF($Q78="","",$Q78/$G78),"")</f>
        <v/>
      </c>
      <c r="Y78">
        <f>IF(AND($L78="",$N78="",$P78=""),"",ROUND((IF($L78="",0,IF($L78&lt;=Einstellungen!$B$16,100,IF($L78&lt;=Einstellungen!$C$16,80+(100-80)*(Einstellungen!$C$16-$L78)/(Einstellungen!$C$16-Einstellungen!$B$16),IF($L78&lt;=Einstellungen!$D$16,80*(Einstellungen!$D$16-$L78)/(Einstellungen!$D$16-Einstellungen!$C$16),0))))*Einstellungen!$E$16+IF($N78="",0,IF($N78&lt;=Einstellungen!$B$17,100,IF($N78&lt;=Einstellungen!$C$17,80+(100-80)*(Einstellungen!$C$17-$N78)/(Einstellungen!$C$17-Einstellungen!$B$17),IF($N78&lt;=Einstellungen!$D$17,80*(Einstellungen!$D$17-$N78)/(Einstellungen!$D$17-Einstellungen!$C$17),0))))*Einstellungen!$E$17+IF($P78="",0,IF($P78&lt;=Einstellungen!$B$18,100,IF($P78&lt;=Einstellungen!$C$18,80+(100-80)*(Einstellungen!$C$18-$P78)/(Einstellungen!$C$18-Einstellungen!$B$18),IF($P78&lt;=Einstellungen!$D$18,80*(Einstellungen!$D$18-$P78)/(Einstellungen!$D$18-Einstellungen!$C$18),0))))*Einstellungen!$E$18)/(Einstellungen!$E$16+Einstellungen!$E$17+Einstellungen!$E$18),0))</f>
        <v/>
      </c>
      <c r="Z78">
        <f>IF(AND($E78="",$D78="",$G78="",$V78="",$Q78="",$T78="",$W78="",$U78=""),"",ROUND(IF($E78="",0,IF($E78&lt;Einstellungen!$B$21,0,IF($E78&gt;=Einstellungen!$B$22,100,($E78-Einstellungen!$B$21)/(Einstellungen!$B$22-Einstellungen!$B$21)*100)))/100*Einstellungen!$B$5+IF($W78="",0,$W78/100)*Einstellungen!$B$6+(IF($G78="",0,MAX(0,MIN(100,($G78-Einstellungen!$B$25)/(Einstellungen!$B$26-Einstellungen!$B$25)*100)))+IF($I78="",0,MAX(0,MIN(100,($I78-Einstellungen!$B$27)/(Einstellungen!$B$28-Einstellungen!$B$27)*100))))/2/100*Einstellungen!$B$7+IF($V78="",0,$V78/100)*Einstellungen!$B$8+IF($R78="",0,MAX(0,MIN(100,(Einstellungen!$B$32-$R78)/(Einstellungen!$B$32-Einstellungen!$B$31)*100)))/100*Einstellungen!$B$9+IF($D78="",0,$D78/5*100)/100*Einstellungen!$B$10+IF($AD78="",0,$AD78)/100*Einstellungen!$B$11+IF($U78="",0,$U78/5*100)/100*Einstellungen!$B$12,0))</f>
        <v/>
      </c>
      <c r="AA78">
        <f>IF($X78="","",$X78*1000000000000+IF($G78="",0,$G78)*1000000+IF($H78="",0,$H78)*1000+IF($I78="",0,$I78)+IF($N78="",0,MAX(0,1000-$N78))/1000+IF($A78="",0,$A78)/1000000)</f>
        <v/>
      </c>
      <c r="AB78">
        <f>IF($Y78="","",_xludf.RANK.EQ($Y78,$Y$2:$Y$201,0))</f>
        <v/>
      </c>
    </row>
    <row r="79">
      <c r="T79">
        <f>IFERROR(IF($Q79="","",$Q79/$H79),"")</f>
        <v/>
      </c>
      <c r="U79">
        <f>IFERROR(IF($Q79="","",$Q79/$G79),"")</f>
        <v/>
      </c>
      <c r="Y79">
        <f>IF(AND($L79="",$N79="",$P79=""),"",ROUND((IF($L79="",0,IF($L79&lt;=Einstellungen!$B$16,100,IF($L79&lt;=Einstellungen!$C$16,80+(100-80)*(Einstellungen!$C$16-$L79)/(Einstellungen!$C$16-Einstellungen!$B$16),IF($L79&lt;=Einstellungen!$D$16,80*(Einstellungen!$D$16-$L79)/(Einstellungen!$D$16-Einstellungen!$C$16),0))))*Einstellungen!$E$16+IF($N79="",0,IF($N79&lt;=Einstellungen!$B$17,100,IF($N79&lt;=Einstellungen!$C$17,80+(100-80)*(Einstellungen!$C$17-$N79)/(Einstellungen!$C$17-Einstellungen!$B$17),IF($N79&lt;=Einstellungen!$D$17,80*(Einstellungen!$D$17-$N79)/(Einstellungen!$D$17-Einstellungen!$C$17),0))))*Einstellungen!$E$17+IF($P79="",0,IF($P79&lt;=Einstellungen!$B$18,100,IF($P79&lt;=Einstellungen!$C$18,80+(100-80)*(Einstellungen!$C$18-$P79)/(Einstellungen!$C$18-Einstellungen!$B$18),IF($P79&lt;=Einstellungen!$D$18,80*(Einstellungen!$D$18-$P79)/(Einstellungen!$D$18-Einstellungen!$C$18),0))))*Einstellungen!$E$18)/(Einstellungen!$E$16+Einstellungen!$E$17+Einstellungen!$E$18),0))</f>
        <v/>
      </c>
      <c r="Z79">
        <f>IF(AND($E79="",$D79="",$G79="",$V79="",$Q79="",$T79="",$W79="",$U79=""),"",ROUND(IF($E79="",0,IF($E79&lt;Einstellungen!$B$21,0,IF($E79&gt;=Einstellungen!$B$22,100,($E79-Einstellungen!$B$21)/(Einstellungen!$B$22-Einstellungen!$B$21)*100)))/100*Einstellungen!$B$5+IF($W79="",0,$W79/100)*Einstellungen!$B$6+(IF($G79="",0,MAX(0,MIN(100,($G79-Einstellungen!$B$25)/(Einstellungen!$B$26-Einstellungen!$B$25)*100)))+IF($I79="",0,MAX(0,MIN(100,($I79-Einstellungen!$B$27)/(Einstellungen!$B$28-Einstellungen!$B$27)*100))))/2/100*Einstellungen!$B$7+IF($V79="",0,$V79/100)*Einstellungen!$B$8+IF($R79="",0,MAX(0,MIN(100,(Einstellungen!$B$32-$R79)/(Einstellungen!$B$32-Einstellungen!$B$31)*100)))/100*Einstellungen!$B$9+IF($D79="",0,$D79/5*100)/100*Einstellungen!$B$10+IF($AD79="",0,$AD79)/100*Einstellungen!$B$11+IF($U79="",0,$U79/5*100)/100*Einstellungen!$B$12,0))</f>
        <v/>
      </c>
      <c r="AA79">
        <f>IF($X79="","",$X79*1000000000000+IF($G79="",0,$G79)*1000000+IF($H79="",0,$H79)*1000+IF($I79="",0,$I79)+IF($N79="",0,MAX(0,1000-$N79))/1000+IF($A79="",0,$A79)/1000000)</f>
        <v/>
      </c>
      <c r="AB79">
        <f>IF($Y79="","",_xludf.RANK.EQ($Y79,$Y$2:$Y$201,0))</f>
        <v/>
      </c>
    </row>
    <row r="80">
      <c r="T80">
        <f>IFERROR(IF($Q80="","",$Q80/$H80),"")</f>
        <v/>
      </c>
      <c r="U80">
        <f>IFERROR(IF($Q80="","",$Q80/$G80),"")</f>
        <v/>
      </c>
      <c r="Y80">
        <f>IF(AND($L80="",$N80="",$P80=""),"",ROUND((IF($L80="",0,IF($L80&lt;=Einstellungen!$B$16,100,IF($L80&lt;=Einstellungen!$C$16,80+(100-80)*(Einstellungen!$C$16-$L80)/(Einstellungen!$C$16-Einstellungen!$B$16),IF($L80&lt;=Einstellungen!$D$16,80*(Einstellungen!$D$16-$L80)/(Einstellungen!$D$16-Einstellungen!$C$16),0))))*Einstellungen!$E$16+IF($N80="",0,IF($N80&lt;=Einstellungen!$B$17,100,IF($N80&lt;=Einstellungen!$C$17,80+(100-80)*(Einstellungen!$C$17-$N80)/(Einstellungen!$C$17-Einstellungen!$B$17),IF($N80&lt;=Einstellungen!$D$17,80*(Einstellungen!$D$17-$N80)/(Einstellungen!$D$17-Einstellungen!$C$17),0))))*Einstellungen!$E$17+IF($P80="",0,IF($P80&lt;=Einstellungen!$B$18,100,IF($P80&lt;=Einstellungen!$C$18,80+(100-80)*(Einstellungen!$C$18-$P80)/(Einstellungen!$C$18-Einstellungen!$B$18),IF($P80&lt;=Einstellungen!$D$18,80*(Einstellungen!$D$18-$P80)/(Einstellungen!$D$18-Einstellungen!$C$18),0))))*Einstellungen!$E$18)/(Einstellungen!$E$16+Einstellungen!$E$17+Einstellungen!$E$18),0))</f>
        <v/>
      </c>
      <c r="Z80">
        <f>IF(AND($E80="",$D80="",$G80="",$V80="",$Q80="",$T80="",$W80="",$U80=""),"",ROUND(IF($E80="",0,IF($E80&lt;Einstellungen!$B$21,0,IF($E80&gt;=Einstellungen!$B$22,100,($E80-Einstellungen!$B$21)/(Einstellungen!$B$22-Einstellungen!$B$21)*100)))/100*Einstellungen!$B$5+IF($W80="",0,$W80/100)*Einstellungen!$B$6+(IF($G80="",0,MAX(0,MIN(100,($G80-Einstellungen!$B$25)/(Einstellungen!$B$26-Einstellungen!$B$25)*100)))+IF($I80="",0,MAX(0,MIN(100,($I80-Einstellungen!$B$27)/(Einstellungen!$B$28-Einstellungen!$B$27)*100))))/2/100*Einstellungen!$B$7+IF($V80="",0,$V80/100)*Einstellungen!$B$8+IF($R80="",0,MAX(0,MIN(100,(Einstellungen!$B$32-$R80)/(Einstellungen!$B$32-Einstellungen!$B$31)*100)))/100*Einstellungen!$B$9+IF($D80="",0,$D80/5*100)/100*Einstellungen!$B$10+IF($AD80="",0,$AD80)/100*Einstellungen!$B$11+IF($U80="",0,$U80/5*100)/100*Einstellungen!$B$12,0))</f>
        <v/>
      </c>
      <c r="AA80">
        <f>IF($X80="","",$X80*1000000000000+IF($G80="",0,$G80)*1000000+IF($H80="",0,$H80)*1000+IF($I80="",0,$I80)+IF($N80="",0,MAX(0,1000-$N80))/1000+IF($A80="",0,$A80)/1000000)</f>
        <v/>
      </c>
      <c r="AB80">
        <f>IF($Y80="","",_xludf.RANK.EQ($Y80,$Y$2:$Y$201,0))</f>
        <v/>
      </c>
    </row>
    <row r="81">
      <c r="T81">
        <f>IFERROR(IF($Q81="","",$Q81/$H81),"")</f>
        <v/>
      </c>
      <c r="U81">
        <f>IFERROR(IF($Q81="","",$Q81/$G81),"")</f>
        <v/>
      </c>
      <c r="Y81">
        <f>IF(AND($L81="",$N81="",$P81=""),"",ROUND((IF($L81="",0,IF($L81&lt;=Einstellungen!$B$16,100,IF($L81&lt;=Einstellungen!$C$16,80+(100-80)*(Einstellungen!$C$16-$L81)/(Einstellungen!$C$16-Einstellungen!$B$16),IF($L81&lt;=Einstellungen!$D$16,80*(Einstellungen!$D$16-$L81)/(Einstellungen!$D$16-Einstellungen!$C$16),0))))*Einstellungen!$E$16+IF($N81="",0,IF($N81&lt;=Einstellungen!$B$17,100,IF($N81&lt;=Einstellungen!$C$17,80+(100-80)*(Einstellungen!$C$17-$N81)/(Einstellungen!$C$17-Einstellungen!$B$17),IF($N81&lt;=Einstellungen!$D$17,80*(Einstellungen!$D$17-$N81)/(Einstellungen!$D$17-Einstellungen!$C$17),0))))*Einstellungen!$E$17+IF($P81="",0,IF($P81&lt;=Einstellungen!$B$18,100,IF($P81&lt;=Einstellungen!$C$18,80+(100-80)*(Einstellungen!$C$18-$P81)/(Einstellungen!$C$18-Einstellungen!$B$18),IF($P81&lt;=Einstellungen!$D$18,80*(Einstellungen!$D$18-$P81)/(Einstellungen!$D$18-Einstellungen!$C$18),0))))*Einstellungen!$E$18)/(Einstellungen!$E$16+Einstellungen!$E$17+Einstellungen!$E$18),0))</f>
        <v/>
      </c>
      <c r="Z81">
        <f>IF(AND($E81="",$D81="",$G81="",$V81="",$Q81="",$T81="",$W81="",$U81=""),"",ROUND(IF($E81="",0,IF($E81&lt;Einstellungen!$B$21,0,IF($E81&gt;=Einstellungen!$B$22,100,($E81-Einstellungen!$B$21)/(Einstellungen!$B$22-Einstellungen!$B$21)*100)))/100*Einstellungen!$B$5+IF($W81="",0,$W81/100)*Einstellungen!$B$6+(IF($G81="",0,MAX(0,MIN(100,($G81-Einstellungen!$B$25)/(Einstellungen!$B$26-Einstellungen!$B$25)*100)))+IF($I81="",0,MAX(0,MIN(100,($I81-Einstellungen!$B$27)/(Einstellungen!$B$28-Einstellungen!$B$27)*100))))/2/100*Einstellungen!$B$7+IF($V81="",0,$V81/100)*Einstellungen!$B$8+IF($R81="",0,MAX(0,MIN(100,(Einstellungen!$B$32-$R81)/(Einstellungen!$B$32-Einstellungen!$B$31)*100)))/100*Einstellungen!$B$9+IF($D81="",0,$D81/5*100)/100*Einstellungen!$B$10+IF($AD81="",0,$AD81)/100*Einstellungen!$B$11+IF($U81="",0,$U81/5*100)/100*Einstellungen!$B$12,0))</f>
        <v/>
      </c>
      <c r="AA81">
        <f>IF($X81="","",$X81*1000000000000+IF($G81="",0,$G81)*1000000+IF($H81="",0,$H81)*1000+IF($I81="",0,$I81)+IF($N81="",0,MAX(0,1000-$N81))/1000+IF($A81="",0,$A81)/1000000)</f>
        <v/>
      </c>
      <c r="AB81">
        <f>IF($Y81="","",_xludf.RANK.EQ($Y81,$Y$2:$Y$201,0))</f>
        <v/>
      </c>
    </row>
    <row r="82">
      <c r="T82">
        <f>IFERROR(IF($Q82="","",$Q82/$H82),"")</f>
        <v/>
      </c>
      <c r="U82">
        <f>IFERROR(IF($Q82="","",$Q82/$G82),"")</f>
        <v/>
      </c>
      <c r="Y82">
        <f>IF(AND($L82="",$N82="",$P82=""),"",ROUND((IF($L82="",0,IF($L82&lt;=Einstellungen!$B$16,100,IF($L82&lt;=Einstellungen!$C$16,80+(100-80)*(Einstellungen!$C$16-$L82)/(Einstellungen!$C$16-Einstellungen!$B$16),IF($L82&lt;=Einstellungen!$D$16,80*(Einstellungen!$D$16-$L82)/(Einstellungen!$D$16-Einstellungen!$C$16),0))))*Einstellungen!$E$16+IF($N82="",0,IF($N82&lt;=Einstellungen!$B$17,100,IF($N82&lt;=Einstellungen!$C$17,80+(100-80)*(Einstellungen!$C$17-$N82)/(Einstellungen!$C$17-Einstellungen!$B$17),IF($N82&lt;=Einstellungen!$D$17,80*(Einstellungen!$D$17-$N82)/(Einstellungen!$D$17-Einstellungen!$C$17),0))))*Einstellungen!$E$17+IF($P82="",0,IF($P82&lt;=Einstellungen!$B$18,100,IF($P82&lt;=Einstellungen!$C$18,80+(100-80)*(Einstellungen!$C$18-$P82)/(Einstellungen!$C$18-Einstellungen!$B$18),IF($P82&lt;=Einstellungen!$D$18,80*(Einstellungen!$D$18-$P82)/(Einstellungen!$D$18-Einstellungen!$C$18),0))))*Einstellungen!$E$18)/(Einstellungen!$E$16+Einstellungen!$E$17+Einstellungen!$E$18),0))</f>
        <v/>
      </c>
      <c r="Z82">
        <f>IF(AND($E82="",$D82="",$G82="",$V82="",$Q82="",$T82="",$W82="",$U82=""),"",ROUND(IF($E82="",0,IF($E82&lt;Einstellungen!$B$21,0,IF($E82&gt;=Einstellungen!$B$22,100,($E82-Einstellungen!$B$21)/(Einstellungen!$B$22-Einstellungen!$B$21)*100)))/100*Einstellungen!$B$5+IF($W82="",0,$W82/100)*Einstellungen!$B$6+(IF($G82="",0,MAX(0,MIN(100,($G82-Einstellungen!$B$25)/(Einstellungen!$B$26-Einstellungen!$B$25)*100)))+IF($I82="",0,MAX(0,MIN(100,($I82-Einstellungen!$B$27)/(Einstellungen!$B$28-Einstellungen!$B$27)*100))))/2/100*Einstellungen!$B$7+IF($V82="",0,$V82/100)*Einstellungen!$B$8+IF($R82="",0,MAX(0,MIN(100,(Einstellungen!$B$32-$R82)/(Einstellungen!$B$32-Einstellungen!$B$31)*100)))/100*Einstellungen!$B$9+IF($D82="",0,$D82/5*100)/100*Einstellungen!$B$10+IF($AD82="",0,$AD82)/100*Einstellungen!$B$11+IF($U82="",0,$U82/5*100)/100*Einstellungen!$B$12,0))</f>
        <v/>
      </c>
      <c r="AA82">
        <f>IF($X82="","",$X82*1000000000000+IF($G82="",0,$G82)*1000000+IF($H82="",0,$H82)*1000+IF($I82="",0,$I82)+IF($N82="",0,MAX(0,1000-$N82))/1000+IF($A82="",0,$A82)/1000000)</f>
        <v/>
      </c>
      <c r="AB82">
        <f>IF($Y82="","",_xludf.RANK.EQ($Y82,$Y$2:$Y$201,0))</f>
        <v/>
      </c>
    </row>
    <row r="83">
      <c r="T83">
        <f>IFERROR(IF($Q83="","",$Q83/$H83),"")</f>
        <v/>
      </c>
      <c r="U83">
        <f>IFERROR(IF($Q83="","",$Q83/$G83),"")</f>
        <v/>
      </c>
      <c r="Y83">
        <f>IF(AND($L83="",$N83="",$P83=""),"",ROUND((IF($L83="",0,IF($L83&lt;=Einstellungen!$B$16,100,IF($L83&lt;=Einstellungen!$C$16,80+(100-80)*(Einstellungen!$C$16-$L83)/(Einstellungen!$C$16-Einstellungen!$B$16),IF($L83&lt;=Einstellungen!$D$16,80*(Einstellungen!$D$16-$L83)/(Einstellungen!$D$16-Einstellungen!$C$16),0))))*Einstellungen!$E$16+IF($N83="",0,IF($N83&lt;=Einstellungen!$B$17,100,IF($N83&lt;=Einstellungen!$C$17,80+(100-80)*(Einstellungen!$C$17-$N83)/(Einstellungen!$C$17-Einstellungen!$B$17),IF($N83&lt;=Einstellungen!$D$17,80*(Einstellungen!$D$17-$N83)/(Einstellungen!$D$17-Einstellungen!$C$17),0))))*Einstellungen!$E$17+IF($P83="",0,IF($P83&lt;=Einstellungen!$B$18,100,IF($P83&lt;=Einstellungen!$C$18,80+(100-80)*(Einstellungen!$C$18-$P83)/(Einstellungen!$C$18-Einstellungen!$B$18),IF($P83&lt;=Einstellungen!$D$18,80*(Einstellungen!$D$18-$P83)/(Einstellungen!$D$18-Einstellungen!$C$18),0))))*Einstellungen!$E$18)/(Einstellungen!$E$16+Einstellungen!$E$17+Einstellungen!$E$18),0))</f>
        <v/>
      </c>
      <c r="Z83">
        <f>IF(AND($E83="",$D83="",$G83="",$V83="",$Q83="",$T83="",$W83="",$U83=""),"",ROUND(IF($E83="",0,IF($E83&lt;Einstellungen!$B$21,0,IF($E83&gt;=Einstellungen!$B$22,100,($E83-Einstellungen!$B$21)/(Einstellungen!$B$22-Einstellungen!$B$21)*100)))/100*Einstellungen!$B$5+IF($W83="",0,$W83/100)*Einstellungen!$B$6+(IF($G83="",0,MAX(0,MIN(100,($G83-Einstellungen!$B$25)/(Einstellungen!$B$26-Einstellungen!$B$25)*100)))+IF($I83="",0,MAX(0,MIN(100,($I83-Einstellungen!$B$27)/(Einstellungen!$B$28-Einstellungen!$B$27)*100))))/2/100*Einstellungen!$B$7+IF($V83="",0,$V83/100)*Einstellungen!$B$8+IF($R83="",0,MAX(0,MIN(100,(Einstellungen!$B$32-$R83)/(Einstellungen!$B$32-Einstellungen!$B$31)*100)))/100*Einstellungen!$B$9+IF($D83="",0,$D83/5*100)/100*Einstellungen!$B$10+IF($AD83="",0,$AD83)/100*Einstellungen!$B$11+IF($U83="",0,$U83/5*100)/100*Einstellungen!$B$12,0))</f>
        <v/>
      </c>
      <c r="AA83">
        <f>IF($X83="","",$X83*1000000000000+IF($G83="",0,$G83)*1000000+IF($H83="",0,$H83)*1000+IF($I83="",0,$I83)+IF($N83="",0,MAX(0,1000-$N83))/1000+IF($A83="",0,$A83)/1000000)</f>
        <v/>
      </c>
      <c r="AB83">
        <f>IF($Y83="","",_xludf.RANK.EQ($Y83,$Y$2:$Y$201,0))</f>
        <v/>
      </c>
    </row>
    <row r="84">
      <c r="T84">
        <f>IFERROR(IF($Q84="","",$Q84/$H84),"")</f>
        <v/>
      </c>
      <c r="U84">
        <f>IFERROR(IF($Q84="","",$Q84/$G84),"")</f>
        <v/>
      </c>
      <c r="Y84">
        <f>IF(AND($L84="",$N84="",$P84=""),"",ROUND((IF($L84="",0,IF($L84&lt;=Einstellungen!$B$16,100,IF($L84&lt;=Einstellungen!$C$16,80+(100-80)*(Einstellungen!$C$16-$L84)/(Einstellungen!$C$16-Einstellungen!$B$16),IF($L84&lt;=Einstellungen!$D$16,80*(Einstellungen!$D$16-$L84)/(Einstellungen!$D$16-Einstellungen!$C$16),0))))*Einstellungen!$E$16+IF($N84="",0,IF($N84&lt;=Einstellungen!$B$17,100,IF($N84&lt;=Einstellungen!$C$17,80+(100-80)*(Einstellungen!$C$17-$N84)/(Einstellungen!$C$17-Einstellungen!$B$17),IF($N84&lt;=Einstellungen!$D$17,80*(Einstellungen!$D$17-$N84)/(Einstellungen!$D$17-Einstellungen!$C$17),0))))*Einstellungen!$E$17+IF($P84="",0,IF($P84&lt;=Einstellungen!$B$18,100,IF($P84&lt;=Einstellungen!$C$18,80+(100-80)*(Einstellungen!$C$18-$P84)/(Einstellungen!$C$18-Einstellungen!$B$18),IF($P84&lt;=Einstellungen!$D$18,80*(Einstellungen!$D$18-$P84)/(Einstellungen!$D$18-Einstellungen!$C$18),0))))*Einstellungen!$E$18)/(Einstellungen!$E$16+Einstellungen!$E$17+Einstellungen!$E$18),0))</f>
        <v/>
      </c>
      <c r="Z84">
        <f>IF(AND($E84="",$D84="",$G84="",$V84="",$Q84="",$T84="",$W84="",$U84=""),"",ROUND(IF($E84="",0,IF($E84&lt;Einstellungen!$B$21,0,IF($E84&gt;=Einstellungen!$B$22,100,($E84-Einstellungen!$B$21)/(Einstellungen!$B$22-Einstellungen!$B$21)*100)))/100*Einstellungen!$B$5+IF($W84="",0,$W84/100)*Einstellungen!$B$6+(IF($G84="",0,MAX(0,MIN(100,($G84-Einstellungen!$B$25)/(Einstellungen!$B$26-Einstellungen!$B$25)*100)))+IF($I84="",0,MAX(0,MIN(100,($I84-Einstellungen!$B$27)/(Einstellungen!$B$28-Einstellungen!$B$27)*100))))/2/100*Einstellungen!$B$7+IF($V84="",0,$V84/100)*Einstellungen!$B$8+IF($R84="",0,MAX(0,MIN(100,(Einstellungen!$B$32-$R84)/(Einstellungen!$B$32-Einstellungen!$B$31)*100)))/100*Einstellungen!$B$9+IF($D84="",0,$D84/5*100)/100*Einstellungen!$B$10+IF($AD84="",0,$AD84)/100*Einstellungen!$B$11+IF($U84="",0,$U84/5*100)/100*Einstellungen!$B$12,0))</f>
        <v/>
      </c>
      <c r="AA84">
        <f>IF($X84="","",$X84*1000000000000+IF($G84="",0,$G84)*1000000+IF($H84="",0,$H84)*1000+IF($I84="",0,$I84)+IF($N84="",0,MAX(0,1000-$N84))/1000+IF($A84="",0,$A84)/1000000)</f>
        <v/>
      </c>
      <c r="AB84">
        <f>IF($Y84="","",_xludf.RANK.EQ($Y84,$Y$2:$Y$201,0))</f>
        <v/>
      </c>
    </row>
    <row r="85">
      <c r="T85">
        <f>IFERROR(IF($Q85="","",$Q85/$H85),"")</f>
        <v/>
      </c>
      <c r="U85">
        <f>IFERROR(IF($Q85="","",$Q85/$G85),"")</f>
        <v/>
      </c>
      <c r="Y85">
        <f>IF(AND($L85="",$N85="",$P85=""),"",ROUND((IF($L85="",0,IF($L85&lt;=Einstellungen!$B$16,100,IF($L85&lt;=Einstellungen!$C$16,80+(100-80)*(Einstellungen!$C$16-$L85)/(Einstellungen!$C$16-Einstellungen!$B$16),IF($L85&lt;=Einstellungen!$D$16,80*(Einstellungen!$D$16-$L85)/(Einstellungen!$D$16-Einstellungen!$C$16),0))))*Einstellungen!$E$16+IF($N85="",0,IF($N85&lt;=Einstellungen!$B$17,100,IF($N85&lt;=Einstellungen!$C$17,80+(100-80)*(Einstellungen!$C$17-$N85)/(Einstellungen!$C$17-Einstellungen!$B$17),IF($N85&lt;=Einstellungen!$D$17,80*(Einstellungen!$D$17-$N85)/(Einstellungen!$D$17-Einstellungen!$C$17),0))))*Einstellungen!$E$17+IF($P85="",0,IF($P85&lt;=Einstellungen!$B$18,100,IF($P85&lt;=Einstellungen!$C$18,80+(100-80)*(Einstellungen!$C$18-$P85)/(Einstellungen!$C$18-Einstellungen!$B$18),IF($P85&lt;=Einstellungen!$D$18,80*(Einstellungen!$D$18-$P85)/(Einstellungen!$D$18-Einstellungen!$C$18),0))))*Einstellungen!$E$18)/(Einstellungen!$E$16+Einstellungen!$E$17+Einstellungen!$E$18),0))</f>
        <v/>
      </c>
      <c r="Z85">
        <f>IF(AND($E85="",$D85="",$G85="",$V85="",$Q85="",$T85="",$W85="",$U85=""),"",ROUND(IF($E85="",0,IF($E85&lt;Einstellungen!$B$21,0,IF($E85&gt;=Einstellungen!$B$22,100,($E85-Einstellungen!$B$21)/(Einstellungen!$B$22-Einstellungen!$B$21)*100)))/100*Einstellungen!$B$5+IF($W85="",0,$W85/100)*Einstellungen!$B$6+(IF($G85="",0,MAX(0,MIN(100,($G85-Einstellungen!$B$25)/(Einstellungen!$B$26-Einstellungen!$B$25)*100)))+IF($I85="",0,MAX(0,MIN(100,($I85-Einstellungen!$B$27)/(Einstellungen!$B$28-Einstellungen!$B$27)*100))))/2/100*Einstellungen!$B$7+IF($V85="",0,$V85/100)*Einstellungen!$B$8+IF($R85="",0,MAX(0,MIN(100,(Einstellungen!$B$32-$R85)/(Einstellungen!$B$32-Einstellungen!$B$31)*100)))/100*Einstellungen!$B$9+IF($D85="",0,$D85/5*100)/100*Einstellungen!$B$10+IF($AD85="",0,$AD85)/100*Einstellungen!$B$11+IF($U85="",0,$U85/5*100)/100*Einstellungen!$B$12,0))</f>
        <v/>
      </c>
      <c r="AA85">
        <f>IF($X85="","",$X85*1000000000000+IF($G85="",0,$G85)*1000000+IF($H85="",0,$H85)*1000+IF($I85="",0,$I85)+IF($N85="",0,MAX(0,1000-$N85))/1000+IF($A85="",0,$A85)/1000000)</f>
        <v/>
      </c>
      <c r="AB85">
        <f>IF($Y85="","",_xludf.RANK.EQ($Y85,$Y$2:$Y$201,0))</f>
        <v/>
      </c>
    </row>
    <row r="86">
      <c r="T86">
        <f>IFERROR(IF($Q86="","",$Q86/$H86),"")</f>
        <v/>
      </c>
      <c r="U86">
        <f>IFERROR(IF($Q86="","",$Q86/$G86),"")</f>
        <v/>
      </c>
      <c r="Y86">
        <f>IF(AND($L86="",$N86="",$P86=""),"",ROUND((IF($L86="",0,IF($L86&lt;=Einstellungen!$B$16,100,IF($L86&lt;=Einstellungen!$C$16,80+(100-80)*(Einstellungen!$C$16-$L86)/(Einstellungen!$C$16-Einstellungen!$B$16),IF($L86&lt;=Einstellungen!$D$16,80*(Einstellungen!$D$16-$L86)/(Einstellungen!$D$16-Einstellungen!$C$16),0))))*Einstellungen!$E$16+IF($N86="",0,IF($N86&lt;=Einstellungen!$B$17,100,IF($N86&lt;=Einstellungen!$C$17,80+(100-80)*(Einstellungen!$C$17-$N86)/(Einstellungen!$C$17-Einstellungen!$B$17),IF($N86&lt;=Einstellungen!$D$17,80*(Einstellungen!$D$17-$N86)/(Einstellungen!$D$17-Einstellungen!$C$17),0))))*Einstellungen!$E$17+IF($P86="",0,IF($P86&lt;=Einstellungen!$B$18,100,IF($P86&lt;=Einstellungen!$C$18,80+(100-80)*(Einstellungen!$C$18-$P86)/(Einstellungen!$C$18-Einstellungen!$B$18),IF($P86&lt;=Einstellungen!$D$18,80*(Einstellungen!$D$18-$P86)/(Einstellungen!$D$18-Einstellungen!$C$18),0))))*Einstellungen!$E$18)/(Einstellungen!$E$16+Einstellungen!$E$17+Einstellungen!$E$18),0))</f>
        <v/>
      </c>
      <c r="Z86">
        <f>IF(AND($E86="",$D86="",$G86="",$V86="",$Q86="",$T86="",$W86="",$U86=""),"",ROUND(IF($E86="",0,IF($E86&lt;Einstellungen!$B$21,0,IF($E86&gt;=Einstellungen!$B$22,100,($E86-Einstellungen!$B$21)/(Einstellungen!$B$22-Einstellungen!$B$21)*100)))/100*Einstellungen!$B$5+IF($W86="",0,$W86/100)*Einstellungen!$B$6+(IF($G86="",0,MAX(0,MIN(100,($G86-Einstellungen!$B$25)/(Einstellungen!$B$26-Einstellungen!$B$25)*100)))+IF($I86="",0,MAX(0,MIN(100,($I86-Einstellungen!$B$27)/(Einstellungen!$B$28-Einstellungen!$B$27)*100))))/2/100*Einstellungen!$B$7+IF($V86="",0,$V86/100)*Einstellungen!$B$8+IF($R86="",0,MAX(0,MIN(100,(Einstellungen!$B$32-$R86)/(Einstellungen!$B$32-Einstellungen!$B$31)*100)))/100*Einstellungen!$B$9+IF($D86="",0,$D86/5*100)/100*Einstellungen!$B$10+IF($AD86="",0,$AD86)/100*Einstellungen!$B$11+IF($U86="",0,$U86/5*100)/100*Einstellungen!$B$12,0))</f>
        <v/>
      </c>
      <c r="AA86">
        <f>IF($X86="","",$X86*1000000000000+IF($G86="",0,$G86)*1000000+IF($H86="",0,$H86)*1000+IF($I86="",0,$I86)+IF($N86="",0,MAX(0,1000-$N86))/1000+IF($A86="",0,$A86)/1000000)</f>
        <v/>
      </c>
      <c r="AB86">
        <f>IF($Y86="","",_xludf.RANK.EQ($Y86,$Y$2:$Y$201,0))</f>
        <v/>
      </c>
    </row>
    <row r="87">
      <c r="T87">
        <f>IFERROR(IF($Q87="","",$Q87/$H87),"")</f>
        <v/>
      </c>
      <c r="U87">
        <f>IFERROR(IF($Q87="","",$Q87/$G87),"")</f>
        <v/>
      </c>
      <c r="Y87">
        <f>IF(AND($L87="",$N87="",$P87=""),"",ROUND((IF($L87="",0,IF($L87&lt;=Einstellungen!$B$16,100,IF($L87&lt;=Einstellungen!$C$16,80+(100-80)*(Einstellungen!$C$16-$L87)/(Einstellungen!$C$16-Einstellungen!$B$16),IF($L87&lt;=Einstellungen!$D$16,80*(Einstellungen!$D$16-$L87)/(Einstellungen!$D$16-Einstellungen!$C$16),0))))*Einstellungen!$E$16+IF($N87="",0,IF($N87&lt;=Einstellungen!$B$17,100,IF($N87&lt;=Einstellungen!$C$17,80+(100-80)*(Einstellungen!$C$17-$N87)/(Einstellungen!$C$17-Einstellungen!$B$17),IF($N87&lt;=Einstellungen!$D$17,80*(Einstellungen!$D$17-$N87)/(Einstellungen!$D$17-Einstellungen!$C$17),0))))*Einstellungen!$E$17+IF($P87="",0,IF($P87&lt;=Einstellungen!$B$18,100,IF($P87&lt;=Einstellungen!$C$18,80+(100-80)*(Einstellungen!$C$18-$P87)/(Einstellungen!$C$18-Einstellungen!$B$18),IF($P87&lt;=Einstellungen!$D$18,80*(Einstellungen!$D$18-$P87)/(Einstellungen!$D$18-Einstellungen!$C$18),0))))*Einstellungen!$E$18)/(Einstellungen!$E$16+Einstellungen!$E$17+Einstellungen!$E$18),0))</f>
        <v/>
      </c>
      <c r="Z87">
        <f>IF(AND($E87="",$D87="",$G87="",$V87="",$Q87="",$T87="",$W87="",$U87=""),"",ROUND(IF($E87="",0,IF($E87&lt;Einstellungen!$B$21,0,IF($E87&gt;=Einstellungen!$B$22,100,($E87-Einstellungen!$B$21)/(Einstellungen!$B$22-Einstellungen!$B$21)*100)))/100*Einstellungen!$B$5+IF($W87="",0,$W87/100)*Einstellungen!$B$6+(IF($G87="",0,MAX(0,MIN(100,($G87-Einstellungen!$B$25)/(Einstellungen!$B$26-Einstellungen!$B$25)*100)))+IF($I87="",0,MAX(0,MIN(100,($I87-Einstellungen!$B$27)/(Einstellungen!$B$28-Einstellungen!$B$27)*100))))/2/100*Einstellungen!$B$7+IF($V87="",0,$V87/100)*Einstellungen!$B$8+IF($R87="",0,MAX(0,MIN(100,(Einstellungen!$B$32-$R87)/(Einstellungen!$B$32-Einstellungen!$B$31)*100)))/100*Einstellungen!$B$9+IF($D87="",0,$D87/5*100)/100*Einstellungen!$B$10+IF($AD87="",0,$AD87)/100*Einstellungen!$B$11+IF($U87="",0,$U87/5*100)/100*Einstellungen!$B$12,0))</f>
        <v/>
      </c>
      <c r="AA87">
        <f>IF($X87="","",$X87*1000000000000+IF($G87="",0,$G87)*1000000+IF($H87="",0,$H87)*1000+IF($I87="",0,$I87)+IF($N87="",0,MAX(0,1000-$N87))/1000+IF($A87="",0,$A87)/1000000)</f>
        <v/>
      </c>
      <c r="AB87">
        <f>IF($Y87="","",_xludf.RANK.EQ($Y87,$Y$2:$Y$201,0))</f>
        <v/>
      </c>
    </row>
    <row r="88">
      <c r="T88">
        <f>IFERROR(IF($Q88="","",$Q88/$H88),"")</f>
        <v/>
      </c>
      <c r="U88">
        <f>IFERROR(IF($Q88="","",$Q88/$G88),"")</f>
        <v/>
      </c>
      <c r="Y88">
        <f>IF(AND($L88="",$N88="",$P88=""),"",ROUND((IF($L88="",0,IF($L88&lt;=Einstellungen!$B$16,100,IF($L88&lt;=Einstellungen!$C$16,80+(100-80)*(Einstellungen!$C$16-$L88)/(Einstellungen!$C$16-Einstellungen!$B$16),IF($L88&lt;=Einstellungen!$D$16,80*(Einstellungen!$D$16-$L88)/(Einstellungen!$D$16-Einstellungen!$C$16),0))))*Einstellungen!$E$16+IF($N88="",0,IF($N88&lt;=Einstellungen!$B$17,100,IF($N88&lt;=Einstellungen!$C$17,80+(100-80)*(Einstellungen!$C$17-$N88)/(Einstellungen!$C$17-Einstellungen!$B$17),IF($N88&lt;=Einstellungen!$D$17,80*(Einstellungen!$D$17-$N88)/(Einstellungen!$D$17-Einstellungen!$C$17),0))))*Einstellungen!$E$17+IF($P88="",0,IF($P88&lt;=Einstellungen!$B$18,100,IF($P88&lt;=Einstellungen!$C$18,80+(100-80)*(Einstellungen!$C$18-$P88)/(Einstellungen!$C$18-Einstellungen!$B$18),IF($P88&lt;=Einstellungen!$D$18,80*(Einstellungen!$D$18-$P88)/(Einstellungen!$D$18-Einstellungen!$C$18),0))))*Einstellungen!$E$18)/(Einstellungen!$E$16+Einstellungen!$E$17+Einstellungen!$E$18),0))</f>
        <v/>
      </c>
      <c r="Z88">
        <f>IF(AND($E88="",$D88="",$G88="",$V88="",$Q88="",$T88="",$W88="",$U88=""),"",ROUND(IF($E88="",0,IF($E88&lt;Einstellungen!$B$21,0,IF($E88&gt;=Einstellungen!$B$22,100,($E88-Einstellungen!$B$21)/(Einstellungen!$B$22-Einstellungen!$B$21)*100)))/100*Einstellungen!$B$5+IF($W88="",0,$W88/100)*Einstellungen!$B$6+(IF($G88="",0,MAX(0,MIN(100,($G88-Einstellungen!$B$25)/(Einstellungen!$B$26-Einstellungen!$B$25)*100)))+IF($I88="",0,MAX(0,MIN(100,($I88-Einstellungen!$B$27)/(Einstellungen!$B$28-Einstellungen!$B$27)*100))))/2/100*Einstellungen!$B$7+IF($V88="",0,$V88/100)*Einstellungen!$B$8+IF($R88="",0,MAX(0,MIN(100,(Einstellungen!$B$32-$R88)/(Einstellungen!$B$32-Einstellungen!$B$31)*100)))/100*Einstellungen!$B$9+IF($D88="",0,$D88/5*100)/100*Einstellungen!$B$10+IF($AD88="",0,$AD88)/100*Einstellungen!$B$11+IF($U88="",0,$U88/5*100)/100*Einstellungen!$B$12,0))</f>
        <v/>
      </c>
      <c r="AA88">
        <f>IF($X88="","",$X88*1000000000000+IF($G88="",0,$G88)*1000000+IF($H88="",0,$H88)*1000+IF($I88="",0,$I88)+IF($N88="",0,MAX(0,1000-$N88))/1000+IF($A88="",0,$A88)/1000000)</f>
        <v/>
      </c>
      <c r="AB88">
        <f>IF($Y88="","",_xludf.RANK.EQ($Y88,$Y$2:$Y$201,0))</f>
        <v/>
      </c>
    </row>
    <row r="89">
      <c r="T89">
        <f>IFERROR(IF($Q89="","",$Q89/$H89),"")</f>
        <v/>
      </c>
      <c r="U89">
        <f>IFERROR(IF($Q89="","",$Q89/$G89),"")</f>
        <v/>
      </c>
      <c r="Y89">
        <f>IF(AND($L89="",$N89="",$P89=""),"",ROUND((IF($L89="",0,IF($L89&lt;=Einstellungen!$B$16,100,IF($L89&lt;=Einstellungen!$C$16,80+(100-80)*(Einstellungen!$C$16-$L89)/(Einstellungen!$C$16-Einstellungen!$B$16),IF($L89&lt;=Einstellungen!$D$16,80*(Einstellungen!$D$16-$L89)/(Einstellungen!$D$16-Einstellungen!$C$16),0))))*Einstellungen!$E$16+IF($N89="",0,IF($N89&lt;=Einstellungen!$B$17,100,IF($N89&lt;=Einstellungen!$C$17,80+(100-80)*(Einstellungen!$C$17-$N89)/(Einstellungen!$C$17-Einstellungen!$B$17),IF($N89&lt;=Einstellungen!$D$17,80*(Einstellungen!$D$17-$N89)/(Einstellungen!$D$17-Einstellungen!$C$17),0))))*Einstellungen!$E$17+IF($P89="",0,IF($P89&lt;=Einstellungen!$B$18,100,IF($P89&lt;=Einstellungen!$C$18,80+(100-80)*(Einstellungen!$C$18-$P89)/(Einstellungen!$C$18-Einstellungen!$B$18),IF($P89&lt;=Einstellungen!$D$18,80*(Einstellungen!$D$18-$P89)/(Einstellungen!$D$18-Einstellungen!$C$18),0))))*Einstellungen!$E$18)/(Einstellungen!$E$16+Einstellungen!$E$17+Einstellungen!$E$18),0))</f>
        <v/>
      </c>
      <c r="Z89">
        <f>IF(AND($E89="",$D89="",$G89="",$V89="",$Q89="",$T89="",$W89="",$U89=""),"",ROUND(IF($E89="",0,IF($E89&lt;Einstellungen!$B$21,0,IF($E89&gt;=Einstellungen!$B$22,100,($E89-Einstellungen!$B$21)/(Einstellungen!$B$22-Einstellungen!$B$21)*100)))/100*Einstellungen!$B$5+IF($W89="",0,$W89/100)*Einstellungen!$B$6+(IF($G89="",0,MAX(0,MIN(100,($G89-Einstellungen!$B$25)/(Einstellungen!$B$26-Einstellungen!$B$25)*100)))+IF($I89="",0,MAX(0,MIN(100,($I89-Einstellungen!$B$27)/(Einstellungen!$B$28-Einstellungen!$B$27)*100))))/2/100*Einstellungen!$B$7+IF($V89="",0,$V89/100)*Einstellungen!$B$8+IF($R89="",0,MAX(0,MIN(100,(Einstellungen!$B$32-$R89)/(Einstellungen!$B$32-Einstellungen!$B$31)*100)))/100*Einstellungen!$B$9+IF($D89="",0,$D89/5*100)/100*Einstellungen!$B$10+IF($AD89="",0,$AD89)/100*Einstellungen!$B$11+IF($U89="",0,$U89/5*100)/100*Einstellungen!$B$12,0))</f>
        <v/>
      </c>
      <c r="AA89">
        <f>IF($X89="","",$X89*1000000000000+IF($G89="",0,$G89)*1000000+IF($H89="",0,$H89)*1000+IF($I89="",0,$I89)+IF($N89="",0,MAX(0,1000-$N89))/1000+IF($A89="",0,$A89)/1000000)</f>
        <v/>
      </c>
      <c r="AB89">
        <f>IF($Y89="","",_xludf.RANK.EQ($Y89,$Y$2:$Y$201,0))</f>
        <v/>
      </c>
    </row>
    <row r="90">
      <c r="T90">
        <f>IFERROR(IF($Q90="","",$Q90/$H90),"")</f>
        <v/>
      </c>
      <c r="U90">
        <f>IFERROR(IF($Q90="","",$Q90/$G90),"")</f>
        <v/>
      </c>
      <c r="Y90">
        <f>IF(AND($L90="",$N90="",$P90=""),"",ROUND((IF($L90="",0,IF($L90&lt;=Einstellungen!$B$16,100,IF($L90&lt;=Einstellungen!$C$16,80+(100-80)*(Einstellungen!$C$16-$L90)/(Einstellungen!$C$16-Einstellungen!$B$16),IF($L90&lt;=Einstellungen!$D$16,80*(Einstellungen!$D$16-$L90)/(Einstellungen!$D$16-Einstellungen!$C$16),0))))*Einstellungen!$E$16+IF($N90="",0,IF($N90&lt;=Einstellungen!$B$17,100,IF($N90&lt;=Einstellungen!$C$17,80+(100-80)*(Einstellungen!$C$17-$N90)/(Einstellungen!$C$17-Einstellungen!$B$17),IF($N90&lt;=Einstellungen!$D$17,80*(Einstellungen!$D$17-$N90)/(Einstellungen!$D$17-Einstellungen!$C$17),0))))*Einstellungen!$E$17+IF($P90="",0,IF($P90&lt;=Einstellungen!$B$18,100,IF($P90&lt;=Einstellungen!$C$18,80+(100-80)*(Einstellungen!$C$18-$P90)/(Einstellungen!$C$18-Einstellungen!$B$18),IF($P90&lt;=Einstellungen!$D$18,80*(Einstellungen!$D$18-$P90)/(Einstellungen!$D$18-Einstellungen!$C$18),0))))*Einstellungen!$E$18)/(Einstellungen!$E$16+Einstellungen!$E$17+Einstellungen!$E$18),0))</f>
        <v/>
      </c>
      <c r="Z90">
        <f>IF(AND($E90="",$D90="",$G90="",$V90="",$Q90="",$T90="",$W90="",$U90=""),"",ROUND(IF($E90="",0,IF($E90&lt;Einstellungen!$B$21,0,IF($E90&gt;=Einstellungen!$B$22,100,($E90-Einstellungen!$B$21)/(Einstellungen!$B$22-Einstellungen!$B$21)*100)))/100*Einstellungen!$B$5+IF($W90="",0,$W90/100)*Einstellungen!$B$6+(IF($G90="",0,MAX(0,MIN(100,($G90-Einstellungen!$B$25)/(Einstellungen!$B$26-Einstellungen!$B$25)*100)))+IF($I90="",0,MAX(0,MIN(100,($I90-Einstellungen!$B$27)/(Einstellungen!$B$28-Einstellungen!$B$27)*100))))/2/100*Einstellungen!$B$7+IF($V90="",0,$V90/100)*Einstellungen!$B$8+IF($R90="",0,MAX(0,MIN(100,(Einstellungen!$B$32-$R90)/(Einstellungen!$B$32-Einstellungen!$B$31)*100)))/100*Einstellungen!$B$9+IF($D90="",0,$D90/5*100)/100*Einstellungen!$B$10+IF($AD90="",0,$AD90)/100*Einstellungen!$B$11+IF($U90="",0,$U90/5*100)/100*Einstellungen!$B$12,0))</f>
        <v/>
      </c>
      <c r="AA90">
        <f>IF($X90="","",$X90*1000000000000+IF($G90="",0,$G90)*1000000+IF($H90="",0,$H90)*1000+IF($I90="",0,$I90)+IF($N90="",0,MAX(0,1000-$N90))/1000+IF($A90="",0,$A90)/1000000)</f>
        <v/>
      </c>
      <c r="AB90">
        <f>IF($Y90="","",_xludf.RANK.EQ($Y90,$Y$2:$Y$201,0))</f>
        <v/>
      </c>
    </row>
    <row r="91">
      <c r="T91">
        <f>IFERROR(IF($Q91="","",$Q91/$H91),"")</f>
        <v/>
      </c>
      <c r="U91">
        <f>IFERROR(IF($Q91="","",$Q91/$G91),"")</f>
        <v/>
      </c>
      <c r="Y91">
        <f>IF(AND($L91="",$N91="",$P91=""),"",ROUND((IF($L91="",0,IF($L91&lt;=Einstellungen!$B$16,100,IF($L91&lt;=Einstellungen!$C$16,80+(100-80)*(Einstellungen!$C$16-$L91)/(Einstellungen!$C$16-Einstellungen!$B$16),IF($L91&lt;=Einstellungen!$D$16,80*(Einstellungen!$D$16-$L91)/(Einstellungen!$D$16-Einstellungen!$C$16),0))))*Einstellungen!$E$16+IF($N91="",0,IF($N91&lt;=Einstellungen!$B$17,100,IF($N91&lt;=Einstellungen!$C$17,80+(100-80)*(Einstellungen!$C$17-$N91)/(Einstellungen!$C$17-Einstellungen!$B$17),IF($N91&lt;=Einstellungen!$D$17,80*(Einstellungen!$D$17-$N91)/(Einstellungen!$D$17-Einstellungen!$C$17),0))))*Einstellungen!$E$17+IF($P91="",0,IF($P91&lt;=Einstellungen!$B$18,100,IF($P91&lt;=Einstellungen!$C$18,80+(100-80)*(Einstellungen!$C$18-$P91)/(Einstellungen!$C$18-Einstellungen!$B$18),IF($P91&lt;=Einstellungen!$D$18,80*(Einstellungen!$D$18-$P91)/(Einstellungen!$D$18-Einstellungen!$C$18),0))))*Einstellungen!$E$18)/(Einstellungen!$E$16+Einstellungen!$E$17+Einstellungen!$E$18),0))</f>
        <v/>
      </c>
      <c r="Z91">
        <f>IF(AND($E91="",$D91="",$G91="",$V91="",$Q91="",$T91="",$W91="",$U91=""),"",ROUND(IF($E91="",0,IF($E91&lt;Einstellungen!$B$21,0,IF($E91&gt;=Einstellungen!$B$22,100,($E91-Einstellungen!$B$21)/(Einstellungen!$B$22-Einstellungen!$B$21)*100)))/100*Einstellungen!$B$5+IF($W91="",0,$W91/100)*Einstellungen!$B$6+(IF($G91="",0,MAX(0,MIN(100,($G91-Einstellungen!$B$25)/(Einstellungen!$B$26-Einstellungen!$B$25)*100)))+IF($I91="",0,MAX(0,MIN(100,($I91-Einstellungen!$B$27)/(Einstellungen!$B$28-Einstellungen!$B$27)*100))))/2/100*Einstellungen!$B$7+IF($V91="",0,$V91/100)*Einstellungen!$B$8+IF($R91="",0,MAX(0,MIN(100,(Einstellungen!$B$32-$R91)/(Einstellungen!$B$32-Einstellungen!$B$31)*100)))/100*Einstellungen!$B$9+IF($D91="",0,$D91/5*100)/100*Einstellungen!$B$10+IF($AD91="",0,$AD91)/100*Einstellungen!$B$11+IF($U91="",0,$U91/5*100)/100*Einstellungen!$B$12,0))</f>
        <v/>
      </c>
      <c r="AA91">
        <f>IF($X91="","",$X91*1000000000000+IF($G91="",0,$G91)*1000000+IF($H91="",0,$H91)*1000+IF($I91="",0,$I91)+IF($N91="",0,MAX(0,1000-$N91))/1000+IF($A91="",0,$A91)/1000000)</f>
        <v/>
      </c>
      <c r="AB91">
        <f>IF($Y91="","",_xludf.RANK.EQ($Y91,$Y$2:$Y$201,0))</f>
        <v/>
      </c>
    </row>
    <row r="92">
      <c r="T92">
        <f>IFERROR(IF($Q92="","",$Q92/$H92),"")</f>
        <v/>
      </c>
      <c r="U92">
        <f>IFERROR(IF($Q92="","",$Q92/$G92),"")</f>
        <v/>
      </c>
      <c r="Y92">
        <f>IF(AND($L92="",$N92="",$P92=""),"",ROUND((IF($L92="",0,IF($L92&lt;=Einstellungen!$B$16,100,IF($L92&lt;=Einstellungen!$C$16,80+(100-80)*(Einstellungen!$C$16-$L92)/(Einstellungen!$C$16-Einstellungen!$B$16),IF($L92&lt;=Einstellungen!$D$16,80*(Einstellungen!$D$16-$L92)/(Einstellungen!$D$16-Einstellungen!$C$16),0))))*Einstellungen!$E$16+IF($N92="",0,IF($N92&lt;=Einstellungen!$B$17,100,IF($N92&lt;=Einstellungen!$C$17,80+(100-80)*(Einstellungen!$C$17-$N92)/(Einstellungen!$C$17-Einstellungen!$B$17),IF($N92&lt;=Einstellungen!$D$17,80*(Einstellungen!$D$17-$N92)/(Einstellungen!$D$17-Einstellungen!$C$17),0))))*Einstellungen!$E$17+IF($P92="",0,IF($P92&lt;=Einstellungen!$B$18,100,IF($P92&lt;=Einstellungen!$C$18,80+(100-80)*(Einstellungen!$C$18-$P92)/(Einstellungen!$C$18-Einstellungen!$B$18),IF($P92&lt;=Einstellungen!$D$18,80*(Einstellungen!$D$18-$P92)/(Einstellungen!$D$18-Einstellungen!$C$18),0))))*Einstellungen!$E$18)/(Einstellungen!$E$16+Einstellungen!$E$17+Einstellungen!$E$18),0))</f>
        <v/>
      </c>
      <c r="Z92">
        <f>IF(AND($E92="",$D92="",$G92="",$V92="",$Q92="",$T92="",$W92="",$U92=""),"",ROUND(IF($E92="",0,IF($E92&lt;Einstellungen!$B$21,0,IF($E92&gt;=Einstellungen!$B$22,100,($E92-Einstellungen!$B$21)/(Einstellungen!$B$22-Einstellungen!$B$21)*100)))/100*Einstellungen!$B$5+IF($W92="",0,$W92/100)*Einstellungen!$B$6+(IF($G92="",0,MAX(0,MIN(100,($G92-Einstellungen!$B$25)/(Einstellungen!$B$26-Einstellungen!$B$25)*100)))+IF($I92="",0,MAX(0,MIN(100,($I92-Einstellungen!$B$27)/(Einstellungen!$B$28-Einstellungen!$B$27)*100))))/2/100*Einstellungen!$B$7+IF($V92="",0,$V92/100)*Einstellungen!$B$8+IF($R92="",0,MAX(0,MIN(100,(Einstellungen!$B$32-$R92)/(Einstellungen!$B$32-Einstellungen!$B$31)*100)))/100*Einstellungen!$B$9+IF($D92="",0,$D92/5*100)/100*Einstellungen!$B$10+IF($AD92="",0,$AD92)/100*Einstellungen!$B$11+IF($U92="",0,$U92/5*100)/100*Einstellungen!$B$12,0))</f>
        <v/>
      </c>
      <c r="AA92">
        <f>IF($X92="","",$X92*1000000000000+IF($G92="",0,$G92)*1000000+IF($H92="",0,$H92)*1000+IF($I92="",0,$I92)+IF($N92="",0,MAX(0,1000-$N92))/1000+IF($A92="",0,$A92)/1000000)</f>
        <v/>
      </c>
      <c r="AB92">
        <f>IF($Y92="","",_xludf.RANK.EQ($Y92,$Y$2:$Y$201,0))</f>
        <v/>
      </c>
    </row>
    <row r="93">
      <c r="T93">
        <f>IFERROR(IF($Q93="","",$Q93/$H93),"")</f>
        <v/>
      </c>
      <c r="U93">
        <f>IFERROR(IF($Q93="","",$Q93/$G93),"")</f>
        <v/>
      </c>
      <c r="Y93">
        <f>IF(AND($L93="",$N93="",$P93=""),"",ROUND((IF($L93="",0,IF($L93&lt;=Einstellungen!$B$16,100,IF($L93&lt;=Einstellungen!$C$16,80+(100-80)*(Einstellungen!$C$16-$L93)/(Einstellungen!$C$16-Einstellungen!$B$16),IF($L93&lt;=Einstellungen!$D$16,80*(Einstellungen!$D$16-$L93)/(Einstellungen!$D$16-Einstellungen!$C$16),0))))*Einstellungen!$E$16+IF($N93="",0,IF($N93&lt;=Einstellungen!$B$17,100,IF($N93&lt;=Einstellungen!$C$17,80+(100-80)*(Einstellungen!$C$17-$N93)/(Einstellungen!$C$17-Einstellungen!$B$17),IF($N93&lt;=Einstellungen!$D$17,80*(Einstellungen!$D$17-$N93)/(Einstellungen!$D$17-Einstellungen!$C$17),0))))*Einstellungen!$E$17+IF($P93="",0,IF($P93&lt;=Einstellungen!$B$18,100,IF($P93&lt;=Einstellungen!$C$18,80+(100-80)*(Einstellungen!$C$18-$P93)/(Einstellungen!$C$18-Einstellungen!$B$18),IF($P93&lt;=Einstellungen!$D$18,80*(Einstellungen!$D$18-$P93)/(Einstellungen!$D$18-Einstellungen!$C$18),0))))*Einstellungen!$E$18)/(Einstellungen!$E$16+Einstellungen!$E$17+Einstellungen!$E$18),0))</f>
        <v/>
      </c>
      <c r="Z93">
        <f>IF(AND($E93="",$D93="",$G93="",$V93="",$Q93="",$T93="",$W93="",$U93=""),"",ROUND(IF($E93="",0,IF($E93&lt;Einstellungen!$B$21,0,IF($E93&gt;=Einstellungen!$B$22,100,($E93-Einstellungen!$B$21)/(Einstellungen!$B$22-Einstellungen!$B$21)*100)))/100*Einstellungen!$B$5+IF($W93="",0,$W93/100)*Einstellungen!$B$6+(IF($G93="",0,MAX(0,MIN(100,($G93-Einstellungen!$B$25)/(Einstellungen!$B$26-Einstellungen!$B$25)*100)))+IF($I93="",0,MAX(0,MIN(100,($I93-Einstellungen!$B$27)/(Einstellungen!$B$28-Einstellungen!$B$27)*100))))/2/100*Einstellungen!$B$7+IF($V93="",0,$V93/100)*Einstellungen!$B$8+IF($R93="",0,MAX(0,MIN(100,(Einstellungen!$B$32-$R93)/(Einstellungen!$B$32-Einstellungen!$B$31)*100)))/100*Einstellungen!$B$9+IF($D93="",0,$D93/5*100)/100*Einstellungen!$B$10+IF($AD93="",0,$AD93)/100*Einstellungen!$B$11+IF($U93="",0,$U93/5*100)/100*Einstellungen!$B$12,0))</f>
        <v/>
      </c>
      <c r="AA93">
        <f>IF($X93="","",$X93*1000000000000+IF($G93="",0,$G93)*1000000+IF($H93="",0,$H93)*1000+IF($I93="",0,$I93)+IF($N93="",0,MAX(0,1000-$N93))/1000+IF($A93="",0,$A93)/1000000)</f>
        <v/>
      </c>
      <c r="AB93">
        <f>IF($Y93="","",_xludf.RANK.EQ($Y93,$Y$2:$Y$201,0))</f>
        <v/>
      </c>
    </row>
    <row r="94">
      <c r="T94">
        <f>IFERROR(IF($Q94="","",$Q94/$H94),"")</f>
        <v/>
      </c>
      <c r="U94">
        <f>IFERROR(IF($Q94="","",$Q94/$G94),"")</f>
        <v/>
      </c>
      <c r="Y94">
        <f>IF(AND($L94="",$N94="",$P94=""),"",ROUND((IF($L94="",0,IF($L94&lt;=Einstellungen!$B$16,100,IF($L94&lt;=Einstellungen!$C$16,80+(100-80)*(Einstellungen!$C$16-$L94)/(Einstellungen!$C$16-Einstellungen!$B$16),IF($L94&lt;=Einstellungen!$D$16,80*(Einstellungen!$D$16-$L94)/(Einstellungen!$D$16-Einstellungen!$C$16),0))))*Einstellungen!$E$16+IF($N94="",0,IF($N94&lt;=Einstellungen!$B$17,100,IF($N94&lt;=Einstellungen!$C$17,80+(100-80)*(Einstellungen!$C$17-$N94)/(Einstellungen!$C$17-Einstellungen!$B$17),IF($N94&lt;=Einstellungen!$D$17,80*(Einstellungen!$D$17-$N94)/(Einstellungen!$D$17-Einstellungen!$C$17),0))))*Einstellungen!$E$17+IF($P94="",0,IF($P94&lt;=Einstellungen!$B$18,100,IF($P94&lt;=Einstellungen!$C$18,80+(100-80)*(Einstellungen!$C$18-$P94)/(Einstellungen!$C$18-Einstellungen!$B$18),IF($P94&lt;=Einstellungen!$D$18,80*(Einstellungen!$D$18-$P94)/(Einstellungen!$D$18-Einstellungen!$C$18),0))))*Einstellungen!$E$18)/(Einstellungen!$E$16+Einstellungen!$E$17+Einstellungen!$E$18),0))</f>
        <v/>
      </c>
      <c r="Z94">
        <f>IF(AND($E94="",$D94="",$G94="",$V94="",$Q94="",$T94="",$W94="",$U94=""),"",ROUND(IF($E94="",0,IF($E94&lt;Einstellungen!$B$21,0,IF($E94&gt;=Einstellungen!$B$22,100,($E94-Einstellungen!$B$21)/(Einstellungen!$B$22-Einstellungen!$B$21)*100)))/100*Einstellungen!$B$5+IF($W94="",0,$W94/100)*Einstellungen!$B$6+(IF($G94="",0,MAX(0,MIN(100,($G94-Einstellungen!$B$25)/(Einstellungen!$B$26-Einstellungen!$B$25)*100)))+IF($I94="",0,MAX(0,MIN(100,($I94-Einstellungen!$B$27)/(Einstellungen!$B$28-Einstellungen!$B$27)*100))))/2/100*Einstellungen!$B$7+IF($V94="",0,$V94/100)*Einstellungen!$B$8+IF($R94="",0,MAX(0,MIN(100,(Einstellungen!$B$32-$R94)/(Einstellungen!$B$32-Einstellungen!$B$31)*100)))/100*Einstellungen!$B$9+IF($D94="",0,$D94/5*100)/100*Einstellungen!$B$10+IF($AD94="",0,$AD94)/100*Einstellungen!$B$11+IF($U94="",0,$U94/5*100)/100*Einstellungen!$B$12,0))</f>
        <v/>
      </c>
      <c r="AA94">
        <f>IF($X94="","",$X94*1000000000000+IF($G94="",0,$G94)*1000000+IF($H94="",0,$H94)*1000+IF($I94="",0,$I94)+IF($N94="",0,MAX(0,1000-$N94))/1000+IF($A94="",0,$A94)/1000000)</f>
        <v/>
      </c>
      <c r="AB94">
        <f>IF($Y94="","",_xludf.RANK.EQ($Y94,$Y$2:$Y$201,0))</f>
        <v/>
      </c>
    </row>
    <row r="95">
      <c r="T95">
        <f>IFERROR(IF($Q95="","",$Q95/$H95),"")</f>
        <v/>
      </c>
      <c r="U95">
        <f>IFERROR(IF($Q95="","",$Q95/$G95),"")</f>
        <v/>
      </c>
      <c r="Y95">
        <f>IF(AND($L95="",$N95="",$P95=""),"",ROUND((IF($L95="",0,IF($L95&lt;=Einstellungen!$B$16,100,IF($L95&lt;=Einstellungen!$C$16,80+(100-80)*(Einstellungen!$C$16-$L95)/(Einstellungen!$C$16-Einstellungen!$B$16),IF($L95&lt;=Einstellungen!$D$16,80*(Einstellungen!$D$16-$L95)/(Einstellungen!$D$16-Einstellungen!$C$16),0))))*Einstellungen!$E$16+IF($N95="",0,IF($N95&lt;=Einstellungen!$B$17,100,IF($N95&lt;=Einstellungen!$C$17,80+(100-80)*(Einstellungen!$C$17-$N95)/(Einstellungen!$C$17-Einstellungen!$B$17),IF($N95&lt;=Einstellungen!$D$17,80*(Einstellungen!$D$17-$N95)/(Einstellungen!$D$17-Einstellungen!$C$17),0))))*Einstellungen!$E$17+IF($P95="",0,IF($P95&lt;=Einstellungen!$B$18,100,IF($P95&lt;=Einstellungen!$C$18,80+(100-80)*(Einstellungen!$C$18-$P95)/(Einstellungen!$C$18-Einstellungen!$B$18),IF($P95&lt;=Einstellungen!$D$18,80*(Einstellungen!$D$18-$P95)/(Einstellungen!$D$18-Einstellungen!$C$18),0))))*Einstellungen!$E$18)/(Einstellungen!$E$16+Einstellungen!$E$17+Einstellungen!$E$18),0))</f>
        <v/>
      </c>
      <c r="Z95">
        <f>IF(AND($E95="",$D95="",$G95="",$V95="",$Q95="",$T95="",$W95="",$U95=""),"",ROUND(IF($E95="",0,IF($E95&lt;Einstellungen!$B$21,0,IF($E95&gt;=Einstellungen!$B$22,100,($E95-Einstellungen!$B$21)/(Einstellungen!$B$22-Einstellungen!$B$21)*100)))/100*Einstellungen!$B$5+IF($W95="",0,$W95/100)*Einstellungen!$B$6+(IF($G95="",0,MAX(0,MIN(100,($G95-Einstellungen!$B$25)/(Einstellungen!$B$26-Einstellungen!$B$25)*100)))+IF($I95="",0,MAX(0,MIN(100,($I95-Einstellungen!$B$27)/(Einstellungen!$B$28-Einstellungen!$B$27)*100))))/2/100*Einstellungen!$B$7+IF($V95="",0,$V95/100)*Einstellungen!$B$8+IF($R95="",0,MAX(0,MIN(100,(Einstellungen!$B$32-$R95)/(Einstellungen!$B$32-Einstellungen!$B$31)*100)))/100*Einstellungen!$B$9+IF($D95="",0,$D95/5*100)/100*Einstellungen!$B$10+IF($AD95="",0,$AD95)/100*Einstellungen!$B$11+IF($U95="",0,$U95/5*100)/100*Einstellungen!$B$12,0))</f>
        <v/>
      </c>
      <c r="AA95">
        <f>IF($X95="","",$X95*1000000000000+IF($G95="",0,$G95)*1000000+IF($H95="",0,$H95)*1000+IF($I95="",0,$I95)+IF($N95="",0,MAX(0,1000-$N95))/1000+IF($A95="",0,$A95)/1000000)</f>
        <v/>
      </c>
      <c r="AB95">
        <f>IF($Y95="","",_xludf.RANK.EQ($Y95,$Y$2:$Y$201,0))</f>
        <v/>
      </c>
    </row>
    <row r="96">
      <c r="T96">
        <f>IFERROR(IF($Q96="","",$Q96/$H96),"")</f>
        <v/>
      </c>
      <c r="U96">
        <f>IFERROR(IF($Q96="","",$Q96/$G96),"")</f>
        <v/>
      </c>
      <c r="Y96">
        <f>IF(AND($L96="",$N96="",$P96=""),"",ROUND((IF($L96="",0,IF($L96&lt;=Einstellungen!$B$16,100,IF($L96&lt;=Einstellungen!$C$16,80+(100-80)*(Einstellungen!$C$16-$L96)/(Einstellungen!$C$16-Einstellungen!$B$16),IF($L96&lt;=Einstellungen!$D$16,80*(Einstellungen!$D$16-$L96)/(Einstellungen!$D$16-Einstellungen!$C$16),0))))*Einstellungen!$E$16+IF($N96="",0,IF($N96&lt;=Einstellungen!$B$17,100,IF($N96&lt;=Einstellungen!$C$17,80+(100-80)*(Einstellungen!$C$17-$N96)/(Einstellungen!$C$17-Einstellungen!$B$17),IF($N96&lt;=Einstellungen!$D$17,80*(Einstellungen!$D$17-$N96)/(Einstellungen!$D$17-Einstellungen!$C$17),0))))*Einstellungen!$E$17+IF($P96="",0,IF($P96&lt;=Einstellungen!$B$18,100,IF($P96&lt;=Einstellungen!$C$18,80+(100-80)*(Einstellungen!$C$18-$P96)/(Einstellungen!$C$18-Einstellungen!$B$18),IF($P96&lt;=Einstellungen!$D$18,80*(Einstellungen!$D$18-$P96)/(Einstellungen!$D$18-Einstellungen!$C$18),0))))*Einstellungen!$E$18)/(Einstellungen!$E$16+Einstellungen!$E$17+Einstellungen!$E$18),0))</f>
        <v/>
      </c>
      <c r="Z96">
        <f>IF(AND($E96="",$D96="",$G96="",$V96="",$Q96="",$T96="",$W96="",$U96=""),"",ROUND(IF($E96="",0,IF($E96&lt;Einstellungen!$B$21,0,IF($E96&gt;=Einstellungen!$B$22,100,($E96-Einstellungen!$B$21)/(Einstellungen!$B$22-Einstellungen!$B$21)*100)))/100*Einstellungen!$B$5+IF($W96="",0,$W96/100)*Einstellungen!$B$6+(IF($G96="",0,MAX(0,MIN(100,($G96-Einstellungen!$B$25)/(Einstellungen!$B$26-Einstellungen!$B$25)*100)))+IF($I96="",0,MAX(0,MIN(100,($I96-Einstellungen!$B$27)/(Einstellungen!$B$28-Einstellungen!$B$27)*100))))/2/100*Einstellungen!$B$7+IF($V96="",0,$V96/100)*Einstellungen!$B$8+IF($R96="",0,MAX(0,MIN(100,(Einstellungen!$B$32-$R96)/(Einstellungen!$B$32-Einstellungen!$B$31)*100)))/100*Einstellungen!$B$9+IF($D96="",0,$D96/5*100)/100*Einstellungen!$B$10+IF($AD96="",0,$AD96)/100*Einstellungen!$B$11+IF($U96="",0,$U96/5*100)/100*Einstellungen!$B$12,0))</f>
        <v/>
      </c>
      <c r="AA96">
        <f>IF($X96="","",$X96*1000000000000+IF($G96="",0,$G96)*1000000+IF($H96="",0,$H96)*1000+IF($I96="",0,$I96)+IF($N96="",0,MAX(0,1000-$N96))/1000+IF($A96="",0,$A96)/1000000)</f>
        <v/>
      </c>
      <c r="AB96">
        <f>IF($Y96="","",_xludf.RANK.EQ($Y96,$Y$2:$Y$201,0))</f>
        <v/>
      </c>
    </row>
    <row r="97">
      <c r="T97">
        <f>IFERROR(IF($Q97="","",$Q97/$H97),"")</f>
        <v/>
      </c>
      <c r="U97">
        <f>IFERROR(IF($Q97="","",$Q97/$G97),"")</f>
        <v/>
      </c>
      <c r="Y97">
        <f>IF(AND($L97="",$N97="",$P97=""),"",ROUND((IF($L97="",0,IF($L97&lt;=Einstellungen!$B$16,100,IF($L97&lt;=Einstellungen!$C$16,80+(100-80)*(Einstellungen!$C$16-$L97)/(Einstellungen!$C$16-Einstellungen!$B$16),IF($L97&lt;=Einstellungen!$D$16,80*(Einstellungen!$D$16-$L97)/(Einstellungen!$D$16-Einstellungen!$C$16),0))))*Einstellungen!$E$16+IF($N97="",0,IF($N97&lt;=Einstellungen!$B$17,100,IF($N97&lt;=Einstellungen!$C$17,80+(100-80)*(Einstellungen!$C$17-$N97)/(Einstellungen!$C$17-Einstellungen!$B$17),IF($N97&lt;=Einstellungen!$D$17,80*(Einstellungen!$D$17-$N97)/(Einstellungen!$D$17-Einstellungen!$C$17),0))))*Einstellungen!$E$17+IF($P97="",0,IF($P97&lt;=Einstellungen!$B$18,100,IF($P97&lt;=Einstellungen!$C$18,80+(100-80)*(Einstellungen!$C$18-$P97)/(Einstellungen!$C$18-Einstellungen!$B$18),IF($P97&lt;=Einstellungen!$D$18,80*(Einstellungen!$D$18-$P97)/(Einstellungen!$D$18-Einstellungen!$C$18),0))))*Einstellungen!$E$18)/(Einstellungen!$E$16+Einstellungen!$E$17+Einstellungen!$E$18),0))</f>
        <v/>
      </c>
      <c r="Z97">
        <f>IF(AND($E97="",$D97="",$G97="",$V97="",$Q97="",$T97="",$W97="",$U97=""),"",ROUND(IF($E97="",0,IF($E97&lt;Einstellungen!$B$21,0,IF($E97&gt;=Einstellungen!$B$22,100,($E97-Einstellungen!$B$21)/(Einstellungen!$B$22-Einstellungen!$B$21)*100)))/100*Einstellungen!$B$5+IF($W97="",0,$W97/100)*Einstellungen!$B$6+(IF($G97="",0,MAX(0,MIN(100,($G97-Einstellungen!$B$25)/(Einstellungen!$B$26-Einstellungen!$B$25)*100)))+IF($I97="",0,MAX(0,MIN(100,($I97-Einstellungen!$B$27)/(Einstellungen!$B$28-Einstellungen!$B$27)*100))))/2/100*Einstellungen!$B$7+IF($V97="",0,$V97/100)*Einstellungen!$B$8+IF($R97="",0,MAX(0,MIN(100,(Einstellungen!$B$32-$R97)/(Einstellungen!$B$32-Einstellungen!$B$31)*100)))/100*Einstellungen!$B$9+IF($D97="",0,$D97/5*100)/100*Einstellungen!$B$10+IF($AD97="",0,$AD97)/100*Einstellungen!$B$11+IF($U97="",0,$U97/5*100)/100*Einstellungen!$B$12,0))</f>
        <v/>
      </c>
      <c r="AA97">
        <f>IF($X97="","",$X97*1000000000000+IF($G97="",0,$G97)*1000000+IF($H97="",0,$H97)*1000+IF($I97="",0,$I97)+IF($N97="",0,MAX(0,1000-$N97))/1000+IF($A97="",0,$A97)/1000000)</f>
        <v/>
      </c>
      <c r="AB97">
        <f>IF($Y97="","",_xludf.RANK.EQ($Y97,$Y$2:$Y$201,0))</f>
        <v/>
      </c>
    </row>
    <row r="98">
      <c r="T98">
        <f>IFERROR(IF($Q98="","",$Q98/$H98),"")</f>
        <v/>
      </c>
      <c r="U98">
        <f>IFERROR(IF($Q98="","",$Q98/$G98),"")</f>
        <v/>
      </c>
      <c r="Y98">
        <f>IF(AND($L98="",$N98="",$P98=""),"",ROUND((IF($L98="",0,IF($L98&lt;=Einstellungen!$B$16,100,IF($L98&lt;=Einstellungen!$C$16,80+(100-80)*(Einstellungen!$C$16-$L98)/(Einstellungen!$C$16-Einstellungen!$B$16),IF($L98&lt;=Einstellungen!$D$16,80*(Einstellungen!$D$16-$L98)/(Einstellungen!$D$16-Einstellungen!$C$16),0))))*Einstellungen!$E$16+IF($N98="",0,IF($N98&lt;=Einstellungen!$B$17,100,IF($N98&lt;=Einstellungen!$C$17,80+(100-80)*(Einstellungen!$C$17-$N98)/(Einstellungen!$C$17-Einstellungen!$B$17),IF($N98&lt;=Einstellungen!$D$17,80*(Einstellungen!$D$17-$N98)/(Einstellungen!$D$17-Einstellungen!$C$17),0))))*Einstellungen!$E$17+IF($P98="",0,IF($P98&lt;=Einstellungen!$B$18,100,IF($P98&lt;=Einstellungen!$C$18,80+(100-80)*(Einstellungen!$C$18-$P98)/(Einstellungen!$C$18-Einstellungen!$B$18),IF($P98&lt;=Einstellungen!$D$18,80*(Einstellungen!$D$18-$P98)/(Einstellungen!$D$18-Einstellungen!$C$18),0))))*Einstellungen!$E$18)/(Einstellungen!$E$16+Einstellungen!$E$17+Einstellungen!$E$18),0))</f>
        <v/>
      </c>
      <c r="Z98">
        <f>IF(AND($E98="",$D98="",$G98="",$V98="",$Q98="",$T98="",$W98="",$U98=""),"",ROUND(IF($E98="",0,IF($E98&lt;Einstellungen!$B$21,0,IF($E98&gt;=Einstellungen!$B$22,100,($E98-Einstellungen!$B$21)/(Einstellungen!$B$22-Einstellungen!$B$21)*100)))/100*Einstellungen!$B$5+IF($W98="",0,$W98/100)*Einstellungen!$B$6+(IF($G98="",0,MAX(0,MIN(100,($G98-Einstellungen!$B$25)/(Einstellungen!$B$26-Einstellungen!$B$25)*100)))+IF($I98="",0,MAX(0,MIN(100,($I98-Einstellungen!$B$27)/(Einstellungen!$B$28-Einstellungen!$B$27)*100))))/2/100*Einstellungen!$B$7+IF($V98="",0,$V98/100)*Einstellungen!$B$8+IF($R98="",0,MAX(0,MIN(100,(Einstellungen!$B$32-$R98)/(Einstellungen!$B$32-Einstellungen!$B$31)*100)))/100*Einstellungen!$B$9+IF($D98="",0,$D98/5*100)/100*Einstellungen!$B$10+IF($AD98="",0,$AD98)/100*Einstellungen!$B$11+IF($U98="",0,$U98/5*100)/100*Einstellungen!$B$12,0))</f>
        <v/>
      </c>
      <c r="AA98">
        <f>IF($X98="","",$X98*1000000000000+IF($G98="",0,$G98)*1000000+IF($H98="",0,$H98)*1000+IF($I98="",0,$I98)+IF($N98="",0,MAX(0,1000-$N98))/1000+IF($A98="",0,$A98)/1000000)</f>
        <v/>
      </c>
      <c r="AB98">
        <f>IF($Y98="","",_xludf.RANK.EQ($Y98,$Y$2:$Y$201,0))</f>
        <v/>
      </c>
    </row>
    <row r="99">
      <c r="T99">
        <f>IFERROR(IF($Q99="","",$Q99/$H99),"")</f>
        <v/>
      </c>
      <c r="U99">
        <f>IFERROR(IF($Q99="","",$Q99/$G99),"")</f>
        <v/>
      </c>
      <c r="Y99">
        <f>IF(AND($L99="",$N99="",$P99=""),"",ROUND((IF($L99="",0,IF($L99&lt;=Einstellungen!$B$16,100,IF($L99&lt;=Einstellungen!$C$16,80+(100-80)*(Einstellungen!$C$16-$L99)/(Einstellungen!$C$16-Einstellungen!$B$16),IF($L99&lt;=Einstellungen!$D$16,80*(Einstellungen!$D$16-$L99)/(Einstellungen!$D$16-Einstellungen!$C$16),0))))*Einstellungen!$E$16+IF($N99="",0,IF($N99&lt;=Einstellungen!$B$17,100,IF($N99&lt;=Einstellungen!$C$17,80+(100-80)*(Einstellungen!$C$17-$N99)/(Einstellungen!$C$17-Einstellungen!$B$17),IF($N99&lt;=Einstellungen!$D$17,80*(Einstellungen!$D$17-$N99)/(Einstellungen!$D$17-Einstellungen!$C$17),0))))*Einstellungen!$E$17+IF($P99="",0,IF($P99&lt;=Einstellungen!$B$18,100,IF($P99&lt;=Einstellungen!$C$18,80+(100-80)*(Einstellungen!$C$18-$P99)/(Einstellungen!$C$18-Einstellungen!$B$18),IF($P99&lt;=Einstellungen!$D$18,80*(Einstellungen!$D$18-$P99)/(Einstellungen!$D$18-Einstellungen!$C$18),0))))*Einstellungen!$E$18)/(Einstellungen!$E$16+Einstellungen!$E$17+Einstellungen!$E$18),0))</f>
        <v/>
      </c>
      <c r="Z99">
        <f>IF(AND($E99="",$D99="",$G99="",$V99="",$Q99="",$T99="",$W99="",$U99=""),"",ROUND(IF($E99="",0,IF($E99&lt;Einstellungen!$B$21,0,IF($E99&gt;=Einstellungen!$B$22,100,($E99-Einstellungen!$B$21)/(Einstellungen!$B$22-Einstellungen!$B$21)*100)))/100*Einstellungen!$B$5+IF($W99="",0,$W99/100)*Einstellungen!$B$6+(IF($G99="",0,MAX(0,MIN(100,($G99-Einstellungen!$B$25)/(Einstellungen!$B$26-Einstellungen!$B$25)*100)))+IF($I99="",0,MAX(0,MIN(100,($I99-Einstellungen!$B$27)/(Einstellungen!$B$28-Einstellungen!$B$27)*100))))/2/100*Einstellungen!$B$7+IF($V99="",0,$V99/100)*Einstellungen!$B$8+IF($R99="",0,MAX(0,MIN(100,(Einstellungen!$B$32-$R99)/(Einstellungen!$B$32-Einstellungen!$B$31)*100)))/100*Einstellungen!$B$9+IF($D99="",0,$D99/5*100)/100*Einstellungen!$B$10+IF($AD99="",0,$AD99)/100*Einstellungen!$B$11+IF($U99="",0,$U99/5*100)/100*Einstellungen!$B$12,0))</f>
        <v/>
      </c>
      <c r="AA99">
        <f>IF($X99="","",$X99*1000000000000+IF($G99="",0,$G99)*1000000+IF($H99="",0,$H99)*1000+IF($I99="",0,$I99)+IF($N99="",0,MAX(0,1000-$N99))/1000+IF($A99="",0,$A99)/1000000)</f>
        <v/>
      </c>
      <c r="AB99">
        <f>IF($Y99="","",_xludf.RANK.EQ($Y99,$Y$2:$Y$201,0))</f>
        <v/>
      </c>
    </row>
    <row r="100">
      <c r="T100">
        <f>IFERROR(IF($Q100="","",$Q100/$H100),"")</f>
        <v/>
      </c>
      <c r="U100">
        <f>IFERROR(IF($Q100="","",$Q100/$G100),"")</f>
        <v/>
      </c>
      <c r="Y100">
        <f>IF(AND($L100="",$N100="",$P100=""),"",ROUND((IF($L100="",0,IF($L100&lt;=Einstellungen!$B$16,100,IF($L100&lt;=Einstellungen!$C$16,80+(100-80)*(Einstellungen!$C$16-$L100)/(Einstellungen!$C$16-Einstellungen!$B$16),IF($L100&lt;=Einstellungen!$D$16,80*(Einstellungen!$D$16-$L100)/(Einstellungen!$D$16-Einstellungen!$C$16),0))))*Einstellungen!$E$16+IF($N100="",0,IF($N100&lt;=Einstellungen!$B$17,100,IF($N100&lt;=Einstellungen!$C$17,80+(100-80)*(Einstellungen!$C$17-$N100)/(Einstellungen!$C$17-Einstellungen!$B$17),IF($N100&lt;=Einstellungen!$D$17,80*(Einstellungen!$D$17-$N100)/(Einstellungen!$D$17-Einstellungen!$C$17),0))))*Einstellungen!$E$17+IF($P100="",0,IF($P100&lt;=Einstellungen!$B$18,100,IF($P100&lt;=Einstellungen!$C$18,80+(100-80)*(Einstellungen!$C$18-$P100)/(Einstellungen!$C$18-Einstellungen!$B$18),IF($P100&lt;=Einstellungen!$D$18,80*(Einstellungen!$D$18-$P100)/(Einstellungen!$D$18-Einstellungen!$C$18),0))))*Einstellungen!$E$18)/(Einstellungen!$E$16+Einstellungen!$E$17+Einstellungen!$E$18),0))</f>
        <v/>
      </c>
      <c r="Z100">
        <f>IF(AND($E100="",$D100="",$G100="",$V100="",$Q100="",$T100="",$W100="",$U100=""),"",ROUND(IF($E100="",0,IF($E100&lt;Einstellungen!$B$21,0,IF($E100&gt;=Einstellungen!$B$22,100,($E100-Einstellungen!$B$21)/(Einstellungen!$B$22-Einstellungen!$B$21)*100)))/100*Einstellungen!$B$5+IF($W100="",0,$W100/100)*Einstellungen!$B$6+(IF($G100="",0,MAX(0,MIN(100,($G100-Einstellungen!$B$25)/(Einstellungen!$B$26-Einstellungen!$B$25)*100)))+IF($I100="",0,MAX(0,MIN(100,($I100-Einstellungen!$B$27)/(Einstellungen!$B$28-Einstellungen!$B$27)*100))))/2/100*Einstellungen!$B$7+IF($V100="",0,$V100/100)*Einstellungen!$B$8+IF($R100="",0,MAX(0,MIN(100,(Einstellungen!$B$32-$R100)/(Einstellungen!$B$32-Einstellungen!$B$31)*100)))/100*Einstellungen!$B$9+IF($D100="",0,$D100/5*100)/100*Einstellungen!$B$10+IF($AD100="",0,$AD100)/100*Einstellungen!$B$11+IF($U100="",0,$U100/5*100)/100*Einstellungen!$B$12,0))</f>
        <v/>
      </c>
      <c r="AA100">
        <f>IF($X100="","",$X100*1000000000000+IF($G100="",0,$G100)*1000000+IF($H100="",0,$H100)*1000+IF($I100="",0,$I100)+IF($N100="",0,MAX(0,1000-$N100))/1000+IF($A100="",0,$A100)/1000000)</f>
        <v/>
      </c>
      <c r="AB100">
        <f>IF($Y100="","",_xludf.RANK.EQ($Y100,$Y$2:$Y$201,0))</f>
        <v/>
      </c>
    </row>
    <row r="101">
      <c r="T101">
        <f>IFERROR(IF($Q101="","",$Q101/$H101),"")</f>
        <v/>
      </c>
      <c r="U101">
        <f>IFERROR(IF($Q101="","",$Q101/$G101),"")</f>
        <v/>
      </c>
      <c r="Y101">
        <f>IF(AND($L101="",$N101="",$P101=""),"",ROUND((IF($L101="",0,IF($L101&lt;=Einstellungen!$B$16,100,IF($L101&lt;=Einstellungen!$C$16,80+(100-80)*(Einstellungen!$C$16-$L101)/(Einstellungen!$C$16-Einstellungen!$B$16),IF($L101&lt;=Einstellungen!$D$16,80*(Einstellungen!$D$16-$L101)/(Einstellungen!$D$16-Einstellungen!$C$16),0))))*Einstellungen!$E$16+IF($N101="",0,IF($N101&lt;=Einstellungen!$B$17,100,IF($N101&lt;=Einstellungen!$C$17,80+(100-80)*(Einstellungen!$C$17-$N101)/(Einstellungen!$C$17-Einstellungen!$B$17),IF($N101&lt;=Einstellungen!$D$17,80*(Einstellungen!$D$17-$N101)/(Einstellungen!$D$17-Einstellungen!$C$17),0))))*Einstellungen!$E$17+IF($P101="",0,IF($P101&lt;=Einstellungen!$B$18,100,IF($P101&lt;=Einstellungen!$C$18,80+(100-80)*(Einstellungen!$C$18-$P101)/(Einstellungen!$C$18-Einstellungen!$B$18),IF($P101&lt;=Einstellungen!$D$18,80*(Einstellungen!$D$18-$P101)/(Einstellungen!$D$18-Einstellungen!$C$18),0))))*Einstellungen!$E$18)/(Einstellungen!$E$16+Einstellungen!$E$17+Einstellungen!$E$18),0))</f>
        <v/>
      </c>
      <c r="Z101">
        <f>IF(AND($E101="",$D101="",$G101="",$V101="",$Q101="",$T101="",$W101="",$U101=""),"",ROUND(IF($E101="",0,IF($E101&lt;Einstellungen!$B$21,0,IF($E101&gt;=Einstellungen!$B$22,100,($E101-Einstellungen!$B$21)/(Einstellungen!$B$22-Einstellungen!$B$21)*100)))/100*Einstellungen!$B$5+IF($W101="",0,$W101/100)*Einstellungen!$B$6+(IF($G101="",0,MAX(0,MIN(100,($G101-Einstellungen!$B$25)/(Einstellungen!$B$26-Einstellungen!$B$25)*100)))+IF($I101="",0,MAX(0,MIN(100,($I101-Einstellungen!$B$27)/(Einstellungen!$B$28-Einstellungen!$B$27)*100))))/2/100*Einstellungen!$B$7+IF($V101="",0,$V101/100)*Einstellungen!$B$8+IF($R101="",0,MAX(0,MIN(100,(Einstellungen!$B$32-$R101)/(Einstellungen!$B$32-Einstellungen!$B$31)*100)))/100*Einstellungen!$B$9+IF($D101="",0,$D101/5*100)/100*Einstellungen!$B$10+IF($AD101="",0,$AD101)/100*Einstellungen!$B$11+IF($U101="",0,$U101/5*100)/100*Einstellungen!$B$12,0))</f>
        <v/>
      </c>
      <c r="AA101">
        <f>IF($X101="","",$X101*1000000000000+IF($G101="",0,$G101)*1000000+IF($H101="",0,$H101)*1000+IF($I101="",0,$I101)+IF($N101="",0,MAX(0,1000-$N101))/1000+IF($A101="",0,$A101)/1000000)</f>
        <v/>
      </c>
      <c r="AB101">
        <f>IF($Y101="","",_xludf.RANK.EQ($Y101,$Y$2:$Y$201,0))</f>
        <v/>
      </c>
    </row>
    <row r="102">
      <c r="T102">
        <f>IFERROR(IF($Q102="","",$Q102/$H102),"")</f>
        <v/>
      </c>
      <c r="U102">
        <f>IFERROR(IF($Q102="","",$Q102/$G102),"")</f>
        <v/>
      </c>
      <c r="Y102">
        <f>IF(AND($L102="",$N102="",$P102=""),"",ROUND((IF($L102="",0,IF($L102&lt;=Einstellungen!$B$16,100,IF($L102&lt;=Einstellungen!$C$16,80+(100-80)*(Einstellungen!$C$16-$L102)/(Einstellungen!$C$16-Einstellungen!$B$16),IF($L102&lt;=Einstellungen!$D$16,80*(Einstellungen!$D$16-$L102)/(Einstellungen!$D$16-Einstellungen!$C$16),0))))*Einstellungen!$E$16+IF($N102="",0,IF($N102&lt;=Einstellungen!$B$17,100,IF($N102&lt;=Einstellungen!$C$17,80+(100-80)*(Einstellungen!$C$17-$N102)/(Einstellungen!$C$17-Einstellungen!$B$17),IF($N102&lt;=Einstellungen!$D$17,80*(Einstellungen!$D$17-$N102)/(Einstellungen!$D$17-Einstellungen!$C$17),0))))*Einstellungen!$E$17+IF($P102="",0,IF($P102&lt;=Einstellungen!$B$18,100,IF($P102&lt;=Einstellungen!$C$18,80+(100-80)*(Einstellungen!$C$18-$P102)/(Einstellungen!$C$18-Einstellungen!$B$18),IF($P102&lt;=Einstellungen!$D$18,80*(Einstellungen!$D$18-$P102)/(Einstellungen!$D$18-Einstellungen!$C$18),0))))*Einstellungen!$E$18)/(Einstellungen!$E$16+Einstellungen!$E$17+Einstellungen!$E$18),0))</f>
        <v/>
      </c>
      <c r="Z102">
        <f>IF(AND($E102="",$D102="",$G102="",$V102="",$Q102="",$T102="",$W102="",$U102=""),"",ROUND(IF($E102="",0,IF($E102&lt;Einstellungen!$B$21,0,IF($E102&gt;=Einstellungen!$B$22,100,($E102-Einstellungen!$B$21)/(Einstellungen!$B$22-Einstellungen!$B$21)*100)))/100*Einstellungen!$B$5+IF($W102="",0,$W102/100)*Einstellungen!$B$6+(IF($G102="",0,MAX(0,MIN(100,($G102-Einstellungen!$B$25)/(Einstellungen!$B$26-Einstellungen!$B$25)*100)))+IF($I102="",0,MAX(0,MIN(100,($I102-Einstellungen!$B$27)/(Einstellungen!$B$28-Einstellungen!$B$27)*100))))/2/100*Einstellungen!$B$7+IF($V102="",0,$V102/100)*Einstellungen!$B$8+IF($R102="",0,MAX(0,MIN(100,(Einstellungen!$B$32-$R102)/(Einstellungen!$B$32-Einstellungen!$B$31)*100)))/100*Einstellungen!$B$9+IF($D102="",0,$D102/5*100)/100*Einstellungen!$B$10+IF($AD102="",0,$AD102)/100*Einstellungen!$B$11+IF($U102="",0,$U102/5*100)/100*Einstellungen!$B$12,0))</f>
        <v/>
      </c>
      <c r="AA102">
        <f>IF($X102="","",$X102*1000000000000+IF($G102="",0,$G102)*1000000+IF($H102="",0,$H102)*1000+IF($I102="",0,$I102)+IF($N102="",0,MAX(0,1000-$N102))/1000+IF($A102="",0,$A102)/1000000)</f>
        <v/>
      </c>
      <c r="AB102">
        <f>IF($Y102="","",_xludf.RANK.EQ($Y102,$Y$2:$Y$201,0))</f>
        <v/>
      </c>
    </row>
    <row r="103">
      <c r="T103">
        <f>IFERROR(IF($Q103="","",$Q103/$H103),"")</f>
        <v/>
      </c>
      <c r="U103">
        <f>IFERROR(IF($Q103="","",$Q103/$G103),"")</f>
        <v/>
      </c>
      <c r="Y103">
        <f>IF(AND($L103="",$N103="",$P103=""),"",ROUND((IF($L103="",0,IF($L103&lt;=Einstellungen!$B$16,100,IF($L103&lt;=Einstellungen!$C$16,80+(100-80)*(Einstellungen!$C$16-$L103)/(Einstellungen!$C$16-Einstellungen!$B$16),IF($L103&lt;=Einstellungen!$D$16,80*(Einstellungen!$D$16-$L103)/(Einstellungen!$D$16-Einstellungen!$C$16),0))))*Einstellungen!$E$16+IF($N103="",0,IF($N103&lt;=Einstellungen!$B$17,100,IF($N103&lt;=Einstellungen!$C$17,80+(100-80)*(Einstellungen!$C$17-$N103)/(Einstellungen!$C$17-Einstellungen!$B$17),IF($N103&lt;=Einstellungen!$D$17,80*(Einstellungen!$D$17-$N103)/(Einstellungen!$D$17-Einstellungen!$C$17),0))))*Einstellungen!$E$17+IF($P103="",0,IF($P103&lt;=Einstellungen!$B$18,100,IF($P103&lt;=Einstellungen!$C$18,80+(100-80)*(Einstellungen!$C$18-$P103)/(Einstellungen!$C$18-Einstellungen!$B$18),IF($P103&lt;=Einstellungen!$D$18,80*(Einstellungen!$D$18-$P103)/(Einstellungen!$D$18-Einstellungen!$C$18),0))))*Einstellungen!$E$18)/(Einstellungen!$E$16+Einstellungen!$E$17+Einstellungen!$E$18),0))</f>
        <v/>
      </c>
      <c r="Z103">
        <f>IF(AND($E103="",$D103="",$G103="",$V103="",$Q103="",$T103="",$W103="",$U103=""),"",ROUND(IF($E103="",0,IF($E103&lt;Einstellungen!$B$21,0,IF($E103&gt;=Einstellungen!$B$22,100,($E103-Einstellungen!$B$21)/(Einstellungen!$B$22-Einstellungen!$B$21)*100)))/100*Einstellungen!$B$5+IF($W103="",0,$W103/100)*Einstellungen!$B$6+(IF($G103="",0,MAX(0,MIN(100,($G103-Einstellungen!$B$25)/(Einstellungen!$B$26-Einstellungen!$B$25)*100)))+IF($I103="",0,MAX(0,MIN(100,($I103-Einstellungen!$B$27)/(Einstellungen!$B$28-Einstellungen!$B$27)*100))))/2/100*Einstellungen!$B$7+IF($V103="",0,$V103/100)*Einstellungen!$B$8+IF($R103="",0,MAX(0,MIN(100,(Einstellungen!$B$32-$R103)/(Einstellungen!$B$32-Einstellungen!$B$31)*100)))/100*Einstellungen!$B$9+IF($D103="",0,$D103/5*100)/100*Einstellungen!$B$10+IF($AD103="",0,$AD103)/100*Einstellungen!$B$11+IF($U103="",0,$U103/5*100)/100*Einstellungen!$B$12,0))</f>
        <v/>
      </c>
      <c r="AA103">
        <f>IF($X103="","",$X103*1000000000000+IF($G103="",0,$G103)*1000000+IF($H103="",0,$H103)*1000+IF($I103="",0,$I103)+IF($N103="",0,MAX(0,1000-$N103))/1000+IF($A103="",0,$A103)/1000000)</f>
        <v/>
      </c>
      <c r="AB103">
        <f>IF($Y103="","",_xludf.RANK.EQ($Y103,$Y$2:$Y$201,0))</f>
        <v/>
      </c>
    </row>
    <row r="104">
      <c r="T104">
        <f>IFERROR(IF($Q104="","",$Q104/$H104),"")</f>
        <v/>
      </c>
      <c r="U104">
        <f>IFERROR(IF($Q104="","",$Q104/$G104),"")</f>
        <v/>
      </c>
      <c r="Y104">
        <f>IF(AND($L104="",$N104="",$P104=""),"",ROUND((IF($L104="",0,IF($L104&lt;=Einstellungen!$B$16,100,IF($L104&lt;=Einstellungen!$C$16,80+(100-80)*(Einstellungen!$C$16-$L104)/(Einstellungen!$C$16-Einstellungen!$B$16),IF($L104&lt;=Einstellungen!$D$16,80*(Einstellungen!$D$16-$L104)/(Einstellungen!$D$16-Einstellungen!$C$16),0))))*Einstellungen!$E$16+IF($N104="",0,IF($N104&lt;=Einstellungen!$B$17,100,IF($N104&lt;=Einstellungen!$C$17,80+(100-80)*(Einstellungen!$C$17-$N104)/(Einstellungen!$C$17-Einstellungen!$B$17),IF($N104&lt;=Einstellungen!$D$17,80*(Einstellungen!$D$17-$N104)/(Einstellungen!$D$17-Einstellungen!$C$17),0))))*Einstellungen!$E$17+IF($P104="",0,IF($P104&lt;=Einstellungen!$B$18,100,IF($P104&lt;=Einstellungen!$C$18,80+(100-80)*(Einstellungen!$C$18-$P104)/(Einstellungen!$C$18-Einstellungen!$B$18),IF($P104&lt;=Einstellungen!$D$18,80*(Einstellungen!$D$18-$P104)/(Einstellungen!$D$18-Einstellungen!$C$18),0))))*Einstellungen!$E$18)/(Einstellungen!$E$16+Einstellungen!$E$17+Einstellungen!$E$18),0))</f>
        <v/>
      </c>
      <c r="Z104">
        <f>IF(AND($E104="",$D104="",$G104="",$V104="",$Q104="",$T104="",$W104="",$U104=""),"",ROUND(IF($E104="",0,IF($E104&lt;Einstellungen!$B$21,0,IF($E104&gt;=Einstellungen!$B$22,100,($E104-Einstellungen!$B$21)/(Einstellungen!$B$22-Einstellungen!$B$21)*100)))/100*Einstellungen!$B$5+IF($W104="",0,$W104/100)*Einstellungen!$B$6+(IF($G104="",0,MAX(0,MIN(100,($G104-Einstellungen!$B$25)/(Einstellungen!$B$26-Einstellungen!$B$25)*100)))+IF($I104="",0,MAX(0,MIN(100,($I104-Einstellungen!$B$27)/(Einstellungen!$B$28-Einstellungen!$B$27)*100))))/2/100*Einstellungen!$B$7+IF($V104="",0,$V104/100)*Einstellungen!$B$8+IF($R104="",0,MAX(0,MIN(100,(Einstellungen!$B$32-$R104)/(Einstellungen!$B$32-Einstellungen!$B$31)*100)))/100*Einstellungen!$B$9+IF($D104="",0,$D104/5*100)/100*Einstellungen!$B$10+IF($AD104="",0,$AD104)/100*Einstellungen!$B$11+IF($U104="",0,$U104/5*100)/100*Einstellungen!$B$12,0))</f>
        <v/>
      </c>
      <c r="AA104">
        <f>IF($X104="","",$X104*1000000000000+IF($G104="",0,$G104)*1000000+IF($H104="",0,$H104)*1000+IF($I104="",0,$I104)+IF($N104="",0,MAX(0,1000-$N104))/1000+IF($A104="",0,$A104)/1000000)</f>
        <v/>
      </c>
      <c r="AB104">
        <f>IF($Y104="","",_xludf.RANK.EQ($Y104,$Y$2:$Y$201,0))</f>
        <v/>
      </c>
    </row>
    <row r="105">
      <c r="T105">
        <f>IFERROR(IF($Q105="","",$Q105/$H105),"")</f>
        <v/>
      </c>
      <c r="U105">
        <f>IFERROR(IF($Q105="","",$Q105/$G105),"")</f>
        <v/>
      </c>
      <c r="Y105">
        <f>IF(AND($L105="",$N105="",$P105=""),"",ROUND((IF($L105="",0,IF($L105&lt;=Einstellungen!$B$16,100,IF($L105&lt;=Einstellungen!$C$16,80+(100-80)*(Einstellungen!$C$16-$L105)/(Einstellungen!$C$16-Einstellungen!$B$16),IF($L105&lt;=Einstellungen!$D$16,80*(Einstellungen!$D$16-$L105)/(Einstellungen!$D$16-Einstellungen!$C$16),0))))*Einstellungen!$E$16+IF($N105="",0,IF($N105&lt;=Einstellungen!$B$17,100,IF($N105&lt;=Einstellungen!$C$17,80+(100-80)*(Einstellungen!$C$17-$N105)/(Einstellungen!$C$17-Einstellungen!$B$17),IF($N105&lt;=Einstellungen!$D$17,80*(Einstellungen!$D$17-$N105)/(Einstellungen!$D$17-Einstellungen!$C$17),0))))*Einstellungen!$E$17+IF($P105="",0,IF($P105&lt;=Einstellungen!$B$18,100,IF($P105&lt;=Einstellungen!$C$18,80+(100-80)*(Einstellungen!$C$18-$P105)/(Einstellungen!$C$18-Einstellungen!$B$18),IF($P105&lt;=Einstellungen!$D$18,80*(Einstellungen!$D$18-$P105)/(Einstellungen!$D$18-Einstellungen!$C$18),0))))*Einstellungen!$E$18)/(Einstellungen!$E$16+Einstellungen!$E$17+Einstellungen!$E$18),0))</f>
        <v/>
      </c>
      <c r="Z105">
        <f>IF(AND($E105="",$D105="",$G105="",$V105="",$Q105="",$T105="",$W105="",$U105=""),"",ROUND(IF($E105="",0,IF($E105&lt;Einstellungen!$B$21,0,IF($E105&gt;=Einstellungen!$B$22,100,($E105-Einstellungen!$B$21)/(Einstellungen!$B$22-Einstellungen!$B$21)*100)))/100*Einstellungen!$B$5+IF($W105="",0,$W105/100)*Einstellungen!$B$6+(IF($G105="",0,MAX(0,MIN(100,($G105-Einstellungen!$B$25)/(Einstellungen!$B$26-Einstellungen!$B$25)*100)))+IF($I105="",0,MAX(0,MIN(100,($I105-Einstellungen!$B$27)/(Einstellungen!$B$28-Einstellungen!$B$27)*100))))/2/100*Einstellungen!$B$7+IF($V105="",0,$V105/100)*Einstellungen!$B$8+IF($R105="",0,MAX(0,MIN(100,(Einstellungen!$B$32-$R105)/(Einstellungen!$B$32-Einstellungen!$B$31)*100)))/100*Einstellungen!$B$9+IF($D105="",0,$D105/5*100)/100*Einstellungen!$B$10+IF($AD105="",0,$AD105)/100*Einstellungen!$B$11+IF($U105="",0,$U105/5*100)/100*Einstellungen!$B$12,0))</f>
        <v/>
      </c>
      <c r="AA105">
        <f>IF($X105="","",$X105*1000000000000+IF($G105="",0,$G105)*1000000+IF($H105="",0,$H105)*1000+IF($I105="",0,$I105)+IF($N105="",0,MAX(0,1000-$N105))/1000+IF($A105="",0,$A105)/1000000)</f>
        <v/>
      </c>
      <c r="AB105">
        <f>IF($Y105="","",_xludf.RANK.EQ($Y105,$Y$2:$Y$201,0))</f>
        <v/>
      </c>
    </row>
    <row r="106">
      <c r="T106">
        <f>IFERROR(IF($Q106="","",$Q106/$H106),"")</f>
        <v/>
      </c>
      <c r="U106">
        <f>IFERROR(IF($Q106="","",$Q106/$G106),"")</f>
        <v/>
      </c>
      <c r="Y106">
        <f>IF(AND($L106="",$N106="",$P106=""),"",ROUND((IF($L106="",0,IF($L106&lt;=Einstellungen!$B$16,100,IF($L106&lt;=Einstellungen!$C$16,80+(100-80)*(Einstellungen!$C$16-$L106)/(Einstellungen!$C$16-Einstellungen!$B$16),IF($L106&lt;=Einstellungen!$D$16,80*(Einstellungen!$D$16-$L106)/(Einstellungen!$D$16-Einstellungen!$C$16),0))))*Einstellungen!$E$16+IF($N106="",0,IF($N106&lt;=Einstellungen!$B$17,100,IF($N106&lt;=Einstellungen!$C$17,80+(100-80)*(Einstellungen!$C$17-$N106)/(Einstellungen!$C$17-Einstellungen!$B$17),IF($N106&lt;=Einstellungen!$D$17,80*(Einstellungen!$D$17-$N106)/(Einstellungen!$D$17-Einstellungen!$C$17),0))))*Einstellungen!$E$17+IF($P106="",0,IF($P106&lt;=Einstellungen!$B$18,100,IF($P106&lt;=Einstellungen!$C$18,80+(100-80)*(Einstellungen!$C$18-$P106)/(Einstellungen!$C$18-Einstellungen!$B$18),IF($P106&lt;=Einstellungen!$D$18,80*(Einstellungen!$D$18-$P106)/(Einstellungen!$D$18-Einstellungen!$C$18),0))))*Einstellungen!$E$18)/(Einstellungen!$E$16+Einstellungen!$E$17+Einstellungen!$E$18),0))</f>
        <v/>
      </c>
      <c r="Z106">
        <f>IF(AND($E106="",$D106="",$G106="",$V106="",$Q106="",$T106="",$W106="",$U106=""),"",ROUND(IF($E106="",0,IF($E106&lt;Einstellungen!$B$21,0,IF($E106&gt;=Einstellungen!$B$22,100,($E106-Einstellungen!$B$21)/(Einstellungen!$B$22-Einstellungen!$B$21)*100)))/100*Einstellungen!$B$5+IF($W106="",0,$W106/100)*Einstellungen!$B$6+(IF($G106="",0,MAX(0,MIN(100,($G106-Einstellungen!$B$25)/(Einstellungen!$B$26-Einstellungen!$B$25)*100)))+IF($I106="",0,MAX(0,MIN(100,($I106-Einstellungen!$B$27)/(Einstellungen!$B$28-Einstellungen!$B$27)*100))))/2/100*Einstellungen!$B$7+IF($V106="",0,$V106/100)*Einstellungen!$B$8+IF($R106="",0,MAX(0,MIN(100,(Einstellungen!$B$32-$R106)/(Einstellungen!$B$32-Einstellungen!$B$31)*100)))/100*Einstellungen!$B$9+IF($D106="",0,$D106/5*100)/100*Einstellungen!$B$10+IF($AD106="",0,$AD106)/100*Einstellungen!$B$11+IF($U106="",0,$U106/5*100)/100*Einstellungen!$B$12,0))</f>
        <v/>
      </c>
      <c r="AA106">
        <f>IF($X106="","",$X106*1000000000000+IF($G106="",0,$G106)*1000000+IF($H106="",0,$H106)*1000+IF($I106="",0,$I106)+IF($N106="",0,MAX(0,1000-$N106))/1000+IF($A106="",0,$A106)/1000000)</f>
        <v/>
      </c>
      <c r="AB106">
        <f>IF($Y106="","",_xludf.RANK.EQ($Y106,$Y$2:$Y$201,0))</f>
        <v/>
      </c>
    </row>
    <row r="107">
      <c r="T107">
        <f>IFERROR(IF($Q107="","",$Q107/$H107),"")</f>
        <v/>
      </c>
      <c r="U107">
        <f>IFERROR(IF($Q107="","",$Q107/$G107),"")</f>
        <v/>
      </c>
      <c r="Y107">
        <f>IF(AND($L107="",$N107="",$P107=""),"",ROUND((IF($L107="",0,IF($L107&lt;=Einstellungen!$B$16,100,IF($L107&lt;=Einstellungen!$C$16,80+(100-80)*(Einstellungen!$C$16-$L107)/(Einstellungen!$C$16-Einstellungen!$B$16),IF($L107&lt;=Einstellungen!$D$16,80*(Einstellungen!$D$16-$L107)/(Einstellungen!$D$16-Einstellungen!$C$16),0))))*Einstellungen!$E$16+IF($N107="",0,IF($N107&lt;=Einstellungen!$B$17,100,IF($N107&lt;=Einstellungen!$C$17,80+(100-80)*(Einstellungen!$C$17-$N107)/(Einstellungen!$C$17-Einstellungen!$B$17),IF($N107&lt;=Einstellungen!$D$17,80*(Einstellungen!$D$17-$N107)/(Einstellungen!$D$17-Einstellungen!$C$17),0))))*Einstellungen!$E$17+IF($P107="",0,IF($P107&lt;=Einstellungen!$B$18,100,IF($P107&lt;=Einstellungen!$C$18,80+(100-80)*(Einstellungen!$C$18-$P107)/(Einstellungen!$C$18-Einstellungen!$B$18),IF($P107&lt;=Einstellungen!$D$18,80*(Einstellungen!$D$18-$P107)/(Einstellungen!$D$18-Einstellungen!$C$18),0))))*Einstellungen!$E$18)/(Einstellungen!$E$16+Einstellungen!$E$17+Einstellungen!$E$18),0))</f>
        <v/>
      </c>
      <c r="Z107">
        <f>IF(AND($E107="",$D107="",$G107="",$V107="",$Q107="",$T107="",$W107="",$U107=""),"",ROUND(IF($E107="",0,IF($E107&lt;Einstellungen!$B$21,0,IF($E107&gt;=Einstellungen!$B$22,100,($E107-Einstellungen!$B$21)/(Einstellungen!$B$22-Einstellungen!$B$21)*100)))/100*Einstellungen!$B$5+IF($W107="",0,$W107/100)*Einstellungen!$B$6+(IF($G107="",0,MAX(0,MIN(100,($G107-Einstellungen!$B$25)/(Einstellungen!$B$26-Einstellungen!$B$25)*100)))+IF($I107="",0,MAX(0,MIN(100,($I107-Einstellungen!$B$27)/(Einstellungen!$B$28-Einstellungen!$B$27)*100))))/2/100*Einstellungen!$B$7+IF($V107="",0,$V107/100)*Einstellungen!$B$8+IF($R107="",0,MAX(0,MIN(100,(Einstellungen!$B$32-$R107)/(Einstellungen!$B$32-Einstellungen!$B$31)*100)))/100*Einstellungen!$B$9+IF($D107="",0,$D107/5*100)/100*Einstellungen!$B$10+IF($AD107="",0,$AD107)/100*Einstellungen!$B$11+IF($U107="",0,$U107/5*100)/100*Einstellungen!$B$12,0))</f>
        <v/>
      </c>
      <c r="AA107">
        <f>IF($X107="","",$X107*1000000000000+IF($G107="",0,$G107)*1000000+IF($H107="",0,$H107)*1000+IF($I107="",0,$I107)+IF($N107="",0,MAX(0,1000-$N107))/1000+IF($A107="",0,$A107)/1000000)</f>
        <v/>
      </c>
      <c r="AB107">
        <f>IF($Y107="","",_xludf.RANK.EQ($Y107,$Y$2:$Y$201,0))</f>
        <v/>
      </c>
    </row>
    <row r="108">
      <c r="T108">
        <f>IFERROR(IF($Q108="","",$Q108/$H108),"")</f>
        <v/>
      </c>
      <c r="U108">
        <f>IFERROR(IF($Q108="","",$Q108/$G108),"")</f>
        <v/>
      </c>
      <c r="Y108">
        <f>IF(AND($L108="",$N108="",$P108=""),"",ROUND((IF($L108="",0,IF($L108&lt;=Einstellungen!$B$16,100,IF($L108&lt;=Einstellungen!$C$16,80+(100-80)*(Einstellungen!$C$16-$L108)/(Einstellungen!$C$16-Einstellungen!$B$16),IF($L108&lt;=Einstellungen!$D$16,80*(Einstellungen!$D$16-$L108)/(Einstellungen!$D$16-Einstellungen!$C$16),0))))*Einstellungen!$E$16+IF($N108="",0,IF($N108&lt;=Einstellungen!$B$17,100,IF($N108&lt;=Einstellungen!$C$17,80+(100-80)*(Einstellungen!$C$17-$N108)/(Einstellungen!$C$17-Einstellungen!$B$17),IF($N108&lt;=Einstellungen!$D$17,80*(Einstellungen!$D$17-$N108)/(Einstellungen!$D$17-Einstellungen!$C$17),0))))*Einstellungen!$E$17+IF($P108="",0,IF($P108&lt;=Einstellungen!$B$18,100,IF($P108&lt;=Einstellungen!$C$18,80+(100-80)*(Einstellungen!$C$18-$P108)/(Einstellungen!$C$18-Einstellungen!$B$18),IF($P108&lt;=Einstellungen!$D$18,80*(Einstellungen!$D$18-$P108)/(Einstellungen!$D$18-Einstellungen!$C$18),0))))*Einstellungen!$E$18)/(Einstellungen!$E$16+Einstellungen!$E$17+Einstellungen!$E$18),0))</f>
        <v/>
      </c>
      <c r="Z108">
        <f>IF(AND($E108="",$D108="",$G108="",$V108="",$Q108="",$T108="",$W108="",$U108=""),"",ROUND(IF($E108="",0,IF($E108&lt;Einstellungen!$B$21,0,IF($E108&gt;=Einstellungen!$B$22,100,($E108-Einstellungen!$B$21)/(Einstellungen!$B$22-Einstellungen!$B$21)*100)))/100*Einstellungen!$B$5+IF($W108="",0,$W108/100)*Einstellungen!$B$6+(IF($G108="",0,MAX(0,MIN(100,($G108-Einstellungen!$B$25)/(Einstellungen!$B$26-Einstellungen!$B$25)*100)))+IF($I108="",0,MAX(0,MIN(100,($I108-Einstellungen!$B$27)/(Einstellungen!$B$28-Einstellungen!$B$27)*100))))/2/100*Einstellungen!$B$7+IF($V108="",0,$V108/100)*Einstellungen!$B$8+IF($R108="",0,MAX(0,MIN(100,(Einstellungen!$B$32-$R108)/(Einstellungen!$B$32-Einstellungen!$B$31)*100)))/100*Einstellungen!$B$9+IF($D108="",0,$D108/5*100)/100*Einstellungen!$B$10+IF($AD108="",0,$AD108)/100*Einstellungen!$B$11+IF($U108="",0,$U108/5*100)/100*Einstellungen!$B$12,0))</f>
        <v/>
      </c>
      <c r="AA108">
        <f>IF($X108="","",$X108*1000000000000+IF($G108="",0,$G108)*1000000+IF($H108="",0,$H108)*1000+IF($I108="",0,$I108)+IF($N108="",0,MAX(0,1000-$N108))/1000+IF($A108="",0,$A108)/1000000)</f>
        <v/>
      </c>
      <c r="AB108">
        <f>IF($Y108="","",_xludf.RANK.EQ($Y108,$Y$2:$Y$201,0))</f>
        <v/>
      </c>
    </row>
    <row r="109">
      <c r="T109">
        <f>IFERROR(IF($Q109="","",$Q109/$H109),"")</f>
        <v/>
      </c>
      <c r="U109">
        <f>IFERROR(IF($Q109="","",$Q109/$G109),"")</f>
        <v/>
      </c>
      <c r="Y109">
        <f>IF(AND($L109="",$N109="",$P109=""),"",ROUND((IF($L109="",0,IF($L109&lt;=Einstellungen!$B$16,100,IF($L109&lt;=Einstellungen!$C$16,80+(100-80)*(Einstellungen!$C$16-$L109)/(Einstellungen!$C$16-Einstellungen!$B$16),IF($L109&lt;=Einstellungen!$D$16,80*(Einstellungen!$D$16-$L109)/(Einstellungen!$D$16-Einstellungen!$C$16),0))))*Einstellungen!$E$16+IF($N109="",0,IF($N109&lt;=Einstellungen!$B$17,100,IF($N109&lt;=Einstellungen!$C$17,80+(100-80)*(Einstellungen!$C$17-$N109)/(Einstellungen!$C$17-Einstellungen!$B$17),IF($N109&lt;=Einstellungen!$D$17,80*(Einstellungen!$D$17-$N109)/(Einstellungen!$D$17-Einstellungen!$C$17),0))))*Einstellungen!$E$17+IF($P109="",0,IF($P109&lt;=Einstellungen!$B$18,100,IF($P109&lt;=Einstellungen!$C$18,80+(100-80)*(Einstellungen!$C$18-$P109)/(Einstellungen!$C$18-Einstellungen!$B$18),IF($P109&lt;=Einstellungen!$D$18,80*(Einstellungen!$D$18-$P109)/(Einstellungen!$D$18-Einstellungen!$C$18),0))))*Einstellungen!$E$18)/(Einstellungen!$E$16+Einstellungen!$E$17+Einstellungen!$E$18),0))</f>
        <v/>
      </c>
      <c r="Z109">
        <f>IF(AND($E109="",$D109="",$G109="",$V109="",$Q109="",$T109="",$W109="",$U109=""),"",ROUND(IF($E109="",0,IF($E109&lt;Einstellungen!$B$21,0,IF($E109&gt;=Einstellungen!$B$22,100,($E109-Einstellungen!$B$21)/(Einstellungen!$B$22-Einstellungen!$B$21)*100)))/100*Einstellungen!$B$5+IF($W109="",0,$W109/100)*Einstellungen!$B$6+(IF($G109="",0,MAX(0,MIN(100,($G109-Einstellungen!$B$25)/(Einstellungen!$B$26-Einstellungen!$B$25)*100)))+IF($I109="",0,MAX(0,MIN(100,($I109-Einstellungen!$B$27)/(Einstellungen!$B$28-Einstellungen!$B$27)*100))))/2/100*Einstellungen!$B$7+IF($V109="",0,$V109/100)*Einstellungen!$B$8+IF($R109="",0,MAX(0,MIN(100,(Einstellungen!$B$32-$R109)/(Einstellungen!$B$32-Einstellungen!$B$31)*100)))/100*Einstellungen!$B$9+IF($D109="",0,$D109/5*100)/100*Einstellungen!$B$10+IF($AD109="",0,$AD109)/100*Einstellungen!$B$11+IF($U109="",0,$U109/5*100)/100*Einstellungen!$B$12,0))</f>
        <v/>
      </c>
      <c r="AA109">
        <f>IF($X109="","",$X109*1000000000000+IF($G109="",0,$G109)*1000000+IF($H109="",0,$H109)*1000+IF($I109="",0,$I109)+IF($N109="",0,MAX(0,1000-$N109))/1000+IF($A109="",0,$A109)/1000000)</f>
        <v/>
      </c>
      <c r="AB109">
        <f>IF($Y109="","",_xludf.RANK.EQ($Y109,$Y$2:$Y$201,0))</f>
        <v/>
      </c>
    </row>
    <row r="110">
      <c r="T110">
        <f>IFERROR(IF($Q110="","",$Q110/$H110),"")</f>
        <v/>
      </c>
      <c r="U110">
        <f>IFERROR(IF($Q110="","",$Q110/$G110),"")</f>
        <v/>
      </c>
      <c r="Y110">
        <f>IF(AND($L110="",$N110="",$P110=""),"",ROUND((IF($L110="",0,IF($L110&lt;=Einstellungen!$B$16,100,IF($L110&lt;=Einstellungen!$C$16,80+(100-80)*(Einstellungen!$C$16-$L110)/(Einstellungen!$C$16-Einstellungen!$B$16),IF($L110&lt;=Einstellungen!$D$16,80*(Einstellungen!$D$16-$L110)/(Einstellungen!$D$16-Einstellungen!$C$16),0))))*Einstellungen!$E$16+IF($N110="",0,IF($N110&lt;=Einstellungen!$B$17,100,IF($N110&lt;=Einstellungen!$C$17,80+(100-80)*(Einstellungen!$C$17-$N110)/(Einstellungen!$C$17-Einstellungen!$B$17),IF($N110&lt;=Einstellungen!$D$17,80*(Einstellungen!$D$17-$N110)/(Einstellungen!$D$17-Einstellungen!$C$17),0))))*Einstellungen!$E$17+IF($P110="",0,IF($P110&lt;=Einstellungen!$B$18,100,IF($P110&lt;=Einstellungen!$C$18,80+(100-80)*(Einstellungen!$C$18-$P110)/(Einstellungen!$C$18-Einstellungen!$B$18),IF($P110&lt;=Einstellungen!$D$18,80*(Einstellungen!$D$18-$P110)/(Einstellungen!$D$18-Einstellungen!$C$18),0))))*Einstellungen!$E$18)/(Einstellungen!$E$16+Einstellungen!$E$17+Einstellungen!$E$18),0))</f>
        <v/>
      </c>
      <c r="Z110">
        <f>IF(AND($E110="",$D110="",$G110="",$V110="",$Q110="",$T110="",$W110="",$U110=""),"",ROUND(IF($E110="",0,IF($E110&lt;Einstellungen!$B$21,0,IF($E110&gt;=Einstellungen!$B$22,100,($E110-Einstellungen!$B$21)/(Einstellungen!$B$22-Einstellungen!$B$21)*100)))/100*Einstellungen!$B$5+IF($W110="",0,$W110/100)*Einstellungen!$B$6+(IF($G110="",0,MAX(0,MIN(100,($G110-Einstellungen!$B$25)/(Einstellungen!$B$26-Einstellungen!$B$25)*100)))+IF($I110="",0,MAX(0,MIN(100,($I110-Einstellungen!$B$27)/(Einstellungen!$B$28-Einstellungen!$B$27)*100))))/2/100*Einstellungen!$B$7+IF($V110="",0,$V110/100)*Einstellungen!$B$8+IF($R110="",0,MAX(0,MIN(100,(Einstellungen!$B$32-$R110)/(Einstellungen!$B$32-Einstellungen!$B$31)*100)))/100*Einstellungen!$B$9+IF($D110="",0,$D110/5*100)/100*Einstellungen!$B$10+IF($AD110="",0,$AD110)/100*Einstellungen!$B$11+IF($U110="",0,$U110/5*100)/100*Einstellungen!$B$12,0))</f>
        <v/>
      </c>
      <c r="AA110">
        <f>IF($X110="","",$X110*1000000000000+IF($G110="",0,$G110)*1000000+IF($H110="",0,$H110)*1000+IF($I110="",0,$I110)+IF($N110="",0,MAX(0,1000-$N110))/1000+IF($A110="",0,$A110)/1000000)</f>
        <v/>
      </c>
      <c r="AB110">
        <f>IF($Y110="","",_xludf.RANK.EQ($Y110,$Y$2:$Y$201,0))</f>
        <v/>
      </c>
    </row>
    <row r="111">
      <c r="T111">
        <f>IFERROR(IF($Q111="","",$Q111/$H111),"")</f>
        <v/>
      </c>
      <c r="U111">
        <f>IFERROR(IF($Q111="","",$Q111/$G111),"")</f>
        <v/>
      </c>
      <c r="Y111">
        <f>IF(AND($L111="",$N111="",$P111=""),"",ROUND((IF($L111="",0,IF($L111&lt;=Einstellungen!$B$16,100,IF($L111&lt;=Einstellungen!$C$16,80+(100-80)*(Einstellungen!$C$16-$L111)/(Einstellungen!$C$16-Einstellungen!$B$16),IF($L111&lt;=Einstellungen!$D$16,80*(Einstellungen!$D$16-$L111)/(Einstellungen!$D$16-Einstellungen!$C$16),0))))*Einstellungen!$E$16+IF($N111="",0,IF($N111&lt;=Einstellungen!$B$17,100,IF($N111&lt;=Einstellungen!$C$17,80+(100-80)*(Einstellungen!$C$17-$N111)/(Einstellungen!$C$17-Einstellungen!$B$17),IF($N111&lt;=Einstellungen!$D$17,80*(Einstellungen!$D$17-$N111)/(Einstellungen!$D$17-Einstellungen!$C$17),0))))*Einstellungen!$E$17+IF($P111="",0,IF($P111&lt;=Einstellungen!$B$18,100,IF($P111&lt;=Einstellungen!$C$18,80+(100-80)*(Einstellungen!$C$18-$P111)/(Einstellungen!$C$18-Einstellungen!$B$18),IF($P111&lt;=Einstellungen!$D$18,80*(Einstellungen!$D$18-$P111)/(Einstellungen!$D$18-Einstellungen!$C$18),0))))*Einstellungen!$E$18)/(Einstellungen!$E$16+Einstellungen!$E$17+Einstellungen!$E$18),0))</f>
        <v/>
      </c>
      <c r="Z111">
        <f>IF(AND($E111="",$D111="",$G111="",$V111="",$Q111="",$T111="",$W111="",$U111=""),"",ROUND(IF($E111="",0,IF($E111&lt;Einstellungen!$B$21,0,IF($E111&gt;=Einstellungen!$B$22,100,($E111-Einstellungen!$B$21)/(Einstellungen!$B$22-Einstellungen!$B$21)*100)))/100*Einstellungen!$B$5+IF($W111="",0,$W111/100)*Einstellungen!$B$6+(IF($G111="",0,MAX(0,MIN(100,($G111-Einstellungen!$B$25)/(Einstellungen!$B$26-Einstellungen!$B$25)*100)))+IF($I111="",0,MAX(0,MIN(100,($I111-Einstellungen!$B$27)/(Einstellungen!$B$28-Einstellungen!$B$27)*100))))/2/100*Einstellungen!$B$7+IF($V111="",0,$V111/100)*Einstellungen!$B$8+IF($R111="",0,MAX(0,MIN(100,(Einstellungen!$B$32-$R111)/(Einstellungen!$B$32-Einstellungen!$B$31)*100)))/100*Einstellungen!$B$9+IF($D111="",0,$D111/5*100)/100*Einstellungen!$B$10+IF($AD111="",0,$AD111)/100*Einstellungen!$B$11+IF($U111="",0,$U111/5*100)/100*Einstellungen!$B$12,0))</f>
        <v/>
      </c>
      <c r="AA111">
        <f>IF($X111="","",$X111*1000000000000+IF($G111="",0,$G111)*1000000+IF($H111="",0,$H111)*1000+IF($I111="",0,$I111)+IF($N111="",0,MAX(0,1000-$N111))/1000+IF($A111="",0,$A111)/1000000)</f>
        <v/>
      </c>
      <c r="AB111">
        <f>IF($Y111="","",_xludf.RANK.EQ($Y111,$Y$2:$Y$201,0))</f>
        <v/>
      </c>
    </row>
    <row r="112">
      <c r="T112">
        <f>IFERROR(IF($Q112="","",$Q112/$H112),"")</f>
        <v/>
      </c>
      <c r="U112">
        <f>IFERROR(IF($Q112="","",$Q112/$G112),"")</f>
        <v/>
      </c>
      <c r="Y112">
        <f>IF(AND($L112="",$N112="",$P112=""),"",ROUND((IF($L112="",0,IF($L112&lt;=Einstellungen!$B$16,100,IF($L112&lt;=Einstellungen!$C$16,80+(100-80)*(Einstellungen!$C$16-$L112)/(Einstellungen!$C$16-Einstellungen!$B$16),IF($L112&lt;=Einstellungen!$D$16,80*(Einstellungen!$D$16-$L112)/(Einstellungen!$D$16-Einstellungen!$C$16),0))))*Einstellungen!$E$16+IF($N112="",0,IF($N112&lt;=Einstellungen!$B$17,100,IF($N112&lt;=Einstellungen!$C$17,80+(100-80)*(Einstellungen!$C$17-$N112)/(Einstellungen!$C$17-Einstellungen!$B$17),IF($N112&lt;=Einstellungen!$D$17,80*(Einstellungen!$D$17-$N112)/(Einstellungen!$D$17-Einstellungen!$C$17),0))))*Einstellungen!$E$17+IF($P112="",0,IF($P112&lt;=Einstellungen!$B$18,100,IF($P112&lt;=Einstellungen!$C$18,80+(100-80)*(Einstellungen!$C$18-$P112)/(Einstellungen!$C$18-Einstellungen!$B$18),IF($P112&lt;=Einstellungen!$D$18,80*(Einstellungen!$D$18-$P112)/(Einstellungen!$D$18-Einstellungen!$C$18),0))))*Einstellungen!$E$18)/(Einstellungen!$E$16+Einstellungen!$E$17+Einstellungen!$E$18),0))</f>
        <v/>
      </c>
      <c r="Z112">
        <f>IF(AND($E112="",$D112="",$G112="",$V112="",$Q112="",$T112="",$W112="",$U112=""),"",ROUND(IF($E112="",0,IF($E112&lt;Einstellungen!$B$21,0,IF($E112&gt;=Einstellungen!$B$22,100,($E112-Einstellungen!$B$21)/(Einstellungen!$B$22-Einstellungen!$B$21)*100)))/100*Einstellungen!$B$5+IF($W112="",0,$W112/100)*Einstellungen!$B$6+(IF($G112="",0,MAX(0,MIN(100,($G112-Einstellungen!$B$25)/(Einstellungen!$B$26-Einstellungen!$B$25)*100)))+IF($I112="",0,MAX(0,MIN(100,($I112-Einstellungen!$B$27)/(Einstellungen!$B$28-Einstellungen!$B$27)*100))))/2/100*Einstellungen!$B$7+IF($V112="",0,$V112/100)*Einstellungen!$B$8+IF($R112="",0,MAX(0,MIN(100,(Einstellungen!$B$32-$R112)/(Einstellungen!$B$32-Einstellungen!$B$31)*100)))/100*Einstellungen!$B$9+IF($D112="",0,$D112/5*100)/100*Einstellungen!$B$10+IF($AD112="",0,$AD112)/100*Einstellungen!$B$11+IF($U112="",0,$U112/5*100)/100*Einstellungen!$B$12,0))</f>
        <v/>
      </c>
      <c r="AA112">
        <f>IF($X112="","",$X112*1000000000000+IF($G112="",0,$G112)*1000000+IF($H112="",0,$H112)*1000+IF($I112="",0,$I112)+IF($N112="",0,MAX(0,1000-$N112))/1000+IF($A112="",0,$A112)/1000000)</f>
        <v/>
      </c>
      <c r="AB112">
        <f>IF($Y112="","",_xludf.RANK.EQ($Y112,$Y$2:$Y$201,0))</f>
        <v/>
      </c>
    </row>
    <row r="113">
      <c r="T113">
        <f>IFERROR(IF($Q113="","",$Q113/$H113),"")</f>
        <v/>
      </c>
      <c r="U113">
        <f>IFERROR(IF($Q113="","",$Q113/$G113),"")</f>
        <v/>
      </c>
      <c r="Y113">
        <f>IF(AND($L113="",$N113="",$P113=""),"",ROUND((IF($L113="",0,IF($L113&lt;=Einstellungen!$B$16,100,IF($L113&lt;=Einstellungen!$C$16,80+(100-80)*(Einstellungen!$C$16-$L113)/(Einstellungen!$C$16-Einstellungen!$B$16),IF($L113&lt;=Einstellungen!$D$16,80*(Einstellungen!$D$16-$L113)/(Einstellungen!$D$16-Einstellungen!$C$16),0))))*Einstellungen!$E$16+IF($N113="",0,IF($N113&lt;=Einstellungen!$B$17,100,IF($N113&lt;=Einstellungen!$C$17,80+(100-80)*(Einstellungen!$C$17-$N113)/(Einstellungen!$C$17-Einstellungen!$B$17),IF($N113&lt;=Einstellungen!$D$17,80*(Einstellungen!$D$17-$N113)/(Einstellungen!$D$17-Einstellungen!$C$17),0))))*Einstellungen!$E$17+IF($P113="",0,IF($P113&lt;=Einstellungen!$B$18,100,IF($P113&lt;=Einstellungen!$C$18,80+(100-80)*(Einstellungen!$C$18-$P113)/(Einstellungen!$C$18-Einstellungen!$B$18),IF($P113&lt;=Einstellungen!$D$18,80*(Einstellungen!$D$18-$P113)/(Einstellungen!$D$18-Einstellungen!$C$18),0))))*Einstellungen!$E$18)/(Einstellungen!$E$16+Einstellungen!$E$17+Einstellungen!$E$18),0))</f>
        <v/>
      </c>
      <c r="Z113">
        <f>IF(AND($E113="",$D113="",$G113="",$V113="",$Q113="",$T113="",$W113="",$U113=""),"",ROUND(IF($E113="",0,IF($E113&lt;Einstellungen!$B$21,0,IF($E113&gt;=Einstellungen!$B$22,100,($E113-Einstellungen!$B$21)/(Einstellungen!$B$22-Einstellungen!$B$21)*100)))/100*Einstellungen!$B$5+IF($W113="",0,$W113/100)*Einstellungen!$B$6+(IF($G113="",0,MAX(0,MIN(100,($G113-Einstellungen!$B$25)/(Einstellungen!$B$26-Einstellungen!$B$25)*100)))+IF($I113="",0,MAX(0,MIN(100,($I113-Einstellungen!$B$27)/(Einstellungen!$B$28-Einstellungen!$B$27)*100))))/2/100*Einstellungen!$B$7+IF($V113="",0,$V113/100)*Einstellungen!$B$8+IF($R113="",0,MAX(0,MIN(100,(Einstellungen!$B$32-$R113)/(Einstellungen!$B$32-Einstellungen!$B$31)*100)))/100*Einstellungen!$B$9+IF($D113="",0,$D113/5*100)/100*Einstellungen!$B$10+IF($AD113="",0,$AD113)/100*Einstellungen!$B$11+IF($U113="",0,$U113/5*100)/100*Einstellungen!$B$12,0))</f>
        <v/>
      </c>
      <c r="AA113">
        <f>IF($X113="","",$X113*1000000000000+IF($G113="",0,$G113)*1000000+IF($H113="",0,$H113)*1000+IF($I113="",0,$I113)+IF($N113="",0,MAX(0,1000-$N113))/1000+IF($A113="",0,$A113)/1000000)</f>
        <v/>
      </c>
      <c r="AB113">
        <f>IF($Y113="","",_xludf.RANK.EQ($Y113,$Y$2:$Y$201,0))</f>
        <v/>
      </c>
    </row>
    <row r="114">
      <c r="T114">
        <f>IFERROR(IF($Q114="","",$Q114/$H114),"")</f>
        <v/>
      </c>
      <c r="U114">
        <f>IFERROR(IF($Q114="","",$Q114/$G114),"")</f>
        <v/>
      </c>
      <c r="Y114">
        <f>IF(AND($L114="",$N114="",$P114=""),"",ROUND((IF($L114="",0,IF($L114&lt;=Einstellungen!$B$16,100,IF($L114&lt;=Einstellungen!$C$16,80+(100-80)*(Einstellungen!$C$16-$L114)/(Einstellungen!$C$16-Einstellungen!$B$16),IF($L114&lt;=Einstellungen!$D$16,80*(Einstellungen!$D$16-$L114)/(Einstellungen!$D$16-Einstellungen!$C$16),0))))*Einstellungen!$E$16+IF($N114="",0,IF($N114&lt;=Einstellungen!$B$17,100,IF($N114&lt;=Einstellungen!$C$17,80+(100-80)*(Einstellungen!$C$17-$N114)/(Einstellungen!$C$17-Einstellungen!$B$17),IF($N114&lt;=Einstellungen!$D$17,80*(Einstellungen!$D$17-$N114)/(Einstellungen!$D$17-Einstellungen!$C$17),0))))*Einstellungen!$E$17+IF($P114="",0,IF($P114&lt;=Einstellungen!$B$18,100,IF($P114&lt;=Einstellungen!$C$18,80+(100-80)*(Einstellungen!$C$18-$P114)/(Einstellungen!$C$18-Einstellungen!$B$18),IF($P114&lt;=Einstellungen!$D$18,80*(Einstellungen!$D$18-$P114)/(Einstellungen!$D$18-Einstellungen!$C$18),0))))*Einstellungen!$E$18)/(Einstellungen!$E$16+Einstellungen!$E$17+Einstellungen!$E$18),0))</f>
        <v/>
      </c>
      <c r="Z114">
        <f>IF(AND($E114="",$D114="",$G114="",$V114="",$Q114="",$T114="",$W114="",$U114=""),"",ROUND(IF($E114="",0,IF($E114&lt;Einstellungen!$B$21,0,IF($E114&gt;=Einstellungen!$B$22,100,($E114-Einstellungen!$B$21)/(Einstellungen!$B$22-Einstellungen!$B$21)*100)))/100*Einstellungen!$B$5+IF($W114="",0,$W114/100)*Einstellungen!$B$6+(IF($G114="",0,MAX(0,MIN(100,($G114-Einstellungen!$B$25)/(Einstellungen!$B$26-Einstellungen!$B$25)*100)))+IF($I114="",0,MAX(0,MIN(100,($I114-Einstellungen!$B$27)/(Einstellungen!$B$28-Einstellungen!$B$27)*100))))/2/100*Einstellungen!$B$7+IF($V114="",0,$V114/100)*Einstellungen!$B$8+IF($R114="",0,MAX(0,MIN(100,(Einstellungen!$B$32-$R114)/(Einstellungen!$B$32-Einstellungen!$B$31)*100)))/100*Einstellungen!$B$9+IF($D114="",0,$D114/5*100)/100*Einstellungen!$B$10+IF($AD114="",0,$AD114)/100*Einstellungen!$B$11+IF($U114="",0,$U114/5*100)/100*Einstellungen!$B$12,0))</f>
        <v/>
      </c>
      <c r="AA114">
        <f>IF($X114="","",$X114*1000000000000+IF($G114="",0,$G114)*1000000+IF($H114="",0,$H114)*1000+IF($I114="",0,$I114)+IF($N114="",0,MAX(0,1000-$N114))/1000+IF($A114="",0,$A114)/1000000)</f>
        <v/>
      </c>
      <c r="AB114">
        <f>IF($Y114="","",_xludf.RANK.EQ($Y114,$Y$2:$Y$201,0))</f>
        <v/>
      </c>
    </row>
    <row r="115">
      <c r="T115">
        <f>IFERROR(IF($Q115="","",$Q115/$H115),"")</f>
        <v/>
      </c>
      <c r="U115">
        <f>IFERROR(IF($Q115="","",$Q115/$G115),"")</f>
        <v/>
      </c>
      <c r="Y115">
        <f>IF(AND($L115="",$N115="",$P115=""),"",ROUND((IF($L115="",0,IF($L115&lt;=Einstellungen!$B$16,100,IF($L115&lt;=Einstellungen!$C$16,80+(100-80)*(Einstellungen!$C$16-$L115)/(Einstellungen!$C$16-Einstellungen!$B$16),IF($L115&lt;=Einstellungen!$D$16,80*(Einstellungen!$D$16-$L115)/(Einstellungen!$D$16-Einstellungen!$C$16),0))))*Einstellungen!$E$16+IF($N115="",0,IF($N115&lt;=Einstellungen!$B$17,100,IF($N115&lt;=Einstellungen!$C$17,80+(100-80)*(Einstellungen!$C$17-$N115)/(Einstellungen!$C$17-Einstellungen!$B$17),IF($N115&lt;=Einstellungen!$D$17,80*(Einstellungen!$D$17-$N115)/(Einstellungen!$D$17-Einstellungen!$C$17),0))))*Einstellungen!$E$17+IF($P115="",0,IF($P115&lt;=Einstellungen!$B$18,100,IF($P115&lt;=Einstellungen!$C$18,80+(100-80)*(Einstellungen!$C$18-$P115)/(Einstellungen!$C$18-Einstellungen!$B$18),IF($P115&lt;=Einstellungen!$D$18,80*(Einstellungen!$D$18-$P115)/(Einstellungen!$D$18-Einstellungen!$C$18),0))))*Einstellungen!$E$18)/(Einstellungen!$E$16+Einstellungen!$E$17+Einstellungen!$E$18),0))</f>
        <v/>
      </c>
      <c r="Z115">
        <f>IF(AND($E115="",$D115="",$G115="",$V115="",$Q115="",$T115="",$W115="",$U115=""),"",ROUND(IF($E115="",0,IF($E115&lt;Einstellungen!$B$21,0,IF($E115&gt;=Einstellungen!$B$22,100,($E115-Einstellungen!$B$21)/(Einstellungen!$B$22-Einstellungen!$B$21)*100)))/100*Einstellungen!$B$5+IF($W115="",0,$W115/100)*Einstellungen!$B$6+(IF($G115="",0,MAX(0,MIN(100,($G115-Einstellungen!$B$25)/(Einstellungen!$B$26-Einstellungen!$B$25)*100)))+IF($I115="",0,MAX(0,MIN(100,($I115-Einstellungen!$B$27)/(Einstellungen!$B$28-Einstellungen!$B$27)*100))))/2/100*Einstellungen!$B$7+IF($V115="",0,$V115/100)*Einstellungen!$B$8+IF($R115="",0,MAX(0,MIN(100,(Einstellungen!$B$32-$R115)/(Einstellungen!$B$32-Einstellungen!$B$31)*100)))/100*Einstellungen!$B$9+IF($D115="",0,$D115/5*100)/100*Einstellungen!$B$10+IF($AD115="",0,$AD115)/100*Einstellungen!$B$11+IF($U115="",0,$U115/5*100)/100*Einstellungen!$B$12,0))</f>
        <v/>
      </c>
      <c r="AA115">
        <f>IF($X115="","",$X115*1000000000000+IF($G115="",0,$G115)*1000000+IF($H115="",0,$H115)*1000+IF($I115="",0,$I115)+IF($N115="",0,MAX(0,1000-$N115))/1000+IF($A115="",0,$A115)/1000000)</f>
        <v/>
      </c>
      <c r="AB115">
        <f>IF($Y115="","",_xludf.RANK.EQ($Y115,$Y$2:$Y$201,0))</f>
        <v/>
      </c>
    </row>
    <row r="116">
      <c r="T116">
        <f>IFERROR(IF($Q116="","",$Q116/$H116),"")</f>
        <v/>
      </c>
      <c r="U116">
        <f>IFERROR(IF($Q116="","",$Q116/$G116),"")</f>
        <v/>
      </c>
      <c r="Y116">
        <f>IF(AND($L116="",$N116="",$P116=""),"",ROUND((IF($L116="",0,IF($L116&lt;=Einstellungen!$B$16,100,IF($L116&lt;=Einstellungen!$C$16,80+(100-80)*(Einstellungen!$C$16-$L116)/(Einstellungen!$C$16-Einstellungen!$B$16),IF($L116&lt;=Einstellungen!$D$16,80*(Einstellungen!$D$16-$L116)/(Einstellungen!$D$16-Einstellungen!$C$16),0))))*Einstellungen!$E$16+IF($N116="",0,IF($N116&lt;=Einstellungen!$B$17,100,IF($N116&lt;=Einstellungen!$C$17,80+(100-80)*(Einstellungen!$C$17-$N116)/(Einstellungen!$C$17-Einstellungen!$B$17),IF($N116&lt;=Einstellungen!$D$17,80*(Einstellungen!$D$17-$N116)/(Einstellungen!$D$17-Einstellungen!$C$17),0))))*Einstellungen!$E$17+IF($P116="",0,IF($P116&lt;=Einstellungen!$B$18,100,IF($P116&lt;=Einstellungen!$C$18,80+(100-80)*(Einstellungen!$C$18-$P116)/(Einstellungen!$C$18-Einstellungen!$B$18),IF($P116&lt;=Einstellungen!$D$18,80*(Einstellungen!$D$18-$P116)/(Einstellungen!$D$18-Einstellungen!$C$18),0))))*Einstellungen!$E$18)/(Einstellungen!$E$16+Einstellungen!$E$17+Einstellungen!$E$18),0))</f>
        <v/>
      </c>
      <c r="Z116">
        <f>IF(AND($E116="",$D116="",$G116="",$V116="",$Q116="",$T116="",$W116="",$U116=""),"",ROUND(IF($E116="",0,IF($E116&lt;Einstellungen!$B$21,0,IF($E116&gt;=Einstellungen!$B$22,100,($E116-Einstellungen!$B$21)/(Einstellungen!$B$22-Einstellungen!$B$21)*100)))/100*Einstellungen!$B$5+IF($W116="",0,$W116/100)*Einstellungen!$B$6+(IF($G116="",0,MAX(0,MIN(100,($G116-Einstellungen!$B$25)/(Einstellungen!$B$26-Einstellungen!$B$25)*100)))+IF($I116="",0,MAX(0,MIN(100,($I116-Einstellungen!$B$27)/(Einstellungen!$B$28-Einstellungen!$B$27)*100))))/2/100*Einstellungen!$B$7+IF($V116="",0,$V116/100)*Einstellungen!$B$8+IF($R116="",0,MAX(0,MIN(100,(Einstellungen!$B$32-$R116)/(Einstellungen!$B$32-Einstellungen!$B$31)*100)))/100*Einstellungen!$B$9+IF($D116="",0,$D116/5*100)/100*Einstellungen!$B$10+IF($AD116="",0,$AD116)/100*Einstellungen!$B$11+IF($U116="",0,$U116/5*100)/100*Einstellungen!$B$12,0))</f>
        <v/>
      </c>
      <c r="AA116">
        <f>IF($X116="","",$X116*1000000000000+IF($G116="",0,$G116)*1000000+IF($H116="",0,$H116)*1000+IF($I116="",0,$I116)+IF($N116="",0,MAX(0,1000-$N116))/1000+IF($A116="",0,$A116)/1000000)</f>
        <v/>
      </c>
      <c r="AB116">
        <f>IF($Y116="","",_xludf.RANK.EQ($Y116,$Y$2:$Y$201,0))</f>
        <v/>
      </c>
    </row>
    <row r="117">
      <c r="T117">
        <f>IFERROR(IF($Q117="","",$Q117/$H117),"")</f>
        <v/>
      </c>
      <c r="U117">
        <f>IFERROR(IF($Q117="","",$Q117/$G117),"")</f>
        <v/>
      </c>
      <c r="Y117">
        <f>IF(AND($L117="",$N117="",$P117=""),"",ROUND((IF($L117="",0,IF($L117&lt;=Einstellungen!$B$16,100,IF($L117&lt;=Einstellungen!$C$16,80+(100-80)*(Einstellungen!$C$16-$L117)/(Einstellungen!$C$16-Einstellungen!$B$16),IF($L117&lt;=Einstellungen!$D$16,80*(Einstellungen!$D$16-$L117)/(Einstellungen!$D$16-Einstellungen!$C$16),0))))*Einstellungen!$E$16+IF($N117="",0,IF($N117&lt;=Einstellungen!$B$17,100,IF($N117&lt;=Einstellungen!$C$17,80+(100-80)*(Einstellungen!$C$17-$N117)/(Einstellungen!$C$17-Einstellungen!$B$17),IF($N117&lt;=Einstellungen!$D$17,80*(Einstellungen!$D$17-$N117)/(Einstellungen!$D$17-Einstellungen!$C$17),0))))*Einstellungen!$E$17+IF($P117="",0,IF($P117&lt;=Einstellungen!$B$18,100,IF($P117&lt;=Einstellungen!$C$18,80+(100-80)*(Einstellungen!$C$18-$P117)/(Einstellungen!$C$18-Einstellungen!$B$18),IF($P117&lt;=Einstellungen!$D$18,80*(Einstellungen!$D$18-$P117)/(Einstellungen!$D$18-Einstellungen!$C$18),0))))*Einstellungen!$E$18)/(Einstellungen!$E$16+Einstellungen!$E$17+Einstellungen!$E$18),0))</f>
        <v/>
      </c>
      <c r="Z117">
        <f>IF(AND($E117="",$D117="",$G117="",$V117="",$Q117="",$T117="",$W117="",$U117=""),"",ROUND(IF($E117="",0,IF($E117&lt;Einstellungen!$B$21,0,IF($E117&gt;=Einstellungen!$B$22,100,($E117-Einstellungen!$B$21)/(Einstellungen!$B$22-Einstellungen!$B$21)*100)))/100*Einstellungen!$B$5+IF($W117="",0,$W117/100)*Einstellungen!$B$6+(IF($G117="",0,MAX(0,MIN(100,($G117-Einstellungen!$B$25)/(Einstellungen!$B$26-Einstellungen!$B$25)*100)))+IF($I117="",0,MAX(0,MIN(100,($I117-Einstellungen!$B$27)/(Einstellungen!$B$28-Einstellungen!$B$27)*100))))/2/100*Einstellungen!$B$7+IF($V117="",0,$V117/100)*Einstellungen!$B$8+IF($R117="",0,MAX(0,MIN(100,(Einstellungen!$B$32-$R117)/(Einstellungen!$B$32-Einstellungen!$B$31)*100)))/100*Einstellungen!$B$9+IF($D117="",0,$D117/5*100)/100*Einstellungen!$B$10+IF($AD117="",0,$AD117)/100*Einstellungen!$B$11+IF($U117="",0,$U117/5*100)/100*Einstellungen!$B$12,0))</f>
        <v/>
      </c>
      <c r="AA117">
        <f>IF($X117="","",$X117*1000000000000+IF($G117="",0,$G117)*1000000+IF($H117="",0,$H117)*1000+IF($I117="",0,$I117)+IF($N117="",0,MAX(0,1000-$N117))/1000+IF($A117="",0,$A117)/1000000)</f>
        <v/>
      </c>
      <c r="AB117">
        <f>IF($Y117="","",_xludf.RANK.EQ($Y117,$Y$2:$Y$201,0))</f>
        <v/>
      </c>
    </row>
    <row r="118">
      <c r="T118">
        <f>IFERROR(IF($Q118="","",$Q118/$H118),"")</f>
        <v/>
      </c>
      <c r="U118">
        <f>IFERROR(IF($Q118="","",$Q118/$G118),"")</f>
        <v/>
      </c>
      <c r="Y118">
        <f>IF(AND($L118="",$N118="",$P118=""),"",ROUND((IF($L118="",0,IF($L118&lt;=Einstellungen!$B$16,100,IF($L118&lt;=Einstellungen!$C$16,80+(100-80)*(Einstellungen!$C$16-$L118)/(Einstellungen!$C$16-Einstellungen!$B$16),IF($L118&lt;=Einstellungen!$D$16,80*(Einstellungen!$D$16-$L118)/(Einstellungen!$D$16-Einstellungen!$C$16),0))))*Einstellungen!$E$16+IF($N118="",0,IF($N118&lt;=Einstellungen!$B$17,100,IF($N118&lt;=Einstellungen!$C$17,80+(100-80)*(Einstellungen!$C$17-$N118)/(Einstellungen!$C$17-Einstellungen!$B$17),IF($N118&lt;=Einstellungen!$D$17,80*(Einstellungen!$D$17-$N118)/(Einstellungen!$D$17-Einstellungen!$C$17),0))))*Einstellungen!$E$17+IF($P118="",0,IF($P118&lt;=Einstellungen!$B$18,100,IF($P118&lt;=Einstellungen!$C$18,80+(100-80)*(Einstellungen!$C$18-$P118)/(Einstellungen!$C$18-Einstellungen!$B$18),IF($P118&lt;=Einstellungen!$D$18,80*(Einstellungen!$D$18-$P118)/(Einstellungen!$D$18-Einstellungen!$C$18),0))))*Einstellungen!$E$18)/(Einstellungen!$E$16+Einstellungen!$E$17+Einstellungen!$E$18),0))</f>
        <v/>
      </c>
      <c r="Z118">
        <f>IF(AND($E118="",$D118="",$G118="",$V118="",$Q118="",$T118="",$W118="",$U118=""),"",ROUND(IF($E118="",0,IF($E118&lt;Einstellungen!$B$21,0,IF($E118&gt;=Einstellungen!$B$22,100,($E118-Einstellungen!$B$21)/(Einstellungen!$B$22-Einstellungen!$B$21)*100)))/100*Einstellungen!$B$5+IF($W118="",0,$W118/100)*Einstellungen!$B$6+(IF($G118="",0,MAX(0,MIN(100,($G118-Einstellungen!$B$25)/(Einstellungen!$B$26-Einstellungen!$B$25)*100)))+IF($I118="",0,MAX(0,MIN(100,($I118-Einstellungen!$B$27)/(Einstellungen!$B$28-Einstellungen!$B$27)*100))))/2/100*Einstellungen!$B$7+IF($V118="",0,$V118/100)*Einstellungen!$B$8+IF($R118="",0,MAX(0,MIN(100,(Einstellungen!$B$32-$R118)/(Einstellungen!$B$32-Einstellungen!$B$31)*100)))/100*Einstellungen!$B$9+IF($D118="",0,$D118/5*100)/100*Einstellungen!$B$10+IF($AD118="",0,$AD118)/100*Einstellungen!$B$11+IF($U118="",0,$U118/5*100)/100*Einstellungen!$B$12,0))</f>
        <v/>
      </c>
      <c r="AA118">
        <f>IF($X118="","",$X118*1000000000000+IF($G118="",0,$G118)*1000000+IF($H118="",0,$H118)*1000+IF($I118="",0,$I118)+IF($N118="",0,MAX(0,1000-$N118))/1000+IF($A118="",0,$A118)/1000000)</f>
        <v/>
      </c>
      <c r="AB118">
        <f>IF($Y118="","",_xludf.RANK.EQ($Y118,$Y$2:$Y$201,0))</f>
        <v/>
      </c>
    </row>
    <row r="119">
      <c r="T119">
        <f>IFERROR(IF($Q119="","",$Q119/$H119),"")</f>
        <v/>
      </c>
      <c r="U119">
        <f>IFERROR(IF($Q119="","",$Q119/$G119),"")</f>
        <v/>
      </c>
      <c r="Y119">
        <f>IF(AND($L119="",$N119="",$P119=""),"",ROUND((IF($L119="",0,IF($L119&lt;=Einstellungen!$B$16,100,IF($L119&lt;=Einstellungen!$C$16,80+(100-80)*(Einstellungen!$C$16-$L119)/(Einstellungen!$C$16-Einstellungen!$B$16),IF($L119&lt;=Einstellungen!$D$16,80*(Einstellungen!$D$16-$L119)/(Einstellungen!$D$16-Einstellungen!$C$16),0))))*Einstellungen!$E$16+IF($N119="",0,IF($N119&lt;=Einstellungen!$B$17,100,IF($N119&lt;=Einstellungen!$C$17,80+(100-80)*(Einstellungen!$C$17-$N119)/(Einstellungen!$C$17-Einstellungen!$B$17),IF($N119&lt;=Einstellungen!$D$17,80*(Einstellungen!$D$17-$N119)/(Einstellungen!$D$17-Einstellungen!$C$17),0))))*Einstellungen!$E$17+IF($P119="",0,IF($P119&lt;=Einstellungen!$B$18,100,IF($P119&lt;=Einstellungen!$C$18,80+(100-80)*(Einstellungen!$C$18-$P119)/(Einstellungen!$C$18-Einstellungen!$B$18),IF($P119&lt;=Einstellungen!$D$18,80*(Einstellungen!$D$18-$P119)/(Einstellungen!$D$18-Einstellungen!$C$18),0))))*Einstellungen!$E$18)/(Einstellungen!$E$16+Einstellungen!$E$17+Einstellungen!$E$18),0))</f>
        <v/>
      </c>
      <c r="Z119">
        <f>IF(AND($E119="",$D119="",$G119="",$V119="",$Q119="",$T119="",$W119="",$U119=""),"",ROUND(IF($E119="",0,IF($E119&lt;Einstellungen!$B$21,0,IF($E119&gt;=Einstellungen!$B$22,100,($E119-Einstellungen!$B$21)/(Einstellungen!$B$22-Einstellungen!$B$21)*100)))/100*Einstellungen!$B$5+IF($W119="",0,$W119/100)*Einstellungen!$B$6+(IF($G119="",0,MAX(0,MIN(100,($G119-Einstellungen!$B$25)/(Einstellungen!$B$26-Einstellungen!$B$25)*100)))+IF($I119="",0,MAX(0,MIN(100,($I119-Einstellungen!$B$27)/(Einstellungen!$B$28-Einstellungen!$B$27)*100))))/2/100*Einstellungen!$B$7+IF($V119="",0,$V119/100)*Einstellungen!$B$8+IF($R119="",0,MAX(0,MIN(100,(Einstellungen!$B$32-$R119)/(Einstellungen!$B$32-Einstellungen!$B$31)*100)))/100*Einstellungen!$B$9+IF($D119="",0,$D119/5*100)/100*Einstellungen!$B$10+IF($AD119="",0,$AD119)/100*Einstellungen!$B$11+IF($U119="",0,$U119/5*100)/100*Einstellungen!$B$12,0))</f>
        <v/>
      </c>
      <c r="AA119">
        <f>IF($X119="","",$X119*1000000000000+IF($G119="",0,$G119)*1000000+IF($H119="",0,$H119)*1000+IF($I119="",0,$I119)+IF($N119="",0,MAX(0,1000-$N119))/1000+IF($A119="",0,$A119)/1000000)</f>
        <v/>
      </c>
      <c r="AB119">
        <f>IF($Y119="","",_xludf.RANK.EQ($Y119,$Y$2:$Y$201,0))</f>
        <v/>
      </c>
    </row>
    <row r="120">
      <c r="T120">
        <f>IFERROR(IF($Q120="","",$Q120/$H120),"")</f>
        <v/>
      </c>
      <c r="U120">
        <f>IFERROR(IF($Q120="","",$Q120/$G120),"")</f>
        <v/>
      </c>
      <c r="Y120">
        <f>IF(AND($L120="",$N120="",$P120=""),"",ROUND((IF($L120="",0,IF($L120&lt;=Einstellungen!$B$16,100,IF($L120&lt;=Einstellungen!$C$16,80+(100-80)*(Einstellungen!$C$16-$L120)/(Einstellungen!$C$16-Einstellungen!$B$16),IF($L120&lt;=Einstellungen!$D$16,80*(Einstellungen!$D$16-$L120)/(Einstellungen!$D$16-Einstellungen!$C$16),0))))*Einstellungen!$E$16+IF($N120="",0,IF($N120&lt;=Einstellungen!$B$17,100,IF($N120&lt;=Einstellungen!$C$17,80+(100-80)*(Einstellungen!$C$17-$N120)/(Einstellungen!$C$17-Einstellungen!$B$17),IF($N120&lt;=Einstellungen!$D$17,80*(Einstellungen!$D$17-$N120)/(Einstellungen!$D$17-Einstellungen!$C$17),0))))*Einstellungen!$E$17+IF($P120="",0,IF($P120&lt;=Einstellungen!$B$18,100,IF($P120&lt;=Einstellungen!$C$18,80+(100-80)*(Einstellungen!$C$18-$P120)/(Einstellungen!$C$18-Einstellungen!$B$18),IF($P120&lt;=Einstellungen!$D$18,80*(Einstellungen!$D$18-$P120)/(Einstellungen!$D$18-Einstellungen!$C$18),0))))*Einstellungen!$E$18)/(Einstellungen!$E$16+Einstellungen!$E$17+Einstellungen!$E$18),0))</f>
        <v/>
      </c>
      <c r="Z120">
        <f>IF(AND($E120="",$D120="",$G120="",$V120="",$Q120="",$T120="",$W120="",$U120=""),"",ROUND(IF($E120="",0,IF($E120&lt;Einstellungen!$B$21,0,IF($E120&gt;=Einstellungen!$B$22,100,($E120-Einstellungen!$B$21)/(Einstellungen!$B$22-Einstellungen!$B$21)*100)))/100*Einstellungen!$B$5+IF($W120="",0,$W120/100)*Einstellungen!$B$6+(IF($G120="",0,MAX(0,MIN(100,($G120-Einstellungen!$B$25)/(Einstellungen!$B$26-Einstellungen!$B$25)*100)))+IF($I120="",0,MAX(0,MIN(100,($I120-Einstellungen!$B$27)/(Einstellungen!$B$28-Einstellungen!$B$27)*100))))/2/100*Einstellungen!$B$7+IF($V120="",0,$V120/100)*Einstellungen!$B$8+IF($R120="",0,MAX(0,MIN(100,(Einstellungen!$B$32-$R120)/(Einstellungen!$B$32-Einstellungen!$B$31)*100)))/100*Einstellungen!$B$9+IF($D120="",0,$D120/5*100)/100*Einstellungen!$B$10+IF($AD120="",0,$AD120)/100*Einstellungen!$B$11+IF($U120="",0,$U120/5*100)/100*Einstellungen!$B$12,0))</f>
        <v/>
      </c>
      <c r="AA120">
        <f>IF($X120="","",$X120*1000000000000+IF($G120="",0,$G120)*1000000+IF($H120="",0,$H120)*1000+IF($I120="",0,$I120)+IF($N120="",0,MAX(0,1000-$N120))/1000+IF($A120="",0,$A120)/1000000)</f>
        <v/>
      </c>
      <c r="AB120">
        <f>IF($Y120="","",_xludf.RANK.EQ($Y120,$Y$2:$Y$201,0))</f>
        <v/>
      </c>
    </row>
    <row r="121">
      <c r="T121">
        <f>IFERROR(IF($Q121="","",$Q121/$H121),"")</f>
        <v/>
      </c>
      <c r="U121">
        <f>IFERROR(IF($Q121="","",$Q121/$G121),"")</f>
        <v/>
      </c>
      <c r="Y121">
        <f>IF(AND($L121="",$N121="",$P121=""),"",ROUND((IF($L121="",0,IF($L121&lt;=Einstellungen!$B$16,100,IF($L121&lt;=Einstellungen!$C$16,80+(100-80)*(Einstellungen!$C$16-$L121)/(Einstellungen!$C$16-Einstellungen!$B$16),IF($L121&lt;=Einstellungen!$D$16,80*(Einstellungen!$D$16-$L121)/(Einstellungen!$D$16-Einstellungen!$C$16),0))))*Einstellungen!$E$16+IF($N121="",0,IF($N121&lt;=Einstellungen!$B$17,100,IF($N121&lt;=Einstellungen!$C$17,80+(100-80)*(Einstellungen!$C$17-$N121)/(Einstellungen!$C$17-Einstellungen!$B$17),IF($N121&lt;=Einstellungen!$D$17,80*(Einstellungen!$D$17-$N121)/(Einstellungen!$D$17-Einstellungen!$C$17),0))))*Einstellungen!$E$17+IF($P121="",0,IF($P121&lt;=Einstellungen!$B$18,100,IF($P121&lt;=Einstellungen!$C$18,80+(100-80)*(Einstellungen!$C$18-$P121)/(Einstellungen!$C$18-Einstellungen!$B$18),IF($P121&lt;=Einstellungen!$D$18,80*(Einstellungen!$D$18-$P121)/(Einstellungen!$D$18-Einstellungen!$C$18),0))))*Einstellungen!$E$18)/(Einstellungen!$E$16+Einstellungen!$E$17+Einstellungen!$E$18),0))</f>
        <v/>
      </c>
      <c r="Z121">
        <f>IF(AND($E121="",$D121="",$G121="",$V121="",$Q121="",$T121="",$W121="",$U121=""),"",ROUND(IF($E121="",0,IF($E121&lt;Einstellungen!$B$21,0,IF($E121&gt;=Einstellungen!$B$22,100,($E121-Einstellungen!$B$21)/(Einstellungen!$B$22-Einstellungen!$B$21)*100)))/100*Einstellungen!$B$5+IF($W121="",0,$W121/100)*Einstellungen!$B$6+(IF($G121="",0,MAX(0,MIN(100,($G121-Einstellungen!$B$25)/(Einstellungen!$B$26-Einstellungen!$B$25)*100)))+IF($I121="",0,MAX(0,MIN(100,($I121-Einstellungen!$B$27)/(Einstellungen!$B$28-Einstellungen!$B$27)*100))))/2/100*Einstellungen!$B$7+IF($V121="",0,$V121/100)*Einstellungen!$B$8+IF($R121="",0,MAX(0,MIN(100,(Einstellungen!$B$32-$R121)/(Einstellungen!$B$32-Einstellungen!$B$31)*100)))/100*Einstellungen!$B$9+IF($D121="",0,$D121/5*100)/100*Einstellungen!$B$10+IF($AD121="",0,$AD121)/100*Einstellungen!$B$11+IF($U121="",0,$U121/5*100)/100*Einstellungen!$B$12,0))</f>
        <v/>
      </c>
      <c r="AA121">
        <f>IF($X121="","",$X121*1000000000000+IF($G121="",0,$G121)*1000000+IF($H121="",0,$H121)*1000+IF($I121="",0,$I121)+IF($N121="",0,MAX(0,1000-$N121))/1000+IF($A121="",0,$A121)/1000000)</f>
        <v/>
      </c>
      <c r="AB121">
        <f>IF($Y121="","",_xludf.RANK.EQ($Y121,$Y$2:$Y$201,0))</f>
        <v/>
      </c>
    </row>
    <row r="122">
      <c r="T122">
        <f>IFERROR(IF($Q122="","",$Q122/$H122),"")</f>
        <v/>
      </c>
      <c r="U122">
        <f>IFERROR(IF($Q122="","",$Q122/$G122),"")</f>
        <v/>
      </c>
      <c r="Y122">
        <f>IF(AND($L122="",$N122="",$P122=""),"",ROUND((IF($L122="",0,IF($L122&lt;=Einstellungen!$B$16,100,IF($L122&lt;=Einstellungen!$C$16,80+(100-80)*(Einstellungen!$C$16-$L122)/(Einstellungen!$C$16-Einstellungen!$B$16),IF($L122&lt;=Einstellungen!$D$16,80*(Einstellungen!$D$16-$L122)/(Einstellungen!$D$16-Einstellungen!$C$16),0))))*Einstellungen!$E$16+IF($N122="",0,IF($N122&lt;=Einstellungen!$B$17,100,IF($N122&lt;=Einstellungen!$C$17,80+(100-80)*(Einstellungen!$C$17-$N122)/(Einstellungen!$C$17-Einstellungen!$B$17),IF($N122&lt;=Einstellungen!$D$17,80*(Einstellungen!$D$17-$N122)/(Einstellungen!$D$17-Einstellungen!$C$17),0))))*Einstellungen!$E$17+IF($P122="",0,IF($P122&lt;=Einstellungen!$B$18,100,IF($P122&lt;=Einstellungen!$C$18,80+(100-80)*(Einstellungen!$C$18-$P122)/(Einstellungen!$C$18-Einstellungen!$B$18),IF($P122&lt;=Einstellungen!$D$18,80*(Einstellungen!$D$18-$P122)/(Einstellungen!$D$18-Einstellungen!$C$18),0))))*Einstellungen!$E$18)/(Einstellungen!$E$16+Einstellungen!$E$17+Einstellungen!$E$18),0))</f>
        <v/>
      </c>
      <c r="Z122">
        <f>IF(AND($E122="",$D122="",$G122="",$V122="",$Q122="",$T122="",$W122="",$U122=""),"",ROUND(IF($E122="",0,IF($E122&lt;Einstellungen!$B$21,0,IF($E122&gt;=Einstellungen!$B$22,100,($E122-Einstellungen!$B$21)/(Einstellungen!$B$22-Einstellungen!$B$21)*100)))/100*Einstellungen!$B$5+IF($W122="",0,$W122/100)*Einstellungen!$B$6+(IF($G122="",0,MAX(0,MIN(100,($G122-Einstellungen!$B$25)/(Einstellungen!$B$26-Einstellungen!$B$25)*100)))+IF($I122="",0,MAX(0,MIN(100,($I122-Einstellungen!$B$27)/(Einstellungen!$B$28-Einstellungen!$B$27)*100))))/2/100*Einstellungen!$B$7+IF($V122="",0,$V122/100)*Einstellungen!$B$8+IF($R122="",0,MAX(0,MIN(100,(Einstellungen!$B$32-$R122)/(Einstellungen!$B$32-Einstellungen!$B$31)*100)))/100*Einstellungen!$B$9+IF($D122="",0,$D122/5*100)/100*Einstellungen!$B$10+IF($AD122="",0,$AD122)/100*Einstellungen!$B$11+IF($U122="",0,$U122/5*100)/100*Einstellungen!$B$12,0))</f>
        <v/>
      </c>
      <c r="AA122">
        <f>IF($X122="","",$X122*1000000000000+IF($G122="",0,$G122)*1000000+IF($H122="",0,$H122)*1000+IF($I122="",0,$I122)+IF($N122="",0,MAX(0,1000-$N122))/1000+IF($A122="",0,$A122)/1000000)</f>
        <v/>
      </c>
      <c r="AB122">
        <f>IF($Y122="","",_xludf.RANK.EQ($Y122,$Y$2:$Y$201,0))</f>
        <v/>
      </c>
    </row>
    <row r="123">
      <c r="T123">
        <f>IFERROR(IF($Q123="","",$Q123/$H123),"")</f>
        <v/>
      </c>
      <c r="U123">
        <f>IFERROR(IF($Q123="","",$Q123/$G123),"")</f>
        <v/>
      </c>
      <c r="Y123">
        <f>IF(AND($L123="",$N123="",$P123=""),"",ROUND((IF($L123="",0,IF($L123&lt;=Einstellungen!$B$16,100,IF($L123&lt;=Einstellungen!$C$16,80+(100-80)*(Einstellungen!$C$16-$L123)/(Einstellungen!$C$16-Einstellungen!$B$16),IF($L123&lt;=Einstellungen!$D$16,80*(Einstellungen!$D$16-$L123)/(Einstellungen!$D$16-Einstellungen!$C$16),0))))*Einstellungen!$E$16+IF($N123="",0,IF($N123&lt;=Einstellungen!$B$17,100,IF($N123&lt;=Einstellungen!$C$17,80+(100-80)*(Einstellungen!$C$17-$N123)/(Einstellungen!$C$17-Einstellungen!$B$17),IF($N123&lt;=Einstellungen!$D$17,80*(Einstellungen!$D$17-$N123)/(Einstellungen!$D$17-Einstellungen!$C$17),0))))*Einstellungen!$E$17+IF($P123="",0,IF($P123&lt;=Einstellungen!$B$18,100,IF($P123&lt;=Einstellungen!$C$18,80+(100-80)*(Einstellungen!$C$18-$P123)/(Einstellungen!$C$18-Einstellungen!$B$18),IF($P123&lt;=Einstellungen!$D$18,80*(Einstellungen!$D$18-$P123)/(Einstellungen!$D$18-Einstellungen!$C$18),0))))*Einstellungen!$E$18)/(Einstellungen!$E$16+Einstellungen!$E$17+Einstellungen!$E$18),0))</f>
        <v/>
      </c>
      <c r="Z123">
        <f>IF(AND($E123="",$D123="",$G123="",$V123="",$Q123="",$T123="",$W123="",$U123=""),"",ROUND(IF($E123="",0,IF($E123&lt;Einstellungen!$B$21,0,IF($E123&gt;=Einstellungen!$B$22,100,($E123-Einstellungen!$B$21)/(Einstellungen!$B$22-Einstellungen!$B$21)*100)))/100*Einstellungen!$B$5+IF($W123="",0,$W123/100)*Einstellungen!$B$6+(IF($G123="",0,MAX(0,MIN(100,($G123-Einstellungen!$B$25)/(Einstellungen!$B$26-Einstellungen!$B$25)*100)))+IF($I123="",0,MAX(0,MIN(100,($I123-Einstellungen!$B$27)/(Einstellungen!$B$28-Einstellungen!$B$27)*100))))/2/100*Einstellungen!$B$7+IF($V123="",0,$V123/100)*Einstellungen!$B$8+IF($R123="",0,MAX(0,MIN(100,(Einstellungen!$B$32-$R123)/(Einstellungen!$B$32-Einstellungen!$B$31)*100)))/100*Einstellungen!$B$9+IF($D123="",0,$D123/5*100)/100*Einstellungen!$B$10+IF($AD123="",0,$AD123)/100*Einstellungen!$B$11+IF($U123="",0,$U123/5*100)/100*Einstellungen!$B$12,0))</f>
        <v/>
      </c>
      <c r="AA123">
        <f>IF($X123="","",$X123*1000000000000+IF($G123="",0,$G123)*1000000+IF($H123="",0,$H123)*1000+IF($I123="",0,$I123)+IF($N123="",0,MAX(0,1000-$N123))/1000+IF($A123="",0,$A123)/1000000)</f>
        <v/>
      </c>
      <c r="AB123">
        <f>IF($Y123="","",_xludf.RANK.EQ($Y123,$Y$2:$Y$201,0))</f>
        <v/>
      </c>
    </row>
    <row r="124">
      <c r="T124">
        <f>IFERROR(IF($Q124="","",$Q124/$H124),"")</f>
        <v/>
      </c>
      <c r="U124">
        <f>IFERROR(IF($Q124="","",$Q124/$G124),"")</f>
        <v/>
      </c>
      <c r="Y124">
        <f>IF(AND($L124="",$N124="",$P124=""),"",ROUND((IF($L124="",0,IF($L124&lt;=Einstellungen!$B$16,100,IF($L124&lt;=Einstellungen!$C$16,80+(100-80)*(Einstellungen!$C$16-$L124)/(Einstellungen!$C$16-Einstellungen!$B$16),IF($L124&lt;=Einstellungen!$D$16,80*(Einstellungen!$D$16-$L124)/(Einstellungen!$D$16-Einstellungen!$C$16),0))))*Einstellungen!$E$16+IF($N124="",0,IF($N124&lt;=Einstellungen!$B$17,100,IF($N124&lt;=Einstellungen!$C$17,80+(100-80)*(Einstellungen!$C$17-$N124)/(Einstellungen!$C$17-Einstellungen!$B$17),IF($N124&lt;=Einstellungen!$D$17,80*(Einstellungen!$D$17-$N124)/(Einstellungen!$D$17-Einstellungen!$C$17),0))))*Einstellungen!$E$17+IF($P124="",0,IF($P124&lt;=Einstellungen!$B$18,100,IF($P124&lt;=Einstellungen!$C$18,80+(100-80)*(Einstellungen!$C$18-$P124)/(Einstellungen!$C$18-Einstellungen!$B$18),IF($P124&lt;=Einstellungen!$D$18,80*(Einstellungen!$D$18-$P124)/(Einstellungen!$D$18-Einstellungen!$C$18),0))))*Einstellungen!$E$18)/(Einstellungen!$E$16+Einstellungen!$E$17+Einstellungen!$E$18),0))</f>
        <v/>
      </c>
      <c r="Z124">
        <f>IF(AND($E124="",$D124="",$G124="",$V124="",$Q124="",$T124="",$W124="",$U124=""),"",ROUND(IF($E124="",0,IF($E124&lt;Einstellungen!$B$21,0,IF($E124&gt;=Einstellungen!$B$22,100,($E124-Einstellungen!$B$21)/(Einstellungen!$B$22-Einstellungen!$B$21)*100)))/100*Einstellungen!$B$5+IF($W124="",0,$W124/100)*Einstellungen!$B$6+(IF($G124="",0,MAX(0,MIN(100,($G124-Einstellungen!$B$25)/(Einstellungen!$B$26-Einstellungen!$B$25)*100)))+IF($I124="",0,MAX(0,MIN(100,($I124-Einstellungen!$B$27)/(Einstellungen!$B$28-Einstellungen!$B$27)*100))))/2/100*Einstellungen!$B$7+IF($V124="",0,$V124/100)*Einstellungen!$B$8+IF($R124="",0,MAX(0,MIN(100,(Einstellungen!$B$32-$R124)/(Einstellungen!$B$32-Einstellungen!$B$31)*100)))/100*Einstellungen!$B$9+IF($D124="",0,$D124/5*100)/100*Einstellungen!$B$10+IF($AD124="",0,$AD124)/100*Einstellungen!$B$11+IF($U124="",0,$U124/5*100)/100*Einstellungen!$B$12,0))</f>
        <v/>
      </c>
      <c r="AA124">
        <f>IF($X124="","",$X124*1000000000000+IF($G124="",0,$G124)*1000000+IF($H124="",0,$H124)*1000+IF($I124="",0,$I124)+IF($N124="",0,MAX(0,1000-$N124))/1000+IF($A124="",0,$A124)/1000000)</f>
        <v/>
      </c>
      <c r="AB124">
        <f>IF($Y124="","",_xludf.RANK.EQ($Y124,$Y$2:$Y$201,0))</f>
        <v/>
      </c>
    </row>
    <row r="125">
      <c r="T125">
        <f>IFERROR(IF($Q125="","",$Q125/$H125),"")</f>
        <v/>
      </c>
      <c r="U125">
        <f>IFERROR(IF($Q125="","",$Q125/$G125),"")</f>
        <v/>
      </c>
      <c r="Y125">
        <f>IF(AND($L125="",$N125="",$P125=""),"",ROUND((IF($L125="",0,IF($L125&lt;=Einstellungen!$B$16,100,IF($L125&lt;=Einstellungen!$C$16,80+(100-80)*(Einstellungen!$C$16-$L125)/(Einstellungen!$C$16-Einstellungen!$B$16),IF($L125&lt;=Einstellungen!$D$16,80*(Einstellungen!$D$16-$L125)/(Einstellungen!$D$16-Einstellungen!$C$16),0))))*Einstellungen!$E$16+IF($N125="",0,IF($N125&lt;=Einstellungen!$B$17,100,IF($N125&lt;=Einstellungen!$C$17,80+(100-80)*(Einstellungen!$C$17-$N125)/(Einstellungen!$C$17-Einstellungen!$B$17),IF($N125&lt;=Einstellungen!$D$17,80*(Einstellungen!$D$17-$N125)/(Einstellungen!$D$17-Einstellungen!$C$17),0))))*Einstellungen!$E$17+IF($P125="",0,IF($P125&lt;=Einstellungen!$B$18,100,IF($P125&lt;=Einstellungen!$C$18,80+(100-80)*(Einstellungen!$C$18-$P125)/(Einstellungen!$C$18-Einstellungen!$B$18),IF($P125&lt;=Einstellungen!$D$18,80*(Einstellungen!$D$18-$P125)/(Einstellungen!$D$18-Einstellungen!$C$18),0))))*Einstellungen!$E$18)/(Einstellungen!$E$16+Einstellungen!$E$17+Einstellungen!$E$18),0))</f>
        <v/>
      </c>
      <c r="Z125">
        <f>IF(AND($E125="",$D125="",$G125="",$V125="",$Q125="",$T125="",$W125="",$U125=""),"",ROUND(IF($E125="",0,IF($E125&lt;Einstellungen!$B$21,0,IF($E125&gt;=Einstellungen!$B$22,100,($E125-Einstellungen!$B$21)/(Einstellungen!$B$22-Einstellungen!$B$21)*100)))/100*Einstellungen!$B$5+IF($W125="",0,$W125/100)*Einstellungen!$B$6+(IF($G125="",0,MAX(0,MIN(100,($G125-Einstellungen!$B$25)/(Einstellungen!$B$26-Einstellungen!$B$25)*100)))+IF($I125="",0,MAX(0,MIN(100,($I125-Einstellungen!$B$27)/(Einstellungen!$B$28-Einstellungen!$B$27)*100))))/2/100*Einstellungen!$B$7+IF($V125="",0,$V125/100)*Einstellungen!$B$8+IF($R125="",0,MAX(0,MIN(100,(Einstellungen!$B$32-$R125)/(Einstellungen!$B$32-Einstellungen!$B$31)*100)))/100*Einstellungen!$B$9+IF($D125="",0,$D125/5*100)/100*Einstellungen!$B$10+IF($AD125="",0,$AD125)/100*Einstellungen!$B$11+IF($U125="",0,$U125/5*100)/100*Einstellungen!$B$12,0))</f>
        <v/>
      </c>
      <c r="AA125">
        <f>IF($X125="","",$X125*1000000000000+IF($G125="",0,$G125)*1000000+IF($H125="",0,$H125)*1000+IF($I125="",0,$I125)+IF($N125="",0,MAX(0,1000-$N125))/1000+IF($A125="",0,$A125)/1000000)</f>
        <v/>
      </c>
      <c r="AB125">
        <f>IF($Y125="","",_xludf.RANK.EQ($Y125,$Y$2:$Y$201,0))</f>
        <v/>
      </c>
    </row>
    <row r="126">
      <c r="T126">
        <f>IFERROR(IF($Q126="","",$Q126/$H126),"")</f>
        <v/>
      </c>
      <c r="U126">
        <f>IFERROR(IF($Q126="","",$Q126/$G126),"")</f>
        <v/>
      </c>
      <c r="Y126">
        <f>IF(AND($L126="",$N126="",$P126=""),"",ROUND((IF($L126="",0,IF($L126&lt;=Einstellungen!$B$16,100,IF($L126&lt;=Einstellungen!$C$16,80+(100-80)*(Einstellungen!$C$16-$L126)/(Einstellungen!$C$16-Einstellungen!$B$16),IF($L126&lt;=Einstellungen!$D$16,80*(Einstellungen!$D$16-$L126)/(Einstellungen!$D$16-Einstellungen!$C$16),0))))*Einstellungen!$E$16+IF($N126="",0,IF($N126&lt;=Einstellungen!$B$17,100,IF($N126&lt;=Einstellungen!$C$17,80+(100-80)*(Einstellungen!$C$17-$N126)/(Einstellungen!$C$17-Einstellungen!$B$17),IF($N126&lt;=Einstellungen!$D$17,80*(Einstellungen!$D$17-$N126)/(Einstellungen!$D$17-Einstellungen!$C$17),0))))*Einstellungen!$E$17+IF($P126="",0,IF($P126&lt;=Einstellungen!$B$18,100,IF($P126&lt;=Einstellungen!$C$18,80+(100-80)*(Einstellungen!$C$18-$P126)/(Einstellungen!$C$18-Einstellungen!$B$18),IF($P126&lt;=Einstellungen!$D$18,80*(Einstellungen!$D$18-$P126)/(Einstellungen!$D$18-Einstellungen!$C$18),0))))*Einstellungen!$E$18)/(Einstellungen!$E$16+Einstellungen!$E$17+Einstellungen!$E$18),0))</f>
        <v/>
      </c>
      <c r="Z126">
        <f>IF(AND($E126="",$D126="",$G126="",$V126="",$Q126="",$T126="",$W126="",$U126=""),"",ROUND(IF($E126="",0,IF($E126&lt;Einstellungen!$B$21,0,IF($E126&gt;=Einstellungen!$B$22,100,($E126-Einstellungen!$B$21)/(Einstellungen!$B$22-Einstellungen!$B$21)*100)))/100*Einstellungen!$B$5+IF($W126="",0,$W126/100)*Einstellungen!$B$6+(IF($G126="",0,MAX(0,MIN(100,($G126-Einstellungen!$B$25)/(Einstellungen!$B$26-Einstellungen!$B$25)*100)))+IF($I126="",0,MAX(0,MIN(100,($I126-Einstellungen!$B$27)/(Einstellungen!$B$28-Einstellungen!$B$27)*100))))/2/100*Einstellungen!$B$7+IF($V126="",0,$V126/100)*Einstellungen!$B$8+IF($R126="",0,MAX(0,MIN(100,(Einstellungen!$B$32-$R126)/(Einstellungen!$B$32-Einstellungen!$B$31)*100)))/100*Einstellungen!$B$9+IF($D126="",0,$D126/5*100)/100*Einstellungen!$B$10+IF($AD126="",0,$AD126)/100*Einstellungen!$B$11+IF($U126="",0,$U126/5*100)/100*Einstellungen!$B$12,0))</f>
        <v/>
      </c>
      <c r="AA126">
        <f>IF($X126="","",$X126*1000000000000+IF($G126="",0,$G126)*1000000+IF($H126="",0,$H126)*1000+IF($I126="",0,$I126)+IF($N126="",0,MAX(0,1000-$N126))/1000+IF($A126="",0,$A126)/1000000)</f>
        <v/>
      </c>
      <c r="AB126">
        <f>IF($Y126="","",_xludf.RANK.EQ($Y126,$Y$2:$Y$201,0))</f>
        <v/>
      </c>
    </row>
    <row r="127">
      <c r="T127">
        <f>IFERROR(IF($Q127="","",$Q127/$H127),"")</f>
        <v/>
      </c>
      <c r="U127">
        <f>IFERROR(IF($Q127="","",$Q127/$G127),"")</f>
        <v/>
      </c>
      <c r="Y127">
        <f>IF(AND($L127="",$N127="",$P127=""),"",ROUND((IF($L127="",0,IF($L127&lt;=Einstellungen!$B$16,100,IF($L127&lt;=Einstellungen!$C$16,80+(100-80)*(Einstellungen!$C$16-$L127)/(Einstellungen!$C$16-Einstellungen!$B$16),IF($L127&lt;=Einstellungen!$D$16,80*(Einstellungen!$D$16-$L127)/(Einstellungen!$D$16-Einstellungen!$C$16),0))))*Einstellungen!$E$16+IF($N127="",0,IF($N127&lt;=Einstellungen!$B$17,100,IF($N127&lt;=Einstellungen!$C$17,80+(100-80)*(Einstellungen!$C$17-$N127)/(Einstellungen!$C$17-Einstellungen!$B$17),IF($N127&lt;=Einstellungen!$D$17,80*(Einstellungen!$D$17-$N127)/(Einstellungen!$D$17-Einstellungen!$C$17),0))))*Einstellungen!$E$17+IF($P127="",0,IF($P127&lt;=Einstellungen!$B$18,100,IF($P127&lt;=Einstellungen!$C$18,80+(100-80)*(Einstellungen!$C$18-$P127)/(Einstellungen!$C$18-Einstellungen!$B$18),IF($P127&lt;=Einstellungen!$D$18,80*(Einstellungen!$D$18-$P127)/(Einstellungen!$D$18-Einstellungen!$C$18),0))))*Einstellungen!$E$18)/(Einstellungen!$E$16+Einstellungen!$E$17+Einstellungen!$E$18),0))</f>
        <v/>
      </c>
      <c r="Z127">
        <f>IF(AND($E127="",$D127="",$G127="",$V127="",$Q127="",$T127="",$W127="",$U127=""),"",ROUND(IF($E127="",0,IF($E127&lt;Einstellungen!$B$21,0,IF($E127&gt;=Einstellungen!$B$22,100,($E127-Einstellungen!$B$21)/(Einstellungen!$B$22-Einstellungen!$B$21)*100)))/100*Einstellungen!$B$5+IF($W127="",0,$W127/100)*Einstellungen!$B$6+(IF($G127="",0,MAX(0,MIN(100,($G127-Einstellungen!$B$25)/(Einstellungen!$B$26-Einstellungen!$B$25)*100)))+IF($I127="",0,MAX(0,MIN(100,($I127-Einstellungen!$B$27)/(Einstellungen!$B$28-Einstellungen!$B$27)*100))))/2/100*Einstellungen!$B$7+IF($V127="",0,$V127/100)*Einstellungen!$B$8+IF($R127="",0,MAX(0,MIN(100,(Einstellungen!$B$32-$R127)/(Einstellungen!$B$32-Einstellungen!$B$31)*100)))/100*Einstellungen!$B$9+IF($D127="",0,$D127/5*100)/100*Einstellungen!$B$10+IF($AD127="",0,$AD127)/100*Einstellungen!$B$11+IF($U127="",0,$U127/5*100)/100*Einstellungen!$B$12,0))</f>
        <v/>
      </c>
      <c r="AA127">
        <f>IF($X127="","",$X127*1000000000000+IF($G127="",0,$G127)*1000000+IF($H127="",0,$H127)*1000+IF($I127="",0,$I127)+IF($N127="",0,MAX(0,1000-$N127))/1000+IF($A127="",0,$A127)/1000000)</f>
        <v/>
      </c>
      <c r="AB127">
        <f>IF($Y127="","",_xludf.RANK.EQ($Y127,$Y$2:$Y$201,0))</f>
        <v/>
      </c>
    </row>
    <row r="128">
      <c r="T128">
        <f>IFERROR(IF($Q128="","",$Q128/$H128),"")</f>
        <v/>
      </c>
      <c r="U128">
        <f>IFERROR(IF($Q128="","",$Q128/$G128),"")</f>
        <v/>
      </c>
      <c r="Y128">
        <f>IF(AND($L128="",$N128="",$P128=""),"",ROUND((IF($L128="",0,IF($L128&lt;=Einstellungen!$B$16,100,IF($L128&lt;=Einstellungen!$C$16,80+(100-80)*(Einstellungen!$C$16-$L128)/(Einstellungen!$C$16-Einstellungen!$B$16),IF($L128&lt;=Einstellungen!$D$16,80*(Einstellungen!$D$16-$L128)/(Einstellungen!$D$16-Einstellungen!$C$16),0))))*Einstellungen!$E$16+IF($N128="",0,IF($N128&lt;=Einstellungen!$B$17,100,IF($N128&lt;=Einstellungen!$C$17,80+(100-80)*(Einstellungen!$C$17-$N128)/(Einstellungen!$C$17-Einstellungen!$B$17),IF($N128&lt;=Einstellungen!$D$17,80*(Einstellungen!$D$17-$N128)/(Einstellungen!$D$17-Einstellungen!$C$17),0))))*Einstellungen!$E$17+IF($P128="",0,IF($P128&lt;=Einstellungen!$B$18,100,IF($P128&lt;=Einstellungen!$C$18,80+(100-80)*(Einstellungen!$C$18-$P128)/(Einstellungen!$C$18-Einstellungen!$B$18),IF($P128&lt;=Einstellungen!$D$18,80*(Einstellungen!$D$18-$P128)/(Einstellungen!$D$18-Einstellungen!$C$18),0))))*Einstellungen!$E$18)/(Einstellungen!$E$16+Einstellungen!$E$17+Einstellungen!$E$18),0))</f>
        <v/>
      </c>
      <c r="Z128">
        <f>IF(AND($E128="",$D128="",$G128="",$V128="",$Q128="",$T128="",$W128="",$U128=""),"",ROUND(IF($E128="",0,IF($E128&lt;Einstellungen!$B$21,0,IF($E128&gt;=Einstellungen!$B$22,100,($E128-Einstellungen!$B$21)/(Einstellungen!$B$22-Einstellungen!$B$21)*100)))/100*Einstellungen!$B$5+IF($W128="",0,$W128/100)*Einstellungen!$B$6+(IF($G128="",0,MAX(0,MIN(100,($G128-Einstellungen!$B$25)/(Einstellungen!$B$26-Einstellungen!$B$25)*100)))+IF($I128="",0,MAX(0,MIN(100,($I128-Einstellungen!$B$27)/(Einstellungen!$B$28-Einstellungen!$B$27)*100))))/2/100*Einstellungen!$B$7+IF($V128="",0,$V128/100)*Einstellungen!$B$8+IF($R128="",0,MAX(0,MIN(100,(Einstellungen!$B$32-$R128)/(Einstellungen!$B$32-Einstellungen!$B$31)*100)))/100*Einstellungen!$B$9+IF($D128="",0,$D128/5*100)/100*Einstellungen!$B$10+IF($AD128="",0,$AD128)/100*Einstellungen!$B$11+IF($U128="",0,$U128/5*100)/100*Einstellungen!$B$12,0))</f>
        <v/>
      </c>
      <c r="AA128">
        <f>IF($X128="","",$X128*1000000000000+IF($G128="",0,$G128)*1000000+IF($H128="",0,$H128)*1000+IF($I128="",0,$I128)+IF($N128="",0,MAX(0,1000-$N128))/1000+IF($A128="",0,$A128)/1000000)</f>
        <v/>
      </c>
      <c r="AB128">
        <f>IF($Y128="","",_xludf.RANK.EQ($Y128,$Y$2:$Y$201,0))</f>
        <v/>
      </c>
    </row>
    <row r="129">
      <c r="T129">
        <f>IFERROR(IF($Q129="","",$Q129/$H129),"")</f>
        <v/>
      </c>
      <c r="U129">
        <f>IFERROR(IF($Q129="","",$Q129/$G129),"")</f>
        <v/>
      </c>
      <c r="Y129">
        <f>IF(AND($L129="",$N129="",$P129=""),"",ROUND((IF($L129="",0,IF($L129&lt;=Einstellungen!$B$16,100,IF($L129&lt;=Einstellungen!$C$16,80+(100-80)*(Einstellungen!$C$16-$L129)/(Einstellungen!$C$16-Einstellungen!$B$16),IF($L129&lt;=Einstellungen!$D$16,80*(Einstellungen!$D$16-$L129)/(Einstellungen!$D$16-Einstellungen!$C$16),0))))*Einstellungen!$E$16+IF($N129="",0,IF($N129&lt;=Einstellungen!$B$17,100,IF($N129&lt;=Einstellungen!$C$17,80+(100-80)*(Einstellungen!$C$17-$N129)/(Einstellungen!$C$17-Einstellungen!$B$17),IF($N129&lt;=Einstellungen!$D$17,80*(Einstellungen!$D$17-$N129)/(Einstellungen!$D$17-Einstellungen!$C$17),0))))*Einstellungen!$E$17+IF($P129="",0,IF($P129&lt;=Einstellungen!$B$18,100,IF($P129&lt;=Einstellungen!$C$18,80+(100-80)*(Einstellungen!$C$18-$P129)/(Einstellungen!$C$18-Einstellungen!$B$18),IF($P129&lt;=Einstellungen!$D$18,80*(Einstellungen!$D$18-$P129)/(Einstellungen!$D$18-Einstellungen!$C$18),0))))*Einstellungen!$E$18)/(Einstellungen!$E$16+Einstellungen!$E$17+Einstellungen!$E$18),0))</f>
        <v/>
      </c>
      <c r="Z129">
        <f>IF(AND($E129="",$D129="",$G129="",$V129="",$Q129="",$T129="",$W129="",$U129=""),"",ROUND(IF($E129="",0,IF($E129&lt;Einstellungen!$B$21,0,IF($E129&gt;=Einstellungen!$B$22,100,($E129-Einstellungen!$B$21)/(Einstellungen!$B$22-Einstellungen!$B$21)*100)))/100*Einstellungen!$B$5+IF($W129="",0,$W129/100)*Einstellungen!$B$6+(IF($G129="",0,MAX(0,MIN(100,($G129-Einstellungen!$B$25)/(Einstellungen!$B$26-Einstellungen!$B$25)*100)))+IF($I129="",0,MAX(0,MIN(100,($I129-Einstellungen!$B$27)/(Einstellungen!$B$28-Einstellungen!$B$27)*100))))/2/100*Einstellungen!$B$7+IF($V129="",0,$V129/100)*Einstellungen!$B$8+IF($R129="",0,MAX(0,MIN(100,(Einstellungen!$B$32-$R129)/(Einstellungen!$B$32-Einstellungen!$B$31)*100)))/100*Einstellungen!$B$9+IF($D129="",0,$D129/5*100)/100*Einstellungen!$B$10+IF($AD129="",0,$AD129)/100*Einstellungen!$B$11+IF($U129="",0,$U129/5*100)/100*Einstellungen!$B$12,0))</f>
        <v/>
      </c>
      <c r="AA129">
        <f>IF($X129="","",$X129*1000000000000+IF($G129="",0,$G129)*1000000+IF($H129="",0,$H129)*1000+IF($I129="",0,$I129)+IF($N129="",0,MAX(0,1000-$N129))/1000+IF($A129="",0,$A129)/1000000)</f>
        <v/>
      </c>
      <c r="AB129">
        <f>IF($Y129="","",_xludf.RANK.EQ($Y129,$Y$2:$Y$201,0))</f>
        <v/>
      </c>
    </row>
    <row r="130">
      <c r="T130">
        <f>IFERROR(IF($Q130="","",$Q130/$H130),"")</f>
        <v/>
      </c>
      <c r="U130">
        <f>IFERROR(IF($Q130="","",$Q130/$G130),"")</f>
        <v/>
      </c>
      <c r="Y130">
        <f>IF(AND($L130="",$N130="",$P130=""),"",ROUND((IF($L130="",0,IF($L130&lt;=Einstellungen!$B$16,100,IF($L130&lt;=Einstellungen!$C$16,80+(100-80)*(Einstellungen!$C$16-$L130)/(Einstellungen!$C$16-Einstellungen!$B$16),IF($L130&lt;=Einstellungen!$D$16,80*(Einstellungen!$D$16-$L130)/(Einstellungen!$D$16-Einstellungen!$C$16),0))))*Einstellungen!$E$16+IF($N130="",0,IF($N130&lt;=Einstellungen!$B$17,100,IF($N130&lt;=Einstellungen!$C$17,80+(100-80)*(Einstellungen!$C$17-$N130)/(Einstellungen!$C$17-Einstellungen!$B$17),IF($N130&lt;=Einstellungen!$D$17,80*(Einstellungen!$D$17-$N130)/(Einstellungen!$D$17-Einstellungen!$C$17),0))))*Einstellungen!$E$17+IF($P130="",0,IF($P130&lt;=Einstellungen!$B$18,100,IF($P130&lt;=Einstellungen!$C$18,80+(100-80)*(Einstellungen!$C$18-$P130)/(Einstellungen!$C$18-Einstellungen!$B$18),IF($P130&lt;=Einstellungen!$D$18,80*(Einstellungen!$D$18-$P130)/(Einstellungen!$D$18-Einstellungen!$C$18),0))))*Einstellungen!$E$18)/(Einstellungen!$E$16+Einstellungen!$E$17+Einstellungen!$E$18),0))</f>
        <v/>
      </c>
      <c r="Z130">
        <f>IF(AND($E130="",$D130="",$G130="",$V130="",$Q130="",$T130="",$W130="",$U130=""),"",ROUND(IF($E130="",0,IF($E130&lt;Einstellungen!$B$21,0,IF($E130&gt;=Einstellungen!$B$22,100,($E130-Einstellungen!$B$21)/(Einstellungen!$B$22-Einstellungen!$B$21)*100)))/100*Einstellungen!$B$5+IF($W130="",0,$W130/100)*Einstellungen!$B$6+(IF($G130="",0,MAX(0,MIN(100,($G130-Einstellungen!$B$25)/(Einstellungen!$B$26-Einstellungen!$B$25)*100)))+IF($I130="",0,MAX(0,MIN(100,($I130-Einstellungen!$B$27)/(Einstellungen!$B$28-Einstellungen!$B$27)*100))))/2/100*Einstellungen!$B$7+IF($V130="",0,$V130/100)*Einstellungen!$B$8+IF($R130="",0,MAX(0,MIN(100,(Einstellungen!$B$32-$R130)/(Einstellungen!$B$32-Einstellungen!$B$31)*100)))/100*Einstellungen!$B$9+IF($D130="",0,$D130/5*100)/100*Einstellungen!$B$10+IF($AD130="",0,$AD130)/100*Einstellungen!$B$11+IF($U130="",0,$U130/5*100)/100*Einstellungen!$B$12,0))</f>
        <v/>
      </c>
      <c r="AA130">
        <f>IF($X130="","",$X130*1000000000000+IF($G130="",0,$G130)*1000000+IF($H130="",0,$H130)*1000+IF($I130="",0,$I130)+IF($N130="",0,MAX(0,1000-$N130))/1000+IF($A130="",0,$A130)/1000000)</f>
        <v/>
      </c>
      <c r="AB130">
        <f>IF($Y130="","",_xludf.RANK.EQ($Y130,$Y$2:$Y$201,0))</f>
        <v/>
      </c>
    </row>
    <row r="131">
      <c r="T131">
        <f>IFERROR(IF($Q131="","",$Q131/$H131),"")</f>
        <v/>
      </c>
      <c r="U131">
        <f>IFERROR(IF($Q131="","",$Q131/$G131),"")</f>
        <v/>
      </c>
      <c r="Y131">
        <f>IF(AND($L131="",$N131="",$P131=""),"",ROUND((IF($L131="",0,IF($L131&lt;=Einstellungen!$B$16,100,IF($L131&lt;=Einstellungen!$C$16,80+(100-80)*(Einstellungen!$C$16-$L131)/(Einstellungen!$C$16-Einstellungen!$B$16),IF($L131&lt;=Einstellungen!$D$16,80*(Einstellungen!$D$16-$L131)/(Einstellungen!$D$16-Einstellungen!$C$16),0))))*Einstellungen!$E$16+IF($N131="",0,IF($N131&lt;=Einstellungen!$B$17,100,IF($N131&lt;=Einstellungen!$C$17,80+(100-80)*(Einstellungen!$C$17-$N131)/(Einstellungen!$C$17-Einstellungen!$B$17),IF($N131&lt;=Einstellungen!$D$17,80*(Einstellungen!$D$17-$N131)/(Einstellungen!$D$17-Einstellungen!$C$17),0))))*Einstellungen!$E$17+IF($P131="",0,IF($P131&lt;=Einstellungen!$B$18,100,IF($P131&lt;=Einstellungen!$C$18,80+(100-80)*(Einstellungen!$C$18-$P131)/(Einstellungen!$C$18-Einstellungen!$B$18),IF($P131&lt;=Einstellungen!$D$18,80*(Einstellungen!$D$18-$P131)/(Einstellungen!$D$18-Einstellungen!$C$18),0))))*Einstellungen!$E$18)/(Einstellungen!$E$16+Einstellungen!$E$17+Einstellungen!$E$18),0))</f>
        <v/>
      </c>
      <c r="Z131">
        <f>IF(AND($E131="",$D131="",$G131="",$V131="",$Q131="",$T131="",$W131="",$U131=""),"",ROUND(IF($E131="",0,IF($E131&lt;Einstellungen!$B$21,0,IF($E131&gt;=Einstellungen!$B$22,100,($E131-Einstellungen!$B$21)/(Einstellungen!$B$22-Einstellungen!$B$21)*100)))/100*Einstellungen!$B$5+IF($W131="",0,$W131/100)*Einstellungen!$B$6+(IF($G131="",0,MAX(0,MIN(100,($G131-Einstellungen!$B$25)/(Einstellungen!$B$26-Einstellungen!$B$25)*100)))+IF($I131="",0,MAX(0,MIN(100,($I131-Einstellungen!$B$27)/(Einstellungen!$B$28-Einstellungen!$B$27)*100))))/2/100*Einstellungen!$B$7+IF($V131="",0,$V131/100)*Einstellungen!$B$8+IF($R131="",0,MAX(0,MIN(100,(Einstellungen!$B$32-$R131)/(Einstellungen!$B$32-Einstellungen!$B$31)*100)))/100*Einstellungen!$B$9+IF($D131="",0,$D131/5*100)/100*Einstellungen!$B$10+IF($AD131="",0,$AD131)/100*Einstellungen!$B$11+IF($U131="",0,$U131/5*100)/100*Einstellungen!$B$12,0))</f>
        <v/>
      </c>
      <c r="AA131">
        <f>IF($X131="","",$X131*1000000000000+IF($G131="",0,$G131)*1000000+IF($H131="",0,$H131)*1000+IF($I131="",0,$I131)+IF($N131="",0,MAX(0,1000-$N131))/1000+IF($A131="",0,$A131)/1000000)</f>
        <v/>
      </c>
      <c r="AB131">
        <f>IF($Y131="","",_xludf.RANK.EQ($Y131,$Y$2:$Y$201,0))</f>
        <v/>
      </c>
    </row>
    <row r="132">
      <c r="T132">
        <f>IFERROR(IF($Q132="","",$Q132/$H132),"")</f>
        <v/>
      </c>
      <c r="U132">
        <f>IFERROR(IF($Q132="","",$Q132/$G132),"")</f>
        <v/>
      </c>
      <c r="Y132">
        <f>IF(AND($L132="",$N132="",$P132=""),"",ROUND((IF($L132="",0,IF($L132&lt;=Einstellungen!$B$16,100,IF($L132&lt;=Einstellungen!$C$16,80+(100-80)*(Einstellungen!$C$16-$L132)/(Einstellungen!$C$16-Einstellungen!$B$16),IF($L132&lt;=Einstellungen!$D$16,80*(Einstellungen!$D$16-$L132)/(Einstellungen!$D$16-Einstellungen!$C$16),0))))*Einstellungen!$E$16+IF($N132="",0,IF($N132&lt;=Einstellungen!$B$17,100,IF($N132&lt;=Einstellungen!$C$17,80+(100-80)*(Einstellungen!$C$17-$N132)/(Einstellungen!$C$17-Einstellungen!$B$17),IF($N132&lt;=Einstellungen!$D$17,80*(Einstellungen!$D$17-$N132)/(Einstellungen!$D$17-Einstellungen!$C$17),0))))*Einstellungen!$E$17+IF($P132="",0,IF($P132&lt;=Einstellungen!$B$18,100,IF($P132&lt;=Einstellungen!$C$18,80+(100-80)*(Einstellungen!$C$18-$P132)/(Einstellungen!$C$18-Einstellungen!$B$18),IF($P132&lt;=Einstellungen!$D$18,80*(Einstellungen!$D$18-$P132)/(Einstellungen!$D$18-Einstellungen!$C$18),0))))*Einstellungen!$E$18)/(Einstellungen!$E$16+Einstellungen!$E$17+Einstellungen!$E$18),0))</f>
        <v/>
      </c>
      <c r="Z132">
        <f>IF(AND($E132="",$D132="",$G132="",$V132="",$Q132="",$T132="",$W132="",$U132=""),"",ROUND(IF($E132="",0,IF($E132&lt;Einstellungen!$B$21,0,IF($E132&gt;=Einstellungen!$B$22,100,($E132-Einstellungen!$B$21)/(Einstellungen!$B$22-Einstellungen!$B$21)*100)))/100*Einstellungen!$B$5+IF($W132="",0,$W132/100)*Einstellungen!$B$6+(IF($G132="",0,MAX(0,MIN(100,($G132-Einstellungen!$B$25)/(Einstellungen!$B$26-Einstellungen!$B$25)*100)))+IF($I132="",0,MAX(0,MIN(100,($I132-Einstellungen!$B$27)/(Einstellungen!$B$28-Einstellungen!$B$27)*100))))/2/100*Einstellungen!$B$7+IF($V132="",0,$V132/100)*Einstellungen!$B$8+IF($R132="",0,MAX(0,MIN(100,(Einstellungen!$B$32-$R132)/(Einstellungen!$B$32-Einstellungen!$B$31)*100)))/100*Einstellungen!$B$9+IF($D132="",0,$D132/5*100)/100*Einstellungen!$B$10+IF($AD132="",0,$AD132)/100*Einstellungen!$B$11+IF($U132="",0,$U132/5*100)/100*Einstellungen!$B$12,0))</f>
        <v/>
      </c>
      <c r="AA132">
        <f>IF($X132="","",$X132*1000000000000+IF($G132="",0,$G132)*1000000+IF($H132="",0,$H132)*1000+IF($I132="",0,$I132)+IF($N132="",0,MAX(0,1000-$N132))/1000+IF($A132="",0,$A132)/1000000)</f>
        <v/>
      </c>
      <c r="AB132">
        <f>IF($Y132="","",_xludf.RANK.EQ($Y132,$Y$2:$Y$201,0))</f>
        <v/>
      </c>
    </row>
    <row r="133">
      <c r="T133">
        <f>IFERROR(IF($Q133="","",$Q133/$H133),"")</f>
        <v/>
      </c>
      <c r="U133">
        <f>IFERROR(IF($Q133="","",$Q133/$G133),"")</f>
        <v/>
      </c>
      <c r="Y133">
        <f>IF(AND($L133="",$N133="",$P133=""),"",ROUND((IF($L133="",0,IF($L133&lt;=Einstellungen!$B$16,100,IF($L133&lt;=Einstellungen!$C$16,80+(100-80)*(Einstellungen!$C$16-$L133)/(Einstellungen!$C$16-Einstellungen!$B$16),IF($L133&lt;=Einstellungen!$D$16,80*(Einstellungen!$D$16-$L133)/(Einstellungen!$D$16-Einstellungen!$C$16),0))))*Einstellungen!$E$16+IF($N133="",0,IF($N133&lt;=Einstellungen!$B$17,100,IF($N133&lt;=Einstellungen!$C$17,80+(100-80)*(Einstellungen!$C$17-$N133)/(Einstellungen!$C$17-Einstellungen!$B$17),IF($N133&lt;=Einstellungen!$D$17,80*(Einstellungen!$D$17-$N133)/(Einstellungen!$D$17-Einstellungen!$C$17),0))))*Einstellungen!$E$17+IF($P133="",0,IF($P133&lt;=Einstellungen!$B$18,100,IF($P133&lt;=Einstellungen!$C$18,80+(100-80)*(Einstellungen!$C$18-$P133)/(Einstellungen!$C$18-Einstellungen!$B$18),IF($P133&lt;=Einstellungen!$D$18,80*(Einstellungen!$D$18-$P133)/(Einstellungen!$D$18-Einstellungen!$C$18),0))))*Einstellungen!$E$18)/(Einstellungen!$E$16+Einstellungen!$E$17+Einstellungen!$E$18),0))</f>
        <v/>
      </c>
      <c r="Z133">
        <f>IF(AND($E133="",$D133="",$G133="",$V133="",$Q133="",$T133="",$W133="",$U133=""),"",ROUND(IF($E133="",0,IF($E133&lt;Einstellungen!$B$21,0,IF($E133&gt;=Einstellungen!$B$22,100,($E133-Einstellungen!$B$21)/(Einstellungen!$B$22-Einstellungen!$B$21)*100)))/100*Einstellungen!$B$5+IF($W133="",0,$W133/100)*Einstellungen!$B$6+(IF($G133="",0,MAX(0,MIN(100,($G133-Einstellungen!$B$25)/(Einstellungen!$B$26-Einstellungen!$B$25)*100)))+IF($I133="",0,MAX(0,MIN(100,($I133-Einstellungen!$B$27)/(Einstellungen!$B$28-Einstellungen!$B$27)*100))))/2/100*Einstellungen!$B$7+IF($V133="",0,$V133/100)*Einstellungen!$B$8+IF($R133="",0,MAX(0,MIN(100,(Einstellungen!$B$32-$R133)/(Einstellungen!$B$32-Einstellungen!$B$31)*100)))/100*Einstellungen!$B$9+IF($D133="",0,$D133/5*100)/100*Einstellungen!$B$10+IF($AD133="",0,$AD133)/100*Einstellungen!$B$11+IF($U133="",0,$U133/5*100)/100*Einstellungen!$B$12,0))</f>
        <v/>
      </c>
      <c r="AA133">
        <f>IF($X133="","",$X133*1000000000000+IF($G133="",0,$G133)*1000000+IF($H133="",0,$H133)*1000+IF($I133="",0,$I133)+IF($N133="",0,MAX(0,1000-$N133))/1000+IF($A133="",0,$A133)/1000000)</f>
        <v/>
      </c>
      <c r="AB133">
        <f>IF($Y133="","",_xludf.RANK.EQ($Y133,$Y$2:$Y$201,0))</f>
        <v/>
      </c>
    </row>
    <row r="134">
      <c r="T134">
        <f>IFERROR(IF($Q134="","",$Q134/$H134),"")</f>
        <v/>
      </c>
      <c r="U134">
        <f>IFERROR(IF($Q134="","",$Q134/$G134),"")</f>
        <v/>
      </c>
      <c r="Y134">
        <f>IF(AND($L134="",$N134="",$P134=""),"",ROUND((IF($L134="",0,IF($L134&lt;=Einstellungen!$B$16,100,IF($L134&lt;=Einstellungen!$C$16,80+(100-80)*(Einstellungen!$C$16-$L134)/(Einstellungen!$C$16-Einstellungen!$B$16),IF($L134&lt;=Einstellungen!$D$16,80*(Einstellungen!$D$16-$L134)/(Einstellungen!$D$16-Einstellungen!$C$16),0))))*Einstellungen!$E$16+IF($N134="",0,IF($N134&lt;=Einstellungen!$B$17,100,IF($N134&lt;=Einstellungen!$C$17,80+(100-80)*(Einstellungen!$C$17-$N134)/(Einstellungen!$C$17-Einstellungen!$B$17),IF($N134&lt;=Einstellungen!$D$17,80*(Einstellungen!$D$17-$N134)/(Einstellungen!$D$17-Einstellungen!$C$17),0))))*Einstellungen!$E$17+IF($P134="",0,IF($P134&lt;=Einstellungen!$B$18,100,IF($P134&lt;=Einstellungen!$C$18,80+(100-80)*(Einstellungen!$C$18-$P134)/(Einstellungen!$C$18-Einstellungen!$B$18),IF($P134&lt;=Einstellungen!$D$18,80*(Einstellungen!$D$18-$P134)/(Einstellungen!$D$18-Einstellungen!$C$18),0))))*Einstellungen!$E$18)/(Einstellungen!$E$16+Einstellungen!$E$17+Einstellungen!$E$18),0))</f>
        <v/>
      </c>
      <c r="Z134">
        <f>IF(AND($E134="",$D134="",$G134="",$V134="",$Q134="",$T134="",$W134="",$U134=""),"",ROUND(IF($E134="",0,IF($E134&lt;Einstellungen!$B$21,0,IF($E134&gt;=Einstellungen!$B$22,100,($E134-Einstellungen!$B$21)/(Einstellungen!$B$22-Einstellungen!$B$21)*100)))/100*Einstellungen!$B$5+IF($W134="",0,$W134/100)*Einstellungen!$B$6+(IF($G134="",0,MAX(0,MIN(100,($G134-Einstellungen!$B$25)/(Einstellungen!$B$26-Einstellungen!$B$25)*100)))+IF($I134="",0,MAX(0,MIN(100,($I134-Einstellungen!$B$27)/(Einstellungen!$B$28-Einstellungen!$B$27)*100))))/2/100*Einstellungen!$B$7+IF($V134="",0,$V134/100)*Einstellungen!$B$8+IF($R134="",0,MAX(0,MIN(100,(Einstellungen!$B$32-$R134)/(Einstellungen!$B$32-Einstellungen!$B$31)*100)))/100*Einstellungen!$B$9+IF($D134="",0,$D134/5*100)/100*Einstellungen!$B$10+IF($AD134="",0,$AD134)/100*Einstellungen!$B$11+IF($U134="",0,$U134/5*100)/100*Einstellungen!$B$12,0))</f>
        <v/>
      </c>
      <c r="AA134">
        <f>IF($X134="","",$X134*1000000000000+IF($G134="",0,$G134)*1000000+IF($H134="",0,$H134)*1000+IF($I134="",0,$I134)+IF($N134="",0,MAX(0,1000-$N134))/1000+IF($A134="",0,$A134)/1000000)</f>
        <v/>
      </c>
      <c r="AB134">
        <f>IF($Y134="","",_xludf.RANK.EQ($Y134,$Y$2:$Y$201,0))</f>
        <v/>
      </c>
    </row>
    <row r="135">
      <c r="T135">
        <f>IFERROR(IF($Q135="","",$Q135/$H135),"")</f>
        <v/>
      </c>
      <c r="U135">
        <f>IFERROR(IF($Q135="","",$Q135/$G135),"")</f>
        <v/>
      </c>
      <c r="Y135">
        <f>IF(AND($L135="",$N135="",$P135=""),"",ROUND((IF($L135="",0,IF($L135&lt;=Einstellungen!$B$16,100,IF($L135&lt;=Einstellungen!$C$16,80+(100-80)*(Einstellungen!$C$16-$L135)/(Einstellungen!$C$16-Einstellungen!$B$16),IF($L135&lt;=Einstellungen!$D$16,80*(Einstellungen!$D$16-$L135)/(Einstellungen!$D$16-Einstellungen!$C$16),0))))*Einstellungen!$E$16+IF($N135="",0,IF($N135&lt;=Einstellungen!$B$17,100,IF($N135&lt;=Einstellungen!$C$17,80+(100-80)*(Einstellungen!$C$17-$N135)/(Einstellungen!$C$17-Einstellungen!$B$17),IF($N135&lt;=Einstellungen!$D$17,80*(Einstellungen!$D$17-$N135)/(Einstellungen!$D$17-Einstellungen!$C$17),0))))*Einstellungen!$E$17+IF($P135="",0,IF($P135&lt;=Einstellungen!$B$18,100,IF($P135&lt;=Einstellungen!$C$18,80+(100-80)*(Einstellungen!$C$18-$P135)/(Einstellungen!$C$18-Einstellungen!$B$18),IF($P135&lt;=Einstellungen!$D$18,80*(Einstellungen!$D$18-$P135)/(Einstellungen!$D$18-Einstellungen!$C$18),0))))*Einstellungen!$E$18)/(Einstellungen!$E$16+Einstellungen!$E$17+Einstellungen!$E$18),0))</f>
        <v/>
      </c>
      <c r="Z135">
        <f>IF(AND($E135="",$D135="",$G135="",$V135="",$Q135="",$T135="",$W135="",$U135=""),"",ROUND(IF($E135="",0,IF($E135&lt;Einstellungen!$B$21,0,IF($E135&gt;=Einstellungen!$B$22,100,($E135-Einstellungen!$B$21)/(Einstellungen!$B$22-Einstellungen!$B$21)*100)))/100*Einstellungen!$B$5+IF($W135="",0,$W135/100)*Einstellungen!$B$6+(IF($G135="",0,MAX(0,MIN(100,($G135-Einstellungen!$B$25)/(Einstellungen!$B$26-Einstellungen!$B$25)*100)))+IF($I135="",0,MAX(0,MIN(100,($I135-Einstellungen!$B$27)/(Einstellungen!$B$28-Einstellungen!$B$27)*100))))/2/100*Einstellungen!$B$7+IF($V135="",0,$V135/100)*Einstellungen!$B$8+IF($R135="",0,MAX(0,MIN(100,(Einstellungen!$B$32-$R135)/(Einstellungen!$B$32-Einstellungen!$B$31)*100)))/100*Einstellungen!$B$9+IF($D135="",0,$D135/5*100)/100*Einstellungen!$B$10+IF($AD135="",0,$AD135)/100*Einstellungen!$B$11+IF($U135="",0,$U135/5*100)/100*Einstellungen!$B$12,0))</f>
        <v/>
      </c>
      <c r="AA135">
        <f>IF($X135="","",$X135*1000000000000+IF($G135="",0,$G135)*1000000+IF($H135="",0,$H135)*1000+IF($I135="",0,$I135)+IF($N135="",0,MAX(0,1000-$N135))/1000+IF($A135="",0,$A135)/1000000)</f>
        <v/>
      </c>
      <c r="AB135">
        <f>IF($Y135="","",_xludf.RANK.EQ($Y135,$Y$2:$Y$201,0))</f>
        <v/>
      </c>
    </row>
    <row r="136">
      <c r="T136">
        <f>IFERROR(IF($Q136="","",$Q136/$H136),"")</f>
        <v/>
      </c>
      <c r="U136">
        <f>IFERROR(IF($Q136="","",$Q136/$G136),"")</f>
        <v/>
      </c>
      <c r="Y136">
        <f>IF(AND($L136="",$N136="",$P136=""),"",ROUND((IF($L136="",0,IF($L136&lt;=Einstellungen!$B$16,100,IF($L136&lt;=Einstellungen!$C$16,80+(100-80)*(Einstellungen!$C$16-$L136)/(Einstellungen!$C$16-Einstellungen!$B$16),IF($L136&lt;=Einstellungen!$D$16,80*(Einstellungen!$D$16-$L136)/(Einstellungen!$D$16-Einstellungen!$C$16),0))))*Einstellungen!$E$16+IF($N136="",0,IF($N136&lt;=Einstellungen!$B$17,100,IF($N136&lt;=Einstellungen!$C$17,80+(100-80)*(Einstellungen!$C$17-$N136)/(Einstellungen!$C$17-Einstellungen!$B$17),IF($N136&lt;=Einstellungen!$D$17,80*(Einstellungen!$D$17-$N136)/(Einstellungen!$D$17-Einstellungen!$C$17),0))))*Einstellungen!$E$17+IF($P136="",0,IF($P136&lt;=Einstellungen!$B$18,100,IF($P136&lt;=Einstellungen!$C$18,80+(100-80)*(Einstellungen!$C$18-$P136)/(Einstellungen!$C$18-Einstellungen!$B$18),IF($P136&lt;=Einstellungen!$D$18,80*(Einstellungen!$D$18-$P136)/(Einstellungen!$D$18-Einstellungen!$C$18),0))))*Einstellungen!$E$18)/(Einstellungen!$E$16+Einstellungen!$E$17+Einstellungen!$E$18),0))</f>
        <v/>
      </c>
      <c r="Z136">
        <f>IF(AND($E136="",$D136="",$G136="",$V136="",$Q136="",$T136="",$W136="",$U136=""),"",ROUND(IF($E136="",0,IF($E136&lt;Einstellungen!$B$21,0,IF($E136&gt;=Einstellungen!$B$22,100,($E136-Einstellungen!$B$21)/(Einstellungen!$B$22-Einstellungen!$B$21)*100)))/100*Einstellungen!$B$5+IF($W136="",0,$W136/100)*Einstellungen!$B$6+(IF($G136="",0,MAX(0,MIN(100,($G136-Einstellungen!$B$25)/(Einstellungen!$B$26-Einstellungen!$B$25)*100)))+IF($I136="",0,MAX(0,MIN(100,($I136-Einstellungen!$B$27)/(Einstellungen!$B$28-Einstellungen!$B$27)*100))))/2/100*Einstellungen!$B$7+IF($V136="",0,$V136/100)*Einstellungen!$B$8+IF($R136="",0,MAX(0,MIN(100,(Einstellungen!$B$32-$R136)/(Einstellungen!$B$32-Einstellungen!$B$31)*100)))/100*Einstellungen!$B$9+IF($D136="",0,$D136/5*100)/100*Einstellungen!$B$10+IF($AD136="",0,$AD136)/100*Einstellungen!$B$11+IF($U136="",0,$U136/5*100)/100*Einstellungen!$B$12,0))</f>
        <v/>
      </c>
      <c r="AA136">
        <f>IF($X136="","",$X136*1000000000000+IF($G136="",0,$G136)*1000000+IF($H136="",0,$H136)*1000+IF($I136="",0,$I136)+IF($N136="",0,MAX(0,1000-$N136))/1000+IF($A136="",0,$A136)/1000000)</f>
        <v/>
      </c>
      <c r="AB136">
        <f>IF($Y136="","",_xludf.RANK.EQ($Y136,$Y$2:$Y$201,0))</f>
        <v/>
      </c>
    </row>
    <row r="137">
      <c r="T137">
        <f>IFERROR(IF($Q137="","",$Q137/$H137),"")</f>
        <v/>
      </c>
      <c r="U137">
        <f>IFERROR(IF($Q137="","",$Q137/$G137),"")</f>
        <v/>
      </c>
      <c r="Y137">
        <f>IF(AND($L137="",$N137="",$P137=""),"",ROUND((IF($L137="",0,IF($L137&lt;=Einstellungen!$B$16,100,IF($L137&lt;=Einstellungen!$C$16,80+(100-80)*(Einstellungen!$C$16-$L137)/(Einstellungen!$C$16-Einstellungen!$B$16),IF($L137&lt;=Einstellungen!$D$16,80*(Einstellungen!$D$16-$L137)/(Einstellungen!$D$16-Einstellungen!$C$16),0))))*Einstellungen!$E$16+IF($N137="",0,IF($N137&lt;=Einstellungen!$B$17,100,IF($N137&lt;=Einstellungen!$C$17,80+(100-80)*(Einstellungen!$C$17-$N137)/(Einstellungen!$C$17-Einstellungen!$B$17),IF($N137&lt;=Einstellungen!$D$17,80*(Einstellungen!$D$17-$N137)/(Einstellungen!$D$17-Einstellungen!$C$17),0))))*Einstellungen!$E$17+IF($P137="",0,IF($P137&lt;=Einstellungen!$B$18,100,IF($P137&lt;=Einstellungen!$C$18,80+(100-80)*(Einstellungen!$C$18-$P137)/(Einstellungen!$C$18-Einstellungen!$B$18),IF($P137&lt;=Einstellungen!$D$18,80*(Einstellungen!$D$18-$P137)/(Einstellungen!$D$18-Einstellungen!$C$18),0))))*Einstellungen!$E$18)/(Einstellungen!$E$16+Einstellungen!$E$17+Einstellungen!$E$18),0))</f>
        <v/>
      </c>
      <c r="Z137">
        <f>IF(AND($E137="",$D137="",$G137="",$V137="",$Q137="",$T137="",$W137="",$U137=""),"",ROUND(IF($E137="",0,IF($E137&lt;Einstellungen!$B$21,0,IF($E137&gt;=Einstellungen!$B$22,100,($E137-Einstellungen!$B$21)/(Einstellungen!$B$22-Einstellungen!$B$21)*100)))/100*Einstellungen!$B$5+IF($W137="",0,$W137/100)*Einstellungen!$B$6+(IF($G137="",0,MAX(0,MIN(100,($G137-Einstellungen!$B$25)/(Einstellungen!$B$26-Einstellungen!$B$25)*100)))+IF($I137="",0,MAX(0,MIN(100,($I137-Einstellungen!$B$27)/(Einstellungen!$B$28-Einstellungen!$B$27)*100))))/2/100*Einstellungen!$B$7+IF($V137="",0,$V137/100)*Einstellungen!$B$8+IF($R137="",0,MAX(0,MIN(100,(Einstellungen!$B$32-$R137)/(Einstellungen!$B$32-Einstellungen!$B$31)*100)))/100*Einstellungen!$B$9+IF($D137="",0,$D137/5*100)/100*Einstellungen!$B$10+IF($AD137="",0,$AD137)/100*Einstellungen!$B$11+IF($U137="",0,$U137/5*100)/100*Einstellungen!$B$12,0))</f>
        <v/>
      </c>
      <c r="AA137">
        <f>IF($X137="","",$X137*1000000000000+IF($G137="",0,$G137)*1000000+IF($H137="",0,$H137)*1000+IF($I137="",0,$I137)+IF($N137="",0,MAX(0,1000-$N137))/1000+IF($A137="",0,$A137)/1000000)</f>
        <v/>
      </c>
      <c r="AB137">
        <f>IF($Y137="","",_xludf.RANK.EQ($Y137,$Y$2:$Y$201,0))</f>
        <v/>
      </c>
    </row>
    <row r="138">
      <c r="T138">
        <f>IFERROR(IF($Q138="","",$Q138/$H138),"")</f>
        <v/>
      </c>
      <c r="U138">
        <f>IFERROR(IF($Q138="","",$Q138/$G138),"")</f>
        <v/>
      </c>
      <c r="Y138">
        <f>IF(AND($L138="",$N138="",$P138=""),"",ROUND((IF($L138="",0,IF($L138&lt;=Einstellungen!$B$16,100,IF($L138&lt;=Einstellungen!$C$16,80+(100-80)*(Einstellungen!$C$16-$L138)/(Einstellungen!$C$16-Einstellungen!$B$16),IF($L138&lt;=Einstellungen!$D$16,80*(Einstellungen!$D$16-$L138)/(Einstellungen!$D$16-Einstellungen!$C$16),0))))*Einstellungen!$E$16+IF($N138="",0,IF($N138&lt;=Einstellungen!$B$17,100,IF($N138&lt;=Einstellungen!$C$17,80+(100-80)*(Einstellungen!$C$17-$N138)/(Einstellungen!$C$17-Einstellungen!$B$17),IF($N138&lt;=Einstellungen!$D$17,80*(Einstellungen!$D$17-$N138)/(Einstellungen!$D$17-Einstellungen!$C$17),0))))*Einstellungen!$E$17+IF($P138="",0,IF($P138&lt;=Einstellungen!$B$18,100,IF($P138&lt;=Einstellungen!$C$18,80+(100-80)*(Einstellungen!$C$18-$P138)/(Einstellungen!$C$18-Einstellungen!$B$18),IF($P138&lt;=Einstellungen!$D$18,80*(Einstellungen!$D$18-$P138)/(Einstellungen!$D$18-Einstellungen!$C$18),0))))*Einstellungen!$E$18)/(Einstellungen!$E$16+Einstellungen!$E$17+Einstellungen!$E$18),0))</f>
        <v/>
      </c>
      <c r="Z138">
        <f>IF(AND($E138="",$D138="",$G138="",$V138="",$Q138="",$T138="",$W138="",$U138=""),"",ROUND(IF($E138="",0,IF($E138&lt;Einstellungen!$B$21,0,IF($E138&gt;=Einstellungen!$B$22,100,($E138-Einstellungen!$B$21)/(Einstellungen!$B$22-Einstellungen!$B$21)*100)))/100*Einstellungen!$B$5+IF($W138="",0,$W138/100)*Einstellungen!$B$6+(IF($G138="",0,MAX(0,MIN(100,($G138-Einstellungen!$B$25)/(Einstellungen!$B$26-Einstellungen!$B$25)*100)))+IF($I138="",0,MAX(0,MIN(100,($I138-Einstellungen!$B$27)/(Einstellungen!$B$28-Einstellungen!$B$27)*100))))/2/100*Einstellungen!$B$7+IF($V138="",0,$V138/100)*Einstellungen!$B$8+IF($R138="",0,MAX(0,MIN(100,(Einstellungen!$B$32-$R138)/(Einstellungen!$B$32-Einstellungen!$B$31)*100)))/100*Einstellungen!$B$9+IF($D138="",0,$D138/5*100)/100*Einstellungen!$B$10+IF($AD138="",0,$AD138)/100*Einstellungen!$B$11+IF($U138="",0,$U138/5*100)/100*Einstellungen!$B$12,0))</f>
        <v/>
      </c>
      <c r="AA138">
        <f>IF($X138="","",$X138*1000000000000+IF($G138="",0,$G138)*1000000+IF($H138="",0,$H138)*1000+IF($I138="",0,$I138)+IF($N138="",0,MAX(0,1000-$N138))/1000+IF($A138="",0,$A138)/1000000)</f>
        <v/>
      </c>
      <c r="AB138">
        <f>IF($Y138="","",_xludf.RANK.EQ($Y138,$Y$2:$Y$201,0))</f>
        <v/>
      </c>
    </row>
    <row r="139">
      <c r="T139">
        <f>IFERROR(IF($Q139="","",$Q139/$H139),"")</f>
        <v/>
      </c>
      <c r="U139">
        <f>IFERROR(IF($Q139="","",$Q139/$G139),"")</f>
        <v/>
      </c>
      <c r="Y139">
        <f>IF(AND($L139="",$N139="",$P139=""),"",ROUND((IF($L139="",0,IF($L139&lt;=Einstellungen!$B$16,100,IF($L139&lt;=Einstellungen!$C$16,80+(100-80)*(Einstellungen!$C$16-$L139)/(Einstellungen!$C$16-Einstellungen!$B$16),IF($L139&lt;=Einstellungen!$D$16,80*(Einstellungen!$D$16-$L139)/(Einstellungen!$D$16-Einstellungen!$C$16),0))))*Einstellungen!$E$16+IF($N139="",0,IF($N139&lt;=Einstellungen!$B$17,100,IF($N139&lt;=Einstellungen!$C$17,80+(100-80)*(Einstellungen!$C$17-$N139)/(Einstellungen!$C$17-Einstellungen!$B$17),IF($N139&lt;=Einstellungen!$D$17,80*(Einstellungen!$D$17-$N139)/(Einstellungen!$D$17-Einstellungen!$C$17),0))))*Einstellungen!$E$17+IF($P139="",0,IF($P139&lt;=Einstellungen!$B$18,100,IF($P139&lt;=Einstellungen!$C$18,80+(100-80)*(Einstellungen!$C$18-$P139)/(Einstellungen!$C$18-Einstellungen!$B$18),IF($P139&lt;=Einstellungen!$D$18,80*(Einstellungen!$D$18-$P139)/(Einstellungen!$D$18-Einstellungen!$C$18),0))))*Einstellungen!$E$18)/(Einstellungen!$E$16+Einstellungen!$E$17+Einstellungen!$E$18),0))</f>
        <v/>
      </c>
      <c r="Z139">
        <f>IF(AND($E139="",$D139="",$G139="",$V139="",$Q139="",$T139="",$W139="",$U139=""),"",ROUND(IF($E139="",0,IF($E139&lt;Einstellungen!$B$21,0,IF($E139&gt;=Einstellungen!$B$22,100,($E139-Einstellungen!$B$21)/(Einstellungen!$B$22-Einstellungen!$B$21)*100)))/100*Einstellungen!$B$5+IF($W139="",0,$W139/100)*Einstellungen!$B$6+(IF($G139="",0,MAX(0,MIN(100,($G139-Einstellungen!$B$25)/(Einstellungen!$B$26-Einstellungen!$B$25)*100)))+IF($I139="",0,MAX(0,MIN(100,($I139-Einstellungen!$B$27)/(Einstellungen!$B$28-Einstellungen!$B$27)*100))))/2/100*Einstellungen!$B$7+IF($V139="",0,$V139/100)*Einstellungen!$B$8+IF($R139="",0,MAX(0,MIN(100,(Einstellungen!$B$32-$R139)/(Einstellungen!$B$32-Einstellungen!$B$31)*100)))/100*Einstellungen!$B$9+IF($D139="",0,$D139/5*100)/100*Einstellungen!$B$10+IF($AD139="",0,$AD139)/100*Einstellungen!$B$11+IF($U139="",0,$U139/5*100)/100*Einstellungen!$B$12,0))</f>
        <v/>
      </c>
      <c r="AA139">
        <f>IF($X139="","",$X139*1000000000000+IF($G139="",0,$G139)*1000000+IF($H139="",0,$H139)*1000+IF($I139="",0,$I139)+IF($N139="",0,MAX(0,1000-$N139))/1000+IF($A139="",0,$A139)/1000000)</f>
        <v/>
      </c>
      <c r="AB139">
        <f>IF($Y139="","",_xludf.RANK.EQ($Y139,$Y$2:$Y$201,0))</f>
        <v/>
      </c>
    </row>
    <row r="140">
      <c r="T140">
        <f>IFERROR(IF($Q140="","",$Q140/$H140),"")</f>
        <v/>
      </c>
      <c r="U140">
        <f>IFERROR(IF($Q140="","",$Q140/$G140),"")</f>
        <v/>
      </c>
      <c r="Y140">
        <f>IF(AND($L140="",$N140="",$P140=""),"",ROUND((IF($L140="",0,IF($L140&lt;=Einstellungen!$B$16,100,IF($L140&lt;=Einstellungen!$C$16,80+(100-80)*(Einstellungen!$C$16-$L140)/(Einstellungen!$C$16-Einstellungen!$B$16),IF($L140&lt;=Einstellungen!$D$16,80*(Einstellungen!$D$16-$L140)/(Einstellungen!$D$16-Einstellungen!$C$16),0))))*Einstellungen!$E$16+IF($N140="",0,IF($N140&lt;=Einstellungen!$B$17,100,IF($N140&lt;=Einstellungen!$C$17,80+(100-80)*(Einstellungen!$C$17-$N140)/(Einstellungen!$C$17-Einstellungen!$B$17),IF($N140&lt;=Einstellungen!$D$17,80*(Einstellungen!$D$17-$N140)/(Einstellungen!$D$17-Einstellungen!$C$17),0))))*Einstellungen!$E$17+IF($P140="",0,IF($P140&lt;=Einstellungen!$B$18,100,IF($P140&lt;=Einstellungen!$C$18,80+(100-80)*(Einstellungen!$C$18-$P140)/(Einstellungen!$C$18-Einstellungen!$B$18),IF($P140&lt;=Einstellungen!$D$18,80*(Einstellungen!$D$18-$P140)/(Einstellungen!$D$18-Einstellungen!$C$18),0))))*Einstellungen!$E$18)/(Einstellungen!$E$16+Einstellungen!$E$17+Einstellungen!$E$18),0))</f>
        <v/>
      </c>
      <c r="Z140">
        <f>IF(AND($E140="",$D140="",$G140="",$V140="",$Q140="",$T140="",$W140="",$U140=""),"",ROUND(IF($E140="",0,IF($E140&lt;Einstellungen!$B$21,0,IF($E140&gt;=Einstellungen!$B$22,100,($E140-Einstellungen!$B$21)/(Einstellungen!$B$22-Einstellungen!$B$21)*100)))/100*Einstellungen!$B$5+IF($W140="",0,$W140/100)*Einstellungen!$B$6+(IF($G140="",0,MAX(0,MIN(100,($G140-Einstellungen!$B$25)/(Einstellungen!$B$26-Einstellungen!$B$25)*100)))+IF($I140="",0,MAX(0,MIN(100,($I140-Einstellungen!$B$27)/(Einstellungen!$B$28-Einstellungen!$B$27)*100))))/2/100*Einstellungen!$B$7+IF($V140="",0,$V140/100)*Einstellungen!$B$8+IF($R140="",0,MAX(0,MIN(100,(Einstellungen!$B$32-$R140)/(Einstellungen!$B$32-Einstellungen!$B$31)*100)))/100*Einstellungen!$B$9+IF($D140="",0,$D140/5*100)/100*Einstellungen!$B$10+IF($AD140="",0,$AD140)/100*Einstellungen!$B$11+IF($U140="",0,$U140/5*100)/100*Einstellungen!$B$12,0))</f>
        <v/>
      </c>
      <c r="AA140">
        <f>IF($X140="","",$X140*1000000000000+IF($G140="",0,$G140)*1000000+IF($H140="",0,$H140)*1000+IF($I140="",0,$I140)+IF($N140="",0,MAX(0,1000-$N140))/1000+IF($A140="",0,$A140)/1000000)</f>
        <v/>
      </c>
      <c r="AB140">
        <f>IF($Y140="","",_xludf.RANK.EQ($Y140,$Y$2:$Y$201,0))</f>
        <v/>
      </c>
    </row>
    <row r="141">
      <c r="T141">
        <f>IFERROR(IF($Q141="","",$Q141/$H141),"")</f>
        <v/>
      </c>
      <c r="U141">
        <f>IFERROR(IF($Q141="","",$Q141/$G141),"")</f>
        <v/>
      </c>
      <c r="Y141">
        <f>IF(AND($L141="",$N141="",$P141=""),"",ROUND((IF($L141="",0,IF($L141&lt;=Einstellungen!$B$16,100,IF($L141&lt;=Einstellungen!$C$16,80+(100-80)*(Einstellungen!$C$16-$L141)/(Einstellungen!$C$16-Einstellungen!$B$16),IF($L141&lt;=Einstellungen!$D$16,80*(Einstellungen!$D$16-$L141)/(Einstellungen!$D$16-Einstellungen!$C$16),0))))*Einstellungen!$E$16+IF($N141="",0,IF($N141&lt;=Einstellungen!$B$17,100,IF($N141&lt;=Einstellungen!$C$17,80+(100-80)*(Einstellungen!$C$17-$N141)/(Einstellungen!$C$17-Einstellungen!$B$17),IF($N141&lt;=Einstellungen!$D$17,80*(Einstellungen!$D$17-$N141)/(Einstellungen!$D$17-Einstellungen!$C$17),0))))*Einstellungen!$E$17+IF($P141="",0,IF($P141&lt;=Einstellungen!$B$18,100,IF($P141&lt;=Einstellungen!$C$18,80+(100-80)*(Einstellungen!$C$18-$P141)/(Einstellungen!$C$18-Einstellungen!$B$18),IF($P141&lt;=Einstellungen!$D$18,80*(Einstellungen!$D$18-$P141)/(Einstellungen!$D$18-Einstellungen!$C$18),0))))*Einstellungen!$E$18)/(Einstellungen!$E$16+Einstellungen!$E$17+Einstellungen!$E$18),0))</f>
        <v/>
      </c>
      <c r="Z141">
        <f>IF(AND($E141="",$D141="",$G141="",$V141="",$Q141="",$T141="",$W141="",$U141=""),"",ROUND(IF($E141="",0,IF($E141&lt;Einstellungen!$B$21,0,IF($E141&gt;=Einstellungen!$B$22,100,($E141-Einstellungen!$B$21)/(Einstellungen!$B$22-Einstellungen!$B$21)*100)))/100*Einstellungen!$B$5+IF($W141="",0,$W141/100)*Einstellungen!$B$6+(IF($G141="",0,MAX(0,MIN(100,($G141-Einstellungen!$B$25)/(Einstellungen!$B$26-Einstellungen!$B$25)*100)))+IF($I141="",0,MAX(0,MIN(100,($I141-Einstellungen!$B$27)/(Einstellungen!$B$28-Einstellungen!$B$27)*100))))/2/100*Einstellungen!$B$7+IF($V141="",0,$V141/100)*Einstellungen!$B$8+IF($R141="",0,MAX(0,MIN(100,(Einstellungen!$B$32-$R141)/(Einstellungen!$B$32-Einstellungen!$B$31)*100)))/100*Einstellungen!$B$9+IF($D141="",0,$D141/5*100)/100*Einstellungen!$B$10+IF($AD141="",0,$AD141)/100*Einstellungen!$B$11+IF($U141="",0,$U141/5*100)/100*Einstellungen!$B$12,0))</f>
        <v/>
      </c>
      <c r="AA141">
        <f>IF($X141="","",$X141*1000000000000+IF($G141="",0,$G141)*1000000+IF($H141="",0,$H141)*1000+IF($I141="",0,$I141)+IF($N141="",0,MAX(0,1000-$N141))/1000+IF($A141="",0,$A141)/1000000)</f>
        <v/>
      </c>
      <c r="AB141">
        <f>IF($Y141="","",_xludf.RANK.EQ($Y141,$Y$2:$Y$201,0))</f>
        <v/>
      </c>
    </row>
    <row r="142">
      <c r="T142">
        <f>IFERROR(IF($Q142="","",$Q142/$H142),"")</f>
        <v/>
      </c>
      <c r="U142">
        <f>IFERROR(IF($Q142="","",$Q142/$G142),"")</f>
        <v/>
      </c>
      <c r="Y142">
        <f>IF(AND($L142="",$N142="",$P142=""),"",ROUND((IF($L142="",0,IF($L142&lt;=Einstellungen!$B$16,100,IF($L142&lt;=Einstellungen!$C$16,80+(100-80)*(Einstellungen!$C$16-$L142)/(Einstellungen!$C$16-Einstellungen!$B$16),IF($L142&lt;=Einstellungen!$D$16,80*(Einstellungen!$D$16-$L142)/(Einstellungen!$D$16-Einstellungen!$C$16),0))))*Einstellungen!$E$16+IF($N142="",0,IF($N142&lt;=Einstellungen!$B$17,100,IF($N142&lt;=Einstellungen!$C$17,80+(100-80)*(Einstellungen!$C$17-$N142)/(Einstellungen!$C$17-Einstellungen!$B$17),IF($N142&lt;=Einstellungen!$D$17,80*(Einstellungen!$D$17-$N142)/(Einstellungen!$D$17-Einstellungen!$C$17),0))))*Einstellungen!$E$17+IF($P142="",0,IF($P142&lt;=Einstellungen!$B$18,100,IF($P142&lt;=Einstellungen!$C$18,80+(100-80)*(Einstellungen!$C$18-$P142)/(Einstellungen!$C$18-Einstellungen!$B$18),IF($P142&lt;=Einstellungen!$D$18,80*(Einstellungen!$D$18-$P142)/(Einstellungen!$D$18-Einstellungen!$C$18),0))))*Einstellungen!$E$18)/(Einstellungen!$E$16+Einstellungen!$E$17+Einstellungen!$E$18),0))</f>
        <v/>
      </c>
      <c r="Z142">
        <f>IF(AND($E142="",$D142="",$G142="",$V142="",$Q142="",$T142="",$W142="",$U142=""),"",ROUND(IF($E142="",0,IF($E142&lt;Einstellungen!$B$21,0,IF($E142&gt;=Einstellungen!$B$22,100,($E142-Einstellungen!$B$21)/(Einstellungen!$B$22-Einstellungen!$B$21)*100)))/100*Einstellungen!$B$5+IF($W142="",0,$W142/100)*Einstellungen!$B$6+(IF($G142="",0,MAX(0,MIN(100,($G142-Einstellungen!$B$25)/(Einstellungen!$B$26-Einstellungen!$B$25)*100)))+IF($I142="",0,MAX(0,MIN(100,($I142-Einstellungen!$B$27)/(Einstellungen!$B$28-Einstellungen!$B$27)*100))))/2/100*Einstellungen!$B$7+IF($V142="",0,$V142/100)*Einstellungen!$B$8+IF($R142="",0,MAX(0,MIN(100,(Einstellungen!$B$32-$R142)/(Einstellungen!$B$32-Einstellungen!$B$31)*100)))/100*Einstellungen!$B$9+IF($D142="",0,$D142/5*100)/100*Einstellungen!$B$10+IF($AD142="",0,$AD142)/100*Einstellungen!$B$11+IF($U142="",0,$U142/5*100)/100*Einstellungen!$B$12,0))</f>
        <v/>
      </c>
      <c r="AA142">
        <f>IF($X142="","",$X142*1000000000000+IF($G142="",0,$G142)*1000000+IF($H142="",0,$H142)*1000+IF($I142="",0,$I142)+IF($N142="",0,MAX(0,1000-$N142))/1000+IF($A142="",0,$A142)/1000000)</f>
        <v/>
      </c>
      <c r="AB142">
        <f>IF($Y142="","",_xludf.RANK.EQ($Y142,$Y$2:$Y$201,0))</f>
        <v/>
      </c>
    </row>
    <row r="143">
      <c r="T143">
        <f>IFERROR(IF($Q143="","",$Q143/$H143),"")</f>
        <v/>
      </c>
      <c r="U143">
        <f>IFERROR(IF($Q143="","",$Q143/$G143),"")</f>
        <v/>
      </c>
      <c r="Y143">
        <f>IF(AND($L143="",$N143="",$P143=""),"",ROUND((IF($L143="",0,IF($L143&lt;=Einstellungen!$B$16,100,IF($L143&lt;=Einstellungen!$C$16,80+(100-80)*(Einstellungen!$C$16-$L143)/(Einstellungen!$C$16-Einstellungen!$B$16),IF($L143&lt;=Einstellungen!$D$16,80*(Einstellungen!$D$16-$L143)/(Einstellungen!$D$16-Einstellungen!$C$16),0))))*Einstellungen!$E$16+IF($N143="",0,IF($N143&lt;=Einstellungen!$B$17,100,IF($N143&lt;=Einstellungen!$C$17,80+(100-80)*(Einstellungen!$C$17-$N143)/(Einstellungen!$C$17-Einstellungen!$B$17),IF($N143&lt;=Einstellungen!$D$17,80*(Einstellungen!$D$17-$N143)/(Einstellungen!$D$17-Einstellungen!$C$17),0))))*Einstellungen!$E$17+IF($P143="",0,IF($P143&lt;=Einstellungen!$B$18,100,IF($P143&lt;=Einstellungen!$C$18,80+(100-80)*(Einstellungen!$C$18-$P143)/(Einstellungen!$C$18-Einstellungen!$B$18),IF($P143&lt;=Einstellungen!$D$18,80*(Einstellungen!$D$18-$P143)/(Einstellungen!$D$18-Einstellungen!$C$18),0))))*Einstellungen!$E$18)/(Einstellungen!$E$16+Einstellungen!$E$17+Einstellungen!$E$18),0))</f>
        <v/>
      </c>
      <c r="Z143">
        <f>IF(AND($E143="",$D143="",$G143="",$V143="",$Q143="",$T143="",$W143="",$U143=""),"",ROUND(IF($E143="",0,IF($E143&lt;Einstellungen!$B$21,0,IF($E143&gt;=Einstellungen!$B$22,100,($E143-Einstellungen!$B$21)/(Einstellungen!$B$22-Einstellungen!$B$21)*100)))/100*Einstellungen!$B$5+IF($W143="",0,$W143/100)*Einstellungen!$B$6+(IF($G143="",0,MAX(0,MIN(100,($G143-Einstellungen!$B$25)/(Einstellungen!$B$26-Einstellungen!$B$25)*100)))+IF($I143="",0,MAX(0,MIN(100,($I143-Einstellungen!$B$27)/(Einstellungen!$B$28-Einstellungen!$B$27)*100))))/2/100*Einstellungen!$B$7+IF($V143="",0,$V143/100)*Einstellungen!$B$8+IF($R143="",0,MAX(0,MIN(100,(Einstellungen!$B$32-$R143)/(Einstellungen!$B$32-Einstellungen!$B$31)*100)))/100*Einstellungen!$B$9+IF($D143="",0,$D143/5*100)/100*Einstellungen!$B$10+IF($AD143="",0,$AD143)/100*Einstellungen!$B$11+IF($U143="",0,$U143/5*100)/100*Einstellungen!$B$12,0))</f>
        <v/>
      </c>
      <c r="AA143">
        <f>IF($X143="","",$X143*1000000000000+IF($G143="",0,$G143)*1000000+IF($H143="",0,$H143)*1000+IF($I143="",0,$I143)+IF($N143="",0,MAX(0,1000-$N143))/1000+IF($A143="",0,$A143)/1000000)</f>
        <v/>
      </c>
      <c r="AB143">
        <f>IF($Y143="","",_xludf.RANK.EQ($Y143,$Y$2:$Y$201,0))</f>
        <v/>
      </c>
    </row>
    <row r="144">
      <c r="T144">
        <f>IFERROR(IF($Q144="","",$Q144/$H144),"")</f>
        <v/>
      </c>
      <c r="U144">
        <f>IFERROR(IF($Q144="","",$Q144/$G144),"")</f>
        <v/>
      </c>
      <c r="Y144">
        <f>IF(AND($L144="",$N144="",$P144=""),"",ROUND((IF($L144="",0,IF($L144&lt;=Einstellungen!$B$16,100,IF($L144&lt;=Einstellungen!$C$16,80+(100-80)*(Einstellungen!$C$16-$L144)/(Einstellungen!$C$16-Einstellungen!$B$16),IF($L144&lt;=Einstellungen!$D$16,80*(Einstellungen!$D$16-$L144)/(Einstellungen!$D$16-Einstellungen!$C$16),0))))*Einstellungen!$E$16+IF($N144="",0,IF($N144&lt;=Einstellungen!$B$17,100,IF($N144&lt;=Einstellungen!$C$17,80+(100-80)*(Einstellungen!$C$17-$N144)/(Einstellungen!$C$17-Einstellungen!$B$17),IF($N144&lt;=Einstellungen!$D$17,80*(Einstellungen!$D$17-$N144)/(Einstellungen!$D$17-Einstellungen!$C$17),0))))*Einstellungen!$E$17+IF($P144="",0,IF($P144&lt;=Einstellungen!$B$18,100,IF($P144&lt;=Einstellungen!$C$18,80+(100-80)*(Einstellungen!$C$18-$P144)/(Einstellungen!$C$18-Einstellungen!$B$18),IF($P144&lt;=Einstellungen!$D$18,80*(Einstellungen!$D$18-$P144)/(Einstellungen!$D$18-Einstellungen!$C$18),0))))*Einstellungen!$E$18)/(Einstellungen!$E$16+Einstellungen!$E$17+Einstellungen!$E$18),0))</f>
        <v/>
      </c>
      <c r="Z144">
        <f>IF(AND($E144="",$D144="",$G144="",$V144="",$Q144="",$T144="",$W144="",$U144=""),"",ROUND(IF($E144="",0,IF($E144&lt;Einstellungen!$B$21,0,IF($E144&gt;=Einstellungen!$B$22,100,($E144-Einstellungen!$B$21)/(Einstellungen!$B$22-Einstellungen!$B$21)*100)))/100*Einstellungen!$B$5+IF($W144="",0,$W144/100)*Einstellungen!$B$6+(IF($G144="",0,MAX(0,MIN(100,($G144-Einstellungen!$B$25)/(Einstellungen!$B$26-Einstellungen!$B$25)*100)))+IF($I144="",0,MAX(0,MIN(100,($I144-Einstellungen!$B$27)/(Einstellungen!$B$28-Einstellungen!$B$27)*100))))/2/100*Einstellungen!$B$7+IF($V144="",0,$V144/100)*Einstellungen!$B$8+IF($R144="",0,MAX(0,MIN(100,(Einstellungen!$B$32-$R144)/(Einstellungen!$B$32-Einstellungen!$B$31)*100)))/100*Einstellungen!$B$9+IF($D144="",0,$D144/5*100)/100*Einstellungen!$B$10+IF($AD144="",0,$AD144)/100*Einstellungen!$B$11+IF($U144="",0,$U144/5*100)/100*Einstellungen!$B$12,0))</f>
        <v/>
      </c>
      <c r="AA144">
        <f>IF($X144="","",$X144*1000000000000+IF($G144="",0,$G144)*1000000+IF($H144="",0,$H144)*1000+IF($I144="",0,$I144)+IF($N144="",0,MAX(0,1000-$N144))/1000+IF($A144="",0,$A144)/1000000)</f>
        <v/>
      </c>
      <c r="AB144">
        <f>IF($Y144="","",_xludf.RANK.EQ($Y144,$Y$2:$Y$201,0))</f>
        <v/>
      </c>
    </row>
    <row r="145">
      <c r="T145">
        <f>IFERROR(IF($Q145="","",$Q145/$H145),"")</f>
        <v/>
      </c>
      <c r="U145">
        <f>IFERROR(IF($Q145="","",$Q145/$G145),"")</f>
        <v/>
      </c>
      <c r="Y145">
        <f>IF(AND($L145="",$N145="",$P145=""),"",ROUND((IF($L145="",0,IF($L145&lt;=Einstellungen!$B$16,100,IF($L145&lt;=Einstellungen!$C$16,80+(100-80)*(Einstellungen!$C$16-$L145)/(Einstellungen!$C$16-Einstellungen!$B$16),IF($L145&lt;=Einstellungen!$D$16,80*(Einstellungen!$D$16-$L145)/(Einstellungen!$D$16-Einstellungen!$C$16),0))))*Einstellungen!$E$16+IF($N145="",0,IF($N145&lt;=Einstellungen!$B$17,100,IF($N145&lt;=Einstellungen!$C$17,80+(100-80)*(Einstellungen!$C$17-$N145)/(Einstellungen!$C$17-Einstellungen!$B$17),IF($N145&lt;=Einstellungen!$D$17,80*(Einstellungen!$D$17-$N145)/(Einstellungen!$D$17-Einstellungen!$C$17),0))))*Einstellungen!$E$17+IF($P145="",0,IF($P145&lt;=Einstellungen!$B$18,100,IF($P145&lt;=Einstellungen!$C$18,80+(100-80)*(Einstellungen!$C$18-$P145)/(Einstellungen!$C$18-Einstellungen!$B$18),IF($P145&lt;=Einstellungen!$D$18,80*(Einstellungen!$D$18-$P145)/(Einstellungen!$D$18-Einstellungen!$C$18),0))))*Einstellungen!$E$18)/(Einstellungen!$E$16+Einstellungen!$E$17+Einstellungen!$E$18),0))</f>
        <v/>
      </c>
      <c r="Z145">
        <f>IF(AND($E145="",$D145="",$G145="",$V145="",$Q145="",$T145="",$W145="",$U145=""),"",ROUND(IF($E145="",0,IF($E145&lt;Einstellungen!$B$21,0,IF($E145&gt;=Einstellungen!$B$22,100,($E145-Einstellungen!$B$21)/(Einstellungen!$B$22-Einstellungen!$B$21)*100)))/100*Einstellungen!$B$5+IF($W145="",0,$W145/100)*Einstellungen!$B$6+(IF($G145="",0,MAX(0,MIN(100,($G145-Einstellungen!$B$25)/(Einstellungen!$B$26-Einstellungen!$B$25)*100)))+IF($I145="",0,MAX(0,MIN(100,($I145-Einstellungen!$B$27)/(Einstellungen!$B$28-Einstellungen!$B$27)*100))))/2/100*Einstellungen!$B$7+IF($V145="",0,$V145/100)*Einstellungen!$B$8+IF($R145="",0,MAX(0,MIN(100,(Einstellungen!$B$32-$R145)/(Einstellungen!$B$32-Einstellungen!$B$31)*100)))/100*Einstellungen!$B$9+IF($D145="",0,$D145/5*100)/100*Einstellungen!$B$10+IF($AD145="",0,$AD145)/100*Einstellungen!$B$11+IF($U145="",0,$U145/5*100)/100*Einstellungen!$B$12,0))</f>
        <v/>
      </c>
      <c r="AA145">
        <f>IF($X145="","",$X145*1000000000000+IF($G145="",0,$G145)*1000000+IF($H145="",0,$H145)*1000+IF($I145="",0,$I145)+IF($N145="",0,MAX(0,1000-$N145))/1000+IF($A145="",0,$A145)/1000000)</f>
        <v/>
      </c>
      <c r="AB145">
        <f>IF($Y145="","",_xludf.RANK.EQ($Y145,$Y$2:$Y$201,0))</f>
        <v/>
      </c>
    </row>
    <row r="146">
      <c r="T146">
        <f>IFERROR(IF($Q146="","",$Q146/$H146),"")</f>
        <v/>
      </c>
      <c r="U146">
        <f>IFERROR(IF($Q146="","",$Q146/$G146),"")</f>
        <v/>
      </c>
      <c r="Y146">
        <f>IF(AND($L146="",$N146="",$P146=""),"",ROUND((IF($L146="",0,IF($L146&lt;=Einstellungen!$B$16,100,IF($L146&lt;=Einstellungen!$C$16,80+(100-80)*(Einstellungen!$C$16-$L146)/(Einstellungen!$C$16-Einstellungen!$B$16),IF($L146&lt;=Einstellungen!$D$16,80*(Einstellungen!$D$16-$L146)/(Einstellungen!$D$16-Einstellungen!$C$16),0))))*Einstellungen!$E$16+IF($N146="",0,IF($N146&lt;=Einstellungen!$B$17,100,IF($N146&lt;=Einstellungen!$C$17,80+(100-80)*(Einstellungen!$C$17-$N146)/(Einstellungen!$C$17-Einstellungen!$B$17),IF($N146&lt;=Einstellungen!$D$17,80*(Einstellungen!$D$17-$N146)/(Einstellungen!$D$17-Einstellungen!$C$17),0))))*Einstellungen!$E$17+IF($P146="",0,IF($P146&lt;=Einstellungen!$B$18,100,IF($P146&lt;=Einstellungen!$C$18,80+(100-80)*(Einstellungen!$C$18-$P146)/(Einstellungen!$C$18-Einstellungen!$B$18),IF($P146&lt;=Einstellungen!$D$18,80*(Einstellungen!$D$18-$P146)/(Einstellungen!$D$18-Einstellungen!$C$18),0))))*Einstellungen!$E$18)/(Einstellungen!$E$16+Einstellungen!$E$17+Einstellungen!$E$18),0))</f>
        <v/>
      </c>
      <c r="Z146">
        <f>IF(AND($E146="",$D146="",$G146="",$V146="",$Q146="",$T146="",$W146="",$U146=""),"",ROUND(IF($E146="",0,IF($E146&lt;Einstellungen!$B$21,0,IF($E146&gt;=Einstellungen!$B$22,100,($E146-Einstellungen!$B$21)/(Einstellungen!$B$22-Einstellungen!$B$21)*100)))/100*Einstellungen!$B$5+IF($W146="",0,$W146/100)*Einstellungen!$B$6+(IF($G146="",0,MAX(0,MIN(100,($G146-Einstellungen!$B$25)/(Einstellungen!$B$26-Einstellungen!$B$25)*100)))+IF($I146="",0,MAX(0,MIN(100,($I146-Einstellungen!$B$27)/(Einstellungen!$B$28-Einstellungen!$B$27)*100))))/2/100*Einstellungen!$B$7+IF($V146="",0,$V146/100)*Einstellungen!$B$8+IF($R146="",0,MAX(0,MIN(100,(Einstellungen!$B$32-$R146)/(Einstellungen!$B$32-Einstellungen!$B$31)*100)))/100*Einstellungen!$B$9+IF($D146="",0,$D146/5*100)/100*Einstellungen!$B$10+IF($AD146="",0,$AD146)/100*Einstellungen!$B$11+IF($U146="",0,$U146/5*100)/100*Einstellungen!$B$12,0))</f>
        <v/>
      </c>
      <c r="AA146">
        <f>IF($X146="","",$X146*1000000000000+IF($G146="",0,$G146)*1000000+IF($H146="",0,$H146)*1000+IF($I146="",0,$I146)+IF($N146="",0,MAX(0,1000-$N146))/1000+IF($A146="",0,$A146)/1000000)</f>
        <v/>
      </c>
      <c r="AB146">
        <f>IF($Y146="","",_xludf.RANK.EQ($Y146,$Y$2:$Y$201,0))</f>
        <v/>
      </c>
    </row>
    <row r="147">
      <c r="T147">
        <f>IFERROR(IF($Q147="","",$Q147/$H147),"")</f>
        <v/>
      </c>
      <c r="U147">
        <f>IFERROR(IF($Q147="","",$Q147/$G147),"")</f>
        <v/>
      </c>
      <c r="Y147">
        <f>IF(AND($L147="",$N147="",$P147=""),"",ROUND((IF($L147="",0,IF($L147&lt;=Einstellungen!$B$16,100,IF($L147&lt;=Einstellungen!$C$16,80+(100-80)*(Einstellungen!$C$16-$L147)/(Einstellungen!$C$16-Einstellungen!$B$16),IF($L147&lt;=Einstellungen!$D$16,80*(Einstellungen!$D$16-$L147)/(Einstellungen!$D$16-Einstellungen!$C$16),0))))*Einstellungen!$E$16+IF($N147="",0,IF($N147&lt;=Einstellungen!$B$17,100,IF($N147&lt;=Einstellungen!$C$17,80+(100-80)*(Einstellungen!$C$17-$N147)/(Einstellungen!$C$17-Einstellungen!$B$17),IF($N147&lt;=Einstellungen!$D$17,80*(Einstellungen!$D$17-$N147)/(Einstellungen!$D$17-Einstellungen!$C$17),0))))*Einstellungen!$E$17+IF($P147="",0,IF($P147&lt;=Einstellungen!$B$18,100,IF($P147&lt;=Einstellungen!$C$18,80+(100-80)*(Einstellungen!$C$18-$P147)/(Einstellungen!$C$18-Einstellungen!$B$18),IF($P147&lt;=Einstellungen!$D$18,80*(Einstellungen!$D$18-$P147)/(Einstellungen!$D$18-Einstellungen!$C$18),0))))*Einstellungen!$E$18)/(Einstellungen!$E$16+Einstellungen!$E$17+Einstellungen!$E$18),0))</f>
        <v/>
      </c>
      <c r="Z147">
        <f>IF(AND($E147="",$D147="",$G147="",$V147="",$Q147="",$T147="",$W147="",$U147=""),"",ROUND(IF($E147="",0,IF($E147&lt;Einstellungen!$B$21,0,IF($E147&gt;=Einstellungen!$B$22,100,($E147-Einstellungen!$B$21)/(Einstellungen!$B$22-Einstellungen!$B$21)*100)))/100*Einstellungen!$B$5+IF($W147="",0,$W147/100)*Einstellungen!$B$6+(IF($G147="",0,MAX(0,MIN(100,($G147-Einstellungen!$B$25)/(Einstellungen!$B$26-Einstellungen!$B$25)*100)))+IF($I147="",0,MAX(0,MIN(100,($I147-Einstellungen!$B$27)/(Einstellungen!$B$28-Einstellungen!$B$27)*100))))/2/100*Einstellungen!$B$7+IF($V147="",0,$V147/100)*Einstellungen!$B$8+IF($R147="",0,MAX(0,MIN(100,(Einstellungen!$B$32-$R147)/(Einstellungen!$B$32-Einstellungen!$B$31)*100)))/100*Einstellungen!$B$9+IF($D147="",0,$D147/5*100)/100*Einstellungen!$B$10+IF($AD147="",0,$AD147)/100*Einstellungen!$B$11+IF($U147="",0,$U147/5*100)/100*Einstellungen!$B$12,0))</f>
        <v/>
      </c>
      <c r="AA147">
        <f>IF($X147="","",$X147*1000000000000+IF($G147="",0,$G147)*1000000+IF($H147="",0,$H147)*1000+IF($I147="",0,$I147)+IF($N147="",0,MAX(0,1000-$N147))/1000+IF($A147="",0,$A147)/1000000)</f>
        <v/>
      </c>
      <c r="AB147">
        <f>IF($Y147="","",_xludf.RANK.EQ($Y147,$Y$2:$Y$201,0))</f>
        <v/>
      </c>
    </row>
    <row r="148">
      <c r="T148">
        <f>IFERROR(IF($Q148="","",$Q148/$H148),"")</f>
        <v/>
      </c>
      <c r="U148">
        <f>IFERROR(IF($Q148="","",$Q148/$G148),"")</f>
        <v/>
      </c>
      <c r="Y148">
        <f>IF(AND($L148="",$N148="",$P148=""),"",ROUND((IF($L148="",0,IF($L148&lt;=Einstellungen!$B$16,100,IF($L148&lt;=Einstellungen!$C$16,80+(100-80)*(Einstellungen!$C$16-$L148)/(Einstellungen!$C$16-Einstellungen!$B$16),IF($L148&lt;=Einstellungen!$D$16,80*(Einstellungen!$D$16-$L148)/(Einstellungen!$D$16-Einstellungen!$C$16),0))))*Einstellungen!$E$16+IF($N148="",0,IF($N148&lt;=Einstellungen!$B$17,100,IF($N148&lt;=Einstellungen!$C$17,80+(100-80)*(Einstellungen!$C$17-$N148)/(Einstellungen!$C$17-Einstellungen!$B$17),IF($N148&lt;=Einstellungen!$D$17,80*(Einstellungen!$D$17-$N148)/(Einstellungen!$D$17-Einstellungen!$C$17),0))))*Einstellungen!$E$17+IF($P148="",0,IF($P148&lt;=Einstellungen!$B$18,100,IF($P148&lt;=Einstellungen!$C$18,80+(100-80)*(Einstellungen!$C$18-$P148)/(Einstellungen!$C$18-Einstellungen!$B$18),IF($P148&lt;=Einstellungen!$D$18,80*(Einstellungen!$D$18-$P148)/(Einstellungen!$D$18-Einstellungen!$C$18),0))))*Einstellungen!$E$18)/(Einstellungen!$E$16+Einstellungen!$E$17+Einstellungen!$E$18),0))</f>
        <v/>
      </c>
      <c r="Z148">
        <f>IF(AND($E148="",$D148="",$G148="",$V148="",$Q148="",$T148="",$W148="",$U148=""),"",ROUND(IF($E148="",0,IF($E148&lt;Einstellungen!$B$21,0,IF($E148&gt;=Einstellungen!$B$22,100,($E148-Einstellungen!$B$21)/(Einstellungen!$B$22-Einstellungen!$B$21)*100)))/100*Einstellungen!$B$5+IF($W148="",0,$W148/100)*Einstellungen!$B$6+(IF($G148="",0,MAX(0,MIN(100,($G148-Einstellungen!$B$25)/(Einstellungen!$B$26-Einstellungen!$B$25)*100)))+IF($I148="",0,MAX(0,MIN(100,($I148-Einstellungen!$B$27)/(Einstellungen!$B$28-Einstellungen!$B$27)*100))))/2/100*Einstellungen!$B$7+IF($V148="",0,$V148/100)*Einstellungen!$B$8+IF($R148="",0,MAX(0,MIN(100,(Einstellungen!$B$32-$R148)/(Einstellungen!$B$32-Einstellungen!$B$31)*100)))/100*Einstellungen!$B$9+IF($D148="",0,$D148/5*100)/100*Einstellungen!$B$10+IF($AD148="",0,$AD148)/100*Einstellungen!$B$11+IF($U148="",0,$U148/5*100)/100*Einstellungen!$B$12,0))</f>
        <v/>
      </c>
      <c r="AA148">
        <f>IF($X148="","",$X148*1000000000000+IF($G148="",0,$G148)*1000000+IF($H148="",0,$H148)*1000+IF($I148="",0,$I148)+IF($N148="",0,MAX(0,1000-$N148))/1000+IF($A148="",0,$A148)/1000000)</f>
        <v/>
      </c>
      <c r="AB148">
        <f>IF($Y148="","",_xludf.RANK.EQ($Y148,$Y$2:$Y$201,0))</f>
        <v/>
      </c>
    </row>
    <row r="149">
      <c r="T149">
        <f>IFERROR(IF($Q149="","",$Q149/$H149),"")</f>
        <v/>
      </c>
      <c r="U149">
        <f>IFERROR(IF($Q149="","",$Q149/$G149),"")</f>
        <v/>
      </c>
      <c r="Y149">
        <f>IF(AND($L149="",$N149="",$P149=""),"",ROUND((IF($L149="",0,IF($L149&lt;=Einstellungen!$B$16,100,IF($L149&lt;=Einstellungen!$C$16,80+(100-80)*(Einstellungen!$C$16-$L149)/(Einstellungen!$C$16-Einstellungen!$B$16),IF($L149&lt;=Einstellungen!$D$16,80*(Einstellungen!$D$16-$L149)/(Einstellungen!$D$16-Einstellungen!$C$16),0))))*Einstellungen!$E$16+IF($N149="",0,IF($N149&lt;=Einstellungen!$B$17,100,IF($N149&lt;=Einstellungen!$C$17,80+(100-80)*(Einstellungen!$C$17-$N149)/(Einstellungen!$C$17-Einstellungen!$B$17),IF($N149&lt;=Einstellungen!$D$17,80*(Einstellungen!$D$17-$N149)/(Einstellungen!$D$17-Einstellungen!$C$17),0))))*Einstellungen!$E$17+IF($P149="",0,IF($P149&lt;=Einstellungen!$B$18,100,IF($P149&lt;=Einstellungen!$C$18,80+(100-80)*(Einstellungen!$C$18-$P149)/(Einstellungen!$C$18-Einstellungen!$B$18),IF($P149&lt;=Einstellungen!$D$18,80*(Einstellungen!$D$18-$P149)/(Einstellungen!$D$18-Einstellungen!$C$18),0))))*Einstellungen!$E$18)/(Einstellungen!$E$16+Einstellungen!$E$17+Einstellungen!$E$18),0))</f>
        <v/>
      </c>
      <c r="Z149">
        <f>IF(AND($E149="",$D149="",$G149="",$V149="",$Q149="",$T149="",$W149="",$U149=""),"",ROUND(IF($E149="",0,IF($E149&lt;Einstellungen!$B$21,0,IF($E149&gt;=Einstellungen!$B$22,100,($E149-Einstellungen!$B$21)/(Einstellungen!$B$22-Einstellungen!$B$21)*100)))/100*Einstellungen!$B$5+IF($W149="",0,$W149/100)*Einstellungen!$B$6+(IF($G149="",0,MAX(0,MIN(100,($G149-Einstellungen!$B$25)/(Einstellungen!$B$26-Einstellungen!$B$25)*100)))+IF($I149="",0,MAX(0,MIN(100,($I149-Einstellungen!$B$27)/(Einstellungen!$B$28-Einstellungen!$B$27)*100))))/2/100*Einstellungen!$B$7+IF($V149="",0,$V149/100)*Einstellungen!$B$8+IF($R149="",0,MAX(0,MIN(100,(Einstellungen!$B$32-$R149)/(Einstellungen!$B$32-Einstellungen!$B$31)*100)))/100*Einstellungen!$B$9+IF($D149="",0,$D149/5*100)/100*Einstellungen!$B$10+IF($AD149="",0,$AD149)/100*Einstellungen!$B$11+IF($U149="",0,$U149/5*100)/100*Einstellungen!$B$12,0))</f>
        <v/>
      </c>
      <c r="AA149">
        <f>IF($X149="","",$X149*1000000000000+IF($G149="",0,$G149)*1000000+IF($H149="",0,$H149)*1000+IF($I149="",0,$I149)+IF($N149="",0,MAX(0,1000-$N149))/1000+IF($A149="",0,$A149)/1000000)</f>
        <v/>
      </c>
      <c r="AB149">
        <f>IF($Y149="","",_xludf.RANK.EQ($Y149,$Y$2:$Y$201,0))</f>
        <v/>
      </c>
    </row>
    <row r="150">
      <c r="T150">
        <f>IFERROR(IF($Q150="","",$Q150/$H150),"")</f>
        <v/>
      </c>
      <c r="U150">
        <f>IFERROR(IF($Q150="","",$Q150/$G150),"")</f>
        <v/>
      </c>
      <c r="Y150">
        <f>IF(AND($L150="",$N150="",$P150=""),"",ROUND((IF($L150="",0,IF($L150&lt;=Einstellungen!$B$16,100,IF($L150&lt;=Einstellungen!$C$16,80+(100-80)*(Einstellungen!$C$16-$L150)/(Einstellungen!$C$16-Einstellungen!$B$16),IF($L150&lt;=Einstellungen!$D$16,80*(Einstellungen!$D$16-$L150)/(Einstellungen!$D$16-Einstellungen!$C$16),0))))*Einstellungen!$E$16+IF($N150="",0,IF($N150&lt;=Einstellungen!$B$17,100,IF($N150&lt;=Einstellungen!$C$17,80+(100-80)*(Einstellungen!$C$17-$N150)/(Einstellungen!$C$17-Einstellungen!$B$17),IF($N150&lt;=Einstellungen!$D$17,80*(Einstellungen!$D$17-$N150)/(Einstellungen!$D$17-Einstellungen!$C$17),0))))*Einstellungen!$E$17+IF($P150="",0,IF($P150&lt;=Einstellungen!$B$18,100,IF($P150&lt;=Einstellungen!$C$18,80+(100-80)*(Einstellungen!$C$18-$P150)/(Einstellungen!$C$18-Einstellungen!$B$18),IF($P150&lt;=Einstellungen!$D$18,80*(Einstellungen!$D$18-$P150)/(Einstellungen!$D$18-Einstellungen!$C$18),0))))*Einstellungen!$E$18)/(Einstellungen!$E$16+Einstellungen!$E$17+Einstellungen!$E$18),0))</f>
        <v/>
      </c>
      <c r="Z150">
        <f>IF(AND($E150="",$D150="",$G150="",$V150="",$Q150="",$T150="",$W150="",$U150=""),"",ROUND(IF($E150="",0,IF($E150&lt;Einstellungen!$B$21,0,IF($E150&gt;=Einstellungen!$B$22,100,($E150-Einstellungen!$B$21)/(Einstellungen!$B$22-Einstellungen!$B$21)*100)))/100*Einstellungen!$B$5+IF($W150="",0,$W150/100)*Einstellungen!$B$6+(IF($G150="",0,MAX(0,MIN(100,($G150-Einstellungen!$B$25)/(Einstellungen!$B$26-Einstellungen!$B$25)*100)))+IF($I150="",0,MAX(0,MIN(100,($I150-Einstellungen!$B$27)/(Einstellungen!$B$28-Einstellungen!$B$27)*100))))/2/100*Einstellungen!$B$7+IF($V150="",0,$V150/100)*Einstellungen!$B$8+IF($R150="",0,MAX(0,MIN(100,(Einstellungen!$B$32-$R150)/(Einstellungen!$B$32-Einstellungen!$B$31)*100)))/100*Einstellungen!$B$9+IF($D150="",0,$D150/5*100)/100*Einstellungen!$B$10+IF($AD150="",0,$AD150)/100*Einstellungen!$B$11+IF($U150="",0,$U150/5*100)/100*Einstellungen!$B$12,0))</f>
        <v/>
      </c>
      <c r="AA150">
        <f>IF($X150="","",$X150*1000000000000+IF($G150="",0,$G150)*1000000+IF($H150="",0,$H150)*1000+IF($I150="",0,$I150)+IF($N150="",0,MAX(0,1000-$N150))/1000+IF($A150="",0,$A150)/1000000)</f>
        <v/>
      </c>
      <c r="AB150">
        <f>IF($Y150="","",_xludf.RANK.EQ($Y150,$Y$2:$Y$201,0))</f>
        <v/>
      </c>
    </row>
    <row r="151">
      <c r="T151">
        <f>IFERROR(IF($Q151="","",$Q151/$H151),"")</f>
        <v/>
      </c>
      <c r="U151">
        <f>IFERROR(IF($Q151="","",$Q151/$G151),"")</f>
        <v/>
      </c>
      <c r="Y151">
        <f>IF(AND($L151="",$N151="",$P151=""),"",ROUND((IF($L151="",0,IF($L151&lt;=Einstellungen!$B$16,100,IF($L151&lt;=Einstellungen!$C$16,80+(100-80)*(Einstellungen!$C$16-$L151)/(Einstellungen!$C$16-Einstellungen!$B$16),IF($L151&lt;=Einstellungen!$D$16,80*(Einstellungen!$D$16-$L151)/(Einstellungen!$D$16-Einstellungen!$C$16),0))))*Einstellungen!$E$16+IF($N151="",0,IF($N151&lt;=Einstellungen!$B$17,100,IF($N151&lt;=Einstellungen!$C$17,80+(100-80)*(Einstellungen!$C$17-$N151)/(Einstellungen!$C$17-Einstellungen!$B$17),IF($N151&lt;=Einstellungen!$D$17,80*(Einstellungen!$D$17-$N151)/(Einstellungen!$D$17-Einstellungen!$C$17),0))))*Einstellungen!$E$17+IF($P151="",0,IF($P151&lt;=Einstellungen!$B$18,100,IF($P151&lt;=Einstellungen!$C$18,80+(100-80)*(Einstellungen!$C$18-$P151)/(Einstellungen!$C$18-Einstellungen!$B$18),IF($P151&lt;=Einstellungen!$D$18,80*(Einstellungen!$D$18-$P151)/(Einstellungen!$D$18-Einstellungen!$C$18),0))))*Einstellungen!$E$18)/(Einstellungen!$E$16+Einstellungen!$E$17+Einstellungen!$E$18),0))</f>
        <v/>
      </c>
      <c r="Z151">
        <f>IF(AND($E151="",$D151="",$G151="",$V151="",$Q151="",$T151="",$W151="",$U151=""),"",ROUND(IF($E151="",0,IF($E151&lt;Einstellungen!$B$21,0,IF($E151&gt;=Einstellungen!$B$22,100,($E151-Einstellungen!$B$21)/(Einstellungen!$B$22-Einstellungen!$B$21)*100)))/100*Einstellungen!$B$5+IF($W151="",0,$W151/100)*Einstellungen!$B$6+(IF($G151="",0,MAX(0,MIN(100,($G151-Einstellungen!$B$25)/(Einstellungen!$B$26-Einstellungen!$B$25)*100)))+IF($I151="",0,MAX(0,MIN(100,($I151-Einstellungen!$B$27)/(Einstellungen!$B$28-Einstellungen!$B$27)*100))))/2/100*Einstellungen!$B$7+IF($V151="",0,$V151/100)*Einstellungen!$B$8+IF($R151="",0,MAX(0,MIN(100,(Einstellungen!$B$32-$R151)/(Einstellungen!$B$32-Einstellungen!$B$31)*100)))/100*Einstellungen!$B$9+IF($D151="",0,$D151/5*100)/100*Einstellungen!$B$10+IF($AD151="",0,$AD151)/100*Einstellungen!$B$11+IF($U151="",0,$U151/5*100)/100*Einstellungen!$B$12,0))</f>
        <v/>
      </c>
      <c r="AA151">
        <f>IF($X151="","",$X151*1000000000000+IF($G151="",0,$G151)*1000000+IF($H151="",0,$H151)*1000+IF($I151="",0,$I151)+IF($N151="",0,MAX(0,1000-$N151))/1000+IF($A151="",0,$A151)/1000000)</f>
        <v/>
      </c>
      <c r="AB151">
        <f>IF($Y151="","",_xludf.RANK.EQ($Y151,$Y$2:$Y$201,0))</f>
        <v/>
      </c>
    </row>
    <row r="152">
      <c r="T152">
        <f>IFERROR(IF($Q152="","",$Q152/$H152),"")</f>
        <v/>
      </c>
      <c r="U152">
        <f>IFERROR(IF($Q152="","",$Q152/$G152),"")</f>
        <v/>
      </c>
      <c r="Y152">
        <f>IF(AND($L152="",$N152="",$P152=""),"",ROUND((IF($L152="",0,IF($L152&lt;=Einstellungen!$B$16,100,IF($L152&lt;=Einstellungen!$C$16,80+(100-80)*(Einstellungen!$C$16-$L152)/(Einstellungen!$C$16-Einstellungen!$B$16),IF($L152&lt;=Einstellungen!$D$16,80*(Einstellungen!$D$16-$L152)/(Einstellungen!$D$16-Einstellungen!$C$16),0))))*Einstellungen!$E$16+IF($N152="",0,IF($N152&lt;=Einstellungen!$B$17,100,IF($N152&lt;=Einstellungen!$C$17,80+(100-80)*(Einstellungen!$C$17-$N152)/(Einstellungen!$C$17-Einstellungen!$B$17),IF($N152&lt;=Einstellungen!$D$17,80*(Einstellungen!$D$17-$N152)/(Einstellungen!$D$17-Einstellungen!$C$17),0))))*Einstellungen!$E$17+IF($P152="",0,IF($P152&lt;=Einstellungen!$B$18,100,IF($P152&lt;=Einstellungen!$C$18,80+(100-80)*(Einstellungen!$C$18-$P152)/(Einstellungen!$C$18-Einstellungen!$B$18),IF($P152&lt;=Einstellungen!$D$18,80*(Einstellungen!$D$18-$P152)/(Einstellungen!$D$18-Einstellungen!$C$18),0))))*Einstellungen!$E$18)/(Einstellungen!$E$16+Einstellungen!$E$17+Einstellungen!$E$18),0))</f>
        <v/>
      </c>
      <c r="Z152">
        <f>IF(AND($E152="",$D152="",$G152="",$V152="",$Q152="",$T152="",$W152="",$U152=""),"",ROUND(IF($E152="",0,IF($E152&lt;Einstellungen!$B$21,0,IF($E152&gt;=Einstellungen!$B$22,100,($E152-Einstellungen!$B$21)/(Einstellungen!$B$22-Einstellungen!$B$21)*100)))/100*Einstellungen!$B$5+IF($W152="",0,$W152/100)*Einstellungen!$B$6+(IF($G152="",0,MAX(0,MIN(100,($G152-Einstellungen!$B$25)/(Einstellungen!$B$26-Einstellungen!$B$25)*100)))+IF($I152="",0,MAX(0,MIN(100,($I152-Einstellungen!$B$27)/(Einstellungen!$B$28-Einstellungen!$B$27)*100))))/2/100*Einstellungen!$B$7+IF($V152="",0,$V152/100)*Einstellungen!$B$8+IF($R152="",0,MAX(0,MIN(100,(Einstellungen!$B$32-$R152)/(Einstellungen!$B$32-Einstellungen!$B$31)*100)))/100*Einstellungen!$B$9+IF($D152="",0,$D152/5*100)/100*Einstellungen!$B$10+IF($AD152="",0,$AD152)/100*Einstellungen!$B$11+IF($U152="",0,$U152/5*100)/100*Einstellungen!$B$12,0))</f>
        <v/>
      </c>
      <c r="AA152">
        <f>IF($X152="","",$X152*1000000000000+IF($G152="",0,$G152)*1000000+IF($H152="",0,$H152)*1000+IF($I152="",0,$I152)+IF($N152="",0,MAX(0,1000-$N152))/1000+IF($A152="",0,$A152)/1000000)</f>
        <v/>
      </c>
      <c r="AB152">
        <f>IF($Y152="","",_xludf.RANK.EQ($Y152,$Y$2:$Y$201,0))</f>
        <v/>
      </c>
    </row>
    <row r="153">
      <c r="T153">
        <f>IFERROR(IF($Q153="","",$Q153/$H153),"")</f>
        <v/>
      </c>
      <c r="U153">
        <f>IFERROR(IF($Q153="","",$Q153/$G153),"")</f>
        <v/>
      </c>
      <c r="Y153">
        <f>IF(AND($L153="",$N153="",$P153=""),"",ROUND((IF($L153="",0,IF($L153&lt;=Einstellungen!$B$16,100,IF($L153&lt;=Einstellungen!$C$16,80+(100-80)*(Einstellungen!$C$16-$L153)/(Einstellungen!$C$16-Einstellungen!$B$16),IF($L153&lt;=Einstellungen!$D$16,80*(Einstellungen!$D$16-$L153)/(Einstellungen!$D$16-Einstellungen!$C$16),0))))*Einstellungen!$E$16+IF($N153="",0,IF($N153&lt;=Einstellungen!$B$17,100,IF($N153&lt;=Einstellungen!$C$17,80+(100-80)*(Einstellungen!$C$17-$N153)/(Einstellungen!$C$17-Einstellungen!$B$17),IF($N153&lt;=Einstellungen!$D$17,80*(Einstellungen!$D$17-$N153)/(Einstellungen!$D$17-Einstellungen!$C$17),0))))*Einstellungen!$E$17+IF($P153="",0,IF($P153&lt;=Einstellungen!$B$18,100,IF($P153&lt;=Einstellungen!$C$18,80+(100-80)*(Einstellungen!$C$18-$P153)/(Einstellungen!$C$18-Einstellungen!$B$18),IF($P153&lt;=Einstellungen!$D$18,80*(Einstellungen!$D$18-$P153)/(Einstellungen!$D$18-Einstellungen!$C$18),0))))*Einstellungen!$E$18)/(Einstellungen!$E$16+Einstellungen!$E$17+Einstellungen!$E$18),0))</f>
        <v/>
      </c>
      <c r="Z153">
        <f>IF(AND($E153="",$D153="",$G153="",$V153="",$Q153="",$T153="",$W153="",$U153=""),"",ROUND(IF($E153="",0,IF($E153&lt;Einstellungen!$B$21,0,IF($E153&gt;=Einstellungen!$B$22,100,($E153-Einstellungen!$B$21)/(Einstellungen!$B$22-Einstellungen!$B$21)*100)))/100*Einstellungen!$B$5+IF($W153="",0,$W153/100)*Einstellungen!$B$6+(IF($G153="",0,MAX(0,MIN(100,($G153-Einstellungen!$B$25)/(Einstellungen!$B$26-Einstellungen!$B$25)*100)))+IF($I153="",0,MAX(0,MIN(100,($I153-Einstellungen!$B$27)/(Einstellungen!$B$28-Einstellungen!$B$27)*100))))/2/100*Einstellungen!$B$7+IF($V153="",0,$V153/100)*Einstellungen!$B$8+IF($R153="",0,MAX(0,MIN(100,(Einstellungen!$B$32-$R153)/(Einstellungen!$B$32-Einstellungen!$B$31)*100)))/100*Einstellungen!$B$9+IF($D153="",0,$D153/5*100)/100*Einstellungen!$B$10+IF($AD153="",0,$AD153)/100*Einstellungen!$B$11+IF($U153="",0,$U153/5*100)/100*Einstellungen!$B$12,0))</f>
        <v/>
      </c>
      <c r="AA153">
        <f>IF($X153="","",$X153*1000000000000+IF($G153="",0,$G153)*1000000+IF($H153="",0,$H153)*1000+IF($I153="",0,$I153)+IF($N153="",0,MAX(0,1000-$N153))/1000+IF($A153="",0,$A153)/1000000)</f>
        <v/>
      </c>
      <c r="AB153">
        <f>IF($Y153="","",_xludf.RANK.EQ($Y153,$Y$2:$Y$201,0))</f>
        <v/>
      </c>
    </row>
    <row r="154">
      <c r="T154">
        <f>IFERROR(IF($Q154="","",$Q154/$H154),"")</f>
        <v/>
      </c>
      <c r="U154">
        <f>IFERROR(IF($Q154="","",$Q154/$G154),"")</f>
        <v/>
      </c>
      <c r="Y154">
        <f>IF(AND($L154="",$N154="",$P154=""),"",ROUND((IF($L154="",0,IF($L154&lt;=Einstellungen!$B$16,100,IF($L154&lt;=Einstellungen!$C$16,80+(100-80)*(Einstellungen!$C$16-$L154)/(Einstellungen!$C$16-Einstellungen!$B$16),IF($L154&lt;=Einstellungen!$D$16,80*(Einstellungen!$D$16-$L154)/(Einstellungen!$D$16-Einstellungen!$C$16),0))))*Einstellungen!$E$16+IF($N154="",0,IF($N154&lt;=Einstellungen!$B$17,100,IF($N154&lt;=Einstellungen!$C$17,80+(100-80)*(Einstellungen!$C$17-$N154)/(Einstellungen!$C$17-Einstellungen!$B$17),IF($N154&lt;=Einstellungen!$D$17,80*(Einstellungen!$D$17-$N154)/(Einstellungen!$D$17-Einstellungen!$C$17),0))))*Einstellungen!$E$17+IF($P154="",0,IF($P154&lt;=Einstellungen!$B$18,100,IF($P154&lt;=Einstellungen!$C$18,80+(100-80)*(Einstellungen!$C$18-$P154)/(Einstellungen!$C$18-Einstellungen!$B$18),IF($P154&lt;=Einstellungen!$D$18,80*(Einstellungen!$D$18-$P154)/(Einstellungen!$D$18-Einstellungen!$C$18),0))))*Einstellungen!$E$18)/(Einstellungen!$E$16+Einstellungen!$E$17+Einstellungen!$E$18),0))</f>
        <v/>
      </c>
      <c r="Z154">
        <f>IF(AND($E154="",$D154="",$G154="",$V154="",$Q154="",$T154="",$W154="",$U154=""),"",ROUND(IF($E154="",0,IF($E154&lt;Einstellungen!$B$21,0,IF($E154&gt;=Einstellungen!$B$22,100,($E154-Einstellungen!$B$21)/(Einstellungen!$B$22-Einstellungen!$B$21)*100)))/100*Einstellungen!$B$5+IF($W154="",0,$W154/100)*Einstellungen!$B$6+(IF($G154="",0,MAX(0,MIN(100,($G154-Einstellungen!$B$25)/(Einstellungen!$B$26-Einstellungen!$B$25)*100)))+IF($I154="",0,MAX(0,MIN(100,($I154-Einstellungen!$B$27)/(Einstellungen!$B$28-Einstellungen!$B$27)*100))))/2/100*Einstellungen!$B$7+IF($V154="",0,$V154/100)*Einstellungen!$B$8+IF($R154="",0,MAX(0,MIN(100,(Einstellungen!$B$32-$R154)/(Einstellungen!$B$32-Einstellungen!$B$31)*100)))/100*Einstellungen!$B$9+IF($D154="",0,$D154/5*100)/100*Einstellungen!$B$10+IF($AD154="",0,$AD154)/100*Einstellungen!$B$11+IF($U154="",0,$U154/5*100)/100*Einstellungen!$B$12,0))</f>
        <v/>
      </c>
      <c r="AA154">
        <f>IF($X154="","",$X154*1000000000000+IF($G154="",0,$G154)*1000000+IF($H154="",0,$H154)*1000+IF($I154="",0,$I154)+IF($N154="",0,MAX(0,1000-$N154))/1000+IF($A154="",0,$A154)/1000000)</f>
        <v/>
      </c>
      <c r="AB154">
        <f>IF($Y154="","",_xludf.RANK.EQ($Y154,$Y$2:$Y$201,0))</f>
        <v/>
      </c>
    </row>
    <row r="155">
      <c r="T155">
        <f>IFERROR(IF($Q155="","",$Q155/$H155),"")</f>
        <v/>
      </c>
      <c r="U155">
        <f>IFERROR(IF($Q155="","",$Q155/$G155),"")</f>
        <v/>
      </c>
      <c r="Y155">
        <f>IF(AND($L155="",$N155="",$P155=""),"",ROUND((IF($L155="",0,IF($L155&lt;=Einstellungen!$B$16,100,IF($L155&lt;=Einstellungen!$C$16,80+(100-80)*(Einstellungen!$C$16-$L155)/(Einstellungen!$C$16-Einstellungen!$B$16),IF($L155&lt;=Einstellungen!$D$16,80*(Einstellungen!$D$16-$L155)/(Einstellungen!$D$16-Einstellungen!$C$16),0))))*Einstellungen!$E$16+IF($N155="",0,IF($N155&lt;=Einstellungen!$B$17,100,IF($N155&lt;=Einstellungen!$C$17,80+(100-80)*(Einstellungen!$C$17-$N155)/(Einstellungen!$C$17-Einstellungen!$B$17),IF($N155&lt;=Einstellungen!$D$17,80*(Einstellungen!$D$17-$N155)/(Einstellungen!$D$17-Einstellungen!$C$17),0))))*Einstellungen!$E$17+IF($P155="",0,IF($P155&lt;=Einstellungen!$B$18,100,IF($P155&lt;=Einstellungen!$C$18,80+(100-80)*(Einstellungen!$C$18-$P155)/(Einstellungen!$C$18-Einstellungen!$B$18),IF($P155&lt;=Einstellungen!$D$18,80*(Einstellungen!$D$18-$P155)/(Einstellungen!$D$18-Einstellungen!$C$18),0))))*Einstellungen!$E$18)/(Einstellungen!$E$16+Einstellungen!$E$17+Einstellungen!$E$18),0))</f>
        <v/>
      </c>
      <c r="Z155">
        <f>IF(AND($E155="",$D155="",$G155="",$V155="",$Q155="",$T155="",$W155="",$U155=""),"",ROUND(IF($E155="",0,IF($E155&lt;Einstellungen!$B$21,0,IF($E155&gt;=Einstellungen!$B$22,100,($E155-Einstellungen!$B$21)/(Einstellungen!$B$22-Einstellungen!$B$21)*100)))/100*Einstellungen!$B$5+IF($W155="",0,$W155/100)*Einstellungen!$B$6+(IF($G155="",0,MAX(0,MIN(100,($G155-Einstellungen!$B$25)/(Einstellungen!$B$26-Einstellungen!$B$25)*100)))+IF($I155="",0,MAX(0,MIN(100,($I155-Einstellungen!$B$27)/(Einstellungen!$B$28-Einstellungen!$B$27)*100))))/2/100*Einstellungen!$B$7+IF($V155="",0,$V155/100)*Einstellungen!$B$8+IF($R155="",0,MAX(0,MIN(100,(Einstellungen!$B$32-$R155)/(Einstellungen!$B$32-Einstellungen!$B$31)*100)))/100*Einstellungen!$B$9+IF($D155="",0,$D155/5*100)/100*Einstellungen!$B$10+IF($AD155="",0,$AD155)/100*Einstellungen!$B$11+IF($U155="",0,$U155/5*100)/100*Einstellungen!$B$12,0))</f>
        <v/>
      </c>
      <c r="AA155">
        <f>IF($X155="","",$X155*1000000000000+IF($G155="",0,$G155)*1000000+IF($H155="",0,$H155)*1000+IF($I155="",0,$I155)+IF($N155="",0,MAX(0,1000-$N155))/1000+IF($A155="",0,$A155)/1000000)</f>
        <v/>
      </c>
      <c r="AB155">
        <f>IF($Y155="","",_xludf.RANK.EQ($Y155,$Y$2:$Y$201,0))</f>
        <v/>
      </c>
    </row>
    <row r="156">
      <c r="T156">
        <f>IFERROR(IF($Q156="","",$Q156/$H156),"")</f>
        <v/>
      </c>
      <c r="U156">
        <f>IFERROR(IF($Q156="","",$Q156/$G156),"")</f>
        <v/>
      </c>
      <c r="Y156">
        <f>IF(AND($L156="",$N156="",$P156=""),"",ROUND((IF($L156="",0,IF($L156&lt;=Einstellungen!$B$16,100,IF($L156&lt;=Einstellungen!$C$16,80+(100-80)*(Einstellungen!$C$16-$L156)/(Einstellungen!$C$16-Einstellungen!$B$16),IF($L156&lt;=Einstellungen!$D$16,80*(Einstellungen!$D$16-$L156)/(Einstellungen!$D$16-Einstellungen!$C$16),0))))*Einstellungen!$E$16+IF($N156="",0,IF($N156&lt;=Einstellungen!$B$17,100,IF($N156&lt;=Einstellungen!$C$17,80+(100-80)*(Einstellungen!$C$17-$N156)/(Einstellungen!$C$17-Einstellungen!$B$17),IF($N156&lt;=Einstellungen!$D$17,80*(Einstellungen!$D$17-$N156)/(Einstellungen!$D$17-Einstellungen!$C$17),0))))*Einstellungen!$E$17+IF($P156="",0,IF($P156&lt;=Einstellungen!$B$18,100,IF($P156&lt;=Einstellungen!$C$18,80+(100-80)*(Einstellungen!$C$18-$P156)/(Einstellungen!$C$18-Einstellungen!$B$18),IF($P156&lt;=Einstellungen!$D$18,80*(Einstellungen!$D$18-$P156)/(Einstellungen!$D$18-Einstellungen!$C$18),0))))*Einstellungen!$E$18)/(Einstellungen!$E$16+Einstellungen!$E$17+Einstellungen!$E$18),0))</f>
        <v/>
      </c>
      <c r="Z156">
        <f>IF(AND($E156="",$D156="",$G156="",$V156="",$Q156="",$T156="",$W156="",$U156=""),"",ROUND(IF($E156="",0,IF($E156&lt;Einstellungen!$B$21,0,IF($E156&gt;=Einstellungen!$B$22,100,($E156-Einstellungen!$B$21)/(Einstellungen!$B$22-Einstellungen!$B$21)*100)))/100*Einstellungen!$B$5+IF($W156="",0,$W156/100)*Einstellungen!$B$6+(IF($G156="",0,MAX(0,MIN(100,($G156-Einstellungen!$B$25)/(Einstellungen!$B$26-Einstellungen!$B$25)*100)))+IF($I156="",0,MAX(0,MIN(100,($I156-Einstellungen!$B$27)/(Einstellungen!$B$28-Einstellungen!$B$27)*100))))/2/100*Einstellungen!$B$7+IF($V156="",0,$V156/100)*Einstellungen!$B$8+IF($R156="",0,MAX(0,MIN(100,(Einstellungen!$B$32-$R156)/(Einstellungen!$B$32-Einstellungen!$B$31)*100)))/100*Einstellungen!$B$9+IF($D156="",0,$D156/5*100)/100*Einstellungen!$B$10+IF($AD156="",0,$AD156)/100*Einstellungen!$B$11+IF($U156="",0,$U156/5*100)/100*Einstellungen!$B$12,0))</f>
        <v/>
      </c>
      <c r="AA156">
        <f>IF($X156="","",$X156*1000000000000+IF($G156="",0,$G156)*1000000+IF($H156="",0,$H156)*1000+IF($I156="",0,$I156)+IF($N156="",0,MAX(0,1000-$N156))/1000+IF($A156="",0,$A156)/1000000)</f>
        <v/>
      </c>
      <c r="AB156">
        <f>IF($Y156="","",_xludf.RANK.EQ($Y156,$Y$2:$Y$201,0))</f>
        <v/>
      </c>
    </row>
    <row r="157">
      <c r="T157">
        <f>IFERROR(IF($Q157="","",$Q157/$H157),"")</f>
        <v/>
      </c>
      <c r="U157">
        <f>IFERROR(IF($Q157="","",$Q157/$G157),"")</f>
        <v/>
      </c>
      <c r="Y157">
        <f>IF(AND($L157="",$N157="",$P157=""),"",ROUND((IF($L157="",0,IF($L157&lt;=Einstellungen!$B$16,100,IF($L157&lt;=Einstellungen!$C$16,80+(100-80)*(Einstellungen!$C$16-$L157)/(Einstellungen!$C$16-Einstellungen!$B$16),IF($L157&lt;=Einstellungen!$D$16,80*(Einstellungen!$D$16-$L157)/(Einstellungen!$D$16-Einstellungen!$C$16),0))))*Einstellungen!$E$16+IF($N157="",0,IF($N157&lt;=Einstellungen!$B$17,100,IF($N157&lt;=Einstellungen!$C$17,80+(100-80)*(Einstellungen!$C$17-$N157)/(Einstellungen!$C$17-Einstellungen!$B$17),IF($N157&lt;=Einstellungen!$D$17,80*(Einstellungen!$D$17-$N157)/(Einstellungen!$D$17-Einstellungen!$C$17),0))))*Einstellungen!$E$17+IF($P157="",0,IF($P157&lt;=Einstellungen!$B$18,100,IF($P157&lt;=Einstellungen!$C$18,80+(100-80)*(Einstellungen!$C$18-$P157)/(Einstellungen!$C$18-Einstellungen!$B$18),IF($P157&lt;=Einstellungen!$D$18,80*(Einstellungen!$D$18-$P157)/(Einstellungen!$D$18-Einstellungen!$C$18),0))))*Einstellungen!$E$18)/(Einstellungen!$E$16+Einstellungen!$E$17+Einstellungen!$E$18),0))</f>
        <v/>
      </c>
      <c r="Z157">
        <f>IF(AND($E157="",$D157="",$G157="",$V157="",$Q157="",$T157="",$W157="",$U157=""),"",ROUND(IF($E157="",0,IF($E157&lt;Einstellungen!$B$21,0,IF($E157&gt;=Einstellungen!$B$22,100,($E157-Einstellungen!$B$21)/(Einstellungen!$B$22-Einstellungen!$B$21)*100)))/100*Einstellungen!$B$5+IF($W157="",0,$W157/100)*Einstellungen!$B$6+(IF($G157="",0,MAX(0,MIN(100,($G157-Einstellungen!$B$25)/(Einstellungen!$B$26-Einstellungen!$B$25)*100)))+IF($I157="",0,MAX(0,MIN(100,($I157-Einstellungen!$B$27)/(Einstellungen!$B$28-Einstellungen!$B$27)*100))))/2/100*Einstellungen!$B$7+IF($V157="",0,$V157/100)*Einstellungen!$B$8+IF($R157="",0,MAX(0,MIN(100,(Einstellungen!$B$32-$R157)/(Einstellungen!$B$32-Einstellungen!$B$31)*100)))/100*Einstellungen!$B$9+IF($D157="",0,$D157/5*100)/100*Einstellungen!$B$10+IF($AD157="",0,$AD157)/100*Einstellungen!$B$11+IF($U157="",0,$U157/5*100)/100*Einstellungen!$B$12,0))</f>
        <v/>
      </c>
      <c r="AA157">
        <f>IF($X157="","",$X157*1000000000000+IF($G157="",0,$G157)*1000000+IF($H157="",0,$H157)*1000+IF($I157="",0,$I157)+IF($N157="",0,MAX(0,1000-$N157))/1000+IF($A157="",0,$A157)/1000000)</f>
        <v/>
      </c>
      <c r="AB157">
        <f>IF($Y157="","",_xludf.RANK.EQ($Y157,$Y$2:$Y$201,0))</f>
        <v/>
      </c>
    </row>
    <row r="158">
      <c r="T158">
        <f>IFERROR(IF($Q158="","",$Q158/$H158),"")</f>
        <v/>
      </c>
      <c r="U158">
        <f>IFERROR(IF($Q158="","",$Q158/$G158),"")</f>
        <v/>
      </c>
      <c r="Y158">
        <f>IF(AND($L158="",$N158="",$P158=""),"",ROUND((IF($L158="",0,IF($L158&lt;=Einstellungen!$B$16,100,IF($L158&lt;=Einstellungen!$C$16,80+(100-80)*(Einstellungen!$C$16-$L158)/(Einstellungen!$C$16-Einstellungen!$B$16),IF($L158&lt;=Einstellungen!$D$16,80*(Einstellungen!$D$16-$L158)/(Einstellungen!$D$16-Einstellungen!$C$16),0))))*Einstellungen!$E$16+IF($N158="",0,IF($N158&lt;=Einstellungen!$B$17,100,IF($N158&lt;=Einstellungen!$C$17,80+(100-80)*(Einstellungen!$C$17-$N158)/(Einstellungen!$C$17-Einstellungen!$B$17),IF($N158&lt;=Einstellungen!$D$17,80*(Einstellungen!$D$17-$N158)/(Einstellungen!$D$17-Einstellungen!$C$17),0))))*Einstellungen!$E$17+IF($P158="",0,IF($P158&lt;=Einstellungen!$B$18,100,IF($P158&lt;=Einstellungen!$C$18,80+(100-80)*(Einstellungen!$C$18-$P158)/(Einstellungen!$C$18-Einstellungen!$B$18),IF($P158&lt;=Einstellungen!$D$18,80*(Einstellungen!$D$18-$P158)/(Einstellungen!$D$18-Einstellungen!$C$18),0))))*Einstellungen!$E$18)/(Einstellungen!$E$16+Einstellungen!$E$17+Einstellungen!$E$18),0))</f>
        <v/>
      </c>
      <c r="Z158">
        <f>IF(AND($E158="",$D158="",$G158="",$V158="",$Q158="",$T158="",$W158="",$U158=""),"",ROUND(IF($E158="",0,IF($E158&lt;Einstellungen!$B$21,0,IF($E158&gt;=Einstellungen!$B$22,100,($E158-Einstellungen!$B$21)/(Einstellungen!$B$22-Einstellungen!$B$21)*100)))/100*Einstellungen!$B$5+IF($W158="",0,$W158/100)*Einstellungen!$B$6+(IF($G158="",0,MAX(0,MIN(100,($G158-Einstellungen!$B$25)/(Einstellungen!$B$26-Einstellungen!$B$25)*100)))+IF($I158="",0,MAX(0,MIN(100,($I158-Einstellungen!$B$27)/(Einstellungen!$B$28-Einstellungen!$B$27)*100))))/2/100*Einstellungen!$B$7+IF($V158="",0,$V158/100)*Einstellungen!$B$8+IF($R158="",0,MAX(0,MIN(100,(Einstellungen!$B$32-$R158)/(Einstellungen!$B$32-Einstellungen!$B$31)*100)))/100*Einstellungen!$B$9+IF($D158="",0,$D158/5*100)/100*Einstellungen!$B$10+IF($AD158="",0,$AD158)/100*Einstellungen!$B$11+IF($U158="",0,$U158/5*100)/100*Einstellungen!$B$12,0))</f>
        <v/>
      </c>
      <c r="AA158">
        <f>IF($X158="","",$X158*1000000000000+IF($G158="",0,$G158)*1000000+IF($H158="",0,$H158)*1000+IF($I158="",0,$I158)+IF($N158="",0,MAX(0,1000-$N158))/1000+IF($A158="",0,$A158)/1000000)</f>
        <v/>
      </c>
      <c r="AB158">
        <f>IF($Y158="","",_xludf.RANK.EQ($Y158,$Y$2:$Y$201,0))</f>
        <v/>
      </c>
    </row>
    <row r="159">
      <c r="T159">
        <f>IFERROR(IF($Q159="","",$Q159/$H159),"")</f>
        <v/>
      </c>
      <c r="U159">
        <f>IFERROR(IF($Q159="","",$Q159/$G159),"")</f>
        <v/>
      </c>
      <c r="Y159">
        <f>IF(AND($L159="",$N159="",$P159=""),"",ROUND((IF($L159="",0,IF($L159&lt;=Einstellungen!$B$16,100,IF($L159&lt;=Einstellungen!$C$16,80+(100-80)*(Einstellungen!$C$16-$L159)/(Einstellungen!$C$16-Einstellungen!$B$16),IF($L159&lt;=Einstellungen!$D$16,80*(Einstellungen!$D$16-$L159)/(Einstellungen!$D$16-Einstellungen!$C$16),0))))*Einstellungen!$E$16+IF($N159="",0,IF($N159&lt;=Einstellungen!$B$17,100,IF($N159&lt;=Einstellungen!$C$17,80+(100-80)*(Einstellungen!$C$17-$N159)/(Einstellungen!$C$17-Einstellungen!$B$17),IF($N159&lt;=Einstellungen!$D$17,80*(Einstellungen!$D$17-$N159)/(Einstellungen!$D$17-Einstellungen!$C$17),0))))*Einstellungen!$E$17+IF($P159="",0,IF($P159&lt;=Einstellungen!$B$18,100,IF($P159&lt;=Einstellungen!$C$18,80+(100-80)*(Einstellungen!$C$18-$P159)/(Einstellungen!$C$18-Einstellungen!$B$18),IF($P159&lt;=Einstellungen!$D$18,80*(Einstellungen!$D$18-$P159)/(Einstellungen!$D$18-Einstellungen!$C$18),0))))*Einstellungen!$E$18)/(Einstellungen!$E$16+Einstellungen!$E$17+Einstellungen!$E$18),0))</f>
        <v/>
      </c>
      <c r="Z159">
        <f>IF(AND($E159="",$D159="",$G159="",$V159="",$Q159="",$T159="",$W159="",$U159=""),"",ROUND(IF($E159="",0,IF($E159&lt;Einstellungen!$B$21,0,IF($E159&gt;=Einstellungen!$B$22,100,($E159-Einstellungen!$B$21)/(Einstellungen!$B$22-Einstellungen!$B$21)*100)))/100*Einstellungen!$B$5+IF($W159="",0,$W159/100)*Einstellungen!$B$6+(IF($G159="",0,MAX(0,MIN(100,($G159-Einstellungen!$B$25)/(Einstellungen!$B$26-Einstellungen!$B$25)*100)))+IF($I159="",0,MAX(0,MIN(100,($I159-Einstellungen!$B$27)/(Einstellungen!$B$28-Einstellungen!$B$27)*100))))/2/100*Einstellungen!$B$7+IF($V159="",0,$V159/100)*Einstellungen!$B$8+IF($R159="",0,MAX(0,MIN(100,(Einstellungen!$B$32-$R159)/(Einstellungen!$B$32-Einstellungen!$B$31)*100)))/100*Einstellungen!$B$9+IF($D159="",0,$D159/5*100)/100*Einstellungen!$B$10+IF($AD159="",0,$AD159)/100*Einstellungen!$B$11+IF($U159="",0,$U159/5*100)/100*Einstellungen!$B$12,0))</f>
        <v/>
      </c>
      <c r="AA159">
        <f>IF($X159="","",$X159*1000000000000+IF($G159="",0,$G159)*1000000+IF($H159="",0,$H159)*1000+IF($I159="",0,$I159)+IF($N159="",0,MAX(0,1000-$N159))/1000+IF($A159="",0,$A159)/1000000)</f>
        <v/>
      </c>
      <c r="AB159">
        <f>IF($Y159="","",_xludf.RANK.EQ($Y159,$Y$2:$Y$201,0))</f>
        <v/>
      </c>
    </row>
    <row r="160">
      <c r="T160">
        <f>IFERROR(IF($Q160="","",$Q160/$H160),"")</f>
        <v/>
      </c>
      <c r="U160">
        <f>IFERROR(IF($Q160="","",$Q160/$G160),"")</f>
        <v/>
      </c>
      <c r="Y160">
        <f>IF(AND($L160="",$N160="",$P160=""),"",ROUND((IF($L160="",0,IF($L160&lt;=Einstellungen!$B$16,100,IF($L160&lt;=Einstellungen!$C$16,80+(100-80)*(Einstellungen!$C$16-$L160)/(Einstellungen!$C$16-Einstellungen!$B$16),IF($L160&lt;=Einstellungen!$D$16,80*(Einstellungen!$D$16-$L160)/(Einstellungen!$D$16-Einstellungen!$C$16),0))))*Einstellungen!$E$16+IF($N160="",0,IF($N160&lt;=Einstellungen!$B$17,100,IF($N160&lt;=Einstellungen!$C$17,80+(100-80)*(Einstellungen!$C$17-$N160)/(Einstellungen!$C$17-Einstellungen!$B$17),IF($N160&lt;=Einstellungen!$D$17,80*(Einstellungen!$D$17-$N160)/(Einstellungen!$D$17-Einstellungen!$C$17),0))))*Einstellungen!$E$17+IF($P160="",0,IF($P160&lt;=Einstellungen!$B$18,100,IF($P160&lt;=Einstellungen!$C$18,80+(100-80)*(Einstellungen!$C$18-$P160)/(Einstellungen!$C$18-Einstellungen!$B$18),IF($P160&lt;=Einstellungen!$D$18,80*(Einstellungen!$D$18-$P160)/(Einstellungen!$D$18-Einstellungen!$C$18),0))))*Einstellungen!$E$18)/(Einstellungen!$E$16+Einstellungen!$E$17+Einstellungen!$E$18),0))</f>
        <v/>
      </c>
      <c r="Z160">
        <f>IF(AND($E160="",$D160="",$G160="",$V160="",$Q160="",$T160="",$W160="",$U160=""),"",ROUND(IF($E160="",0,IF($E160&lt;Einstellungen!$B$21,0,IF($E160&gt;=Einstellungen!$B$22,100,($E160-Einstellungen!$B$21)/(Einstellungen!$B$22-Einstellungen!$B$21)*100)))/100*Einstellungen!$B$5+IF($W160="",0,$W160/100)*Einstellungen!$B$6+(IF($G160="",0,MAX(0,MIN(100,($G160-Einstellungen!$B$25)/(Einstellungen!$B$26-Einstellungen!$B$25)*100)))+IF($I160="",0,MAX(0,MIN(100,($I160-Einstellungen!$B$27)/(Einstellungen!$B$28-Einstellungen!$B$27)*100))))/2/100*Einstellungen!$B$7+IF($V160="",0,$V160/100)*Einstellungen!$B$8+IF($R160="",0,MAX(0,MIN(100,(Einstellungen!$B$32-$R160)/(Einstellungen!$B$32-Einstellungen!$B$31)*100)))/100*Einstellungen!$B$9+IF($D160="",0,$D160/5*100)/100*Einstellungen!$B$10+IF($AD160="",0,$AD160)/100*Einstellungen!$B$11+IF($U160="",0,$U160/5*100)/100*Einstellungen!$B$12,0))</f>
        <v/>
      </c>
      <c r="AA160">
        <f>IF($X160="","",$X160*1000000000000+IF($G160="",0,$G160)*1000000+IF($H160="",0,$H160)*1000+IF($I160="",0,$I160)+IF($N160="",0,MAX(0,1000-$N160))/1000+IF($A160="",0,$A160)/1000000)</f>
        <v/>
      </c>
      <c r="AB160">
        <f>IF($Y160="","",_xludf.RANK.EQ($Y160,$Y$2:$Y$201,0))</f>
        <v/>
      </c>
    </row>
    <row r="161">
      <c r="T161">
        <f>IFERROR(IF($Q161="","",$Q161/$H161),"")</f>
        <v/>
      </c>
      <c r="U161">
        <f>IFERROR(IF($Q161="","",$Q161/$G161),"")</f>
        <v/>
      </c>
      <c r="Y161">
        <f>IF(AND($L161="",$N161="",$P161=""),"",ROUND((IF($L161="",0,IF($L161&lt;=Einstellungen!$B$16,100,IF($L161&lt;=Einstellungen!$C$16,80+(100-80)*(Einstellungen!$C$16-$L161)/(Einstellungen!$C$16-Einstellungen!$B$16),IF($L161&lt;=Einstellungen!$D$16,80*(Einstellungen!$D$16-$L161)/(Einstellungen!$D$16-Einstellungen!$C$16),0))))*Einstellungen!$E$16+IF($N161="",0,IF($N161&lt;=Einstellungen!$B$17,100,IF($N161&lt;=Einstellungen!$C$17,80+(100-80)*(Einstellungen!$C$17-$N161)/(Einstellungen!$C$17-Einstellungen!$B$17),IF($N161&lt;=Einstellungen!$D$17,80*(Einstellungen!$D$17-$N161)/(Einstellungen!$D$17-Einstellungen!$C$17),0))))*Einstellungen!$E$17+IF($P161="",0,IF($P161&lt;=Einstellungen!$B$18,100,IF($P161&lt;=Einstellungen!$C$18,80+(100-80)*(Einstellungen!$C$18-$P161)/(Einstellungen!$C$18-Einstellungen!$B$18),IF($P161&lt;=Einstellungen!$D$18,80*(Einstellungen!$D$18-$P161)/(Einstellungen!$D$18-Einstellungen!$C$18),0))))*Einstellungen!$E$18)/(Einstellungen!$E$16+Einstellungen!$E$17+Einstellungen!$E$18),0))</f>
        <v/>
      </c>
      <c r="Z161">
        <f>IF(AND($E161="",$D161="",$G161="",$V161="",$Q161="",$T161="",$W161="",$U161=""),"",ROUND(IF($E161="",0,IF($E161&lt;Einstellungen!$B$21,0,IF($E161&gt;=Einstellungen!$B$22,100,($E161-Einstellungen!$B$21)/(Einstellungen!$B$22-Einstellungen!$B$21)*100)))/100*Einstellungen!$B$5+IF($W161="",0,$W161/100)*Einstellungen!$B$6+(IF($G161="",0,MAX(0,MIN(100,($G161-Einstellungen!$B$25)/(Einstellungen!$B$26-Einstellungen!$B$25)*100)))+IF($I161="",0,MAX(0,MIN(100,($I161-Einstellungen!$B$27)/(Einstellungen!$B$28-Einstellungen!$B$27)*100))))/2/100*Einstellungen!$B$7+IF($V161="",0,$V161/100)*Einstellungen!$B$8+IF($R161="",0,MAX(0,MIN(100,(Einstellungen!$B$32-$R161)/(Einstellungen!$B$32-Einstellungen!$B$31)*100)))/100*Einstellungen!$B$9+IF($D161="",0,$D161/5*100)/100*Einstellungen!$B$10+IF($AD161="",0,$AD161)/100*Einstellungen!$B$11+IF($U161="",0,$U161/5*100)/100*Einstellungen!$B$12,0))</f>
        <v/>
      </c>
      <c r="AA161">
        <f>IF($X161="","",$X161*1000000000000+IF($G161="",0,$G161)*1000000+IF($H161="",0,$H161)*1000+IF($I161="",0,$I161)+IF($N161="",0,MAX(0,1000-$N161))/1000+IF($A161="",0,$A161)/1000000)</f>
        <v/>
      </c>
      <c r="AB161">
        <f>IF($Y161="","",_xludf.RANK.EQ($Y161,$Y$2:$Y$201,0))</f>
        <v/>
      </c>
    </row>
    <row r="162">
      <c r="T162">
        <f>IFERROR(IF($Q162="","",$Q162/$H162),"")</f>
        <v/>
      </c>
      <c r="U162">
        <f>IFERROR(IF($Q162="","",$Q162/$G162),"")</f>
        <v/>
      </c>
      <c r="Y162">
        <f>IF(AND($L162="",$N162="",$P162=""),"",ROUND((IF($L162="",0,IF($L162&lt;=Einstellungen!$B$16,100,IF($L162&lt;=Einstellungen!$C$16,80+(100-80)*(Einstellungen!$C$16-$L162)/(Einstellungen!$C$16-Einstellungen!$B$16),IF($L162&lt;=Einstellungen!$D$16,80*(Einstellungen!$D$16-$L162)/(Einstellungen!$D$16-Einstellungen!$C$16),0))))*Einstellungen!$E$16+IF($N162="",0,IF($N162&lt;=Einstellungen!$B$17,100,IF($N162&lt;=Einstellungen!$C$17,80+(100-80)*(Einstellungen!$C$17-$N162)/(Einstellungen!$C$17-Einstellungen!$B$17),IF($N162&lt;=Einstellungen!$D$17,80*(Einstellungen!$D$17-$N162)/(Einstellungen!$D$17-Einstellungen!$C$17),0))))*Einstellungen!$E$17+IF($P162="",0,IF($P162&lt;=Einstellungen!$B$18,100,IF($P162&lt;=Einstellungen!$C$18,80+(100-80)*(Einstellungen!$C$18-$P162)/(Einstellungen!$C$18-Einstellungen!$B$18),IF($P162&lt;=Einstellungen!$D$18,80*(Einstellungen!$D$18-$P162)/(Einstellungen!$D$18-Einstellungen!$C$18),0))))*Einstellungen!$E$18)/(Einstellungen!$E$16+Einstellungen!$E$17+Einstellungen!$E$18),0))</f>
        <v/>
      </c>
      <c r="Z162">
        <f>IF(AND($E162="",$D162="",$G162="",$V162="",$Q162="",$T162="",$W162="",$U162=""),"",ROUND(IF($E162="",0,IF($E162&lt;Einstellungen!$B$21,0,IF($E162&gt;=Einstellungen!$B$22,100,($E162-Einstellungen!$B$21)/(Einstellungen!$B$22-Einstellungen!$B$21)*100)))/100*Einstellungen!$B$5+IF($W162="",0,$W162/100)*Einstellungen!$B$6+(IF($G162="",0,MAX(0,MIN(100,($G162-Einstellungen!$B$25)/(Einstellungen!$B$26-Einstellungen!$B$25)*100)))+IF($I162="",0,MAX(0,MIN(100,($I162-Einstellungen!$B$27)/(Einstellungen!$B$28-Einstellungen!$B$27)*100))))/2/100*Einstellungen!$B$7+IF($V162="",0,$V162/100)*Einstellungen!$B$8+IF($R162="",0,MAX(0,MIN(100,(Einstellungen!$B$32-$R162)/(Einstellungen!$B$32-Einstellungen!$B$31)*100)))/100*Einstellungen!$B$9+IF($D162="",0,$D162/5*100)/100*Einstellungen!$B$10+IF($AD162="",0,$AD162)/100*Einstellungen!$B$11+IF($U162="",0,$U162/5*100)/100*Einstellungen!$B$12,0))</f>
        <v/>
      </c>
      <c r="AA162">
        <f>IF($X162="","",$X162*1000000000000+IF($G162="",0,$G162)*1000000+IF($H162="",0,$H162)*1000+IF($I162="",0,$I162)+IF($N162="",0,MAX(0,1000-$N162))/1000+IF($A162="",0,$A162)/1000000)</f>
        <v/>
      </c>
      <c r="AB162">
        <f>IF($Y162="","",_xludf.RANK.EQ($Y162,$Y$2:$Y$201,0))</f>
        <v/>
      </c>
    </row>
    <row r="163">
      <c r="T163">
        <f>IFERROR(IF($Q163="","",$Q163/$H163),"")</f>
        <v/>
      </c>
      <c r="U163">
        <f>IFERROR(IF($Q163="","",$Q163/$G163),"")</f>
        <v/>
      </c>
      <c r="Y163">
        <f>IF(AND($L163="",$N163="",$P163=""),"",ROUND((IF($L163="",0,IF($L163&lt;=Einstellungen!$B$16,100,IF($L163&lt;=Einstellungen!$C$16,80+(100-80)*(Einstellungen!$C$16-$L163)/(Einstellungen!$C$16-Einstellungen!$B$16),IF($L163&lt;=Einstellungen!$D$16,80*(Einstellungen!$D$16-$L163)/(Einstellungen!$D$16-Einstellungen!$C$16),0))))*Einstellungen!$E$16+IF($N163="",0,IF($N163&lt;=Einstellungen!$B$17,100,IF($N163&lt;=Einstellungen!$C$17,80+(100-80)*(Einstellungen!$C$17-$N163)/(Einstellungen!$C$17-Einstellungen!$B$17),IF($N163&lt;=Einstellungen!$D$17,80*(Einstellungen!$D$17-$N163)/(Einstellungen!$D$17-Einstellungen!$C$17),0))))*Einstellungen!$E$17+IF($P163="",0,IF($P163&lt;=Einstellungen!$B$18,100,IF($P163&lt;=Einstellungen!$C$18,80+(100-80)*(Einstellungen!$C$18-$P163)/(Einstellungen!$C$18-Einstellungen!$B$18),IF($P163&lt;=Einstellungen!$D$18,80*(Einstellungen!$D$18-$P163)/(Einstellungen!$D$18-Einstellungen!$C$18),0))))*Einstellungen!$E$18)/(Einstellungen!$E$16+Einstellungen!$E$17+Einstellungen!$E$18),0))</f>
        <v/>
      </c>
      <c r="Z163">
        <f>IF(AND($E163="",$D163="",$G163="",$V163="",$Q163="",$T163="",$W163="",$U163=""),"",ROUND(IF($E163="",0,IF($E163&lt;Einstellungen!$B$21,0,IF($E163&gt;=Einstellungen!$B$22,100,($E163-Einstellungen!$B$21)/(Einstellungen!$B$22-Einstellungen!$B$21)*100)))/100*Einstellungen!$B$5+IF($W163="",0,$W163/100)*Einstellungen!$B$6+(IF($G163="",0,MAX(0,MIN(100,($G163-Einstellungen!$B$25)/(Einstellungen!$B$26-Einstellungen!$B$25)*100)))+IF($I163="",0,MAX(0,MIN(100,($I163-Einstellungen!$B$27)/(Einstellungen!$B$28-Einstellungen!$B$27)*100))))/2/100*Einstellungen!$B$7+IF($V163="",0,$V163/100)*Einstellungen!$B$8+IF($R163="",0,MAX(0,MIN(100,(Einstellungen!$B$32-$R163)/(Einstellungen!$B$32-Einstellungen!$B$31)*100)))/100*Einstellungen!$B$9+IF($D163="",0,$D163/5*100)/100*Einstellungen!$B$10+IF($AD163="",0,$AD163)/100*Einstellungen!$B$11+IF($U163="",0,$U163/5*100)/100*Einstellungen!$B$12,0))</f>
        <v/>
      </c>
      <c r="AA163">
        <f>IF($X163="","",$X163*1000000000000+IF($G163="",0,$G163)*1000000+IF($H163="",0,$H163)*1000+IF($I163="",0,$I163)+IF($N163="",0,MAX(0,1000-$N163))/1000+IF($A163="",0,$A163)/1000000)</f>
        <v/>
      </c>
      <c r="AB163">
        <f>IF($Y163="","",_xludf.RANK.EQ($Y163,$Y$2:$Y$201,0))</f>
        <v/>
      </c>
    </row>
    <row r="164">
      <c r="T164">
        <f>IFERROR(IF($Q164="","",$Q164/$H164),"")</f>
        <v/>
      </c>
      <c r="U164">
        <f>IFERROR(IF($Q164="","",$Q164/$G164),"")</f>
        <v/>
      </c>
      <c r="Y164">
        <f>IF(AND($L164="",$N164="",$P164=""),"",ROUND((IF($L164="",0,IF($L164&lt;=Einstellungen!$B$16,100,IF($L164&lt;=Einstellungen!$C$16,80+(100-80)*(Einstellungen!$C$16-$L164)/(Einstellungen!$C$16-Einstellungen!$B$16),IF($L164&lt;=Einstellungen!$D$16,80*(Einstellungen!$D$16-$L164)/(Einstellungen!$D$16-Einstellungen!$C$16),0))))*Einstellungen!$E$16+IF($N164="",0,IF($N164&lt;=Einstellungen!$B$17,100,IF($N164&lt;=Einstellungen!$C$17,80+(100-80)*(Einstellungen!$C$17-$N164)/(Einstellungen!$C$17-Einstellungen!$B$17),IF($N164&lt;=Einstellungen!$D$17,80*(Einstellungen!$D$17-$N164)/(Einstellungen!$D$17-Einstellungen!$C$17),0))))*Einstellungen!$E$17+IF($P164="",0,IF($P164&lt;=Einstellungen!$B$18,100,IF($P164&lt;=Einstellungen!$C$18,80+(100-80)*(Einstellungen!$C$18-$P164)/(Einstellungen!$C$18-Einstellungen!$B$18),IF($P164&lt;=Einstellungen!$D$18,80*(Einstellungen!$D$18-$P164)/(Einstellungen!$D$18-Einstellungen!$C$18),0))))*Einstellungen!$E$18)/(Einstellungen!$E$16+Einstellungen!$E$17+Einstellungen!$E$18),0))</f>
        <v/>
      </c>
      <c r="Z164">
        <f>IF(AND($E164="",$D164="",$G164="",$V164="",$Q164="",$T164="",$W164="",$U164=""),"",ROUND(IF($E164="",0,IF($E164&lt;Einstellungen!$B$21,0,IF($E164&gt;=Einstellungen!$B$22,100,($E164-Einstellungen!$B$21)/(Einstellungen!$B$22-Einstellungen!$B$21)*100)))/100*Einstellungen!$B$5+IF($W164="",0,$W164/100)*Einstellungen!$B$6+(IF($G164="",0,MAX(0,MIN(100,($G164-Einstellungen!$B$25)/(Einstellungen!$B$26-Einstellungen!$B$25)*100)))+IF($I164="",0,MAX(0,MIN(100,($I164-Einstellungen!$B$27)/(Einstellungen!$B$28-Einstellungen!$B$27)*100))))/2/100*Einstellungen!$B$7+IF($V164="",0,$V164/100)*Einstellungen!$B$8+IF($R164="",0,MAX(0,MIN(100,(Einstellungen!$B$32-$R164)/(Einstellungen!$B$32-Einstellungen!$B$31)*100)))/100*Einstellungen!$B$9+IF($D164="",0,$D164/5*100)/100*Einstellungen!$B$10+IF($AD164="",0,$AD164)/100*Einstellungen!$B$11+IF($U164="",0,$U164/5*100)/100*Einstellungen!$B$12,0))</f>
        <v/>
      </c>
      <c r="AA164">
        <f>IF($X164="","",$X164*1000000000000+IF($G164="",0,$G164)*1000000+IF($H164="",0,$H164)*1000+IF($I164="",0,$I164)+IF($N164="",0,MAX(0,1000-$N164))/1000+IF($A164="",0,$A164)/1000000)</f>
        <v/>
      </c>
      <c r="AB164">
        <f>IF($Y164="","",_xludf.RANK.EQ($Y164,$Y$2:$Y$201,0))</f>
        <v/>
      </c>
    </row>
    <row r="165">
      <c r="T165">
        <f>IFERROR(IF($Q165="","",$Q165/$H165),"")</f>
        <v/>
      </c>
      <c r="U165">
        <f>IFERROR(IF($Q165="","",$Q165/$G165),"")</f>
        <v/>
      </c>
      <c r="Y165">
        <f>IF(AND($L165="",$N165="",$P165=""),"",ROUND((IF($L165="",0,IF($L165&lt;=Einstellungen!$B$16,100,IF($L165&lt;=Einstellungen!$C$16,80+(100-80)*(Einstellungen!$C$16-$L165)/(Einstellungen!$C$16-Einstellungen!$B$16),IF($L165&lt;=Einstellungen!$D$16,80*(Einstellungen!$D$16-$L165)/(Einstellungen!$D$16-Einstellungen!$C$16),0))))*Einstellungen!$E$16+IF($N165="",0,IF($N165&lt;=Einstellungen!$B$17,100,IF($N165&lt;=Einstellungen!$C$17,80+(100-80)*(Einstellungen!$C$17-$N165)/(Einstellungen!$C$17-Einstellungen!$B$17),IF($N165&lt;=Einstellungen!$D$17,80*(Einstellungen!$D$17-$N165)/(Einstellungen!$D$17-Einstellungen!$C$17),0))))*Einstellungen!$E$17+IF($P165="",0,IF($P165&lt;=Einstellungen!$B$18,100,IF($P165&lt;=Einstellungen!$C$18,80+(100-80)*(Einstellungen!$C$18-$P165)/(Einstellungen!$C$18-Einstellungen!$B$18),IF($P165&lt;=Einstellungen!$D$18,80*(Einstellungen!$D$18-$P165)/(Einstellungen!$D$18-Einstellungen!$C$18),0))))*Einstellungen!$E$18)/(Einstellungen!$E$16+Einstellungen!$E$17+Einstellungen!$E$18),0))</f>
        <v/>
      </c>
      <c r="Z165">
        <f>IF(AND($E165="",$D165="",$G165="",$V165="",$Q165="",$T165="",$W165="",$U165=""),"",ROUND(IF($E165="",0,IF($E165&lt;Einstellungen!$B$21,0,IF($E165&gt;=Einstellungen!$B$22,100,($E165-Einstellungen!$B$21)/(Einstellungen!$B$22-Einstellungen!$B$21)*100)))/100*Einstellungen!$B$5+IF($W165="",0,$W165/100)*Einstellungen!$B$6+(IF($G165="",0,MAX(0,MIN(100,($G165-Einstellungen!$B$25)/(Einstellungen!$B$26-Einstellungen!$B$25)*100)))+IF($I165="",0,MAX(0,MIN(100,($I165-Einstellungen!$B$27)/(Einstellungen!$B$28-Einstellungen!$B$27)*100))))/2/100*Einstellungen!$B$7+IF($V165="",0,$V165/100)*Einstellungen!$B$8+IF($R165="",0,MAX(0,MIN(100,(Einstellungen!$B$32-$R165)/(Einstellungen!$B$32-Einstellungen!$B$31)*100)))/100*Einstellungen!$B$9+IF($D165="",0,$D165/5*100)/100*Einstellungen!$B$10+IF($AD165="",0,$AD165)/100*Einstellungen!$B$11+IF($U165="",0,$U165/5*100)/100*Einstellungen!$B$12,0))</f>
        <v/>
      </c>
      <c r="AA165">
        <f>IF($X165="","",$X165*1000000000000+IF($G165="",0,$G165)*1000000+IF($H165="",0,$H165)*1000+IF($I165="",0,$I165)+IF($N165="",0,MAX(0,1000-$N165))/1000+IF($A165="",0,$A165)/1000000)</f>
        <v/>
      </c>
      <c r="AB165">
        <f>IF($Y165="","",_xludf.RANK.EQ($Y165,$Y$2:$Y$201,0))</f>
        <v/>
      </c>
    </row>
    <row r="166">
      <c r="T166">
        <f>IFERROR(IF($Q166="","",$Q166/$H166),"")</f>
        <v/>
      </c>
      <c r="U166">
        <f>IFERROR(IF($Q166="","",$Q166/$G166),"")</f>
        <v/>
      </c>
      <c r="Y166">
        <f>IF(AND($L166="",$N166="",$P166=""),"",ROUND((IF($L166="",0,IF($L166&lt;=Einstellungen!$B$16,100,IF($L166&lt;=Einstellungen!$C$16,80+(100-80)*(Einstellungen!$C$16-$L166)/(Einstellungen!$C$16-Einstellungen!$B$16),IF($L166&lt;=Einstellungen!$D$16,80*(Einstellungen!$D$16-$L166)/(Einstellungen!$D$16-Einstellungen!$C$16),0))))*Einstellungen!$E$16+IF($N166="",0,IF($N166&lt;=Einstellungen!$B$17,100,IF($N166&lt;=Einstellungen!$C$17,80+(100-80)*(Einstellungen!$C$17-$N166)/(Einstellungen!$C$17-Einstellungen!$B$17),IF($N166&lt;=Einstellungen!$D$17,80*(Einstellungen!$D$17-$N166)/(Einstellungen!$D$17-Einstellungen!$C$17),0))))*Einstellungen!$E$17+IF($P166="",0,IF($P166&lt;=Einstellungen!$B$18,100,IF($P166&lt;=Einstellungen!$C$18,80+(100-80)*(Einstellungen!$C$18-$P166)/(Einstellungen!$C$18-Einstellungen!$B$18),IF($P166&lt;=Einstellungen!$D$18,80*(Einstellungen!$D$18-$P166)/(Einstellungen!$D$18-Einstellungen!$C$18),0))))*Einstellungen!$E$18)/(Einstellungen!$E$16+Einstellungen!$E$17+Einstellungen!$E$18),0))</f>
        <v/>
      </c>
      <c r="Z166">
        <f>IF(AND($E166="",$D166="",$G166="",$V166="",$Q166="",$T166="",$W166="",$U166=""),"",ROUND(IF($E166="",0,IF($E166&lt;Einstellungen!$B$21,0,IF($E166&gt;=Einstellungen!$B$22,100,($E166-Einstellungen!$B$21)/(Einstellungen!$B$22-Einstellungen!$B$21)*100)))/100*Einstellungen!$B$5+IF($W166="",0,$W166/100)*Einstellungen!$B$6+(IF($G166="",0,MAX(0,MIN(100,($G166-Einstellungen!$B$25)/(Einstellungen!$B$26-Einstellungen!$B$25)*100)))+IF($I166="",0,MAX(0,MIN(100,($I166-Einstellungen!$B$27)/(Einstellungen!$B$28-Einstellungen!$B$27)*100))))/2/100*Einstellungen!$B$7+IF($V166="",0,$V166/100)*Einstellungen!$B$8+IF($R166="",0,MAX(0,MIN(100,(Einstellungen!$B$32-$R166)/(Einstellungen!$B$32-Einstellungen!$B$31)*100)))/100*Einstellungen!$B$9+IF($D166="",0,$D166/5*100)/100*Einstellungen!$B$10+IF($AD166="",0,$AD166)/100*Einstellungen!$B$11+IF($U166="",0,$U166/5*100)/100*Einstellungen!$B$12,0))</f>
        <v/>
      </c>
      <c r="AA166">
        <f>IF($X166="","",$X166*1000000000000+IF($G166="",0,$G166)*1000000+IF($H166="",0,$H166)*1000+IF($I166="",0,$I166)+IF($N166="",0,MAX(0,1000-$N166))/1000+IF($A166="",0,$A166)/1000000)</f>
        <v/>
      </c>
      <c r="AB166">
        <f>IF($Y166="","",_xludf.RANK.EQ($Y166,$Y$2:$Y$201,0))</f>
        <v/>
      </c>
    </row>
    <row r="167">
      <c r="T167">
        <f>IFERROR(IF($Q167="","",$Q167/$H167),"")</f>
        <v/>
      </c>
      <c r="U167">
        <f>IFERROR(IF($Q167="","",$Q167/$G167),"")</f>
        <v/>
      </c>
      <c r="Y167">
        <f>IF(AND($L167="",$N167="",$P167=""),"",ROUND((IF($L167="",0,IF($L167&lt;=Einstellungen!$B$16,100,IF($L167&lt;=Einstellungen!$C$16,80+(100-80)*(Einstellungen!$C$16-$L167)/(Einstellungen!$C$16-Einstellungen!$B$16),IF($L167&lt;=Einstellungen!$D$16,80*(Einstellungen!$D$16-$L167)/(Einstellungen!$D$16-Einstellungen!$C$16),0))))*Einstellungen!$E$16+IF($N167="",0,IF($N167&lt;=Einstellungen!$B$17,100,IF($N167&lt;=Einstellungen!$C$17,80+(100-80)*(Einstellungen!$C$17-$N167)/(Einstellungen!$C$17-Einstellungen!$B$17),IF($N167&lt;=Einstellungen!$D$17,80*(Einstellungen!$D$17-$N167)/(Einstellungen!$D$17-Einstellungen!$C$17),0))))*Einstellungen!$E$17+IF($P167="",0,IF($P167&lt;=Einstellungen!$B$18,100,IF($P167&lt;=Einstellungen!$C$18,80+(100-80)*(Einstellungen!$C$18-$P167)/(Einstellungen!$C$18-Einstellungen!$B$18),IF($P167&lt;=Einstellungen!$D$18,80*(Einstellungen!$D$18-$P167)/(Einstellungen!$D$18-Einstellungen!$C$18),0))))*Einstellungen!$E$18)/(Einstellungen!$E$16+Einstellungen!$E$17+Einstellungen!$E$18),0))</f>
        <v/>
      </c>
      <c r="Z167">
        <f>IF(AND($E167="",$D167="",$G167="",$V167="",$Q167="",$T167="",$W167="",$U167=""),"",ROUND(IF($E167="",0,IF($E167&lt;Einstellungen!$B$21,0,IF($E167&gt;=Einstellungen!$B$22,100,($E167-Einstellungen!$B$21)/(Einstellungen!$B$22-Einstellungen!$B$21)*100)))/100*Einstellungen!$B$5+IF($W167="",0,$W167/100)*Einstellungen!$B$6+(IF($G167="",0,MAX(0,MIN(100,($G167-Einstellungen!$B$25)/(Einstellungen!$B$26-Einstellungen!$B$25)*100)))+IF($I167="",0,MAX(0,MIN(100,($I167-Einstellungen!$B$27)/(Einstellungen!$B$28-Einstellungen!$B$27)*100))))/2/100*Einstellungen!$B$7+IF($V167="",0,$V167/100)*Einstellungen!$B$8+IF($R167="",0,MAX(0,MIN(100,(Einstellungen!$B$32-$R167)/(Einstellungen!$B$32-Einstellungen!$B$31)*100)))/100*Einstellungen!$B$9+IF($D167="",0,$D167/5*100)/100*Einstellungen!$B$10+IF($AD167="",0,$AD167)/100*Einstellungen!$B$11+IF($U167="",0,$U167/5*100)/100*Einstellungen!$B$12,0))</f>
        <v/>
      </c>
      <c r="AA167">
        <f>IF($X167="","",$X167*1000000000000+IF($G167="",0,$G167)*1000000+IF($H167="",0,$H167)*1000+IF($I167="",0,$I167)+IF($N167="",0,MAX(0,1000-$N167))/1000+IF($A167="",0,$A167)/1000000)</f>
        <v/>
      </c>
      <c r="AB167">
        <f>IF($Y167="","",_xludf.RANK.EQ($Y167,$Y$2:$Y$201,0))</f>
        <v/>
      </c>
    </row>
    <row r="168">
      <c r="T168">
        <f>IFERROR(IF($Q168="","",$Q168/$H168),"")</f>
        <v/>
      </c>
      <c r="U168">
        <f>IFERROR(IF($Q168="","",$Q168/$G168),"")</f>
        <v/>
      </c>
      <c r="Y168">
        <f>IF(AND($L168="",$N168="",$P168=""),"",ROUND((IF($L168="",0,IF($L168&lt;=Einstellungen!$B$16,100,IF($L168&lt;=Einstellungen!$C$16,80+(100-80)*(Einstellungen!$C$16-$L168)/(Einstellungen!$C$16-Einstellungen!$B$16),IF($L168&lt;=Einstellungen!$D$16,80*(Einstellungen!$D$16-$L168)/(Einstellungen!$D$16-Einstellungen!$C$16),0))))*Einstellungen!$E$16+IF($N168="",0,IF($N168&lt;=Einstellungen!$B$17,100,IF($N168&lt;=Einstellungen!$C$17,80+(100-80)*(Einstellungen!$C$17-$N168)/(Einstellungen!$C$17-Einstellungen!$B$17),IF($N168&lt;=Einstellungen!$D$17,80*(Einstellungen!$D$17-$N168)/(Einstellungen!$D$17-Einstellungen!$C$17),0))))*Einstellungen!$E$17+IF($P168="",0,IF($P168&lt;=Einstellungen!$B$18,100,IF($P168&lt;=Einstellungen!$C$18,80+(100-80)*(Einstellungen!$C$18-$P168)/(Einstellungen!$C$18-Einstellungen!$B$18),IF($P168&lt;=Einstellungen!$D$18,80*(Einstellungen!$D$18-$P168)/(Einstellungen!$D$18-Einstellungen!$C$18),0))))*Einstellungen!$E$18)/(Einstellungen!$E$16+Einstellungen!$E$17+Einstellungen!$E$18),0))</f>
        <v/>
      </c>
      <c r="Z168">
        <f>IF(AND($E168="",$D168="",$G168="",$V168="",$Q168="",$T168="",$W168="",$U168=""),"",ROUND(IF($E168="",0,IF($E168&lt;Einstellungen!$B$21,0,IF($E168&gt;=Einstellungen!$B$22,100,($E168-Einstellungen!$B$21)/(Einstellungen!$B$22-Einstellungen!$B$21)*100)))/100*Einstellungen!$B$5+IF($W168="",0,$W168/100)*Einstellungen!$B$6+(IF($G168="",0,MAX(0,MIN(100,($G168-Einstellungen!$B$25)/(Einstellungen!$B$26-Einstellungen!$B$25)*100)))+IF($I168="",0,MAX(0,MIN(100,($I168-Einstellungen!$B$27)/(Einstellungen!$B$28-Einstellungen!$B$27)*100))))/2/100*Einstellungen!$B$7+IF($V168="",0,$V168/100)*Einstellungen!$B$8+IF($R168="",0,MAX(0,MIN(100,(Einstellungen!$B$32-$R168)/(Einstellungen!$B$32-Einstellungen!$B$31)*100)))/100*Einstellungen!$B$9+IF($D168="",0,$D168/5*100)/100*Einstellungen!$B$10+IF($AD168="",0,$AD168)/100*Einstellungen!$B$11+IF($U168="",0,$U168/5*100)/100*Einstellungen!$B$12,0))</f>
        <v/>
      </c>
      <c r="AA168">
        <f>IF($X168="","",$X168*1000000000000+IF($G168="",0,$G168)*1000000+IF($H168="",0,$H168)*1000+IF($I168="",0,$I168)+IF($N168="",0,MAX(0,1000-$N168))/1000+IF($A168="",0,$A168)/1000000)</f>
        <v/>
      </c>
      <c r="AB168">
        <f>IF($Y168="","",_xludf.RANK.EQ($Y168,$Y$2:$Y$201,0))</f>
        <v/>
      </c>
    </row>
    <row r="169">
      <c r="T169">
        <f>IFERROR(IF($Q169="","",$Q169/$H169),"")</f>
        <v/>
      </c>
      <c r="U169">
        <f>IFERROR(IF($Q169="","",$Q169/$G169),"")</f>
        <v/>
      </c>
      <c r="Y169">
        <f>IF(AND($L169="",$N169="",$P169=""),"",ROUND((IF($L169="",0,IF($L169&lt;=Einstellungen!$B$16,100,IF($L169&lt;=Einstellungen!$C$16,80+(100-80)*(Einstellungen!$C$16-$L169)/(Einstellungen!$C$16-Einstellungen!$B$16),IF($L169&lt;=Einstellungen!$D$16,80*(Einstellungen!$D$16-$L169)/(Einstellungen!$D$16-Einstellungen!$C$16),0))))*Einstellungen!$E$16+IF($N169="",0,IF($N169&lt;=Einstellungen!$B$17,100,IF($N169&lt;=Einstellungen!$C$17,80+(100-80)*(Einstellungen!$C$17-$N169)/(Einstellungen!$C$17-Einstellungen!$B$17),IF($N169&lt;=Einstellungen!$D$17,80*(Einstellungen!$D$17-$N169)/(Einstellungen!$D$17-Einstellungen!$C$17),0))))*Einstellungen!$E$17+IF($P169="",0,IF($P169&lt;=Einstellungen!$B$18,100,IF($P169&lt;=Einstellungen!$C$18,80+(100-80)*(Einstellungen!$C$18-$P169)/(Einstellungen!$C$18-Einstellungen!$B$18),IF($P169&lt;=Einstellungen!$D$18,80*(Einstellungen!$D$18-$P169)/(Einstellungen!$D$18-Einstellungen!$C$18),0))))*Einstellungen!$E$18)/(Einstellungen!$E$16+Einstellungen!$E$17+Einstellungen!$E$18),0))</f>
        <v/>
      </c>
      <c r="Z169">
        <f>IF(AND($E169="",$D169="",$G169="",$V169="",$Q169="",$T169="",$W169="",$U169=""),"",ROUND(IF($E169="",0,IF($E169&lt;Einstellungen!$B$21,0,IF($E169&gt;=Einstellungen!$B$22,100,($E169-Einstellungen!$B$21)/(Einstellungen!$B$22-Einstellungen!$B$21)*100)))/100*Einstellungen!$B$5+IF($W169="",0,$W169/100)*Einstellungen!$B$6+(IF($G169="",0,MAX(0,MIN(100,($G169-Einstellungen!$B$25)/(Einstellungen!$B$26-Einstellungen!$B$25)*100)))+IF($I169="",0,MAX(0,MIN(100,($I169-Einstellungen!$B$27)/(Einstellungen!$B$28-Einstellungen!$B$27)*100))))/2/100*Einstellungen!$B$7+IF($V169="",0,$V169/100)*Einstellungen!$B$8+IF($R169="",0,MAX(0,MIN(100,(Einstellungen!$B$32-$R169)/(Einstellungen!$B$32-Einstellungen!$B$31)*100)))/100*Einstellungen!$B$9+IF($D169="",0,$D169/5*100)/100*Einstellungen!$B$10+IF($AD169="",0,$AD169)/100*Einstellungen!$B$11+IF($U169="",0,$U169/5*100)/100*Einstellungen!$B$12,0))</f>
        <v/>
      </c>
      <c r="AA169">
        <f>IF($X169="","",$X169*1000000000000+IF($G169="",0,$G169)*1000000+IF($H169="",0,$H169)*1000+IF($I169="",0,$I169)+IF($N169="",0,MAX(0,1000-$N169))/1000+IF($A169="",0,$A169)/1000000)</f>
        <v/>
      </c>
      <c r="AB169">
        <f>IF($Y169="","",_xludf.RANK.EQ($Y169,$Y$2:$Y$201,0))</f>
        <v/>
      </c>
    </row>
    <row r="170">
      <c r="T170">
        <f>IFERROR(IF($Q170="","",$Q170/$H170),"")</f>
        <v/>
      </c>
      <c r="U170">
        <f>IFERROR(IF($Q170="","",$Q170/$G170),"")</f>
        <v/>
      </c>
      <c r="Y170">
        <f>IF(AND($L170="",$N170="",$P170=""),"",ROUND((IF($L170="",0,IF($L170&lt;=Einstellungen!$B$16,100,IF($L170&lt;=Einstellungen!$C$16,80+(100-80)*(Einstellungen!$C$16-$L170)/(Einstellungen!$C$16-Einstellungen!$B$16),IF($L170&lt;=Einstellungen!$D$16,80*(Einstellungen!$D$16-$L170)/(Einstellungen!$D$16-Einstellungen!$C$16),0))))*Einstellungen!$E$16+IF($N170="",0,IF($N170&lt;=Einstellungen!$B$17,100,IF($N170&lt;=Einstellungen!$C$17,80+(100-80)*(Einstellungen!$C$17-$N170)/(Einstellungen!$C$17-Einstellungen!$B$17),IF($N170&lt;=Einstellungen!$D$17,80*(Einstellungen!$D$17-$N170)/(Einstellungen!$D$17-Einstellungen!$C$17),0))))*Einstellungen!$E$17+IF($P170="",0,IF($P170&lt;=Einstellungen!$B$18,100,IF($P170&lt;=Einstellungen!$C$18,80+(100-80)*(Einstellungen!$C$18-$P170)/(Einstellungen!$C$18-Einstellungen!$B$18),IF($P170&lt;=Einstellungen!$D$18,80*(Einstellungen!$D$18-$P170)/(Einstellungen!$D$18-Einstellungen!$C$18),0))))*Einstellungen!$E$18)/(Einstellungen!$E$16+Einstellungen!$E$17+Einstellungen!$E$18),0))</f>
        <v/>
      </c>
      <c r="Z170">
        <f>IF(AND($E170="",$D170="",$G170="",$V170="",$Q170="",$T170="",$W170="",$U170=""),"",ROUND(IF($E170="",0,IF($E170&lt;Einstellungen!$B$21,0,IF($E170&gt;=Einstellungen!$B$22,100,($E170-Einstellungen!$B$21)/(Einstellungen!$B$22-Einstellungen!$B$21)*100)))/100*Einstellungen!$B$5+IF($W170="",0,$W170/100)*Einstellungen!$B$6+(IF($G170="",0,MAX(0,MIN(100,($G170-Einstellungen!$B$25)/(Einstellungen!$B$26-Einstellungen!$B$25)*100)))+IF($I170="",0,MAX(0,MIN(100,($I170-Einstellungen!$B$27)/(Einstellungen!$B$28-Einstellungen!$B$27)*100))))/2/100*Einstellungen!$B$7+IF($V170="",0,$V170/100)*Einstellungen!$B$8+IF($R170="",0,MAX(0,MIN(100,(Einstellungen!$B$32-$R170)/(Einstellungen!$B$32-Einstellungen!$B$31)*100)))/100*Einstellungen!$B$9+IF($D170="",0,$D170/5*100)/100*Einstellungen!$B$10+IF($AD170="",0,$AD170)/100*Einstellungen!$B$11+IF($U170="",0,$U170/5*100)/100*Einstellungen!$B$12,0))</f>
        <v/>
      </c>
      <c r="AA170">
        <f>IF($X170="","",$X170*1000000000000+IF($G170="",0,$G170)*1000000+IF($H170="",0,$H170)*1000+IF($I170="",0,$I170)+IF($N170="",0,MAX(0,1000-$N170))/1000+IF($A170="",0,$A170)/1000000)</f>
        <v/>
      </c>
      <c r="AB170">
        <f>IF($Y170="","",_xludf.RANK.EQ($Y170,$Y$2:$Y$201,0))</f>
        <v/>
      </c>
    </row>
    <row r="171">
      <c r="T171">
        <f>IFERROR(IF($Q171="","",$Q171/$H171),"")</f>
        <v/>
      </c>
      <c r="U171">
        <f>IFERROR(IF($Q171="","",$Q171/$G171),"")</f>
        <v/>
      </c>
      <c r="Y171">
        <f>IF(AND($L171="",$N171="",$P171=""),"",ROUND((IF($L171="",0,IF($L171&lt;=Einstellungen!$B$16,100,IF($L171&lt;=Einstellungen!$C$16,80+(100-80)*(Einstellungen!$C$16-$L171)/(Einstellungen!$C$16-Einstellungen!$B$16),IF($L171&lt;=Einstellungen!$D$16,80*(Einstellungen!$D$16-$L171)/(Einstellungen!$D$16-Einstellungen!$C$16),0))))*Einstellungen!$E$16+IF($N171="",0,IF($N171&lt;=Einstellungen!$B$17,100,IF($N171&lt;=Einstellungen!$C$17,80+(100-80)*(Einstellungen!$C$17-$N171)/(Einstellungen!$C$17-Einstellungen!$B$17),IF($N171&lt;=Einstellungen!$D$17,80*(Einstellungen!$D$17-$N171)/(Einstellungen!$D$17-Einstellungen!$C$17),0))))*Einstellungen!$E$17+IF($P171="",0,IF($P171&lt;=Einstellungen!$B$18,100,IF($P171&lt;=Einstellungen!$C$18,80+(100-80)*(Einstellungen!$C$18-$P171)/(Einstellungen!$C$18-Einstellungen!$B$18),IF($P171&lt;=Einstellungen!$D$18,80*(Einstellungen!$D$18-$P171)/(Einstellungen!$D$18-Einstellungen!$C$18),0))))*Einstellungen!$E$18)/(Einstellungen!$E$16+Einstellungen!$E$17+Einstellungen!$E$18),0))</f>
        <v/>
      </c>
      <c r="Z171">
        <f>IF(AND($E171="",$D171="",$G171="",$V171="",$Q171="",$T171="",$W171="",$U171=""),"",ROUND(IF($E171="",0,IF($E171&lt;Einstellungen!$B$21,0,IF($E171&gt;=Einstellungen!$B$22,100,($E171-Einstellungen!$B$21)/(Einstellungen!$B$22-Einstellungen!$B$21)*100)))/100*Einstellungen!$B$5+IF($W171="",0,$W171/100)*Einstellungen!$B$6+(IF($G171="",0,MAX(0,MIN(100,($G171-Einstellungen!$B$25)/(Einstellungen!$B$26-Einstellungen!$B$25)*100)))+IF($I171="",0,MAX(0,MIN(100,($I171-Einstellungen!$B$27)/(Einstellungen!$B$28-Einstellungen!$B$27)*100))))/2/100*Einstellungen!$B$7+IF($V171="",0,$V171/100)*Einstellungen!$B$8+IF($R171="",0,MAX(0,MIN(100,(Einstellungen!$B$32-$R171)/(Einstellungen!$B$32-Einstellungen!$B$31)*100)))/100*Einstellungen!$B$9+IF($D171="",0,$D171/5*100)/100*Einstellungen!$B$10+IF($AD171="",0,$AD171)/100*Einstellungen!$B$11+IF($U171="",0,$U171/5*100)/100*Einstellungen!$B$12,0))</f>
        <v/>
      </c>
      <c r="AA171">
        <f>IF($X171="","",$X171*1000000000000+IF($G171="",0,$G171)*1000000+IF($H171="",0,$H171)*1000+IF($I171="",0,$I171)+IF($N171="",0,MAX(0,1000-$N171))/1000+IF($A171="",0,$A171)/1000000)</f>
        <v/>
      </c>
      <c r="AB171">
        <f>IF($Y171="","",_xludf.RANK.EQ($Y171,$Y$2:$Y$201,0))</f>
        <v/>
      </c>
    </row>
    <row r="172">
      <c r="T172">
        <f>IFERROR(IF($Q172="","",$Q172/$H172),"")</f>
        <v/>
      </c>
      <c r="U172">
        <f>IFERROR(IF($Q172="","",$Q172/$G172),"")</f>
        <v/>
      </c>
      <c r="Y172">
        <f>IF(AND($L172="",$N172="",$P172=""),"",ROUND((IF($L172="",0,IF($L172&lt;=Einstellungen!$B$16,100,IF($L172&lt;=Einstellungen!$C$16,80+(100-80)*(Einstellungen!$C$16-$L172)/(Einstellungen!$C$16-Einstellungen!$B$16),IF($L172&lt;=Einstellungen!$D$16,80*(Einstellungen!$D$16-$L172)/(Einstellungen!$D$16-Einstellungen!$C$16),0))))*Einstellungen!$E$16+IF($N172="",0,IF($N172&lt;=Einstellungen!$B$17,100,IF($N172&lt;=Einstellungen!$C$17,80+(100-80)*(Einstellungen!$C$17-$N172)/(Einstellungen!$C$17-Einstellungen!$B$17),IF($N172&lt;=Einstellungen!$D$17,80*(Einstellungen!$D$17-$N172)/(Einstellungen!$D$17-Einstellungen!$C$17),0))))*Einstellungen!$E$17+IF($P172="",0,IF($P172&lt;=Einstellungen!$B$18,100,IF($P172&lt;=Einstellungen!$C$18,80+(100-80)*(Einstellungen!$C$18-$P172)/(Einstellungen!$C$18-Einstellungen!$B$18),IF($P172&lt;=Einstellungen!$D$18,80*(Einstellungen!$D$18-$P172)/(Einstellungen!$D$18-Einstellungen!$C$18),0))))*Einstellungen!$E$18)/(Einstellungen!$E$16+Einstellungen!$E$17+Einstellungen!$E$18),0))</f>
        <v/>
      </c>
      <c r="Z172">
        <f>IF(AND($E172="",$D172="",$G172="",$V172="",$Q172="",$T172="",$W172="",$U172=""),"",ROUND(IF($E172="",0,IF($E172&lt;Einstellungen!$B$21,0,IF($E172&gt;=Einstellungen!$B$22,100,($E172-Einstellungen!$B$21)/(Einstellungen!$B$22-Einstellungen!$B$21)*100)))/100*Einstellungen!$B$5+IF($W172="",0,$W172/100)*Einstellungen!$B$6+(IF($G172="",0,MAX(0,MIN(100,($G172-Einstellungen!$B$25)/(Einstellungen!$B$26-Einstellungen!$B$25)*100)))+IF($I172="",0,MAX(0,MIN(100,($I172-Einstellungen!$B$27)/(Einstellungen!$B$28-Einstellungen!$B$27)*100))))/2/100*Einstellungen!$B$7+IF($V172="",0,$V172/100)*Einstellungen!$B$8+IF($R172="",0,MAX(0,MIN(100,(Einstellungen!$B$32-$R172)/(Einstellungen!$B$32-Einstellungen!$B$31)*100)))/100*Einstellungen!$B$9+IF($D172="",0,$D172/5*100)/100*Einstellungen!$B$10+IF($AD172="",0,$AD172)/100*Einstellungen!$B$11+IF($U172="",0,$U172/5*100)/100*Einstellungen!$B$12,0))</f>
        <v/>
      </c>
      <c r="AA172">
        <f>IF($X172="","",$X172*1000000000000+IF($G172="",0,$G172)*1000000+IF($H172="",0,$H172)*1000+IF($I172="",0,$I172)+IF($N172="",0,MAX(0,1000-$N172))/1000+IF($A172="",0,$A172)/1000000)</f>
        <v/>
      </c>
      <c r="AB172">
        <f>IF($Y172="","",_xludf.RANK.EQ($Y172,$Y$2:$Y$201,0))</f>
        <v/>
      </c>
    </row>
    <row r="173">
      <c r="T173">
        <f>IFERROR(IF($Q173="","",$Q173/$H173),"")</f>
        <v/>
      </c>
      <c r="U173">
        <f>IFERROR(IF($Q173="","",$Q173/$G173),"")</f>
        <v/>
      </c>
      <c r="Y173">
        <f>IF(AND($L173="",$N173="",$P173=""),"",ROUND((IF($L173="",0,IF($L173&lt;=Einstellungen!$B$16,100,IF($L173&lt;=Einstellungen!$C$16,80+(100-80)*(Einstellungen!$C$16-$L173)/(Einstellungen!$C$16-Einstellungen!$B$16),IF($L173&lt;=Einstellungen!$D$16,80*(Einstellungen!$D$16-$L173)/(Einstellungen!$D$16-Einstellungen!$C$16),0))))*Einstellungen!$E$16+IF($N173="",0,IF($N173&lt;=Einstellungen!$B$17,100,IF($N173&lt;=Einstellungen!$C$17,80+(100-80)*(Einstellungen!$C$17-$N173)/(Einstellungen!$C$17-Einstellungen!$B$17),IF($N173&lt;=Einstellungen!$D$17,80*(Einstellungen!$D$17-$N173)/(Einstellungen!$D$17-Einstellungen!$C$17),0))))*Einstellungen!$E$17+IF($P173="",0,IF($P173&lt;=Einstellungen!$B$18,100,IF($P173&lt;=Einstellungen!$C$18,80+(100-80)*(Einstellungen!$C$18-$P173)/(Einstellungen!$C$18-Einstellungen!$B$18),IF($P173&lt;=Einstellungen!$D$18,80*(Einstellungen!$D$18-$P173)/(Einstellungen!$D$18-Einstellungen!$C$18),0))))*Einstellungen!$E$18)/(Einstellungen!$E$16+Einstellungen!$E$17+Einstellungen!$E$18),0))</f>
        <v/>
      </c>
      <c r="Z173">
        <f>IF(AND($E173="",$D173="",$G173="",$V173="",$Q173="",$T173="",$W173="",$U173=""),"",ROUND(IF($E173="",0,IF($E173&lt;Einstellungen!$B$21,0,IF($E173&gt;=Einstellungen!$B$22,100,($E173-Einstellungen!$B$21)/(Einstellungen!$B$22-Einstellungen!$B$21)*100)))/100*Einstellungen!$B$5+IF($W173="",0,$W173/100)*Einstellungen!$B$6+(IF($G173="",0,MAX(0,MIN(100,($G173-Einstellungen!$B$25)/(Einstellungen!$B$26-Einstellungen!$B$25)*100)))+IF($I173="",0,MAX(0,MIN(100,($I173-Einstellungen!$B$27)/(Einstellungen!$B$28-Einstellungen!$B$27)*100))))/2/100*Einstellungen!$B$7+IF($V173="",0,$V173/100)*Einstellungen!$B$8+IF($R173="",0,MAX(0,MIN(100,(Einstellungen!$B$32-$R173)/(Einstellungen!$B$32-Einstellungen!$B$31)*100)))/100*Einstellungen!$B$9+IF($D173="",0,$D173/5*100)/100*Einstellungen!$B$10+IF($AD173="",0,$AD173)/100*Einstellungen!$B$11+IF($U173="",0,$U173/5*100)/100*Einstellungen!$B$12,0))</f>
        <v/>
      </c>
      <c r="AA173">
        <f>IF($X173="","",$X173*1000000000000+IF($G173="",0,$G173)*1000000+IF($H173="",0,$H173)*1000+IF($I173="",0,$I173)+IF($N173="",0,MAX(0,1000-$N173))/1000+IF($A173="",0,$A173)/1000000)</f>
        <v/>
      </c>
      <c r="AB173">
        <f>IF($Y173="","",_xludf.RANK.EQ($Y173,$Y$2:$Y$201,0))</f>
        <v/>
      </c>
    </row>
    <row r="174">
      <c r="T174">
        <f>IFERROR(IF($Q174="","",$Q174/$H174),"")</f>
        <v/>
      </c>
      <c r="U174">
        <f>IFERROR(IF($Q174="","",$Q174/$G174),"")</f>
        <v/>
      </c>
      <c r="Y174">
        <f>IF(AND($L174="",$N174="",$P174=""),"",ROUND((IF($L174="",0,IF($L174&lt;=Einstellungen!$B$16,100,IF($L174&lt;=Einstellungen!$C$16,80+(100-80)*(Einstellungen!$C$16-$L174)/(Einstellungen!$C$16-Einstellungen!$B$16),IF($L174&lt;=Einstellungen!$D$16,80*(Einstellungen!$D$16-$L174)/(Einstellungen!$D$16-Einstellungen!$C$16),0))))*Einstellungen!$E$16+IF($N174="",0,IF($N174&lt;=Einstellungen!$B$17,100,IF($N174&lt;=Einstellungen!$C$17,80+(100-80)*(Einstellungen!$C$17-$N174)/(Einstellungen!$C$17-Einstellungen!$B$17),IF($N174&lt;=Einstellungen!$D$17,80*(Einstellungen!$D$17-$N174)/(Einstellungen!$D$17-Einstellungen!$C$17),0))))*Einstellungen!$E$17+IF($P174="",0,IF($P174&lt;=Einstellungen!$B$18,100,IF($P174&lt;=Einstellungen!$C$18,80+(100-80)*(Einstellungen!$C$18-$P174)/(Einstellungen!$C$18-Einstellungen!$B$18),IF($P174&lt;=Einstellungen!$D$18,80*(Einstellungen!$D$18-$P174)/(Einstellungen!$D$18-Einstellungen!$C$18),0))))*Einstellungen!$E$18)/(Einstellungen!$E$16+Einstellungen!$E$17+Einstellungen!$E$18),0))</f>
        <v/>
      </c>
      <c r="Z174">
        <f>IF(AND($E174="",$D174="",$G174="",$V174="",$Q174="",$T174="",$W174="",$U174=""),"",ROUND(IF($E174="",0,IF($E174&lt;Einstellungen!$B$21,0,IF($E174&gt;=Einstellungen!$B$22,100,($E174-Einstellungen!$B$21)/(Einstellungen!$B$22-Einstellungen!$B$21)*100)))/100*Einstellungen!$B$5+IF($W174="",0,$W174/100)*Einstellungen!$B$6+(IF($G174="",0,MAX(0,MIN(100,($G174-Einstellungen!$B$25)/(Einstellungen!$B$26-Einstellungen!$B$25)*100)))+IF($I174="",0,MAX(0,MIN(100,($I174-Einstellungen!$B$27)/(Einstellungen!$B$28-Einstellungen!$B$27)*100))))/2/100*Einstellungen!$B$7+IF($V174="",0,$V174/100)*Einstellungen!$B$8+IF($R174="",0,MAX(0,MIN(100,(Einstellungen!$B$32-$R174)/(Einstellungen!$B$32-Einstellungen!$B$31)*100)))/100*Einstellungen!$B$9+IF($D174="",0,$D174/5*100)/100*Einstellungen!$B$10+IF($AD174="",0,$AD174)/100*Einstellungen!$B$11+IF($U174="",0,$U174/5*100)/100*Einstellungen!$B$12,0))</f>
        <v/>
      </c>
      <c r="AA174">
        <f>IF($X174="","",$X174*1000000000000+IF($G174="",0,$G174)*1000000+IF($H174="",0,$H174)*1000+IF($I174="",0,$I174)+IF($N174="",0,MAX(0,1000-$N174))/1000+IF($A174="",0,$A174)/1000000)</f>
        <v/>
      </c>
      <c r="AB174">
        <f>IF($Y174="","",_xludf.RANK.EQ($Y174,$Y$2:$Y$201,0))</f>
        <v/>
      </c>
    </row>
    <row r="175">
      <c r="T175">
        <f>IFERROR(IF($Q175="","",$Q175/$H175),"")</f>
        <v/>
      </c>
      <c r="U175">
        <f>IFERROR(IF($Q175="","",$Q175/$G175),"")</f>
        <v/>
      </c>
      <c r="Y175">
        <f>IF(AND($L175="",$N175="",$P175=""),"",ROUND((IF($L175="",0,IF($L175&lt;=Einstellungen!$B$16,100,IF($L175&lt;=Einstellungen!$C$16,80+(100-80)*(Einstellungen!$C$16-$L175)/(Einstellungen!$C$16-Einstellungen!$B$16),IF($L175&lt;=Einstellungen!$D$16,80*(Einstellungen!$D$16-$L175)/(Einstellungen!$D$16-Einstellungen!$C$16),0))))*Einstellungen!$E$16+IF($N175="",0,IF($N175&lt;=Einstellungen!$B$17,100,IF($N175&lt;=Einstellungen!$C$17,80+(100-80)*(Einstellungen!$C$17-$N175)/(Einstellungen!$C$17-Einstellungen!$B$17),IF($N175&lt;=Einstellungen!$D$17,80*(Einstellungen!$D$17-$N175)/(Einstellungen!$D$17-Einstellungen!$C$17),0))))*Einstellungen!$E$17+IF($P175="",0,IF($P175&lt;=Einstellungen!$B$18,100,IF($P175&lt;=Einstellungen!$C$18,80+(100-80)*(Einstellungen!$C$18-$P175)/(Einstellungen!$C$18-Einstellungen!$B$18),IF($P175&lt;=Einstellungen!$D$18,80*(Einstellungen!$D$18-$P175)/(Einstellungen!$D$18-Einstellungen!$C$18),0))))*Einstellungen!$E$18)/(Einstellungen!$E$16+Einstellungen!$E$17+Einstellungen!$E$18),0))</f>
        <v/>
      </c>
      <c r="Z175">
        <f>IF(AND($E175="",$D175="",$G175="",$V175="",$Q175="",$T175="",$W175="",$U175=""),"",ROUND(IF($E175="",0,IF($E175&lt;Einstellungen!$B$21,0,IF($E175&gt;=Einstellungen!$B$22,100,($E175-Einstellungen!$B$21)/(Einstellungen!$B$22-Einstellungen!$B$21)*100)))/100*Einstellungen!$B$5+IF($W175="",0,$W175/100)*Einstellungen!$B$6+(IF($G175="",0,MAX(0,MIN(100,($G175-Einstellungen!$B$25)/(Einstellungen!$B$26-Einstellungen!$B$25)*100)))+IF($I175="",0,MAX(0,MIN(100,($I175-Einstellungen!$B$27)/(Einstellungen!$B$28-Einstellungen!$B$27)*100))))/2/100*Einstellungen!$B$7+IF($V175="",0,$V175/100)*Einstellungen!$B$8+IF($R175="",0,MAX(0,MIN(100,(Einstellungen!$B$32-$R175)/(Einstellungen!$B$32-Einstellungen!$B$31)*100)))/100*Einstellungen!$B$9+IF($D175="",0,$D175/5*100)/100*Einstellungen!$B$10+IF($AD175="",0,$AD175)/100*Einstellungen!$B$11+IF($U175="",0,$U175/5*100)/100*Einstellungen!$B$12,0))</f>
        <v/>
      </c>
      <c r="AA175">
        <f>IF($X175="","",$X175*1000000000000+IF($G175="",0,$G175)*1000000+IF($H175="",0,$H175)*1000+IF($I175="",0,$I175)+IF($N175="",0,MAX(0,1000-$N175))/1000+IF($A175="",0,$A175)/1000000)</f>
        <v/>
      </c>
      <c r="AB175">
        <f>IF($Y175="","",_xludf.RANK.EQ($Y175,$Y$2:$Y$201,0))</f>
        <v/>
      </c>
    </row>
    <row r="176">
      <c r="T176">
        <f>IFERROR(IF($Q176="","",$Q176/$H176),"")</f>
        <v/>
      </c>
      <c r="U176">
        <f>IFERROR(IF($Q176="","",$Q176/$G176),"")</f>
        <v/>
      </c>
      <c r="Y176">
        <f>IF(AND($L176="",$N176="",$P176=""),"",ROUND((IF($L176="",0,IF($L176&lt;=Einstellungen!$B$16,100,IF($L176&lt;=Einstellungen!$C$16,80+(100-80)*(Einstellungen!$C$16-$L176)/(Einstellungen!$C$16-Einstellungen!$B$16),IF($L176&lt;=Einstellungen!$D$16,80*(Einstellungen!$D$16-$L176)/(Einstellungen!$D$16-Einstellungen!$C$16),0))))*Einstellungen!$E$16+IF($N176="",0,IF($N176&lt;=Einstellungen!$B$17,100,IF($N176&lt;=Einstellungen!$C$17,80+(100-80)*(Einstellungen!$C$17-$N176)/(Einstellungen!$C$17-Einstellungen!$B$17),IF($N176&lt;=Einstellungen!$D$17,80*(Einstellungen!$D$17-$N176)/(Einstellungen!$D$17-Einstellungen!$C$17),0))))*Einstellungen!$E$17+IF($P176="",0,IF($P176&lt;=Einstellungen!$B$18,100,IF($P176&lt;=Einstellungen!$C$18,80+(100-80)*(Einstellungen!$C$18-$P176)/(Einstellungen!$C$18-Einstellungen!$B$18),IF($P176&lt;=Einstellungen!$D$18,80*(Einstellungen!$D$18-$P176)/(Einstellungen!$D$18-Einstellungen!$C$18),0))))*Einstellungen!$E$18)/(Einstellungen!$E$16+Einstellungen!$E$17+Einstellungen!$E$18),0))</f>
        <v/>
      </c>
      <c r="Z176">
        <f>IF(AND($E176="",$D176="",$G176="",$V176="",$Q176="",$T176="",$W176="",$U176=""),"",ROUND(IF($E176="",0,IF($E176&lt;Einstellungen!$B$21,0,IF($E176&gt;=Einstellungen!$B$22,100,($E176-Einstellungen!$B$21)/(Einstellungen!$B$22-Einstellungen!$B$21)*100)))/100*Einstellungen!$B$5+IF($W176="",0,$W176/100)*Einstellungen!$B$6+(IF($G176="",0,MAX(0,MIN(100,($G176-Einstellungen!$B$25)/(Einstellungen!$B$26-Einstellungen!$B$25)*100)))+IF($I176="",0,MAX(0,MIN(100,($I176-Einstellungen!$B$27)/(Einstellungen!$B$28-Einstellungen!$B$27)*100))))/2/100*Einstellungen!$B$7+IF($V176="",0,$V176/100)*Einstellungen!$B$8+IF($R176="",0,MAX(0,MIN(100,(Einstellungen!$B$32-$R176)/(Einstellungen!$B$32-Einstellungen!$B$31)*100)))/100*Einstellungen!$B$9+IF($D176="",0,$D176/5*100)/100*Einstellungen!$B$10+IF($AD176="",0,$AD176)/100*Einstellungen!$B$11+IF($U176="",0,$U176/5*100)/100*Einstellungen!$B$12,0))</f>
        <v/>
      </c>
      <c r="AA176">
        <f>IF($X176="","",$X176*1000000000000+IF($G176="",0,$G176)*1000000+IF($H176="",0,$H176)*1000+IF($I176="",0,$I176)+IF($N176="",0,MAX(0,1000-$N176))/1000+IF($A176="",0,$A176)/1000000)</f>
        <v/>
      </c>
      <c r="AB176">
        <f>IF($Y176="","",_xludf.RANK.EQ($Y176,$Y$2:$Y$201,0))</f>
        <v/>
      </c>
    </row>
    <row r="177">
      <c r="T177">
        <f>IFERROR(IF($Q177="","",$Q177/$H177),"")</f>
        <v/>
      </c>
      <c r="U177">
        <f>IFERROR(IF($Q177="","",$Q177/$G177),"")</f>
        <v/>
      </c>
      <c r="Y177">
        <f>IF(AND($L177="",$N177="",$P177=""),"",ROUND((IF($L177="",0,IF($L177&lt;=Einstellungen!$B$16,100,IF($L177&lt;=Einstellungen!$C$16,80+(100-80)*(Einstellungen!$C$16-$L177)/(Einstellungen!$C$16-Einstellungen!$B$16),IF($L177&lt;=Einstellungen!$D$16,80*(Einstellungen!$D$16-$L177)/(Einstellungen!$D$16-Einstellungen!$C$16),0))))*Einstellungen!$E$16+IF($N177="",0,IF($N177&lt;=Einstellungen!$B$17,100,IF($N177&lt;=Einstellungen!$C$17,80+(100-80)*(Einstellungen!$C$17-$N177)/(Einstellungen!$C$17-Einstellungen!$B$17),IF($N177&lt;=Einstellungen!$D$17,80*(Einstellungen!$D$17-$N177)/(Einstellungen!$D$17-Einstellungen!$C$17),0))))*Einstellungen!$E$17+IF($P177="",0,IF($P177&lt;=Einstellungen!$B$18,100,IF($P177&lt;=Einstellungen!$C$18,80+(100-80)*(Einstellungen!$C$18-$P177)/(Einstellungen!$C$18-Einstellungen!$B$18),IF($P177&lt;=Einstellungen!$D$18,80*(Einstellungen!$D$18-$P177)/(Einstellungen!$D$18-Einstellungen!$C$18),0))))*Einstellungen!$E$18)/(Einstellungen!$E$16+Einstellungen!$E$17+Einstellungen!$E$18),0))</f>
        <v/>
      </c>
      <c r="Z177">
        <f>IF(AND($E177="",$D177="",$G177="",$V177="",$Q177="",$T177="",$W177="",$U177=""),"",ROUND(IF($E177="",0,IF($E177&lt;Einstellungen!$B$21,0,IF($E177&gt;=Einstellungen!$B$22,100,($E177-Einstellungen!$B$21)/(Einstellungen!$B$22-Einstellungen!$B$21)*100)))/100*Einstellungen!$B$5+IF($W177="",0,$W177/100)*Einstellungen!$B$6+(IF($G177="",0,MAX(0,MIN(100,($G177-Einstellungen!$B$25)/(Einstellungen!$B$26-Einstellungen!$B$25)*100)))+IF($I177="",0,MAX(0,MIN(100,($I177-Einstellungen!$B$27)/(Einstellungen!$B$28-Einstellungen!$B$27)*100))))/2/100*Einstellungen!$B$7+IF($V177="",0,$V177/100)*Einstellungen!$B$8+IF($R177="",0,MAX(0,MIN(100,(Einstellungen!$B$32-$R177)/(Einstellungen!$B$32-Einstellungen!$B$31)*100)))/100*Einstellungen!$B$9+IF($D177="",0,$D177/5*100)/100*Einstellungen!$B$10+IF($AD177="",0,$AD177)/100*Einstellungen!$B$11+IF($U177="",0,$U177/5*100)/100*Einstellungen!$B$12,0))</f>
        <v/>
      </c>
      <c r="AA177">
        <f>IF($X177="","",$X177*1000000000000+IF($G177="",0,$G177)*1000000+IF($H177="",0,$H177)*1000+IF($I177="",0,$I177)+IF($N177="",0,MAX(0,1000-$N177))/1000+IF($A177="",0,$A177)/1000000)</f>
        <v/>
      </c>
      <c r="AB177">
        <f>IF($Y177="","",_xludf.RANK.EQ($Y177,$Y$2:$Y$201,0))</f>
        <v/>
      </c>
    </row>
    <row r="178">
      <c r="T178">
        <f>IFERROR(IF($Q178="","",$Q178/$H178),"")</f>
        <v/>
      </c>
      <c r="U178">
        <f>IFERROR(IF($Q178="","",$Q178/$G178),"")</f>
        <v/>
      </c>
      <c r="Y178">
        <f>IF(AND($L178="",$N178="",$P178=""),"",ROUND((IF($L178="",0,IF($L178&lt;=Einstellungen!$B$16,100,IF($L178&lt;=Einstellungen!$C$16,80+(100-80)*(Einstellungen!$C$16-$L178)/(Einstellungen!$C$16-Einstellungen!$B$16),IF($L178&lt;=Einstellungen!$D$16,80*(Einstellungen!$D$16-$L178)/(Einstellungen!$D$16-Einstellungen!$C$16),0))))*Einstellungen!$E$16+IF($N178="",0,IF($N178&lt;=Einstellungen!$B$17,100,IF($N178&lt;=Einstellungen!$C$17,80+(100-80)*(Einstellungen!$C$17-$N178)/(Einstellungen!$C$17-Einstellungen!$B$17),IF($N178&lt;=Einstellungen!$D$17,80*(Einstellungen!$D$17-$N178)/(Einstellungen!$D$17-Einstellungen!$C$17),0))))*Einstellungen!$E$17+IF($P178="",0,IF($P178&lt;=Einstellungen!$B$18,100,IF($P178&lt;=Einstellungen!$C$18,80+(100-80)*(Einstellungen!$C$18-$P178)/(Einstellungen!$C$18-Einstellungen!$B$18),IF($P178&lt;=Einstellungen!$D$18,80*(Einstellungen!$D$18-$P178)/(Einstellungen!$D$18-Einstellungen!$C$18),0))))*Einstellungen!$E$18)/(Einstellungen!$E$16+Einstellungen!$E$17+Einstellungen!$E$18),0))</f>
        <v/>
      </c>
      <c r="Z178">
        <f>IF(AND($E178="",$D178="",$G178="",$V178="",$Q178="",$T178="",$W178="",$U178=""),"",ROUND(IF($E178="",0,IF($E178&lt;Einstellungen!$B$21,0,IF($E178&gt;=Einstellungen!$B$22,100,($E178-Einstellungen!$B$21)/(Einstellungen!$B$22-Einstellungen!$B$21)*100)))/100*Einstellungen!$B$5+IF($W178="",0,$W178/100)*Einstellungen!$B$6+(IF($G178="",0,MAX(0,MIN(100,($G178-Einstellungen!$B$25)/(Einstellungen!$B$26-Einstellungen!$B$25)*100)))+IF($I178="",0,MAX(0,MIN(100,($I178-Einstellungen!$B$27)/(Einstellungen!$B$28-Einstellungen!$B$27)*100))))/2/100*Einstellungen!$B$7+IF($V178="",0,$V178/100)*Einstellungen!$B$8+IF($R178="",0,MAX(0,MIN(100,(Einstellungen!$B$32-$R178)/(Einstellungen!$B$32-Einstellungen!$B$31)*100)))/100*Einstellungen!$B$9+IF($D178="",0,$D178/5*100)/100*Einstellungen!$B$10+IF($AD178="",0,$AD178)/100*Einstellungen!$B$11+IF($U178="",0,$U178/5*100)/100*Einstellungen!$B$12,0))</f>
        <v/>
      </c>
      <c r="AA178">
        <f>IF($X178="","",$X178*1000000000000+IF($G178="",0,$G178)*1000000+IF($H178="",0,$H178)*1000+IF($I178="",0,$I178)+IF($N178="",0,MAX(0,1000-$N178))/1000+IF($A178="",0,$A178)/1000000)</f>
        <v/>
      </c>
      <c r="AB178">
        <f>IF($Y178="","",_xludf.RANK.EQ($Y178,$Y$2:$Y$201,0))</f>
        <v/>
      </c>
    </row>
    <row r="179">
      <c r="T179">
        <f>IFERROR(IF($Q179="","",$Q179/$H179),"")</f>
        <v/>
      </c>
      <c r="U179">
        <f>IFERROR(IF($Q179="","",$Q179/$G179),"")</f>
        <v/>
      </c>
      <c r="Y179">
        <f>IF(AND($L179="",$N179="",$P179=""),"",ROUND((IF($L179="",0,IF($L179&lt;=Einstellungen!$B$16,100,IF($L179&lt;=Einstellungen!$C$16,80+(100-80)*(Einstellungen!$C$16-$L179)/(Einstellungen!$C$16-Einstellungen!$B$16),IF($L179&lt;=Einstellungen!$D$16,80*(Einstellungen!$D$16-$L179)/(Einstellungen!$D$16-Einstellungen!$C$16),0))))*Einstellungen!$E$16+IF($N179="",0,IF($N179&lt;=Einstellungen!$B$17,100,IF($N179&lt;=Einstellungen!$C$17,80+(100-80)*(Einstellungen!$C$17-$N179)/(Einstellungen!$C$17-Einstellungen!$B$17),IF($N179&lt;=Einstellungen!$D$17,80*(Einstellungen!$D$17-$N179)/(Einstellungen!$D$17-Einstellungen!$C$17),0))))*Einstellungen!$E$17+IF($P179="",0,IF($P179&lt;=Einstellungen!$B$18,100,IF($P179&lt;=Einstellungen!$C$18,80+(100-80)*(Einstellungen!$C$18-$P179)/(Einstellungen!$C$18-Einstellungen!$B$18),IF($P179&lt;=Einstellungen!$D$18,80*(Einstellungen!$D$18-$P179)/(Einstellungen!$D$18-Einstellungen!$C$18),0))))*Einstellungen!$E$18)/(Einstellungen!$E$16+Einstellungen!$E$17+Einstellungen!$E$18),0))</f>
        <v/>
      </c>
      <c r="Z179">
        <f>IF(AND($E179="",$D179="",$G179="",$V179="",$Q179="",$T179="",$W179="",$U179=""),"",ROUND(IF($E179="",0,IF($E179&lt;Einstellungen!$B$21,0,IF($E179&gt;=Einstellungen!$B$22,100,($E179-Einstellungen!$B$21)/(Einstellungen!$B$22-Einstellungen!$B$21)*100)))/100*Einstellungen!$B$5+IF($W179="",0,$W179/100)*Einstellungen!$B$6+(IF($G179="",0,MAX(0,MIN(100,($G179-Einstellungen!$B$25)/(Einstellungen!$B$26-Einstellungen!$B$25)*100)))+IF($I179="",0,MAX(0,MIN(100,($I179-Einstellungen!$B$27)/(Einstellungen!$B$28-Einstellungen!$B$27)*100))))/2/100*Einstellungen!$B$7+IF($V179="",0,$V179/100)*Einstellungen!$B$8+IF($R179="",0,MAX(0,MIN(100,(Einstellungen!$B$32-$R179)/(Einstellungen!$B$32-Einstellungen!$B$31)*100)))/100*Einstellungen!$B$9+IF($D179="",0,$D179/5*100)/100*Einstellungen!$B$10+IF($AD179="",0,$AD179)/100*Einstellungen!$B$11+IF($U179="",0,$U179/5*100)/100*Einstellungen!$B$12,0))</f>
        <v/>
      </c>
      <c r="AA179">
        <f>IF($X179="","",$X179*1000000000000+IF($G179="",0,$G179)*1000000+IF($H179="",0,$H179)*1000+IF($I179="",0,$I179)+IF($N179="",0,MAX(0,1000-$N179))/1000+IF($A179="",0,$A179)/1000000)</f>
        <v/>
      </c>
      <c r="AB179">
        <f>IF($Y179="","",_xludf.RANK.EQ($Y179,$Y$2:$Y$201,0))</f>
        <v/>
      </c>
    </row>
    <row r="180">
      <c r="T180">
        <f>IFERROR(IF($Q180="","",$Q180/$H180),"")</f>
        <v/>
      </c>
      <c r="U180">
        <f>IFERROR(IF($Q180="","",$Q180/$G180),"")</f>
        <v/>
      </c>
      <c r="Y180">
        <f>IF(AND($L180="",$N180="",$P180=""),"",ROUND((IF($L180="",0,IF($L180&lt;=Einstellungen!$B$16,100,IF($L180&lt;=Einstellungen!$C$16,80+(100-80)*(Einstellungen!$C$16-$L180)/(Einstellungen!$C$16-Einstellungen!$B$16),IF($L180&lt;=Einstellungen!$D$16,80*(Einstellungen!$D$16-$L180)/(Einstellungen!$D$16-Einstellungen!$C$16),0))))*Einstellungen!$E$16+IF($N180="",0,IF($N180&lt;=Einstellungen!$B$17,100,IF($N180&lt;=Einstellungen!$C$17,80+(100-80)*(Einstellungen!$C$17-$N180)/(Einstellungen!$C$17-Einstellungen!$B$17),IF($N180&lt;=Einstellungen!$D$17,80*(Einstellungen!$D$17-$N180)/(Einstellungen!$D$17-Einstellungen!$C$17),0))))*Einstellungen!$E$17+IF($P180="",0,IF($P180&lt;=Einstellungen!$B$18,100,IF($P180&lt;=Einstellungen!$C$18,80+(100-80)*(Einstellungen!$C$18-$P180)/(Einstellungen!$C$18-Einstellungen!$B$18),IF($P180&lt;=Einstellungen!$D$18,80*(Einstellungen!$D$18-$P180)/(Einstellungen!$D$18-Einstellungen!$C$18),0))))*Einstellungen!$E$18)/(Einstellungen!$E$16+Einstellungen!$E$17+Einstellungen!$E$18),0))</f>
        <v/>
      </c>
      <c r="Z180">
        <f>IF(AND($E180="",$D180="",$G180="",$V180="",$Q180="",$T180="",$W180="",$U180=""),"",ROUND(IF($E180="",0,IF($E180&lt;Einstellungen!$B$21,0,IF($E180&gt;=Einstellungen!$B$22,100,($E180-Einstellungen!$B$21)/(Einstellungen!$B$22-Einstellungen!$B$21)*100)))/100*Einstellungen!$B$5+IF($W180="",0,$W180/100)*Einstellungen!$B$6+(IF($G180="",0,MAX(0,MIN(100,($G180-Einstellungen!$B$25)/(Einstellungen!$B$26-Einstellungen!$B$25)*100)))+IF($I180="",0,MAX(0,MIN(100,($I180-Einstellungen!$B$27)/(Einstellungen!$B$28-Einstellungen!$B$27)*100))))/2/100*Einstellungen!$B$7+IF($V180="",0,$V180/100)*Einstellungen!$B$8+IF($R180="",0,MAX(0,MIN(100,(Einstellungen!$B$32-$R180)/(Einstellungen!$B$32-Einstellungen!$B$31)*100)))/100*Einstellungen!$B$9+IF($D180="",0,$D180/5*100)/100*Einstellungen!$B$10+IF($AD180="",0,$AD180)/100*Einstellungen!$B$11+IF($U180="",0,$U180/5*100)/100*Einstellungen!$B$12,0))</f>
        <v/>
      </c>
      <c r="AA180">
        <f>IF($X180="","",$X180*1000000000000+IF($G180="",0,$G180)*1000000+IF($H180="",0,$H180)*1000+IF($I180="",0,$I180)+IF($N180="",0,MAX(0,1000-$N180))/1000+IF($A180="",0,$A180)/1000000)</f>
        <v/>
      </c>
      <c r="AB180">
        <f>IF($Y180="","",_xludf.RANK.EQ($Y180,$Y$2:$Y$201,0))</f>
        <v/>
      </c>
    </row>
    <row r="181">
      <c r="T181">
        <f>IFERROR(IF($Q181="","",$Q181/$H181),"")</f>
        <v/>
      </c>
      <c r="U181">
        <f>IFERROR(IF($Q181="","",$Q181/$G181),"")</f>
        <v/>
      </c>
      <c r="Y181">
        <f>IF(AND($L181="",$N181="",$P181=""),"",ROUND((IF($L181="",0,IF($L181&lt;=Einstellungen!$B$16,100,IF($L181&lt;=Einstellungen!$C$16,80+(100-80)*(Einstellungen!$C$16-$L181)/(Einstellungen!$C$16-Einstellungen!$B$16),IF($L181&lt;=Einstellungen!$D$16,80*(Einstellungen!$D$16-$L181)/(Einstellungen!$D$16-Einstellungen!$C$16),0))))*Einstellungen!$E$16+IF($N181="",0,IF($N181&lt;=Einstellungen!$B$17,100,IF($N181&lt;=Einstellungen!$C$17,80+(100-80)*(Einstellungen!$C$17-$N181)/(Einstellungen!$C$17-Einstellungen!$B$17),IF($N181&lt;=Einstellungen!$D$17,80*(Einstellungen!$D$17-$N181)/(Einstellungen!$D$17-Einstellungen!$C$17),0))))*Einstellungen!$E$17+IF($P181="",0,IF($P181&lt;=Einstellungen!$B$18,100,IF($P181&lt;=Einstellungen!$C$18,80+(100-80)*(Einstellungen!$C$18-$P181)/(Einstellungen!$C$18-Einstellungen!$B$18),IF($P181&lt;=Einstellungen!$D$18,80*(Einstellungen!$D$18-$P181)/(Einstellungen!$D$18-Einstellungen!$C$18),0))))*Einstellungen!$E$18)/(Einstellungen!$E$16+Einstellungen!$E$17+Einstellungen!$E$18),0))</f>
        <v/>
      </c>
      <c r="Z181">
        <f>IF(AND($E181="",$D181="",$G181="",$V181="",$Q181="",$T181="",$W181="",$U181=""),"",ROUND(IF($E181="",0,IF($E181&lt;Einstellungen!$B$21,0,IF($E181&gt;=Einstellungen!$B$22,100,($E181-Einstellungen!$B$21)/(Einstellungen!$B$22-Einstellungen!$B$21)*100)))/100*Einstellungen!$B$5+IF($W181="",0,$W181/100)*Einstellungen!$B$6+(IF($G181="",0,MAX(0,MIN(100,($G181-Einstellungen!$B$25)/(Einstellungen!$B$26-Einstellungen!$B$25)*100)))+IF($I181="",0,MAX(0,MIN(100,($I181-Einstellungen!$B$27)/(Einstellungen!$B$28-Einstellungen!$B$27)*100))))/2/100*Einstellungen!$B$7+IF($V181="",0,$V181/100)*Einstellungen!$B$8+IF($R181="",0,MAX(0,MIN(100,(Einstellungen!$B$32-$R181)/(Einstellungen!$B$32-Einstellungen!$B$31)*100)))/100*Einstellungen!$B$9+IF($D181="",0,$D181/5*100)/100*Einstellungen!$B$10+IF($AD181="",0,$AD181)/100*Einstellungen!$B$11+IF($U181="",0,$U181/5*100)/100*Einstellungen!$B$12,0))</f>
        <v/>
      </c>
      <c r="AA181">
        <f>IF($X181="","",$X181*1000000000000+IF($G181="",0,$G181)*1000000+IF($H181="",0,$H181)*1000+IF($I181="",0,$I181)+IF($N181="",0,MAX(0,1000-$N181))/1000+IF($A181="",0,$A181)/1000000)</f>
        <v/>
      </c>
      <c r="AB181">
        <f>IF($Y181="","",_xludf.RANK.EQ($Y181,$Y$2:$Y$201,0))</f>
        <v/>
      </c>
    </row>
    <row r="182">
      <c r="T182">
        <f>IFERROR(IF($Q182="","",$Q182/$H182),"")</f>
        <v/>
      </c>
      <c r="U182">
        <f>IFERROR(IF($Q182="","",$Q182/$G182),"")</f>
        <v/>
      </c>
      <c r="Y182">
        <f>IF(AND($L182="",$N182="",$P182=""),"",ROUND((IF($L182="",0,IF($L182&lt;=Einstellungen!$B$16,100,IF($L182&lt;=Einstellungen!$C$16,80+(100-80)*(Einstellungen!$C$16-$L182)/(Einstellungen!$C$16-Einstellungen!$B$16),IF($L182&lt;=Einstellungen!$D$16,80*(Einstellungen!$D$16-$L182)/(Einstellungen!$D$16-Einstellungen!$C$16),0))))*Einstellungen!$E$16+IF($N182="",0,IF($N182&lt;=Einstellungen!$B$17,100,IF($N182&lt;=Einstellungen!$C$17,80+(100-80)*(Einstellungen!$C$17-$N182)/(Einstellungen!$C$17-Einstellungen!$B$17),IF($N182&lt;=Einstellungen!$D$17,80*(Einstellungen!$D$17-$N182)/(Einstellungen!$D$17-Einstellungen!$C$17),0))))*Einstellungen!$E$17+IF($P182="",0,IF($P182&lt;=Einstellungen!$B$18,100,IF($P182&lt;=Einstellungen!$C$18,80+(100-80)*(Einstellungen!$C$18-$P182)/(Einstellungen!$C$18-Einstellungen!$B$18),IF($P182&lt;=Einstellungen!$D$18,80*(Einstellungen!$D$18-$P182)/(Einstellungen!$D$18-Einstellungen!$C$18),0))))*Einstellungen!$E$18)/(Einstellungen!$E$16+Einstellungen!$E$17+Einstellungen!$E$18),0))</f>
        <v/>
      </c>
      <c r="Z182">
        <f>IF(AND($E182="",$D182="",$G182="",$V182="",$Q182="",$T182="",$W182="",$U182=""),"",ROUND(IF($E182="",0,IF($E182&lt;Einstellungen!$B$21,0,IF($E182&gt;=Einstellungen!$B$22,100,($E182-Einstellungen!$B$21)/(Einstellungen!$B$22-Einstellungen!$B$21)*100)))/100*Einstellungen!$B$5+IF($W182="",0,$W182/100)*Einstellungen!$B$6+(IF($G182="",0,MAX(0,MIN(100,($G182-Einstellungen!$B$25)/(Einstellungen!$B$26-Einstellungen!$B$25)*100)))+IF($I182="",0,MAX(0,MIN(100,($I182-Einstellungen!$B$27)/(Einstellungen!$B$28-Einstellungen!$B$27)*100))))/2/100*Einstellungen!$B$7+IF($V182="",0,$V182/100)*Einstellungen!$B$8+IF($R182="",0,MAX(0,MIN(100,(Einstellungen!$B$32-$R182)/(Einstellungen!$B$32-Einstellungen!$B$31)*100)))/100*Einstellungen!$B$9+IF($D182="",0,$D182/5*100)/100*Einstellungen!$B$10+IF($AD182="",0,$AD182)/100*Einstellungen!$B$11+IF($U182="",0,$U182/5*100)/100*Einstellungen!$B$12,0))</f>
        <v/>
      </c>
      <c r="AA182">
        <f>IF($X182="","",$X182*1000000000000+IF($G182="",0,$G182)*1000000+IF($H182="",0,$H182)*1000+IF($I182="",0,$I182)+IF($N182="",0,MAX(0,1000-$N182))/1000+IF($A182="",0,$A182)/1000000)</f>
        <v/>
      </c>
      <c r="AB182">
        <f>IF($Y182="","",_xludf.RANK.EQ($Y182,$Y$2:$Y$201,0))</f>
        <v/>
      </c>
    </row>
    <row r="183">
      <c r="T183">
        <f>IFERROR(IF($Q183="","",$Q183/$H183),"")</f>
        <v/>
      </c>
      <c r="U183">
        <f>IFERROR(IF($Q183="","",$Q183/$G183),"")</f>
        <v/>
      </c>
      <c r="Y183">
        <f>IF(AND($L183="",$N183="",$P183=""),"",ROUND((IF($L183="",0,IF($L183&lt;=Einstellungen!$B$16,100,IF($L183&lt;=Einstellungen!$C$16,80+(100-80)*(Einstellungen!$C$16-$L183)/(Einstellungen!$C$16-Einstellungen!$B$16),IF($L183&lt;=Einstellungen!$D$16,80*(Einstellungen!$D$16-$L183)/(Einstellungen!$D$16-Einstellungen!$C$16),0))))*Einstellungen!$E$16+IF($N183="",0,IF($N183&lt;=Einstellungen!$B$17,100,IF($N183&lt;=Einstellungen!$C$17,80+(100-80)*(Einstellungen!$C$17-$N183)/(Einstellungen!$C$17-Einstellungen!$B$17),IF($N183&lt;=Einstellungen!$D$17,80*(Einstellungen!$D$17-$N183)/(Einstellungen!$D$17-Einstellungen!$C$17),0))))*Einstellungen!$E$17+IF($P183="",0,IF($P183&lt;=Einstellungen!$B$18,100,IF($P183&lt;=Einstellungen!$C$18,80+(100-80)*(Einstellungen!$C$18-$P183)/(Einstellungen!$C$18-Einstellungen!$B$18),IF($P183&lt;=Einstellungen!$D$18,80*(Einstellungen!$D$18-$P183)/(Einstellungen!$D$18-Einstellungen!$C$18),0))))*Einstellungen!$E$18)/(Einstellungen!$E$16+Einstellungen!$E$17+Einstellungen!$E$18),0))</f>
        <v/>
      </c>
      <c r="Z183">
        <f>IF(AND($E183="",$D183="",$G183="",$V183="",$Q183="",$T183="",$W183="",$U183=""),"",ROUND(IF($E183="",0,IF($E183&lt;Einstellungen!$B$21,0,IF($E183&gt;=Einstellungen!$B$22,100,($E183-Einstellungen!$B$21)/(Einstellungen!$B$22-Einstellungen!$B$21)*100)))/100*Einstellungen!$B$5+IF($W183="",0,$W183/100)*Einstellungen!$B$6+(IF($G183="",0,MAX(0,MIN(100,($G183-Einstellungen!$B$25)/(Einstellungen!$B$26-Einstellungen!$B$25)*100)))+IF($I183="",0,MAX(0,MIN(100,($I183-Einstellungen!$B$27)/(Einstellungen!$B$28-Einstellungen!$B$27)*100))))/2/100*Einstellungen!$B$7+IF($V183="",0,$V183/100)*Einstellungen!$B$8+IF($R183="",0,MAX(0,MIN(100,(Einstellungen!$B$32-$R183)/(Einstellungen!$B$32-Einstellungen!$B$31)*100)))/100*Einstellungen!$B$9+IF($D183="",0,$D183/5*100)/100*Einstellungen!$B$10+IF($AD183="",0,$AD183)/100*Einstellungen!$B$11+IF($U183="",0,$U183/5*100)/100*Einstellungen!$B$12,0))</f>
        <v/>
      </c>
      <c r="AA183">
        <f>IF($X183="","",$X183*1000000000000+IF($G183="",0,$G183)*1000000+IF($H183="",0,$H183)*1000+IF($I183="",0,$I183)+IF($N183="",0,MAX(0,1000-$N183))/1000+IF($A183="",0,$A183)/1000000)</f>
        <v/>
      </c>
      <c r="AB183">
        <f>IF($Y183="","",_xludf.RANK.EQ($Y183,$Y$2:$Y$201,0))</f>
        <v/>
      </c>
    </row>
    <row r="184">
      <c r="T184">
        <f>IFERROR(IF($Q184="","",$Q184/$H184),"")</f>
        <v/>
      </c>
      <c r="U184">
        <f>IFERROR(IF($Q184="","",$Q184/$G184),"")</f>
        <v/>
      </c>
      <c r="Y184">
        <f>IF(AND($L184="",$N184="",$P184=""),"",ROUND((IF($L184="",0,IF($L184&lt;=Einstellungen!$B$16,100,IF($L184&lt;=Einstellungen!$C$16,80+(100-80)*(Einstellungen!$C$16-$L184)/(Einstellungen!$C$16-Einstellungen!$B$16),IF($L184&lt;=Einstellungen!$D$16,80*(Einstellungen!$D$16-$L184)/(Einstellungen!$D$16-Einstellungen!$C$16),0))))*Einstellungen!$E$16+IF($N184="",0,IF($N184&lt;=Einstellungen!$B$17,100,IF($N184&lt;=Einstellungen!$C$17,80+(100-80)*(Einstellungen!$C$17-$N184)/(Einstellungen!$C$17-Einstellungen!$B$17),IF($N184&lt;=Einstellungen!$D$17,80*(Einstellungen!$D$17-$N184)/(Einstellungen!$D$17-Einstellungen!$C$17),0))))*Einstellungen!$E$17+IF($P184="",0,IF($P184&lt;=Einstellungen!$B$18,100,IF($P184&lt;=Einstellungen!$C$18,80+(100-80)*(Einstellungen!$C$18-$P184)/(Einstellungen!$C$18-Einstellungen!$B$18),IF($P184&lt;=Einstellungen!$D$18,80*(Einstellungen!$D$18-$P184)/(Einstellungen!$D$18-Einstellungen!$C$18),0))))*Einstellungen!$E$18)/(Einstellungen!$E$16+Einstellungen!$E$17+Einstellungen!$E$18),0))</f>
        <v/>
      </c>
      <c r="Z184">
        <f>IF(AND($E184="",$D184="",$G184="",$V184="",$Q184="",$T184="",$W184="",$U184=""),"",ROUND(IF($E184="",0,IF($E184&lt;Einstellungen!$B$21,0,IF($E184&gt;=Einstellungen!$B$22,100,($E184-Einstellungen!$B$21)/(Einstellungen!$B$22-Einstellungen!$B$21)*100)))/100*Einstellungen!$B$5+IF($W184="",0,$W184/100)*Einstellungen!$B$6+(IF($G184="",0,MAX(0,MIN(100,($G184-Einstellungen!$B$25)/(Einstellungen!$B$26-Einstellungen!$B$25)*100)))+IF($I184="",0,MAX(0,MIN(100,($I184-Einstellungen!$B$27)/(Einstellungen!$B$28-Einstellungen!$B$27)*100))))/2/100*Einstellungen!$B$7+IF($V184="",0,$V184/100)*Einstellungen!$B$8+IF($R184="",0,MAX(0,MIN(100,(Einstellungen!$B$32-$R184)/(Einstellungen!$B$32-Einstellungen!$B$31)*100)))/100*Einstellungen!$B$9+IF($D184="",0,$D184/5*100)/100*Einstellungen!$B$10+IF($AD184="",0,$AD184)/100*Einstellungen!$B$11+IF($U184="",0,$U184/5*100)/100*Einstellungen!$B$12,0))</f>
        <v/>
      </c>
      <c r="AA184">
        <f>IF($X184="","",$X184*1000000000000+IF($G184="",0,$G184)*1000000+IF($H184="",0,$H184)*1000+IF($I184="",0,$I184)+IF($N184="",0,MAX(0,1000-$N184))/1000+IF($A184="",0,$A184)/1000000)</f>
        <v/>
      </c>
      <c r="AB184">
        <f>IF($Y184="","",_xludf.RANK.EQ($Y184,$Y$2:$Y$201,0))</f>
        <v/>
      </c>
    </row>
    <row r="185">
      <c r="T185">
        <f>IFERROR(IF($Q185="","",$Q185/$H185),"")</f>
        <v/>
      </c>
      <c r="U185">
        <f>IFERROR(IF($Q185="","",$Q185/$G185),"")</f>
        <v/>
      </c>
      <c r="Y185">
        <f>IF(AND($L185="",$N185="",$P185=""),"",ROUND((IF($L185="",0,IF($L185&lt;=Einstellungen!$B$16,100,IF($L185&lt;=Einstellungen!$C$16,80+(100-80)*(Einstellungen!$C$16-$L185)/(Einstellungen!$C$16-Einstellungen!$B$16),IF($L185&lt;=Einstellungen!$D$16,80*(Einstellungen!$D$16-$L185)/(Einstellungen!$D$16-Einstellungen!$C$16),0))))*Einstellungen!$E$16+IF($N185="",0,IF($N185&lt;=Einstellungen!$B$17,100,IF($N185&lt;=Einstellungen!$C$17,80+(100-80)*(Einstellungen!$C$17-$N185)/(Einstellungen!$C$17-Einstellungen!$B$17),IF($N185&lt;=Einstellungen!$D$17,80*(Einstellungen!$D$17-$N185)/(Einstellungen!$D$17-Einstellungen!$C$17),0))))*Einstellungen!$E$17+IF($P185="",0,IF($P185&lt;=Einstellungen!$B$18,100,IF($P185&lt;=Einstellungen!$C$18,80+(100-80)*(Einstellungen!$C$18-$P185)/(Einstellungen!$C$18-Einstellungen!$B$18),IF($P185&lt;=Einstellungen!$D$18,80*(Einstellungen!$D$18-$P185)/(Einstellungen!$D$18-Einstellungen!$C$18),0))))*Einstellungen!$E$18)/(Einstellungen!$E$16+Einstellungen!$E$17+Einstellungen!$E$18),0))</f>
        <v/>
      </c>
      <c r="Z185">
        <f>IF(AND($E185="",$D185="",$G185="",$V185="",$Q185="",$T185="",$W185="",$U185=""),"",ROUND(IF($E185="",0,IF($E185&lt;Einstellungen!$B$21,0,IF($E185&gt;=Einstellungen!$B$22,100,($E185-Einstellungen!$B$21)/(Einstellungen!$B$22-Einstellungen!$B$21)*100)))/100*Einstellungen!$B$5+IF($W185="",0,$W185/100)*Einstellungen!$B$6+(IF($G185="",0,MAX(0,MIN(100,($G185-Einstellungen!$B$25)/(Einstellungen!$B$26-Einstellungen!$B$25)*100)))+IF($I185="",0,MAX(0,MIN(100,($I185-Einstellungen!$B$27)/(Einstellungen!$B$28-Einstellungen!$B$27)*100))))/2/100*Einstellungen!$B$7+IF($V185="",0,$V185/100)*Einstellungen!$B$8+IF($R185="",0,MAX(0,MIN(100,(Einstellungen!$B$32-$R185)/(Einstellungen!$B$32-Einstellungen!$B$31)*100)))/100*Einstellungen!$B$9+IF($D185="",0,$D185/5*100)/100*Einstellungen!$B$10+IF($AD185="",0,$AD185)/100*Einstellungen!$B$11+IF($U185="",0,$U185/5*100)/100*Einstellungen!$B$12,0))</f>
        <v/>
      </c>
      <c r="AA185">
        <f>IF($X185="","",$X185*1000000000000+IF($G185="",0,$G185)*1000000+IF($H185="",0,$H185)*1000+IF($I185="",0,$I185)+IF($N185="",0,MAX(0,1000-$N185))/1000+IF($A185="",0,$A185)/1000000)</f>
        <v/>
      </c>
      <c r="AB185">
        <f>IF($Y185="","",_xludf.RANK.EQ($Y185,$Y$2:$Y$201,0))</f>
        <v/>
      </c>
    </row>
    <row r="186">
      <c r="T186">
        <f>IFERROR(IF($Q186="","",$Q186/$H186),"")</f>
        <v/>
      </c>
      <c r="U186">
        <f>IFERROR(IF($Q186="","",$Q186/$G186),"")</f>
        <v/>
      </c>
      <c r="Y186">
        <f>IF(AND($L186="",$N186="",$P186=""),"",ROUND((IF($L186="",0,IF($L186&lt;=Einstellungen!$B$16,100,IF($L186&lt;=Einstellungen!$C$16,80+(100-80)*(Einstellungen!$C$16-$L186)/(Einstellungen!$C$16-Einstellungen!$B$16),IF($L186&lt;=Einstellungen!$D$16,80*(Einstellungen!$D$16-$L186)/(Einstellungen!$D$16-Einstellungen!$C$16),0))))*Einstellungen!$E$16+IF($N186="",0,IF($N186&lt;=Einstellungen!$B$17,100,IF($N186&lt;=Einstellungen!$C$17,80+(100-80)*(Einstellungen!$C$17-$N186)/(Einstellungen!$C$17-Einstellungen!$B$17),IF($N186&lt;=Einstellungen!$D$17,80*(Einstellungen!$D$17-$N186)/(Einstellungen!$D$17-Einstellungen!$C$17),0))))*Einstellungen!$E$17+IF($P186="",0,IF($P186&lt;=Einstellungen!$B$18,100,IF($P186&lt;=Einstellungen!$C$18,80+(100-80)*(Einstellungen!$C$18-$P186)/(Einstellungen!$C$18-Einstellungen!$B$18),IF($P186&lt;=Einstellungen!$D$18,80*(Einstellungen!$D$18-$P186)/(Einstellungen!$D$18-Einstellungen!$C$18),0))))*Einstellungen!$E$18)/(Einstellungen!$E$16+Einstellungen!$E$17+Einstellungen!$E$18),0))</f>
        <v/>
      </c>
      <c r="Z186">
        <f>IF(AND($E186="",$D186="",$G186="",$V186="",$Q186="",$T186="",$W186="",$U186=""),"",ROUND(IF($E186="",0,IF($E186&lt;Einstellungen!$B$21,0,IF($E186&gt;=Einstellungen!$B$22,100,($E186-Einstellungen!$B$21)/(Einstellungen!$B$22-Einstellungen!$B$21)*100)))/100*Einstellungen!$B$5+IF($W186="",0,$W186/100)*Einstellungen!$B$6+(IF($G186="",0,MAX(0,MIN(100,($G186-Einstellungen!$B$25)/(Einstellungen!$B$26-Einstellungen!$B$25)*100)))+IF($I186="",0,MAX(0,MIN(100,($I186-Einstellungen!$B$27)/(Einstellungen!$B$28-Einstellungen!$B$27)*100))))/2/100*Einstellungen!$B$7+IF($V186="",0,$V186/100)*Einstellungen!$B$8+IF($R186="",0,MAX(0,MIN(100,(Einstellungen!$B$32-$R186)/(Einstellungen!$B$32-Einstellungen!$B$31)*100)))/100*Einstellungen!$B$9+IF($D186="",0,$D186/5*100)/100*Einstellungen!$B$10+IF($AD186="",0,$AD186)/100*Einstellungen!$B$11+IF($U186="",0,$U186/5*100)/100*Einstellungen!$B$12,0))</f>
        <v/>
      </c>
      <c r="AA186">
        <f>IF($X186="","",$X186*1000000000000+IF($G186="",0,$G186)*1000000+IF($H186="",0,$H186)*1000+IF($I186="",0,$I186)+IF($N186="",0,MAX(0,1000-$N186))/1000+IF($A186="",0,$A186)/1000000)</f>
        <v/>
      </c>
      <c r="AB186">
        <f>IF($Y186="","",_xludf.RANK.EQ($Y186,$Y$2:$Y$201,0))</f>
        <v/>
      </c>
    </row>
    <row r="187">
      <c r="T187">
        <f>IFERROR(IF($Q187="","",$Q187/$H187),"")</f>
        <v/>
      </c>
      <c r="U187">
        <f>IFERROR(IF($Q187="","",$Q187/$G187),"")</f>
        <v/>
      </c>
      <c r="Y187">
        <f>IF(AND($L187="",$N187="",$P187=""),"",ROUND((IF($L187="",0,IF($L187&lt;=Einstellungen!$B$16,100,IF($L187&lt;=Einstellungen!$C$16,80+(100-80)*(Einstellungen!$C$16-$L187)/(Einstellungen!$C$16-Einstellungen!$B$16),IF($L187&lt;=Einstellungen!$D$16,80*(Einstellungen!$D$16-$L187)/(Einstellungen!$D$16-Einstellungen!$C$16),0))))*Einstellungen!$E$16+IF($N187="",0,IF($N187&lt;=Einstellungen!$B$17,100,IF($N187&lt;=Einstellungen!$C$17,80+(100-80)*(Einstellungen!$C$17-$N187)/(Einstellungen!$C$17-Einstellungen!$B$17),IF($N187&lt;=Einstellungen!$D$17,80*(Einstellungen!$D$17-$N187)/(Einstellungen!$D$17-Einstellungen!$C$17),0))))*Einstellungen!$E$17+IF($P187="",0,IF($P187&lt;=Einstellungen!$B$18,100,IF($P187&lt;=Einstellungen!$C$18,80+(100-80)*(Einstellungen!$C$18-$P187)/(Einstellungen!$C$18-Einstellungen!$B$18),IF($P187&lt;=Einstellungen!$D$18,80*(Einstellungen!$D$18-$P187)/(Einstellungen!$D$18-Einstellungen!$C$18),0))))*Einstellungen!$E$18)/(Einstellungen!$E$16+Einstellungen!$E$17+Einstellungen!$E$18),0))</f>
        <v/>
      </c>
      <c r="Z187">
        <f>IF(AND($E187="",$D187="",$G187="",$V187="",$Q187="",$T187="",$W187="",$U187=""),"",ROUND(IF($E187="",0,IF($E187&lt;Einstellungen!$B$21,0,IF($E187&gt;=Einstellungen!$B$22,100,($E187-Einstellungen!$B$21)/(Einstellungen!$B$22-Einstellungen!$B$21)*100)))/100*Einstellungen!$B$5+IF($W187="",0,$W187/100)*Einstellungen!$B$6+(IF($G187="",0,MAX(0,MIN(100,($G187-Einstellungen!$B$25)/(Einstellungen!$B$26-Einstellungen!$B$25)*100)))+IF($I187="",0,MAX(0,MIN(100,($I187-Einstellungen!$B$27)/(Einstellungen!$B$28-Einstellungen!$B$27)*100))))/2/100*Einstellungen!$B$7+IF($V187="",0,$V187/100)*Einstellungen!$B$8+IF($R187="",0,MAX(0,MIN(100,(Einstellungen!$B$32-$R187)/(Einstellungen!$B$32-Einstellungen!$B$31)*100)))/100*Einstellungen!$B$9+IF($D187="",0,$D187/5*100)/100*Einstellungen!$B$10+IF($AD187="",0,$AD187)/100*Einstellungen!$B$11+IF($U187="",0,$U187/5*100)/100*Einstellungen!$B$12,0))</f>
        <v/>
      </c>
      <c r="AA187">
        <f>IF($X187="","",$X187*1000000000000+IF($G187="",0,$G187)*1000000+IF($H187="",0,$H187)*1000+IF($I187="",0,$I187)+IF($N187="",0,MAX(0,1000-$N187))/1000+IF($A187="",0,$A187)/1000000)</f>
        <v/>
      </c>
      <c r="AB187">
        <f>IF($Y187="","",_xludf.RANK.EQ($Y187,$Y$2:$Y$201,0))</f>
        <v/>
      </c>
    </row>
    <row r="188">
      <c r="T188">
        <f>IFERROR(IF($Q188="","",$Q188/$H188),"")</f>
        <v/>
      </c>
      <c r="U188">
        <f>IFERROR(IF($Q188="","",$Q188/$G188),"")</f>
        <v/>
      </c>
      <c r="Y188">
        <f>IF(AND($L188="",$N188="",$P188=""),"",ROUND((IF($L188="",0,IF($L188&lt;=Einstellungen!$B$16,100,IF($L188&lt;=Einstellungen!$C$16,80+(100-80)*(Einstellungen!$C$16-$L188)/(Einstellungen!$C$16-Einstellungen!$B$16),IF($L188&lt;=Einstellungen!$D$16,80*(Einstellungen!$D$16-$L188)/(Einstellungen!$D$16-Einstellungen!$C$16),0))))*Einstellungen!$E$16+IF($N188="",0,IF($N188&lt;=Einstellungen!$B$17,100,IF($N188&lt;=Einstellungen!$C$17,80+(100-80)*(Einstellungen!$C$17-$N188)/(Einstellungen!$C$17-Einstellungen!$B$17),IF($N188&lt;=Einstellungen!$D$17,80*(Einstellungen!$D$17-$N188)/(Einstellungen!$D$17-Einstellungen!$C$17),0))))*Einstellungen!$E$17+IF($P188="",0,IF($P188&lt;=Einstellungen!$B$18,100,IF($P188&lt;=Einstellungen!$C$18,80+(100-80)*(Einstellungen!$C$18-$P188)/(Einstellungen!$C$18-Einstellungen!$B$18),IF($P188&lt;=Einstellungen!$D$18,80*(Einstellungen!$D$18-$P188)/(Einstellungen!$D$18-Einstellungen!$C$18),0))))*Einstellungen!$E$18)/(Einstellungen!$E$16+Einstellungen!$E$17+Einstellungen!$E$18),0))</f>
        <v/>
      </c>
      <c r="Z188">
        <f>IF(AND($E188="",$D188="",$G188="",$V188="",$Q188="",$T188="",$W188="",$U188=""),"",ROUND(IF($E188="",0,IF($E188&lt;Einstellungen!$B$21,0,IF($E188&gt;=Einstellungen!$B$22,100,($E188-Einstellungen!$B$21)/(Einstellungen!$B$22-Einstellungen!$B$21)*100)))/100*Einstellungen!$B$5+IF($W188="",0,$W188/100)*Einstellungen!$B$6+(IF($G188="",0,MAX(0,MIN(100,($G188-Einstellungen!$B$25)/(Einstellungen!$B$26-Einstellungen!$B$25)*100)))+IF($I188="",0,MAX(0,MIN(100,($I188-Einstellungen!$B$27)/(Einstellungen!$B$28-Einstellungen!$B$27)*100))))/2/100*Einstellungen!$B$7+IF($V188="",0,$V188/100)*Einstellungen!$B$8+IF($R188="",0,MAX(0,MIN(100,(Einstellungen!$B$32-$R188)/(Einstellungen!$B$32-Einstellungen!$B$31)*100)))/100*Einstellungen!$B$9+IF($D188="",0,$D188/5*100)/100*Einstellungen!$B$10+IF($AD188="",0,$AD188)/100*Einstellungen!$B$11+IF($U188="",0,$U188/5*100)/100*Einstellungen!$B$12,0))</f>
        <v/>
      </c>
      <c r="AA188">
        <f>IF($X188="","",$X188*1000000000000+IF($G188="",0,$G188)*1000000+IF($H188="",0,$H188)*1000+IF($I188="",0,$I188)+IF($N188="",0,MAX(0,1000-$N188))/1000+IF($A188="",0,$A188)/1000000)</f>
        <v/>
      </c>
      <c r="AB188">
        <f>IF($Y188="","",_xludf.RANK.EQ($Y188,$Y$2:$Y$201,0))</f>
        <v/>
      </c>
    </row>
    <row r="189">
      <c r="T189">
        <f>IFERROR(IF($Q189="","",$Q189/$H189),"")</f>
        <v/>
      </c>
      <c r="U189">
        <f>IFERROR(IF($Q189="","",$Q189/$G189),"")</f>
        <v/>
      </c>
      <c r="Y189">
        <f>IF(AND($L189="",$N189="",$P189=""),"",ROUND((IF($L189="",0,IF($L189&lt;=Einstellungen!$B$16,100,IF($L189&lt;=Einstellungen!$C$16,80+(100-80)*(Einstellungen!$C$16-$L189)/(Einstellungen!$C$16-Einstellungen!$B$16),IF($L189&lt;=Einstellungen!$D$16,80*(Einstellungen!$D$16-$L189)/(Einstellungen!$D$16-Einstellungen!$C$16),0))))*Einstellungen!$E$16+IF($N189="",0,IF($N189&lt;=Einstellungen!$B$17,100,IF($N189&lt;=Einstellungen!$C$17,80+(100-80)*(Einstellungen!$C$17-$N189)/(Einstellungen!$C$17-Einstellungen!$B$17),IF($N189&lt;=Einstellungen!$D$17,80*(Einstellungen!$D$17-$N189)/(Einstellungen!$D$17-Einstellungen!$C$17),0))))*Einstellungen!$E$17+IF($P189="",0,IF($P189&lt;=Einstellungen!$B$18,100,IF($P189&lt;=Einstellungen!$C$18,80+(100-80)*(Einstellungen!$C$18-$P189)/(Einstellungen!$C$18-Einstellungen!$B$18),IF($P189&lt;=Einstellungen!$D$18,80*(Einstellungen!$D$18-$P189)/(Einstellungen!$D$18-Einstellungen!$C$18),0))))*Einstellungen!$E$18)/(Einstellungen!$E$16+Einstellungen!$E$17+Einstellungen!$E$18),0))</f>
        <v/>
      </c>
      <c r="Z189">
        <f>IF(AND($E189="",$D189="",$G189="",$V189="",$Q189="",$T189="",$W189="",$U189=""),"",ROUND(IF($E189="",0,IF($E189&lt;Einstellungen!$B$21,0,IF($E189&gt;=Einstellungen!$B$22,100,($E189-Einstellungen!$B$21)/(Einstellungen!$B$22-Einstellungen!$B$21)*100)))/100*Einstellungen!$B$5+IF($W189="",0,$W189/100)*Einstellungen!$B$6+(IF($G189="",0,MAX(0,MIN(100,($G189-Einstellungen!$B$25)/(Einstellungen!$B$26-Einstellungen!$B$25)*100)))+IF($I189="",0,MAX(0,MIN(100,($I189-Einstellungen!$B$27)/(Einstellungen!$B$28-Einstellungen!$B$27)*100))))/2/100*Einstellungen!$B$7+IF($V189="",0,$V189/100)*Einstellungen!$B$8+IF($R189="",0,MAX(0,MIN(100,(Einstellungen!$B$32-$R189)/(Einstellungen!$B$32-Einstellungen!$B$31)*100)))/100*Einstellungen!$B$9+IF($D189="",0,$D189/5*100)/100*Einstellungen!$B$10+IF($AD189="",0,$AD189)/100*Einstellungen!$B$11+IF($U189="",0,$U189/5*100)/100*Einstellungen!$B$12,0))</f>
        <v/>
      </c>
      <c r="AA189">
        <f>IF($X189="","",$X189*1000000000000+IF($G189="",0,$G189)*1000000+IF($H189="",0,$H189)*1000+IF($I189="",0,$I189)+IF($N189="",0,MAX(0,1000-$N189))/1000+IF($A189="",0,$A189)/1000000)</f>
        <v/>
      </c>
      <c r="AB189">
        <f>IF($Y189="","",_xludf.RANK.EQ($Y189,$Y$2:$Y$201,0))</f>
        <v/>
      </c>
    </row>
    <row r="190">
      <c r="T190">
        <f>IFERROR(IF($Q190="","",$Q190/$H190),"")</f>
        <v/>
      </c>
      <c r="U190">
        <f>IFERROR(IF($Q190="","",$Q190/$G190),"")</f>
        <v/>
      </c>
      <c r="Y190">
        <f>IF(AND($L190="",$N190="",$P190=""),"",ROUND((IF($L190="",0,IF($L190&lt;=Einstellungen!$B$16,100,IF($L190&lt;=Einstellungen!$C$16,80+(100-80)*(Einstellungen!$C$16-$L190)/(Einstellungen!$C$16-Einstellungen!$B$16),IF($L190&lt;=Einstellungen!$D$16,80*(Einstellungen!$D$16-$L190)/(Einstellungen!$D$16-Einstellungen!$C$16),0))))*Einstellungen!$E$16+IF($N190="",0,IF($N190&lt;=Einstellungen!$B$17,100,IF($N190&lt;=Einstellungen!$C$17,80+(100-80)*(Einstellungen!$C$17-$N190)/(Einstellungen!$C$17-Einstellungen!$B$17),IF($N190&lt;=Einstellungen!$D$17,80*(Einstellungen!$D$17-$N190)/(Einstellungen!$D$17-Einstellungen!$C$17),0))))*Einstellungen!$E$17+IF($P190="",0,IF($P190&lt;=Einstellungen!$B$18,100,IF($P190&lt;=Einstellungen!$C$18,80+(100-80)*(Einstellungen!$C$18-$P190)/(Einstellungen!$C$18-Einstellungen!$B$18),IF($P190&lt;=Einstellungen!$D$18,80*(Einstellungen!$D$18-$P190)/(Einstellungen!$D$18-Einstellungen!$C$18),0))))*Einstellungen!$E$18)/(Einstellungen!$E$16+Einstellungen!$E$17+Einstellungen!$E$18),0))</f>
        <v/>
      </c>
      <c r="Z190">
        <f>IF(AND($E190="",$D190="",$G190="",$V190="",$Q190="",$T190="",$W190="",$U190=""),"",ROUND(IF($E190="",0,IF($E190&lt;Einstellungen!$B$21,0,IF($E190&gt;=Einstellungen!$B$22,100,($E190-Einstellungen!$B$21)/(Einstellungen!$B$22-Einstellungen!$B$21)*100)))/100*Einstellungen!$B$5+IF($W190="",0,$W190/100)*Einstellungen!$B$6+(IF($G190="",0,MAX(0,MIN(100,($G190-Einstellungen!$B$25)/(Einstellungen!$B$26-Einstellungen!$B$25)*100)))+IF($I190="",0,MAX(0,MIN(100,($I190-Einstellungen!$B$27)/(Einstellungen!$B$28-Einstellungen!$B$27)*100))))/2/100*Einstellungen!$B$7+IF($V190="",0,$V190/100)*Einstellungen!$B$8+IF($R190="",0,MAX(0,MIN(100,(Einstellungen!$B$32-$R190)/(Einstellungen!$B$32-Einstellungen!$B$31)*100)))/100*Einstellungen!$B$9+IF($D190="",0,$D190/5*100)/100*Einstellungen!$B$10+IF($AD190="",0,$AD190)/100*Einstellungen!$B$11+IF($U190="",0,$U190/5*100)/100*Einstellungen!$B$12,0))</f>
        <v/>
      </c>
      <c r="AA190">
        <f>IF($X190="","",$X190*1000000000000+IF($G190="",0,$G190)*1000000+IF($H190="",0,$H190)*1000+IF($I190="",0,$I190)+IF($N190="",0,MAX(0,1000-$N190))/1000+IF($A190="",0,$A190)/1000000)</f>
        <v/>
      </c>
      <c r="AB190">
        <f>IF($Y190="","",_xludf.RANK.EQ($Y190,$Y$2:$Y$201,0))</f>
        <v/>
      </c>
    </row>
    <row r="191">
      <c r="T191">
        <f>IFERROR(IF($Q191="","",$Q191/$H191),"")</f>
        <v/>
      </c>
      <c r="U191">
        <f>IFERROR(IF($Q191="","",$Q191/$G191),"")</f>
        <v/>
      </c>
      <c r="Y191">
        <f>IF(AND($L191="",$N191="",$P191=""),"",ROUND((IF($L191="",0,IF($L191&lt;=Einstellungen!$B$16,100,IF($L191&lt;=Einstellungen!$C$16,80+(100-80)*(Einstellungen!$C$16-$L191)/(Einstellungen!$C$16-Einstellungen!$B$16),IF($L191&lt;=Einstellungen!$D$16,80*(Einstellungen!$D$16-$L191)/(Einstellungen!$D$16-Einstellungen!$C$16),0))))*Einstellungen!$E$16+IF($N191="",0,IF($N191&lt;=Einstellungen!$B$17,100,IF($N191&lt;=Einstellungen!$C$17,80+(100-80)*(Einstellungen!$C$17-$N191)/(Einstellungen!$C$17-Einstellungen!$B$17),IF($N191&lt;=Einstellungen!$D$17,80*(Einstellungen!$D$17-$N191)/(Einstellungen!$D$17-Einstellungen!$C$17),0))))*Einstellungen!$E$17+IF($P191="",0,IF($P191&lt;=Einstellungen!$B$18,100,IF($P191&lt;=Einstellungen!$C$18,80+(100-80)*(Einstellungen!$C$18-$P191)/(Einstellungen!$C$18-Einstellungen!$B$18),IF($P191&lt;=Einstellungen!$D$18,80*(Einstellungen!$D$18-$P191)/(Einstellungen!$D$18-Einstellungen!$C$18),0))))*Einstellungen!$E$18)/(Einstellungen!$E$16+Einstellungen!$E$17+Einstellungen!$E$18),0))</f>
        <v/>
      </c>
      <c r="Z191">
        <f>IF(AND($E191="",$D191="",$G191="",$V191="",$Q191="",$T191="",$W191="",$U191=""),"",ROUND(IF($E191="",0,IF($E191&lt;Einstellungen!$B$21,0,IF($E191&gt;=Einstellungen!$B$22,100,($E191-Einstellungen!$B$21)/(Einstellungen!$B$22-Einstellungen!$B$21)*100)))/100*Einstellungen!$B$5+IF($W191="",0,$W191/100)*Einstellungen!$B$6+(IF($G191="",0,MAX(0,MIN(100,($G191-Einstellungen!$B$25)/(Einstellungen!$B$26-Einstellungen!$B$25)*100)))+IF($I191="",0,MAX(0,MIN(100,($I191-Einstellungen!$B$27)/(Einstellungen!$B$28-Einstellungen!$B$27)*100))))/2/100*Einstellungen!$B$7+IF($V191="",0,$V191/100)*Einstellungen!$B$8+IF($R191="",0,MAX(0,MIN(100,(Einstellungen!$B$32-$R191)/(Einstellungen!$B$32-Einstellungen!$B$31)*100)))/100*Einstellungen!$B$9+IF($D191="",0,$D191/5*100)/100*Einstellungen!$B$10+IF($AD191="",0,$AD191)/100*Einstellungen!$B$11+IF($U191="",0,$U191/5*100)/100*Einstellungen!$B$12,0))</f>
        <v/>
      </c>
      <c r="AA191">
        <f>IF($X191="","",$X191*1000000000000+IF($G191="",0,$G191)*1000000+IF($H191="",0,$H191)*1000+IF($I191="",0,$I191)+IF($N191="",0,MAX(0,1000-$N191))/1000+IF($A191="",0,$A191)/1000000)</f>
        <v/>
      </c>
      <c r="AB191">
        <f>IF($Y191="","",_xludf.RANK.EQ($Y191,$Y$2:$Y$201,0))</f>
        <v/>
      </c>
    </row>
    <row r="192">
      <c r="T192">
        <f>IFERROR(IF($Q192="","",$Q192/$H192),"")</f>
        <v/>
      </c>
      <c r="U192">
        <f>IFERROR(IF($Q192="","",$Q192/$G192),"")</f>
        <v/>
      </c>
      <c r="Y192">
        <f>IF(AND($L192="",$N192="",$P192=""),"",ROUND((IF($L192="",0,IF($L192&lt;=Einstellungen!$B$16,100,IF($L192&lt;=Einstellungen!$C$16,80+(100-80)*(Einstellungen!$C$16-$L192)/(Einstellungen!$C$16-Einstellungen!$B$16),IF($L192&lt;=Einstellungen!$D$16,80*(Einstellungen!$D$16-$L192)/(Einstellungen!$D$16-Einstellungen!$C$16),0))))*Einstellungen!$E$16+IF($N192="",0,IF($N192&lt;=Einstellungen!$B$17,100,IF($N192&lt;=Einstellungen!$C$17,80+(100-80)*(Einstellungen!$C$17-$N192)/(Einstellungen!$C$17-Einstellungen!$B$17),IF($N192&lt;=Einstellungen!$D$17,80*(Einstellungen!$D$17-$N192)/(Einstellungen!$D$17-Einstellungen!$C$17),0))))*Einstellungen!$E$17+IF($P192="",0,IF($P192&lt;=Einstellungen!$B$18,100,IF($P192&lt;=Einstellungen!$C$18,80+(100-80)*(Einstellungen!$C$18-$P192)/(Einstellungen!$C$18-Einstellungen!$B$18),IF($P192&lt;=Einstellungen!$D$18,80*(Einstellungen!$D$18-$P192)/(Einstellungen!$D$18-Einstellungen!$C$18),0))))*Einstellungen!$E$18)/(Einstellungen!$E$16+Einstellungen!$E$17+Einstellungen!$E$18),0))</f>
        <v/>
      </c>
      <c r="Z192">
        <f>IF(AND($E192="",$D192="",$G192="",$V192="",$Q192="",$T192="",$W192="",$U192=""),"",ROUND(IF($E192="",0,IF($E192&lt;Einstellungen!$B$21,0,IF($E192&gt;=Einstellungen!$B$22,100,($E192-Einstellungen!$B$21)/(Einstellungen!$B$22-Einstellungen!$B$21)*100)))/100*Einstellungen!$B$5+IF($W192="",0,$W192/100)*Einstellungen!$B$6+(IF($G192="",0,MAX(0,MIN(100,($G192-Einstellungen!$B$25)/(Einstellungen!$B$26-Einstellungen!$B$25)*100)))+IF($I192="",0,MAX(0,MIN(100,($I192-Einstellungen!$B$27)/(Einstellungen!$B$28-Einstellungen!$B$27)*100))))/2/100*Einstellungen!$B$7+IF($V192="",0,$V192/100)*Einstellungen!$B$8+IF($R192="",0,MAX(0,MIN(100,(Einstellungen!$B$32-$R192)/(Einstellungen!$B$32-Einstellungen!$B$31)*100)))/100*Einstellungen!$B$9+IF($D192="",0,$D192/5*100)/100*Einstellungen!$B$10+IF($AD192="",0,$AD192)/100*Einstellungen!$B$11+IF($U192="",0,$U192/5*100)/100*Einstellungen!$B$12,0))</f>
        <v/>
      </c>
      <c r="AA192">
        <f>IF($X192="","",$X192*1000000000000+IF($G192="",0,$G192)*1000000+IF($H192="",0,$H192)*1000+IF($I192="",0,$I192)+IF($N192="",0,MAX(0,1000-$N192))/1000+IF($A192="",0,$A192)/1000000)</f>
        <v/>
      </c>
      <c r="AB192">
        <f>IF($Y192="","",_xludf.RANK.EQ($Y192,$Y$2:$Y$201,0))</f>
        <v/>
      </c>
    </row>
    <row r="193">
      <c r="T193">
        <f>IFERROR(IF($Q193="","",$Q193/$H193),"")</f>
        <v/>
      </c>
      <c r="U193">
        <f>IFERROR(IF($Q193="","",$Q193/$G193),"")</f>
        <v/>
      </c>
      <c r="Y193">
        <f>IF(AND($L193="",$N193="",$P193=""),"",ROUND((IF($L193="",0,IF($L193&lt;=Einstellungen!$B$16,100,IF($L193&lt;=Einstellungen!$C$16,80+(100-80)*(Einstellungen!$C$16-$L193)/(Einstellungen!$C$16-Einstellungen!$B$16),IF($L193&lt;=Einstellungen!$D$16,80*(Einstellungen!$D$16-$L193)/(Einstellungen!$D$16-Einstellungen!$C$16),0))))*Einstellungen!$E$16+IF($N193="",0,IF($N193&lt;=Einstellungen!$B$17,100,IF($N193&lt;=Einstellungen!$C$17,80+(100-80)*(Einstellungen!$C$17-$N193)/(Einstellungen!$C$17-Einstellungen!$B$17),IF($N193&lt;=Einstellungen!$D$17,80*(Einstellungen!$D$17-$N193)/(Einstellungen!$D$17-Einstellungen!$C$17),0))))*Einstellungen!$E$17+IF($P193="",0,IF($P193&lt;=Einstellungen!$B$18,100,IF($P193&lt;=Einstellungen!$C$18,80+(100-80)*(Einstellungen!$C$18-$P193)/(Einstellungen!$C$18-Einstellungen!$B$18),IF($P193&lt;=Einstellungen!$D$18,80*(Einstellungen!$D$18-$P193)/(Einstellungen!$D$18-Einstellungen!$C$18),0))))*Einstellungen!$E$18)/(Einstellungen!$E$16+Einstellungen!$E$17+Einstellungen!$E$18),0))</f>
        <v/>
      </c>
      <c r="Z193">
        <f>IF(AND($E193="",$D193="",$G193="",$V193="",$Q193="",$T193="",$W193="",$U193=""),"",ROUND(IF($E193="",0,IF($E193&lt;Einstellungen!$B$21,0,IF($E193&gt;=Einstellungen!$B$22,100,($E193-Einstellungen!$B$21)/(Einstellungen!$B$22-Einstellungen!$B$21)*100)))/100*Einstellungen!$B$5+IF($W193="",0,$W193/100)*Einstellungen!$B$6+(IF($G193="",0,MAX(0,MIN(100,($G193-Einstellungen!$B$25)/(Einstellungen!$B$26-Einstellungen!$B$25)*100)))+IF($I193="",0,MAX(0,MIN(100,($I193-Einstellungen!$B$27)/(Einstellungen!$B$28-Einstellungen!$B$27)*100))))/2/100*Einstellungen!$B$7+IF($V193="",0,$V193/100)*Einstellungen!$B$8+IF($R193="",0,MAX(0,MIN(100,(Einstellungen!$B$32-$R193)/(Einstellungen!$B$32-Einstellungen!$B$31)*100)))/100*Einstellungen!$B$9+IF($D193="",0,$D193/5*100)/100*Einstellungen!$B$10+IF($AD193="",0,$AD193)/100*Einstellungen!$B$11+IF($U193="",0,$U193/5*100)/100*Einstellungen!$B$12,0))</f>
        <v/>
      </c>
      <c r="AA193">
        <f>IF($X193="","",$X193*1000000000000+IF($G193="",0,$G193)*1000000+IF($H193="",0,$H193)*1000+IF($I193="",0,$I193)+IF($N193="",0,MAX(0,1000-$N193))/1000+IF($A193="",0,$A193)/1000000)</f>
        <v/>
      </c>
      <c r="AB193">
        <f>IF($Y193="","",_xludf.RANK.EQ($Y193,$Y$2:$Y$201,0))</f>
        <v/>
      </c>
    </row>
    <row r="194">
      <c r="T194">
        <f>IFERROR(IF($Q194="","",$Q194/$H194),"")</f>
        <v/>
      </c>
      <c r="U194">
        <f>IFERROR(IF($Q194="","",$Q194/$G194),"")</f>
        <v/>
      </c>
      <c r="Y194">
        <f>IF(AND($L194="",$N194="",$P194=""),"",ROUND((IF($L194="",0,IF($L194&lt;=Einstellungen!$B$16,100,IF($L194&lt;=Einstellungen!$C$16,80+(100-80)*(Einstellungen!$C$16-$L194)/(Einstellungen!$C$16-Einstellungen!$B$16),IF($L194&lt;=Einstellungen!$D$16,80*(Einstellungen!$D$16-$L194)/(Einstellungen!$D$16-Einstellungen!$C$16),0))))*Einstellungen!$E$16+IF($N194="",0,IF($N194&lt;=Einstellungen!$B$17,100,IF($N194&lt;=Einstellungen!$C$17,80+(100-80)*(Einstellungen!$C$17-$N194)/(Einstellungen!$C$17-Einstellungen!$B$17),IF($N194&lt;=Einstellungen!$D$17,80*(Einstellungen!$D$17-$N194)/(Einstellungen!$D$17-Einstellungen!$C$17),0))))*Einstellungen!$E$17+IF($P194="",0,IF($P194&lt;=Einstellungen!$B$18,100,IF($P194&lt;=Einstellungen!$C$18,80+(100-80)*(Einstellungen!$C$18-$P194)/(Einstellungen!$C$18-Einstellungen!$B$18),IF($P194&lt;=Einstellungen!$D$18,80*(Einstellungen!$D$18-$P194)/(Einstellungen!$D$18-Einstellungen!$C$18),0))))*Einstellungen!$E$18)/(Einstellungen!$E$16+Einstellungen!$E$17+Einstellungen!$E$18),0))</f>
        <v/>
      </c>
      <c r="Z194">
        <f>IF(AND($E194="",$D194="",$G194="",$V194="",$Q194="",$T194="",$W194="",$U194=""),"",ROUND(IF($E194="",0,IF($E194&lt;Einstellungen!$B$21,0,IF($E194&gt;=Einstellungen!$B$22,100,($E194-Einstellungen!$B$21)/(Einstellungen!$B$22-Einstellungen!$B$21)*100)))/100*Einstellungen!$B$5+IF($W194="",0,$W194/100)*Einstellungen!$B$6+(IF($G194="",0,MAX(0,MIN(100,($G194-Einstellungen!$B$25)/(Einstellungen!$B$26-Einstellungen!$B$25)*100)))+IF($I194="",0,MAX(0,MIN(100,($I194-Einstellungen!$B$27)/(Einstellungen!$B$28-Einstellungen!$B$27)*100))))/2/100*Einstellungen!$B$7+IF($V194="",0,$V194/100)*Einstellungen!$B$8+IF($R194="",0,MAX(0,MIN(100,(Einstellungen!$B$32-$R194)/(Einstellungen!$B$32-Einstellungen!$B$31)*100)))/100*Einstellungen!$B$9+IF($D194="",0,$D194/5*100)/100*Einstellungen!$B$10+IF($AD194="",0,$AD194)/100*Einstellungen!$B$11+IF($U194="",0,$U194/5*100)/100*Einstellungen!$B$12,0))</f>
        <v/>
      </c>
      <c r="AA194">
        <f>IF($X194="","",$X194*1000000000000+IF($G194="",0,$G194)*1000000+IF($H194="",0,$H194)*1000+IF($I194="",0,$I194)+IF($N194="",0,MAX(0,1000-$N194))/1000+IF($A194="",0,$A194)/1000000)</f>
        <v/>
      </c>
      <c r="AB194">
        <f>IF($Y194="","",_xludf.RANK.EQ($Y194,$Y$2:$Y$201,0))</f>
        <v/>
      </c>
    </row>
    <row r="195">
      <c r="T195">
        <f>IFERROR(IF($Q195="","",$Q195/$H195),"")</f>
        <v/>
      </c>
      <c r="U195">
        <f>IFERROR(IF($Q195="","",$Q195/$G195),"")</f>
        <v/>
      </c>
      <c r="Y195">
        <f>IF(AND($L195="",$N195="",$P195=""),"",ROUND((IF($L195="",0,IF($L195&lt;=Einstellungen!$B$16,100,IF($L195&lt;=Einstellungen!$C$16,80+(100-80)*(Einstellungen!$C$16-$L195)/(Einstellungen!$C$16-Einstellungen!$B$16),IF($L195&lt;=Einstellungen!$D$16,80*(Einstellungen!$D$16-$L195)/(Einstellungen!$D$16-Einstellungen!$C$16),0))))*Einstellungen!$E$16+IF($N195="",0,IF($N195&lt;=Einstellungen!$B$17,100,IF($N195&lt;=Einstellungen!$C$17,80+(100-80)*(Einstellungen!$C$17-$N195)/(Einstellungen!$C$17-Einstellungen!$B$17),IF($N195&lt;=Einstellungen!$D$17,80*(Einstellungen!$D$17-$N195)/(Einstellungen!$D$17-Einstellungen!$C$17),0))))*Einstellungen!$E$17+IF($P195="",0,IF($P195&lt;=Einstellungen!$B$18,100,IF($P195&lt;=Einstellungen!$C$18,80+(100-80)*(Einstellungen!$C$18-$P195)/(Einstellungen!$C$18-Einstellungen!$B$18),IF($P195&lt;=Einstellungen!$D$18,80*(Einstellungen!$D$18-$P195)/(Einstellungen!$D$18-Einstellungen!$C$18),0))))*Einstellungen!$E$18)/(Einstellungen!$E$16+Einstellungen!$E$17+Einstellungen!$E$18),0))</f>
        <v/>
      </c>
      <c r="Z195">
        <f>IF(AND($E195="",$D195="",$G195="",$V195="",$Q195="",$T195="",$W195="",$U195=""),"",ROUND(IF($E195="",0,IF($E195&lt;Einstellungen!$B$21,0,IF($E195&gt;=Einstellungen!$B$22,100,($E195-Einstellungen!$B$21)/(Einstellungen!$B$22-Einstellungen!$B$21)*100)))/100*Einstellungen!$B$5+IF($W195="",0,$W195/100)*Einstellungen!$B$6+(IF($G195="",0,MAX(0,MIN(100,($G195-Einstellungen!$B$25)/(Einstellungen!$B$26-Einstellungen!$B$25)*100)))+IF($I195="",0,MAX(0,MIN(100,($I195-Einstellungen!$B$27)/(Einstellungen!$B$28-Einstellungen!$B$27)*100))))/2/100*Einstellungen!$B$7+IF($V195="",0,$V195/100)*Einstellungen!$B$8+IF($R195="",0,MAX(0,MIN(100,(Einstellungen!$B$32-$R195)/(Einstellungen!$B$32-Einstellungen!$B$31)*100)))/100*Einstellungen!$B$9+IF($D195="",0,$D195/5*100)/100*Einstellungen!$B$10+IF($AD195="",0,$AD195)/100*Einstellungen!$B$11+IF($U195="",0,$U195/5*100)/100*Einstellungen!$B$12,0))</f>
        <v/>
      </c>
      <c r="AA195">
        <f>IF($X195="","",$X195*1000000000000+IF($G195="",0,$G195)*1000000+IF($H195="",0,$H195)*1000+IF($I195="",0,$I195)+IF($N195="",0,MAX(0,1000-$N195))/1000+IF($A195="",0,$A195)/1000000)</f>
        <v/>
      </c>
      <c r="AB195">
        <f>IF($Y195="","",_xludf.RANK.EQ($Y195,$Y$2:$Y$201,0))</f>
        <v/>
      </c>
    </row>
    <row r="196">
      <c r="T196">
        <f>IFERROR(IF($Q196="","",$Q196/$H196),"")</f>
        <v/>
      </c>
      <c r="U196">
        <f>IFERROR(IF($Q196="","",$Q196/$G196),"")</f>
        <v/>
      </c>
      <c r="Y196">
        <f>IF(AND($L196="",$N196="",$P196=""),"",ROUND((IF($L196="",0,IF($L196&lt;=Einstellungen!$B$16,100,IF($L196&lt;=Einstellungen!$C$16,80+(100-80)*(Einstellungen!$C$16-$L196)/(Einstellungen!$C$16-Einstellungen!$B$16),IF($L196&lt;=Einstellungen!$D$16,80*(Einstellungen!$D$16-$L196)/(Einstellungen!$D$16-Einstellungen!$C$16),0))))*Einstellungen!$E$16+IF($N196="",0,IF($N196&lt;=Einstellungen!$B$17,100,IF($N196&lt;=Einstellungen!$C$17,80+(100-80)*(Einstellungen!$C$17-$N196)/(Einstellungen!$C$17-Einstellungen!$B$17),IF($N196&lt;=Einstellungen!$D$17,80*(Einstellungen!$D$17-$N196)/(Einstellungen!$D$17-Einstellungen!$C$17),0))))*Einstellungen!$E$17+IF($P196="",0,IF($P196&lt;=Einstellungen!$B$18,100,IF($P196&lt;=Einstellungen!$C$18,80+(100-80)*(Einstellungen!$C$18-$P196)/(Einstellungen!$C$18-Einstellungen!$B$18),IF($P196&lt;=Einstellungen!$D$18,80*(Einstellungen!$D$18-$P196)/(Einstellungen!$D$18-Einstellungen!$C$18),0))))*Einstellungen!$E$18)/(Einstellungen!$E$16+Einstellungen!$E$17+Einstellungen!$E$18),0))</f>
        <v/>
      </c>
      <c r="Z196">
        <f>IF(AND($E196="",$D196="",$G196="",$V196="",$Q196="",$T196="",$W196="",$U196=""),"",ROUND(IF($E196="",0,IF($E196&lt;Einstellungen!$B$21,0,IF($E196&gt;=Einstellungen!$B$22,100,($E196-Einstellungen!$B$21)/(Einstellungen!$B$22-Einstellungen!$B$21)*100)))/100*Einstellungen!$B$5+IF($W196="",0,$W196/100)*Einstellungen!$B$6+(IF($G196="",0,MAX(0,MIN(100,($G196-Einstellungen!$B$25)/(Einstellungen!$B$26-Einstellungen!$B$25)*100)))+IF($I196="",0,MAX(0,MIN(100,($I196-Einstellungen!$B$27)/(Einstellungen!$B$28-Einstellungen!$B$27)*100))))/2/100*Einstellungen!$B$7+IF($V196="",0,$V196/100)*Einstellungen!$B$8+IF($R196="",0,MAX(0,MIN(100,(Einstellungen!$B$32-$R196)/(Einstellungen!$B$32-Einstellungen!$B$31)*100)))/100*Einstellungen!$B$9+IF($D196="",0,$D196/5*100)/100*Einstellungen!$B$10+IF($AD196="",0,$AD196)/100*Einstellungen!$B$11+IF($U196="",0,$U196/5*100)/100*Einstellungen!$B$12,0))</f>
        <v/>
      </c>
      <c r="AA196">
        <f>IF($X196="","",$X196*1000000000000+IF($G196="",0,$G196)*1000000+IF($H196="",0,$H196)*1000+IF($I196="",0,$I196)+IF($N196="",0,MAX(0,1000-$N196))/1000+IF($A196="",0,$A196)/1000000)</f>
        <v/>
      </c>
      <c r="AB196">
        <f>IF($Y196="","",_xludf.RANK.EQ($Y196,$Y$2:$Y$201,0))</f>
        <v/>
      </c>
    </row>
    <row r="197">
      <c r="T197">
        <f>IFERROR(IF($Q197="","",$Q197/$H197),"")</f>
        <v/>
      </c>
      <c r="U197">
        <f>IFERROR(IF($Q197="","",$Q197/$G197),"")</f>
        <v/>
      </c>
      <c r="Y197">
        <f>IF(AND($L197="",$N197="",$P197=""),"",ROUND((IF($L197="",0,IF($L197&lt;=Einstellungen!$B$16,100,IF($L197&lt;=Einstellungen!$C$16,80+(100-80)*(Einstellungen!$C$16-$L197)/(Einstellungen!$C$16-Einstellungen!$B$16),IF($L197&lt;=Einstellungen!$D$16,80*(Einstellungen!$D$16-$L197)/(Einstellungen!$D$16-Einstellungen!$C$16),0))))*Einstellungen!$E$16+IF($N197="",0,IF($N197&lt;=Einstellungen!$B$17,100,IF($N197&lt;=Einstellungen!$C$17,80+(100-80)*(Einstellungen!$C$17-$N197)/(Einstellungen!$C$17-Einstellungen!$B$17),IF($N197&lt;=Einstellungen!$D$17,80*(Einstellungen!$D$17-$N197)/(Einstellungen!$D$17-Einstellungen!$C$17),0))))*Einstellungen!$E$17+IF($P197="",0,IF($P197&lt;=Einstellungen!$B$18,100,IF($P197&lt;=Einstellungen!$C$18,80+(100-80)*(Einstellungen!$C$18-$P197)/(Einstellungen!$C$18-Einstellungen!$B$18),IF($P197&lt;=Einstellungen!$D$18,80*(Einstellungen!$D$18-$P197)/(Einstellungen!$D$18-Einstellungen!$C$18),0))))*Einstellungen!$E$18)/(Einstellungen!$E$16+Einstellungen!$E$17+Einstellungen!$E$18),0))</f>
        <v/>
      </c>
      <c r="Z197">
        <f>IF(AND($E197="",$D197="",$G197="",$V197="",$Q197="",$T197="",$W197="",$U197=""),"",ROUND(IF($E197="",0,IF($E197&lt;Einstellungen!$B$21,0,IF($E197&gt;=Einstellungen!$B$22,100,($E197-Einstellungen!$B$21)/(Einstellungen!$B$22-Einstellungen!$B$21)*100)))/100*Einstellungen!$B$5+IF($W197="",0,$W197/100)*Einstellungen!$B$6+(IF($G197="",0,MAX(0,MIN(100,($G197-Einstellungen!$B$25)/(Einstellungen!$B$26-Einstellungen!$B$25)*100)))+IF($I197="",0,MAX(0,MIN(100,($I197-Einstellungen!$B$27)/(Einstellungen!$B$28-Einstellungen!$B$27)*100))))/2/100*Einstellungen!$B$7+IF($V197="",0,$V197/100)*Einstellungen!$B$8+IF($R197="",0,MAX(0,MIN(100,(Einstellungen!$B$32-$R197)/(Einstellungen!$B$32-Einstellungen!$B$31)*100)))/100*Einstellungen!$B$9+IF($D197="",0,$D197/5*100)/100*Einstellungen!$B$10+IF($AD197="",0,$AD197)/100*Einstellungen!$B$11+IF($U197="",0,$U197/5*100)/100*Einstellungen!$B$12,0))</f>
        <v/>
      </c>
      <c r="AA197">
        <f>IF($X197="","",$X197*1000000000000+IF($G197="",0,$G197)*1000000+IF($H197="",0,$H197)*1000+IF($I197="",0,$I197)+IF($N197="",0,MAX(0,1000-$N197))/1000+IF($A197="",0,$A197)/1000000)</f>
        <v/>
      </c>
      <c r="AB197">
        <f>IF($Y197="","",_xludf.RANK.EQ($Y197,$Y$2:$Y$201,0))</f>
        <v/>
      </c>
    </row>
    <row r="198">
      <c r="T198">
        <f>IFERROR(IF($Q198="","",$Q198/$H198),"")</f>
        <v/>
      </c>
      <c r="U198">
        <f>IFERROR(IF($Q198="","",$Q198/$G198),"")</f>
        <v/>
      </c>
      <c r="Y198">
        <f>IF(AND($L198="",$N198="",$P198=""),"",ROUND((IF($L198="",0,IF($L198&lt;=Einstellungen!$B$16,100,IF($L198&lt;=Einstellungen!$C$16,80+(100-80)*(Einstellungen!$C$16-$L198)/(Einstellungen!$C$16-Einstellungen!$B$16),IF($L198&lt;=Einstellungen!$D$16,80*(Einstellungen!$D$16-$L198)/(Einstellungen!$D$16-Einstellungen!$C$16),0))))*Einstellungen!$E$16+IF($N198="",0,IF($N198&lt;=Einstellungen!$B$17,100,IF($N198&lt;=Einstellungen!$C$17,80+(100-80)*(Einstellungen!$C$17-$N198)/(Einstellungen!$C$17-Einstellungen!$B$17),IF($N198&lt;=Einstellungen!$D$17,80*(Einstellungen!$D$17-$N198)/(Einstellungen!$D$17-Einstellungen!$C$17),0))))*Einstellungen!$E$17+IF($P198="",0,IF($P198&lt;=Einstellungen!$B$18,100,IF($P198&lt;=Einstellungen!$C$18,80+(100-80)*(Einstellungen!$C$18-$P198)/(Einstellungen!$C$18-Einstellungen!$B$18),IF($P198&lt;=Einstellungen!$D$18,80*(Einstellungen!$D$18-$P198)/(Einstellungen!$D$18-Einstellungen!$C$18),0))))*Einstellungen!$E$18)/(Einstellungen!$E$16+Einstellungen!$E$17+Einstellungen!$E$18),0))</f>
        <v/>
      </c>
      <c r="Z198">
        <f>IF(AND($E198="",$D198="",$G198="",$V198="",$Q198="",$T198="",$W198="",$U198=""),"",ROUND(IF($E198="",0,IF($E198&lt;Einstellungen!$B$21,0,IF($E198&gt;=Einstellungen!$B$22,100,($E198-Einstellungen!$B$21)/(Einstellungen!$B$22-Einstellungen!$B$21)*100)))/100*Einstellungen!$B$5+IF($W198="",0,$W198/100)*Einstellungen!$B$6+(IF($G198="",0,MAX(0,MIN(100,($G198-Einstellungen!$B$25)/(Einstellungen!$B$26-Einstellungen!$B$25)*100)))+IF($I198="",0,MAX(0,MIN(100,($I198-Einstellungen!$B$27)/(Einstellungen!$B$28-Einstellungen!$B$27)*100))))/2/100*Einstellungen!$B$7+IF($V198="",0,$V198/100)*Einstellungen!$B$8+IF($R198="",0,MAX(0,MIN(100,(Einstellungen!$B$32-$R198)/(Einstellungen!$B$32-Einstellungen!$B$31)*100)))/100*Einstellungen!$B$9+IF($D198="",0,$D198/5*100)/100*Einstellungen!$B$10+IF($AD198="",0,$AD198)/100*Einstellungen!$B$11+IF($U198="",0,$U198/5*100)/100*Einstellungen!$B$12,0))</f>
        <v/>
      </c>
      <c r="AA198">
        <f>IF($X198="","",$X198*1000000000000+IF($G198="",0,$G198)*1000000+IF($H198="",0,$H198)*1000+IF($I198="",0,$I198)+IF($N198="",0,MAX(0,1000-$N198))/1000+IF($A198="",0,$A198)/1000000)</f>
        <v/>
      </c>
      <c r="AB198">
        <f>IF($Y198="","",_xludf.RANK.EQ($Y198,$Y$2:$Y$201,0))</f>
        <v/>
      </c>
    </row>
    <row r="199">
      <c r="T199">
        <f>IFERROR(IF($Q199="","",$Q199/$H199),"")</f>
        <v/>
      </c>
      <c r="U199">
        <f>IFERROR(IF($Q199="","",$Q199/$G199),"")</f>
        <v/>
      </c>
      <c r="Y199">
        <f>IF(AND($L199="",$N199="",$P199=""),"",ROUND((IF($L199="",0,IF($L199&lt;=Einstellungen!$B$16,100,IF($L199&lt;=Einstellungen!$C$16,80+(100-80)*(Einstellungen!$C$16-$L199)/(Einstellungen!$C$16-Einstellungen!$B$16),IF($L199&lt;=Einstellungen!$D$16,80*(Einstellungen!$D$16-$L199)/(Einstellungen!$D$16-Einstellungen!$C$16),0))))*Einstellungen!$E$16+IF($N199="",0,IF($N199&lt;=Einstellungen!$B$17,100,IF($N199&lt;=Einstellungen!$C$17,80+(100-80)*(Einstellungen!$C$17-$N199)/(Einstellungen!$C$17-Einstellungen!$B$17),IF($N199&lt;=Einstellungen!$D$17,80*(Einstellungen!$D$17-$N199)/(Einstellungen!$D$17-Einstellungen!$C$17),0))))*Einstellungen!$E$17+IF($P199="",0,IF($P199&lt;=Einstellungen!$B$18,100,IF($P199&lt;=Einstellungen!$C$18,80+(100-80)*(Einstellungen!$C$18-$P199)/(Einstellungen!$C$18-Einstellungen!$B$18),IF($P199&lt;=Einstellungen!$D$18,80*(Einstellungen!$D$18-$P199)/(Einstellungen!$D$18-Einstellungen!$C$18),0))))*Einstellungen!$E$18)/(Einstellungen!$E$16+Einstellungen!$E$17+Einstellungen!$E$18),0))</f>
        <v/>
      </c>
      <c r="Z199">
        <f>IF(AND($E199="",$D199="",$G199="",$V199="",$Q199="",$T199="",$W199="",$U199=""),"",ROUND(IF($E199="",0,IF($E199&lt;Einstellungen!$B$21,0,IF($E199&gt;=Einstellungen!$B$22,100,($E199-Einstellungen!$B$21)/(Einstellungen!$B$22-Einstellungen!$B$21)*100)))/100*Einstellungen!$B$5+IF($W199="",0,$W199/100)*Einstellungen!$B$6+(IF($G199="",0,MAX(0,MIN(100,($G199-Einstellungen!$B$25)/(Einstellungen!$B$26-Einstellungen!$B$25)*100)))+IF($I199="",0,MAX(0,MIN(100,($I199-Einstellungen!$B$27)/(Einstellungen!$B$28-Einstellungen!$B$27)*100))))/2/100*Einstellungen!$B$7+IF($V199="",0,$V199/100)*Einstellungen!$B$8+IF($R199="",0,MAX(0,MIN(100,(Einstellungen!$B$32-$R199)/(Einstellungen!$B$32-Einstellungen!$B$31)*100)))/100*Einstellungen!$B$9+IF($D199="",0,$D199/5*100)/100*Einstellungen!$B$10+IF($AD199="",0,$AD199)/100*Einstellungen!$B$11+IF($U199="",0,$U199/5*100)/100*Einstellungen!$B$12,0))</f>
        <v/>
      </c>
      <c r="AA199">
        <f>IF($X199="","",$X199*1000000000000+IF($G199="",0,$G199)*1000000+IF($H199="",0,$H199)*1000+IF($I199="",0,$I199)+IF($N199="",0,MAX(0,1000-$N199))/1000+IF($A199="",0,$A199)/1000000)</f>
        <v/>
      </c>
      <c r="AB199">
        <f>IF($Y199="","",_xludf.RANK.EQ($Y199,$Y$2:$Y$201,0))</f>
        <v/>
      </c>
    </row>
    <row r="200">
      <c r="T200">
        <f>IFERROR(IF($Q200="","",$Q200/$H200),"")</f>
        <v/>
      </c>
      <c r="U200">
        <f>IFERROR(IF($Q200="","",$Q200/$G200),"")</f>
        <v/>
      </c>
      <c r="Y200">
        <f>IF(AND($L200="",$N200="",$P200=""),"",ROUND((IF($L200="",0,IF($L200&lt;=Einstellungen!$B$16,100,IF($L200&lt;=Einstellungen!$C$16,80+(100-80)*(Einstellungen!$C$16-$L200)/(Einstellungen!$C$16-Einstellungen!$B$16),IF($L200&lt;=Einstellungen!$D$16,80*(Einstellungen!$D$16-$L200)/(Einstellungen!$D$16-Einstellungen!$C$16),0))))*Einstellungen!$E$16+IF($N200="",0,IF($N200&lt;=Einstellungen!$B$17,100,IF($N200&lt;=Einstellungen!$C$17,80+(100-80)*(Einstellungen!$C$17-$N200)/(Einstellungen!$C$17-Einstellungen!$B$17),IF($N200&lt;=Einstellungen!$D$17,80*(Einstellungen!$D$17-$N200)/(Einstellungen!$D$17-Einstellungen!$C$17),0))))*Einstellungen!$E$17+IF($P200="",0,IF($P200&lt;=Einstellungen!$B$18,100,IF($P200&lt;=Einstellungen!$C$18,80+(100-80)*(Einstellungen!$C$18-$P200)/(Einstellungen!$C$18-Einstellungen!$B$18),IF($P200&lt;=Einstellungen!$D$18,80*(Einstellungen!$D$18-$P200)/(Einstellungen!$D$18-Einstellungen!$C$18),0))))*Einstellungen!$E$18)/(Einstellungen!$E$16+Einstellungen!$E$17+Einstellungen!$E$18),0))</f>
        <v/>
      </c>
      <c r="Z200">
        <f>IF(AND($E200="",$D200="",$G200="",$V200="",$Q200="",$T200="",$W200="",$U200=""),"",ROUND(IF($E200="",0,IF($E200&lt;Einstellungen!$B$21,0,IF($E200&gt;=Einstellungen!$B$22,100,($E200-Einstellungen!$B$21)/(Einstellungen!$B$22-Einstellungen!$B$21)*100)))/100*Einstellungen!$B$5+IF($W200="",0,$W200/100)*Einstellungen!$B$6+(IF($G200="",0,MAX(0,MIN(100,($G200-Einstellungen!$B$25)/(Einstellungen!$B$26-Einstellungen!$B$25)*100)))+IF($I200="",0,MAX(0,MIN(100,($I200-Einstellungen!$B$27)/(Einstellungen!$B$28-Einstellungen!$B$27)*100))))/2/100*Einstellungen!$B$7+IF($V200="",0,$V200/100)*Einstellungen!$B$8+IF($R200="",0,MAX(0,MIN(100,(Einstellungen!$B$32-$R200)/(Einstellungen!$B$32-Einstellungen!$B$31)*100)))/100*Einstellungen!$B$9+IF($D200="",0,$D200/5*100)/100*Einstellungen!$B$10+IF($AD200="",0,$AD200)/100*Einstellungen!$B$11+IF($U200="",0,$U200/5*100)/100*Einstellungen!$B$12,0))</f>
        <v/>
      </c>
      <c r="AA200">
        <f>IF($X200="","",$X200*1000000000000+IF($G200="",0,$G200)*1000000+IF($H200="",0,$H200)*1000+IF($I200="",0,$I200)+IF($N200="",0,MAX(0,1000-$N200))/1000+IF($A200="",0,$A200)/1000000)</f>
        <v/>
      </c>
      <c r="AB200">
        <f>IF($Y200="","",_xludf.RANK.EQ($Y200,$Y$2:$Y$201,0))</f>
        <v/>
      </c>
    </row>
    <row r="201">
      <c r="T201">
        <f>IFERROR(IF($Q201="","",$Q201/$H201),"")</f>
        <v/>
      </c>
      <c r="U201">
        <f>IFERROR(IF($Q201="","",$Q201/$G201),"")</f>
        <v/>
      </c>
      <c r="Y201">
        <f>IF(AND($L201="",$N201="",$P201=""),"",ROUND((IF($L201="",0,IF($L201&lt;=Einstellungen!$B$16,100,IF($L201&lt;=Einstellungen!$C$16,80+(100-80)*(Einstellungen!$C$16-$L201)/(Einstellungen!$C$16-Einstellungen!$B$16),IF($L201&lt;=Einstellungen!$D$16,80*(Einstellungen!$D$16-$L201)/(Einstellungen!$D$16-Einstellungen!$C$16),0))))*Einstellungen!$E$16+IF($N201="",0,IF($N201&lt;=Einstellungen!$B$17,100,IF($N201&lt;=Einstellungen!$C$17,80+(100-80)*(Einstellungen!$C$17-$N201)/(Einstellungen!$C$17-Einstellungen!$B$17),IF($N201&lt;=Einstellungen!$D$17,80*(Einstellungen!$D$17-$N201)/(Einstellungen!$D$17-Einstellungen!$C$17),0))))*Einstellungen!$E$17+IF($P201="",0,IF($P201&lt;=Einstellungen!$B$18,100,IF($P201&lt;=Einstellungen!$C$18,80+(100-80)*(Einstellungen!$C$18-$P201)/(Einstellungen!$C$18-Einstellungen!$B$18),IF($P201&lt;=Einstellungen!$D$18,80*(Einstellungen!$D$18-$P201)/(Einstellungen!$D$18-Einstellungen!$C$18),0))))*Einstellungen!$E$18)/(Einstellungen!$E$16+Einstellungen!$E$17+Einstellungen!$E$18),0))</f>
        <v/>
      </c>
      <c r="Z201">
        <f>IF(AND($E201="",$D201="",$G201="",$V201="",$Q201="",$T201="",$W201="",$U201=""),"",ROUND(IF($E201="",0,IF($E201&lt;Einstellungen!$B$21,0,IF($E201&gt;=Einstellungen!$B$22,100,($E201-Einstellungen!$B$21)/(Einstellungen!$B$22-Einstellungen!$B$21)*100)))/100*Einstellungen!$B$5+IF($W201="",0,$W201/100)*Einstellungen!$B$6+(IF($G201="",0,MAX(0,MIN(100,($G201-Einstellungen!$B$25)/(Einstellungen!$B$26-Einstellungen!$B$25)*100)))+IF($I201="",0,MAX(0,MIN(100,($I201-Einstellungen!$B$27)/(Einstellungen!$B$28-Einstellungen!$B$27)*100))))/2/100*Einstellungen!$B$7+IF($V201="",0,$V201/100)*Einstellungen!$B$8+IF($R201="",0,MAX(0,MIN(100,(Einstellungen!$B$32-$R201)/(Einstellungen!$B$32-Einstellungen!$B$31)*100)))/100*Einstellungen!$B$9+IF($D201="",0,$D201/5*100)/100*Einstellungen!$B$10+IF($AD201="",0,$AD201)/100*Einstellungen!$B$11+IF($U201="",0,$U201/5*100)/100*Einstellungen!$B$12,0))</f>
        <v/>
      </c>
      <c r="AA201">
        <f>IF($X201="","",$X201*1000000000000+IF($G201="",0,$G201)*1000000+IF($H201="",0,$H201)*1000+IF($I201="",0,$I201)+IF($N201="",0,MAX(0,1000-$N201))/1000+IF($A201="",0,$A201)/1000000)</f>
        <v/>
      </c>
      <c r="AB201">
        <f>IF($Y201="","",_xludf.RANK.EQ($Y201,$Y$2:$Y$201,0))</f>
        <v/>
      </c>
    </row>
    <row r="202">
      <c r="A202" t="n">
        <v>15</v>
      </c>
      <c r="B202" t="inlineStr">
        <is>
          <t>Apartment in Portals Nous, Mallorca</t>
        </is>
      </c>
      <c r="C202" t="inlineStr">
        <is>
          <t>https://www.kyero.com/en/property/17828907-apartment-for-sale-portals-nous?prime_boost_id=17828907</t>
        </is>
      </c>
      <c r="E202" t="n">
        <v>3</v>
      </c>
      <c r="J202" t="inlineStr">
        <is>
          <t>Portals Nous</t>
        </is>
      </c>
      <c r="K202" t="n">
        <v>23.8</v>
      </c>
      <c r="L202" t="n">
        <v>23</v>
      </c>
      <c r="M202" t="n">
        <v>66.59999999999999</v>
      </c>
      <c r="N202" t="n">
        <v>56</v>
      </c>
      <c r="O202" t="n">
        <v>21.8</v>
      </c>
      <c r="P202" t="n">
        <v>22</v>
      </c>
      <c r="Q202" t="n">
        <v>64.3</v>
      </c>
      <c r="R202" t="n">
        <v>52</v>
      </c>
      <c r="S202" t="n">
        <v>3500000</v>
      </c>
      <c r="AH202" t="inlineStr">
        <is>
          <t>Quelle: Kyero</t>
        </is>
      </c>
    </row>
    <row r="203">
      <c r="A203" t="n">
        <v>16</v>
      </c>
      <c r="B203" t="inlineStr">
        <is>
          <t>Country house in Felanitx, Mallorca</t>
        </is>
      </c>
      <c r="C203" t="inlineStr">
        <is>
          <t>https://www.kyero.com/en/property/18737859-country-house-for-sale-felanitx?prime_boost_id=18737859</t>
        </is>
      </c>
      <c r="E203" t="n">
        <v>4</v>
      </c>
      <c r="G203" t="n">
        <v>23160</v>
      </c>
      <c r="J203" t="inlineStr">
        <is>
          <t>Felanitx</t>
        </is>
      </c>
      <c r="K203" t="n">
        <v>45</v>
      </c>
      <c r="L203" t="n">
        <v>40</v>
      </c>
      <c r="M203" t="n">
        <v>26.8</v>
      </c>
      <c r="N203" t="n">
        <v>30</v>
      </c>
      <c r="O203" t="n">
        <v>83.2</v>
      </c>
      <c r="P203" t="n">
        <v>68</v>
      </c>
      <c r="Q203" t="n">
        <v>24.5</v>
      </c>
      <c r="R203" t="n">
        <v>26</v>
      </c>
      <c r="S203" t="n">
        <v>2435000</v>
      </c>
      <c r="U203" t="n">
        <v>105</v>
      </c>
      <c r="AH203" t="inlineStr">
        <is>
          <t>Quelle: Kyero</t>
        </is>
      </c>
    </row>
    <row r="204">
      <c r="A204" t="n">
        <v>17</v>
      </c>
      <c r="B204" t="inlineStr">
        <is>
          <t>Villa in Santa Ponsa, Mallorca</t>
        </is>
      </c>
      <c r="C204" t="inlineStr">
        <is>
          <t>https://www.kyero.com/en/property/19926319-villa-for-sale-santa-ponsa?prime_boost_id=19926319</t>
        </is>
      </c>
      <c r="E204" t="n">
        <v>4</v>
      </c>
      <c r="G204" t="n">
        <v>1448</v>
      </c>
      <c r="J204" t="inlineStr">
        <is>
          <t>Santa Ponsa</t>
        </is>
      </c>
      <c r="K204" t="n">
        <v>31.1</v>
      </c>
      <c r="L204" t="n">
        <v>28</v>
      </c>
      <c r="M204" t="n">
        <v>73.90000000000001</v>
      </c>
      <c r="N204" t="n">
        <v>61</v>
      </c>
      <c r="O204" t="n">
        <v>15.2</v>
      </c>
      <c r="P204" t="n">
        <v>19</v>
      </c>
      <c r="Q204" t="n">
        <v>71.59999999999999</v>
      </c>
      <c r="R204" t="n">
        <v>57</v>
      </c>
      <c r="S204" t="n">
        <v>3900000</v>
      </c>
      <c r="U204" t="n">
        <v>2693</v>
      </c>
      <c r="AH204" t="inlineStr">
        <is>
          <t>Quelle: Kyero</t>
        </is>
      </c>
    </row>
    <row r="205">
      <c r="A205" t="n">
        <v>18</v>
      </c>
      <c r="B205" t="inlineStr">
        <is>
          <t>Country house in Colonia De Sant Pere, Mallorca</t>
        </is>
      </c>
      <c r="C205" t="inlineStr">
        <is>
          <t>https://www.kyero.com/en/property/19956683-country-house-for-sale-colonia-de-sant-pere</t>
        </is>
      </c>
      <c r="E205" t="n">
        <v>6</v>
      </c>
      <c r="G205" t="n">
        <v>14200</v>
      </c>
      <c r="J205" t="inlineStr">
        <is>
          <t>Mallorca</t>
        </is>
      </c>
      <c r="K205" t="n">
        <v>47.4</v>
      </c>
      <c r="L205" t="n">
        <v>40</v>
      </c>
      <c r="M205" t="n">
        <v>51.8</v>
      </c>
      <c r="N205" t="n">
        <v>55</v>
      </c>
      <c r="O205" t="n">
        <v>70</v>
      </c>
      <c r="P205" t="n">
        <v>56</v>
      </c>
      <c r="Q205" t="n">
        <v>49.5</v>
      </c>
      <c r="R205" t="n">
        <v>51</v>
      </c>
      <c r="S205" t="n">
        <v>2350000</v>
      </c>
      <c r="U205" t="n">
        <v>165</v>
      </c>
      <c r="AH205" t="inlineStr">
        <is>
          <t>Quelle: Kyero</t>
        </is>
      </c>
    </row>
    <row r="206">
      <c r="A206" t="n">
        <v>19</v>
      </c>
      <c r="B206" t="inlineStr">
        <is>
          <t>Villa in Bendinat, Mallorca</t>
        </is>
      </c>
      <c r="C206" t="inlineStr">
        <is>
          <t>https://www.kyero.com/en/property/18538834-villa-for-sale-bendinat</t>
        </is>
      </c>
      <c r="E206" t="n">
        <v>4</v>
      </c>
      <c r="G206" t="n">
        <v>753</v>
      </c>
      <c r="J206" t="inlineStr">
        <is>
          <t>Bendinat</t>
        </is>
      </c>
      <c r="K206" t="n">
        <v>23.1</v>
      </c>
      <c r="L206" t="n">
        <v>22</v>
      </c>
      <c r="M206" t="n">
        <v>65.8</v>
      </c>
      <c r="N206" t="n">
        <v>55</v>
      </c>
      <c r="O206" t="n">
        <v>23.2</v>
      </c>
      <c r="P206" t="n">
        <v>23</v>
      </c>
      <c r="Q206" t="n">
        <v>63.5</v>
      </c>
      <c r="R206" t="n">
        <v>51</v>
      </c>
      <c r="S206" t="n">
        <v>3100000</v>
      </c>
      <c r="U206" t="n">
        <v>4117</v>
      </c>
      <c r="AH206" t="inlineStr">
        <is>
          <t>Quelle: Kyero</t>
        </is>
      </c>
    </row>
    <row r="207">
      <c r="A207" t="n">
        <v>20</v>
      </c>
      <c r="B207" t="inlineStr">
        <is>
          <t>Villa in Cala Murada, Mallorca</t>
        </is>
      </c>
      <c r="C207" t="inlineStr">
        <is>
          <t>https://www.kyero.com/en/property/18605783-villa-for-sale-cala-murada</t>
        </is>
      </c>
      <c r="E207" t="n">
        <v>6</v>
      </c>
      <c r="G207" t="n">
        <v>1650</v>
      </c>
      <c r="J207" t="inlineStr">
        <is>
          <t>Mallorca</t>
        </is>
      </c>
      <c r="K207" t="n">
        <v>47.4</v>
      </c>
      <c r="L207" t="n">
        <v>40</v>
      </c>
      <c r="M207" t="n">
        <v>51.8</v>
      </c>
      <c r="N207" t="n">
        <v>55</v>
      </c>
      <c r="O207" t="n">
        <v>70</v>
      </c>
      <c r="P207" t="n">
        <v>56</v>
      </c>
      <c r="Q207" t="n">
        <v>49.5</v>
      </c>
      <c r="R207" t="n">
        <v>51</v>
      </c>
      <c r="S207" t="n">
        <v>2790000</v>
      </c>
      <c r="U207" t="n">
        <v>1691</v>
      </c>
      <c r="AH207" t="inlineStr">
        <is>
          <t>Quelle: Kyero</t>
        </is>
      </c>
    </row>
    <row r="208">
      <c r="A208" t="n">
        <v>21</v>
      </c>
      <c r="B208" t="inlineStr">
        <is>
          <t>Country house in Santa Maria Del Cami, Mallorca</t>
        </is>
      </c>
      <c r="C208" t="inlineStr">
        <is>
          <t>https://www.kyero.com/en/property/20534135-country-house-for-sale-santa-maria-del-cami</t>
        </is>
      </c>
      <c r="E208" t="n">
        <v>7</v>
      </c>
      <c r="G208" t="n">
        <v>13500</v>
      </c>
      <c r="J208" t="inlineStr">
        <is>
          <t>Mallorca</t>
        </is>
      </c>
      <c r="K208" t="n">
        <v>47.4</v>
      </c>
      <c r="L208" t="n">
        <v>40</v>
      </c>
      <c r="M208" t="n">
        <v>51.8</v>
      </c>
      <c r="N208" t="n">
        <v>55</v>
      </c>
      <c r="O208" t="n">
        <v>70</v>
      </c>
      <c r="P208" t="n">
        <v>56</v>
      </c>
      <c r="Q208" t="n">
        <v>49.5</v>
      </c>
      <c r="R208" t="n">
        <v>51</v>
      </c>
      <c r="S208" t="n">
        <v>3000000</v>
      </c>
      <c r="U208" t="n">
        <v>222</v>
      </c>
      <c r="AH208" t="inlineStr">
        <is>
          <t>Quelle: Kyero</t>
        </is>
      </c>
    </row>
    <row r="209">
      <c r="A209" t="n">
        <v>22</v>
      </c>
      <c r="B209" t="inlineStr">
        <is>
          <t>Country house in Llubi, Mallorca</t>
        </is>
      </c>
      <c r="C209" t="inlineStr">
        <is>
          <t>https://www.kyero.com/en/property/20467885-country-house-for-sale-llubi</t>
        </is>
      </c>
      <c r="E209" t="n">
        <v>4</v>
      </c>
      <c r="G209" t="n">
        <v>15000</v>
      </c>
      <c r="J209" t="inlineStr">
        <is>
          <t>Mallorca</t>
        </is>
      </c>
      <c r="K209" t="n">
        <v>47.4</v>
      </c>
      <c r="L209" t="n">
        <v>40</v>
      </c>
      <c r="M209" t="n">
        <v>51.8</v>
      </c>
      <c r="N209" t="n">
        <v>55</v>
      </c>
      <c r="O209" t="n">
        <v>70</v>
      </c>
      <c r="P209" t="n">
        <v>56</v>
      </c>
      <c r="Q209" t="n">
        <v>49.5</v>
      </c>
      <c r="R209" t="n">
        <v>51</v>
      </c>
      <c r="S209" t="n">
        <v>2750000</v>
      </c>
      <c r="U209" t="n">
        <v>183</v>
      </c>
      <c r="AH209" t="inlineStr">
        <is>
          <t>Quelle: Kyero</t>
        </is>
      </c>
    </row>
    <row r="210">
      <c r="A210" t="n">
        <v>23</v>
      </c>
      <c r="B210" t="inlineStr">
        <is>
          <t>Finca in Campos, Mallorca</t>
        </is>
      </c>
      <c r="C210" t="inlineStr">
        <is>
          <t>https://www.kyero.com/en/property/20520519-country-house-for-sale-campos</t>
        </is>
      </c>
      <c r="E210" t="n">
        <v>6</v>
      </c>
      <c r="G210" t="n">
        <v>14200</v>
      </c>
      <c r="J210" t="inlineStr">
        <is>
          <t>Mallorca</t>
        </is>
      </c>
      <c r="K210" t="n">
        <v>47.4</v>
      </c>
      <c r="L210" t="n">
        <v>40</v>
      </c>
      <c r="M210" t="n">
        <v>51.8</v>
      </c>
      <c r="N210" t="n">
        <v>55</v>
      </c>
      <c r="O210" t="n">
        <v>70</v>
      </c>
      <c r="P210" t="n">
        <v>56</v>
      </c>
      <c r="Q210" t="n">
        <v>49.5</v>
      </c>
      <c r="R210" t="n">
        <v>51</v>
      </c>
      <c r="S210" t="n">
        <v>3650000</v>
      </c>
      <c r="U210" t="n">
        <v>257</v>
      </c>
      <c r="AH210" t="inlineStr">
        <is>
          <t>Quelle: Kyero</t>
        </is>
      </c>
    </row>
    <row r="211">
      <c r="A211" t="n">
        <v>24</v>
      </c>
      <c r="B211" t="inlineStr">
        <is>
          <t>Country house in Sant Llorenc Des Cardassar, Mallorca</t>
        </is>
      </c>
      <c r="C211" t="inlineStr">
        <is>
          <t>https://www.kyero.com/en/property/20510970-country-house-for-sale-sant-llorenc-des-cardassar</t>
        </is>
      </c>
      <c r="E211" t="n">
        <v>4</v>
      </c>
      <c r="G211" t="n">
        <v>17545</v>
      </c>
      <c r="J211" t="inlineStr">
        <is>
          <t>Mallorca</t>
        </is>
      </c>
      <c r="K211" t="n">
        <v>47.4</v>
      </c>
      <c r="L211" t="n">
        <v>40</v>
      </c>
      <c r="M211" t="n">
        <v>51.8</v>
      </c>
      <c r="N211" t="n">
        <v>55</v>
      </c>
      <c r="O211" t="n">
        <v>70</v>
      </c>
      <c r="P211" t="n">
        <v>56</v>
      </c>
      <c r="Q211" t="n">
        <v>49.5</v>
      </c>
      <c r="R211" t="n">
        <v>51</v>
      </c>
      <c r="S211" t="n">
        <v>2690000</v>
      </c>
      <c r="U211" t="n">
        <v>153</v>
      </c>
      <c r="AH211" t="inlineStr">
        <is>
          <t>Quelle: Kyero</t>
        </is>
      </c>
    </row>
    <row r="212">
      <c r="A212" t="n">
        <v>25</v>
      </c>
      <c r="B212" t="inlineStr">
        <is>
          <t>Remote viewing available</t>
        </is>
      </c>
      <c r="C212" t="inlineStr">
        <is>
          <t>https://www.kyero.com/en/property/20539651-apartment-for-sale-palma-de-mallorca</t>
        </is>
      </c>
      <c r="E212" t="n">
        <v>3</v>
      </c>
      <c r="J212" t="inlineStr">
        <is>
          <t>Palma</t>
        </is>
      </c>
      <c r="K212" t="n">
        <v>9.699999999999999</v>
      </c>
      <c r="L212" t="n">
        <v>14</v>
      </c>
      <c r="M212" t="n">
        <v>52.5</v>
      </c>
      <c r="N212" t="n">
        <v>47</v>
      </c>
      <c r="O212" t="n">
        <v>32.1</v>
      </c>
      <c r="P212" t="n">
        <v>36</v>
      </c>
      <c r="Q212" t="n">
        <v>50.2</v>
      </c>
      <c r="R212" t="n">
        <v>44</v>
      </c>
      <c r="S212" t="n">
        <v>3250000</v>
      </c>
      <c r="AH212" t="inlineStr">
        <is>
          <t>Quelle: Kyero</t>
        </is>
      </c>
    </row>
    <row r="213">
      <c r="A213" t="n">
        <v>26</v>
      </c>
      <c r="B213" t="inlineStr">
        <is>
          <t>Country house in Binissalem, Mallorca</t>
        </is>
      </c>
      <c r="C213" t="inlineStr">
        <is>
          <t>https://www.kyero.com/en/property/20533859-country-house-for-sale-binissalem</t>
        </is>
      </c>
      <c r="E213" t="n">
        <v>8</v>
      </c>
      <c r="G213" t="n">
        <v>15000</v>
      </c>
      <c r="J213" t="inlineStr">
        <is>
          <t>Mallorca</t>
        </is>
      </c>
      <c r="K213" t="n">
        <v>47.4</v>
      </c>
      <c r="L213" t="n">
        <v>40</v>
      </c>
      <c r="M213" t="n">
        <v>51.8</v>
      </c>
      <c r="N213" t="n">
        <v>55</v>
      </c>
      <c r="O213" t="n">
        <v>70</v>
      </c>
      <c r="P213" t="n">
        <v>56</v>
      </c>
      <c r="Q213" t="n">
        <v>49.5</v>
      </c>
      <c r="R213" t="n">
        <v>51</v>
      </c>
      <c r="S213" t="n">
        <v>3400000</v>
      </c>
      <c r="U213" t="n">
        <v>227</v>
      </c>
      <c r="AH213" t="inlineStr">
        <is>
          <t>Quelle: Kyero</t>
        </is>
      </c>
    </row>
    <row r="214">
      <c r="A214" t="n">
        <v>27</v>
      </c>
      <c r="B214" t="inlineStr">
        <is>
          <t>Remote viewing available</t>
        </is>
      </c>
      <c r="C214" t="inlineStr">
        <is>
          <t>https://www.kyero.com/en/property/19754127-apartment-for-sale-peguera</t>
        </is>
      </c>
      <c r="E214" t="n">
        <v>3</v>
      </c>
      <c r="J214" t="inlineStr">
        <is>
          <t>Peguera</t>
        </is>
      </c>
      <c r="K214" t="n">
        <v>35.3</v>
      </c>
      <c r="L214" t="n">
        <v>30</v>
      </c>
      <c r="M214" t="n">
        <v>78</v>
      </c>
      <c r="N214" t="n">
        <v>63</v>
      </c>
      <c r="O214" t="n">
        <v>9.1</v>
      </c>
      <c r="P214" t="n">
        <v>14</v>
      </c>
      <c r="Q214" t="n">
        <v>75.7</v>
      </c>
      <c r="R214" t="n">
        <v>60</v>
      </c>
      <c r="S214" t="n">
        <v>2750000</v>
      </c>
      <c r="AH214" t="inlineStr">
        <is>
          <t>Quelle: Kyero</t>
        </is>
      </c>
    </row>
    <row r="215">
      <c r="A215" t="n">
        <v>28</v>
      </c>
      <c r="B215" t="inlineStr">
        <is>
          <t>Villa in Nova Santa Ponsa, Mallorca</t>
        </is>
      </c>
      <c r="C215" t="inlineStr">
        <is>
          <t>https://www.kyero.com/en/property/20536451-villa-for-sale-nova-santa-ponsa</t>
        </is>
      </c>
      <c r="E215" t="n">
        <v>5</v>
      </c>
      <c r="G215" t="n">
        <v>1260</v>
      </c>
      <c r="J215" t="inlineStr">
        <is>
          <t>Santa Ponsa</t>
        </is>
      </c>
      <c r="K215" t="n">
        <v>31.1</v>
      </c>
      <c r="L215" t="n">
        <v>28</v>
      </c>
      <c r="M215" t="n">
        <v>73.90000000000001</v>
      </c>
      <c r="N215" t="n">
        <v>61</v>
      </c>
      <c r="O215" t="n">
        <v>15.2</v>
      </c>
      <c r="P215" t="n">
        <v>19</v>
      </c>
      <c r="Q215" t="n">
        <v>71.59999999999999</v>
      </c>
      <c r="R215" t="n">
        <v>57</v>
      </c>
      <c r="S215" t="n">
        <v>2390000</v>
      </c>
      <c r="U215" t="n">
        <v>1897</v>
      </c>
      <c r="AH215" t="inlineStr">
        <is>
          <t>Quelle: Kyero</t>
        </is>
      </c>
    </row>
    <row r="216">
      <c r="A216" t="n">
        <v>29</v>
      </c>
      <c r="B216" t="inlineStr">
        <is>
          <t>Villa in Sol De Mallorca, Mallorca</t>
        </is>
      </c>
      <c r="C216" t="inlineStr">
        <is>
          <t>https://www.kyero.com/en/property/20524264-villa-for-sale-sol-de-mallorca</t>
        </is>
      </c>
      <c r="E216" t="n">
        <v>5</v>
      </c>
      <c r="G216" t="n">
        <v>1226</v>
      </c>
      <c r="J216" t="inlineStr">
        <is>
          <t>Mallorca</t>
        </is>
      </c>
      <c r="K216" t="n">
        <v>47.4</v>
      </c>
      <c r="L216" t="n">
        <v>40</v>
      </c>
      <c r="M216" t="n">
        <v>51.8</v>
      </c>
      <c r="N216" t="n">
        <v>55</v>
      </c>
      <c r="O216" t="n">
        <v>70</v>
      </c>
      <c r="P216" t="n">
        <v>56</v>
      </c>
      <c r="Q216" t="n">
        <v>49.5</v>
      </c>
      <c r="R216" t="n">
        <v>51</v>
      </c>
      <c r="S216" t="n">
        <v>2350000</v>
      </c>
      <c r="U216" t="n">
        <v>1917</v>
      </c>
      <c r="AH216" t="inlineStr">
        <is>
          <t>Quelle: Kyero</t>
        </is>
      </c>
    </row>
    <row r="217">
      <c r="A217" t="n">
        <v>30</v>
      </c>
      <c r="B217" t="inlineStr">
        <is>
          <t>Villa in Calvia, Mallorca</t>
        </is>
      </c>
      <c r="C217" t="inlineStr">
        <is>
          <t>https://www.kyero.com/en/property/20468266-villa-for-sale-calvia</t>
        </is>
      </c>
      <c r="G217" t="n">
        <v>1434</v>
      </c>
      <c r="J217" t="inlineStr">
        <is>
          <t>Mallorca</t>
        </is>
      </c>
      <c r="K217" t="n">
        <v>47.4</v>
      </c>
      <c r="L217" t="n">
        <v>40</v>
      </c>
      <c r="M217" t="n">
        <v>51.8</v>
      </c>
      <c r="N217" t="n">
        <v>55</v>
      </c>
      <c r="O217" t="n">
        <v>70</v>
      </c>
      <c r="P217" t="n">
        <v>56</v>
      </c>
      <c r="Q217" t="n">
        <v>49.5</v>
      </c>
      <c r="R217" t="n">
        <v>51</v>
      </c>
      <c r="S217" t="n">
        <v>2975000</v>
      </c>
      <c r="U217" t="n">
        <v>2075</v>
      </c>
      <c r="AH217" t="inlineStr">
        <is>
          <t>Quelle: Kyero</t>
        </is>
      </c>
    </row>
    <row r="218">
      <c r="A218" t="n">
        <v>31</v>
      </c>
      <c r="B218" t="inlineStr">
        <is>
          <t>Villa in Bendinat, Mallorca</t>
        </is>
      </c>
      <c r="C218" t="inlineStr">
        <is>
          <t>https://www.kyero.com/en/property/20496393-villa-for-sale-bendinat</t>
        </is>
      </c>
      <c r="E218" t="n">
        <v>4</v>
      </c>
      <c r="G218" t="n">
        <v>454</v>
      </c>
      <c r="J218" t="inlineStr">
        <is>
          <t>Bendinat</t>
        </is>
      </c>
      <c r="K218" t="n">
        <v>23.1</v>
      </c>
      <c r="L218" t="n">
        <v>22</v>
      </c>
      <c r="M218" t="n">
        <v>65.8</v>
      </c>
      <c r="N218" t="n">
        <v>55</v>
      </c>
      <c r="O218" t="n">
        <v>23.2</v>
      </c>
      <c r="P218" t="n">
        <v>23</v>
      </c>
      <c r="Q218" t="n">
        <v>63.5</v>
      </c>
      <c r="R218" t="n">
        <v>51</v>
      </c>
      <c r="S218" t="n">
        <v>6200000</v>
      </c>
      <c r="U218" t="n">
        <v>13656</v>
      </c>
      <c r="AH218" t="inlineStr">
        <is>
          <t>Quelle: Kyero</t>
        </is>
      </c>
    </row>
    <row r="219">
      <c r="A219" t="n">
        <v>32</v>
      </c>
      <c r="B219" t="inlineStr">
        <is>
          <t>Villa in Palma De Mallorca, Mallorca</t>
        </is>
      </c>
      <c r="C219" t="inlineStr">
        <is>
          <t>https://www.kyero.com/en/property/19851775-villa-for-sale-palma-de-mallorca</t>
        </is>
      </c>
      <c r="E219" t="n">
        <v>5</v>
      </c>
      <c r="G219" t="n">
        <v>360</v>
      </c>
      <c r="J219" t="inlineStr">
        <is>
          <t>Palma</t>
        </is>
      </c>
      <c r="K219" t="n">
        <v>9.699999999999999</v>
      </c>
      <c r="L219" t="n">
        <v>14</v>
      </c>
      <c r="M219" t="n">
        <v>52.5</v>
      </c>
      <c r="N219" t="n">
        <v>47</v>
      </c>
      <c r="O219" t="n">
        <v>32.1</v>
      </c>
      <c r="P219" t="n">
        <v>36</v>
      </c>
      <c r="Q219" t="n">
        <v>50.2</v>
      </c>
      <c r="R219" t="n">
        <v>44</v>
      </c>
      <c r="S219" t="n">
        <v>3450000</v>
      </c>
      <c r="U219" t="n">
        <v>9583</v>
      </c>
      <c r="AH219" t="inlineStr">
        <is>
          <t>Quelle: Kyero</t>
        </is>
      </c>
    </row>
    <row r="220">
      <c r="A220" t="n">
        <v>33</v>
      </c>
      <c r="B220" t="inlineStr">
        <is>
          <t>Finca in Felanitx, Mallorca</t>
        </is>
      </c>
      <c r="C220" t="inlineStr">
        <is>
          <t>https://www.kyero.com/en/property/19765507-country-house-for-sale-felanitx</t>
        </is>
      </c>
      <c r="E220" t="n">
        <v>6</v>
      </c>
      <c r="G220" t="n">
        <v>28000</v>
      </c>
      <c r="J220" t="inlineStr">
        <is>
          <t>Mallorca</t>
        </is>
      </c>
      <c r="K220" t="n">
        <v>47.4</v>
      </c>
      <c r="L220" t="n">
        <v>40</v>
      </c>
      <c r="M220" t="n">
        <v>51.8</v>
      </c>
      <c r="N220" t="n">
        <v>55</v>
      </c>
      <c r="O220" t="n">
        <v>70</v>
      </c>
      <c r="P220" t="n">
        <v>56</v>
      </c>
      <c r="Q220" t="n">
        <v>49.5</v>
      </c>
      <c r="R220" t="n">
        <v>51</v>
      </c>
      <c r="S220" t="n">
        <v>5650000</v>
      </c>
      <c r="U220" t="n">
        <v>202</v>
      </c>
      <c r="AH220" t="inlineStr">
        <is>
          <t>Quelle: Kyero</t>
        </is>
      </c>
    </row>
    <row r="221">
      <c r="A221" t="n">
        <v>34</v>
      </c>
      <c r="B221" t="inlineStr">
        <is>
          <t>Villa in Calvia, Mallorca</t>
        </is>
      </c>
      <c r="C221" t="inlineStr">
        <is>
          <t>https://www.kyero.com/en/property/20468252-villa-for-sale-calvia</t>
        </is>
      </c>
      <c r="E221" t="n">
        <v>4</v>
      </c>
      <c r="G221" t="n">
        <v>1150</v>
      </c>
      <c r="J221" t="inlineStr">
        <is>
          <t>Mallorca</t>
        </is>
      </c>
      <c r="K221" t="n">
        <v>47.4</v>
      </c>
      <c r="L221" t="n">
        <v>40</v>
      </c>
      <c r="M221" t="n">
        <v>51.8</v>
      </c>
      <c r="N221" t="n">
        <v>55</v>
      </c>
      <c r="O221" t="n">
        <v>70</v>
      </c>
      <c r="P221" t="n">
        <v>56</v>
      </c>
      <c r="Q221" t="n">
        <v>49.5</v>
      </c>
      <c r="R221" t="n">
        <v>51</v>
      </c>
      <c r="S221" t="n">
        <v>2850000</v>
      </c>
      <c r="U221" t="n">
        <v>2478</v>
      </c>
      <c r="AH221" t="inlineStr">
        <is>
          <t>Quelle: Kyero</t>
        </is>
      </c>
    </row>
    <row r="222">
      <c r="A222" t="n">
        <v>35</v>
      </c>
      <c r="B222" t="inlineStr">
        <is>
          <t>Country house in Montuiri, Mallorca</t>
        </is>
      </c>
      <c r="C222" t="inlineStr">
        <is>
          <t>https://www.kyero.com/en/property/19175886-country-house-for-sale-montuiri</t>
        </is>
      </c>
      <c r="E222" t="n">
        <v>5</v>
      </c>
      <c r="G222" t="n">
        <v>15954</v>
      </c>
      <c r="J222" t="inlineStr">
        <is>
          <t>Mallorca</t>
        </is>
      </c>
      <c r="K222" t="n">
        <v>47.4</v>
      </c>
      <c r="L222" t="n">
        <v>40</v>
      </c>
      <c r="M222" t="n">
        <v>51.8</v>
      </c>
      <c r="N222" t="n">
        <v>55</v>
      </c>
      <c r="O222" t="n">
        <v>70</v>
      </c>
      <c r="P222" t="n">
        <v>56</v>
      </c>
      <c r="Q222" t="n">
        <v>49.5</v>
      </c>
      <c r="R222" t="n">
        <v>51</v>
      </c>
      <c r="S222" t="n">
        <v>5900000</v>
      </c>
      <c r="U222" t="n">
        <v>370</v>
      </c>
      <c r="AH222" t="inlineStr">
        <is>
          <t>Quelle: Kyero</t>
        </is>
      </c>
    </row>
    <row r="223">
      <c r="A223" t="n">
        <v>36</v>
      </c>
      <c r="B223" t="inlineStr">
        <is>
          <t>Remote viewing available</t>
        </is>
      </c>
      <c r="C223" t="inlineStr">
        <is>
          <t>https://www.kyero.com/en/property/20444466-commercial-property-for-sale-capdepera</t>
        </is>
      </c>
      <c r="E223" t="n">
        <v>5</v>
      </c>
      <c r="G223" t="n">
        <v>68834</v>
      </c>
      <c r="J223" t="inlineStr">
        <is>
          <t>Artà</t>
        </is>
      </c>
      <c r="K223" t="n">
        <v>68.3</v>
      </c>
      <c r="L223" t="n">
        <v>61</v>
      </c>
      <c r="M223" t="n">
        <v>63.7</v>
      </c>
      <c r="N223" t="n">
        <v>64</v>
      </c>
      <c r="O223" t="n">
        <v>102.5</v>
      </c>
      <c r="P223" t="n">
        <v>86</v>
      </c>
      <c r="Q223" t="n">
        <v>61.4</v>
      </c>
      <c r="R223" t="n">
        <v>61</v>
      </c>
      <c r="S223" t="n">
        <v>4500000</v>
      </c>
      <c r="U223" t="n">
        <v>65</v>
      </c>
      <c r="AH223" t="inlineStr">
        <is>
          <t>Quelle: Kyero</t>
        </is>
      </c>
    </row>
    <row r="224">
      <c r="A224" t="n">
        <v>37</v>
      </c>
      <c r="B224" t="inlineStr">
        <is>
          <t>Villa in Nova Santa Ponsa, Mallorca</t>
        </is>
      </c>
      <c r="C224" t="inlineStr">
        <is>
          <t>https://www.kyero.com/en/property/19784098-villa-for-sale-nova-santa-ponsa</t>
        </is>
      </c>
      <c r="E224" t="n">
        <v>5</v>
      </c>
      <c r="G224" t="n">
        <v>1090</v>
      </c>
      <c r="J224" t="inlineStr">
        <is>
          <t>Santa Ponsa</t>
        </is>
      </c>
      <c r="K224" t="n">
        <v>31.1</v>
      </c>
      <c r="L224" t="n">
        <v>28</v>
      </c>
      <c r="M224" t="n">
        <v>73.90000000000001</v>
      </c>
      <c r="N224" t="n">
        <v>61</v>
      </c>
      <c r="O224" t="n">
        <v>15.2</v>
      </c>
      <c r="P224" t="n">
        <v>19</v>
      </c>
      <c r="Q224" t="n">
        <v>71.59999999999999</v>
      </c>
      <c r="R224" t="n">
        <v>57</v>
      </c>
      <c r="S224" t="n">
        <v>2790000</v>
      </c>
      <c r="U224" t="n">
        <v>2560</v>
      </c>
      <c r="AH224" t="inlineStr">
        <is>
          <t>Quelle: Kyero</t>
        </is>
      </c>
    </row>
    <row r="225">
      <c r="A225" t="n">
        <v>38</v>
      </c>
      <c r="B225" t="inlineStr">
        <is>
          <t>Country house in Andratx, Mallorca</t>
        </is>
      </c>
      <c r="C225" t="inlineStr">
        <is>
          <t>https://www.kyero.com/en/property/14449091-country-house-for-sale-andratx</t>
        </is>
      </c>
      <c r="E225" t="n">
        <v>5</v>
      </c>
      <c r="G225" t="n">
        <v>62507</v>
      </c>
      <c r="J225" t="inlineStr">
        <is>
          <t>Andratx</t>
        </is>
      </c>
      <c r="K225" t="n">
        <v>40.3</v>
      </c>
      <c r="L225" t="n">
        <v>36</v>
      </c>
      <c r="M225" t="n">
        <v>83</v>
      </c>
      <c r="N225" t="n">
        <v>68</v>
      </c>
      <c r="O225" t="n">
        <v>2.7</v>
      </c>
      <c r="P225" t="n">
        <v>7</v>
      </c>
      <c r="Q225" t="n">
        <v>80.7</v>
      </c>
      <c r="R225" t="n">
        <v>65</v>
      </c>
      <c r="S225" t="n">
        <v>3995000</v>
      </c>
      <c r="U225" t="n">
        <v>64</v>
      </c>
      <c r="AH225" t="inlineStr">
        <is>
          <t>Quelle: Kyero</t>
        </is>
      </c>
    </row>
    <row r="226">
      <c r="A226" t="n">
        <v>39</v>
      </c>
      <c r="B226" t="inlineStr">
        <is>
          <t>Villa in Palmanova, Mallorca</t>
        </is>
      </c>
      <c r="C226" t="inlineStr">
        <is>
          <t>https://www.kyero.com/en/property/19784127-villa-for-sale-palmanova</t>
        </is>
      </c>
      <c r="E226" t="n">
        <v>6</v>
      </c>
      <c r="G226" t="n">
        <v>1195</v>
      </c>
      <c r="J226" t="inlineStr">
        <is>
          <t>Palma</t>
        </is>
      </c>
      <c r="K226" t="n">
        <v>9.699999999999999</v>
      </c>
      <c r="L226" t="n">
        <v>14</v>
      </c>
      <c r="M226" t="n">
        <v>52.5</v>
      </c>
      <c r="N226" t="n">
        <v>47</v>
      </c>
      <c r="O226" t="n">
        <v>32.1</v>
      </c>
      <c r="P226" t="n">
        <v>36</v>
      </c>
      <c r="Q226" t="n">
        <v>50.2</v>
      </c>
      <c r="R226" t="n">
        <v>44</v>
      </c>
      <c r="S226" t="n">
        <v>3950000</v>
      </c>
      <c r="U226" t="n">
        <v>3305</v>
      </c>
      <c r="AH226" t="inlineStr">
        <is>
          <t>Quelle: Kyero</t>
        </is>
      </c>
    </row>
    <row r="227">
      <c r="A227" t="n">
        <v>40</v>
      </c>
      <c r="B227" t="inlineStr">
        <is>
          <t>Villa in Cala d'Or, Mallorca</t>
        </is>
      </c>
      <c r="C227" t="inlineStr">
        <is>
          <t>https://www.kyero.com/en/property/20507314-villa-for-sale-cala-d-or</t>
        </is>
      </c>
      <c r="E227" t="n">
        <v>4</v>
      </c>
      <c r="G227" t="n">
        <v>938</v>
      </c>
      <c r="J227" t="inlineStr">
        <is>
          <t>Mallorca</t>
        </is>
      </c>
      <c r="K227" t="n">
        <v>47.4</v>
      </c>
      <c r="L227" t="n">
        <v>40</v>
      </c>
      <c r="M227" t="n">
        <v>51.8</v>
      </c>
      <c r="N227" t="n">
        <v>55</v>
      </c>
      <c r="O227" t="n">
        <v>70</v>
      </c>
      <c r="P227" t="n">
        <v>56</v>
      </c>
      <c r="Q227" t="n">
        <v>49.5</v>
      </c>
      <c r="R227" t="n">
        <v>51</v>
      </c>
      <c r="S227" t="n">
        <v>2500000</v>
      </c>
      <c r="U227" t="n">
        <v>2665</v>
      </c>
      <c r="AH227" t="inlineStr">
        <is>
          <t>Quelle: Kyero</t>
        </is>
      </c>
    </row>
    <row r="228">
      <c r="A228" t="n">
        <v>41</v>
      </c>
      <c r="B228" t="inlineStr">
        <is>
          <t>Villa in Puig De Ros, Mallorca</t>
        </is>
      </c>
      <c r="C228" t="inlineStr">
        <is>
          <t>https://www.kyero.com/en/property/19870584-villa-for-sale-puig-de-ros</t>
        </is>
      </c>
      <c r="E228" t="n">
        <v>5</v>
      </c>
      <c r="G228" t="n">
        <v>759</v>
      </c>
      <c r="J228" t="inlineStr">
        <is>
          <t>Mallorca</t>
        </is>
      </c>
      <c r="K228" t="n">
        <v>47.4</v>
      </c>
      <c r="L228" t="n">
        <v>40</v>
      </c>
      <c r="M228" t="n">
        <v>51.8</v>
      </c>
      <c r="N228" t="n">
        <v>55</v>
      </c>
      <c r="O228" t="n">
        <v>70</v>
      </c>
      <c r="P228" t="n">
        <v>56</v>
      </c>
      <c r="Q228" t="n">
        <v>49.5</v>
      </c>
      <c r="R228" t="n">
        <v>51</v>
      </c>
      <c r="S228" t="n">
        <v>3600000</v>
      </c>
      <c r="U228" t="n">
        <v>4743</v>
      </c>
      <c r="AH228" t="inlineStr">
        <is>
          <t>Quelle: Kyero</t>
        </is>
      </c>
    </row>
    <row r="229">
      <c r="A229" t="n">
        <v>42</v>
      </c>
      <c r="B229" t="inlineStr">
        <is>
          <t>Villa in Sol De Mallorca, Mallorca</t>
        </is>
      </c>
      <c r="C229" t="inlineStr">
        <is>
          <t>https://www.kyero.com/en/property/19586343-villa-for-sale-sol-de-mallorca</t>
        </is>
      </c>
      <c r="E229" t="n">
        <v>4</v>
      </c>
      <c r="G229" t="n">
        <v>1573</v>
      </c>
      <c r="J229" t="inlineStr">
        <is>
          <t>Mallorca</t>
        </is>
      </c>
      <c r="K229" t="n">
        <v>47.4</v>
      </c>
      <c r="L229" t="n">
        <v>40</v>
      </c>
      <c r="M229" t="n">
        <v>51.8</v>
      </c>
      <c r="N229" t="n">
        <v>55</v>
      </c>
      <c r="O229" t="n">
        <v>70</v>
      </c>
      <c r="P229" t="n">
        <v>56</v>
      </c>
      <c r="Q229" t="n">
        <v>49.5</v>
      </c>
      <c r="R229" t="n">
        <v>51</v>
      </c>
      <c r="S229" t="n">
        <v>3950000</v>
      </c>
      <c r="U229" t="n">
        <v>2511</v>
      </c>
      <c r="AH229" t="inlineStr">
        <is>
          <t>Quelle: Kyero</t>
        </is>
      </c>
    </row>
    <row r="230">
      <c r="A230" t="n">
        <v>43</v>
      </c>
      <c r="B230" t="inlineStr">
        <is>
          <t>Villa in Badia Blava, Mallorca</t>
        </is>
      </c>
      <c r="C230" t="inlineStr">
        <is>
          <t>https://www.kyero.com/en/property/20325660-villa-for-sale-badia-blava</t>
        </is>
      </c>
      <c r="E230" t="n">
        <v>5</v>
      </c>
      <c r="G230" t="n">
        <v>1446</v>
      </c>
      <c r="J230" t="inlineStr">
        <is>
          <t>Palma</t>
        </is>
      </c>
      <c r="K230" t="n">
        <v>9.699999999999999</v>
      </c>
      <c r="L230" t="n">
        <v>14</v>
      </c>
      <c r="M230" t="n">
        <v>52.5</v>
      </c>
      <c r="N230" t="n">
        <v>47</v>
      </c>
      <c r="O230" t="n">
        <v>32.1</v>
      </c>
      <c r="P230" t="n">
        <v>36</v>
      </c>
      <c r="Q230" t="n">
        <v>50.2</v>
      </c>
      <c r="R230" t="n">
        <v>44</v>
      </c>
      <c r="S230" t="n">
        <v>3875000</v>
      </c>
      <c r="U230" t="n">
        <v>2680</v>
      </c>
      <c r="AH230" t="inlineStr">
        <is>
          <t>Quelle: Kyero</t>
        </is>
      </c>
    </row>
    <row r="231">
      <c r="A231" t="n">
        <v>44</v>
      </c>
      <c r="B231" t="inlineStr">
        <is>
          <t>Remote viewing available</t>
        </is>
      </c>
      <c r="C231" t="inlineStr">
        <is>
          <t>https://www.kyero.com/en/property/19326593-apartment-for-sale-santa-ponsa</t>
        </is>
      </c>
      <c r="E231" t="n">
        <v>2</v>
      </c>
      <c r="J231" t="inlineStr">
        <is>
          <t>Santa Ponsa</t>
        </is>
      </c>
      <c r="K231" t="n">
        <v>31.1</v>
      </c>
      <c r="L231" t="n">
        <v>28</v>
      </c>
      <c r="M231" t="n">
        <v>73.90000000000001</v>
      </c>
      <c r="N231" t="n">
        <v>61</v>
      </c>
      <c r="O231" t="n">
        <v>15.2</v>
      </c>
      <c r="P231" t="n">
        <v>19</v>
      </c>
      <c r="Q231" t="n">
        <v>71.59999999999999</v>
      </c>
      <c r="R231" t="n">
        <v>57</v>
      </c>
      <c r="S231" t="n">
        <v>2390000</v>
      </c>
      <c r="AH231" t="inlineStr">
        <is>
          <t>Quelle: Kyero</t>
        </is>
      </c>
    </row>
    <row r="232">
      <c r="A232" t="n">
        <v>45</v>
      </c>
      <c r="B232" t="inlineStr">
        <is>
          <t>Villa in Sol De Mallorca, Mallorca</t>
        </is>
      </c>
      <c r="C232" t="inlineStr">
        <is>
          <t>https://www.kyero.com/en/property/19586367-villa-for-sale-sol-de-mallorca</t>
        </is>
      </c>
      <c r="E232" t="n">
        <v>5</v>
      </c>
      <c r="G232" t="n">
        <v>1765</v>
      </c>
      <c r="J232" t="inlineStr">
        <is>
          <t>Mallorca</t>
        </is>
      </c>
      <c r="K232" t="n">
        <v>47.4</v>
      </c>
      <c r="L232" t="n">
        <v>40</v>
      </c>
      <c r="M232" t="n">
        <v>51.8</v>
      </c>
      <c r="N232" t="n">
        <v>55</v>
      </c>
      <c r="O232" t="n">
        <v>70</v>
      </c>
      <c r="P232" t="n">
        <v>56</v>
      </c>
      <c r="Q232" t="n">
        <v>49.5</v>
      </c>
      <c r="R232" t="n">
        <v>51</v>
      </c>
      <c r="S232" t="n">
        <v>4600000</v>
      </c>
      <c r="U232" t="n">
        <v>2606</v>
      </c>
      <c r="AH232" t="inlineStr">
        <is>
          <t>Quelle: Kyero</t>
        </is>
      </c>
    </row>
    <row r="233">
      <c r="A233" t="n">
        <v>46</v>
      </c>
      <c r="B233" t="inlineStr">
        <is>
          <t>Apartment in Portals Nous, Mallorca</t>
        </is>
      </c>
      <c r="C233" t="inlineStr">
        <is>
          <t>https://www.kyero.com/en/property/17845100-apartment-for-sale-portals-nous</t>
        </is>
      </c>
      <c r="E233" t="n">
        <v>3</v>
      </c>
      <c r="J233" t="inlineStr">
        <is>
          <t>Portals Nous</t>
        </is>
      </c>
      <c r="K233" t="n">
        <v>23.8</v>
      </c>
      <c r="L233" t="n">
        <v>23</v>
      </c>
      <c r="M233" t="n">
        <v>66.59999999999999</v>
      </c>
      <c r="N233" t="n">
        <v>56</v>
      </c>
      <c r="O233" t="n">
        <v>21.8</v>
      </c>
      <c r="P233" t="n">
        <v>22</v>
      </c>
      <c r="Q233" t="n">
        <v>64.3</v>
      </c>
      <c r="R233" t="n">
        <v>52</v>
      </c>
      <c r="S233" t="n">
        <v>3350000</v>
      </c>
      <c r="AH233" t="inlineStr">
        <is>
          <t>Quelle: Kyero</t>
        </is>
      </c>
    </row>
    <row r="234">
      <c r="A234" t="n">
        <v>47</v>
      </c>
      <c r="B234" t="inlineStr">
        <is>
          <t>Villa in Calvia, Mallorca</t>
        </is>
      </c>
      <c r="C234" t="inlineStr">
        <is>
          <t>https://www.kyero.com/en/property/19271668-villa-for-sale-calvia</t>
        </is>
      </c>
      <c r="E234" t="n">
        <v>5</v>
      </c>
      <c r="G234" t="n">
        <v>828</v>
      </c>
      <c r="J234" t="inlineStr">
        <is>
          <t>Mallorca</t>
        </is>
      </c>
      <c r="K234" t="n">
        <v>47.4</v>
      </c>
      <c r="L234" t="n">
        <v>40</v>
      </c>
      <c r="M234" t="n">
        <v>51.8</v>
      </c>
      <c r="N234" t="n">
        <v>55</v>
      </c>
      <c r="O234" t="n">
        <v>70</v>
      </c>
      <c r="P234" t="n">
        <v>56</v>
      </c>
      <c r="Q234" t="n">
        <v>49.5</v>
      </c>
      <c r="R234" t="n">
        <v>51</v>
      </c>
      <c r="S234" t="n">
        <v>2750000</v>
      </c>
      <c r="U234" t="n">
        <v>3321</v>
      </c>
      <c r="AH234" t="inlineStr">
        <is>
          <t>Quelle: Kyero</t>
        </is>
      </c>
    </row>
    <row r="235">
      <c r="A235" t="n">
        <v>48</v>
      </c>
      <c r="B235" t="inlineStr">
        <is>
          <t>Country house in Alaro, Mallorca</t>
        </is>
      </c>
      <c r="C235" t="inlineStr">
        <is>
          <t>https://www.kyero.com/en/property/19877577-country-house-for-sale-alaro</t>
        </is>
      </c>
      <c r="E235" t="n">
        <v>1</v>
      </c>
      <c r="G235" t="n">
        <v>126</v>
      </c>
      <c r="J235" t="inlineStr">
        <is>
          <t>Alaró</t>
        </is>
      </c>
      <c r="K235" t="n">
        <v>33.4</v>
      </c>
      <c r="L235" t="n">
        <v>33</v>
      </c>
      <c r="M235" t="n">
        <v>76.09999999999999</v>
      </c>
      <c r="N235" t="n">
        <v>66</v>
      </c>
      <c r="O235" t="n">
        <v>55.9</v>
      </c>
      <c r="P235" t="n">
        <v>49</v>
      </c>
      <c r="Q235" t="n">
        <v>73.8</v>
      </c>
      <c r="R235" t="n">
        <v>62</v>
      </c>
      <c r="S235" t="n">
        <v>2220000</v>
      </c>
      <c r="U235" t="n">
        <v>17619</v>
      </c>
      <c r="AH235" t="inlineStr">
        <is>
          <t>Quelle: Kyero</t>
        </is>
      </c>
    </row>
    <row r="236">
      <c r="A236" t="n">
        <v>49</v>
      </c>
      <c r="B236" t="inlineStr">
        <is>
          <t>Villa in Port D'andratx, Mallorca</t>
        </is>
      </c>
      <c r="C236" t="inlineStr">
        <is>
          <t>https://www.kyero.com/en/property/15784908-villa-for-sale-port-d-andratx</t>
        </is>
      </c>
      <c r="E236" t="n">
        <v>4</v>
      </c>
      <c r="G236" t="n">
        <v>1039</v>
      </c>
      <c r="J236" t="inlineStr">
        <is>
          <t>Port D'andratx</t>
        </is>
      </c>
      <c r="K236" t="n">
        <v>43.5</v>
      </c>
      <c r="L236" t="n">
        <v>38</v>
      </c>
      <c r="M236" t="n">
        <v>86.2</v>
      </c>
      <c r="N236" t="n">
        <v>71</v>
      </c>
      <c r="O236" t="n">
        <v>6.3</v>
      </c>
      <c r="P236" t="n">
        <v>11</v>
      </c>
      <c r="Q236" t="n">
        <v>83.90000000000001</v>
      </c>
      <c r="R236" t="n">
        <v>68</v>
      </c>
      <c r="S236" t="n">
        <v>3950000</v>
      </c>
      <c r="U236" t="n">
        <v>3802</v>
      </c>
      <c r="AH236" t="inlineStr">
        <is>
          <t>Quelle: Kyero</t>
        </is>
      </c>
    </row>
    <row r="237">
      <c r="A237" t="n">
        <v>50</v>
      </c>
      <c r="B237" t="inlineStr">
        <is>
          <t>Villa in Port de Valldemossa, Mallorca</t>
        </is>
      </c>
      <c r="C237" t="inlineStr">
        <is>
          <t>https://www.kyero.com/en/property/20502806-villa-for-sale-port-de-valldemossa</t>
        </is>
      </c>
      <c r="E237" t="n">
        <v>4</v>
      </c>
      <c r="G237" t="n">
        <v>840</v>
      </c>
      <c r="J237" t="inlineStr">
        <is>
          <t>Valldemossa</t>
        </is>
      </c>
      <c r="K237" t="n">
        <v>27.2</v>
      </c>
      <c r="L237" t="n">
        <v>32</v>
      </c>
      <c r="M237" t="n">
        <v>69.90000000000001</v>
      </c>
      <c r="N237" t="n">
        <v>64</v>
      </c>
      <c r="O237" t="n">
        <v>45.5</v>
      </c>
      <c r="P237" t="n">
        <v>44</v>
      </c>
      <c r="Q237" t="n">
        <v>67.59999999999999</v>
      </c>
      <c r="R237" t="n">
        <v>61</v>
      </c>
      <c r="S237" t="n">
        <v>2175000</v>
      </c>
      <c r="U237" t="n">
        <v>2589</v>
      </c>
      <c r="AH237" t="inlineStr">
        <is>
          <t>Quelle: Kyero</t>
        </is>
      </c>
    </row>
    <row r="238">
      <c r="A238" t="n">
        <v>51</v>
      </c>
      <c r="B238" t="inlineStr">
        <is>
          <t>Country house in Es Capdella, Mallorca</t>
        </is>
      </c>
      <c r="C238" t="inlineStr">
        <is>
          <t>https://www.kyero.com/en/property/17707649-country-house-for-sale-es-capdella</t>
        </is>
      </c>
      <c r="E238" t="n">
        <v>5</v>
      </c>
      <c r="G238" t="n">
        <v>1910</v>
      </c>
      <c r="J238" t="inlineStr">
        <is>
          <t>Mallorca</t>
        </is>
      </c>
      <c r="K238" t="n">
        <v>47.4</v>
      </c>
      <c r="L238" t="n">
        <v>40</v>
      </c>
      <c r="M238" t="n">
        <v>51.8</v>
      </c>
      <c r="N238" t="n">
        <v>55</v>
      </c>
      <c r="O238" t="n">
        <v>70</v>
      </c>
      <c r="P238" t="n">
        <v>56</v>
      </c>
      <c r="Q238" t="n">
        <v>49.5</v>
      </c>
      <c r="R238" t="n">
        <v>51</v>
      </c>
      <c r="S238" t="n">
        <v>4500000</v>
      </c>
      <c r="U238" t="n">
        <v>2356</v>
      </c>
      <c r="AH238" t="inlineStr">
        <is>
          <t>Quelle: Kyero</t>
        </is>
      </c>
    </row>
    <row r="239">
      <c r="A239" t="n">
        <v>52</v>
      </c>
      <c r="B239" t="inlineStr">
        <is>
          <t>Villa in Calvia, Mallorca</t>
        </is>
      </c>
      <c r="C239" t="inlineStr">
        <is>
          <t>https://www.kyero.com/en/property/20468251-villa-for-sale-calvia</t>
        </is>
      </c>
      <c r="E239" t="n">
        <v>5</v>
      </c>
      <c r="J239" t="inlineStr">
        <is>
          <t>Mallorca</t>
        </is>
      </c>
      <c r="K239" t="n">
        <v>47.4</v>
      </c>
      <c r="L239" t="n">
        <v>40</v>
      </c>
      <c r="M239" t="n">
        <v>51.8</v>
      </c>
      <c r="N239" t="n">
        <v>55</v>
      </c>
      <c r="O239" t="n">
        <v>70</v>
      </c>
      <c r="P239" t="n">
        <v>56</v>
      </c>
      <c r="Q239" t="n">
        <v>49.5</v>
      </c>
      <c r="R239" t="n">
        <v>51</v>
      </c>
      <c r="S239" t="n">
        <v>2500000</v>
      </c>
      <c r="AH239" t="inlineStr">
        <is>
          <t>Quelle: Kyero</t>
        </is>
      </c>
    </row>
    <row r="240">
      <c r="A240" t="n">
        <v>53</v>
      </c>
      <c r="B240" t="inlineStr">
        <is>
          <t>Villa in Llucmajor, Mallorca</t>
        </is>
      </c>
      <c r="C240" t="inlineStr">
        <is>
          <t>https://www.kyero.com/en/property/18045290-villa-for-sale-llucmajor</t>
        </is>
      </c>
      <c r="E240" t="n">
        <v>4</v>
      </c>
      <c r="G240" t="n">
        <v>837</v>
      </c>
      <c r="J240" t="inlineStr">
        <is>
          <t>Llucmajor</t>
        </is>
      </c>
      <c r="K240" t="n">
        <v>22</v>
      </c>
      <c r="L240" t="n">
        <v>21</v>
      </c>
      <c r="M240" t="n">
        <v>28.2</v>
      </c>
      <c r="N240" t="n">
        <v>33</v>
      </c>
      <c r="O240" t="n">
        <v>60.2</v>
      </c>
      <c r="P240" t="n">
        <v>48</v>
      </c>
      <c r="Q240" t="n">
        <v>25.9</v>
      </c>
      <c r="R240" t="n">
        <v>29</v>
      </c>
      <c r="S240" t="n">
        <v>3000000</v>
      </c>
      <c r="U240" t="n">
        <v>3584</v>
      </c>
      <c r="AH240" t="inlineStr">
        <is>
          <t>Quelle: Kyero</t>
        </is>
      </c>
    </row>
    <row r="241">
      <c r="A241" t="n">
        <v>54</v>
      </c>
      <c r="B241" t="inlineStr">
        <is>
          <t>Villa in Calvia, Mallorca</t>
        </is>
      </c>
      <c r="C241" t="inlineStr">
        <is>
          <t>https://www.kyero.com/en/property/17164637-villa-for-sale-calvia</t>
        </is>
      </c>
      <c r="E241" t="n">
        <v>4</v>
      </c>
      <c r="G241" t="n">
        <v>2941</v>
      </c>
      <c r="J241" t="inlineStr">
        <is>
          <t>Mallorca</t>
        </is>
      </c>
      <c r="K241" t="n">
        <v>47.4</v>
      </c>
      <c r="L241" t="n">
        <v>40</v>
      </c>
      <c r="M241" t="n">
        <v>51.8</v>
      </c>
      <c r="N241" t="n">
        <v>55</v>
      </c>
      <c r="O241" t="n">
        <v>70</v>
      </c>
      <c r="P241" t="n">
        <v>56</v>
      </c>
      <c r="Q241" t="n">
        <v>49.5</v>
      </c>
      <c r="R241" t="n">
        <v>51</v>
      </c>
      <c r="S241" t="n">
        <v>2250000</v>
      </c>
      <c r="U241" t="n">
        <v>765</v>
      </c>
      <c r="AH241" t="inlineStr">
        <is>
          <t>Quelle: Kyero</t>
        </is>
      </c>
    </row>
    <row r="242">
      <c r="A242" t="n">
        <v>55</v>
      </c>
      <c r="B242" t="inlineStr">
        <is>
          <t>Villa in Sa Torre, Mallorca</t>
        </is>
      </c>
      <c r="C242" t="inlineStr">
        <is>
          <t>https://www.kyero.com/en/property/20338535-villa-for-sale-sa-torre</t>
        </is>
      </c>
      <c r="E242" t="n">
        <v>4</v>
      </c>
      <c r="G242" t="n">
        <v>986</v>
      </c>
      <c r="J242" t="inlineStr">
        <is>
          <t>Mallorca</t>
        </is>
      </c>
      <c r="K242" t="n">
        <v>47.4</v>
      </c>
      <c r="L242" t="n">
        <v>40</v>
      </c>
      <c r="M242" t="n">
        <v>51.8</v>
      </c>
      <c r="N242" t="n">
        <v>55</v>
      </c>
      <c r="O242" t="n">
        <v>70</v>
      </c>
      <c r="P242" t="n">
        <v>56</v>
      </c>
      <c r="Q242" t="n">
        <v>49.5</v>
      </c>
      <c r="R242" t="n">
        <v>51</v>
      </c>
      <c r="S242" t="n">
        <v>2995000</v>
      </c>
      <c r="U242" t="n">
        <v>3038</v>
      </c>
      <c r="AH242" t="inlineStr">
        <is>
          <t>Quelle: Kyero</t>
        </is>
      </c>
    </row>
    <row r="243">
      <c r="A243" t="n">
        <v>56</v>
      </c>
      <c r="B243" t="inlineStr">
        <is>
          <t>Villa in Marratxinet (Marratxi), Mallorca</t>
        </is>
      </c>
      <c r="C243" t="inlineStr">
        <is>
          <t>https://www.kyero.com/en/property/18592573-villa-for-sale-marratxinet-marratxi</t>
        </is>
      </c>
      <c r="E243" t="n">
        <v>5</v>
      </c>
      <c r="G243" t="n">
        <v>22078</v>
      </c>
      <c r="J243" t="inlineStr">
        <is>
          <t>Mallorca</t>
        </is>
      </c>
      <c r="K243" t="n">
        <v>47.4</v>
      </c>
      <c r="L243" t="n">
        <v>40</v>
      </c>
      <c r="M243" t="n">
        <v>51.8</v>
      </c>
      <c r="N243" t="n">
        <v>55</v>
      </c>
      <c r="O243" t="n">
        <v>70</v>
      </c>
      <c r="P243" t="n">
        <v>56</v>
      </c>
      <c r="Q243" t="n">
        <v>49.5</v>
      </c>
      <c r="R243" t="n">
        <v>51</v>
      </c>
      <c r="S243" t="n">
        <v>3200000</v>
      </c>
      <c r="U243" t="n">
        <v>145</v>
      </c>
      <c r="AH243" t="inlineStr">
        <is>
          <t>Quelle: Kyero</t>
        </is>
      </c>
    </row>
    <row r="244">
      <c r="A244" t="n">
        <v>57</v>
      </c>
      <c r="B244" t="inlineStr">
        <is>
          <t>Villa in Cala Vinyes, Mallorca</t>
        </is>
      </c>
      <c r="C244" t="inlineStr">
        <is>
          <t>https://www.kyero.com/en/property/11019109-villa-for-sale-cala-vinyes</t>
        </is>
      </c>
      <c r="E244" t="n">
        <v>5</v>
      </c>
      <c r="G244" t="n">
        <v>1287</v>
      </c>
      <c r="J244" t="inlineStr">
        <is>
          <t>Mallorca</t>
        </is>
      </c>
      <c r="K244" t="n">
        <v>47.4</v>
      </c>
      <c r="L244" t="n">
        <v>40</v>
      </c>
      <c r="M244" t="n">
        <v>51.8</v>
      </c>
      <c r="N244" t="n">
        <v>55</v>
      </c>
      <c r="O244" t="n">
        <v>70</v>
      </c>
      <c r="P244" t="n">
        <v>56</v>
      </c>
      <c r="Q244" t="n">
        <v>49.5</v>
      </c>
      <c r="R244" t="n">
        <v>51</v>
      </c>
      <c r="S244" t="n">
        <v>3300000</v>
      </c>
      <c r="U244" t="n">
        <v>2564</v>
      </c>
      <c r="AH244" t="inlineStr">
        <is>
          <t>Quelle: Kyero</t>
        </is>
      </c>
    </row>
    <row r="245">
      <c r="A245" t="n">
        <v>58</v>
      </c>
      <c r="B245" t="inlineStr">
        <is>
          <t>Country house in Alaro, Mallorca</t>
        </is>
      </c>
      <c r="C245" t="inlineStr">
        <is>
          <t>https://www.kyero.com/en/property/19258591-country-house-for-sale-alaro</t>
        </is>
      </c>
      <c r="E245" t="n">
        <v>4</v>
      </c>
      <c r="G245" t="n">
        <v>16450</v>
      </c>
      <c r="J245" t="inlineStr">
        <is>
          <t>Mallorca</t>
        </is>
      </c>
      <c r="K245" t="n">
        <v>47.4</v>
      </c>
      <c r="L245" t="n">
        <v>40</v>
      </c>
      <c r="M245" t="n">
        <v>51.8</v>
      </c>
      <c r="N245" t="n">
        <v>55</v>
      </c>
      <c r="O245" t="n">
        <v>70</v>
      </c>
      <c r="P245" t="n">
        <v>56</v>
      </c>
      <c r="Q245" t="n">
        <v>49.5</v>
      </c>
      <c r="R245" t="n">
        <v>51</v>
      </c>
      <c r="S245" t="n">
        <v>3200000</v>
      </c>
      <c r="U245" t="n">
        <v>195</v>
      </c>
      <c r="AH245" t="inlineStr">
        <is>
          <t>Quelle: Kyero</t>
        </is>
      </c>
    </row>
    <row r="246">
      <c r="A246" t="n">
        <v>59</v>
      </c>
      <c r="B246" t="inlineStr">
        <is>
          <t>Penthouse in Palma De Mallorca, Mallorca</t>
        </is>
      </c>
      <c r="C246" t="inlineStr">
        <is>
          <t>https://www.kyero.com/en/property/20533857-apartment-for-sale-palma-de-mallorca</t>
        </is>
      </c>
      <c r="E246" t="n">
        <v>3</v>
      </c>
      <c r="J246" t="inlineStr">
        <is>
          <t>Palma</t>
        </is>
      </c>
      <c r="K246" t="n">
        <v>9.699999999999999</v>
      </c>
      <c r="L246" t="n">
        <v>14</v>
      </c>
      <c r="M246" t="n">
        <v>52.5</v>
      </c>
      <c r="N246" t="n">
        <v>47</v>
      </c>
      <c r="O246" t="n">
        <v>32.1</v>
      </c>
      <c r="P246" t="n">
        <v>36</v>
      </c>
      <c r="Q246" t="n">
        <v>50.2</v>
      </c>
      <c r="R246" t="n">
        <v>44</v>
      </c>
      <c r="S246" t="n">
        <v>3450000</v>
      </c>
      <c r="AH246" t="inlineStr">
        <is>
          <t>Quelle: Kyero</t>
        </is>
      </c>
    </row>
    <row r="247">
      <c r="A247" t="n">
        <v>60</v>
      </c>
      <c r="B247" t="inlineStr">
        <is>
          <t>Villa in Alaro, Mallorca</t>
        </is>
      </c>
      <c r="C247" t="inlineStr">
        <is>
          <t>https://www.kyero.com/en/property/19217447-villa-for-sale-alaro</t>
        </is>
      </c>
      <c r="E247" t="n">
        <v>17</v>
      </c>
      <c r="G247" t="n">
        <v>310</v>
      </c>
      <c r="J247" t="inlineStr">
        <is>
          <t>Alaró</t>
        </is>
      </c>
      <c r="K247" t="n">
        <v>33.4</v>
      </c>
      <c r="L247" t="n">
        <v>33</v>
      </c>
      <c r="M247" t="n">
        <v>76.09999999999999</v>
      </c>
      <c r="N247" t="n">
        <v>66</v>
      </c>
      <c r="O247" t="n">
        <v>55.9</v>
      </c>
      <c r="P247" t="n">
        <v>49</v>
      </c>
      <c r="Q247" t="n">
        <v>73.8</v>
      </c>
      <c r="R247" t="n">
        <v>62</v>
      </c>
      <c r="S247" t="n">
        <v>2200000</v>
      </c>
      <c r="U247" t="n">
        <v>7097</v>
      </c>
      <c r="AH247" t="inlineStr">
        <is>
          <t>Quelle: Kyero</t>
        </is>
      </c>
    </row>
    <row r="248">
      <c r="A248" t="n">
        <v>61</v>
      </c>
      <c r="B248" t="inlineStr">
        <is>
          <t>Villa in Santa Ponsa, Mallorca</t>
        </is>
      </c>
      <c r="C248" t="inlineStr">
        <is>
          <t>https://www.kyero.com/en/property/20165770-villa-for-sale-santa-ponsa</t>
        </is>
      </c>
      <c r="E248" t="n">
        <v>5</v>
      </c>
      <c r="G248" t="n">
        <v>456</v>
      </c>
      <c r="J248" t="inlineStr">
        <is>
          <t>Santa Ponsa</t>
        </is>
      </c>
      <c r="K248" t="n">
        <v>31.1</v>
      </c>
      <c r="L248" t="n">
        <v>28</v>
      </c>
      <c r="M248" t="n">
        <v>73.90000000000001</v>
      </c>
      <c r="N248" t="n">
        <v>61</v>
      </c>
      <c r="O248" t="n">
        <v>15.2</v>
      </c>
      <c r="P248" t="n">
        <v>19</v>
      </c>
      <c r="Q248" t="n">
        <v>71.59999999999999</v>
      </c>
      <c r="R248" t="n">
        <v>57</v>
      </c>
      <c r="S248" t="n">
        <v>2500000</v>
      </c>
      <c r="U248" t="n">
        <v>5482</v>
      </c>
      <c r="AH248" t="inlineStr">
        <is>
          <t>Quelle: Kyero</t>
        </is>
      </c>
    </row>
    <row r="249">
      <c r="A249" t="n">
        <v>62</v>
      </c>
      <c r="B249" t="inlineStr">
        <is>
          <t>Villa in Portals Nous, Mallorca</t>
        </is>
      </c>
      <c r="C249" t="inlineStr">
        <is>
          <t>https://www.kyero.com/en/property/17925956-villa-for-sale-portals-nous</t>
        </is>
      </c>
      <c r="E249" t="n">
        <v>5</v>
      </c>
      <c r="G249" t="n">
        <v>767</v>
      </c>
      <c r="J249" t="inlineStr">
        <is>
          <t>Portals Nous</t>
        </is>
      </c>
      <c r="K249" t="n">
        <v>23.8</v>
      </c>
      <c r="L249" t="n">
        <v>23</v>
      </c>
      <c r="M249" t="n">
        <v>66.59999999999999</v>
      </c>
      <c r="N249" t="n">
        <v>56</v>
      </c>
      <c r="O249" t="n">
        <v>21.8</v>
      </c>
      <c r="P249" t="n">
        <v>22</v>
      </c>
      <c r="Q249" t="n">
        <v>64.3</v>
      </c>
      <c r="R249" t="n">
        <v>52</v>
      </c>
      <c r="S249" t="n">
        <v>6500000</v>
      </c>
      <c r="U249" t="n">
        <v>8475</v>
      </c>
      <c r="AH249" t="inlineStr">
        <is>
          <t>Quelle: Kyero</t>
        </is>
      </c>
    </row>
    <row r="250">
      <c r="A250" t="n">
        <v>63</v>
      </c>
      <c r="B250" t="inlineStr">
        <is>
          <t>Villa in Manacor, Mallorca</t>
        </is>
      </c>
      <c r="C250" t="inlineStr">
        <is>
          <t>https://www.kyero.com/en/property/19741147-villa-for-sale-manacor</t>
        </is>
      </c>
      <c r="E250" t="n">
        <v>5</v>
      </c>
      <c r="G250" t="n">
        <v>26258</v>
      </c>
      <c r="J250" t="inlineStr">
        <is>
          <t>Manacor</t>
        </is>
      </c>
      <c r="K250" t="n">
        <v>49.2</v>
      </c>
      <c r="L250" t="n">
        <v>44</v>
      </c>
      <c r="M250" t="n">
        <v>40.3</v>
      </c>
      <c r="N250" t="n">
        <v>45</v>
      </c>
      <c r="O250" t="n">
        <v>83.40000000000001</v>
      </c>
      <c r="P250" t="n">
        <v>68</v>
      </c>
      <c r="Q250" t="n">
        <v>38</v>
      </c>
      <c r="R250" t="n">
        <v>41</v>
      </c>
      <c r="S250" t="n">
        <v>3890000</v>
      </c>
      <c r="U250" t="n">
        <v>148</v>
      </c>
      <c r="AH250" t="inlineStr">
        <is>
          <t>Quelle: Kyero</t>
        </is>
      </c>
    </row>
    <row r="251">
      <c r="A251" t="n">
        <v>64</v>
      </c>
      <c r="B251" t="inlineStr">
        <is>
          <t>Country house in Andratx, Mallorca</t>
        </is>
      </c>
      <c r="C251" t="inlineStr">
        <is>
          <t>https://www.kyero.com/en/property/19513769-country-house-for-sale-andratx</t>
        </is>
      </c>
      <c r="E251" t="n">
        <v>5</v>
      </c>
      <c r="G251" t="n">
        <v>163000</v>
      </c>
      <c r="J251" t="inlineStr">
        <is>
          <t>Andratx</t>
        </is>
      </c>
      <c r="K251" t="n">
        <v>40.3</v>
      </c>
      <c r="L251" t="n">
        <v>36</v>
      </c>
      <c r="M251" t="n">
        <v>83</v>
      </c>
      <c r="N251" t="n">
        <v>68</v>
      </c>
      <c r="O251" t="n">
        <v>2.7</v>
      </c>
      <c r="P251" t="n">
        <v>7</v>
      </c>
      <c r="Q251" t="n">
        <v>80.7</v>
      </c>
      <c r="R251" t="n">
        <v>65</v>
      </c>
      <c r="S251" t="n">
        <v>3950000</v>
      </c>
      <c r="U251" t="n">
        <v>24</v>
      </c>
      <c r="AH251" t="inlineStr">
        <is>
          <t>Quelle: Kyero</t>
        </is>
      </c>
    </row>
    <row r="252">
      <c r="A252" t="n">
        <v>65</v>
      </c>
      <c r="B252" t="inlineStr">
        <is>
          <t>Country house in Manacor, Mallorca</t>
        </is>
      </c>
      <c r="C252" t="inlineStr">
        <is>
          <t>https://www.kyero.com/en/property/19651830-country-house-for-sale-manacor</t>
        </is>
      </c>
      <c r="E252" t="n">
        <v>4</v>
      </c>
      <c r="G252" t="n">
        <v>14700</v>
      </c>
      <c r="J252" t="inlineStr">
        <is>
          <t>Manacor</t>
        </is>
      </c>
      <c r="K252" t="n">
        <v>49.2</v>
      </c>
      <c r="L252" t="n">
        <v>44</v>
      </c>
      <c r="M252" t="n">
        <v>40.3</v>
      </c>
      <c r="N252" t="n">
        <v>45</v>
      </c>
      <c r="O252" t="n">
        <v>83.40000000000001</v>
      </c>
      <c r="P252" t="n">
        <v>68</v>
      </c>
      <c r="Q252" t="n">
        <v>38</v>
      </c>
      <c r="R252" t="n">
        <v>41</v>
      </c>
      <c r="S252" t="n">
        <v>2975000</v>
      </c>
      <c r="U252" t="n">
        <v>202</v>
      </c>
      <c r="AH252" t="inlineStr">
        <is>
          <t>Quelle: Kyero</t>
        </is>
      </c>
    </row>
    <row r="253">
      <c r="A253" t="n">
        <v>66</v>
      </c>
      <c r="B253" t="inlineStr">
        <is>
          <t>Country house in Capdepera, Mallorca</t>
        </is>
      </c>
      <c r="C253" t="inlineStr">
        <is>
          <t>https://www.kyero.com/en/property/17958855-country-house-for-sale-capdepera</t>
        </is>
      </c>
      <c r="E253" t="n">
        <v>3</v>
      </c>
      <c r="G253" t="n">
        <v>16156</v>
      </c>
      <c r="J253" t="inlineStr">
        <is>
          <t>Mallorca</t>
        </is>
      </c>
      <c r="K253" t="n">
        <v>47.4</v>
      </c>
      <c r="L253" t="n">
        <v>40</v>
      </c>
      <c r="M253" t="n">
        <v>51.8</v>
      </c>
      <c r="N253" t="n">
        <v>55</v>
      </c>
      <c r="O253" t="n">
        <v>70</v>
      </c>
      <c r="P253" t="n">
        <v>56</v>
      </c>
      <c r="Q253" t="n">
        <v>49.5</v>
      </c>
      <c r="R253" t="n">
        <v>51</v>
      </c>
      <c r="S253" t="n">
        <v>4000000</v>
      </c>
      <c r="U253" t="n">
        <v>248</v>
      </c>
      <c r="AH253" t="inlineStr">
        <is>
          <t>Quelle: Kyero</t>
        </is>
      </c>
    </row>
    <row r="254">
      <c r="A254" t="n">
        <v>67</v>
      </c>
      <c r="B254" t="inlineStr">
        <is>
          <t>Country house in Sant Llorenc Des Cardassar, Mallorca</t>
        </is>
      </c>
      <c r="C254" t="inlineStr">
        <is>
          <t>https://www.kyero.com/en/property/20509140-country-house-for-sale-sant-llorenc-des-cardassar</t>
        </is>
      </c>
      <c r="E254" t="n">
        <v>6</v>
      </c>
      <c r="G254" t="n">
        <v>121156</v>
      </c>
      <c r="J254" t="inlineStr">
        <is>
          <t>Manacor</t>
        </is>
      </c>
      <c r="K254" t="n">
        <v>49.2</v>
      </c>
      <c r="L254" t="n">
        <v>44</v>
      </c>
      <c r="M254" t="n">
        <v>40.3</v>
      </c>
      <c r="N254" t="n">
        <v>45</v>
      </c>
      <c r="O254" t="n">
        <v>83.40000000000001</v>
      </c>
      <c r="P254" t="n">
        <v>68</v>
      </c>
      <c r="Q254" t="n">
        <v>38</v>
      </c>
      <c r="R254" t="n">
        <v>41</v>
      </c>
      <c r="S254" t="n">
        <v>3950000</v>
      </c>
      <c r="U254" t="n">
        <v>33</v>
      </c>
      <c r="AH254" t="inlineStr">
        <is>
          <t>Quelle: Kyero</t>
        </is>
      </c>
    </row>
    <row r="255">
      <c r="A255" t="n">
        <v>68</v>
      </c>
      <c r="B255" t="inlineStr">
        <is>
          <t>Country house in Arta, Mallorca</t>
        </is>
      </c>
      <c r="C255" t="inlineStr">
        <is>
          <t>https://www.kyero.com/en/property/11345873-country-house-for-sale-arta</t>
        </is>
      </c>
      <c r="E255" t="n">
        <v>4</v>
      </c>
      <c r="G255" t="n">
        <v>131000</v>
      </c>
      <c r="J255" t="inlineStr">
        <is>
          <t>Mallorca</t>
        </is>
      </c>
      <c r="K255" t="n">
        <v>47.4</v>
      </c>
      <c r="L255" t="n">
        <v>40</v>
      </c>
      <c r="M255" t="n">
        <v>51.8</v>
      </c>
      <c r="N255" t="n">
        <v>55</v>
      </c>
      <c r="O255" t="n">
        <v>70</v>
      </c>
      <c r="P255" t="n">
        <v>56</v>
      </c>
      <c r="Q255" t="n">
        <v>49.5</v>
      </c>
      <c r="R255" t="n">
        <v>51</v>
      </c>
      <c r="S255" t="n">
        <v>3750000</v>
      </c>
      <c r="U255" t="n">
        <v>29</v>
      </c>
      <c r="AH255" t="inlineStr">
        <is>
          <t>Quelle: Kyero</t>
        </is>
      </c>
    </row>
    <row r="256">
      <c r="A256" t="n">
        <v>69</v>
      </c>
      <c r="B256" t="inlineStr">
        <is>
          <t>Barrio Sa Casa Blanca – chalet</t>
        </is>
      </c>
      <c r="C256" t="inlineStr">
        <is>
          <t>https://www.idealista.com/inmueble/110695172/</t>
        </is>
      </c>
      <c r="E256" t="n">
        <v>6</v>
      </c>
      <c r="H256" t="n">
        <v>480</v>
      </c>
      <c r="J256" t="inlineStr">
        <is>
          <t>Palma</t>
        </is>
      </c>
      <c r="K256" t="n">
        <v>9.699999999999999</v>
      </c>
      <c r="L256" t="n">
        <v>14</v>
      </c>
      <c r="M256" t="n">
        <v>52.5</v>
      </c>
      <c r="N256" t="n">
        <v>47</v>
      </c>
      <c r="O256" t="n">
        <v>32.1</v>
      </c>
      <c r="P256" t="n">
        <v>36</v>
      </c>
      <c r="Q256" t="n">
        <v>50.2</v>
      </c>
      <c r="R256" t="n">
        <v>44</v>
      </c>
      <c r="S256" t="n">
        <v>2500000</v>
      </c>
      <c r="T256" t="n">
        <v>5208</v>
      </c>
      <c r="AH256" t="inlineStr">
        <is>
          <t>Quelle: Idealista</t>
        </is>
      </c>
    </row>
    <row r="257">
      <c r="A257" t="n">
        <v>70</v>
      </c>
      <c r="B257" t="inlineStr">
        <is>
          <t>Barrio Son Espanyolet – chalet</t>
        </is>
      </c>
      <c r="C257" t="inlineStr">
        <is>
          <t>https://www.idealista.com/inmueble/110672299/</t>
        </is>
      </c>
      <c r="E257" t="n">
        <v>7</v>
      </c>
      <c r="H257" t="n">
        <v>750</v>
      </c>
      <c r="J257" t="inlineStr">
        <is>
          <t>Palma</t>
        </is>
      </c>
      <c r="K257" t="n">
        <v>9.699999999999999</v>
      </c>
      <c r="L257" t="n">
        <v>14</v>
      </c>
      <c r="M257" t="n">
        <v>52.5</v>
      </c>
      <c r="N257" t="n">
        <v>47</v>
      </c>
      <c r="O257" t="n">
        <v>32.1</v>
      </c>
      <c r="P257" t="n">
        <v>36</v>
      </c>
      <c r="Q257" t="n">
        <v>50.2</v>
      </c>
      <c r="R257" t="n">
        <v>44</v>
      </c>
      <c r="S257" t="n">
        <v>5900000</v>
      </c>
      <c r="T257" t="n">
        <v>7867</v>
      </c>
      <c r="AH257" t="inlineStr">
        <is>
          <t>Quelle: Idealista</t>
        </is>
      </c>
    </row>
    <row r="258">
      <c r="A258" t="n">
        <v>71</v>
      </c>
      <c r="B258" t="inlineStr">
        <is>
          <t>Barrio La Soledat – chalet</t>
        </is>
      </c>
      <c r="C258" t="inlineStr">
        <is>
          <t>https://www.idealista.com/inmueble/110672200/</t>
        </is>
      </c>
      <c r="E258" t="n">
        <v>7</v>
      </c>
      <c r="H258" t="n">
        <v>790</v>
      </c>
      <c r="J258" t="inlineStr">
        <is>
          <t>Palma</t>
        </is>
      </c>
      <c r="K258" t="n">
        <v>9.699999999999999</v>
      </c>
      <c r="L258" t="n">
        <v>14</v>
      </c>
      <c r="M258" t="n">
        <v>52.5</v>
      </c>
      <c r="N258" t="n">
        <v>47</v>
      </c>
      <c r="O258" t="n">
        <v>32.1</v>
      </c>
      <c r="P258" t="n">
        <v>36</v>
      </c>
      <c r="Q258" t="n">
        <v>50.2</v>
      </c>
      <c r="R258" t="n">
        <v>44</v>
      </c>
      <c r="S258" t="n">
        <v>6200000</v>
      </c>
      <c r="T258" t="n">
        <v>7848</v>
      </c>
      <c r="AH258" t="inlineStr">
        <is>
          <t>Quelle: Idealista</t>
        </is>
      </c>
    </row>
    <row r="259">
      <c r="A259" t="n">
        <v>72</v>
      </c>
      <c r="B259" t="inlineStr">
        <is>
          <t>calle Albercuix – chalet</t>
        </is>
      </c>
      <c r="C259" t="inlineStr">
        <is>
          <t>https://www.idealista.com/inmueble/110672146/</t>
        </is>
      </c>
      <c r="E259" t="n">
        <v>6</v>
      </c>
      <c r="H259" t="n">
        <v>650</v>
      </c>
      <c r="J259" t="inlineStr">
        <is>
          <t>Palma</t>
        </is>
      </c>
      <c r="K259" t="n">
        <v>9.699999999999999</v>
      </c>
      <c r="L259" t="n">
        <v>14</v>
      </c>
      <c r="M259" t="n">
        <v>52.5</v>
      </c>
      <c r="N259" t="n">
        <v>47</v>
      </c>
      <c r="O259" t="n">
        <v>32.1</v>
      </c>
      <c r="P259" t="n">
        <v>36</v>
      </c>
      <c r="Q259" t="n">
        <v>50.2</v>
      </c>
      <c r="R259" t="n">
        <v>44</v>
      </c>
      <c r="S259" t="n">
        <v>5650000</v>
      </c>
      <c r="T259" t="n">
        <v>8692</v>
      </c>
      <c r="AH259" t="inlineStr">
        <is>
          <t>Quelle: Idealista</t>
        </is>
      </c>
    </row>
    <row r="260">
      <c r="A260" t="n">
        <v>73</v>
      </c>
      <c r="B260" t="inlineStr">
        <is>
          <t>calle Albercuix – chalet</t>
        </is>
      </c>
      <c r="C260" t="inlineStr">
        <is>
          <t>https://www.idealista.com/inmueble/110672109/</t>
        </is>
      </c>
      <c r="E260" t="n">
        <v>5</v>
      </c>
      <c r="H260" t="n">
        <v>620</v>
      </c>
      <c r="J260" t="inlineStr">
        <is>
          <t>Palma</t>
        </is>
      </c>
      <c r="K260" t="n">
        <v>9.699999999999999</v>
      </c>
      <c r="L260" t="n">
        <v>14</v>
      </c>
      <c r="M260" t="n">
        <v>52.5</v>
      </c>
      <c r="N260" t="n">
        <v>47</v>
      </c>
      <c r="O260" t="n">
        <v>32.1</v>
      </c>
      <c r="P260" t="n">
        <v>36</v>
      </c>
      <c r="Q260" t="n">
        <v>50.2</v>
      </c>
      <c r="R260" t="n">
        <v>44</v>
      </c>
      <c r="S260" t="n">
        <v>4950000</v>
      </c>
      <c r="T260" t="n">
        <v>7984</v>
      </c>
      <c r="AH260" t="inlineStr">
        <is>
          <t>Quelle: Idealista</t>
        </is>
      </c>
    </row>
    <row r="261">
      <c r="A261" t="n">
        <v>74</v>
      </c>
      <c r="B261" t="inlineStr">
        <is>
          <t>Barrio Son Vida – chalet</t>
        </is>
      </c>
      <c r="C261" t="inlineStr">
        <is>
          <t>https://www.idealista.com/inmueble/110655777/</t>
        </is>
      </c>
      <c r="E261" t="n">
        <v>5</v>
      </c>
      <c r="H261" t="n">
        <v>600</v>
      </c>
      <c r="J261" t="inlineStr">
        <is>
          <t>Palma</t>
        </is>
      </c>
      <c r="K261" t="n">
        <v>9.699999999999999</v>
      </c>
      <c r="L261" t="n">
        <v>14</v>
      </c>
      <c r="M261" t="n">
        <v>52.5</v>
      </c>
      <c r="N261" t="n">
        <v>47</v>
      </c>
      <c r="O261" t="n">
        <v>32.1</v>
      </c>
      <c r="P261" t="n">
        <v>36</v>
      </c>
      <c r="Q261" t="n">
        <v>50.2</v>
      </c>
      <c r="R261" t="n">
        <v>44</v>
      </c>
      <c r="S261" t="n">
        <v>6495000</v>
      </c>
      <c r="T261" t="n">
        <v>10825</v>
      </c>
      <c r="AH261" t="inlineStr">
        <is>
          <t>Quelle: Idealista</t>
        </is>
      </c>
    </row>
    <row r="262">
      <c r="A262" t="n">
        <v>75</v>
      </c>
      <c r="B262" t="inlineStr">
        <is>
          <t>Barrio Son Dureta – chalet</t>
        </is>
      </c>
      <c r="C262" t="inlineStr">
        <is>
          <t>https://www.idealista.com/inmueble/110654888/</t>
        </is>
      </c>
      <c r="E262" t="n">
        <v>6</v>
      </c>
      <c r="H262" t="n">
        <v>606</v>
      </c>
      <c r="J262" t="inlineStr">
        <is>
          <t>Palma</t>
        </is>
      </c>
      <c r="K262" t="n">
        <v>9.699999999999999</v>
      </c>
      <c r="L262" t="n">
        <v>14</v>
      </c>
      <c r="M262" t="n">
        <v>52.5</v>
      </c>
      <c r="N262" t="n">
        <v>47</v>
      </c>
      <c r="O262" t="n">
        <v>32.1</v>
      </c>
      <c r="P262" t="n">
        <v>36</v>
      </c>
      <c r="Q262" t="n">
        <v>50.2</v>
      </c>
      <c r="R262" t="n">
        <v>44</v>
      </c>
      <c r="S262" t="n">
        <v>2990000</v>
      </c>
      <c r="T262" t="n">
        <v>4934</v>
      </c>
      <c r="AH262" t="inlineStr">
        <is>
          <t>Quelle: Idealista</t>
        </is>
      </c>
    </row>
    <row r="263">
      <c r="A263" t="n">
        <v>76</v>
      </c>
      <c r="B263" t="inlineStr">
        <is>
          <t>Barrio Son Gual – chalet</t>
        </is>
      </c>
      <c r="C263" t="inlineStr">
        <is>
          <t>https://www.idealista.com/inmueble/110645477/</t>
        </is>
      </c>
      <c r="E263" t="n">
        <v>6</v>
      </c>
      <c r="H263" t="n">
        <v>396</v>
      </c>
      <c r="J263" t="inlineStr">
        <is>
          <t>Palma</t>
        </is>
      </c>
      <c r="K263" t="n">
        <v>9.699999999999999</v>
      </c>
      <c r="L263" t="n">
        <v>14</v>
      </c>
      <c r="M263" t="n">
        <v>52.5</v>
      </c>
      <c r="N263" t="n">
        <v>47</v>
      </c>
      <c r="O263" t="n">
        <v>32.1</v>
      </c>
      <c r="P263" t="n">
        <v>36</v>
      </c>
      <c r="Q263" t="n">
        <v>50.2</v>
      </c>
      <c r="R263" t="n">
        <v>44</v>
      </c>
      <c r="S263" t="n">
        <v>2640000</v>
      </c>
      <c r="T263" t="n">
        <v>6667</v>
      </c>
      <c r="AH263" t="inlineStr">
        <is>
          <t>Quelle: Idealista</t>
        </is>
      </c>
    </row>
    <row r="264">
      <c r="A264" t="n">
        <v>77</v>
      </c>
      <c r="B264" t="inlineStr">
        <is>
          <t>calle del Rector Vives, 67 – chalet</t>
        </is>
      </c>
      <c r="C264" t="inlineStr">
        <is>
          <t>https://www.idealista.com/inmueble/110636189/</t>
        </is>
      </c>
      <c r="E264" t="n">
        <v>5</v>
      </c>
      <c r="H264" t="n">
        <v>1118</v>
      </c>
      <c r="J264" t="inlineStr">
        <is>
          <t>Palma</t>
        </is>
      </c>
      <c r="K264" t="n">
        <v>9.699999999999999</v>
      </c>
      <c r="L264" t="n">
        <v>14</v>
      </c>
      <c r="M264" t="n">
        <v>52.5</v>
      </c>
      <c r="N264" t="n">
        <v>47</v>
      </c>
      <c r="O264" t="n">
        <v>32.1</v>
      </c>
      <c r="P264" t="n">
        <v>36</v>
      </c>
      <c r="Q264" t="n">
        <v>50.2</v>
      </c>
      <c r="R264" t="n">
        <v>44</v>
      </c>
      <c r="S264" t="n">
        <v>4150000</v>
      </c>
      <c r="T264" t="n">
        <v>3712</v>
      </c>
      <c r="AH264" t="inlineStr">
        <is>
          <t>Quelle: Idealista</t>
        </is>
      </c>
    </row>
    <row r="265">
      <c r="A265" t="n">
        <v>78</v>
      </c>
      <c r="B265" t="inlineStr">
        <is>
          <t>Barrio Sindicat – chalet</t>
        </is>
      </c>
      <c r="C265" t="inlineStr">
        <is>
          <t>https://www.idealista.com/inmueble/102431198/</t>
        </is>
      </c>
      <c r="E265" t="n">
        <v>5</v>
      </c>
      <c r="H265" t="n">
        <v>490</v>
      </c>
      <c r="J265" t="inlineStr">
        <is>
          <t>Palma</t>
        </is>
      </c>
      <c r="K265" t="n">
        <v>9.699999999999999</v>
      </c>
      <c r="L265" t="n">
        <v>14</v>
      </c>
      <c r="M265" t="n">
        <v>52.5</v>
      </c>
      <c r="N265" t="n">
        <v>47</v>
      </c>
      <c r="O265" t="n">
        <v>32.1</v>
      </c>
      <c r="P265" t="n">
        <v>36</v>
      </c>
      <c r="Q265" t="n">
        <v>50.2</v>
      </c>
      <c r="R265" t="n">
        <v>44</v>
      </c>
      <c r="S265" t="n">
        <v>4500000</v>
      </c>
      <c r="T265" t="n">
        <v>9184</v>
      </c>
      <c r="AH265" t="inlineStr">
        <is>
          <t>Quelle: Idealista</t>
        </is>
      </c>
    </row>
    <row r="266">
      <c r="A266" t="n">
        <v>79</v>
      </c>
      <c r="B266" t="inlineStr">
        <is>
          <t>calle de Victorio Luzuriaga – chalet</t>
        </is>
      </c>
      <c r="C266" t="inlineStr">
        <is>
          <t>https://www.idealista.com/inmueble/104138534/</t>
        </is>
      </c>
      <c r="E266" t="n">
        <v>5</v>
      </c>
      <c r="H266" t="n">
        <v>450</v>
      </c>
      <c r="J266" t="inlineStr">
        <is>
          <t>Palma</t>
        </is>
      </c>
      <c r="K266" t="n">
        <v>9.699999999999999</v>
      </c>
      <c r="L266" t="n">
        <v>14</v>
      </c>
      <c r="M266" t="n">
        <v>52.5</v>
      </c>
      <c r="N266" t="n">
        <v>47</v>
      </c>
      <c r="O266" t="n">
        <v>32.1</v>
      </c>
      <c r="P266" t="n">
        <v>36</v>
      </c>
      <c r="Q266" t="n">
        <v>50.2</v>
      </c>
      <c r="R266" t="n">
        <v>44</v>
      </c>
      <c r="S266" t="n">
        <v>3500000</v>
      </c>
      <c r="T266" t="n">
        <v>7778</v>
      </c>
      <c r="AH266" t="inlineStr">
        <is>
          <t>Quelle: Idealista</t>
        </is>
      </c>
    </row>
    <row r="267">
      <c r="A267" t="n">
        <v>80</v>
      </c>
      <c r="B267" t="inlineStr">
        <is>
          <t>Barrio S'Aranjassa - Es Pil.larí – countryHouse</t>
        </is>
      </c>
      <c r="C267" t="inlineStr">
        <is>
          <t>https://www.idealista.com/inmueble/110468113/</t>
        </is>
      </c>
      <c r="E267" t="n">
        <v>5</v>
      </c>
      <c r="H267" t="n">
        <v>300</v>
      </c>
      <c r="J267" t="inlineStr">
        <is>
          <t>Palma</t>
        </is>
      </c>
      <c r="K267" t="n">
        <v>9.699999999999999</v>
      </c>
      <c r="L267" t="n">
        <v>14</v>
      </c>
      <c r="M267" t="n">
        <v>52.5</v>
      </c>
      <c r="N267" t="n">
        <v>47</v>
      </c>
      <c r="O267" t="n">
        <v>32.1</v>
      </c>
      <c r="P267" t="n">
        <v>36</v>
      </c>
      <c r="Q267" t="n">
        <v>50.2</v>
      </c>
      <c r="R267" t="n">
        <v>44</v>
      </c>
      <c r="S267" t="n">
        <v>2700000</v>
      </c>
      <c r="T267" t="n">
        <v>9000</v>
      </c>
      <c r="AH267" t="inlineStr">
        <is>
          <t>Quelle: Idealista</t>
        </is>
      </c>
    </row>
    <row r="268">
      <c r="A268" t="n">
        <v>81</v>
      </c>
      <c r="B268" t="inlineStr">
        <is>
          <t>Barrio Son Vida – chalet</t>
        </is>
      </c>
      <c r="C268" t="inlineStr">
        <is>
          <t>https://www.idealista.com/inmueble/110628098/</t>
        </is>
      </c>
      <c r="E268" t="n">
        <v>5</v>
      </c>
      <c r="H268" t="n">
        <v>590</v>
      </c>
      <c r="J268" t="inlineStr">
        <is>
          <t>Palma</t>
        </is>
      </c>
      <c r="K268" t="n">
        <v>9.699999999999999</v>
      </c>
      <c r="L268" t="n">
        <v>14</v>
      </c>
      <c r="M268" t="n">
        <v>52.5</v>
      </c>
      <c r="N268" t="n">
        <v>47</v>
      </c>
      <c r="O268" t="n">
        <v>32.1</v>
      </c>
      <c r="P268" t="n">
        <v>36</v>
      </c>
      <c r="Q268" t="n">
        <v>50.2</v>
      </c>
      <c r="R268" t="n">
        <v>44</v>
      </c>
      <c r="S268" t="n">
        <v>3970000</v>
      </c>
      <c r="T268" t="n">
        <v>6729</v>
      </c>
      <c r="AH268" t="inlineStr">
        <is>
          <t>Quelle: Idealista</t>
        </is>
      </c>
    </row>
    <row r="269">
      <c r="A269" t="n">
        <v>82</v>
      </c>
      <c r="B269" t="inlineStr">
        <is>
          <t>calle Ample de la Merce – chalet</t>
        </is>
      </c>
      <c r="C269" t="inlineStr">
        <is>
          <t>https://www.idealista.com/inmueble/104052848/</t>
        </is>
      </c>
      <c r="E269" t="n">
        <v>5</v>
      </c>
      <c r="H269" t="n">
        <v>490</v>
      </c>
      <c r="J269" t="inlineStr">
        <is>
          <t>Palma</t>
        </is>
      </c>
      <c r="K269" t="n">
        <v>9.699999999999999</v>
      </c>
      <c r="L269" t="n">
        <v>14</v>
      </c>
      <c r="M269" t="n">
        <v>52.5</v>
      </c>
      <c r="N269" t="n">
        <v>47</v>
      </c>
      <c r="O269" t="n">
        <v>32.1</v>
      </c>
      <c r="P269" t="n">
        <v>36</v>
      </c>
      <c r="Q269" t="n">
        <v>50.2</v>
      </c>
      <c r="R269" t="n">
        <v>44</v>
      </c>
      <c r="S269" t="n">
        <v>4500000</v>
      </c>
      <c r="T269" t="n">
        <v>9184</v>
      </c>
      <c r="AH269" t="inlineStr">
        <is>
          <t>Quelle: Idealista</t>
        </is>
      </c>
    </row>
    <row r="270">
      <c r="A270" t="n">
        <v>83</v>
      </c>
      <c r="B270" t="inlineStr">
        <is>
          <t>Barrio Genova – chalet</t>
        </is>
      </c>
      <c r="C270" t="inlineStr">
        <is>
          <t>https://www.idealista.com/inmueble/110617626/</t>
        </is>
      </c>
      <c r="E270" t="n">
        <v>6</v>
      </c>
      <c r="H270" t="n">
        <v>286</v>
      </c>
      <c r="J270" t="inlineStr">
        <is>
          <t>Palma</t>
        </is>
      </c>
      <c r="K270" t="n">
        <v>9.699999999999999</v>
      </c>
      <c r="L270" t="n">
        <v>14</v>
      </c>
      <c r="M270" t="n">
        <v>52.5</v>
      </c>
      <c r="N270" t="n">
        <v>47</v>
      </c>
      <c r="O270" t="n">
        <v>32.1</v>
      </c>
      <c r="P270" t="n">
        <v>36</v>
      </c>
      <c r="Q270" t="n">
        <v>50.2</v>
      </c>
      <c r="R270" t="n">
        <v>44</v>
      </c>
      <c r="S270" t="n">
        <v>2700000</v>
      </c>
      <c r="T270" t="n">
        <v>9441</v>
      </c>
      <c r="AH270" t="inlineStr">
        <is>
          <t>Quelle: Idealista</t>
        </is>
      </c>
    </row>
    <row r="271">
      <c r="A271" t="n">
        <v>84</v>
      </c>
      <c r="B271" t="inlineStr">
        <is>
          <t>Barrio Son Espanyolet – chalet</t>
        </is>
      </c>
      <c r="C271" t="inlineStr">
        <is>
          <t>https://www.idealista.com/inmueble/110617528/</t>
        </is>
      </c>
      <c r="E271" t="n">
        <v>5</v>
      </c>
      <c r="H271" t="n">
        <v>744</v>
      </c>
      <c r="J271" t="inlineStr">
        <is>
          <t>Palma</t>
        </is>
      </c>
      <c r="K271" t="n">
        <v>9.699999999999999</v>
      </c>
      <c r="L271" t="n">
        <v>14</v>
      </c>
      <c r="M271" t="n">
        <v>52.5</v>
      </c>
      <c r="N271" t="n">
        <v>47</v>
      </c>
      <c r="O271" t="n">
        <v>32.1</v>
      </c>
      <c r="P271" t="n">
        <v>36</v>
      </c>
      <c r="Q271" t="n">
        <v>50.2</v>
      </c>
      <c r="R271" t="n">
        <v>44</v>
      </c>
      <c r="S271" t="n">
        <v>4900000</v>
      </c>
      <c r="T271" t="n">
        <v>6586</v>
      </c>
      <c r="AH271" t="inlineStr">
        <is>
          <t>Quelle: Idealista</t>
        </is>
      </c>
    </row>
    <row r="272">
      <c r="A272" t="n">
        <v>85</v>
      </c>
      <c r="B272" t="inlineStr">
        <is>
          <t>Barrio Son Dureta – chalet</t>
        </is>
      </c>
      <c r="C272" t="inlineStr">
        <is>
          <t>https://www.idealista.com/inmueble/110606555/</t>
        </is>
      </c>
      <c r="E272" t="n">
        <v>6</v>
      </c>
      <c r="H272" t="n">
        <v>606</v>
      </c>
      <c r="J272" t="inlineStr">
        <is>
          <t>Palma</t>
        </is>
      </c>
      <c r="K272" t="n">
        <v>9.699999999999999</v>
      </c>
      <c r="L272" t="n">
        <v>14</v>
      </c>
      <c r="M272" t="n">
        <v>52.5</v>
      </c>
      <c r="N272" t="n">
        <v>47</v>
      </c>
      <c r="O272" t="n">
        <v>32.1</v>
      </c>
      <c r="P272" t="n">
        <v>36</v>
      </c>
      <c r="Q272" t="n">
        <v>50.2</v>
      </c>
      <c r="R272" t="n">
        <v>44</v>
      </c>
      <c r="S272" t="n">
        <v>2990000</v>
      </c>
      <c r="T272" t="n">
        <v>4934</v>
      </c>
      <c r="AH272" t="inlineStr">
        <is>
          <t>Quelle: Idealista</t>
        </is>
      </c>
    </row>
    <row r="273">
      <c r="A273" t="n">
        <v>86</v>
      </c>
      <c r="B273" t="inlineStr">
        <is>
          <t>Barrio Son Vida – chalet</t>
        </is>
      </c>
      <c r="C273" t="inlineStr">
        <is>
          <t>https://www.idealista.com/inmueble/110600715/</t>
        </is>
      </c>
      <c r="E273" t="n">
        <v>5</v>
      </c>
      <c r="H273" t="n">
        <v>660</v>
      </c>
      <c r="J273" t="inlineStr">
        <is>
          <t>Palma</t>
        </is>
      </c>
      <c r="K273" t="n">
        <v>9.699999999999999</v>
      </c>
      <c r="L273" t="n">
        <v>14</v>
      </c>
      <c r="M273" t="n">
        <v>52.5</v>
      </c>
      <c r="N273" t="n">
        <v>47</v>
      </c>
      <c r="O273" t="n">
        <v>32.1</v>
      </c>
      <c r="P273" t="n">
        <v>36</v>
      </c>
      <c r="Q273" t="n">
        <v>50.2</v>
      </c>
      <c r="R273" t="n">
        <v>44</v>
      </c>
      <c r="S273" t="n">
        <v>5510000</v>
      </c>
      <c r="T273" t="n">
        <v>8348</v>
      </c>
      <c r="AH273" t="inlineStr">
        <is>
          <t>Quelle: Idealista</t>
        </is>
      </c>
    </row>
    <row r="274">
      <c r="A274" t="n">
        <v>87</v>
      </c>
      <c r="B274" t="inlineStr">
        <is>
          <t>Secar de la Real – countryHouse</t>
        </is>
      </c>
      <c r="C274" t="inlineStr">
        <is>
          <t>https://www.idealista.com/inmueble/110583812/</t>
        </is>
      </c>
      <c r="E274" t="n">
        <v>7</v>
      </c>
      <c r="H274" t="n">
        <v>1420</v>
      </c>
      <c r="J274" t="inlineStr">
        <is>
          <t>Palma</t>
        </is>
      </c>
      <c r="K274" t="n">
        <v>9.699999999999999</v>
      </c>
      <c r="L274" t="n">
        <v>14</v>
      </c>
      <c r="M274" t="n">
        <v>52.5</v>
      </c>
      <c r="N274" t="n">
        <v>47</v>
      </c>
      <c r="O274" t="n">
        <v>32.1</v>
      </c>
      <c r="P274" t="n">
        <v>36</v>
      </c>
      <c r="Q274" t="n">
        <v>50.2</v>
      </c>
      <c r="R274" t="n">
        <v>44</v>
      </c>
      <c r="S274" t="n">
        <v>2750000</v>
      </c>
      <c r="T274" t="n">
        <v>1937</v>
      </c>
      <c r="AH274" t="inlineStr">
        <is>
          <t>Quelle: Idealista</t>
        </is>
      </c>
    </row>
    <row r="275">
      <c r="A275" t="n">
        <v>88</v>
      </c>
      <c r="B275" t="inlineStr">
        <is>
          <t>Barrio Son Armadams – chalet</t>
        </is>
      </c>
      <c r="C275" t="inlineStr">
        <is>
          <t>https://www.idealista.com/inmueble/110581494/</t>
        </is>
      </c>
      <c r="E275" t="n">
        <v>5</v>
      </c>
      <c r="H275" t="n">
        <v>448</v>
      </c>
      <c r="J275" t="inlineStr">
        <is>
          <t>Palma</t>
        </is>
      </c>
      <c r="K275" t="n">
        <v>9.699999999999999</v>
      </c>
      <c r="L275" t="n">
        <v>14</v>
      </c>
      <c r="M275" t="n">
        <v>52.5</v>
      </c>
      <c r="N275" t="n">
        <v>47</v>
      </c>
      <c r="O275" t="n">
        <v>32.1</v>
      </c>
      <c r="P275" t="n">
        <v>36</v>
      </c>
      <c r="Q275" t="n">
        <v>50.2</v>
      </c>
      <c r="R275" t="n">
        <v>44</v>
      </c>
      <c r="S275" t="n">
        <v>4900000</v>
      </c>
      <c r="T275" t="n">
        <v>10938</v>
      </c>
      <c r="AH275" t="inlineStr">
        <is>
          <t>Quelle: Idealista</t>
        </is>
      </c>
    </row>
    <row r="276">
      <c r="A276" t="n">
        <v>89</v>
      </c>
      <c r="B276" t="inlineStr">
        <is>
          <t>Barrio Establiments – countryHouse</t>
        </is>
      </c>
      <c r="C276" t="inlineStr">
        <is>
          <t>https://www.idealista.com/inmueble/110580275/</t>
        </is>
      </c>
      <c r="E276" t="n">
        <v>6</v>
      </c>
      <c r="H276" t="n">
        <v>1065</v>
      </c>
      <c r="J276" t="inlineStr">
        <is>
          <t>Palma</t>
        </is>
      </c>
      <c r="K276" t="n">
        <v>9.699999999999999</v>
      </c>
      <c r="L276" t="n">
        <v>14</v>
      </c>
      <c r="M276" t="n">
        <v>52.5</v>
      </c>
      <c r="N276" t="n">
        <v>47</v>
      </c>
      <c r="O276" t="n">
        <v>32.1</v>
      </c>
      <c r="P276" t="n">
        <v>36</v>
      </c>
      <c r="Q276" t="n">
        <v>50.2</v>
      </c>
      <c r="R276" t="n">
        <v>44</v>
      </c>
      <c r="S276" t="n">
        <v>3900000</v>
      </c>
      <c r="T276" t="n">
        <v>3662</v>
      </c>
      <c r="AH276" t="inlineStr">
        <is>
          <t>Quelle: Idealista</t>
        </is>
      </c>
    </row>
    <row r="277">
      <c r="A277" t="n">
        <v>90</v>
      </c>
      <c r="B277" t="inlineStr">
        <is>
          <t>Barrio Genova – chalet</t>
        </is>
      </c>
      <c r="C277" t="inlineStr">
        <is>
          <t>https://www.idealista.com/inmueble/110542891/</t>
        </is>
      </c>
      <c r="E277" t="n">
        <v>7</v>
      </c>
      <c r="H277" t="n">
        <v>361</v>
      </c>
      <c r="J277" t="inlineStr">
        <is>
          <t>Palma</t>
        </is>
      </c>
      <c r="K277" t="n">
        <v>9.699999999999999</v>
      </c>
      <c r="L277" t="n">
        <v>14</v>
      </c>
      <c r="M277" t="n">
        <v>52.5</v>
      </c>
      <c r="N277" t="n">
        <v>47</v>
      </c>
      <c r="O277" t="n">
        <v>32.1</v>
      </c>
      <c r="P277" t="n">
        <v>36</v>
      </c>
      <c r="Q277" t="n">
        <v>50.2</v>
      </c>
      <c r="R277" t="n">
        <v>44</v>
      </c>
      <c r="S277" t="n">
        <v>2450000</v>
      </c>
      <c r="T277" t="n">
        <v>6787</v>
      </c>
      <c r="AH277" t="inlineStr">
        <is>
          <t>Quelle: Idealista</t>
        </is>
      </c>
    </row>
    <row r="278">
      <c r="A278" t="n">
        <v>91</v>
      </c>
      <c r="B278" t="inlineStr">
        <is>
          <t>Barrio Establiments – chalet</t>
        </is>
      </c>
      <c r="C278" t="inlineStr">
        <is>
          <t>https://www.idealista.com/inmueble/110574379/</t>
        </is>
      </c>
      <c r="E278" t="n">
        <v>5</v>
      </c>
      <c r="H278" t="n">
        <v>730</v>
      </c>
      <c r="J278" t="inlineStr">
        <is>
          <t>Palma</t>
        </is>
      </c>
      <c r="K278" t="n">
        <v>9.699999999999999</v>
      </c>
      <c r="L278" t="n">
        <v>14</v>
      </c>
      <c r="M278" t="n">
        <v>52.5</v>
      </c>
      <c r="N278" t="n">
        <v>47</v>
      </c>
      <c r="O278" t="n">
        <v>32.1</v>
      </c>
      <c r="P278" t="n">
        <v>36</v>
      </c>
      <c r="Q278" t="n">
        <v>50.2</v>
      </c>
      <c r="R278" t="n">
        <v>44</v>
      </c>
      <c r="S278" t="n">
        <v>3888000</v>
      </c>
      <c r="T278" t="n">
        <v>5326</v>
      </c>
      <c r="AH278" t="inlineStr">
        <is>
          <t>Quelle: Idealista</t>
        </is>
      </c>
    </row>
    <row r="279">
      <c r="A279" t="n">
        <v>92</v>
      </c>
      <c r="B279" t="inlineStr">
        <is>
          <t>calle de Victorio Luzuriaga – chalet</t>
        </is>
      </c>
      <c r="C279" t="inlineStr">
        <is>
          <t>https://www.idealista.com/inmueble/103513522/</t>
        </is>
      </c>
      <c r="E279" t="n">
        <v>11</v>
      </c>
      <c r="H279" t="n">
        <v>532</v>
      </c>
      <c r="J279" t="inlineStr">
        <is>
          <t>Palma</t>
        </is>
      </c>
      <c r="K279" t="n">
        <v>9.699999999999999</v>
      </c>
      <c r="L279" t="n">
        <v>14</v>
      </c>
      <c r="M279" t="n">
        <v>52.5</v>
      </c>
      <c r="N279" t="n">
        <v>47</v>
      </c>
      <c r="O279" t="n">
        <v>32.1</v>
      </c>
      <c r="P279" t="n">
        <v>36</v>
      </c>
      <c r="Q279" t="n">
        <v>50.2</v>
      </c>
      <c r="R279" t="n">
        <v>44</v>
      </c>
      <c r="S279" t="n">
        <v>3500000</v>
      </c>
      <c r="T279" t="n">
        <v>6579</v>
      </c>
      <c r="AH279" t="inlineStr">
        <is>
          <t>Quelle: Idealista</t>
        </is>
      </c>
    </row>
    <row r="280">
      <c r="A280" t="n">
        <v>93</v>
      </c>
      <c r="B280" t="inlineStr">
        <is>
          <t>Barrio Can Pastilla – chalet</t>
        </is>
      </c>
      <c r="C280" t="inlineStr">
        <is>
          <t>https://www.idealista.com/inmueble/110022596/</t>
        </is>
      </c>
      <c r="E280" t="n">
        <v>5</v>
      </c>
      <c r="H280" t="n">
        <v>201</v>
      </c>
      <c r="J280" t="inlineStr">
        <is>
          <t>Palma</t>
        </is>
      </c>
      <c r="K280" t="n">
        <v>9.699999999999999</v>
      </c>
      <c r="L280" t="n">
        <v>14</v>
      </c>
      <c r="M280" t="n">
        <v>52.5</v>
      </c>
      <c r="N280" t="n">
        <v>47</v>
      </c>
      <c r="O280" t="n">
        <v>32.1</v>
      </c>
      <c r="P280" t="n">
        <v>36</v>
      </c>
      <c r="Q280" t="n">
        <v>50.2</v>
      </c>
      <c r="R280" t="n">
        <v>44</v>
      </c>
      <c r="S280" t="n">
        <v>2650000</v>
      </c>
      <c r="T280" t="n">
        <v>13184</v>
      </c>
      <c r="AH280" t="inlineStr">
        <is>
          <t>Quelle: Idealista</t>
        </is>
      </c>
    </row>
    <row r="281">
      <c r="A281" t="n">
        <v>94</v>
      </c>
      <c r="B281" t="inlineStr">
        <is>
          <t>calle de Sor Isabel Cifre – chalet</t>
        </is>
      </c>
      <c r="C281" t="inlineStr">
        <is>
          <t>https://www.idealista.com/inmueble/110550342/</t>
        </is>
      </c>
      <c r="E281" t="n">
        <v>5</v>
      </c>
      <c r="H281" t="n">
        <v>328</v>
      </c>
      <c r="J281" t="inlineStr">
        <is>
          <t>Palma</t>
        </is>
      </c>
      <c r="K281" t="n">
        <v>9.699999999999999</v>
      </c>
      <c r="L281" t="n">
        <v>14</v>
      </c>
      <c r="M281" t="n">
        <v>52.5</v>
      </c>
      <c r="N281" t="n">
        <v>47</v>
      </c>
      <c r="O281" t="n">
        <v>32.1</v>
      </c>
      <c r="P281" t="n">
        <v>36</v>
      </c>
      <c r="Q281" t="n">
        <v>50.2</v>
      </c>
      <c r="R281" t="n">
        <v>44</v>
      </c>
      <c r="S281" t="n">
        <v>2970000</v>
      </c>
      <c r="T281" t="n">
        <v>9055</v>
      </c>
      <c r="AH281" t="inlineStr">
        <is>
          <t>Quelle: Idealista</t>
        </is>
      </c>
    </row>
    <row r="282">
      <c r="A282" t="n">
        <v>95</v>
      </c>
      <c r="B282" t="inlineStr">
        <is>
          <t>Barrio Puntiró – chalet</t>
        </is>
      </c>
      <c r="C282" t="inlineStr">
        <is>
          <t>https://www.idealista.com/inmueble/105710202/</t>
        </is>
      </c>
      <c r="E282" t="n">
        <v>9</v>
      </c>
      <c r="H282" t="n">
        <v>800</v>
      </c>
      <c r="J282" t="inlineStr">
        <is>
          <t>Palma</t>
        </is>
      </c>
      <c r="K282" t="n">
        <v>9.699999999999999</v>
      </c>
      <c r="L282" t="n">
        <v>14</v>
      </c>
      <c r="M282" t="n">
        <v>52.5</v>
      </c>
      <c r="N282" t="n">
        <v>47</v>
      </c>
      <c r="O282" t="n">
        <v>32.1</v>
      </c>
      <c r="P282" t="n">
        <v>36</v>
      </c>
      <c r="Q282" t="n">
        <v>50.2</v>
      </c>
      <c r="R282" t="n">
        <v>44</v>
      </c>
      <c r="S282" t="n">
        <v>2621000</v>
      </c>
      <c r="T282" t="n">
        <v>3276</v>
      </c>
      <c r="AH282" t="inlineStr">
        <is>
          <t>Quelle: Idealista</t>
        </is>
      </c>
    </row>
    <row r="283">
      <c r="A283" t="n">
        <v>96</v>
      </c>
      <c r="B283" t="inlineStr">
        <is>
          <t>Barrio Son Vida – chalet</t>
        </is>
      </c>
      <c r="C283" t="inlineStr">
        <is>
          <t>https://www.idealista.com/inmueble/110535776/</t>
        </is>
      </c>
      <c r="E283" t="n">
        <v>8</v>
      </c>
      <c r="H283" t="n">
        <v>508</v>
      </c>
      <c r="J283" t="inlineStr">
        <is>
          <t>Palma</t>
        </is>
      </c>
      <c r="K283" t="n">
        <v>9.699999999999999</v>
      </c>
      <c r="L283" t="n">
        <v>14</v>
      </c>
      <c r="M283" t="n">
        <v>52.5</v>
      </c>
      <c r="N283" t="n">
        <v>47</v>
      </c>
      <c r="O283" t="n">
        <v>32.1</v>
      </c>
      <c r="P283" t="n">
        <v>36</v>
      </c>
      <c r="Q283" t="n">
        <v>50.2</v>
      </c>
      <c r="R283" t="n">
        <v>44</v>
      </c>
      <c r="S283" t="n">
        <v>3490000</v>
      </c>
      <c r="T283" t="n">
        <v>6870</v>
      </c>
      <c r="AH283" t="inlineStr">
        <is>
          <t>Quelle: Idealista</t>
        </is>
      </c>
    </row>
    <row r="284">
      <c r="A284" t="n">
        <v>97</v>
      </c>
      <c r="B284" t="inlineStr">
        <is>
          <t>calle Alcoraia – chalet</t>
        </is>
      </c>
      <c r="C284" t="inlineStr">
        <is>
          <t>https://www.idealista.com/inmueble/110533455/</t>
        </is>
      </c>
      <c r="E284" t="n">
        <v>6</v>
      </c>
      <c r="H284" t="n">
        <v>571</v>
      </c>
      <c r="J284" t="inlineStr">
        <is>
          <t>Palma</t>
        </is>
      </c>
      <c r="K284" t="n">
        <v>9.699999999999999</v>
      </c>
      <c r="L284" t="n">
        <v>14</v>
      </c>
      <c r="M284" t="n">
        <v>52.5</v>
      </c>
      <c r="N284" t="n">
        <v>47</v>
      </c>
      <c r="O284" t="n">
        <v>32.1</v>
      </c>
      <c r="P284" t="n">
        <v>36</v>
      </c>
      <c r="Q284" t="n">
        <v>50.2</v>
      </c>
      <c r="R284" t="n">
        <v>44</v>
      </c>
      <c r="S284" t="n">
        <v>4950000</v>
      </c>
      <c r="T284" t="n">
        <v>8669</v>
      </c>
      <c r="AH284" t="inlineStr">
        <is>
          <t>Quelle: Idealista</t>
        </is>
      </c>
    </row>
    <row r="285">
      <c r="A285" t="n">
        <v>98</v>
      </c>
      <c r="B285" t="inlineStr">
        <is>
          <t>Barrio Son Roca - Son Ximelis - Son Anglada – chalet</t>
        </is>
      </c>
      <c r="C285" t="inlineStr">
        <is>
          <t>https://www.idealista.com/inmueble/110415829/</t>
        </is>
      </c>
      <c r="E285" t="n">
        <v>6</v>
      </c>
      <c r="H285" t="n">
        <v>413</v>
      </c>
      <c r="J285" t="inlineStr">
        <is>
          <t>Palma</t>
        </is>
      </c>
      <c r="K285" t="n">
        <v>9.699999999999999</v>
      </c>
      <c r="L285" t="n">
        <v>14</v>
      </c>
      <c r="M285" t="n">
        <v>52.5</v>
      </c>
      <c r="N285" t="n">
        <v>47</v>
      </c>
      <c r="O285" t="n">
        <v>32.1</v>
      </c>
      <c r="P285" t="n">
        <v>36</v>
      </c>
      <c r="Q285" t="n">
        <v>50.2</v>
      </c>
      <c r="R285" t="n">
        <v>44</v>
      </c>
      <c r="S285" t="n">
        <v>2490000</v>
      </c>
      <c r="T285" t="n">
        <v>6029</v>
      </c>
      <c r="AH285" t="inlineStr">
        <is>
          <t>Quelle: Idealista</t>
        </is>
      </c>
    </row>
    <row r="286">
      <c r="A286" t="n">
        <v>99</v>
      </c>
      <c r="B286" t="inlineStr">
        <is>
          <t>Barrio S'Aranjassa - Es Pil.larí – chalet</t>
        </is>
      </c>
      <c r="C286" t="inlineStr">
        <is>
          <t>https://www.idealista.com/inmueble/110415665/</t>
        </is>
      </c>
      <c r="E286" t="n">
        <v>5</v>
      </c>
      <c r="H286" t="n">
        <v>334</v>
      </c>
      <c r="J286" t="inlineStr">
        <is>
          <t>Palma</t>
        </is>
      </c>
      <c r="K286" t="n">
        <v>9.699999999999999</v>
      </c>
      <c r="L286" t="n">
        <v>14</v>
      </c>
      <c r="M286" t="n">
        <v>52.5</v>
      </c>
      <c r="N286" t="n">
        <v>47</v>
      </c>
      <c r="O286" t="n">
        <v>32.1</v>
      </c>
      <c r="P286" t="n">
        <v>36</v>
      </c>
      <c r="Q286" t="n">
        <v>50.2</v>
      </c>
      <c r="R286" t="n">
        <v>44</v>
      </c>
      <c r="S286" t="n">
        <v>2700000</v>
      </c>
      <c r="T286" t="n">
        <v>8084</v>
      </c>
      <c r="AH286" t="inlineStr">
        <is>
          <t>Quelle: Idealista</t>
        </is>
      </c>
    </row>
    <row r="287">
      <c r="A287" t="n">
        <v>100</v>
      </c>
      <c r="B287" t="inlineStr">
        <is>
          <t>Barrio Son Vida – chalet</t>
        </is>
      </c>
      <c r="C287" t="inlineStr">
        <is>
          <t>https://www.idealista.com/inmueble/110396997/</t>
        </is>
      </c>
      <c r="E287" t="n">
        <v>7</v>
      </c>
      <c r="H287" t="n">
        <v>1044</v>
      </c>
      <c r="J287" t="inlineStr">
        <is>
          <t>Palma</t>
        </is>
      </c>
      <c r="K287" t="n">
        <v>9.699999999999999</v>
      </c>
      <c r="L287" t="n">
        <v>14</v>
      </c>
      <c r="M287" t="n">
        <v>52.5</v>
      </c>
      <c r="N287" t="n">
        <v>47</v>
      </c>
      <c r="O287" t="n">
        <v>32.1</v>
      </c>
      <c r="P287" t="n">
        <v>36</v>
      </c>
      <c r="Q287" t="n">
        <v>50.2</v>
      </c>
      <c r="R287" t="n">
        <v>44</v>
      </c>
      <c r="S287" t="n">
        <v>5400000</v>
      </c>
      <c r="T287" t="n">
        <v>5172</v>
      </c>
      <c r="AH287" t="inlineStr">
        <is>
          <t>Quelle: Idealista</t>
        </is>
      </c>
    </row>
    <row r="288">
      <c r="A288" t="n">
        <v>101</v>
      </c>
      <c r="B288" t="inlineStr">
        <is>
          <t>calle de Marbella – chalet</t>
        </is>
      </c>
      <c r="C288" t="inlineStr">
        <is>
          <t>https://www.idealista.com/inmueble/110491421/</t>
        </is>
      </c>
      <c r="E288" t="n">
        <v>11</v>
      </c>
      <c r="H288" t="n">
        <v>379</v>
      </c>
      <c r="J288" t="inlineStr">
        <is>
          <t>Palma</t>
        </is>
      </c>
      <c r="K288" t="n">
        <v>9.699999999999999</v>
      </c>
      <c r="L288" t="n">
        <v>14</v>
      </c>
      <c r="M288" t="n">
        <v>52.5</v>
      </c>
      <c r="N288" t="n">
        <v>47</v>
      </c>
      <c r="O288" t="n">
        <v>32.1</v>
      </c>
      <c r="P288" t="n">
        <v>36</v>
      </c>
      <c r="Q288" t="n">
        <v>50.2</v>
      </c>
      <c r="R288" t="n">
        <v>44</v>
      </c>
      <c r="S288" t="n">
        <v>2750000</v>
      </c>
      <c r="T288" t="n">
        <v>7256</v>
      </c>
      <c r="AH288" t="inlineStr">
        <is>
          <t>Quelle: Idealista</t>
        </is>
      </c>
    </row>
    <row r="289">
      <c r="A289" t="n">
        <v>102</v>
      </c>
      <c r="B289" t="inlineStr">
        <is>
          <t>Barrio Coll d'En Rabassa – countryHouse</t>
        </is>
      </c>
      <c r="C289" t="inlineStr">
        <is>
          <t>https://www.idealista.com/inmueble/109240248/</t>
        </is>
      </c>
      <c r="E289" t="n">
        <v>9</v>
      </c>
      <c r="H289" t="n">
        <v>400</v>
      </c>
      <c r="J289" t="inlineStr">
        <is>
          <t>Palma</t>
        </is>
      </c>
      <c r="K289" t="n">
        <v>9.699999999999999</v>
      </c>
      <c r="L289" t="n">
        <v>14</v>
      </c>
      <c r="M289" t="n">
        <v>52.5</v>
      </c>
      <c r="N289" t="n">
        <v>47</v>
      </c>
      <c r="O289" t="n">
        <v>32.1</v>
      </c>
      <c r="P289" t="n">
        <v>36</v>
      </c>
      <c r="Q289" t="n">
        <v>50.2</v>
      </c>
      <c r="R289" t="n">
        <v>44</v>
      </c>
      <c r="S289" t="n">
        <v>2200000</v>
      </c>
      <c r="T289" t="n">
        <v>5500</v>
      </c>
      <c r="AH289" t="inlineStr">
        <is>
          <t>Quelle: Idealista</t>
        </is>
      </c>
    </row>
    <row r="290">
      <c r="A290" t="n">
        <v>103</v>
      </c>
      <c r="B290" t="inlineStr">
        <is>
          <t>Barrio Son Vida – chalet</t>
        </is>
      </c>
      <c r="C290" t="inlineStr">
        <is>
          <t>https://www.idealista.com/inmueble/110437628/</t>
        </is>
      </c>
      <c r="E290" t="n">
        <v>7</v>
      </c>
      <c r="H290" t="n">
        <v>850</v>
      </c>
      <c r="J290" t="inlineStr">
        <is>
          <t>Palma</t>
        </is>
      </c>
      <c r="K290" t="n">
        <v>9.699999999999999</v>
      </c>
      <c r="L290" t="n">
        <v>14</v>
      </c>
      <c r="M290" t="n">
        <v>52.5</v>
      </c>
      <c r="N290" t="n">
        <v>47</v>
      </c>
      <c r="O290" t="n">
        <v>32.1</v>
      </c>
      <c r="P290" t="n">
        <v>36</v>
      </c>
      <c r="Q290" t="n">
        <v>50.2</v>
      </c>
      <c r="R290" t="n">
        <v>44</v>
      </c>
      <c r="S290" t="n">
        <v>5900000</v>
      </c>
      <c r="T290" t="n">
        <v>6941</v>
      </c>
      <c r="AH290" t="inlineStr">
        <is>
          <t>Quelle: Idealista</t>
        </is>
      </c>
    </row>
    <row r="291">
      <c r="A291" t="n">
        <v>104</v>
      </c>
      <c r="B291" t="inlineStr">
        <is>
          <t>Finca rústica</t>
        </is>
      </c>
      <c r="C291" t="inlineStr">
        <is>
          <t>https://www.idealista.com/inmueble/110700945/</t>
        </is>
      </c>
      <c r="E291" t="n">
        <v>6</v>
      </c>
      <c r="H291" t="n">
        <v>420</v>
      </c>
      <c r="J291" t="inlineStr">
        <is>
          <t>Cala d'Or, Santanyí</t>
        </is>
      </c>
      <c r="K291" t="n">
        <v>58.4</v>
      </c>
      <c r="L291" t="n">
        <v>56</v>
      </c>
      <c r="M291" t="n">
        <v>21.9</v>
      </c>
      <c r="N291" t="n">
        <v>32</v>
      </c>
      <c r="O291" t="n">
        <v>96.59999999999999</v>
      </c>
      <c r="P291" t="n">
        <v>84</v>
      </c>
      <c r="Q291" t="n">
        <v>23.3</v>
      </c>
      <c r="R291" t="n">
        <v>34</v>
      </c>
      <c r="S291" t="n">
        <v>4515000</v>
      </c>
      <c r="T291" t="n">
        <v>10750</v>
      </c>
      <c r="AH291" t="inlineStr">
        <is>
          <t>Quelle: Idealista</t>
        </is>
      </c>
    </row>
    <row r="292">
      <c r="A292" t="n">
        <v>105</v>
      </c>
      <c r="B292" t="inlineStr">
        <is>
          <t>Casa independiente</t>
        </is>
      </c>
      <c r="C292" t="inlineStr">
        <is>
          <t>https://www.idealista.com/inmueble/110700709/</t>
        </is>
      </c>
      <c r="E292" t="n">
        <v>5</v>
      </c>
      <c r="H292" t="n">
        <v>472</v>
      </c>
      <c r="J292" t="inlineStr">
        <is>
          <t>Montuiri</t>
        </is>
      </c>
      <c r="K292" t="n">
        <v>27.9</v>
      </c>
      <c r="L292" t="n">
        <v>28</v>
      </c>
      <c r="M292" t="n">
        <v>32.5</v>
      </c>
      <c r="N292" t="n">
        <v>36</v>
      </c>
      <c r="O292" t="n">
        <v>62.1</v>
      </c>
      <c r="P292" t="n">
        <v>52</v>
      </c>
      <c r="Q292" t="n">
        <v>30.2</v>
      </c>
      <c r="R292" t="n">
        <v>32</v>
      </c>
      <c r="S292" t="n">
        <v>2890000</v>
      </c>
      <c r="T292" t="n">
        <v>6123</v>
      </c>
      <c r="AH292" t="inlineStr">
        <is>
          <t>Quelle: Idealista</t>
        </is>
      </c>
    </row>
    <row r="293">
      <c r="A293" t="n">
        <v>106</v>
      </c>
      <c r="B293" t="inlineStr">
        <is>
          <t>Chalet</t>
        </is>
      </c>
      <c r="C293" t="inlineStr">
        <is>
          <t>https://www.idealista.com/inmueble/110700019/</t>
        </is>
      </c>
      <c r="E293" t="n">
        <v>7</v>
      </c>
      <c r="H293" t="n">
        <v>450</v>
      </c>
      <c r="J293" t="inlineStr">
        <is>
          <t>Petra</t>
        </is>
      </c>
      <c r="K293" t="n">
        <v>45.9</v>
      </c>
      <c r="L293" t="n">
        <v>42</v>
      </c>
      <c r="M293" t="n">
        <v>41.3</v>
      </c>
      <c r="N293" t="n">
        <v>45</v>
      </c>
      <c r="O293" t="n">
        <v>84</v>
      </c>
      <c r="P293" t="n">
        <v>66</v>
      </c>
      <c r="Q293" t="n">
        <v>39</v>
      </c>
      <c r="R293" t="n">
        <v>41</v>
      </c>
      <c r="S293" t="n">
        <v>2900000</v>
      </c>
      <c r="T293" t="n">
        <v>6444</v>
      </c>
      <c r="AH293" t="inlineStr">
        <is>
          <t>Quelle: Idealista</t>
        </is>
      </c>
    </row>
    <row r="294">
      <c r="A294" t="n">
        <v>107</v>
      </c>
      <c r="B294" t="inlineStr">
        <is>
          <t>Chalet</t>
        </is>
      </c>
      <c r="C294" t="inlineStr">
        <is>
          <t>https://www.idealista.com/inmueble/110699962/</t>
        </is>
      </c>
      <c r="E294" t="n">
        <v>5</v>
      </c>
      <c r="H294" t="n">
        <v>346</v>
      </c>
      <c r="J294" t="inlineStr">
        <is>
          <t>Santa Ponça, Calvià</t>
        </is>
      </c>
      <c r="K294" t="n">
        <v>31.1</v>
      </c>
      <c r="L294" t="n">
        <v>28</v>
      </c>
      <c r="M294" t="n">
        <v>73.90000000000001</v>
      </c>
      <c r="N294" t="n">
        <v>61</v>
      </c>
      <c r="O294" t="n">
        <v>15.2</v>
      </c>
      <c r="P294" t="n">
        <v>19</v>
      </c>
      <c r="Q294" t="n">
        <v>71.59999999999999</v>
      </c>
      <c r="R294" t="n">
        <v>57</v>
      </c>
      <c r="S294" t="n">
        <v>2750000</v>
      </c>
      <c r="T294" t="n">
        <v>7948</v>
      </c>
      <c r="AH294" t="inlineStr">
        <is>
          <t>Quelle: Idealista</t>
        </is>
      </c>
    </row>
    <row r="295">
      <c r="A295" t="n">
        <v>108</v>
      </c>
      <c r="B295" t="inlineStr">
        <is>
          <t>Casa independiente</t>
        </is>
      </c>
      <c r="C295" t="inlineStr">
        <is>
          <t>https://www.idealista.com/inmueble/110699526/</t>
        </is>
      </c>
      <c r="E295" t="n">
        <v>5</v>
      </c>
      <c r="H295" t="n">
        <v>196</v>
      </c>
      <c r="J295" t="inlineStr">
        <is>
          <t>Peguera, Calvià</t>
        </is>
      </c>
      <c r="K295" t="n">
        <v>35.3</v>
      </c>
      <c r="L295" t="n">
        <v>30</v>
      </c>
      <c r="M295" t="n">
        <v>78</v>
      </c>
      <c r="N295" t="n">
        <v>63</v>
      </c>
      <c r="O295" t="n">
        <v>9.1</v>
      </c>
      <c r="P295" t="n">
        <v>14</v>
      </c>
      <c r="Q295" t="n">
        <v>75.7</v>
      </c>
      <c r="R295" t="n">
        <v>60</v>
      </c>
      <c r="S295" t="n">
        <v>2950000</v>
      </c>
      <c r="T295" t="n">
        <v>15051</v>
      </c>
      <c r="AH295" t="inlineStr">
        <is>
          <t>Quelle: Idealista</t>
        </is>
      </c>
    </row>
    <row r="296">
      <c r="A296" t="n">
        <v>109</v>
      </c>
      <c r="B296" t="inlineStr">
        <is>
          <t>Chalet</t>
        </is>
      </c>
      <c r="C296" t="inlineStr">
        <is>
          <t>https://www.idealista.com/inmueble/107208442/</t>
        </is>
      </c>
      <c r="E296" t="n">
        <v>5</v>
      </c>
      <c r="H296" t="n">
        <v>363</v>
      </c>
      <c r="J296" t="inlineStr">
        <is>
          <t>Pollença</t>
        </is>
      </c>
      <c r="K296" t="n">
        <v>60.6</v>
      </c>
      <c r="L296" t="n">
        <v>47</v>
      </c>
      <c r="M296" t="n">
        <v>78.7</v>
      </c>
      <c r="N296" t="n">
        <v>74</v>
      </c>
      <c r="O296" t="n">
        <v>83.2</v>
      </c>
      <c r="P296" t="n">
        <v>63</v>
      </c>
      <c r="Q296" t="n">
        <v>76.40000000000001</v>
      </c>
      <c r="R296" t="n">
        <v>70</v>
      </c>
      <c r="S296" t="n">
        <v>3200000</v>
      </c>
      <c r="T296" t="n">
        <v>8815</v>
      </c>
      <c r="AH296" t="inlineStr">
        <is>
          <t>Quelle: Idealista</t>
        </is>
      </c>
    </row>
    <row r="297">
      <c r="A297" t="n">
        <v>110</v>
      </c>
      <c r="B297" t="inlineStr">
        <is>
          <t>Casa independiente</t>
        </is>
      </c>
      <c r="C297" t="inlineStr">
        <is>
          <t>https://www.idealista.com/inmueble/110697793/</t>
        </is>
      </c>
      <c r="E297" t="n">
        <v>5</v>
      </c>
      <c r="H297" t="n">
        <v>680</v>
      </c>
      <c r="J297" t="inlineStr">
        <is>
          <t>Santa Ponça, Calvià</t>
        </is>
      </c>
      <c r="K297" t="n">
        <v>31.1</v>
      </c>
      <c r="L297" t="n">
        <v>28</v>
      </c>
      <c r="M297" t="n">
        <v>73.90000000000001</v>
      </c>
      <c r="N297" t="n">
        <v>61</v>
      </c>
      <c r="O297" t="n">
        <v>15.2</v>
      </c>
      <c r="P297" t="n">
        <v>19</v>
      </c>
      <c r="Q297" t="n">
        <v>71.59999999999999</v>
      </c>
      <c r="R297" t="n">
        <v>57</v>
      </c>
      <c r="S297" t="n">
        <v>3700000</v>
      </c>
      <c r="T297" t="n">
        <v>5441</v>
      </c>
      <c r="AH297" t="inlineStr">
        <is>
          <t>Quelle: Idealista</t>
        </is>
      </c>
    </row>
    <row r="298">
      <c r="A298" t="n">
        <v>111</v>
      </c>
      <c r="B298" t="inlineStr">
        <is>
          <t>Chalet</t>
        </is>
      </c>
      <c r="C298" t="inlineStr">
        <is>
          <t>https://www.idealista.com/inmueble/110695172/</t>
        </is>
      </c>
      <c r="E298" t="n">
        <v>6</v>
      </c>
      <c r="H298" t="n">
        <v>480</v>
      </c>
      <c r="J298" t="inlineStr">
        <is>
          <t>Son Ferriol - Sant Jordi, Palma de Mallorca</t>
        </is>
      </c>
      <c r="K298" t="n">
        <v>7.2</v>
      </c>
      <c r="L298" t="n">
        <v>13</v>
      </c>
      <c r="M298" t="n">
        <v>50.5</v>
      </c>
      <c r="N298" t="n">
        <v>46</v>
      </c>
      <c r="O298" t="n">
        <v>38.4</v>
      </c>
      <c r="P298" t="n">
        <v>36</v>
      </c>
      <c r="Q298" t="n">
        <v>48.2</v>
      </c>
      <c r="R298" t="n">
        <v>43</v>
      </c>
      <c r="S298" t="n">
        <v>2500000</v>
      </c>
      <c r="T298" t="n">
        <v>5208</v>
      </c>
      <c r="AH298" t="inlineStr">
        <is>
          <t>Quelle: Idealista</t>
        </is>
      </c>
    </row>
    <row r="299">
      <c r="A299" t="n">
        <v>112</v>
      </c>
      <c r="B299" t="inlineStr">
        <is>
          <t>Finca rústica</t>
        </is>
      </c>
      <c r="C299" t="inlineStr">
        <is>
          <t>https://www.idealista.com/inmueble/110687530/</t>
        </is>
      </c>
      <c r="E299" t="n">
        <v>7</v>
      </c>
      <c r="H299" t="n">
        <v>715</v>
      </c>
      <c r="J299" t="inlineStr">
        <is>
          <t>Estellencs</t>
        </is>
      </c>
      <c r="K299" t="n">
        <v>42.7</v>
      </c>
      <c r="L299" t="n">
        <v>58</v>
      </c>
      <c r="M299" t="n">
        <v>85.5</v>
      </c>
      <c r="N299" t="n">
        <v>91</v>
      </c>
      <c r="O299" t="n">
        <v>19.9</v>
      </c>
      <c r="P299" t="n">
        <v>32</v>
      </c>
      <c r="Q299" t="n">
        <v>83.2</v>
      </c>
      <c r="R299" t="n">
        <v>87</v>
      </c>
      <c r="S299" t="n">
        <v>3750000</v>
      </c>
      <c r="T299" t="n">
        <v>5245</v>
      </c>
      <c r="AH299" t="inlineStr">
        <is>
          <t>Quelle: Idealista</t>
        </is>
      </c>
    </row>
    <row r="300">
      <c r="A300" t="n">
        <v>113</v>
      </c>
      <c r="B300" t="inlineStr">
        <is>
          <t>Casa independiente</t>
        </is>
      </c>
      <c r="C300" t="inlineStr">
        <is>
          <t>https://www.idealista.com/inmueble/86719220/</t>
        </is>
      </c>
      <c r="E300" t="n">
        <v>6</v>
      </c>
      <c r="H300" t="n">
        <v>234</v>
      </c>
      <c r="J300" t="inlineStr">
        <is>
          <t>Port d'Andratx, Andratx</t>
        </is>
      </c>
      <c r="K300" t="n">
        <v>40.3</v>
      </c>
      <c r="L300" t="n">
        <v>36</v>
      </c>
      <c r="M300" t="n">
        <v>83</v>
      </c>
      <c r="N300" t="n">
        <v>68</v>
      </c>
      <c r="O300" t="n">
        <v>2.7</v>
      </c>
      <c r="P300" t="n">
        <v>7</v>
      </c>
      <c r="Q300" t="n">
        <v>80.7</v>
      </c>
      <c r="R300" t="n">
        <v>65</v>
      </c>
      <c r="S300" t="n">
        <v>2500000</v>
      </c>
      <c r="T300" t="n">
        <v>10684</v>
      </c>
      <c r="AH300" t="inlineStr">
        <is>
          <t>Quelle: Idealista</t>
        </is>
      </c>
    </row>
    <row r="301">
      <c r="A301" t="n">
        <v>114</v>
      </c>
      <c r="B301" t="inlineStr">
        <is>
          <t>Casa independiente</t>
        </is>
      </c>
      <c r="C301" t="inlineStr">
        <is>
          <t>https://www.idealista.com/inmueble/110678014/</t>
        </is>
      </c>
      <c r="E301" t="n">
        <v>6</v>
      </c>
      <c r="H301" t="n">
        <v>300</v>
      </c>
      <c r="J301" t="inlineStr">
        <is>
          <t>Ses Salines (Mallorca)</t>
        </is>
      </c>
      <c r="K301" t="n">
        <v>44.5</v>
      </c>
      <c r="L301" t="n">
        <v>39</v>
      </c>
      <c r="M301" t="n">
        <v>2.4</v>
      </c>
      <c r="N301" t="n">
        <v>5</v>
      </c>
      <c r="O301" t="n">
        <v>82.7</v>
      </c>
      <c r="P301" t="n">
        <v>67</v>
      </c>
      <c r="Q301" t="n">
        <v>2</v>
      </c>
      <c r="R301" t="n">
        <v>5</v>
      </c>
      <c r="S301" t="n">
        <v>2700000</v>
      </c>
      <c r="T301" t="n">
        <v>9000</v>
      </c>
      <c r="AH301" t="inlineStr">
        <is>
          <t>Quelle: Idealista</t>
        </is>
      </c>
    </row>
    <row r="302">
      <c r="A302" t="n">
        <v>115</v>
      </c>
      <c r="B302" t="inlineStr">
        <is>
          <t>Casa independiente en calle Sebastián Vila</t>
        </is>
      </c>
      <c r="C302" t="inlineStr">
        <is>
          <t>https://www.idealista.com/inmueble/110674021/</t>
        </is>
      </c>
      <c r="E302" t="n">
        <v>5</v>
      </c>
      <c r="H302" t="n">
        <v>336</v>
      </c>
      <c r="J302" t="inlineStr">
        <is>
          <t>Santanyí</t>
        </is>
      </c>
      <c r="K302" t="n">
        <v>45.4</v>
      </c>
      <c r="L302" t="n">
        <v>39</v>
      </c>
      <c r="M302" t="n">
        <v>9</v>
      </c>
      <c r="N302" t="n">
        <v>13</v>
      </c>
      <c r="O302" t="n">
        <v>83.59999999999999</v>
      </c>
      <c r="P302" t="n">
        <v>67</v>
      </c>
      <c r="Q302" t="n">
        <v>9.699999999999999</v>
      </c>
      <c r="R302" t="n">
        <v>15</v>
      </c>
      <c r="S302" t="n">
        <v>2950000</v>
      </c>
      <c r="T302" t="n">
        <v>8780</v>
      </c>
      <c r="AH302" t="inlineStr">
        <is>
          <t>Quelle: Idealista</t>
        </is>
      </c>
    </row>
    <row r="303">
      <c r="A303" t="n">
        <v>116</v>
      </c>
      <c r="B303" t="inlineStr">
        <is>
          <t>Casa independiente</t>
        </is>
      </c>
      <c r="C303" t="inlineStr">
        <is>
          <t>https://www.idealista.com/inmueble/110672329/</t>
        </is>
      </c>
      <c r="E303" t="n">
        <v>5</v>
      </c>
      <c r="H303" t="n">
        <v>520</v>
      </c>
      <c r="J303" t="inlineStr">
        <is>
          <t>Can Picafort, Santa Margalida</t>
        </is>
      </c>
      <c r="K303" t="n">
        <v>64.8</v>
      </c>
      <c r="L303" t="n">
        <v>54</v>
      </c>
      <c r="M303" t="n">
        <v>61.4</v>
      </c>
      <c r="N303" t="n">
        <v>65</v>
      </c>
      <c r="O303" t="n">
        <v>87.40000000000001</v>
      </c>
      <c r="P303" t="n">
        <v>70</v>
      </c>
      <c r="Q303" t="n">
        <v>59.1</v>
      </c>
      <c r="R303" t="n">
        <v>61</v>
      </c>
      <c r="S303" t="n">
        <v>2500000</v>
      </c>
      <c r="T303" t="n">
        <v>4808</v>
      </c>
      <c r="AH303" t="inlineStr">
        <is>
          <t>Quelle: Idealista</t>
        </is>
      </c>
    </row>
    <row r="304">
      <c r="A304" t="n">
        <v>117</v>
      </c>
      <c r="B304" t="inlineStr">
        <is>
          <t>Casa independiente</t>
        </is>
      </c>
      <c r="C304" t="inlineStr">
        <is>
          <t>https://www.idealista.com/inmueble/110672326/</t>
        </is>
      </c>
      <c r="E304" t="n">
        <v>6</v>
      </c>
      <c r="H304" t="n">
        <v>470</v>
      </c>
      <c r="J304" t="inlineStr">
        <is>
          <t>Buger</t>
        </is>
      </c>
      <c r="K304" t="n">
        <v>46.1</v>
      </c>
      <c r="L304" t="n">
        <v>35</v>
      </c>
      <c r="M304" t="n">
        <v>64.2</v>
      </c>
      <c r="N304" t="n">
        <v>62</v>
      </c>
      <c r="O304" t="n">
        <v>68.7</v>
      </c>
      <c r="P304" t="n">
        <v>51</v>
      </c>
      <c r="Q304" t="n">
        <v>61.9</v>
      </c>
      <c r="R304" t="n">
        <v>58</v>
      </c>
      <c r="S304" t="n">
        <v>2500000</v>
      </c>
      <c r="T304" t="n">
        <v>5319</v>
      </c>
      <c r="AH304" t="inlineStr">
        <is>
          <t>Quelle: Idealista</t>
        </is>
      </c>
    </row>
    <row r="305">
      <c r="A305" t="n">
        <v>118</v>
      </c>
      <c r="B305" t="inlineStr">
        <is>
          <t>Casa independiente</t>
        </is>
      </c>
      <c r="C305" t="inlineStr">
        <is>
          <t>https://www.idealista.com/inmueble/110672299/</t>
        </is>
      </c>
      <c r="E305" t="n">
        <v>7</v>
      </c>
      <c r="H305" t="n">
        <v>750</v>
      </c>
      <c r="J305" t="inlineStr">
        <is>
          <t>Sta Catalina - Son Armadans - Maritim, Palma de Mallorca</t>
        </is>
      </c>
      <c r="K305" t="n">
        <v>11</v>
      </c>
      <c r="L305" t="n">
        <v>16</v>
      </c>
      <c r="M305" t="n">
        <v>53.7</v>
      </c>
      <c r="N305" t="n">
        <v>49</v>
      </c>
      <c r="O305" t="n">
        <v>29.2</v>
      </c>
      <c r="P305" t="n">
        <v>29</v>
      </c>
      <c r="Q305" t="n">
        <v>51.4</v>
      </c>
      <c r="R305" t="n">
        <v>45</v>
      </c>
      <c r="S305" t="n">
        <v>5900000</v>
      </c>
      <c r="T305" t="n">
        <v>7867</v>
      </c>
      <c r="AH305" t="inlineStr">
        <is>
          <t>Quelle: Idealista</t>
        </is>
      </c>
    </row>
    <row r="306">
      <c r="A306" t="n">
        <v>119</v>
      </c>
      <c r="B306" t="inlineStr">
        <is>
          <t>Casa independiente</t>
        </is>
      </c>
      <c r="C306" t="inlineStr">
        <is>
          <t>https://www.idealista.com/inmueble/110672253/</t>
        </is>
      </c>
      <c r="E306" t="n">
        <v>5</v>
      </c>
      <c r="H306" t="n">
        <v>783</v>
      </c>
      <c r="J306" t="inlineStr">
        <is>
          <t>Pollença</t>
        </is>
      </c>
      <c r="K306" t="n">
        <v>60.6</v>
      </c>
      <c r="L306" t="n">
        <v>47</v>
      </c>
      <c r="M306" t="n">
        <v>78.7</v>
      </c>
      <c r="N306" t="n">
        <v>74</v>
      </c>
      <c r="O306" t="n">
        <v>83.2</v>
      </c>
      <c r="P306" t="n">
        <v>63</v>
      </c>
      <c r="Q306" t="n">
        <v>76.40000000000001</v>
      </c>
      <c r="R306" t="n">
        <v>70</v>
      </c>
      <c r="S306" t="n">
        <v>3500000</v>
      </c>
      <c r="T306" t="n">
        <v>4470</v>
      </c>
      <c r="AH306" t="inlineStr">
        <is>
          <t>Quelle: Idealista</t>
        </is>
      </c>
    </row>
    <row r="307">
      <c r="A307" t="n">
        <v>120</v>
      </c>
      <c r="B307" t="inlineStr">
        <is>
          <t>Casa independiente</t>
        </is>
      </c>
      <c r="C307" t="inlineStr">
        <is>
          <t>https://www.idealista.com/inmueble/110672273/</t>
        </is>
      </c>
      <c r="E307" t="n">
        <v>5</v>
      </c>
      <c r="H307" t="n">
        <v>400</v>
      </c>
      <c r="J307" t="inlineStr">
        <is>
          <t>Calvià pueblo, Calvià</t>
        </is>
      </c>
      <c r="K307" t="n">
        <v>31.1</v>
      </c>
      <c r="L307" t="n">
        <v>28</v>
      </c>
      <c r="M307" t="n">
        <v>73.90000000000001</v>
      </c>
      <c r="N307" t="n">
        <v>61</v>
      </c>
      <c r="O307" t="n">
        <v>19.4</v>
      </c>
      <c r="P307" t="n">
        <v>22</v>
      </c>
      <c r="Q307" t="n">
        <v>71.59999999999999</v>
      </c>
      <c r="R307" t="n">
        <v>58</v>
      </c>
      <c r="S307" t="n">
        <v>6300000</v>
      </c>
      <c r="T307" t="n">
        <v>15750</v>
      </c>
      <c r="AH307" t="inlineStr">
        <is>
          <t>Quelle: Idealista</t>
        </is>
      </c>
    </row>
    <row r="308">
      <c r="A308" t="n">
        <v>121</v>
      </c>
      <c r="B308" t="inlineStr">
        <is>
          <t>Casa independiente</t>
        </is>
      </c>
      <c r="C308" t="inlineStr">
        <is>
          <t>https://www.idealista.com/inmueble/110672251/</t>
        </is>
      </c>
      <c r="E308" t="n">
        <v>5</v>
      </c>
      <c r="H308" t="n">
        <v>450</v>
      </c>
      <c r="J308" t="inlineStr">
        <is>
          <t>Montuiri</t>
        </is>
      </c>
      <c r="K308" t="n">
        <v>27.9</v>
      </c>
      <c r="L308" t="n">
        <v>28</v>
      </c>
      <c r="M308" t="n">
        <v>32.5</v>
      </c>
      <c r="N308" t="n">
        <v>36</v>
      </c>
      <c r="O308" t="n">
        <v>62.1</v>
      </c>
      <c r="P308" t="n">
        <v>52</v>
      </c>
      <c r="Q308" t="n">
        <v>30.2</v>
      </c>
      <c r="R308" t="n">
        <v>32</v>
      </c>
      <c r="S308" t="n">
        <v>2950000</v>
      </c>
      <c r="T308" t="n">
        <v>6556</v>
      </c>
      <c r="AH308" t="inlineStr">
        <is>
          <t>Quelle: Idealista</t>
        </is>
      </c>
    </row>
    <row r="309">
      <c r="A309" t="n">
        <v>122</v>
      </c>
      <c r="B309" t="inlineStr">
        <is>
          <t>Casa independiente</t>
        </is>
      </c>
      <c r="C309" t="inlineStr">
        <is>
          <t>https://www.idealista.com/inmueble/110672256/</t>
        </is>
      </c>
      <c r="E309" t="n">
        <v>5</v>
      </c>
      <c r="H309" t="n">
        <v>320</v>
      </c>
      <c r="J309" t="inlineStr">
        <is>
          <t>Santa Maria del Cami</t>
        </is>
      </c>
      <c r="K309" t="n">
        <v>23.5</v>
      </c>
      <c r="L309" t="n">
        <v>21</v>
      </c>
      <c r="M309" t="n">
        <v>66.3</v>
      </c>
      <c r="N309" t="n">
        <v>54</v>
      </c>
      <c r="O309" t="n">
        <v>46.1</v>
      </c>
      <c r="P309" t="n">
        <v>37</v>
      </c>
      <c r="Q309" t="n">
        <v>64</v>
      </c>
      <c r="R309" t="n">
        <v>51</v>
      </c>
      <c r="S309" t="n">
        <v>2500000</v>
      </c>
      <c r="T309" t="n">
        <v>7812</v>
      </c>
      <c r="AH309" t="inlineStr">
        <is>
          <t>Quelle: Idealista</t>
        </is>
      </c>
    </row>
    <row r="310">
      <c r="A310" t="n">
        <v>123</v>
      </c>
      <c r="B310" t="inlineStr">
        <is>
          <t>Casa independiente</t>
        </is>
      </c>
      <c r="C310" t="inlineStr">
        <is>
          <t>https://www.idealista.com/inmueble/110672200/</t>
        </is>
      </c>
      <c r="E310" t="n">
        <v>7</v>
      </c>
      <c r="H310" t="n">
        <v>790</v>
      </c>
      <c r="J310" t="inlineStr">
        <is>
          <t>Llevant - La Soledat, Palma de Mallorca</t>
        </is>
      </c>
      <c r="K310" t="n">
        <v>8.699999999999999</v>
      </c>
      <c r="L310" t="n">
        <v>13</v>
      </c>
      <c r="M310" t="n">
        <v>51.4</v>
      </c>
      <c r="N310" t="n">
        <v>45</v>
      </c>
      <c r="O310" t="n">
        <v>35.7</v>
      </c>
      <c r="P310" t="n">
        <v>32</v>
      </c>
      <c r="Q310" t="n">
        <v>49.1</v>
      </c>
      <c r="R310" t="n">
        <v>42</v>
      </c>
      <c r="S310" t="n">
        <v>6200000</v>
      </c>
      <c r="T310" t="n">
        <v>7848</v>
      </c>
      <c r="AH310" t="inlineStr">
        <is>
          <t>Quelle: Idealista</t>
        </is>
      </c>
    </row>
    <row r="311">
      <c r="A311" t="n">
        <v>124</v>
      </c>
      <c r="B311" t="inlineStr">
        <is>
          <t>Casa independiente</t>
        </is>
      </c>
      <c r="C311" t="inlineStr">
        <is>
          <t>https://www.idealista.com/inmueble/110672183/</t>
        </is>
      </c>
      <c r="E311" t="n">
        <v>7</v>
      </c>
      <c r="H311" t="n">
        <v>490</v>
      </c>
      <c r="J311" t="inlineStr">
        <is>
          <t>Selva</t>
        </is>
      </c>
      <c r="K311" t="n">
        <v>44.5</v>
      </c>
      <c r="L311" t="n">
        <v>41</v>
      </c>
      <c r="M311" t="n">
        <v>62.6</v>
      </c>
      <c r="N311" t="n">
        <v>67</v>
      </c>
      <c r="O311" t="n">
        <v>67.09999999999999</v>
      </c>
      <c r="P311" t="n">
        <v>57</v>
      </c>
      <c r="Q311" t="n">
        <v>60.3</v>
      </c>
      <c r="R311" t="n">
        <v>64</v>
      </c>
      <c r="S311" t="n">
        <v>4990000</v>
      </c>
      <c r="T311" t="n">
        <v>10184</v>
      </c>
      <c r="AH311" t="inlineStr">
        <is>
          <t>Quelle: Idealista</t>
        </is>
      </c>
    </row>
    <row r="312">
      <c r="A312" t="n">
        <v>125</v>
      </c>
      <c r="B312" t="inlineStr">
        <is>
          <t>Casa independiente</t>
        </is>
      </c>
      <c r="C312" t="inlineStr">
        <is>
          <t>https://www.idealista.com/inmueble/110672147/</t>
        </is>
      </c>
      <c r="E312" t="n">
        <v>5</v>
      </c>
      <c r="H312" t="n">
        <v>331</v>
      </c>
      <c r="J312" t="inlineStr">
        <is>
          <t>Ciutat d'Alcúdia, Alcúdia</t>
        </is>
      </c>
      <c r="K312" t="n">
        <v>61.6</v>
      </c>
      <c r="L312" t="n">
        <v>47</v>
      </c>
      <c r="M312" t="n">
        <v>79.7</v>
      </c>
      <c r="N312" t="n">
        <v>74</v>
      </c>
      <c r="O312" t="n">
        <v>84.2</v>
      </c>
      <c r="P312" t="n">
        <v>63</v>
      </c>
      <c r="Q312" t="n">
        <v>77.40000000000001</v>
      </c>
      <c r="R312" t="n">
        <v>70</v>
      </c>
      <c r="S312" t="n">
        <v>5900000</v>
      </c>
      <c r="T312" t="n">
        <v>17825</v>
      </c>
      <c r="AH312" t="inlineStr">
        <is>
          <t>Quelle: Idealista</t>
        </is>
      </c>
    </row>
    <row r="313">
      <c r="A313" t="n">
        <v>126</v>
      </c>
      <c r="B313" t="inlineStr">
        <is>
          <t>Casa independiente en calle Albercuix</t>
        </is>
      </c>
      <c r="C313" t="inlineStr">
        <is>
          <t>https://www.idealista.com/inmueble/110672146/</t>
        </is>
      </c>
      <c r="E313" t="n">
        <v>6</v>
      </c>
      <c r="H313" t="n">
        <v>650</v>
      </c>
      <c r="J313" t="inlineStr">
        <is>
          <t>Son Vida, Palma de Mallorca</t>
        </is>
      </c>
      <c r="K313" t="n">
        <v>19.2</v>
      </c>
      <c r="L313" t="n">
        <v>22</v>
      </c>
      <c r="M313" t="n">
        <v>61.9</v>
      </c>
      <c r="N313" t="n">
        <v>55</v>
      </c>
      <c r="O313" t="n">
        <v>31</v>
      </c>
      <c r="P313" t="n">
        <v>31</v>
      </c>
      <c r="Q313" t="n">
        <v>59.6</v>
      </c>
      <c r="R313" t="n">
        <v>51</v>
      </c>
      <c r="S313" t="n">
        <v>5650000</v>
      </c>
      <c r="T313" t="n">
        <v>8692</v>
      </c>
      <c r="AH313" t="inlineStr">
        <is>
          <t>Quelle: Idealista</t>
        </is>
      </c>
    </row>
    <row r="314">
      <c r="A314" t="n">
        <v>127</v>
      </c>
      <c r="B314" t="inlineStr">
        <is>
          <t>Casa independiente en calle Albercuix</t>
        </is>
      </c>
      <c r="C314" t="inlineStr">
        <is>
          <t>https://www.idealista.com/inmueble/110672109/</t>
        </is>
      </c>
      <c r="E314" t="n">
        <v>5</v>
      </c>
      <c r="H314" t="n">
        <v>620</v>
      </c>
      <c r="J314" t="inlineStr">
        <is>
          <t>Son Vida, Palma de Mallorca</t>
        </is>
      </c>
      <c r="K314" t="n">
        <v>19.2</v>
      </c>
      <c r="L314" t="n">
        <v>22</v>
      </c>
      <c r="M314" t="n">
        <v>61.9</v>
      </c>
      <c r="N314" t="n">
        <v>55</v>
      </c>
      <c r="O314" t="n">
        <v>31</v>
      </c>
      <c r="P314" t="n">
        <v>31</v>
      </c>
      <c r="Q314" t="n">
        <v>59.6</v>
      </c>
      <c r="R314" t="n">
        <v>51</v>
      </c>
      <c r="S314" t="n">
        <v>4950000</v>
      </c>
      <c r="T314" t="n">
        <v>7984</v>
      </c>
      <c r="AH314" t="inlineStr">
        <is>
          <t>Quelle: Idealista</t>
        </is>
      </c>
    </row>
    <row r="315">
      <c r="A315" t="n">
        <v>128</v>
      </c>
      <c r="B315" t="inlineStr">
        <is>
          <t>Casa independiente</t>
        </is>
      </c>
      <c r="C315" t="inlineStr">
        <is>
          <t>https://www.idealista.com/inmueble/110669457/</t>
        </is>
      </c>
      <c r="E315" t="n">
        <v>5</v>
      </c>
      <c r="H315" t="n">
        <v>427</v>
      </c>
      <c r="J315" t="inlineStr">
        <is>
          <t>Manacor Centro, Manacor</t>
        </is>
      </c>
      <c r="K315" t="n">
        <v>50.5</v>
      </c>
      <c r="L315" t="n">
        <v>47</v>
      </c>
      <c r="M315" t="n">
        <v>40.1</v>
      </c>
      <c r="N315" t="n">
        <v>43</v>
      </c>
      <c r="O315" t="n">
        <v>84.7</v>
      </c>
      <c r="P315" t="n">
        <v>71</v>
      </c>
      <c r="Q315" t="n">
        <v>37.8</v>
      </c>
      <c r="R315" t="n">
        <v>40</v>
      </c>
      <c r="S315" t="n">
        <v>2300000</v>
      </c>
      <c r="T315" t="n">
        <v>5386</v>
      </c>
      <c r="AH315" t="inlineStr">
        <is>
          <t>Quelle: Idealista</t>
        </is>
      </c>
    </row>
    <row r="316">
      <c r="A316" t="n">
        <v>129</v>
      </c>
      <c r="B316" t="inlineStr">
        <is>
          <t>Finca rústica en Diseminado Poligono 14, 28</t>
        </is>
      </c>
      <c r="C316" t="inlineStr">
        <is>
          <t>https://www.idealista.com/inmueble/110663523/</t>
        </is>
      </c>
      <c r="E316" t="n">
        <v>8</v>
      </c>
      <c r="H316" t="n">
        <v>472</v>
      </c>
      <c r="J316" t="inlineStr">
        <is>
          <t>Binissalem</t>
        </is>
      </c>
      <c r="K316" t="n">
        <v>31.5</v>
      </c>
      <c r="L316" t="n">
        <v>29</v>
      </c>
      <c r="M316" t="n">
        <v>74.3</v>
      </c>
      <c r="N316" t="n">
        <v>62</v>
      </c>
      <c r="O316" t="n">
        <v>54.1</v>
      </c>
      <c r="P316" t="n">
        <v>45</v>
      </c>
      <c r="Q316" t="n">
        <v>72</v>
      </c>
      <c r="R316" t="n">
        <v>58</v>
      </c>
      <c r="S316" t="n">
        <v>3900000</v>
      </c>
      <c r="T316" t="n">
        <v>8263</v>
      </c>
      <c r="AH316" t="inlineStr">
        <is>
          <t>Quelle: Idealista</t>
        </is>
      </c>
    </row>
    <row r="317">
      <c r="A317" t="n">
        <v>130</v>
      </c>
      <c r="B317" t="inlineStr">
        <is>
          <t>Casa independiente</t>
        </is>
      </c>
      <c r="C317" t="inlineStr">
        <is>
          <t>https://www.idealista.com/inmueble/110609118/</t>
        </is>
      </c>
      <c r="E317" t="n">
        <v>5</v>
      </c>
      <c r="H317" t="n">
        <v>481</v>
      </c>
      <c r="J317" t="inlineStr">
        <is>
          <t>Sol de Mallorca, Calvià</t>
        </is>
      </c>
      <c r="K317" t="n">
        <v>32.2</v>
      </c>
      <c r="L317" t="n">
        <v>31</v>
      </c>
      <c r="M317" t="n">
        <v>75</v>
      </c>
      <c r="N317" t="n">
        <v>64</v>
      </c>
      <c r="O317" t="n">
        <v>21.2</v>
      </c>
      <c r="P317" t="n">
        <v>25</v>
      </c>
      <c r="Q317" t="n">
        <v>72.7</v>
      </c>
      <c r="R317" t="n">
        <v>60</v>
      </c>
      <c r="S317" t="n">
        <v>2350000</v>
      </c>
      <c r="T317" t="n">
        <v>4886</v>
      </c>
      <c r="AH317" t="inlineStr">
        <is>
          <t>Quelle: Idealista</t>
        </is>
      </c>
    </row>
    <row r="318">
      <c r="A318" t="n">
        <v>131</v>
      </c>
      <c r="B318" t="inlineStr">
        <is>
          <t>Finca rústica</t>
        </is>
      </c>
      <c r="C318" t="inlineStr">
        <is>
          <t>https://www.idealista.com/inmueble/110659734/</t>
        </is>
      </c>
      <c r="E318" t="n">
        <v>6</v>
      </c>
      <c r="H318" t="n">
        <v>878</v>
      </c>
      <c r="J318" t="inlineStr">
        <is>
          <t>Cala Llombards, Santanyí</t>
        </is>
      </c>
      <c r="K318" t="n">
        <v>51.7</v>
      </c>
      <c r="L318" t="n">
        <v>48</v>
      </c>
      <c r="M318" t="n">
        <v>10.5</v>
      </c>
      <c r="N318" t="n">
        <v>17</v>
      </c>
      <c r="O318" t="n">
        <v>89.90000000000001</v>
      </c>
      <c r="P318" t="n">
        <v>76</v>
      </c>
      <c r="Q318" t="n">
        <v>11.1</v>
      </c>
      <c r="R318" t="n">
        <v>19</v>
      </c>
      <c r="S318" t="n">
        <v>6500000</v>
      </c>
      <c r="T318" t="n">
        <v>7403</v>
      </c>
      <c r="AH318" t="inlineStr">
        <is>
          <t>Quelle: Idealista</t>
        </is>
      </c>
    </row>
    <row r="319">
      <c r="A319" t="n">
        <v>132</v>
      </c>
      <c r="B319" t="inlineStr">
        <is>
          <t>Casa independiente</t>
        </is>
      </c>
      <c r="C319" t="inlineStr">
        <is>
          <t>https://www.idealista.com/inmueble/110659730/</t>
        </is>
      </c>
      <c r="E319" t="n">
        <v>6</v>
      </c>
      <c r="H319" t="n">
        <v>214</v>
      </c>
      <c r="J319" t="inlineStr">
        <is>
          <t>Can Picafort, Santa Margalida</t>
        </is>
      </c>
      <c r="K319" t="n">
        <v>64.8</v>
      </c>
      <c r="L319" t="n">
        <v>54</v>
      </c>
      <c r="M319" t="n">
        <v>61.4</v>
      </c>
      <c r="N319" t="n">
        <v>65</v>
      </c>
      <c r="O319" t="n">
        <v>87.40000000000001</v>
      </c>
      <c r="P319" t="n">
        <v>70</v>
      </c>
      <c r="Q319" t="n">
        <v>59.1</v>
      </c>
      <c r="R319" t="n">
        <v>61</v>
      </c>
      <c r="S319" t="n">
        <v>2500000</v>
      </c>
      <c r="T319" t="n">
        <v>11682</v>
      </c>
      <c r="AH319" t="inlineStr">
        <is>
          <t>Quelle: Idealista</t>
        </is>
      </c>
    </row>
    <row r="320">
      <c r="A320" t="n">
        <v>133</v>
      </c>
      <c r="B320" t="inlineStr">
        <is>
          <t>Finca rústica</t>
        </is>
      </c>
      <c r="C320" t="inlineStr">
        <is>
          <t>https://www.idealista.com/inmueble/110658837/</t>
        </is>
      </c>
      <c r="E320" t="n">
        <v>11</v>
      </c>
      <c r="H320" t="n">
        <v>660</v>
      </c>
      <c r="J320" t="inlineStr">
        <is>
          <t>Zona periurbana, Inca</t>
        </is>
      </c>
      <c r="K320" t="n">
        <v>37.5</v>
      </c>
      <c r="L320" t="n">
        <v>29</v>
      </c>
      <c r="M320" t="n">
        <v>55.6</v>
      </c>
      <c r="N320" t="n">
        <v>55</v>
      </c>
      <c r="O320" t="n">
        <v>60.1</v>
      </c>
      <c r="P320" t="n">
        <v>45</v>
      </c>
      <c r="Q320" t="n">
        <v>53.3</v>
      </c>
      <c r="R320" t="n">
        <v>51</v>
      </c>
      <c r="S320" t="n">
        <v>2369300</v>
      </c>
      <c r="T320" t="n">
        <v>3590</v>
      </c>
      <c r="AH320" t="inlineStr">
        <is>
          <t>Quelle: Idealista</t>
        </is>
      </c>
    </row>
    <row r="321">
      <c r="A321" t="n">
        <v>134</v>
      </c>
      <c r="B321" t="inlineStr">
        <is>
          <t>Casa independiente</t>
        </is>
      </c>
      <c r="C321" t="inlineStr">
        <is>
          <t>https://www.idealista.com/inmueble/110658050/</t>
        </is>
      </c>
      <c r="E321" t="n">
        <v>5</v>
      </c>
      <c r="H321" t="n">
        <v>385</v>
      </c>
      <c r="J321" t="inlineStr">
        <is>
          <t>Cas Catala, Calvià</t>
        </is>
      </c>
      <c r="K321" t="n">
        <v>20</v>
      </c>
      <c r="L321" t="n">
        <v>22</v>
      </c>
      <c r="M321" t="n">
        <v>62.8</v>
      </c>
      <c r="N321" t="n">
        <v>55</v>
      </c>
      <c r="O321" t="n">
        <v>23.7</v>
      </c>
      <c r="P321" t="n">
        <v>23</v>
      </c>
      <c r="Q321" t="n">
        <v>60.5</v>
      </c>
      <c r="R321" t="n">
        <v>51</v>
      </c>
      <c r="S321" t="n">
        <v>2795000</v>
      </c>
      <c r="T321" t="n">
        <v>7260</v>
      </c>
      <c r="AH321" t="inlineStr">
        <is>
          <t>Quelle: Idealista</t>
        </is>
      </c>
    </row>
    <row r="322">
      <c r="A322" t="n">
        <v>135</v>
      </c>
      <c r="B322" t="inlineStr">
        <is>
          <t>Casa independiente</t>
        </is>
      </c>
      <c r="C322" t="inlineStr">
        <is>
          <t>https://www.idealista.com/inmueble/101212681/</t>
        </is>
      </c>
      <c r="E322" t="n">
        <v>5</v>
      </c>
      <c r="H322" t="n">
        <v>658</v>
      </c>
      <c r="J322" t="inlineStr">
        <is>
          <t>Santa Ponça, Calvià</t>
        </is>
      </c>
      <c r="K322" t="n">
        <v>31.1</v>
      </c>
      <c r="L322" t="n">
        <v>28</v>
      </c>
      <c r="M322" t="n">
        <v>73.90000000000001</v>
      </c>
      <c r="N322" t="n">
        <v>61</v>
      </c>
      <c r="O322" t="n">
        <v>15.2</v>
      </c>
      <c r="P322" t="n">
        <v>19</v>
      </c>
      <c r="Q322" t="n">
        <v>71.59999999999999</v>
      </c>
      <c r="R322" t="n">
        <v>57</v>
      </c>
      <c r="S322" t="n">
        <v>4875000</v>
      </c>
      <c r="T322" t="n">
        <v>7409</v>
      </c>
      <c r="AH322" t="inlineStr">
        <is>
          <t>Quelle: Idealista</t>
        </is>
      </c>
    </row>
    <row r="323">
      <c r="A323" t="n">
        <v>136</v>
      </c>
      <c r="B323" t="inlineStr">
        <is>
          <t>Casa rural</t>
        </is>
      </c>
      <c r="C323" t="inlineStr">
        <is>
          <t>https://www.idealista.com/inmueble/110655898/</t>
        </is>
      </c>
      <c r="E323" t="n">
        <v>5</v>
      </c>
      <c r="H323" t="n">
        <v>700</v>
      </c>
      <c r="J323" t="inlineStr">
        <is>
          <t>Alaró</t>
        </is>
      </c>
      <c r="K323" t="n">
        <v>33.4</v>
      </c>
      <c r="L323" t="n">
        <v>33</v>
      </c>
      <c r="M323" t="n">
        <v>76.09999999999999</v>
      </c>
      <c r="N323" t="n">
        <v>66</v>
      </c>
      <c r="O323" t="n">
        <v>55.9</v>
      </c>
      <c r="P323" t="n">
        <v>49</v>
      </c>
      <c r="Q323" t="n">
        <v>73.8</v>
      </c>
      <c r="R323" t="n">
        <v>62</v>
      </c>
      <c r="S323" t="n">
        <v>5500000</v>
      </c>
      <c r="T323" t="n">
        <v>7857</v>
      </c>
      <c r="AH323" t="inlineStr">
        <is>
          <t>Quelle: Idealista</t>
        </is>
      </c>
    </row>
    <row r="324">
      <c r="A324" t="n">
        <v>137</v>
      </c>
      <c r="B324" t="inlineStr">
        <is>
          <t>Casa independiente</t>
        </is>
      </c>
      <c r="C324" t="inlineStr">
        <is>
          <t>https://www.idealista.com/inmueble/110655777/</t>
        </is>
      </c>
      <c r="E324" t="n">
        <v>5</v>
      </c>
      <c r="H324" t="n">
        <v>600</v>
      </c>
      <c r="J324" t="inlineStr">
        <is>
          <t>Son Vida, Palma de Mallorca</t>
        </is>
      </c>
      <c r="K324" t="n">
        <v>19.2</v>
      </c>
      <c r="L324" t="n">
        <v>22</v>
      </c>
      <c r="M324" t="n">
        <v>61.9</v>
      </c>
      <c r="N324" t="n">
        <v>55</v>
      </c>
      <c r="O324" t="n">
        <v>31</v>
      </c>
      <c r="P324" t="n">
        <v>31</v>
      </c>
      <c r="Q324" t="n">
        <v>59.6</v>
      </c>
      <c r="R324" t="n">
        <v>51</v>
      </c>
      <c r="S324" t="n">
        <v>6495000</v>
      </c>
      <c r="T324" t="n">
        <v>10825</v>
      </c>
      <c r="AH324" t="inlineStr">
        <is>
          <t>Quelle: Idealista</t>
        </is>
      </c>
    </row>
    <row r="325">
      <c r="A325" t="n">
        <v>138</v>
      </c>
      <c r="B325" t="inlineStr">
        <is>
          <t>Casa independiente</t>
        </is>
      </c>
      <c r="C325" t="inlineStr">
        <is>
          <t>https://www.idealista.com/inmueble/110654888/</t>
        </is>
      </c>
      <c r="E325" t="n">
        <v>6</v>
      </c>
      <c r="H325" t="n">
        <v>606</v>
      </c>
      <c r="J325" t="inlineStr">
        <is>
          <t>Sta Catalina - Son Armadans - Maritim, Palma de Mallorca</t>
        </is>
      </c>
      <c r="K325" t="n">
        <v>11</v>
      </c>
      <c r="L325" t="n">
        <v>16</v>
      </c>
      <c r="M325" t="n">
        <v>53.7</v>
      </c>
      <c r="N325" t="n">
        <v>49</v>
      </c>
      <c r="O325" t="n">
        <v>29.2</v>
      </c>
      <c r="P325" t="n">
        <v>29</v>
      </c>
      <c r="Q325" t="n">
        <v>51.4</v>
      </c>
      <c r="R325" t="n">
        <v>45</v>
      </c>
      <c r="S325" t="n">
        <v>2990000</v>
      </c>
      <c r="T325" t="n">
        <v>4934</v>
      </c>
      <c r="AH325" t="inlineStr">
        <is>
          <t>Quelle: Idealista</t>
        </is>
      </c>
    </row>
    <row r="326">
      <c r="A326" t="n">
        <v>139</v>
      </c>
      <c r="B326" t="inlineStr">
        <is>
          <t>Chalet</t>
        </is>
      </c>
      <c r="C326" t="inlineStr">
        <is>
          <t>https://www.idealista.com/inmueble/110651378/</t>
        </is>
      </c>
      <c r="E326" t="n">
        <v>5</v>
      </c>
      <c r="H326" t="n">
        <v>800</v>
      </c>
      <c r="J326" t="inlineStr">
        <is>
          <t>Cala Vinyes, Calvià</t>
        </is>
      </c>
      <c r="K326" t="n">
        <v>31.5</v>
      </c>
      <c r="L326" t="n">
        <v>31</v>
      </c>
      <c r="M326" t="n">
        <v>74.3</v>
      </c>
      <c r="N326" t="n">
        <v>64</v>
      </c>
      <c r="O326" t="n">
        <v>20.4</v>
      </c>
      <c r="P326" t="n">
        <v>25</v>
      </c>
      <c r="Q326" t="n">
        <v>72</v>
      </c>
      <c r="R326" t="n">
        <v>60</v>
      </c>
      <c r="S326" t="n">
        <v>5600000</v>
      </c>
      <c r="T326" t="n">
        <v>7000</v>
      </c>
      <c r="AH326" t="inlineStr">
        <is>
          <t>Quelle: Idealista</t>
        </is>
      </c>
    </row>
    <row r="327">
      <c r="A327" t="n">
        <v>140</v>
      </c>
      <c r="B327" t="inlineStr">
        <is>
          <t>Finca rústica</t>
        </is>
      </c>
      <c r="C327" t="inlineStr">
        <is>
          <t>https://www.idealista.com/inmueble/107530363/</t>
        </is>
      </c>
      <c r="E327" t="n">
        <v>8</v>
      </c>
      <c r="H327" t="n">
        <v>1180</v>
      </c>
      <c r="J327" t="inlineStr">
        <is>
          <t>Sencelles</t>
        </is>
      </c>
      <c r="K327" t="n">
        <v>34.2</v>
      </c>
      <c r="L327" t="n">
        <v>32</v>
      </c>
      <c r="M327" t="n">
        <v>46.4</v>
      </c>
      <c r="N327" t="n">
        <v>50</v>
      </c>
      <c r="O327" t="n">
        <v>56.8</v>
      </c>
      <c r="P327" t="n">
        <v>48</v>
      </c>
      <c r="Q327" t="n">
        <v>44.1</v>
      </c>
      <c r="R327" t="n">
        <v>46</v>
      </c>
      <c r="S327" t="n">
        <v>3000000</v>
      </c>
      <c r="T327" t="n">
        <v>2542</v>
      </c>
      <c r="AH327" t="inlineStr">
        <is>
          <t>Quelle: Idealista</t>
        </is>
      </c>
    </row>
    <row r="328">
      <c r="A328" t="n">
        <v>141</v>
      </c>
      <c r="B328" t="inlineStr">
        <is>
          <t>Casa independiente</t>
        </is>
      </c>
      <c r="C328" t="inlineStr">
        <is>
          <t>https://www.idealista.com/inmueble/110647520/</t>
        </is>
      </c>
      <c r="E328" t="n">
        <v>5</v>
      </c>
      <c r="H328" t="n">
        <v>396</v>
      </c>
      <c r="J328" t="inlineStr">
        <is>
          <t>Santa Ponça, Calvià</t>
        </is>
      </c>
      <c r="K328" t="n">
        <v>31.1</v>
      </c>
      <c r="L328" t="n">
        <v>28</v>
      </c>
      <c r="M328" t="n">
        <v>73.90000000000001</v>
      </c>
      <c r="N328" t="n">
        <v>61</v>
      </c>
      <c r="O328" t="n">
        <v>15.2</v>
      </c>
      <c r="P328" t="n">
        <v>19</v>
      </c>
      <c r="Q328" t="n">
        <v>71.59999999999999</v>
      </c>
      <c r="R328" t="n">
        <v>57</v>
      </c>
      <c r="S328" t="n">
        <v>3000000</v>
      </c>
      <c r="T328" t="n">
        <v>7576</v>
      </c>
      <c r="AH328" t="inlineStr">
        <is>
          <t>Quelle: Idealista</t>
        </is>
      </c>
    </row>
    <row r="329">
      <c r="A329" t="n">
        <v>142</v>
      </c>
      <c r="B329" t="inlineStr">
        <is>
          <t>Casa independiente</t>
        </is>
      </c>
      <c r="C329" t="inlineStr">
        <is>
          <t>https://www.idealista.com/inmueble/110647514/</t>
        </is>
      </c>
      <c r="E329" t="n">
        <v>5</v>
      </c>
      <c r="H329" t="n">
        <v>574</v>
      </c>
      <c r="J329" t="inlineStr">
        <is>
          <t>Maioris-Puig de Ros, Llucmajor</t>
        </is>
      </c>
      <c r="K329" t="n">
        <v>15.1</v>
      </c>
      <c r="L329" t="n">
        <v>18</v>
      </c>
      <c r="M329" t="n">
        <v>42.9</v>
      </c>
      <c r="N329" t="n">
        <v>42</v>
      </c>
      <c r="O329" t="n">
        <v>53.3</v>
      </c>
      <c r="P329" t="n">
        <v>45</v>
      </c>
      <c r="Q329" t="n">
        <v>40.6</v>
      </c>
      <c r="R329" t="n">
        <v>38</v>
      </c>
      <c r="S329" t="n">
        <v>3600000</v>
      </c>
      <c r="T329" t="n">
        <v>6272</v>
      </c>
      <c r="AH329" t="inlineStr">
        <is>
          <t>Quelle: Idealista</t>
        </is>
      </c>
    </row>
    <row r="330">
      <c r="A330" t="n">
        <v>143</v>
      </c>
      <c r="B330" t="inlineStr">
        <is>
          <t>Casa rural</t>
        </is>
      </c>
      <c r="C330" t="inlineStr">
        <is>
          <t>https://www.idealista.com/inmueble/110645918/</t>
        </is>
      </c>
      <c r="E330" t="n">
        <v>5</v>
      </c>
      <c r="H330" t="n">
        <v>350</v>
      </c>
      <c r="J330" t="inlineStr">
        <is>
          <t>Santanyí</t>
        </is>
      </c>
      <c r="K330" t="n">
        <v>45.4</v>
      </c>
      <c r="L330" t="n">
        <v>39</v>
      </c>
      <c r="M330" t="n">
        <v>9</v>
      </c>
      <c r="N330" t="n">
        <v>13</v>
      </c>
      <c r="O330" t="n">
        <v>83.59999999999999</v>
      </c>
      <c r="P330" t="n">
        <v>67</v>
      </c>
      <c r="Q330" t="n">
        <v>9.699999999999999</v>
      </c>
      <c r="R330" t="n">
        <v>15</v>
      </c>
      <c r="S330" t="n">
        <v>3200000</v>
      </c>
      <c r="T330" t="n">
        <v>9143</v>
      </c>
      <c r="AH330" t="inlineStr">
        <is>
          <t>Quelle: Idealista</t>
        </is>
      </c>
    </row>
    <row r="331">
      <c r="A331" t="n">
        <v>144</v>
      </c>
      <c r="B331" t="inlineStr">
        <is>
          <t>Casa independiente</t>
        </is>
      </c>
      <c r="C331" t="inlineStr">
        <is>
          <t>https://www.idealista.com/inmueble/110645477/</t>
        </is>
      </c>
      <c r="E331" t="n">
        <v>6</v>
      </c>
      <c r="H331" t="n">
        <v>396</v>
      </c>
      <c r="J331" t="inlineStr">
        <is>
          <t>Son Ferriol - Sant Jordi, Palma de Mallorca</t>
        </is>
      </c>
      <c r="K331" t="n">
        <v>7.2</v>
      </c>
      <c r="L331" t="n">
        <v>13</v>
      </c>
      <c r="M331" t="n">
        <v>50.5</v>
      </c>
      <c r="N331" t="n">
        <v>46</v>
      </c>
      <c r="O331" t="n">
        <v>38.4</v>
      </c>
      <c r="P331" t="n">
        <v>36</v>
      </c>
      <c r="Q331" t="n">
        <v>48.2</v>
      </c>
      <c r="R331" t="n">
        <v>43</v>
      </c>
      <c r="S331" t="n">
        <v>2640000</v>
      </c>
      <c r="T331" t="n">
        <v>6667</v>
      </c>
      <c r="AH331" t="inlineStr">
        <is>
          <t>Quelle: Idealista</t>
        </is>
      </c>
    </row>
    <row r="332">
      <c r="A332" t="n">
        <v>145</v>
      </c>
      <c r="B332" t="inlineStr">
        <is>
          <t>Casa independiente</t>
        </is>
      </c>
      <c r="C332" t="inlineStr">
        <is>
          <t>https://www.idealista.com/obra-nueva/110631535/</t>
        </is>
      </c>
      <c r="E332" t="n">
        <v>5</v>
      </c>
      <c r="H332" t="n">
        <v>315</v>
      </c>
      <c r="J332" t="inlineStr">
        <is>
          <t>Artà, Arta</t>
        </is>
      </c>
      <c r="K332" t="n">
        <v>68.3</v>
      </c>
      <c r="L332" t="n">
        <v>61</v>
      </c>
      <c r="M332" t="n">
        <v>63.7</v>
      </c>
      <c r="N332" t="n">
        <v>64</v>
      </c>
      <c r="O332" t="n">
        <v>102.6</v>
      </c>
      <c r="P332" t="n">
        <v>86</v>
      </c>
      <c r="Q332" t="n">
        <v>61.4</v>
      </c>
      <c r="R332" t="n">
        <v>61</v>
      </c>
      <c r="S332" t="n">
        <v>2400000</v>
      </c>
      <c r="T332" t="n">
        <v>7619</v>
      </c>
      <c r="AH332" t="inlineStr">
        <is>
          <t>Quelle: Idealista</t>
        </is>
      </c>
    </row>
    <row r="333">
      <c r="A333" t="n">
        <v>146</v>
      </c>
      <c r="B333" t="inlineStr">
        <is>
          <t>Casa independiente en calle del Rector Vives, 67</t>
        </is>
      </c>
      <c r="C333" t="inlineStr">
        <is>
          <t>https://www.idealista.com/inmueble/110636189/</t>
        </is>
      </c>
      <c r="E333" t="n">
        <v>5</v>
      </c>
      <c r="H333" t="n">
        <v>1118</v>
      </c>
      <c r="J333" t="inlineStr">
        <is>
          <t>Genova - Bonanova - Sant Agustí, Palma de Mallorca</t>
        </is>
      </c>
      <c r="K333" t="n">
        <v>18</v>
      </c>
      <c r="L333" t="n">
        <v>20</v>
      </c>
      <c r="M333" t="n">
        <v>60.7</v>
      </c>
      <c r="N333" t="n">
        <v>53</v>
      </c>
      <c r="O333" t="n">
        <v>25.4</v>
      </c>
      <c r="P333" t="n">
        <v>26</v>
      </c>
      <c r="Q333" t="n">
        <v>58.4</v>
      </c>
      <c r="R333" t="n">
        <v>49</v>
      </c>
      <c r="S333" t="n">
        <v>4150000</v>
      </c>
      <c r="T333" t="n">
        <v>3712</v>
      </c>
      <c r="AH333" t="inlineStr">
        <is>
          <t>Quelle: Idealista</t>
        </is>
      </c>
    </row>
    <row r="334">
      <c r="A334" t="n">
        <v>147</v>
      </c>
      <c r="B334" t="inlineStr">
        <is>
          <t>Chalet pareado</t>
        </is>
      </c>
      <c r="C334" t="inlineStr">
        <is>
          <t>https://www.idealista.com/inmueble/102431198/</t>
        </is>
      </c>
      <c r="E334" t="n">
        <v>5</v>
      </c>
      <c r="H334" t="n">
        <v>490</v>
      </c>
      <c r="J334" t="inlineStr">
        <is>
          <t>Ciutat Antigua, Palma de Mallorca</t>
        </is>
      </c>
      <c r="K334" t="n">
        <v>9.199999999999999</v>
      </c>
      <c r="L334" t="n">
        <v>13</v>
      </c>
      <c r="M334" t="n">
        <v>51.9</v>
      </c>
      <c r="N334" t="n">
        <v>46</v>
      </c>
      <c r="O334" t="n">
        <v>31.5</v>
      </c>
      <c r="P334" t="n">
        <v>34</v>
      </c>
      <c r="Q334" t="n">
        <v>49.6</v>
      </c>
      <c r="R334" t="n">
        <v>42</v>
      </c>
      <c r="S334" t="n">
        <v>4500000</v>
      </c>
      <c r="T334" t="n">
        <v>9184</v>
      </c>
      <c r="AH334" t="inlineStr">
        <is>
          <t>Quelle: Idealista</t>
        </is>
      </c>
    </row>
    <row r="335">
      <c r="A335" t="n">
        <v>148</v>
      </c>
      <c r="B335" t="inlineStr">
        <is>
          <t>Chalet</t>
        </is>
      </c>
      <c r="C335" t="inlineStr">
        <is>
          <t>https://www.idealista.com/inmueble/97714555/</t>
        </is>
      </c>
      <c r="E335" t="n">
        <v>8</v>
      </c>
      <c r="H335" t="n">
        <v>565</v>
      </c>
      <c r="J335" t="inlineStr">
        <is>
          <t>Algaida</t>
        </is>
      </c>
      <c r="K335" t="n">
        <v>20.1</v>
      </c>
      <c r="L335" t="n">
        <v>21</v>
      </c>
      <c r="M335" t="n">
        <v>39.8</v>
      </c>
      <c r="N335" t="n">
        <v>41</v>
      </c>
      <c r="O335" t="n">
        <v>54.4</v>
      </c>
      <c r="P335" t="n">
        <v>46</v>
      </c>
      <c r="Q335" t="n">
        <v>37.5</v>
      </c>
      <c r="R335" t="n">
        <v>37</v>
      </c>
      <c r="S335" t="n">
        <v>3250000</v>
      </c>
      <c r="T335" t="n">
        <v>5752</v>
      </c>
      <c r="AH335" t="inlineStr">
        <is>
          <t>Quelle: Idealista</t>
        </is>
      </c>
    </row>
    <row r="336">
      <c r="A336" t="n">
        <v>149</v>
      </c>
      <c r="B336" t="inlineStr">
        <is>
          <t>Casa independiente</t>
        </is>
      </c>
      <c r="C336" t="inlineStr">
        <is>
          <t>https://www.idealista.com/inmueble/110633523/</t>
        </is>
      </c>
      <c r="E336" t="n">
        <v>5</v>
      </c>
      <c r="H336" t="n">
        <v>260</v>
      </c>
      <c r="J336" t="inlineStr">
        <is>
          <t>El Toro, Calvià</t>
        </is>
      </c>
      <c r="K336" t="n">
        <v>35.4</v>
      </c>
      <c r="L336" t="n">
        <v>33</v>
      </c>
      <c r="M336" t="n">
        <v>78.09999999999999</v>
      </c>
      <c r="N336" t="n">
        <v>66</v>
      </c>
      <c r="O336" t="n">
        <v>19.5</v>
      </c>
      <c r="P336" t="n">
        <v>24</v>
      </c>
      <c r="Q336" t="n">
        <v>75.8</v>
      </c>
      <c r="R336" t="n">
        <v>63</v>
      </c>
      <c r="S336" t="n">
        <v>2100000</v>
      </c>
      <c r="T336" t="n">
        <v>8077</v>
      </c>
      <c r="AH336" t="inlineStr">
        <is>
          <t>Quelle: Idealista</t>
        </is>
      </c>
    </row>
    <row r="337">
      <c r="A337" t="n">
        <v>150</v>
      </c>
      <c r="B337" t="inlineStr">
        <is>
          <t>Finca rústica</t>
        </is>
      </c>
      <c r="C337" t="inlineStr">
        <is>
          <t>https://www.idealista.com/inmueble/110633200/</t>
        </is>
      </c>
      <c r="E337" t="n">
        <v>27</v>
      </c>
      <c r="H337" t="n">
        <v>1900</v>
      </c>
      <c r="J337" t="inlineStr">
        <is>
          <t>Cales de Mallorca, Manacor</t>
        </is>
      </c>
      <c r="K337" t="n">
        <v>50</v>
      </c>
      <c r="L337" t="n">
        <v>45</v>
      </c>
      <c r="M337" t="n">
        <v>39.6</v>
      </c>
      <c r="N337" t="n">
        <v>42</v>
      </c>
      <c r="O337" t="n">
        <v>84.2</v>
      </c>
      <c r="P337" t="n">
        <v>70</v>
      </c>
      <c r="Q337" t="n">
        <v>37.3</v>
      </c>
      <c r="R337" t="n">
        <v>38</v>
      </c>
      <c r="S337" t="n">
        <v>5490000</v>
      </c>
      <c r="T337" t="n">
        <v>2889</v>
      </c>
      <c r="AH337" t="inlineStr">
        <is>
          <t>Quelle: Idealista</t>
        </is>
      </c>
    </row>
    <row r="338">
      <c r="A338" t="n">
        <v>151</v>
      </c>
      <c r="B338" t="inlineStr">
        <is>
          <t>Chalet en calle de Victorio Luzuriaga</t>
        </is>
      </c>
      <c r="C338" t="inlineStr">
        <is>
          <t>https://www.idealista.com/inmueble/104138534/</t>
        </is>
      </c>
      <c r="E338" t="n">
        <v>5</v>
      </c>
      <c r="H338" t="n">
        <v>450</v>
      </c>
      <c r="J338" t="inlineStr">
        <is>
          <t>Genova - Bonanova - Sant Agustí, Palma de Mallorca</t>
        </is>
      </c>
      <c r="K338" t="n">
        <v>18</v>
      </c>
      <c r="L338" t="n">
        <v>20</v>
      </c>
      <c r="M338" t="n">
        <v>60.7</v>
      </c>
      <c r="N338" t="n">
        <v>53</v>
      </c>
      <c r="O338" t="n">
        <v>25.4</v>
      </c>
      <c r="P338" t="n">
        <v>26</v>
      </c>
      <c r="Q338" t="n">
        <v>58.4</v>
      </c>
      <c r="R338" t="n">
        <v>49</v>
      </c>
      <c r="S338" t="n">
        <v>3500000</v>
      </c>
      <c r="T338" t="n">
        <v>7778</v>
      </c>
      <c r="AH338" t="inlineStr">
        <is>
          <t>Quelle: Idealista</t>
        </is>
      </c>
    </row>
    <row r="339">
      <c r="A339" t="n">
        <v>152</v>
      </c>
      <c r="B339" t="inlineStr">
        <is>
          <t>Finca rústica</t>
        </is>
      </c>
      <c r="C339" t="inlineStr">
        <is>
          <t>https://www.idealista.com/inmueble/110468113/</t>
        </is>
      </c>
      <c r="E339" t="n">
        <v>5</v>
      </c>
      <c r="H339" t="n">
        <v>300</v>
      </c>
      <c r="J339" t="inlineStr">
        <is>
          <t>Son Ferriol - Sant Jordi, Palma de Mallorca</t>
        </is>
      </c>
      <c r="K339" t="n">
        <v>7.2</v>
      </c>
      <c r="L339" t="n">
        <v>13</v>
      </c>
      <c r="M339" t="n">
        <v>50.5</v>
      </c>
      <c r="N339" t="n">
        <v>46</v>
      </c>
      <c r="O339" t="n">
        <v>38.4</v>
      </c>
      <c r="P339" t="n">
        <v>36</v>
      </c>
      <c r="Q339" t="n">
        <v>48.2</v>
      </c>
      <c r="R339" t="n">
        <v>43</v>
      </c>
      <c r="S339" t="n">
        <v>2700000</v>
      </c>
      <c r="T339" t="n">
        <v>9000</v>
      </c>
      <c r="AH339" t="inlineStr">
        <is>
          <t>Quelle: Idealista</t>
        </is>
      </c>
    </row>
    <row r="340">
      <c r="A340" t="n">
        <v>153</v>
      </c>
      <c r="B340" t="inlineStr">
        <is>
          <t>Casa independiente</t>
        </is>
      </c>
      <c r="C340" t="inlineStr">
        <is>
          <t>https://www.idealista.com/inmueble/110628098/</t>
        </is>
      </c>
      <c r="E340" t="n">
        <v>5</v>
      </c>
      <c r="H340" t="n">
        <v>590</v>
      </c>
      <c r="J340" t="inlineStr">
        <is>
          <t>Son Vida, Palma de Mallorca</t>
        </is>
      </c>
      <c r="K340" t="n">
        <v>19.2</v>
      </c>
      <c r="L340" t="n">
        <v>22</v>
      </c>
      <c r="M340" t="n">
        <v>61.9</v>
      </c>
      <c r="N340" t="n">
        <v>55</v>
      </c>
      <c r="O340" t="n">
        <v>31</v>
      </c>
      <c r="P340" t="n">
        <v>31</v>
      </c>
      <c r="Q340" t="n">
        <v>59.6</v>
      </c>
      <c r="R340" t="n">
        <v>51</v>
      </c>
      <c r="S340" t="n">
        <v>3970000</v>
      </c>
      <c r="T340" t="n">
        <v>6729</v>
      </c>
      <c r="AH340" t="inlineStr">
        <is>
          <t>Quelle: Idealista</t>
        </is>
      </c>
    </row>
    <row r="341">
      <c r="A341" t="n">
        <v>154</v>
      </c>
      <c r="B341" t="inlineStr">
        <is>
          <t>Casa rural</t>
        </is>
      </c>
      <c r="C341" t="inlineStr">
        <is>
          <t>https://www.idealista.com/inmueble/110628020/</t>
        </is>
      </c>
      <c r="E341" t="n">
        <v>7</v>
      </c>
      <c r="H341" t="n">
        <v>667</v>
      </c>
      <c r="J341" t="inlineStr">
        <is>
          <t>Santa Maria del Cami</t>
        </is>
      </c>
      <c r="K341" t="n">
        <v>23.5</v>
      </c>
      <c r="L341" t="n">
        <v>21</v>
      </c>
      <c r="M341" t="n">
        <v>66.3</v>
      </c>
      <c r="N341" t="n">
        <v>54</v>
      </c>
      <c r="O341" t="n">
        <v>46.1</v>
      </c>
      <c r="P341" t="n">
        <v>37</v>
      </c>
      <c r="Q341" t="n">
        <v>64</v>
      </c>
      <c r="R341" t="n">
        <v>51</v>
      </c>
      <c r="S341" t="n">
        <v>3000000</v>
      </c>
      <c r="T341" t="n">
        <v>4498</v>
      </c>
      <c r="AH341" t="inlineStr">
        <is>
          <t>Quelle: Idealista</t>
        </is>
      </c>
    </row>
    <row r="342">
      <c r="A342" t="n">
        <v>155</v>
      </c>
      <c r="B342" t="inlineStr">
        <is>
          <t>Casa independiente</t>
        </is>
      </c>
      <c r="C342" t="inlineStr">
        <is>
          <t>https://www.idealista.com/inmueble/110627661/</t>
        </is>
      </c>
      <c r="E342" t="n">
        <v>5</v>
      </c>
      <c r="H342" t="n">
        <v>450</v>
      </c>
      <c r="J342" t="inlineStr">
        <is>
          <t>Cala Pi-Vallgornera, Llucmajor</t>
        </is>
      </c>
      <c r="K342" t="n">
        <v>37.4</v>
      </c>
      <c r="L342" t="n">
        <v>33</v>
      </c>
      <c r="M342" t="n">
        <v>25.7</v>
      </c>
      <c r="N342" t="n">
        <v>29</v>
      </c>
      <c r="O342" t="n">
        <v>75.5</v>
      </c>
      <c r="P342" t="n">
        <v>60</v>
      </c>
      <c r="Q342" t="n">
        <v>23.4</v>
      </c>
      <c r="R342" t="n">
        <v>25</v>
      </c>
      <c r="S342" t="n">
        <v>2290000</v>
      </c>
      <c r="T342" t="n">
        <v>5089</v>
      </c>
      <c r="AH342" t="inlineStr">
        <is>
          <t>Quelle: Idealista</t>
        </is>
      </c>
    </row>
    <row r="343">
      <c r="A343" t="n">
        <v>156</v>
      </c>
      <c r="B343" t="inlineStr">
        <is>
          <t>Casa independiente</t>
        </is>
      </c>
      <c r="C343" t="inlineStr">
        <is>
          <t>https://www.idealista.com/inmueble/110624155/</t>
        </is>
      </c>
      <c r="E343" t="n">
        <v>6</v>
      </c>
      <c r="H343" t="n">
        <v>700</v>
      </c>
      <c r="J343" t="inlineStr">
        <is>
          <t>Centro, Inca</t>
        </is>
      </c>
      <c r="K343" t="n">
        <v>37.5</v>
      </c>
      <c r="L343" t="n">
        <v>29</v>
      </c>
      <c r="M343" t="n">
        <v>55.6</v>
      </c>
      <c r="N343" t="n">
        <v>55</v>
      </c>
      <c r="O343" t="n">
        <v>60.1</v>
      </c>
      <c r="P343" t="n">
        <v>45</v>
      </c>
      <c r="Q343" t="n">
        <v>53.3</v>
      </c>
      <c r="R343" t="n">
        <v>51</v>
      </c>
      <c r="S343" t="n">
        <v>2200000</v>
      </c>
      <c r="T343" t="n">
        <v>3143</v>
      </c>
      <c r="AH343" t="inlineStr">
        <is>
          <t>Quelle: Idealista</t>
        </is>
      </c>
    </row>
    <row r="344">
      <c r="A344" t="n">
        <v>157</v>
      </c>
      <c r="B344" t="inlineStr">
        <is>
          <t>Casa independiente</t>
        </is>
      </c>
      <c r="C344" t="inlineStr">
        <is>
          <t>https://www.idealista.com/inmueble/110620427/</t>
        </is>
      </c>
      <c r="E344" t="n">
        <v>5</v>
      </c>
      <c r="H344" t="n">
        <v>606</v>
      </c>
      <c r="J344" t="inlineStr">
        <is>
          <t>Barcarés - Manresa - Bonaire, Alcúdia</t>
        </is>
      </c>
      <c r="K344" t="n">
        <v>63.2</v>
      </c>
      <c r="L344" t="n">
        <v>51</v>
      </c>
      <c r="M344" t="n">
        <v>81.3</v>
      </c>
      <c r="N344" t="n">
        <v>78</v>
      </c>
      <c r="O344" t="n">
        <v>85.8</v>
      </c>
      <c r="P344" t="n">
        <v>67</v>
      </c>
      <c r="Q344" t="n">
        <v>79</v>
      </c>
      <c r="R344" t="n">
        <v>74</v>
      </c>
      <c r="S344" t="n">
        <v>2990000</v>
      </c>
      <c r="T344" t="n">
        <v>4934</v>
      </c>
      <c r="AH344" t="inlineStr">
        <is>
          <t>Quelle: Idealista</t>
        </is>
      </c>
    </row>
    <row r="345">
      <c r="A345" t="n">
        <v>158</v>
      </c>
      <c r="B345" t="inlineStr">
        <is>
          <t>Chalet adosado en calle Ample de la Merce</t>
        </is>
      </c>
      <c r="C345" t="inlineStr">
        <is>
          <t>https://www.idealista.com/inmueble/104052848/</t>
        </is>
      </c>
      <c r="E345" t="n">
        <v>5</v>
      </c>
      <c r="H345" t="n">
        <v>490</v>
      </c>
      <c r="J345" t="inlineStr">
        <is>
          <t>Ciutat Antigua, Palma de Mallorca</t>
        </is>
      </c>
      <c r="K345" t="n">
        <v>9.199999999999999</v>
      </c>
      <c r="L345" t="n">
        <v>13</v>
      </c>
      <c r="M345" t="n">
        <v>51.9</v>
      </c>
      <c r="N345" t="n">
        <v>46</v>
      </c>
      <c r="O345" t="n">
        <v>31.5</v>
      </c>
      <c r="P345" t="n">
        <v>34</v>
      </c>
      <c r="Q345" t="n">
        <v>49.6</v>
      </c>
      <c r="R345" t="n">
        <v>42</v>
      </c>
      <c r="S345" t="n">
        <v>4500000</v>
      </c>
      <c r="T345" t="n">
        <v>9184</v>
      </c>
      <c r="AH345" t="inlineStr">
        <is>
          <t>Quelle: Idealista</t>
        </is>
      </c>
    </row>
    <row r="346">
      <c r="A346" t="n">
        <v>159</v>
      </c>
      <c r="B346" t="inlineStr">
        <is>
          <t>Chalet</t>
        </is>
      </c>
      <c r="C346" t="inlineStr">
        <is>
          <t>https://www.idealista.com/inmueble/110619870/</t>
        </is>
      </c>
      <c r="E346" t="n">
        <v>5</v>
      </c>
      <c r="H346" t="n">
        <v>371</v>
      </c>
      <c r="J346" t="inlineStr">
        <is>
          <t>Pollença</t>
        </is>
      </c>
      <c r="K346" t="n">
        <v>60.6</v>
      </c>
      <c r="L346" t="n">
        <v>47</v>
      </c>
      <c r="M346" t="n">
        <v>78.7</v>
      </c>
      <c r="N346" t="n">
        <v>74</v>
      </c>
      <c r="O346" t="n">
        <v>83.2</v>
      </c>
      <c r="P346" t="n">
        <v>63</v>
      </c>
      <c r="Q346" t="n">
        <v>76.40000000000001</v>
      </c>
      <c r="R346" t="n">
        <v>70</v>
      </c>
      <c r="S346" t="n">
        <v>2100000</v>
      </c>
      <c r="T346" t="n">
        <v>5660</v>
      </c>
      <c r="AH346" t="inlineStr">
        <is>
          <t>Quelle: Idealista</t>
        </is>
      </c>
    </row>
    <row r="347">
      <c r="A347" t="n">
        <v>160</v>
      </c>
      <c r="B347" t="inlineStr">
        <is>
          <t>Finca rústica en Diseminado Poligono 5</t>
        </is>
      </c>
      <c r="C347" t="inlineStr">
        <is>
          <t>https://www.idealista.com/inmueble/108734515/</t>
        </is>
      </c>
      <c r="E347" t="n">
        <v>5</v>
      </c>
      <c r="H347" t="n">
        <v>570</v>
      </c>
      <c r="J347" t="inlineStr">
        <is>
          <t>Es Llombards, Santanyí</t>
        </is>
      </c>
      <c r="K347" t="n">
        <v>49.1</v>
      </c>
      <c r="L347" t="n">
        <v>44</v>
      </c>
      <c r="M347" t="n">
        <v>5.4</v>
      </c>
      <c r="N347" t="n">
        <v>9</v>
      </c>
      <c r="O347" t="n">
        <v>87.3</v>
      </c>
      <c r="P347" t="n">
        <v>72</v>
      </c>
      <c r="Q347" t="n">
        <v>6.1</v>
      </c>
      <c r="R347" t="n">
        <v>11</v>
      </c>
      <c r="S347" t="n">
        <v>3200000</v>
      </c>
      <c r="T347" t="n">
        <v>5614</v>
      </c>
      <c r="AH347" t="inlineStr">
        <is>
          <t>Quelle: Idealista</t>
        </is>
      </c>
    </row>
    <row r="348">
      <c r="A348" t="n">
        <v>161</v>
      </c>
      <c r="B348" t="inlineStr">
        <is>
          <t>Casa independiente</t>
        </is>
      </c>
      <c r="C348" t="inlineStr">
        <is>
          <t>https://www.idealista.com/inmueble/110617626/</t>
        </is>
      </c>
      <c r="E348" t="n">
        <v>6</v>
      </c>
      <c r="H348" t="n">
        <v>286</v>
      </c>
      <c r="J348" t="inlineStr">
        <is>
          <t>Genova - Bonanova - Sant Agustí, Palma de Mallorca</t>
        </is>
      </c>
      <c r="K348" t="n">
        <v>18</v>
      </c>
      <c r="L348" t="n">
        <v>20</v>
      </c>
      <c r="M348" t="n">
        <v>60.7</v>
      </c>
      <c r="N348" t="n">
        <v>53</v>
      </c>
      <c r="O348" t="n">
        <v>25.4</v>
      </c>
      <c r="P348" t="n">
        <v>26</v>
      </c>
      <c r="Q348" t="n">
        <v>58.4</v>
      </c>
      <c r="R348" t="n">
        <v>49</v>
      </c>
      <c r="S348" t="n">
        <v>2700000</v>
      </c>
      <c r="T348" t="n">
        <v>9441</v>
      </c>
      <c r="AH348" t="inlineStr">
        <is>
          <t>Quelle: Idealista</t>
        </is>
      </c>
    </row>
    <row r="349">
      <c r="A349" t="n">
        <v>162</v>
      </c>
      <c r="B349" t="inlineStr">
        <is>
          <t>Casa independiente</t>
        </is>
      </c>
      <c r="C349" t="inlineStr">
        <is>
          <t>https://www.idealista.com/inmueble/110617528/</t>
        </is>
      </c>
      <c r="E349" t="n">
        <v>5</v>
      </c>
      <c r="H349" t="n">
        <v>744</v>
      </c>
      <c r="J349" t="inlineStr">
        <is>
          <t>Sta Catalina - Son Armadans - Maritim, Palma de Mallorca</t>
        </is>
      </c>
      <c r="K349" t="n">
        <v>11</v>
      </c>
      <c r="L349" t="n">
        <v>16</v>
      </c>
      <c r="M349" t="n">
        <v>53.7</v>
      </c>
      <c r="N349" t="n">
        <v>49</v>
      </c>
      <c r="O349" t="n">
        <v>29.2</v>
      </c>
      <c r="P349" t="n">
        <v>29</v>
      </c>
      <c r="Q349" t="n">
        <v>51.4</v>
      </c>
      <c r="R349" t="n">
        <v>45</v>
      </c>
      <c r="S349" t="n">
        <v>4900000</v>
      </c>
      <c r="T349" t="n">
        <v>6586</v>
      </c>
      <c r="AH349" t="inlineStr">
        <is>
          <t>Quelle: Idealista</t>
        </is>
      </c>
    </row>
    <row r="350">
      <c r="A350" t="n">
        <v>163</v>
      </c>
      <c r="B350" t="inlineStr">
        <is>
          <t>Casa independiente</t>
        </is>
      </c>
      <c r="C350" t="inlineStr">
        <is>
          <t>https://www.idealista.com/inmueble/110616704/</t>
        </is>
      </c>
      <c r="E350" t="n">
        <v>6</v>
      </c>
      <c r="H350" t="n">
        <v>448</v>
      </c>
      <c r="J350" t="inlineStr">
        <is>
          <t>Santa Ponça, Calvià</t>
        </is>
      </c>
      <c r="K350" t="n">
        <v>31.1</v>
      </c>
      <c r="L350" t="n">
        <v>28</v>
      </c>
      <c r="M350" t="n">
        <v>73.90000000000001</v>
      </c>
      <c r="N350" t="n">
        <v>61</v>
      </c>
      <c r="O350" t="n">
        <v>15.2</v>
      </c>
      <c r="P350" t="n">
        <v>19</v>
      </c>
      <c r="Q350" t="n">
        <v>71.59999999999999</v>
      </c>
      <c r="R350" t="n">
        <v>57</v>
      </c>
      <c r="S350" t="n">
        <v>4495000</v>
      </c>
      <c r="T350" t="n">
        <v>10033</v>
      </c>
      <c r="AH350" t="inlineStr">
        <is>
          <t>Quelle: Idealista</t>
        </is>
      </c>
    </row>
    <row r="351">
      <c r="A351" t="n">
        <v>164</v>
      </c>
      <c r="B351" t="inlineStr">
        <is>
          <t>Finca rústica</t>
        </is>
      </c>
      <c r="C351" t="inlineStr">
        <is>
          <t>https://www.idealista.com/inmueble/106341214/</t>
        </is>
      </c>
      <c r="E351" t="n">
        <v>6</v>
      </c>
      <c r="H351" t="n">
        <v>404</v>
      </c>
      <c r="J351" t="inlineStr">
        <is>
          <t>Port de Pollença, Pollença</t>
        </is>
      </c>
      <c r="K351" t="n">
        <v>66.90000000000001</v>
      </c>
      <c r="L351" t="n">
        <v>52</v>
      </c>
      <c r="M351" t="n">
        <v>85</v>
      </c>
      <c r="N351" t="n">
        <v>78</v>
      </c>
      <c r="O351" t="n">
        <v>89.5</v>
      </c>
      <c r="P351" t="n">
        <v>68</v>
      </c>
      <c r="Q351" t="n">
        <v>82.7</v>
      </c>
      <c r="R351" t="n">
        <v>75</v>
      </c>
      <c r="S351" t="n">
        <v>3500000</v>
      </c>
      <c r="T351" t="n">
        <v>8663</v>
      </c>
      <c r="AH351" t="inlineStr">
        <is>
          <t>Quelle: Idealista</t>
        </is>
      </c>
    </row>
    <row r="352">
      <c r="A352" t="n">
        <v>165</v>
      </c>
      <c r="B352" t="inlineStr">
        <is>
          <t>Chalet en calle des Pou de sa Garriga</t>
        </is>
      </c>
      <c r="C352" t="inlineStr">
        <is>
          <t>https://www.idealista.com/inmueble/110612843/</t>
        </is>
      </c>
      <c r="E352" t="n">
        <v>12</v>
      </c>
      <c r="H352" t="n">
        <v>766</v>
      </c>
      <c r="J352" t="inlineStr">
        <is>
          <t>Santa Margalida</t>
        </is>
      </c>
      <c r="K352" t="n">
        <v>56.3</v>
      </c>
      <c r="L352" t="n">
        <v>47</v>
      </c>
      <c r="M352" t="n">
        <v>52.4</v>
      </c>
      <c r="N352" t="n">
        <v>55</v>
      </c>
      <c r="O352" t="n">
        <v>78.90000000000001</v>
      </c>
      <c r="P352" t="n">
        <v>63</v>
      </c>
      <c r="Q352" t="n">
        <v>50.1</v>
      </c>
      <c r="R352" t="n">
        <v>51</v>
      </c>
      <c r="S352" t="n">
        <v>4105452</v>
      </c>
      <c r="T352" t="n">
        <v>5360</v>
      </c>
      <c r="AH352" t="inlineStr">
        <is>
          <t>Quelle: Idealista</t>
        </is>
      </c>
    </row>
    <row r="353">
      <c r="A353" t="n">
        <v>166</v>
      </c>
      <c r="B353" t="inlineStr">
        <is>
          <t>Finca rústica en calle del Vapor Santueri, 370</t>
        </is>
      </c>
      <c r="C353" t="inlineStr">
        <is>
          <t>https://www.idealista.com/inmueble/110612546/</t>
        </is>
      </c>
      <c r="E353" t="n">
        <v>12</v>
      </c>
      <c r="H353" t="n">
        <v>30000</v>
      </c>
      <c r="J353" t="inlineStr">
        <is>
          <t>S'Horta - Cas Concos des Cavaller, Felanitx</t>
        </is>
      </c>
      <c r="K353" t="n">
        <v>43.4</v>
      </c>
      <c r="L353" t="n">
        <v>42</v>
      </c>
      <c r="M353" t="n">
        <v>14.6</v>
      </c>
      <c r="N353" t="n">
        <v>21</v>
      </c>
      <c r="O353" t="n">
        <v>81.59999999999999</v>
      </c>
      <c r="P353" t="n">
        <v>69</v>
      </c>
      <c r="Q353" t="n">
        <v>15.9</v>
      </c>
      <c r="R353" t="n">
        <v>25</v>
      </c>
      <c r="S353" t="n">
        <v>3300000</v>
      </c>
      <c r="T353" t="n">
        <v>110</v>
      </c>
      <c r="AH353" t="inlineStr">
        <is>
          <t>Quelle: Idealista</t>
        </is>
      </c>
    </row>
    <row r="354">
      <c r="A354" t="n">
        <v>167</v>
      </c>
      <c r="B354" t="inlineStr">
        <is>
          <t>Chalet en calle de sa Ràpita</t>
        </is>
      </c>
      <c r="C354" t="inlineStr">
        <is>
          <t>https://www.idealista.com/inmueble/110611587/</t>
        </is>
      </c>
      <c r="E354" t="n">
        <v>5</v>
      </c>
      <c r="H354" t="n">
        <v>456</v>
      </c>
      <c r="J354" t="inlineStr">
        <is>
          <t>Campos</t>
        </is>
      </c>
      <c r="K354" t="n">
        <v>32.9</v>
      </c>
      <c r="L354" t="n">
        <v>28</v>
      </c>
      <c r="M354" t="n">
        <v>14.6</v>
      </c>
      <c r="N354" t="n">
        <v>18</v>
      </c>
      <c r="O354" t="n">
        <v>71.09999999999999</v>
      </c>
      <c r="P354" t="n">
        <v>56</v>
      </c>
      <c r="Q354" t="n">
        <v>12.3</v>
      </c>
      <c r="R354" t="n">
        <v>14</v>
      </c>
      <c r="S354" t="n">
        <v>2250000</v>
      </c>
      <c r="T354" t="n">
        <v>4934</v>
      </c>
      <c r="AH354" t="inlineStr">
        <is>
          <t>Quelle: Idealista</t>
        </is>
      </c>
    </row>
    <row r="355">
      <c r="A355" t="n">
        <v>168</v>
      </c>
      <c r="B355" t="inlineStr">
        <is>
          <t>Finca rústica en camino Vial</t>
        </is>
      </c>
      <c r="C355" t="inlineStr">
        <is>
          <t>https://www.idealista.com/inmueble/110609179/</t>
        </is>
      </c>
      <c r="E355" t="n">
        <v>6</v>
      </c>
      <c r="H355" t="n">
        <v>333</v>
      </c>
      <c r="J355" t="inlineStr">
        <is>
          <t>Manacor Centro, Manacor</t>
        </is>
      </c>
      <c r="K355" t="n">
        <v>50.5</v>
      </c>
      <c r="L355" t="n">
        <v>47</v>
      </c>
      <c r="M355" t="n">
        <v>40.1</v>
      </c>
      <c r="N355" t="n">
        <v>43</v>
      </c>
      <c r="O355" t="n">
        <v>84.7</v>
      </c>
      <c r="P355" t="n">
        <v>71</v>
      </c>
      <c r="Q355" t="n">
        <v>37.8</v>
      </c>
      <c r="R355" t="n">
        <v>40</v>
      </c>
      <c r="S355" t="n">
        <v>2300000</v>
      </c>
      <c r="T355" t="n">
        <v>6907</v>
      </c>
      <c r="AH355" t="inlineStr">
        <is>
          <t>Quelle: Idealista</t>
        </is>
      </c>
    </row>
    <row r="356">
      <c r="A356" t="n">
        <v>169</v>
      </c>
      <c r="B356" t="inlineStr">
        <is>
          <t>Casa independiente</t>
        </is>
      </c>
      <c r="C356" t="inlineStr">
        <is>
          <t>https://www.idealista.com/inmueble/110606555/</t>
        </is>
      </c>
      <c r="E356" t="n">
        <v>6</v>
      </c>
      <c r="H356" t="n">
        <v>606</v>
      </c>
      <c r="J356" t="inlineStr">
        <is>
          <t>Sta Catalina - Son Armadans - Maritim, Palma de Mallorca</t>
        </is>
      </c>
      <c r="K356" t="n">
        <v>11</v>
      </c>
      <c r="L356" t="n">
        <v>16</v>
      </c>
      <c r="M356" t="n">
        <v>53.7</v>
      </c>
      <c r="N356" t="n">
        <v>49</v>
      </c>
      <c r="O356" t="n">
        <v>29.2</v>
      </c>
      <c r="P356" t="n">
        <v>29</v>
      </c>
      <c r="Q356" t="n">
        <v>51.4</v>
      </c>
      <c r="R356" t="n">
        <v>45</v>
      </c>
      <c r="S356" t="n">
        <v>2990000</v>
      </c>
      <c r="T356" t="n">
        <v>4934</v>
      </c>
      <c r="AH356" t="inlineStr">
        <is>
          <t>Quelle: Idealista</t>
        </is>
      </c>
    </row>
    <row r="357">
      <c r="A357" t="n">
        <v>170</v>
      </c>
      <c r="B357" t="inlineStr">
        <is>
          <t>Casa independiente en Diseminado Poligono 10, 392</t>
        </is>
      </c>
      <c r="C357" t="inlineStr">
        <is>
          <t>https://www.idealista.com/inmueble/110604695/</t>
        </is>
      </c>
      <c r="E357" t="n">
        <v>5</v>
      </c>
      <c r="H357" t="n">
        <v>464</v>
      </c>
      <c r="J357" t="inlineStr">
        <is>
          <t>Santanyí</t>
        </is>
      </c>
      <c r="K357" t="n">
        <v>45.4</v>
      </c>
      <c r="L357" t="n">
        <v>39</v>
      </c>
      <c r="M357" t="n">
        <v>9</v>
      </c>
      <c r="N357" t="n">
        <v>13</v>
      </c>
      <c r="O357" t="n">
        <v>83.59999999999999</v>
      </c>
      <c r="P357" t="n">
        <v>67</v>
      </c>
      <c r="Q357" t="n">
        <v>9.699999999999999</v>
      </c>
      <c r="R357" t="n">
        <v>15</v>
      </c>
      <c r="S357" t="n">
        <v>2950000</v>
      </c>
      <c r="T357" t="n">
        <v>6358</v>
      </c>
      <c r="AH357" t="inlineStr">
        <is>
          <t>Quelle: Idealista</t>
        </is>
      </c>
    </row>
    <row r="358">
      <c r="A358" t="n">
        <v>171</v>
      </c>
      <c r="B358" t="inlineStr">
        <is>
          <t>Casa independiente</t>
        </is>
      </c>
      <c r="C358" t="inlineStr">
        <is>
          <t>https://www.idealista.com/inmueble/110604057/</t>
        </is>
      </c>
      <c r="E358" t="n">
        <v>5</v>
      </c>
      <c r="H358" t="n">
        <v>409</v>
      </c>
      <c r="J358" t="inlineStr">
        <is>
          <t>Cas Catala, Calvià</t>
        </is>
      </c>
      <c r="K358" t="n">
        <v>20</v>
      </c>
      <c r="L358" t="n">
        <v>22</v>
      </c>
      <c r="M358" t="n">
        <v>62.8</v>
      </c>
      <c r="N358" t="n">
        <v>55</v>
      </c>
      <c r="O358" t="n">
        <v>23.7</v>
      </c>
      <c r="P358" t="n">
        <v>23</v>
      </c>
      <c r="Q358" t="n">
        <v>60.5</v>
      </c>
      <c r="R358" t="n">
        <v>51</v>
      </c>
      <c r="S358" t="n">
        <v>2800000</v>
      </c>
      <c r="T358" t="n">
        <v>6846</v>
      </c>
      <c r="AH358" t="inlineStr">
        <is>
          <t>Quelle: Idealista</t>
        </is>
      </c>
    </row>
    <row r="359">
      <c r="A359" t="n">
        <v>172</v>
      </c>
      <c r="B359" t="inlineStr">
        <is>
          <t>Casa de pueblo</t>
        </is>
      </c>
      <c r="C359" t="inlineStr">
        <is>
          <t>https://www.idealista.com/inmueble/110603250/</t>
        </is>
      </c>
      <c r="E359" t="n">
        <v>8</v>
      </c>
      <c r="H359" t="n">
        <v>665</v>
      </c>
      <c r="J359" t="inlineStr">
        <is>
          <t>S'Arenal, Llucmajor</t>
        </is>
      </c>
      <c r="K359" t="n">
        <v>9.699999999999999</v>
      </c>
      <c r="L359" t="n">
        <v>13</v>
      </c>
      <c r="M359" t="n">
        <v>39.9</v>
      </c>
      <c r="N359" t="n">
        <v>38</v>
      </c>
      <c r="O359" t="n">
        <v>47.9</v>
      </c>
      <c r="P359" t="n">
        <v>40</v>
      </c>
      <c r="Q359" t="n">
        <v>37.6</v>
      </c>
      <c r="R359" t="n">
        <v>35</v>
      </c>
      <c r="S359" t="n">
        <v>2250000</v>
      </c>
      <c r="T359" t="n">
        <v>3383</v>
      </c>
      <c r="AH359" t="inlineStr">
        <is>
          <t>Quelle: Idealista</t>
        </is>
      </c>
    </row>
    <row r="360">
      <c r="A360" t="n">
        <v>173</v>
      </c>
      <c r="B360" t="inlineStr">
        <is>
          <t>Casa independiente</t>
        </is>
      </c>
      <c r="C360" t="inlineStr">
        <is>
          <t>https://www.idealista.com/inmueble/110600715/</t>
        </is>
      </c>
      <c r="E360" t="n">
        <v>5</v>
      </c>
      <c r="H360" t="n">
        <v>660</v>
      </c>
      <c r="J360" t="inlineStr">
        <is>
          <t>Son Vida, Palma de Mallorca</t>
        </is>
      </c>
      <c r="K360" t="n">
        <v>19.2</v>
      </c>
      <c r="L360" t="n">
        <v>22</v>
      </c>
      <c r="M360" t="n">
        <v>61.9</v>
      </c>
      <c r="N360" t="n">
        <v>55</v>
      </c>
      <c r="O360" t="n">
        <v>31</v>
      </c>
      <c r="P360" t="n">
        <v>31</v>
      </c>
      <c r="Q360" t="n">
        <v>59.6</v>
      </c>
      <c r="R360" t="n">
        <v>51</v>
      </c>
      <c r="S360" t="n">
        <v>5510000</v>
      </c>
      <c r="T360" t="n">
        <v>8348</v>
      </c>
      <c r="AH360" t="inlineStr">
        <is>
          <t>Quelle: Idealista</t>
        </is>
      </c>
    </row>
    <row r="361">
      <c r="A361" t="n">
        <v>174</v>
      </c>
      <c r="B361" t="inlineStr">
        <is>
          <t>Chalet</t>
        </is>
      </c>
      <c r="C361" t="inlineStr">
        <is>
          <t>https://www.idealista.com/inmueble/110600568/</t>
        </is>
      </c>
      <c r="E361" t="n">
        <v>5</v>
      </c>
      <c r="H361" t="n">
        <v>456</v>
      </c>
      <c r="J361" t="inlineStr">
        <is>
          <t>Sa Ràpita</t>
        </is>
      </c>
      <c r="K361" t="n">
        <v>37.4</v>
      </c>
      <c r="L361" t="n">
        <v>34</v>
      </c>
      <c r="M361" t="n">
        <v>17.3</v>
      </c>
      <c r="N361" t="n">
        <v>22</v>
      </c>
      <c r="O361" t="n">
        <v>75.59999999999999</v>
      </c>
      <c r="P361" t="n">
        <v>61</v>
      </c>
      <c r="Q361" t="n">
        <v>15</v>
      </c>
      <c r="R361" t="n">
        <v>19</v>
      </c>
      <c r="S361" t="n">
        <v>2250000</v>
      </c>
      <c r="T361" t="n">
        <v>4934</v>
      </c>
      <c r="AH361" t="inlineStr">
        <is>
          <t>Quelle: Idealista</t>
        </is>
      </c>
    </row>
    <row r="362">
      <c r="A362" t="n">
        <v>175</v>
      </c>
      <c r="B362" t="inlineStr">
        <is>
          <t>Finca rústica</t>
        </is>
      </c>
      <c r="C362" t="inlineStr">
        <is>
          <t>https://www.idealista.com/inmueble/110599356/</t>
        </is>
      </c>
      <c r="E362" t="n">
        <v>6</v>
      </c>
      <c r="H362" t="n">
        <v>490</v>
      </c>
      <c r="J362" t="inlineStr">
        <is>
          <t>Campos</t>
        </is>
      </c>
      <c r="K362" t="n">
        <v>32.9</v>
      </c>
      <c r="L362" t="n">
        <v>28</v>
      </c>
      <c r="M362" t="n">
        <v>14.6</v>
      </c>
      <c r="N362" t="n">
        <v>18</v>
      </c>
      <c r="O362" t="n">
        <v>71.09999999999999</v>
      </c>
      <c r="P362" t="n">
        <v>56</v>
      </c>
      <c r="Q362" t="n">
        <v>12.3</v>
      </c>
      <c r="R362" t="n">
        <v>14</v>
      </c>
      <c r="S362" t="n">
        <v>3650000</v>
      </c>
      <c r="T362" t="n">
        <v>7449</v>
      </c>
      <c r="AH362" t="inlineStr">
        <is>
          <t>Quelle: Idealista</t>
        </is>
      </c>
    </row>
    <row r="363">
      <c r="A363" t="n">
        <v>176</v>
      </c>
      <c r="B363" t="inlineStr">
        <is>
          <t>Casa independiente</t>
        </is>
      </c>
      <c r="C363" t="inlineStr">
        <is>
          <t>https://www.idealista.com/inmueble/110585497/</t>
        </is>
      </c>
      <c r="E363" t="n">
        <v>5</v>
      </c>
      <c r="H363" t="n">
        <v>630</v>
      </c>
      <c r="J363" t="inlineStr">
        <is>
          <t>Santa Ponça, Calvià</t>
        </is>
      </c>
      <c r="K363" t="n">
        <v>31.1</v>
      </c>
      <c r="L363" t="n">
        <v>28</v>
      </c>
      <c r="M363" t="n">
        <v>73.90000000000001</v>
      </c>
      <c r="N363" t="n">
        <v>61</v>
      </c>
      <c r="O363" t="n">
        <v>15.2</v>
      </c>
      <c r="P363" t="n">
        <v>19</v>
      </c>
      <c r="Q363" t="n">
        <v>71.59999999999999</v>
      </c>
      <c r="R363" t="n">
        <v>57</v>
      </c>
      <c r="S363" t="n">
        <v>3700000</v>
      </c>
      <c r="T363" t="n">
        <v>5873</v>
      </c>
      <c r="AH363" t="inlineStr">
        <is>
          <t>Quelle: Idealista</t>
        </is>
      </c>
    </row>
    <row r="364">
      <c r="A364" t="n">
        <v>177</v>
      </c>
      <c r="B364" t="inlineStr">
        <is>
          <t>Casa rural</t>
        </is>
      </c>
      <c r="C364" t="inlineStr">
        <is>
          <t>https://www.idealista.com/inmueble/110596745/</t>
        </is>
      </c>
      <c r="E364" t="n">
        <v>5</v>
      </c>
      <c r="H364" t="n">
        <v>444</v>
      </c>
      <c r="J364" t="inlineStr">
        <is>
          <t>Sa Ràpita</t>
        </is>
      </c>
      <c r="K364" t="n">
        <v>37.4</v>
      </c>
      <c r="L364" t="n">
        <v>34</v>
      </c>
      <c r="M364" t="n">
        <v>17.3</v>
      </c>
      <c r="N364" t="n">
        <v>22</v>
      </c>
      <c r="O364" t="n">
        <v>75.59999999999999</v>
      </c>
      <c r="P364" t="n">
        <v>61</v>
      </c>
      <c r="Q364" t="n">
        <v>15</v>
      </c>
      <c r="R364" t="n">
        <v>19</v>
      </c>
      <c r="S364" t="n">
        <v>3950000</v>
      </c>
      <c r="T364" t="n">
        <v>8896</v>
      </c>
      <c r="AH364" t="inlineStr">
        <is>
          <t>Quelle: Idealista</t>
        </is>
      </c>
    </row>
    <row r="365">
      <c r="A365" t="n">
        <v>178</v>
      </c>
      <c r="B365" t="inlineStr">
        <is>
          <t>Casa independiente</t>
        </is>
      </c>
      <c r="C365" t="inlineStr">
        <is>
          <t>https://www.idealista.com/inmueble/110595838/</t>
        </is>
      </c>
      <c r="E365" t="n">
        <v>8</v>
      </c>
      <c r="H365" t="n">
        <v>826</v>
      </c>
      <c r="J365" t="inlineStr">
        <is>
          <t>Santa Maria del Cami</t>
        </is>
      </c>
      <c r="K365" t="n">
        <v>23.5</v>
      </c>
      <c r="L365" t="n">
        <v>21</v>
      </c>
      <c r="M365" t="n">
        <v>66.3</v>
      </c>
      <c r="N365" t="n">
        <v>54</v>
      </c>
      <c r="O365" t="n">
        <v>46.1</v>
      </c>
      <c r="P365" t="n">
        <v>37</v>
      </c>
      <c r="Q365" t="n">
        <v>64</v>
      </c>
      <c r="R365" t="n">
        <v>51</v>
      </c>
      <c r="S365" t="n">
        <v>3500000</v>
      </c>
      <c r="T365" t="n">
        <v>4237</v>
      </c>
      <c r="AH365" t="inlineStr">
        <is>
          <t>Quelle: Idealista</t>
        </is>
      </c>
    </row>
    <row r="366">
      <c r="A366" t="n">
        <v>179</v>
      </c>
      <c r="B366" t="inlineStr">
        <is>
          <t>Casa rural</t>
        </is>
      </c>
      <c r="C366" t="inlineStr">
        <is>
          <t>https://www.idealista.com/inmueble/110593960/</t>
        </is>
      </c>
      <c r="E366" t="n">
        <v>5</v>
      </c>
      <c r="H366" t="n">
        <v>517</v>
      </c>
      <c r="J366" t="inlineStr">
        <is>
          <t>Llucmajor Interior, Llucmajor</t>
        </is>
      </c>
      <c r="K366" t="n">
        <v>22</v>
      </c>
      <c r="L366" t="n">
        <v>21</v>
      </c>
      <c r="M366" t="n">
        <v>28.2</v>
      </c>
      <c r="N366" t="n">
        <v>33</v>
      </c>
      <c r="O366" t="n">
        <v>60.2</v>
      </c>
      <c r="P366" t="n">
        <v>48</v>
      </c>
      <c r="Q366" t="n">
        <v>25.9</v>
      </c>
      <c r="R366" t="n">
        <v>29</v>
      </c>
      <c r="S366" t="n">
        <v>2590000</v>
      </c>
      <c r="T366" t="n">
        <v>5010</v>
      </c>
      <c r="AH366" t="inlineStr">
        <is>
          <t>Quelle: Idealista</t>
        </is>
      </c>
    </row>
    <row r="367">
      <c r="A367" t="n">
        <v>180</v>
      </c>
      <c r="B367" t="inlineStr">
        <is>
          <t>Finca rústica</t>
        </is>
      </c>
      <c r="C367" t="inlineStr">
        <is>
          <t>https://www.idealista.com/inmueble/110591347/</t>
        </is>
      </c>
      <c r="E367" t="n">
        <v>8</v>
      </c>
      <c r="H367" t="n">
        <v>472</v>
      </c>
      <c r="J367" t="inlineStr">
        <is>
          <t>Santa Eugenia</t>
        </is>
      </c>
      <c r="K367" t="n">
        <v>28.5</v>
      </c>
      <c r="L367" t="n">
        <v>25</v>
      </c>
      <c r="M367" t="n">
        <v>48.2</v>
      </c>
      <c r="N367" t="n">
        <v>48</v>
      </c>
      <c r="O367" t="n">
        <v>51.1</v>
      </c>
      <c r="P367" t="n">
        <v>42</v>
      </c>
      <c r="Q367" t="n">
        <v>45.9</v>
      </c>
      <c r="R367" t="n">
        <v>44</v>
      </c>
      <c r="S367" t="n">
        <v>3400000</v>
      </c>
      <c r="T367" t="n">
        <v>7203</v>
      </c>
      <c r="AH367" t="inlineStr">
        <is>
          <t>Quelle: Idealista</t>
        </is>
      </c>
    </row>
    <row r="368">
      <c r="A368" t="n">
        <v>181</v>
      </c>
      <c r="B368" t="inlineStr">
        <is>
          <t>Casa independiente</t>
        </is>
      </c>
      <c r="C368" t="inlineStr">
        <is>
          <t>https://www.idealista.com/inmueble/108830064/</t>
        </is>
      </c>
      <c r="E368" t="n">
        <v>6</v>
      </c>
      <c r="H368" t="n">
        <v>300</v>
      </c>
      <c r="J368" t="inlineStr">
        <is>
          <t>Sol de Mallorca, Calvià</t>
        </is>
      </c>
      <c r="K368" t="n">
        <v>32.2</v>
      </c>
      <c r="L368" t="n">
        <v>31</v>
      </c>
      <c r="M368" t="n">
        <v>75</v>
      </c>
      <c r="N368" t="n">
        <v>64</v>
      </c>
      <c r="O368" t="n">
        <v>21.2</v>
      </c>
      <c r="P368" t="n">
        <v>25</v>
      </c>
      <c r="Q368" t="n">
        <v>72.7</v>
      </c>
      <c r="R368" t="n">
        <v>60</v>
      </c>
      <c r="S368" t="n">
        <v>2850000</v>
      </c>
      <c r="T368" t="n">
        <v>9500</v>
      </c>
      <c r="AH368" t="inlineStr">
        <is>
          <t>Quelle: Idealista</t>
        </is>
      </c>
    </row>
    <row r="369">
      <c r="A369" t="n">
        <v>182</v>
      </c>
      <c r="B369" t="inlineStr">
        <is>
          <t>Casa rural</t>
        </is>
      </c>
      <c r="C369" t="inlineStr">
        <is>
          <t>https://www.idealista.com/inmueble/110585065/</t>
        </is>
      </c>
      <c r="E369" t="n">
        <v>5</v>
      </c>
      <c r="H369" t="n">
        <v>389</v>
      </c>
      <c r="J369" t="inlineStr">
        <is>
          <t>Campos</t>
        </is>
      </c>
      <c r="K369" t="n">
        <v>32.9</v>
      </c>
      <c r="L369" t="n">
        <v>28</v>
      </c>
      <c r="M369" t="n">
        <v>14.6</v>
      </c>
      <c r="N369" t="n">
        <v>18</v>
      </c>
      <c r="O369" t="n">
        <v>71.09999999999999</v>
      </c>
      <c r="P369" t="n">
        <v>56</v>
      </c>
      <c r="Q369" t="n">
        <v>12.3</v>
      </c>
      <c r="R369" t="n">
        <v>14</v>
      </c>
      <c r="S369" t="n">
        <v>2350000</v>
      </c>
      <c r="T369" t="n">
        <v>6041</v>
      </c>
      <c r="AH369" t="inlineStr">
        <is>
          <t>Quelle: Idealista</t>
        </is>
      </c>
    </row>
    <row r="370">
      <c r="A370" t="n">
        <v>183</v>
      </c>
      <c r="B370" t="inlineStr">
        <is>
          <t>Casa independiente</t>
        </is>
      </c>
      <c r="C370" t="inlineStr">
        <is>
          <t>https://www.idealista.com/inmueble/110584307/</t>
        </is>
      </c>
      <c r="E370" t="n">
        <v>5</v>
      </c>
      <c r="H370" t="n">
        <v>471</v>
      </c>
      <c r="J370" t="inlineStr">
        <is>
          <t>Santanyí</t>
        </is>
      </c>
      <c r="K370" t="n">
        <v>45.4</v>
      </c>
      <c r="L370" t="n">
        <v>39</v>
      </c>
      <c r="M370" t="n">
        <v>9</v>
      </c>
      <c r="N370" t="n">
        <v>13</v>
      </c>
      <c r="O370" t="n">
        <v>83.59999999999999</v>
      </c>
      <c r="P370" t="n">
        <v>67</v>
      </c>
      <c r="Q370" t="n">
        <v>9.699999999999999</v>
      </c>
      <c r="R370" t="n">
        <v>15</v>
      </c>
      <c r="S370" t="n">
        <v>4300000</v>
      </c>
      <c r="T370" t="n">
        <v>9130</v>
      </c>
      <c r="AH370" t="inlineStr">
        <is>
          <t>Quelle: Idealista</t>
        </is>
      </c>
    </row>
    <row r="371">
      <c r="A371" t="n">
        <v>184</v>
      </c>
      <c r="B371" t="inlineStr">
        <is>
          <t>Casa rural</t>
        </is>
      </c>
      <c r="C371" t="inlineStr">
        <is>
          <t>https://www.idealista.com/inmueble/110583812/</t>
        </is>
      </c>
      <c r="E371" t="n">
        <v>7</v>
      </c>
      <c r="H371" t="n">
        <v>1420</v>
      </c>
      <c r="J371" t="inlineStr">
        <is>
          <t>Secar de la Real, Palma de Mallorca</t>
        </is>
      </c>
      <c r="K371" t="n">
        <v>13.7</v>
      </c>
      <c r="L371" t="n">
        <v>15</v>
      </c>
      <c r="M371" t="n">
        <v>56.5</v>
      </c>
      <c r="N371" t="n">
        <v>48</v>
      </c>
      <c r="O371" t="n">
        <v>32</v>
      </c>
      <c r="P371" t="n">
        <v>28</v>
      </c>
      <c r="Q371" t="n">
        <v>54.2</v>
      </c>
      <c r="R371" t="n">
        <v>45</v>
      </c>
      <c r="S371" t="n">
        <v>2750000</v>
      </c>
      <c r="T371" t="n">
        <v>1937</v>
      </c>
      <c r="AH371" t="inlineStr">
        <is>
          <t>Quelle: Idealista</t>
        </is>
      </c>
    </row>
    <row r="372">
      <c r="A372" t="n">
        <v>185</v>
      </c>
      <c r="B372" t="inlineStr">
        <is>
          <t>Casa independiente en calle son boronat</t>
        </is>
      </c>
      <c r="C372" t="inlineStr">
        <is>
          <t>https://www.idealista.com/inmueble/110582745/</t>
        </is>
      </c>
      <c r="E372" t="n">
        <v>5</v>
      </c>
      <c r="H372" t="n">
        <v>430</v>
      </c>
      <c r="J372" t="inlineStr">
        <is>
          <t>Calvià pueblo, Calvià</t>
        </is>
      </c>
      <c r="K372" t="n">
        <v>31.1</v>
      </c>
      <c r="L372" t="n">
        <v>28</v>
      </c>
      <c r="M372" t="n">
        <v>73.90000000000001</v>
      </c>
      <c r="N372" t="n">
        <v>61</v>
      </c>
      <c r="O372" t="n">
        <v>19.4</v>
      </c>
      <c r="P372" t="n">
        <v>22</v>
      </c>
      <c r="Q372" t="n">
        <v>71.59999999999999</v>
      </c>
      <c r="R372" t="n">
        <v>58</v>
      </c>
      <c r="S372" t="n">
        <v>2170000</v>
      </c>
      <c r="T372" t="n">
        <v>5047</v>
      </c>
      <c r="AH372" t="inlineStr">
        <is>
          <t>Quelle: Idealista</t>
        </is>
      </c>
    </row>
    <row r="373">
      <c r="A373" t="n">
        <v>186</v>
      </c>
      <c r="B373" t="inlineStr">
        <is>
          <t>Casa independiente</t>
        </is>
      </c>
      <c r="C373" t="inlineStr">
        <is>
          <t>https://www.idealista.com/inmueble/110581494/</t>
        </is>
      </c>
      <c r="E373" t="n">
        <v>5</v>
      </c>
      <c r="H373" t="n">
        <v>448</v>
      </c>
      <c r="J373" t="inlineStr">
        <is>
          <t>Sta Catalina - Son Armadans - Maritim, Palma de Mallorca</t>
        </is>
      </c>
      <c r="K373" t="n">
        <v>11</v>
      </c>
      <c r="L373" t="n">
        <v>16</v>
      </c>
      <c r="M373" t="n">
        <v>53.7</v>
      </c>
      <c r="N373" t="n">
        <v>49</v>
      </c>
      <c r="O373" t="n">
        <v>29.2</v>
      </c>
      <c r="P373" t="n">
        <v>29</v>
      </c>
      <c r="Q373" t="n">
        <v>51.4</v>
      </c>
      <c r="R373" t="n">
        <v>45</v>
      </c>
      <c r="S373" t="n">
        <v>4900000</v>
      </c>
      <c r="T373" t="n">
        <v>10938</v>
      </c>
      <c r="AH373" t="inlineStr">
        <is>
          <t>Quelle: Idealista</t>
        </is>
      </c>
    </row>
    <row r="374">
      <c r="A374" t="n">
        <v>187</v>
      </c>
      <c r="B374" t="inlineStr">
        <is>
          <t>Casa rural</t>
        </is>
      </c>
      <c r="C374" t="inlineStr">
        <is>
          <t>https://www.idealista.com/inmueble/110580275/</t>
        </is>
      </c>
      <c r="E374" t="n">
        <v>6</v>
      </c>
      <c r="H374" t="n">
        <v>1065</v>
      </c>
      <c r="J374" t="inlineStr">
        <is>
          <t>Establiments - Son Sardina, Palma de Mallorca</t>
        </is>
      </c>
      <c r="K374" t="n">
        <v>19</v>
      </c>
      <c r="L374" t="n">
        <v>25</v>
      </c>
      <c r="M374" t="n">
        <v>61.8</v>
      </c>
      <c r="N374" t="n">
        <v>58</v>
      </c>
      <c r="O374" t="n">
        <v>35.7</v>
      </c>
      <c r="P374" t="n">
        <v>39</v>
      </c>
      <c r="Q374" t="n">
        <v>59.5</v>
      </c>
      <c r="R374" t="n">
        <v>55</v>
      </c>
      <c r="S374" t="n">
        <v>3900000</v>
      </c>
      <c r="T374" t="n">
        <v>3662</v>
      </c>
      <c r="AH374" t="inlineStr">
        <is>
          <t>Quelle: Idealista</t>
        </is>
      </c>
    </row>
    <row r="375">
      <c r="A375" t="n">
        <v>188</v>
      </c>
      <c r="B375" t="inlineStr">
        <is>
          <t>Finca rústica</t>
        </is>
      </c>
      <c r="C375" t="inlineStr">
        <is>
          <t>https://www.idealista.com/inmueble/110579301/</t>
        </is>
      </c>
      <c r="E375" t="n">
        <v>7</v>
      </c>
      <c r="H375" t="n">
        <v>990</v>
      </c>
      <c r="J375" t="inlineStr">
        <is>
          <t>Lloret de Vista Alegre</t>
        </is>
      </c>
      <c r="K375" t="n">
        <v>33.2</v>
      </c>
      <c r="L375" t="n">
        <v>36</v>
      </c>
      <c r="M375" t="n">
        <v>47.7</v>
      </c>
      <c r="N375" t="n">
        <v>51</v>
      </c>
      <c r="O375" t="n">
        <v>65</v>
      </c>
      <c r="P375" t="n">
        <v>57</v>
      </c>
      <c r="Q375" t="n">
        <v>45.4</v>
      </c>
      <c r="R375" t="n">
        <v>47</v>
      </c>
      <c r="S375" t="n">
        <v>3800000</v>
      </c>
      <c r="T375" t="n">
        <v>3838</v>
      </c>
      <c r="AH375" t="inlineStr">
        <is>
          <t>Quelle: Idealista</t>
        </is>
      </c>
    </row>
    <row r="376">
      <c r="A376" t="n">
        <v>189</v>
      </c>
      <c r="B376" t="inlineStr">
        <is>
          <t>Chalet en calle Llorenç Riber</t>
        </is>
      </c>
      <c r="C376" t="inlineStr">
        <is>
          <t>https://www.idealista.com/inmueble/110576642/</t>
        </is>
      </c>
      <c r="E376" t="n">
        <v>8</v>
      </c>
      <c r="H376" t="n">
        <v>600</v>
      </c>
      <c r="J376" t="inlineStr">
        <is>
          <t>Campanet</t>
        </is>
      </c>
      <c r="K376" t="n">
        <v>46.9</v>
      </c>
      <c r="L376" t="n">
        <v>38</v>
      </c>
      <c r="M376" t="n">
        <v>65</v>
      </c>
      <c r="N376" t="n">
        <v>65</v>
      </c>
      <c r="O376" t="n">
        <v>69.5</v>
      </c>
      <c r="P376" t="n">
        <v>54</v>
      </c>
      <c r="Q376" t="n">
        <v>62.7</v>
      </c>
      <c r="R376" t="n">
        <v>61</v>
      </c>
      <c r="S376" t="n">
        <v>2750000</v>
      </c>
      <c r="T376" t="n">
        <v>4583</v>
      </c>
      <c r="AH376" t="inlineStr">
        <is>
          <t>Quelle: Idealista</t>
        </is>
      </c>
    </row>
    <row r="377">
      <c r="A377" t="n">
        <v>190</v>
      </c>
      <c r="B377" t="inlineStr">
        <is>
          <t>Casa independiente</t>
        </is>
      </c>
      <c r="C377" t="inlineStr">
        <is>
          <t>https://www.idealista.com/inmueble/110575887/</t>
        </is>
      </c>
      <c r="E377" t="n">
        <v>5</v>
      </c>
      <c r="H377" t="n">
        <v>345</v>
      </c>
      <c r="J377" t="inlineStr">
        <is>
          <t>Santa Ponça, Calvià</t>
        </is>
      </c>
      <c r="K377" t="n">
        <v>31.1</v>
      </c>
      <c r="L377" t="n">
        <v>28</v>
      </c>
      <c r="M377" t="n">
        <v>73.90000000000001</v>
      </c>
      <c r="N377" t="n">
        <v>61</v>
      </c>
      <c r="O377" t="n">
        <v>15.2</v>
      </c>
      <c r="P377" t="n">
        <v>19</v>
      </c>
      <c r="Q377" t="n">
        <v>71.59999999999999</v>
      </c>
      <c r="R377" t="n">
        <v>57</v>
      </c>
      <c r="S377" t="n">
        <v>3000000</v>
      </c>
      <c r="T377" t="n">
        <v>8696</v>
      </c>
      <c r="AH377" t="inlineStr">
        <is>
          <t>Quelle: Idealista</t>
        </is>
      </c>
    </row>
    <row r="378">
      <c r="A378" t="n">
        <v>191</v>
      </c>
      <c r="B378" t="inlineStr">
        <is>
          <t>Chalet</t>
        </is>
      </c>
      <c r="C378" t="inlineStr">
        <is>
          <t>https://www.idealista.com/inmueble/110542891/</t>
        </is>
      </c>
      <c r="E378" t="n">
        <v>7</v>
      </c>
      <c r="H378" t="n">
        <v>361</v>
      </c>
      <c r="J378" t="inlineStr">
        <is>
          <t>Genova - Bonanova - Sant Agustí, Palma de Mallorca</t>
        </is>
      </c>
      <c r="K378" t="n">
        <v>18</v>
      </c>
      <c r="L378" t="n">
        <v>20</v>
      </c>
      <c r="M378" t="n">
        <v>60.7</v>
      </c>
      <c r="N378" t="n">
        <v>53</v>
      </c>
      <c r="O378" t="n">
        <v>25.4</v>
      </c>
      <c r="P378" t="n">
        <v>26</v>
      </c>
      <c r="Q378" t="n">
        <v>58.4</v>
      </c>
      <c r="R378" t="n">
        <v>49</v>
      </c>
      <c r="S378" t="n">
        <v>2450000</v>
      </c>
      <c r="T378" t="n">
        <v>6787</v>
      </c>
      <c r="AH378" t="inlineStr">
        <is>
          <t>Quelle: Idealista</t>
        </is>
      </c>
    </row>
    <row r="379">
      <c r="A379" t="n">
        <v>192</v>
      </c>
      <c r="B379" t="inlineStr">
        <is>
          <t>Casa independiente</t>
        </is>
      </c>
      <c r="C379" t="inlineStr">
        <is>
          <t>https://www.idealista.com/inmueble/110574379/</t>
        </is>
      </c>
      <c r="E379" t="n">
        <v>5</v>
      </c>
      <c r="H379" t="n">
        <v>730</v>
      </c>
      <c r="J379" t="inlineStr">
        <is>
          <t>Establiments - Son Sardina, Palma de Mallorca</t>
        </is>
      </c>
      <c r="K379" t="n">
        <v>19</v>
      </c>
      <c r="L379" t="n">
        <v>25</v>
      </c>
      <c r="M379" t="n">
        <v>61.8</v>
      </c>
      <c r="N379" t="n">
        <v>58</v>
      </c>
      <c r="O379" t="n">
        <v>35.7</v>
      </c>
      <c r="P379" t="n">
        <v>39</v>
      </c>
      <c r="Q379" t="n">
        <v>59.5</v>
      </c>
      <c r="R379" t="n">
        <v>55</v>
      </c>
      <c r="S379" t="n">
        <v>3888000</v>
      </c>
      <c r="T379" t="n">
        <v>5326</v>
      </c>
      <c r="AH379" t="inlineStr">
        <is>
          <t>Quelle: Idealista</t>
        </is>
      </c>
    </row>
    <row r="380">
      <c r="A380" t="n">
        <v>193</v>
      </c>
      <c r="B380" t="inlineStr">
        <is>
          <t>Finca rústica</t>
        </is>
      </c>
      <c r="C380" t="inlineStr">
        <is>
          <t>https://www.idealista.com/inmueble/110573941/</t>
        </is>
      </c>
      <c r="E380" t="n">
        <v>6</v>
      </c>
      <c r="H380" t="n">
        <v>882</v>
      </c>
      <c r="J380" t="inlineStr">
        <is>
          <t>Sant Llorenç Des Cardassar</t>
        </is>
      </c>
      <c r="K380" t="n">
        <v>56.7</v>
      </c>
      <c r="L380" t="n">
        <v>49</v>
      </c>
      <c r="M380" t="n">
        <v>52</v>
      </c>
      <c r="N380" t="n">
        <v>52</v>
      </c>
      <c r="O380" t="n">
        <v>90.90000000000001</v>
      </c>
      <c r="P380" t="n">
        <v>73</v>
      </c>
      <c r="Q380" t="n">
        <v>49.7</v>
      </c>
      <c r="R380" t="n">
        <v>48</v>
      </c>
      <c r="S380" t="n">
        <v>3950000</v>
      </c>
      <c r="T380" t="n">
        <v>4478</v>
      </c>
      <c r="AH380" t="inlineStr">
        <is>
          <t>Quelle: Idealista</t>
        </is>
      </c>
    </row>
    <row r="381">
      <c r="A381" t="n">
        <v>194</v>
      </c>
      <c r="B381" t="inlineStr">
        <is>
          <t>Chalet</t>
        </is>
      </c>
      <c r="C381" t="inlineStr">
        <is>
          <t>https://www.idealista.com/inmueble/110570366/</t>
        </is>
      </c>
      <c r="E381" t="n">
        <v>5</v>
      </c>
      <c r="H381" t="n">
        <v>357</v>
      </c>
      <c r="J381" t="inlineStr">
        <is>
          <t>Santa Ponça, Calvià</t>
        </is>
      </c>
      <c r="K381" t="n">
        <v>31.1</v>
      </c>
      <c r="L381" t="n">
        <v>28</v>
      </c>
      <c r="M381" t="n">
        <v>73.90000000000001</v>
      </c>
      <c r="N381" t="n">
        <v>61</v>
      </c>
      <c r="O381" t="n">
        <v>15.2</v>
      </c>
      <c r="P381" t="n">
        <v>19</v>
      </c>
      <c r="Q381" t="n">
        <v>71.59999999999999</v>
      </c>
      <c r="R381" t="n">
        <v>57</v>
      </c>
      <c r="S381" t="n">
        <v>2750000</v>
      </c>
      <c r="T381" t="n">
        <v>7703</v>
      </c>
      <c r="AH381" t="inlineStr">
        <is>
          <t>Quelle: Idealista</t>
        </is>
      </c>
    </row>
    <row r="382">
      <c r="A382" t="n">
        <v>195</v>
      </c>
      <c r="B382" t="inlineStr">
        <is>
          <t>Casa rural</t>
        </is>
      </c>
      <c r="C382" t="inlineStr">
        <is>
          <t>https://www.idealista.com/inmueble/110566524/</t>
        </is>
      </c>
      <c r="E382" t="n">
        <v>6</v>
      </c>
      <c r="H382" t="n">
        <v>560</v>
      </c>
      <c r="J382" t="inlineStr">
        <is>
          <t>Manacor Centro, Manacor</t>
        </is>
      </c>
      <c r="K382" t="n">
        <v>50.5</v>
      </c>
      <c r="L382" t="n">
        <v>47</v>
      </c>
      <c r="M382" t="n">
        <v>40.1</v>
      </c>
      <c r="N382" t="n">
        <v>43</v>
      </c>
      <c r="O382" t="n">
        <v>84.7</v>
      </c>
      <c r="P382" t="n">
        <v>71</v>
      </c>
      <c r="Q382" t="n">
        <v>37.8</v>
      </c>
      <c r="R382" t="n">
        <v>40</v>
      </c>
      <c r="S382" t="n">
        <v>2950000</v>
      </c>
      <c r="T382" t="n">
        <v>5268</v>
      </c>
      <c r="AH382" t="inlineStr">
        <is>
          <t>Quelle: Idealista</t>
        </is>
      </c>
    </row>
    <row r="383">
      <c r="A383" t="n">
        <v>196</v>
      </c>
      <c r="B383" t="inlineStr">
        <is>
          <t>Casa rural</t>
        </is>
      </c>
      <c r="C383" t="inlineStr">
        <is>
          <t>https://www.idealista.com/inmueble/110566516/</t>
        </is>
      </c>
      <c r="E383" t="n">
        <v>5</v>
      </c>
      <c r="H383" t="n">
        <v>595</v>
      </c>
      <c r="J383" t="inlineStr">
        <is>
          <t>S'Horta - Cas Concos des Cavaller, Felanitx</t>
        </is>
      </c>
      <c r="K383" t="n">
        <v>43.4</v>
      </c>
      <c r="L383" t="n">
        <v>42</v>
      </c>
      <c r="M383" t="n">
        <v>14.6</v>
      </c>
      <c r="N383" t="n">
        <v>21</v>
      </c>
      <c r="O383" t="n">
        <v>81.59999999999999</v>
      </c>
      <c r="P383" t="n">
        <v>69</v>
      </c>
      <c r="Q383" t="n">
        <v>15.9</v>
      </c>
      <c r="R383" t="n">
        <v>25</v>
      </c>
      <c r="S383" t="n">
        <v>4500000</v>
      </c>
      <c r="T383" t="n">
        <v>7563</v>
      </c>
      <c r="AH383" t="inlineStr">
        <is>
          <t>Quelle: Idealista</t>
        </is>
      </c>
    </row>
    <row r="384">
      <c r="A384" t="n">
        <v>197</v>
      </c>
      <c r="B384" t="inlineStr">
        <is>
          <t>Casa rural</t>
        </is>
      </c>
      <c r="C384" t="inlineStr">
        <is>
          <t>https://www.idealista.com/inmueble/110566440/</t>
        </is>
      </c>
      <c r="E384" t="n">
        <v>5</v>
      </c>
      <c r="H384" t="n">
        <v>505</v>
      </c>
      <c r="J384" t="inlineStr">
        <is>
          <t>Portocolom, Felanitx</t>
        </is>
      </c>
      <c r="K384" t="n">
        <v>58.9</v>
      </c>
      <c r="L384" t="n">
        <v>53</v>
      </c>
      <c r="M384" t="n">
        <v>24.7</v>
      </c>
      <c r="N384" t="n">
        <v>34</v>
      </c>
      <c r="O384" t="n">
        <v>97.09999999999999</v>
      </c>
      <c r="P384" t="n">
        <v>80</v>
      </c>
      <c r="Q384" t="n">
        <v>26.2</v>
      </c>
      <c r="R384" t="n">
        <v>36</v>
      </c>
      <c r="S384" t="n">
        <v>3950000</v>
      </c>
      <c r="T384" t="n">
        <v>7822</v>
      </c>
      <c r="AH384" t="inlineStr">
        <is>
          <t>Quelle: Idealista</t>
        </is>
      </c>
    </row>
    <row r="385">
      <c r="A385" t="n">
        <v>198</v>
      </c>
      <c r="B385" t="inlineStr">
        <is>
          <t>Casa rural</t>
        </is>
      </c>
      <c r="C385" t="inlineStr">
        <is>
          <t>https://www.idealista.com/inmueble/110566460/</t>
        </is>
      </c>
      <c r="E385" t="n">
        <v>6</v>
      </c>
      <c r="H385" t="n">
        <v>450</v>
      </c>
      <c r="J385" t="inlineStr">
        <is>
          <t>S'Horta - Cas Concos des Cavaller, Felanitx</t>
        </is>
      </c>
      <c r="K385" t="n">
        <v>43.4</v>
      </c>
      <c r="L385" t="n">
        <v>42</v>
      </c>
      <c r="M385" t="n">
        <v>14.6</v>
      </c>
      <c r="N385" t="n">
        <v>21</v>
      </c>
      <c r="O385" t="n">
        <v>81.59999999999999</v>
      </c>
      <c r="P385" t="n">
        <v>69</v>
      </c>
      <c r="Q385" t="n">
        <v>15.9</v>
      </c>
      <c r="R385" t="n">
        <v>25</v>
      </c>
      <c r="S385" t="n">
        <v>5650000</v>
      </c>
      <c r="T385" t="n">
        <v>12556</v>
      </c>
      <c r="AH385" t="inlineStr">
        <is>
          <t>Quelle: Idealista</t>
        </is>
      </c>
    </row>
    <row r="386">
      <c r="A386" t="n">
        <v>199</v>
      </c>
      <c r="B386" t="inlineStr">
        <is>
          <t>Casa rural</t>
        </is>
      </c>
      <c r="C386" t="inlineStr">
        <is>
          <t>https://www.idealista.com/inmueble/110566344/</t>
        </is>
      </c>
      <c r="E386" t="n">
        <v>5</v>
      </c>
      <c r="H386" t="n">
        <v>601</v>
      </c>
      <c r="J386" t="inlineStr">
        <is>
          <t>Campos</t>
        </is>
      </c>
      <c r="K386" t="n">
        <v>32.9</v>
      </c>
      <c r="L386" t="n">
        <v>28</v>
      </c>
      <c r="M386" t="n">
        <v>14.6</v>
      </c>
      <c r="N386" t="n">
        <v>18</v>
      </c>
      <c r="O386" t="n">
        <v>71.09999999999999</v>
      </c>
      <c r="P386" t="n">
        <v>56</v>
      </c>
      <c r="Q386" t="n">
        <v>12.3</v>
      </c>
      <c r="R386" t="n">
        <v>14</v>
      </c>
      <c r="S386" t="n">
        <v>6200000</v>
      </c>
      <c r="T386" t="n">
        <v>10316</v>
      </c>
      <c r="AH386" t="inlineStr">
        <is>
          <t>Quelle: Idealista</t>
        </is>
      </c>
    </row>
    <row r="387">
      <c r="A387" t="n">
        <v>200</v>
      </c>
      <c r="B387" t="inlineStr">
        <is>
          <t>Casa independiente en Diseminado Poligono 8, 282</t>
        </is>
      </c>
      <c r="C387" t="inlineStr">
        <is>
          <t>https://www.idealista.com/inmueble/110563173/</t>
        </is>
      </c>
      <c r="E387" t="n">
        <v>5</v>
      </c>
      <c r="H387" t="n">
        <v>550</v>
      </c>
      <c r="J387" t="inlineStr">
        <is>
          <t>Portopetro, Santanyí</t>
        </is>
      </c>
      <c r="K387" t="n">
        <v>55.4</v>
      </c>
      <c r="L387" t="n">
        <v>50</v>
      </c>
      <c r="M387" t="n">
        <v>19.1</v>
      </c>
      <c r="N387" t="n">
        <v>26</v>
      </c>
      <c r="O387" t="n">
        <v>93.59999999999999</v>
      </c>
      <c r="P387" t="n">
        <v>77</v>
      </c>
      <c r="Q387" t="n">
        <v>20.6</v>
      </c>
      <c r="R387" t="n">
        <v>28</v>
      </c>
      <c r="S387" t="n">
        <v>2600000</v>
      </c>
      <c r="T387" t="n">
        <v>4727</v>
      </c>
      <c r="AH387" t="inlineStr">
        <is>
          <t>Quelle: Idealista</t>
        </is>
      </c>
    </row>
    <row r="388">
      <c r="A388" t="n">
        <v>201</v>
      </c>
      <c r="B388" t="inlineStr">
        <is>
          <t>Finca rústica</t>
        </is>
      </c>
      <c r="C388" t="inlineStr">
        <is>
          <t>https://www.idealista.com/inmueble/110562076/</t>
        </is>
      </c>
      <c r="E388" t="n">
        <v>7</v>
      </c>
      <c r="H388" t="n">
        <v>550</v>
      </c>
      <c r="J388" t="inlineStr">
        <is>
          <t>Artà, Arta</t>
        </is>
      </c>
      <c r="K388" t="n">
        <v>68.3</v>
      </c>
      <c r="L388" t="n">
        <v>61</v>
      </c>
      <c r="M388" t="n">
        <v>63.7</v>
      </c>
      <c r="N388" t="n">
        <v>64</v>
      </c>
      <c r="O388" t="n">
        <v>102.6</v>
      </c>
      <c r="P388" t="n">
        <v>86</v>
      </c>
      <c r="Q388" t="n">
        <v>61.4</v>
      </c>
      <c r="R388" t="n">
        <v>61</v>
      </c>
      <c r="S388" t="n">
        <v>2400000</v>
      </c>
      <c r="T388" t="n">
        <v>4364</v>
      </c>
      <c r="AH388" t="inlineStr">
        <is>
          <t>Quelle: Idealista</t>
        </is>
      </c>
    </row>
    <row r="389">
      <c r="A389" t="n">
        <v>202</v>
      </c>
      <c r="B389" t="inlineStr">
        <is>
          <t>Casa rural</t>
        </is>
      </c>
      <c r="C389" t="inlineStr">
        <is>
          <t>https://www.idealista.com/inmueble/110561130/</t>
        </is>
      </c>
      <c r="E389" t="n">
        <v>5</v>
      </c>
      <c r="H389" t="n">
        <v>378</v>
      </c>
      <c r="J389" t="inlineStr">
        <is>
          <t>Consell</t>
        </is>
      </c>
      <c r="K389" t="n">
        <v>30</v>
      </c>
      <c r="L389" t="n">
        <v>26</v>
      </c>
      <c r="M389" t="n">
        <v>72.8</v>
      </c>
      <c r="N389" t="n">
        <v>59</v>
      </c>
      <c r="O389" t="n">
        <v>52.6</v>
      </c>
      <c r="P389" t="n">
        <v>42</v>
      </c>
      <c r="Q389" t="n">
        <v>70.5</v>
      </c>
      <c r="R389" t="n">
        <v>55</v>
      </c>
      <c r="S389" t="n">
        <v>4250000</v>
      </c>
      <c r="T389" t="n">
        <v>11243</v>
      </c>
      <c r="AH389" t="inlineStr">
        <is>
          <t>Quelle: Idealista</t>
        </is>
      </c>
    </row>
    <row r="390">
      <c r="A390" t="n">
        <v>203</v>
      </c>
      <c r="B390" t="inlineStr">
        <is>
          <t>Casa independiente en calle del Sol</t>
        </is>
      </c>
      <c r="C390" t="inlineStr">
        <is>
          <t>https://www.idealista.com/inmueble/96843357/</t>
        </is>
      </c>
      <c r="E390" t="n">
        <v>5</v>
      </c>
      <c r="H390" t="n">
        <v>450</v>
      </c>
      <c r="J390" t="inlineStr">
        <is>
          <t>Cala Vinyes, Calvià</t>
        </is>
      </c>
      <c r="K390" t="n">
        <v>31.5</v>
      </c>
      <c r="L390" t="n">
        <v>31</v>
      </c>
      <c r="M390" t="n">
        <v>74.3</v>
      </c>
      <c r="N390" t="n">
        <v>64</v>
      </c>
      <c r="O390" t="n">
        <v>20.4</v>
      </c>
      <c r="P390" t="n">
        <v>25</v>
      </c>
      <c r="Q390" t="n">
        <v>72</v>
      </c>
      <c r="R390" t="n">
        <v>60</v>
      </c>
      <c r="S390" t="n">
        <v>4950000</v>
      </c>
      <c r="T390" t="n">
        <v>11000</v>
      </c>
      <c r="AH390" t="inlineStr">
        <is>
          <t>Quelle: Idealista</t>
        </is>
      </c>
    </row>
    <row r="391">
      <c r="A391" t="n">
        <v>204</v>
      </c>
      <c r="B391" t="inlineStr">
        <is>
          <t>Casa independiente en calle Vaquer</t>
        </is>
      </c>
      <c r="C391" t="inlineStr">
        <is>
          <t>https://www.idealista.com/inmueble/110560089/</t>
        </is>
      </c>
      <c r="E391" t="n">
        <v>5</v>
      </c>
      <c r="H391" t="n">
        <v>903</v>
      </c>
      <c r="J391" t="inlineStr">
        <is>
          <t>Bendinat, Calvià</t>
        </is>
      </c>
      <c r="K391" t="n">
        <v>23.1</v>
      </c>
      <c r="L391" t="n">
        <v>22</v>
      </c>
      <c r="M391" t="n">
        <v>65.8</v>
      </c>
      <c r="N391" t="n">
        <v>55</v>
      </c>
      <c r="O391" t="n">
        <v>23.2</v>
      </c>
      <c r="P391" t="n">
        <v>23</v>
      </c>
      <c r="Q391" t="n">
        <v>63.5</v>
      </c>
      <c r="R391" t="n">
        <v>51</v>
      </c>
      <c r="S391" t="n">
        <v>5500000</v>
      </c>
      <c r="T391" t="n">
        <v>6091</v>
      </c>
      <c r="AH391" t="inlineStr">
        <is>
          <t>Quelle: Idealista</t>
        </is>
      </c>
    </row>
    <row r="392">
      <c r="A392" t="n">
        <v>205</v>
      </c>
      <c r="B392" t="inlineStr">
        <is>
          <t>Casa independiente</t>
        </is>
      </c>
      <c r="C392" t="inlineStr">
        <is>
          <t>https://www.idealista.com/inmueble/110556277/</t>
        </is>
      </c>
      <c r="E392" t="n">
        <v>8</v>
      </c>
      <c r="H392" t="n">
        <v>510</v>
      </c>
      <c r="J392" t="inlineStr">
        <is>
          <t>Estellencs</t>
        </is>
      </c>
      <c r="K392" t="n">
        <v>42.7</v>
      </c>
      <c r="L392" t="n">
        <v>58</v>
      </c>
      <c r="M392" t="n">
        <v>85.5</v>
      </c>
      <c r="N392" t="n">
        <v>91</v>
      </c>
      <c r="O392" t="n">
        <v>19.9</v>
      </c>
      <c r="P392" t="n">
        <v>32</v>
      </c>
      <c r="Q392" t="n">
        <v>83.2</v>
      </c>
      <c r="R392" t="n">
        <v>87</v>
      </c>
      <c r="S392" t="n">
        <v>2600000</v>
      </c>
      <c r="T392" t="n">
        <v>5098</v>
      </c>
      <c r="AH392" t="inlineStr">
        <is>
          <t>Quelle: Idealista</t>
        </is>
      </c>
    </row>
    <row r="393">
      <c r="A393" t="n">
        <v>206</v>
      </c>
      <c r="B393" t="inlineStr">
        <is>
          <t>Chalet pareado en calle de Victorio Luzuriaga</t>
        </is>
      </c>
      <c r="C393" t="inlineStr">
        <is>
          <t>https://www.idealista.com/inmueble/103513522/</t>
        </is>
      </c>
      <c r="E393" t="n">
        <v>11</v>
      </c>
      <c r="H393" t="n">
        <v>532</v>
      </c>
      <c r="J393" t="inlineStr">
        <is>
          <t>Genova - Bonanova - Sant Agustí, Palma de Mallorca</t>
        </is>
      </c>
      <c r="K393" t="n">
        <v>18</v>
      </c>
      <c r="L393" t="n">
        <v>20</v>
      </c>
      <c r="M393" t="n">
        <v>60.7</v>
      </c>
      <c r="N393" t="n">
        <v>53</v>
      </c>
      <c r="O393" t="n">
        <v>25.4</v>
      </c>
      <c r="P393" t="n">
        <v>26</v>
      </c>
      <c r="Q393" t="n">
        <v>58.4</v>
      </c>
      <c r="R393" t="n">
        <v>49</v>
      </c>
      <c r="S393" t="n">
        <v>3500000</v>
      </c>
      <c r="T393" t="n">
        <v>6579</v>
      </c>
      <c r="AH393" t="inlineStr">
        <is>
          <t>Quelle: Idealista</t>
        </is>
      </c>
    </row>
    <row r="394">
      <c r="A394" t="n">
        <v>207</v>
      </c>
      <c r="B394" t="inlineStr">
        <is>
          <t>Casa independiente</t>
        </is>
      </c>
      <c r="C394" t="inlineStr">
        <is>
          <t>https://www.idealista.com/inmueble/110465984/</t>
        </is>
      </c>
      <c r="E394" t="n">
        <v>5</v>
      </c>
      <c r="H394" t="n">
        <v>1000</v>
      </c>
      <c r="J394" t="inlineStr">
        <is>
          <t>Betlem, Arta</t>
        </is>
      </c>
      <c r="K394" t="n">
        <v>73.3</v>
      </c>
      <c r="L394" t="n">
        <v>63</v>
      </c>
      <c r="M394" t="n">
        <v>68.7</v>
      </c>
      <c r="N394" t="n">
        <v>67</v>
      </c>
      <c r="O394" t="n">
        <v>109.1</v>
      </c>
      <c r="P394" t="n">
        <v>88</v>
      </c>
      <c r="Q394" t="n">
        <v>66.3</v>
      </c>
      <c r="R394" t="n">
        <v>63</v>
      </c>
      <c r="S394" t="n">
        <v>4400000</v>
      </c>
      <c r="T394" t="n">
        <v>4400</v>
      </c>
      <c r="AH394" t="inlineStr">
        <is>
          <t>Quelle: Idealista</t>
        </is>
      </c>
    </row>
    <row r="395">
      <c r="A395" t="n">
        <v>208</v>
      </c>
      <c r="B395" t="inlineStr">
        <is>
          <t>Casa independiente en Diseminado Poligono 4</t>
        </is>
      </c>
      <c r="C395" t="inlineStr">
        <is>
          <t>https://www.idealista.com/inmueble/110554286/</t>
        </is>
      </c>
      <c r="E395" t="n">
        <v>7</v>
      </c>
      <c r="H395" t="n">
        <v>767</v>
      </c>
      <c r="J395" t="inlineStr">
        <is>
          <t>Pollença</t>
        </is>
      </c>
      <c r="K395" t="n">
        <v>60.6</v>
      </c>
      <c r="L395" t="n">
        <v>47</v>
      </c>
      <c r="M395" t="n">
        <v>78.7</v>
      </c>
      <c r="N395" t="n">
        <v>74</v>
      </c>
      <c r="O395" t="n">
        <v>83.2</v>
      </c>
      <c r="P395" t="n">
        <v>63</v>
      </c>
      <c r="Q395" t="n">
        <v>76.40000000000001</v>
      </c>
      <c r="R395" t="n">
        <v>70</v>
      </c>
      <c r="S395" t="n">
        <v>5750000</v>
      </c>
      <c r="T395" t="n">
        <v>7497</v>
      </c>
      <c r="AH395" t="inlineStr">
        <is>
          <t>Quelle: Idealista</t>
        </is>
      </c>
    </row>
    <row r="396">
      <c r="A396" t="n">
        <v>209</v>
      </c>
      <c r="B396" t="inlineStr">
        <is>
          <t>Casa rural</t>
        </is>
      </c>
      <c r="C396" t="inlineStr">
        <is>
          <t>https://www.idealista.com/inmueble/110553539/</t>
        </is>
      </c>
      <c r="E396" t="n">
        <v>5</v>
      </c>
      <c r="H396" t="n">
        <v>668</v>
      </c>
      <c r="J396" t="inlineStr">
        <is>
          <t>Ses Salines (Mallorca)</t>
        </is>
      </c>
      <c r="K396" t="n">
        <v>44.5</v>
      </c>
      <c r="L396" t="n">
        <v>39</v>
      </c>
      <c r="M396" t="n">
        <v>2.4</v>
      </c>
      <c r="N396" t="n">
        <v>5</v>
      </c>
      <c r="O396" t="n">
        <v>82.7</v>
      </c>
      <c r="P396" t="n">
        <v>67</v>
      </c>
      <c r="Q396" t="n">
        <v>2</v>
      </c>
      <c r="R396" t="n">
        <v>5</v>
      </c>
      <c r="S396" t="n">
        <v>3250000</v>
      </c>
      <c r="T396" t="n">
        <v>4865</v>
      </c>
      <c r="AH396" t="inlineStr">
        <is>
          <t>Quelle: Idealista</t>
        </is>
      </c>
    </row>
    <row r="397">
      <c r="A397" t="n">
        <v>210</v>
      </c>
      <c r="B397" t="inlineStr">
        <is>
          <t>Casa independiente</t>
        </is>
      </c>
      <c r="C397" t="inlineStr">
        <is>
          <t>https://www.idealista.com/inmueble/110552069/</t>
        </is>
      </c>
      <c r="E397" t="n">
        <v>5</v>
      </c>
      <c r="H397" t="n">
        <v>666</v>
      </c>
      <c r="J397" t="inlineStr">
        <is>
          <t>Santa Ponça, Calvià</t>
        </is>
      </c>
      <c r="K397" t="n">
        <v>31.1</v>
      </c>
      <c r="L397" t="n">
        <v>28</v>
      </c>
      <c r="M397" t="n">
        <v>73.90000000000001</v>
      </c>
      <c r="N397" t="n">
        <v>61</v>
      </c>
      <c r="O397" t="n">
        <v>15.2</v>
      </c>
      <c r="P397" t="n">
        <v>19</v>
      </c>
      <c r="Q397" t="n">
        <v>71.59999999999999</v>
      </c>
      <c r="R397" t="n">
        <v>57</v>
      </c>
      <c r="S397" t="n">
        <v>4250000</v>
      </c>
      <c r="T397" t="n">
        <v>6381</v>
      </c>
      <c r="AH397" t="inlineStr">
        <is>
          <t>Quelle: Idealista</t>
        </is>
      </c>
    </row>
    <row r="398">
      <c r="A398" t="n">
        <v>211</v>
      </c>
      <c r="B398" t="inlineStr">
        <is>
          <t>Casa independiente</t>
        </is>
      </c>
      <c r="C398" t="inlineStr">
        <is>
          <t>https://www.idealista.com/inmueble/110022596/</t>
        </is>
      </c>
      <c r="E398" t="n">
        <v>5</v>
      </c>
      <c r="H398" t="n">
        <v>201</v>
      </c>
      <c r="J398" t="inlineStr">
        <is>
          <t>Playa de Palma, Palma de Mallorca</t>
        </is>
      </c>
      <c r="K398" t="n">
        <v>5.8</v>
      </c>
      <c r="L398" t="n">
        <v>10</v>
      </c>
      <c r="M398" t="n">
        <v>48.6</v>
      </c>
      <c r="N398" t="n">
        <v>43</v>
      </c>
      <c r="O398" t="n">
        <v>40.1</v>
      </c>
      <c r="P398" t="n">
        <v>35</v>
      </c>
      <c r="Q398" t="n">
        <v>46.3</v>
      </c>
      <c r="R398" t="n">
        <v>39</v>
      </c>
      <c r="S398" t="n">
        <v>2650000</v>
      </c>
      <c r="T398" t="n">
        <v>13184</v>
      </c>
      <c r="AH398" t="inlineStr">
        <is>
          <t>Quelle: Idealista</t>
        </is>
      </c>
    </row>
    <row r="399">
      <c r="A399" t="n">
        <v>212</v>
      </c>
      <c r="B399" t="inlineStr">
        <is>
          <t>Finca rústica</t>
        </is>
      </c>
      <c r="C399" t="inlineStr">
        <is>
          <t>https://www.idealista.com/inmueble/108865639/</t>
        </is>
      </c>
      <c r="E399" t="n">
        <v>7</v>
      </c>
      <c r="H399" t="n">
        <v>840</v>
      </c>
      <c r="J399" t="inlineStr">
        <is>
          <t>Artà, Arta</t>
        </is>
      </c>
      <c r="K399" t="n">
        <v>68.3</v>
      </c>
      <c r="L399" t="n">
        <v>61</v>
      </c>
      <c r="M399" t="n">
        <v>63.7</v>
      </c>
      <c r="N399" t="n">
        <v>64</v>
      </c>
      <c r="O399" t="n">
        <v>102.6</v>
      </c>
      <c r="P399" t="n">
        <v>86</v>
      </c>
      <c r="Q399" t="n">
        <v>61.4</v>
      </c>
      <c r="R399" t="n">
        <v>61</v>
      </c>
      <c r="S399" t="n">
        <v>3500000</v>
      </c>
      <c r="T399" t="n">
        <v>4167</v>
      </c>
      <c r="AH399" t="inlineStr">
        <is>
          <t>Quelle: Idealista</t>
        </is>
      </c>
    </row>
    <row r="400">
      <c r="A400" t="n">
        <v>213</v>
      </c>
      <c r="B400" t="inlineStr">
        <is>
          <t>Casa independiente</t>
        </is>
      </c>
      <c r="C400" t="inlineStr">
        <is>
          <t>https://www.idealista.com/inmueble/110115673/</t>
        </is>
      </c>
      <c r="E400" t="n">
        <v>6</v>
      </c>
      <c r="H400" t="n">
        <v>357</v>
      </c>
      <c r="J400" t="inlineStr">
        <is>
          <t>Santa Ponça, Calvià</t>
        </is>
      </c>
      <c r="K400" t="n">
        <v>31.1</v>
      </c>
      <c r="L400" t="n">
        <v>28</v>
      </c>
      <c r="M400" t="n">
        <v>73.90000000000001</v>
      </c>
      <c r="N400" t="n">
        <v>61</v>
      </c>
      <c r="O400" t="n">
        <v>15.2</v>
      </c>
      <c r="P400" t="n">
        <v>19</v>
      </c>
      <c r="Q400" t="n">
        <v>71.59999999999999</v>
      </c>
      <c r="R400" t="n">
        <v>57</v>
      </c>
      <c r="S400" t="n">
        <v>2750000</v>
      </c>
      <c r="T400" t="n">
        <v>7703</v>
      </c>
      <c r="AH400" t="inlineStr">
        <is>
          <t>Quelle: Idealista</t>
        </is>
      </c>
    </row>
    <row r="401">
      <c r="A401" t="n">
        <v>214</v>
      </c>
      <c r="B401" t="inlineStr">
        <is>
          <t>Chalet adosado en calle de Sor Isabel Cifre</t>
        </is>
      </c>
      <c r="C401" t="inlineStr">
        <is>
          <t>https://www.idealista.com/inmueble/110550342/</t>
        </is>
      </c>
      <c r="E401" t="n">
        <v>5</v>
      </c>
      <c r="H401" t="n">
        <v>328</v>
      </c>
      <c r="J401" t="inlineStr">
        <is>
          <t>Portixol-Molinar, Palma de Mallorca</t>
        </is>
      </c>
      <c r="K401" t="n">
        <v>8.5</v>
      </c>
      <c r="L401" t="n">
        <v>13</v>
      </c>
      <c r="M401" t="n">
        <v>51.2</v>
      </c>
      <c r="N401" t="n">
        <v>46</v>
      </c>
      <c r="O401" t="n">
        <v>37.4</v>
      </c>
      <c r="P401" t="n">
        <v>34</v>
      </c>
      <c r="Q401" t="n">
        <v>48.9</v>
      </c>
      <c r="R401" t="n">
        <v>42</v>
      </c>
      <c r="S401" t="n">
        <v>2970000</v>
      </c>
      <c r="T401" t="n">
        <v>9055</v>
      </c>
      <c r="AH401" t="inlineStr">
        <is>
          <t>Quelle: Idealista</t>
        </is>
      </c>
    </row>
    <row r="402">
      <c r="A402" t="n">
        <v>215</v>
      </c>
      <c r="B402" t="inlineStr">
        <is>
          <t>Casa rural</t>
        </is>
      </c>
      <c r="C402" t="inlineStr">
        <is>
          <t>https://www.idealista.com/inmueble/110547089/</t>
        </is>
      </c>
      <c r="E402" t="n">
        <v>9</v>
      </c>
      <c r="H402" t="n">
        <v>550</v>
      </c>
      <c r="J402" t="inlineStr">
        <is>
          <t>Artà, Arta</t>
        </is>
      </c>
      <c r="K402" t="n">
        <v>68.3</v>
      </c>
      <c r="L402" t="n">
        <v>61</v>
      </c>
      <c r="M402" t="n">
        <v>63.7</v>
      </c>
      <c r="N402" t="n">
        <v>64</v>
      </c>
      <c r="O402" t="n">
        <v>102.6</v>
      </c>
      <c r="P402" t="n">
        <v>86</v>
      </c>
      <c r="Q402" t="n">
        <v>61.4</v>
      </c>
      <c r="R402" t="n">
        <v>61</v>
      </c>
      <c r="S402" t="n">
        <v>3000000</v>
      </c>
      <c r="T402" t="n">
        <v>5455</v>
      </c>
      <c r="AH402" t="inlineStr">
        <is>
          <t>Quelle: Idealista</t>
        </is>
      </c>
    </row>
    <row r="403">
      <c r="A403" t="n">
        <v>216</v>
      </c>
      <c r="B403" t="inlineStr">
        <is>
          <t>Casa rural</t>
        </is>
      </c>
      <c r="C403" t="inlineStr">
        <is>
          <t>https://www.idealista.com/inmueble/110547015/</t>
        </is>
      </c>
      <c r="E403" t="n">
        <v>7</v>
      </c>
      <c r="H403" t="n">
        <v>800</v>
      </c>
      <c r="J403" t="inlineStr">
        <is>
          <t>Campos</t>
        </is>
      </c>
      <c r="K403" t="n">
        <v>32.9</v>
      </c>
      <c r="L403" t="n">
        <v>28</v>
      </c>
      <c r="M403" t="n">
        <v>14.6</v>
      </c>
      <c r="N403" t="n">
        <v>18</v>
      </c>
      <c r="O403" t="n">
        <v>71.09999999999999</v>
      </c>
      <c r="P403" t="n">
        <v>56</v>
      </c>
      <c r="Q403" t="n">
        <v>12.3</v>
      </c>
      <c r="R403" t="n">
        <v>14</v>
      </c>
      <c r="S403" t="n">
        <v>2520000</v>
      </c>
      <c r="T403" t="n">
        <v>3150</v>
      </c>
      <c r="AH403" t="inlineStr">
        <is>
          <t>Quelle: Idealista</t>
        </is>
      </c>
    </row>
    <row r="404">
      <c r="A404" t="n">
        <v>217</v>
      </c>
      <c r="B404" t="inlineStr">
        <is>
          <t>Casa rural</t>
        </is>
      </c>
      <c r="C404" t="inlineStr">
        <is>
          <t>https://www.idealista.com/inmueble/110546971/</t>
        </is>
      </c>
      <c r="E404" t="n">
        <v>5</v>
      </c>
      <c r="H404" t="n">
        <v>450</v>
      </c>
      <c r="J404" t="inlineStr">
        <is>
          <t>Manacor Centro, Manacor</t>
        </is>
      </c>
      <c r="K404" t="n">
        <v>50.5</v>
      </c>
      <c r="L404" t="n">
        <v>47</v>
      </c>
      <c r="M404" t="n">
        <v>40.1</v>
      </c>
      <c r="N404" t="n">
        <v>43</v>
      </c>
      <c r="O404" t="n">
        <v>84.7</v>
      </c>
      <c r="P404" t="n">
        <v>71</v>
      </c>
      <c r="Q404" t="n">
        <v>37.8</v>
      </c>
      <c r="R404" t="n">
        <v>40</v>
      </c>
      <c r="S404" t="n">
        <v>2150000</v>
      </c>
      <c r="T404" t="n">
        <v>4778</v>
      </c>
      <c r="AH404" t="inlineStr">
        <is>
          <t>Quelle: Idealista</t>
        </is>
      </c>
    </row>
    <row r="405">
      <c r="A405" t="n">
        <v>218</v>
      </c>
      <c r="B405" t="inlineStr">
        <is>
          <t>Casa rural</t>
        </is>
      </c>
      <c r="C405" t="inlineStr">
        <is>
          <t>https://www.idealista.com/inmueble/110546964/</t>
        </is>
      </c>
      <c r="E405" t="n">
        <v>5</v>
      </c>
      <c r="H405" t="n">
        <v>282</v>
      </c>
      <c r="J405" t="inlineStr">
        <is>
          <t>Manacor Centro, Manacor</t>
        </is>
      </c>
      <c r="K405" t="n">
        <v>50.5</v>
      </c>
      <c r="L405" t="n">
        <v>47</v>
      </c>
      <c r="M405" t="n">
        <v>40.1</v>
      </c>
      <c r="N405" t="n">
        <v>43</v>
      </c>
      <c r="O405" t="n">
        <v>84.7</v>
      </c>
      <c r="P405" t="n">
        <v>71</v>
      </c>
      <c r="Q405" t="n">
        <v>37.8</v>
      </c>
      <c r="R405" t="n">
        <v>40</v>
      </c>
      <c r="S405" t="n">
        <v>2180000</v>
      </c>
      <c r="T405" t="n">
        <v>7730</v>
      </c>
      <c r="AH405" t="inlineStr">
        <is>
          <t>Quelle: Idealista</t>
        </is>
      </c>
    </row>
    <row r="406">
      <c r="A406" t="n">
        <v>219</v>
      </c>
      <c r="B406" t="inlineStr">
        <is>
          <t>Chalet adosado</t>
        </is>
      </c>
      <c r="C406" t="inlineStr">
        <is>
          <t>https://www.idealista.com/inmueble/110546932/</t>
        </is>
      </c>
      <c r="E406" t="n">
        <v>16</v>
      </c>
      <c r="H406" t="n">
        <v>1223</v>
      </c>
      <c r="J406" t="inlineStr">
        <is>
          <t>Cala Millor</t>
        </is>
      </c>
      <c r="K406" t="n">
        <v>68.5</v>
      </c>
      <c r="L406" t="n">
        <v>58</v>
      </c>
      <c r="M406" t="n">
        <v>49.1</v>
      </c>
      <c r="N406" t="n">
        <v>59</v>
      </c>
      <c r="O406" t="n">
        <v>102.7</v>
      </c>
      <c r="P406" t="n">
        <v>82</v>
      </c>
      <c r="Q406" t="n">
        <v>55</v>
      </c>
      <c r="R406" t="n">
        <v>57</v>
      </c>
      <c r="S406" t="n">
        <v>2100000</v>
      </c>
      <c r="T406" t="n">
        <v>1717</v>
      </c>
      <c r="AH406" t="inlineStr">
        <is>
          <t>Quelle: Idealista</t>
        </is>
      </c>
    </row>
    <row r="407">
      <c r="A407" t="n">
        <v>220</v>
      </c>
      <c r="B407" t="inlineStr">
        <is>
          <t>Casa rural</t>
        </is>
      </c>
      <c r="C407" t="inlineStr">
        <is>
          <t>https://www.idealista.com/inmueble/110546908/</t>
        </is>
      </c>
      <c r="E407" t="n">
        <v>5</v>
      </c>
      <c r="H407" t="n">
        <v>500</v>
      </c>
      <c r="J407" t="inlineStr">
        <is>
          <t>Campos</t>
        </is>
      </c>
      <c r="K407" t="n">
        <v>32.9</v>
      </c>
      <c r="L407" t="n">
        <v>28</v>
      </c>
      <c r="M407" t="n">
        <v>14.6</v>
      </c>
      <c r="N407" t="n">
        <v>18</v>
      </c>
      <c r="O407" t="n">
        <v>71.09999999999999</v>
      </c>
      <c r="P407" t="n">
        <v>56</v>
      </c>
      <c r="Q407" t="n">
        <v>12.3</v>
      </c>
      <c r="R407" t="n">
        <v>14</v>
      </c>
      <c r="S407" t="n">
        <v>3200000</v>
      </c>
      <c r="T407" t="n">
        <v>6400</v>
      </c>
      <c r="AH407" t="inlineStr">
        <is>
          <t>Quelle: Idealista</t>
        </is>
      </c>
    </row>
    <row r="408">
      <c r="A408" t="n">
        <v>221</v>
      </c>
      <c r="B408" t="inlineStr">
        <is>
          <t>Casa rural</t>
        </is>
      </c>
      <c r="C408" t="inlineStr">
        <is>
          <t>https://www.idealista.com/inmueble/110546903/</t>
        </is>
      </c>
      <c r="E408" t="n">
        <v>5</v>
      </c>
      <c r="H408" t="n">
        <v>291</v>
      </c>
      <c r="J408" t="inlineStr">
        <is>
          <t>Son Servera</t>
        </is>
      </c>
      <c r="K408" t="n">
        <v>65.3</v>
      </c>
      <c r="L408" t="n">
        <v>57</v>
      </c>
      <c r="M408" t="n">
        <v>60.7</v>
      </c>
      <c r="N408" t="n">
        <v>60</v>
      </c>
      <c r="O408" t="n">
        <v>99.5</v>
      </c>
      <c r="P408" t="n">
        <v>82</v>
      </c>
      <c r="Q408" t="n">
        <v>58.4</v>
      </c>
      <c r="R408" t="n">
        <v>57</v>
      </c>
      <c r="S408" t="n">
        <v>3500000</v>
      </c>
      <c r="T408" t="n">
        <v>12027</v>
      </c>
      <c r="AH408" t="inlineStr">
        <is>
          <t>Quelle: Idealista</t>
        </is>
      </c>
    </row>
    <row r="409">
      <c r="A409" t="n">
        <v>222</v>
      </c>
      <c r="B409" t="inlineStr">
        <is>
          <t>Casa rural</t>
        </is>
      </c>
      <c r="C409" t="inlineStr">
        <is>
          <t>https://www.idealista.com/inmueble/110546818/</t>
        </is>
      </c>
      <c r="E409" t="n">
        <v>6</v>
      </c>
      <c r="H409" t="n">
        <v>480</v>
      </c>
      <c r="J409" t="inlineStr">
        <is>
          <t>Artà, Arta</t>
        </is>
      </c>
      <c r="K409" t="n">
        <v>68.3</v>
      </c>
      <c r="L409" t="n">
        <v>61</v>
      </c>
      <c r="M409" t="n">
        <v>63.7</v>
      </c>
      <c r="N409" t="n">
        <v>64</v>
      </c>
      <c r="O409" t="n">
        <v>102.6</v>
      </c>
      <c r="P409" t="n">
        <v>86</v>
      </c>
      <c r="Q409" t="n">
        <v>61.4</v>
      </c>
      <c r="R409" t="n">
        <v>61</v>
      </c>
      <c r="S409" t="n">
        <v>2500000</v>
      </c>
      <c r="T409" t="n">
        <v>5208</v>
      </c>
      <c r="AH409" t="inlineStr">
        <is>
          <t>Quelle: Idealista</t>
        </is>
      </c>
    </row>
    <row r="410">
      <c r="A410" t="n">
        <v>223</v>
      </c>
      <c r="B410" t="inlineStr">
        <is>
          <t>Casa rural</t>
        </is>
      </c>
      <c r="C410" t="inlineStr">
        <is>
          <t>https://www.idealista.com/inmueble/110546618/</t>
        </is>
      </c>
      <c r="E410" t="n">
        <v>5</v>
      </c>
      <c r="H410" t="n">
        <v>559</v>
      </c>
      <c r="J410" t="inlineStr">
        <is>
          <t>Sant Llorenç Des Cardassar</t>
        </is>
      </c>
      <c r="K410" t="n">
        <v>56.7</v>
      </c>
      <c r="L410" t="n">
        <v>49</v>
      </c>
      <c r="M410" t="n">
        <v>52</v>
      </c>
      <c r="N410" t="n">
        <v>52</v>
      </c>
      <c r="O410" t="n">
        <v>90.90000000000001</v>
      </c>
      <c r="P410" t="n">
        <v>73</v>
      </c>
      <c r="Q410" t="n">
        <v>49.7</v>
      </c>
      <c r="R410" t="n">
        <v>48</v>
      </c>
      <c r="S410" t="n">
        <v>2500000</v>
      </c>
      <c r="T410" t="n">
        <v>4472</v>
      </c>
      <c r="AH410" t="inlineStr">
        <is>
          <t>Quelle: Idealista</t>
        </is>
      </c>
    </row>
    <row r="411">
      <c r="A411" t="n">
        <v>224</v>
      </c>
      <c r="B411" t="inlineStr">
        <is>
          <t>Casa rural</t>
        </is>
      </c>
      <c r="C411" t="inlineStr">
        <is>
          <t>https://www.idealista.com/inmueble/110546567/</t>
        </is>
      </c>
      <c r="E411" t="n">
        <v>5</v>
      </c>
      <c r="H411" t="n">
        <v>559</v>
      </c>
      <c r="J411" t="inlineStr">
        <is>
          <t>Sant Llorenç Des Cardassar</t>
        </is>
      </c>
      <c r="K411" t="n">
        <v>56.7</v>
      </c>
      <c r="L411" t="n">
        <v>49</v>
      </c>
      <c r="M411" t="n">
        <v>52</v>
      </c>
      <c r="N411" t="n">
        <v>52</v>
      </c>
      <c r="O411" t="n">
        <v>90.90000000000001</v>
      </c>
      <c r="P411" t="n">
        <v>73</v>
      </c>
      <c r="Q411" t="n">
        <v>49.7</v>
      </c>
      <c r="R411" t="n">
        <v>48</v>
      </c>
      <c r="S411" t="n">
        <v>2500000</v>
      </c>
      <c r="T411" t="n">
        <v>4472</v>
      </c>
      <c r="AH411" t="inlineStr">
        <is>
          <t>Quelle: Idealista</t>
        </is>
      </c>
    </row>
    <row r="412">
      <c r="A412" t="n">
        <v>225</v>
      </c>
      <c r="B412" t="inlineStr">
        <is>
          <t>Casa independiente</t>
        </is>
      </c>
      <c r="C412" t="inlineStr">
        <is>
          <t>https://www.idealista.com/inmueble/110540233/</t>
        </is>
      </c>
      <c r="E412" t="n">
        <v>5</v>
      </c>
      <c r="H412" t="n">
        <v>324</v>
      </c>
      <c r="J412" t="inlineStr">
        <is>
          <t>Costa de la Calma, Calvià</t>
        </is>
      </c>
      <c r="K412" t="n">
        <v>32.6</v>
      </c>
      <c r="L412" t="n">
        <v>29</v>
      </c>
      <c r="M412" t="n">
        <v>75.40000000000001</v>
      </c>
      <c r="N412" t="n">
        <v>62</v>
      </c>
      <c r="O412" t="n">
        <v>13.7</v>
      </c>
      <c r="P412" t="n">
        <v>18</v>
      </c>
      <c r="Q412" t="n">
        <v>73.09999999999999</v>
      </c>
      <c r="R412" t="n">
        <v>58</v>
      </c>
      <c r="S412" t="n">
        <v>3000000</v>
      </c>
      <c r="T412" t="n">
        <v>9259</v>
      </c>
      <c r="AH412" t="inlineStr">
        <is>
          <t>Quelle: Idealista</t>
        </is>
      </c>
    </row>
    <row r="413">
      <c r="A413" t="n">
        <v>226</v>
      </c>
      <c r="B413" t="inlineStr">
        <is>
          <t>Casa rural</t>
        </is>
      </c>
      <c r="C413" t="inlineStr">
        <is>
          <t>https://www.idealista.com/inmueble/110540767/</t>
        </is>
      </c>
      <c r="E413" t="n">
        <v>8</v>
      </c>
      <c r="H413" t="n">
        <v>336</v>
      </c>
      <c r="J413" t="inlineStr">
        <is>
          <t>Binissalem</t>
        </is>
      </c>
      <c r="K413" t="n">
        <v>31.5</v>
      </c>
      <c r="L413" t="n">
        <v>29</v>
      </c>
      <c r="M413" t="n">
        <v>74.3</v>
      </c>
      <c r="N413" t="n">
        <v>62</v>
      </c>
      <c r="O413" t="n">
        <v>54.1</v>
      </c>
      <c r="P413" t="n">
        <v>45</v>
      </c>
      <c r="Q413" t="n">
        <v>72</v>
      </c>
      <c r="R413" t="n">
        <v>58</v>
      </c>
      <c r="S413" t="n">
        <v>3400000</v>
      </c>
      <c r="T413" t="n">
        <v>10119</v>
      </c>
      <c r="AH413" t="inlineStr">
        <is>
          <t>Quelle: Idealista</t>
        </is>
      </c>
    </row>
    <row r="414">
      <c r="A414" t="n">
        <v>227</v>
      </c>
      <c r="B414" t="inlineStr">
        <is>
          <t>Casa rural</t>
        </is>
      </c>
      <c r="C414" t="inlineStr">
        <is>
          <t>https://www.idealista.com/inmueble/110538843/</t>
        </is>
      </c>
      <c r="E414" t="n">
        <v>5</v>
      </c>
      <c r="H414" t="n">
        <v>377</v>
      </c>
      <c r="J414" t="inlineStr">
        <is>
          <t>Portopetro, Santanyí</t>
        </is>
      </c>
      <c r="K414" t="n">
        <v>55.4</v>
      </c>
      <c r="L414" t="n">
        <v>50</v>
      </c>
      <c r="M414" t="n">
        <v>19.1</v>
      </c>
      <c r="N414" t="n">
        <v>26</v>
      </c>
      <c r="O414" t="n">
        <v>93.59999999999999</v>
      </c>
      <c r="P414" t="n">
        <v>77</v>
      </c>
      <c r="Q414" t="n">
        <v>20.6</v>
      </c>
      <c r="R414" t="n">
        <v>28</v>
      </c>
      <c r="S414" t="n">
        <v>4250000</v>
      </c>
      <c r="T414" t="n">
        <v>11273</v>
      </c>
      <c r="AH414" t="inlineStr">
        <is>
          <t>Quelle: Idealista</t>
        </is>
      </c>
    </row>
    <row r="415">
      <c r="A415" t="n">
        <v>228</v>
      </c>
      <c r="B415" t="inlineStr">
        <is>
          <t>Casa independiente</t>
        </is>
      </c>
      <c r="C415" t="inlineStr">
        <is>
          <t>https://www.idealista.com/inmueble/105710202/</t>
        </is>
      </c>
      <c r="E415" t="n">
        <v>9</v>
      </c>
      <c r="H415" t="n">
        <v>800</v>
      </c>
      <c r="J415" t="inlineStr">
        <is>
          <t>Son Ferriol - Sant Jordi, Palma de Mallorca</t>
        </is>
      </c>
      <c r="K415" t="n">
        <v>7.2</v>
      </c>
      <c r="L415" t="n">
        <v>13</v>
      </c>
      <c r="M415" t="n">
        <v>50.5</v>
      </c>
      <c r="N415" t="n">
        <v>46</v>
      </c>
      <c r="O415" t="n">
        <v>38.4</v>
      </c>
      <c r="P415" t="n">
        <v>36</v>
      </c>
      <c r="Q415" t="n">
        <v>48.2</v>
      </c>
      <c r="R415" t="n">
        <v>43</v>
      </c>
      <c r="S415" t="n">
        <v>2621000</v>
      </c>
      <c r="T415" t="n">
        <v>3276</v>
      </c>
      <c r="AH415" t="inlineStr">
        <is>
          <t>Quelle: Idealista</t>
        </is>
      </c>
    </row>
    <row r="416">
      <c r="A416" t="n">
        <v>229</v>
      </c>
      <c r="B416" t="inlineStr">
        <is>
          <t>Casa independiente en calle Gran Via Illa Tagomago</t>
        </is>
      </c>
      <c r="C416" t="inlineStr">
        <is>
          <t>https://www.idealista.com/inmueble/110536110/</t>
        </is>
      </c>
      <c r="E416" t="n">
        <v>6</v>
      </c>
      <c r="H416" t="n">
        <v>375</v>
      </c>
      <c r="J416" t="inlineStr">
        <is>
          <t>Santa Ponça, Calvià</t>
        </is>
      </c>
      <c r="K416" t="n">
        <v>31.1</v>
      </c>
      <c r="L416" t="n">
        <v>28</v>
      </c>
      <c r="M416" t="n">
        <v>73.90000000000001</v>
      </c>
      <c r="N416" t="n">
        <v>61</v>
      </c>
      <c r="O416" t="n">
        <v>15.2</v>
      </c>
      <c r="P416" t="n">
        <v>19</v>
      </c>
      <c r="Q416" t="n">
        <v>71.59999999999999</v>
      </c>
      <c r="R416" t="n">
        <v>57</v>
      </c>
      <c r="S416" t="n">
        <v>2750000</v>
      </c>
      <c r="T416" t="n">
        <v>7333</v>
      </c>
      <c r="AH416" t="inlineStr">
        <is>
          <t>Quelle: Idealista</t>
        </is>
      </c>
    </row>
    <row r="417">
      <c r="A417" t="n">
        <v>230</v>
      </c>
      <c r="B417" t="inlineStr">
        <is>
          <t>Casa independiente</t>
        </is>
      </c>
      <c r="C417" t="inlineStr">
        <is>
          <t>https://www.idealista.com/inmueble/110535776/</t>
        </is>
      </c>
      <c r="E417" t="n">
        <v>8</v>
      </c>
      <c r="H417" t="n">
        <v>508</v>
      </c>
      <c r="J417" t="inlineStr">
        <is>
          <t>Son Vida, Palma de Mallorca</t>
        </is>
      </c>
      <c r="K417" t="n">
        <v>19.2</v>
      </c>
      <c r="L417" t="n">
        <v>22</v>
      </c>
      <c r="M417" t="n">
        <v>61.9</v>
      </c>
      <c r="N417" t="n">
        <v>55</v>
      </c>
      <c r="O417" t="n">
        <v>31</v>
      </c>
      <c r="P417" t="n">
        <v>31</v>
      </c>
      <c r="Q417" t="n">
        <v>59.6</v>
      </c>
      <c r="R417" t="n">
        <v>51</v>
      </c>
      <c r="S417" t="n">
        <v>3490000</v>
      </c>
      <c r="T417" t="n">
        <v>6870</v>
      </c>
      <c r="AH417" t="inlineStr">
        <is>
          <t>Quelle: Idealista</t>
        </is>
      </c>
    </row>
    <row r="418">
      <c r="A418" t="n">
        <v>231</v>
      </c>
      <c r="B418" t="inlineStr">
        <is>
          <t>Casa rural</t>
        </is>
      </c>
      <c r="C418" t="inlineStr">
        <is>
          <t>https://www.idealista.com/inmueble/110534820/</t>
        </is>
      </c>
      <c r="E418" t="n">
        <v>5</v>
      </c>
      <c r="H418" t="n">
        <v>450</v>
      </c>
      <c r="J418" t="inlineStr">
        <is>
          <t>Manacor Centro, Manacor</t>
        </is>
      </c>
      <c r="K418" t="n">
        <v>50.5</v>
      </c>
      <c r="L418" t="n">
        <v>47</v>
      </c>
      <c r="M418" t="n">
        <v>40.1</v>
      </c>
      <c r="N418" t="n">
        <v>43</v>
      </c>
      <c r="O418" t="n">
        <v>84.7</v>
      </c>
      <c r="P418" t="n">
        <v>71</v>
      </c>
      <c r="Q418" t="n">
        <v>37.8</v>
      </c>
      <c r="R418" t="n">
        <v>40</v>
      </c>
      <c r="S418" t="n">
        <v>2150000</v>
      </c>
      <c r="T418" t="n">
        <v>4778</v>
      </c>
      <c r="AH418" t="inlineStr">
        <is>
          <t>Quelle: Idealista</t>
        </is>
      </c>
    </row>
    <row r="419">
      <c r="A419" t="n">
        <v>232</v>
      </c>
      <c r="B419" t="inlineStr">
        <is>
          <t>Chalet en calle Gran Via Illa Gavina</t>
        </is>
      </c>
      <c r="C419" t="inlineStr">
        <is>
          <t>https://www.idealista.com/inmueble/110533696/</t>
        </is>
      </c>
      <c r="E419" t="n">
        <v>5</v>
      </c>
      <c r="H419" t="n">
        <v>400</v>
      </c>
      <c r="J419" t="inlineStr">
        <is>
          <t>Santa Ponça, Calvià</t>
        </is>
      </c>
      <c r="K419" t="n">
        <v>31.1</v>
      </c>
      <c r="L419" t="n">
        <v>28</v>
      </c>
      <c r="M419" t="n">
        <v>73.90000000000001</v>
      </c>
      <c r="N419" t="n">
        <v>61</v>
      </c>
      <c r="O419" t="n">
        <v>15.2</v>
      </c>
      <c r="P419" t="n">
        <v>19</v>
      </c>
      <c r="Q419" t="n">
        <v>71.59999999999999</v>
      </c>
      <c r="R419" t="n">
        <v>57</v>
      </c>
      <c r="S419" t="n">
        <v>3500000</v>
      </c>
      <c r="T419" t="n">
        <v>8750</v>
      </c>
      <c r="AH419" t="inlineStr">
        <is>
          <t>Quelle: Idealista</t>
        </is>
      </c>
    </row>
    <row r="420">
      <c r="A420" t="n">
        <v>233</v>
      </c>
      <c r="B420" t="inlineStr">
        <is>
          <t>Chalet en camino des Moli d'en Muda</t>
        </is>
      </c>
      <c r="C420" t="inlineStr">
        <is>
          <t>https://www.idealista.com/inmueble/110533648/</t>
        </is>
      </c>
      <c r="E420" t="n">
        <v>5</v>
      </c>
      <c r="H420" t="n">
        <v>400</v>
      </c>
      <c r="J420" t="inlineStr">
        <is>
          <t>Felanitx centro, Felanitx</t>
        </is>
      </c>
      <c r="K420" t="n">
        <v>45</v>
      </c>
      <c r="L420" t="n">
        <v>40</v>
      </c>
      <c r="M420" t="n">
        <v>26.8</v>
      </c>
      <c r="N420" t="n">
        <v>30</v>
      </c>
      <c r="O420" t="n">
        <v>83.2</v>
      </c>
      <c r="P420" t="n">
        <v>68</v>
      </c>
      <c r="Q420" t="n">
        <v>24.5</v>
      </c>
      <c r="R420" t="n">
        <v>26</v>
      </c>
      <c r="S420" t="n">
        <v>3500000</v>
      </c>
      <c r="T420" t="n">
        <v>8750</v>
      </c>
      <c r="AH420" t="inlineStr">
        <is>
          <t>Quelle: Idealista</t>
        </is>
      </c>
    </row>
    <row r="421">
      <c r="A421" t="n">
        <v>234</v>
      </c>
      <c r="B421" t="inlineStr">
        <is>
          <t>Chalet en calle d'Antelm Obrador</t>
        </is>
      </c>
      <c r="C421" t="inlineStr">
        <is>
          <t>https://www.idealista.com/inmueble/110533659/</t>
        </is>
      </c>
      <c r="E421" t="n">
        <v>5</v>
      </c>
      <c r="H421" t="n">
        <v>500</v>
      </c>
      <c r="J421" t="inlineStr">
        <is>
          <t>Campos</t>
        </is>
      </c>
      <c r="K421" t="n">
        <v>32.9</v>
      </c>
      <c r="L421" t="n">
        <v>28</v>
      </c>
      <c r="M421" t="n">
        <v>14.6</v>
      </c>
      <c r="N421" t="n">
        <v>18</v>
      </c>
      <c r="O421" t="n">
        <v>71.09999999999999</v>
      </c>
      <c r="P421" t="n">
        <v>56</v>
      </c>
      <c r="Q421" t="n">
        <v>12.3</v>
      </c>
      <c r="R421" t="n">
        <v>14</v>
      </c>
      <c r="S421" t="n">
        <v>3200000</v>
      </c>
      <c r="T421" t="n">
        <v>6400</v>
      </c>
      <c r="AH421" t="inlineStr">
        <is>
          <t>Quelle: Idealista</t>
        </is>
      </c>
    </row>
    <row r="422">
      <c r="A422" t="n">
        <v>235</v>
      </c>
      <c r="B422" t="inlineStr">
        <is>
          <t>Chalet en camino Can Rebull</t>
        </is>
      </c>
      <c r="C422" t="inlineStr">
        <is>
          <t>https://www.idealista.com/inmueble/110533658/</t>
        </is>
      </c>
      <c r="E422" t="n">
        <v>6</v>
      </c>
      <c r="H422" t="n">
        <v>370</v>
      </c>
      <c r="J422" t="inlineStr">
        <is>
          <t>Sa Ràpita</t>
        </is>
      </c>
      <c r="K422" t="n">
        <v>37.4</v>
      </c>
      <c r="L422" t="n">
        <v>34</v>
      </c>
      <c r="M422" t="n">
        <v>17.3</v>
      </c>
      <c r="N422" t="n">
        <v>22</v>
      </c>
      <c r="O422" t="n">
        <v>75.59999999999999</v>
      </c>
      <c r="P422" t="n">
        <v>61</v>
      </c>
      <c r="Q422" t="n">
        <v>15</v>
      </c>
      <c r="R422" t="n">
        <v>19</v>
      </c>
      <c r="S422" t="n">
        <v>3900000</v>
      </c>
      <c r="T422" t="n">
        <v>10541</v>
      </c>
      <c r="AH422" t="inlineStr">
        <is>
          <t>Quelle: Idealista</t>
        </is>
      </c>
    </row>
    <row r="423">
      <c r="A423" t="n">
        <v>236</v>
      </c>
      <c r="B423" t="inlineStr">
        <is>
          <t>Chalet en Diseminado Poligono 3</t>
        </is>
      </c>
      <c r="C423" t="inlineStr">
        <is>
          <t>https://www.idealista.com/inmueble/110533640/</t>
        </is>
      </c>
      <c r="E423" t="n">
        <v>5</v>
      </c>
      <c r="H423" t="n">
        <v>270</v>
      </c>
      <c r="J423" t="inlineStr">
        <is>
          <t>Cala Santanyí, Santanyí</t>
        </is>
      </c>
      <c r="K423" t="n">
        <v>50</v>
      </c>
      <c r="L423" t="n">
        <v>45</v>
      </c>
      <c r="M423" t="n">
        <v>12.5</v>
      </c>
      <c r="N423" t="n">
        <v>17</v>
      </c>
      <c r="O423" t="n">
        <v>88.2</v>
      </c>
      <c r="P423" t="n">
        <v>73</v>
      </c>
      <c r="Q423" t="n">
        <v>13.1</v>
      </c>
      <c r="R423" t="n">
        <v>20</v>
      </c>
      <c r="S423" t="n">
        <v>2700000</v>
      </c>
      <c r="T423" t="n">
        <v>10000</v>
      </c>
      <c r="AH423" t="inlineStr">
        <is>
          <t>Quelle: Idealista</t>
        </is>
      </c>
    </row>
    <row r="424">
      <c r="A424" t="n">
        <v>237</v>
      </c>
      <c r="B424" t="inlineStr">
        <is>
          <t>Chalet en Lugar Volta 5</t>
        </is>
      </c>
      <c r="C424" t="inlineStr">
        <is>
          <t>https://www.idealista.com/inmueble/110533646/</t>
        </is>
      </c>
      <c r="E424" t="n">
        <v>5</v>
      </c>
      <c r="H424" t="n">
        <v>510</v>
      </c>
      <c r="J424" t="inlineStr">
        <is>
          <t>S'Horta - Cas Concos des Cavaller, Felanitx</t>
        </is>
      </c>
      <c r="K424" t="n">
        <v>43.4</v>
      </c>
      <c r="L424" t="n">
        <v>42</v>
      </c>
      <c r="M424" t="n">
        <v>14.6</v>
      </c>
      <c r="N424" t="n">
        <v>21</v>
      </c>
      <c r="O424" t="n">
        <v>81.59999999999999</v>
      </c>
      <c r="P424" t="n">
        <v>69</v>
      </c>
      <c r="Q424" t="n">
        <v>15.9</v>
      </c>
      <c r="R424" t="n">
        <v>25</v>
      </c>
      <c r="S424" t="n">
        <v>4950000</v>
      </c>
      <c r="T424" t="n">
        <v>9706</v>
      </c>
      <c r="AH424" t="inlineStr">
        <is>
          <t>Quelle: Idealista</t>
        </is>
      </c>
    </row>
    <row r="425">
      <c r="A425" t="n">
        <v>238</v>
      </c>
      <c r="B425" t="inlineStr">
        <is>
          <t>Chalet en calle Forà</t>
        </is>
      </c>
      <c r="C425" t="inlineStr">
        <is>
          <t>https://www.idealista.com/inmueble/110533634/</t>
        </is>
      </c>
      <c r="E425" t="n">
        <v>6</v>
      </c>
      <c r="H425" t="n">
        <v>600</v>
      </c>
      <c r="J425" t="inlineStr">
        <is>
          <t>Ariany</t>
        </is>
      </c>
      <c r="K425" t="n">
        <v>45.1</v>
      </c>
      <c r="L425" t="n">
        <v>46</v>
      </c>
      <c r="M425" t="n">
        <v>46.2</v>
      </c>
      <c r="N425" t="n">
        <v>51</v>
      </c>
      <c r="O425" t="n">
        <v>80.40000000000001</v>
      </c>
      <c r="P425" t="n">
        <v>63</v>
      </c>
      <c r="Q425" t="n">
        <v>43.9</v>
      </c>
      <c r="R425" t="n">
        <v>47</v>
      </c>
      <c r="S425" t="n">
        <v>2995000</v>
      </c>
      <c r="T425" t="n">
        <v>4992</v>
      </c>
      <c r="AH425" t="inlineStr">
        <is>
          <t>Quelle: Idealista</t>
        </is>
      </c>
    </row>
    <row r="426">
      <c r="A426" t="n">
        <v>239</v>
      </c>
      <c r="B426" t="inlineStr">
        <is>
          <t>Chalet en calle Gran Via Illa Gavina</t>
        </is>
      </c>
      <c r="C426" t="inlineStr">
        <is>
          <t>https://www.idealista.com/inmueble/110533624/</t>
        </is>
      </c>
      <c r="E426" t="n">
        <v>5</v>
      </c>
      <c r="H426" t="n">
        <v>320</v>
      </c>
      <c r="J426" t="inlineStr">
        <is>
          <t>Santa Ponça, Calvià</t>
        </is>
      </c>
      <c r="K426" t="n">
        <v>31.1</v>
      </c>
      <c r="L426" t="n">
        <v>28</v>
      </c>
      <c r="M426" t="n">
        <v>73.90000000000001</v>
      </c>
      <c r="N426" t="n">
        <v>61</v>
      </c>
      <c r="O426" t="n">
        <v>15.2</v>
      </c>
      <c r="P426" t="n">
        <v>19</v>
      </c>
      <c r="Q426" t="n">
        <v>71.59999999999999</v>
      </c>
      <c r="R426" t="n">
        <v>57</v>
      </c>
      <c r="S426" t="n">
        <v>4490000</v>
      </c>
      <c r="T426" t="n">
        <v>14031</v>
      </c>
      <c r="AH426" t="inlineStr">
        <is>
          <t>Quelle: Idealista</t>
        </is>
      </c>
    </row>
    <row r="427">
      <c r="A427" t="n">
        <v>240</v>
      </c>
      <c r="B427" t="inlineStr">
        <is>
          <t>Chalet en calle Bèlgica</t>
        </is>
      </c>
      <c r="C427" t="inlineStr">
        <is>
          <t>https://www.idealista.com/inmueble/110533619/</t>
        </is>
      </c>
      <c r="E427" t="n">
        <v>5</v>
      </c>
      <c r="H427" t="n">
        <v>595</v>
      </c>
      <c r="J427" t="inlineStr">
        <is>
          <t>Santa Ponça, Calvià</t>
        </is>
      </c>
      <c r="K427" t="n">
        <v>31.1</v>
      </c>
      <c r="L427" t="n">
        <v>28</v>
      </c>
      <c r="M427" t="n">
        <v>73.90000000000001</v>
      </c>
      <c r="N427" t="n">
        <v>61</v>
      </c>
      <c r="O427" t="n">
        <v>15.2</v>
      </c>
      <c r="P427" t="n">
        <v>19</v>
      </c>
      <c r="Q427" t="n">
        <v>71.59999999999999</v>
      </c>
      <c r="R427" t="n">
        <v>57</v>
      </c>
      <c r="S427" t="n">
        <v>6300000</v>
      </c>
      <c r="T427" t="n">
        <v>10588</v>
      </c>
      <c r="AH427" t="inlineStr">
        <is>
          <t>Quelle: Idealista</t>
        </is>
      </c>
    </row>
    <row r="428">
      <c r="A428" t="n">
        <v>241</v>
      </c>
      <c r="B428" t="inlineStr">
        <is>
          <t>Chalet en camino de sa Bassa de ses Vaques</t>
        </is>
      </c>
      <c r="C428" t="inlineStr">
        <is>
          <t>https://www.idealista.com/inmueble/110533611/</t>
        </is>
      </c>
      <c r="E428" t="n">
        <v>5</v>
      </c>
      <c r="H428" t="n">
        <v>350</v>
      </c>
      <c r="J428" t="inlineStr">
        <is>
          <t>Portopetro, Santanyí</t>
        </is>
      </c>
      <c r="K428" t="n">
        <v>55.4</v>
      </c>
      <c r="L428" t="n">
        <v>50</v>
      </c>
      <c r="M428" t="n">
        <v>19.1</v>
      </c>
      <c r="N428" t="n">
        <v>26</v>
      </c>
      <c r="O428" t="n">
        <v>93.59999999999999</v>
      </c>
      <c r="P428" t="n">
        <v>77</v>
      </c>
      <c r="Q428" t="n">
        <v>20.6</v>
      </c>
      <c r="R428" t="n">
        <v>28</v>
      </c>
      <c r="S428" t="n">
        <v>3200000</v>
      </c>
      <c r="T428" t="n">
        <v>9143</v>
      </c>
      <c r="AH428" t="inlineStr">
        <is>
          <t>Quelle: Idealista</t>
        </is>
      </c>
    </row>
    <row r="429">
      <c r="A429" t="n">
        <v>242</v>
      </c>
      <c r="B429" t="inlineStr">
        <is>
          <t>Chalet en calle de sa Gírgola</t>
        </is>
      </c>
      <c r="C429" t="inlineStr">
        <is>
          <t>https://www.idealista.com/inmueble/110533587/</t>
        </is>
      </c>
      <c r="E429" t="n">
        <v>5</v>
      </c>
      <c r="H429" t="n">
        <v>366</v>
      </c>
      <c r="J429" t="inlineStr">
        <is>
          <t>Sa Ràpita</t>
        </is>
      </c>
      <c r="K429" t="n">
        <v>37.4</v>
      </c>
      <c r="L429" t="n">
        <v>34</v>
      </c>
      <c r="M429" t="n">
        <v>17.3</v>
      </c>
      <c r="N429" t="n">
        <v>22</v>
      </c>
      <c r="O429" t="n">
        <v>75.59999999999999</v>
      </c>
      <c r="P429" t="n">
        <v>61</v>
      </c>
      <c r="Q429" t="n">
        <v>15</v>
      </c>
      <c r="R429" t="n">
        <v>19</v>
      </c>
      <c r="S429" t="n">
        <v>2250000</v>
      </c>
      <c r="T429" t="n">
        <v>6148</v>
      </c>
      <c r="AH429" t="inlineStr">
        <is>
          <t>Quelle: Idealista</t>
        </is>
      </c>
    </row>
    <row r="430">
      <c r="A430" t="n">
        <v>243</v>
      </c>
      <c r="B430" t="inlineStr">
        <is>
          <t>Chalet en Diseminado Sector Num 1</t>
        </is>
      </c>
      <c r="C430" t="inlineStr">
        <is>
          <t>https://www.idealista.com/inmueble/110533534/</t>
        </is>
      </c>
      <c r="E430" t="n">
        <v>6</v>
      </c>
      <c r="H430" t="n">
        <v>1216</v>
      </c>
      <c r="J430" t="inlineStr">
        <is>
          <t>Montuiri</t>
        </is>
      </c>
      <c r="K430" t="n">
        <v>27.9</v>
      </c>
      <c r="L430" t="n">
        <v>28</v>
      </c>
      <c r="M430" t="n">
        <v>32.5</v>
      </c>
      <c r="N430" t="n">
        <v>36</v>
      </c>
      <c r="O430" t="n">
        <v>62.1</v>
      </c>
      <c r="P430" t="n">
        <v>52</v>
      </c>
      <c r="Q430" t="n">
        <v>30.2</v>
      </c>
      <c r="R430" t="n">
        <v>32</v>
      </c>
      <c r="S430" t="n">
        <v>6500000</v>
      </c>
      <c r="T430" t="n">
        <v>5345</v>
      </c>
      <c r="AH430" t="inlineStr">
        <is>
          <t>Quelle: Idealista</t>
        </is>
      </c>
    </row>
    <row r="431">
      <c r="A431" t="n">
        <v>244</v>
      </c>
      <c r="B431" t="inlineStr">
        <is>
          <t>Chalet en calle Gran Via Illa Tagomago</t>
        </is>
      </c>
      <c r="C431" t="inlineStr">
        <is>
          <t>https://www.idealista.com/inmueble/110533511/</t>
        </is>
      </c>
      <c r="E431" t="n">
        <v>5</v>
      </c>
      <c r="H431" t="n">
        <v>375</v>
      </c>
      <c r="J431" t="inlineStr">
        <is>
          <t>Santa Ponça, Calvià</t>
        </is>
      </c>
      <c r="K431" t="n">
        <v>31.1</v>
      </c>
      <c r="L431" t="n">
        <v>28</v>
      </c>
      <c r="M431" t="n">
        <v>73.90000000000001</v>
      </c>
      <c r="N431" t="n">
        <v>61</v>
      </c>
      <c r="O431" t="n">
        <v>15.2</v>
      </c>
      <c r="P431" t="n">
        <v>19</v>
      </c>
      <c r="Q431" t="n">
        <v>71.59999999999999</v>
      </c>
      <c r="R431" t="n">
        <v>57</v>
      </c>
      <c r="S431" t="n">
        <v>2750000</v>
      </c>
      <c r="T431" t="n">
        <v>7333</v>
      </c>
      <c r="AH431" t="inlineStr">
        <is>
          <t>Quelle: Idealista</t>
        </is>
      </c>
    </row>
    <row r="432">
      <c r="A432" t="n">
        <v>245</v>
      </c>
      <c r="B432" t="inlineStr">
        <is>
          <t>Chalet en calle Alcoraia</t>
        </is>
      </c>
      <c r="C432" t="inlineStr">
        <is>
          <t>https://www.idealista.com/inmueble/110533455/</t>
        </is>
      </c>
      <c r="E432" t="n">
        <v>6</v>
      </c>
      <c r="H432" t="n">
        <v>571</v>
      </c>
      <c r="J432" t="inlineStr">
        <is>
          <t>Son Vida, Palma de Mallorca</t>
        </is>
      </c>
      <c r="K432" t="n">
        <v>19.2</v>
      </c>
      <c r="L432" t="n">
        <v>22</v>
      </c>
      <c r="M432" t="n">
        <v>61.9</v>
      </c>
      <c r="N432" t="n">
        <v>55</v>
      </c>
      <c r="O432" t="n">
        <v>31</v>
      </c>
      <c r="P432" t="n">
        <v>31</v>
      </c>
      <c r="Q432" t="n">
        <v>59.6</v>
      </c>
      <c r="R432" t="n">
        <v>51</v>
      </c>
      <c r="S432" t="n">
        <v>4950000</v>
      </c>
      <c r="T432" t="n">
        <v>8669</v>
      </c>
      <c r="AH432" t="inlineStr">
        <is>
          <t>Quelle: Idealista</t>
        </is>
      </c>
    </row>
    <row r="433">
      <c r="A433" t="n">
        <v>246</v>
      </c>
      <c r="B433" t="inlineStr">
        <is>
          <t>Chalet en calle del Vell Marí</t>
        </is>
      </c>
      <c r="C433" t="inlineStr">
        <is>
          <t>https://www.idealista.com/inmueble/110533453/</t>
        </is>
      </c>
      <c r="E433" t="n">
        <v>7</v>
      </c>
      <c r="H433" t="n">
        <v>600</v>
      </c>
      <c r="J433" t="inlineStr">
        <is>
          <t>Sa Ràpita</t>
        </is>
      </c>
      <c r="K433" t="n">
        <v>37.4</v>
      </c>
      <c r="L433" t="n">
        <v>34</v>
      </c>
      <c r="M433" t="n">
        <v>17.3</v>
      </c>
      <c r="N433" t="n">
        <v>22</v>
      </c>
      <c r="O433" t="n">
        <v>75.59999999999999</v>
      </c>
      <c r="P433" t="n">
        <v>61</v>
      </c>
      <c r="Q433" t="n">
        <v>15</v>
      </c>
      <c r="R433" t="n">
        <v>19</v>
      </c>
      <c r="S433" t="n">
        <v>3950000</v>
      </c>
      <c r="T433" t="n">
        <v>6583</v>
      </c>
      <c r="AH433" t="inlineStr">
        <is>
          <t>Quelle: Idealista</t>
        </is>
      </c>
    </row>
    <row r="434">
      <c r="A434" t="n">
        <v>247</v>
      </c>
      <c r="B434" t="inlineStr">
        <is>
          <t>Chalet en calle del Catedràtic Llabrés</t>
        </is>
      </c>
      <c r="C434" t="inlineStr">
        <is>
          <t>https://www.idealista.com/inmueble/110533384/</t>
        </is>
      </c>
      <c r="E434" t="n">
        <v>8</v>
      </c>
      <c r="H434" t="n">
        <v>472</v>
      </c>
      <c r="J434" t="inlineStr">
        <is>
          <t>Binissalem</t>
        </is>
      </c>
      <c r="K434" t="n">
        <v>31.5</v>
      </c>
      <c r="L434" t="n">
        <v>29</v>
      </c>
      <c r="M434" t="n">
        <v>74.3</v>
      </c>
      <c r="N434" t="n">
        <v>62</v>
      </c>
      <c r="O434" t="n">
        <v>54.1</v>
      </c>
      <c r="P434" t="n">
        <v>45</v>
      </c>
      <c r="Q434" t="n">
        <v>72</v>
      </c>
      <c r="R434" t="n">
        <v>58</v>
      </c>
      <c r="S434" t="n">
        <v>3400000</v>
      </c>
      <c r="T434" t="n">
        <v>7203</v>
      </c>
      <c r="AH434" t="inlineStr">
        <is>
          <t>Quelle: Idealista</t>
        </is>
      </c>
    </row>
    <row r="435">
      <c r="A435" t="n">
        <v>248</v>
      </c>
      <c r="B435" t="inlineStr">
        <is>
          <t>Chalet en avenida de la Mar</t>
        </is>
      </c>
      <c r="C435" t="inlineStr">
        <is>
          <t>https://www.idealista.com/inmueble/110533400/</t>
        </is>
      </c>
      <c r="E435" t="n">
        <v>5</v>
      </c>
      <c r="H435" t="n">
        <v>381</v>
      </c>
      <c r="J435" t="inlineStr">
        <is>
          <t>Costa de la Calma, Calvià</t>
        </is>
      </c>
      <c r="K435" t="n">
        <v>32.6</v>
      </c>
      <c r="L435" t="n">
        <v>29</v>
      </c>
      <c r="M435" t="n">
        <v>75.40000000000001</v>
      </c>
      <c r="N435" t="n">
        <v>62</v>
      </c>
      <c r="O435" t="n">
        <v>13.7</v>
      </c>
      <c r="P435" t="n">
        <v>18</v>
      </c>
      <c r="Q435" t="n">
        <v>73.09999999999999</v>
      </c>
      <c r="R435" t="n">
        <v>58</v>
      </c>
      <c r="S435" t="n">
        <v>3150000</v>
      </c>
      <c r="T435" t="n">
        <v>8268</v>
      </c>
      <c r="AH435" t="inlineStr">
        <is>
          <t>Quelle: Idealista</t>
        </is>
      </c>
    </row>
    <row r="436">
      <c r="A436" t="n">
        <v>249</v>
      </c>
      <c r="B436" t="inlineStr">
        <is>
          <t>Casa independiente</t>
        </is>
      </c>
      <c r="C436" t="inlineStr">
        <is>
          <t>https://www.idealista.com/inmueble/110437291/</t>
        </is>
      </c>
      <c r="E436" t="n">
        <v>5</v>
      </c>
      <c r="H436" t="n">
        <v>524</v>
      </c>
      <c r="J436" t="inlineStr">
        <is>
          <t>Bendinat, Calvià</t>
        </is>
      </c>
      <c r="K436" t="n">
        <v>23.1</v>
      </c>
      <c r="L436" t="n">
        <v>22</v>
      </c>
      <c r="M436" t="n">
        <v>65.8</v>
      </c>
      <c r="N436" t="n">
        <v>55</v>
      </c>
      <c r="O436" t="n">
        <v>23.2</v>
      </c>
      <c r="P436" t="n">
        <v>23</v>
      </c>
      <c r="Q436" t="n">
        <v>63.5</v>
      </c>
      <c r="R436" t="n">
        <v>51</v>
      </c>
      <c r="S436" t="n">
        <v>5950000</v>
      </c>
      <c r="T436" t="n">
        <v>11355</v>
      </c>
      <c r="AH436" t="inlineStr">
        <is>
          <t>Quelle: Idealista</t>
        </is>
      </c>
    </row>
    <row r="437">
      <c r="A437" t="n">
        <v>250</v>
      </c>
      <c r="B437" t="inlineStr">
        <is>
          <t>Casa rural en calle des Rafal</t>
        </is>
      </c>
      <c r="C437" t="inlineStr">
        <is>
          <t>https://www.idealista.com/inmueble/109704721/</t>
        </is>
      </c>
      <c r="E437" t="n">
        <v>6</v>
      </c>
      <c r="H437" t="n">
        <v>763</v>
      </c>
      <c r="J437" t="inlineStr">
        <is>
          <t>Sencelles</t>
        </is>
      </c>
      <c r="K437" t="n">
        <v>34.2</v>
      </c>
      <c r="L437" t="n">
        <v>32</v>
      </c>
      <c r="M437" t="n">
        <v>46.4</v>
      </c>
      <c r="N437" t="n">
        <v>50</v>
      </c>
      <c r="O437" t="n">
        <v>56.8</v>
      </c>
      <c r="P437" t="n">
        <v>48</v>
      </c>
      <c r="Q437" t="n">
        <v>44.1</v>
      </c>
      <c r="R437" t="n">
        <v>46</v>
      </c>
      <c r="S437" t="n">
        <v>3900000</v>
      </c>
      <c r="T437" t="n">
        <v>5111</v>
      </c>
      <c r="AH437" t="inlineStr">
        <is>
          <t>Quelle: Idealista</t>
        </is>
      </c>
    </row>
    <row r="438">
      <c r="A438" t="n">
        <v>251</v>
      </c>
      <c r="B438" t="inlineStr">
        <is>
          <t>Chalet</t>
        </is>
      </c>
      <c r="C438" t="inlineStr">
        <is>
          <t>https://www.idealista.com/inmueble/106260117/</t>
        </is>
      </c>
      <c r="E438" t="n">
        <v>8</v>
      </c>
      <c r="H438" t="n">
        <v>643</v>
      </c>
      <c r="J438" t="inlineStr">
        <is>
          <t>Soller</t>
        </is>
      </c>
      <c r="K438" t="n">
        <v>32.5</v>
      </c>
      <c r="L438" t="n">
        <v>38</v>
      </c>
      <c r="M438" t="n">
        <v>75.2</v>
      </c>
      <c r="N438" t="n">
        <v>70</v>
      </c>
      <c r="O438" t="n">
        <v>52.1</v>
      </c>
      <c r="P438" t="n">
        <v>51</v>
      </c>
      <c r="Q438" t="n">
        <v>72.90000000000001</v>
      </c>
      <c r="R438" t="n">
        <v>67</v>
      </c>
      <c r="S438" t="n">
        <v>2350000</v>
      </c>
      <c r="T438" t="n">
        <v>3655</v>
      </c>
      <c r="AH438" t="inlineStr">
        <is>
          <t>Quelle: Idealista</t>
        </is>
      </c>
    </row>
    <row r="439">
      <c r="A439" t="n">
        <v>252</v>
      </c>
      <c r="B439" t="inlineStr">
        <is>
          <t>Casa independiente en calle Gran Via Illa Tagomago</t>
        </is>
      </c>
      <c r="C439" t="inlineStr">
        <is>
          <t>https://www.idealista.com/inmueble/105019675/</t>
        </is>
      </c>
      <c r="E439" t="n">
        <v>5</v>
      </c>
      <c r="H439" t="n">
        <v>439</v>
      </c>
      <c r="J439" t="inlineStr">
        <is>
          <t>Santa Ponça, Calvià</t>
        </is>
      </c>
      <c r="K439" t="n">
        <v>31.1</v>
      </c>
      <c r="L439" t="n">
        <v>28</v>
      </c>
      <c r="M439" t="n">
        <v>73.90000000000001</v>
      </c>
      <c r="N439" t="n">
        <v>61</v>
      </c>
      <c r="O439" t="n">
        <v>15.2</v>
      </c>
      <c r="P439" t="n">
        <v>19</v>
      </c>
      <c r="Q439" t="n">
        <v>71.59999999999999</v>
      </c>
      <c r="R439" t="n">
        <v>57</v>
      </c>
      <c r="S439" t="n">
        <v>3490000</v>
      </c>
      <c r="T439" t="n">
        <v>7950</v>
      </c>
      <c r="AH439" t="inlineStr">
        <is>
          <t>Quelle: Idealista</t>
        </is>
      </c>
    </row>
    <row r="440">
      <c r="A440" t="n">
        <v>253</v>
      </c>
      <c r="B440" t="inlineStr">
        <is>
          <t>Casa independiente en calle dels Brucs</t>
        </is>
      </c>
      <c r="C440" t="inlineStr">
        <is>
          <t>https://www.idealista.com/inmueble/97365407/</t>
        </is>
      </c>
      <c r="E440" t="n">
        <v>5</v>
      </c>
      <c r="H440" t="n">
        <v>466</v>
      </c>
      <c r="J440" t="inlineStr">
        <is>
          <t>Costa de los Pinos</t>
        </is>
      </c>
      <c r="K440" t="n">
        <v>69.2</v>
      </c>
      <c r="L440" t="n">
        <v>59</v>
      </c>
      <c r="M440" t="n">
        <v>64.5</v>
      </c>
      <c r="N440" t="n">
        <v>62</v>
      </c>
      <c r="O440" t="n">
        <v>103.4</v>
      </c>
      <c r="P440" t="n">
        <v>84</v>
      </c>
      <c r="Q440" t="n">
        <v>62.2</v>
      </c>
      <c r="R440" t="n">
        <v>59</v>
      </c>
      <c r="S440" t="n">
        <v>2400000</v>
      </c>
      <c r="T440" t="n">
        <v>5150</v>
      </c>
      <c r="AH440" t="inlineStr">
        <is>
          <t>Quelle: Idealista</t>
        </is>
      </c>
    </row>
    <row r="441">
      <c r="A441" t="n">
        <v>254</v>
      </c>
      <c r="B441" t="inlineStr">
        <is>
          <t>Casa independiente</t>
        </is>
      </c>
      <c r="C441" t="inlineStr">
        <is>
          <t>https://www.idealista.com/inmueble/110514331/</t>
        </is>
      </c>
      <c r="E441" t="n">
        <v>9</v>
      </c>
      <c r="H441" t="n">
        <v>1000</v>
      </c>
      <c r="J441" t="inlineStr">
        <is>
          <t>Sa Font de sa Cala, Capdepera</t>
        </is>
      </c>
      <c r="K441" t="n">
        <v>77.7</v>
      </c>
      <c r="L441" t="n">
        <v>69</v>
      </c>
      <c r="M441" t="n">
        <v>73</v>
      </c>
      <c r="N441" t="n">
        <v>72</v>
      </c>
      <c r="O441" t="n">
        <v>111.9</v>
      </c>
      <c r="P441" t="n">
        <v>93</v>
      </c>
      <c r="Q441" t="n">
        <v>70.7</v>
      </c>
      <c r="R441" t="n">
        <v>68</v>
      </c>
      <c r="S441" t="n">
        <v>3995000</v>
      </c>
      <c r="T441" t="n">
        <v>3995</v>
      </c>
      <c r="AH441" t="inlineStr">
        <is>
          <t>Quelle: Idealista</t>
        </is>
      </c>
    </row>
    <row r="442">
      <c r="A442" t="n">
        <v>255</v>
      </c>
      <c r="B442" t="inlineStr">
        <is>
          <t>Chalet pareado en calle de s'esclaire</t>
        </is>
      </c>
      <c r="C442" t="inlineStr">
        <is>
          <t>https://www.idealista.com/inmueble/110514303/</t>
        </is>
      </c>
      <c r="E442" t="n">
        <v>8</v>
      </c>
      <c r="H442" t="n">
        <v>675</v>
      </c>
      <c r="J442" t="inlineStr">
        <is>
          <t>Santanyí</t>
        </is>
      </c>
      <c r="K442" t="n">
        <v>45.4</v>
      </c>
      <c r="L442" t="n">
        <v>39</v>
      </c>
      <c r="M442" t="n">
        <v>9</v>
      </c>
      <c r="N442" t="n">
        <v>13</v>
      </c>
      <c r="O442" t="n">
        <v>83.59999999999999</v>
      </c>
      <c r="P442" t="n">
        <v>67</v>
      </c>
      <c r="Q442" t="n">
        <v>9.699999999999999</v>
      </c>
      <c r="R442" t="n">
        <v>15</v>
      </c>
      <c r="S442" t="n">
        <v>2300000</v>
      </c>
      <c r="T442" t="n">
        <v>3407</v>
      </c>
      <c r="AH442" t="inlineStr">
        <is>
          <t>Quelle: Idealista</t>
        </is>
      </c>
    </row>
    <row r="443">
      <c r="A443" t="n">
        <v>256</v>
      </c>
      <c r="B443" t="inlineStr">
        <is>
          <t>Casa rural</t>
        </is>
      </c>
      <c r="C443" t="inlineStr">
        <is>
          <t>https://www.idealista.com/inmueble/110514207/</t>
        </is>
      </c>
      <c r="E443" t="n">
        <v>5</v>
      </c>
      <c r="H443" t="n">
        <v>400</v>
      </c>
      <c r="J443" t="inlineStr">
        <is>
          <t>Artà, Arta</t>
        </is>
      </c>
      <c r="K443" t="n">
        <v>68.3</v>
      </c>
      <c r="L443" t="n">
        <v>61</v>
      </c>
      <c r="M443" t="n">
        <v>63.7</v>
      </c>
      <c r="N443" t="n">
        <v>64</v>
      </c>
      <c r="O443" t="n">
        <v>102.6</v>
      </c>
      <c r="P443" t="n">
        <v>86</v>
      </c>
      <c r="Q443" t="n">
        <v>61.4</v>
      </c>
      <c r="R443" t="n">
        <v>61</v>
      </c>
      <c r="S443" t="n">
        <v>2950000</v>
      </c>
      <c r="T443" t="n">
        <v>7375</v>
      </c>
      <c r="AH443" t="inlineStr">
        <is>
          <t>Quelle: Idealista</t>
        </is>
      </c>
    </row>
    <row r="444">
      <c r="A444" t="n">
        <v>257</v>
      </c>
      <c r="B444" t="inlineStr">
        <is>
          <t>Finca rústica</t>
        </is>
      </c>
      <c r="C444" t="inlineStr">
        <is>
          <t>https://www.idealista.com/inmueble/110510845/</t>
        </is>
      </c>
      <c r="E444" t="n">
        <v>8</v>
      </c>
      <c r="H444" t="n">
        <v>475</v>
      </c>
      <c r="J444" t="inlineStr">
        <is>
          <t>Binissalem</t>
        </is>
      </c>
      <c r="K444" t="n">
        <v>31.5</v>
      </c>
      <c r="L444" t="n">
        <v>29</v>
      </c>
      <c r="M444" t="n">
        <v>74.3</v>
      </c>
      <c r="N444" t="n">
        <v>62</v>
      </c>
      <c r="O444" t="n">
        <v>54.1</v>
      </c>
      <c r="P444" t="n">
        <v>45</v>
      </c>
      <c r="Q444" t="n">
        <v>72</v>
      </c>
      <c r="R444" t="n">
        <v>58</v>
      </c>
      <c r="S444" t="n">
        <v>3400000</v>
      </c>
      <c r="T444" t="n">
        <v>7158</v>
      </c>
      <c r="AH444" t="inlineStr">
        <is>
          <t>Quelle: Idealista</t>
        </is>
      </c>
    </row>
    <row r="445">
      <c r="A445" t="n">
        <v>258</v>
      </c>
      <c r="B445" t="inlineStr">
        <is>
          <t>Casa independiente</t>
        </is>
      </c>
      <c r="C445" t="inlineStr">
        <is>
          <t>https://www.idealista.com/inmueble/110415829/</t>
        </is>
      </c>
      <c r="E445" t="n">
        <v>6</v>
      </c>
      <c r="H445" t="n">
        <v>413</v>
      </c>
      <c r="J445" t="inlineStr">
        <is>
          <t>La Vileta - Son Rapinya, Palma de Mallorca</t>
        </is>
      </c>
      <c r="K445" t="n">
        <v>18.8</v>
      </c>
      <c r="L445" t="n">
        <v>21</v>
      </c>
      <c r="M445" t="n">
        <v>61.6</v>
      </c>
      <c r="N445" t="n">
        <v>54</v>
      </c>
      <c r="O445" t="n">
        <v>30.7</v>
      </c>
      <c r="P445" t="n">
        <v>30</v>
      </c>
      <c r="Q445" t="n">
        <v>59.3</v>
      </c>
      <c r="R445" t="n">
        <v>51</v>
      </c>
      <c r="S445" t="n">
        <v>2490000</v>
      </c>
      <c r="T445" t="n">
        <v>6029</v>
      </c>
      <c r="AH445" t="inlineStr">
        <is>
          <t>Quelle: Idealista</t>
        </is>
      </c>
    </row>
    <row r="446">
      <c r="A446" t="n">
        <v>259</v>
      </c>
      <c r="B446" t="inlineStr">
        <is>
          <t>Casa independiente</t>
        </is>
      </c>
      <c r="C446" t="inlineStr">
        <is>
          <t>https://www.idealista.com/inmueble/110415665/</t>
        </is>
      </c>
      <c r="E446" t="n">
        <v>5</v>
      </c>
      <c r="H446" t="n">
        <v>334</v>
      </c>
      <c r="J446" t="inlineStr">
        <is>
          <t>Son Ferriol - Sant Jordi, Palma de Mallorca</t>
        </is>
      </c>
      <c r="K446" t="n">
        <v>7.2</v>
      </c>
      <c r="L446" t="n">
        <v>13</v>
      </c>
      <c r="M446" t="n">
        <v>50.5</v>
      </c>
      <c r="N446" t="n">
        <v>46</v>
      </c>
      <c r="O446" t="n">
        <v>38.4</v>
      </c>
      <c r="P446" t="n">
        <v>36</v>
      </c>
      <c r="Q446" t="n">
        <v>48.2</v>
      </c>
      <c r="R446" t="n">
        <v>43</v>
      </c>
      <c r="S446" t="n">
        <v>2700000</v>
      </c>
      <c r="T446" t="n">
        <v>8084</v>
      </c>
      <c r="AH446" t="inlineStr">
        <is>
          <t>Quelle: Idealista</t>
        </is>
      </c>
    </row>
    <row r="447">
      <c r="A447" t="n">
        <v>260</v>
      </c>
      <c r="B447" t="inlineStr">
        <is>
          <t>Casa independiente</t>
        </is>
      </c>
      <c r="C447" t="inlineStr">
        <is>
          <t>https://www.idealista.com/inmueble/110401519/</t>
        </is>
      </c>
      <c r="E447" t="n">
        <v>5</v>
      </c>
      <c r="H447" t="n">
        <v>500</v>
      </c>
      <c r="J447" t="inlineStr">
        <is>
          <t>Calvià pueblo, Calvià</t>
        </is>
      </c>
      <c r="K447" t="n">
        <v>31.1</v>
      </c>
      <c r="L447" t="n">
        <v>28</v>
      </c>
      <c r="M447" t="n">
        <v>73.90000000000001</v>
      </c>
      <c r="N447" t="n">
        <v>61</v>
      </c>
      <c r="O447" t="n">
        <v>19.4</v>
      </c>
      <c r="P447" t="n">
        <v>22</v>
      </c>
      <c r="Q447" t="n">
        <v>71.59999999999999</v>
      </c>
      <c r="R447" t="n">
        <v>58</v>
      </c>
      <c r="S447" t="n">
        <v>6300000</v>
      </c>
      <c r="T447" t="n">
        <v>12600</v>
      </c>
      <c r="AH447" t="inlineStr">
        <is>
          <t>Quelle: Idealista</t>
        </is>
      </c>
    </row>
    <row r="448">
      <c r="A448" t="n">
        <v>261</v>
      </c>
      <c r="B448" t="inlineStr">
        <is>
          <t>Casa independiente</t>
        </is>
      </c>
      <c r="C448" t="inlineStr">
        <is>
          <t>https://www.idealista.com/inmueble/110396997/</t>
        </is>
      </c>
      <c r="E448" t="n">
        <v>7</v>
      </c>
      <c r="H448" t="n">
        <v>1044</v>
      </c>
      <c r="J448" t="inlineStr">
        <is>
          <t>Son Vida, Palma de Mallorca</t>
        </is>
      </c>
      <c r="K448" t="n">
        <v>19.2</v>
      </c>
      <c r="L448" t="n">
        <v>22</v>
      </c>
      <c r="M448" t="n">
        <v>61.9</v>
      </c>
      <c r="N448" t="n">
        <v>55</v>
      </c>
      <c r="O448" t="n">
        <v>31</v>
      </c>
      <c r="P448" t="n">
        <v>31</v>
      </c>
      <c r="Q448" t="n">
        <v>59.6</v>
      </c>
      <c r="R448" t="n">
        <v>51</v>
      </c>
      <c r="S448" t="n">
        <v>5400000</v>
      </c>
      <c r="T448" t="n">
        <v>5172</v>
      </c>
      <c r="AH448" t="inlineStr">
        <is>
          <t>Quelle: Idealista</t>
        </is>
      </c>
    </row>
    <row r="449">
      <c r="A449" t="n">
        <v>262</v>
      </c>
      <c r="B449" t="inlineStr">
        <is>
          <t>Chalet en carretera de Palma</t>
        </is>
      </c>
      <c r="C449" t="inlineStr">
        <is>
          <t>https://www.idealista.com/inmueble/110503649/</t>
        </is>
      </c>
      <c r="E449" t="n">
        <v>5</v>
      </c>
      <c r="H449" t="n">
        <v>400</v>
      </c>
      <c r="J449" t="inlineStr">
        <is>
          <t>Villafranca de Bonany</t>
        </is>
      </c>
      <c r="K449" t="n">
        <v>37.1</v>
      </c>
      <c r="L449" t="n">
        <v>33</v>
      </c>
      <c r="M449" t="n">
        <v>35.2</v>
      </c>
      <c r="N449" t="n">
        <v>38</v>
      </c>
      <c r="O449" t="n">
        <v>71.3</v>
      </c>
      <c r="P449" t="n">
        <v>57</v>
      </c>
      <c r="Q449" t="n">
        <v>32.9</v>
      </c>
      <c r="R449" t="n">
        <v>34</v>
      </c>
      <c r="S449" t="n">
        <v>2250000</v>
      </c>
      <c r="T449" t="n">
        <v>5625</v>
      </c>
      <c r="AH449" t="inlineStr">
        <is>
          <t>Quelle: Idealista</t>
        </is>
      </c>
    </row>
    <row r="450">
      <c r="A450" t="n">
        <v>263</v>
      </c>
      <c r="B450" t="inlineStr">
        <is>
          <t>Casa independiente</t>
        </is>
      </c>
      <c r="C450" t="inlineStr">
        <is>
          <t>https://www.idealista.com/inmueble/110461747/</t>
        </is>
      </c>
      <c r="E450" t="n">
        <v>6</v>
      </c>
      <c r="H450" t="n">
        <v>518</v>
      </c>
      <c r="J450" t="inlineStr">
        <is>
          <t>Sa Font de sa Cala, Capdepera</t>
        </is>
      </c>
      <c r="K450" t="n">
        <v>77.7</v>
      </c>
      <c r="L450" t="n">
        <v>69</v>
      </c>
      <c r="M450" t="n">
        <v>73</v>
      </c>
      <c r="N450" t="n">
        <v>72</v>
      </c>
      <c r="O450" t="n">
        <v>111.9</v>
      </c>
      <c r="P450" t="n">
        <v>93</v>
      </c>
      <c r="Q450" t="n">
        <v>70.7</v>
      </c>
      <c r="R450" t="n">
        <v>68</v>
      </c>
      <c r="S450" t="n">
        <v>2690000</v>
      </c>
      <c r="T450" t="n">
        <v>5193</v>
      </c>
      <c r="AH450" t="inlineStr">
        <is>
          <t>Quelle: Idealista</t>
        </is>
      </c>
    </row>
    <row r="451">
      <c r="A451" t="n">
        <v>264</v>
      </c>
      <c r="B451" t="inlineStr">
        <is>
          <t>Casa independiente</t>
        </is>
      </c>
      <c r="C451" t="inlineStr">
        <is>
          <t>https://www.idealista.com/inmueble/110496095/</t>
        </is>
      </c>
      <c r="E451" t="n">
        <v>5</v>
      </c>
      <c r="H451" t="n">
        <v>1017</v>
      </c>
      <c r="J451" t="inlineStr">
        <is>
          <t>Porreres</t>
        </is>
      </c>
      <c r="K451" t="n">
        <v>35.9</v>
      </c>
      <c r="L451" t="n">
        <v>34</v>
      </c>
      <c r="M451" t="n">
        <v>27.6</v>
      </c>
      <c r="N451" t="n">
        <v>32</v>
      </c>
      <c r="O451" t="n">
        <v>69.3</v>
      </c>
      <c r="P451" t="n">
        <v>59</v>
      </c>
      <c r="Q451" t="n">
        <v>25.3</v>
      </c>
      <c r="R451" t="n">
        <v>29</v>
      </c>
      <c r="S451" t="n">
        <v>3950000</v>
      </c>
      <c r="T451" t="n">
        <v>3884</v>
      </c>
      <c r="AH451" t="inlineStr">
        <is>
          <t>Quelle: Idealista</t>
        </is>
      </c>
    </row>
    <row r="452">
      <c r="A452" t="n">
        <v>265</v>
      </c>
      <c r="B452" t="inlineStr">
        <is>
          <t>Casa independiente en calle de Marbella</t>
        </is>
      </c>
      <c r="C452" t="inlineStr">
        <is>
          <t>https://www.idealista.com/inmueble/110491421/</t>
        </is>
      </c>
      <c r="E452" t="n">
        <v>11</v>
      </c>
      <c r="H452" t="n">
        <v>379</v>
      </c>
      <c r="J452" t="inlineStr">
        <is>
          <t>Playa de Palma, Palma de Mallorca</t>
        </is>
      </c>
      <c r="K452" t="n">
        <v>5.8</v>
      </c>
      <c r="L452" t="n">
        <v>10</v>
      </c>
      <c r="M452" t="n">
        <v>48.6</v>
      </c>
      <c r="N452" t="n">
        <v>43</v>
      </c>
      <c r="O452" t="n">
        <v>40.1</v>
      </c>
      <c r="P452" t="n">
        <v>35</v>
      </c>
      <c r="Q452" t="n">
        <v>46.3</v>
      </c>
      <c r="R452" t="n">
        <v>39</v>
      </c>
      <c r="S452" t="n">
        <v>2750000</v>
      </c>
      <c r="T452" t="n">
        <v>7256</v>
      </c>
      <c r="AH452" t="inlineStr">
        <is>
          <t>Quelle: Idealista</t>
        </is>
      </c>
    </row>
    <row r="453">
      <c r="A453" t="n">
        <v>266</v>
      </c>
      <c r="B453" t="inlineStr">
        <is>
          <t>Casa independiente</t>
        </is>
      </c>
      <c r="C453" t="inlineStr">
        <is>
          <t>https://www.idealista.com/inmueble/110490969/</t>
        </is>
      </c>
      <c r="E453" t="n">
        <v>9</v>
      </c>
      <c r="H453" t="n">
        <v>1458</v>
      </c>
      <c r="J453" t="inlineStr">
        <is>
          <t>Andratx Pueblo, Andratx</t>
        </is>
      </c>
      <c r="K453" t="n">
        <v>40.3</v>
      </c>
      <c r="L453" t="n">
        <v>36</v>
      </c>
      <c r="M453" t="n">
        <v>83</v>
      </c>
      <c r="N453" t="n">
        <v>68</v>
      </c>
      <c r="O453" t="n">
        <v>2.7</v>
      </c>
      <c r="P453" t="n">
        <v>7</v>
      </c>
      <c r="Q453" t="n">
        <v>80.7</v>
      </c>
      <c r="R453" t="n">
        <v>65</v>
      </c>
      <c r="S453" t="n">
        <v>2900000</v>
      </c>
      <c r="T453" t="n">
        <v>1989</v>
      </c>
      <c r="AH453" t="inlineStr">
        <is>
          <t>Quelle: Idealista</t>
        </is>
      </c>
    </row>
    <row r="454">
      <c r="A454" t="n">
        <v>267</v>
      </c>
      <c r="B454" t="inlineStr">
        <is>
          <t>Finca rústica</t>
        </is>
      </c>
      <c r="C454" t="inlineStr">
        <is>
          <t>https://www.idealista.com/inmueble/109240248/</t>
        </is>
      </c>
      <c r="E454" t="n">
        <v>9</v>
      </c>
      <c r="H454" t="n">
        <v>400</v>
      </c>
      <c r="J454" t="inlineStr">
        <is>
          <t>Playa de Palma, Palma de Mallorca</t>
        </is>
      </c>
      <c r="K454" t="n">
        <v>5.8</v>
      </c>
      <c r="L454" t="n">
        <v>10</v>
      </c>
      <c r="M454" t="n">
        <v>48.6</v>
      </c>
      <c r="N454" t="n">
        <v>43</v>
      </c>
      <c r="O454" t="n">
        <v>40.1</v>
      </c>
      <c r="P454" t="n">
        <v>35</v>
      </c>
      <c r="Q454" t="n">
        <v>46.3</v>
      </c>
      <c r="R454" t="n">
        <v>39</v>
      </c>
      <c r="S454" t="n">
        <v>2200000</v>
      </c>
      <c r="T454" t="n">
        <v>5500</v>
      </c>
      <c r="AH454" t="inlineStr">
        <is>
          <t>Quelle: Idealista</t>
        </is>
      </c>
    </row>
    <row r="455">
      <c r="A455" t="n">
        <v>268</v>
      </c>
      <c r="B455" t="inlineStr">
        <is>
          <t>Finca rústica en Diseminado Diseminados Var, 66</t>
        </is>
      </c>
      <c r="C455" t="inlineStr">
        <is>
          <t>https://www.idealista.com/inmueble/110485893/</t>
        </is>
      </c>
      <c r="E455" t="n">
        <v>7</v>
      </c>
      <c r="H455" t="n">
        <v>512</v>
      </c>
      <c r="J455" t="inlineStr">
        <is>
          <t>Ses Salines (Mallorca)</t>
        </is>
      </c>
      <c r="K455" t="n">
        <v>44.5</v>
      </c>
      <c r="L455" t="n">
        <v>39</v>
      </c>
      <c r="M455" t="n">
        <v>2.4</v>
      </c>
      <c r="N455" t="n">
        <v>5</v>
      </c>
      <c r="O455" t="n">
        <v>82.7</v>
      </c>
      <c r="P455" t="n">
        <v>67</v>
      </c>
      <c r="Q455" t="n">
        <v>2</v>
      </c>
      <c r="R455" t="n">
        <v>5</v>
      </c>
      <c r="S455" t="n">
        <v>3800000</v>
      </c>
      <c r="T455" t="n">
        <v>7422</v>
      </c>
      <c r="AH455" t="inlineStr">
        <is>
          <t>Quelle: Idealista</t>
        </is>
      </c>
    </row>
    <row r="456">
      <c r="A456" t="n">
        <v>269</v>
      </c>
      <c r="B456" t="inlineStr">
        <is>
          <t>Casa rural</t>
        </is>
      </c>
      <c r="C456" t="inlineStr">
        <is>
          <t>https://www.idealista.com/inmueble/110482600/</t>
        </is>
      </c>
      <c r="E456" t="n">
        <v>6</v>
      </c>
      <c r="H456" t="n">
        <v>1200</v>
      </c>
      <c r="J456" t="inlineStr">
        <is>
          <t>Portocolom, Felanitx</t>
        </is>
      </c>
      <c r="K456" t="n">
        <v>58.9</v>
      </c>
      <c r="L456" t="n">
        <v>53</v>
      </c>
      <c r="M456" t="n">
        <v>24.7</v>
      </c>
      <c r="N456" t="n">
        <v>34</v>
      </c>
      <c r="O456" t="n">
        <v>97.09999999999999</v>
      </c>
      <c r="P456" t="n">
        <v>80</v>
      </c>
      <c r="Q456" t="n">
        <v>26.2</v>
      </c>
      <c r="R456" t="n">
        <v>36</v>
      </c>
      <c r="S456" t="n">
        <v>2800000</v>
      </c>
      <c r="T456" t="n">
        <v>2333</v>
      </c>
      <c r="AH456" t="inlineStr">
        <is>
          <t>Quelle: Idealista</t>
        </is>
      </c>
    </row>
    <row r="457">
      <c r="A457" t="n">
        <v>270</v>
      </c>
      <c r="B457" t="inlineStr">
        <is>
          <t>Casa rural</t>
        </is>
      </c>
      <c r="C457" t="inlineStr">
        <is>
          <t>https://www.idealista.com/inmueble/110482078/</t>
        </is>
      </c>
      <c r="E457" t="n">
        <v>5</v>
      </c>
      <c r="H457" t="n">
        <v>510</v>
      </c>
      <c r="J457" t="inlineStr">
        <is>
          <t>Felanitx centro, Felanitx</t>
        </is>
      </c>
      <c r="K457" t="n">
        <v>45</v>
      </c>
      <c r="L457" t="n">
        <v>40</v>
      </c>
      <c r="M457" t="n">
        <v>26.8</v>
      </c>
      <c r="N457" t="n">
        <v>30</v>
      </c>
      <c r="O457" t="n">
        <v>83.2</v>
      </c>
      <c r="P457" t="n">
        <v>68</v>
      </c>
      <c r="Q457" t="n">
        <v>24.5</v>
      </c>
      <c r="R457" t="n">
        <v>26</v>
      </c>
      <c r="S457" t="n">
        <v>3100000</v>
      </c>
      <c r="T457" t="n">
        <v>6078</v>
      </c>
      <c r="AH457" t="inlineStr">
        <is>
          <t>Quelle: Idealista</t>
        </is>
      </c>
    </row>
    <row r="458">
      <c r="A458" t="n">
        <v>271</v>
      </c>
      <c r="B458" t="inlineStr">
        <is>
          <t>Casa independiente</t>
        </is>
      </c>
      <c r="C458" t="inlineStr">
        <is>
          <t>https://www.idealista.com/inmueble/110479644/</t>
        </is>
      </c>
      <c r="E458" t="n">
        <v>8</v>
      </c>
      <c r="H458" t="n">
        <v>607</v>
      </c>
      <c r="J458" t="inlineStr">
        <is>
          <t>Artà, Arta</t>
        </is>
      </c>
      <c r="K458" t="n">
        <v>68.3</v>
      </c>
      <c r="L458" t="n">
        <v>61</v>
      </c>
      <c r="M458" t="n">
        <v>63.7</v>
      </c>
      <c r="N458" t="n">
        <v>64</v>
      </c>
      <c r="O458" t="n">
        <v>102.6</v>
      </c>
      <c r="P458" t="n">
        <v>86</v>
      </c>
      <c r="Q458" t="n">
        <v>61.4</v>
      </c>
      <c r="R458" t="n">
        <v>61</v>
      </c>
      <c r="S458" t="n">
        <v>4000000</v>
      </c>
      <c r="T458" t="n">
        <v>6590</v>
      </c>
      <c r="AH458" t="inlineStr">
        <is>
          <t>Quelle: Idealista</t>
        </is>
      </c>
    </row>
    <row r="459">
      <c r="A459" t="n">
        <v>272</v>
      </c>
      <c r="B459" t="inlineStr">
        <is>
          <t>Casa rural</t>
        </is>
      </c>
      <c r="C459" t="inlineStr">
        <is>
          <t>https://www.idealista.com/inmueble/110476886/</t>
        </is>
      </c>
      <c r="E459" t="n">
        <v>8</v>
      </c>
      <c r="H459" t="n">
        <v>472</v>
      </c>
      <c r="J459" t="inlineStr">
        <is>
          <t>Binissalem</t>
        </is>
      </c>
      <c r="K459" t="n">
        <v>31.5</v>
      </c>
      <c r="L459" t="n">
        <v>29</v>
      </c>
      <c r="M459" t="n">
        <v>74.3</v>
      </c>
      <c r="N459" t="n">
        <v>62</v>
      </c>
      <c r="O459" t="n">
        <v>54.1</v>
      </c>
      <c r="P459" t="n">
        <v>45</v>
      </c>
      <c r="Q459" t="n">
        <v>72</v>
      </c>
      <c r="R459" t="n">
        <v>58</v>
      </c>
      <c r="S459" t="n">
        <v>3400000</v>
      </c>
      <c r="T459" t="n">
        <v>7203</v>
      </c>
      <c r="AH459" t="inlineStr">
        <is>
          <t>Quelle: Idealista</t>
        </is>
      </c>
    </row>
    <row r="460">
      <c r="A460" t="n">
        <v>273</v>
      </c>
      <c r="B460" t="inlineStr">
        <is>
          <t>Casa independiente</t>
        </is>
      </c>
      <c r="C460" t="inlineStr">
        <is>
          <t>https://www.idealista.com/inmueble/110090455/</t>
        </is>
      </c>
      <c r="E460" t="n">
        <v>6</v>
      </c>
      <c r="H460" t="n">
        <v>340</v>
      </c>
      <c r="J460" t="inlineStr">
        <is>
          <t>Cala d'Or, Santanyí</t>
        </is>
      </c>
      <c r="K460" t="n">
        <v>58.4</v>
      </c>
      <c r="L460" t="n">
        <v>56</v>
      </c>
      <c r="M460" t="n">
        <v>21.9</v>
      </c>
      <c r="N460" t="n">
        <v>32</v>
      </c>
      <c r="O460" t="n">
        <v>96.59999999999999</v>
      </c>
      <c r="P460" t="n">
        <v>84</v>
      </c>
      <c r="Q460" t="n">
        <v>23.3</v>
      </c>
      <c r="R460" t="n">
        <v>34</v>
      </c>
      <c r="S460" t="n">
        <v>2500000</v>
      </c>
      <c r="T460" t="n">
        <v>7353</v>
      </c>
      <c r="AH460" t="inlineStr">
        <is>
          <t>Quelle: Idealista</t>
        </is>
      </c>
    </row>
    <row r="461">
      <c r="A461" t="n">
        <v>274</v>
      </c>
      <c r="B461" t="inlineStr">
        <is>
          <t>Casa rural en Diseminado Poligono 14</t>
        </is>
      </c>
      <c r="C461" t="inlineStr">
        <is>
          <t>https://www.idealista.com/inmueble/108908824/</t>
        </is>
      </c>
      <c r="E461" t="n">
        <v>8</v>
      </c>
      <c r="H461" t="n">
        <v>472</v>
      </c>
      <c r="J461" t="inlineStr">
        <is>
          <t>Binissalem</t>
        </is>
      </c>
      <c r="K461" t="n">
        <v>31.5</v>
      </c>
      <c r="L461" t="n">
        <v>29</v>
      </c>
      <c r="M461" t="n">
        <v>74.3</v>
      </c>
      <c r="N461" t="n">
        <v>62</v>
      </c>
      <c r="O461" t="n">
        <v>54.1</v>
      </c>
      <c r="P461" t="n">
        <v>45</v>
      </c>
      <c r="Q461" t="n">
        <v>72</v>
      </c>
      <c r="R461" t="n">
        <v>58</v>
      </c>
      <c r="S461" t="n">
        <v>3400000</v>
      </c>
      <c r="T461" t="n">
        <v>7203</v>
      </c>
      <c r="AH461" t="inlineStr">
        <is>
          <t>Quelle: Idealista</t>
        </is>
      </c>
    </row>
    <row r="462">
      <c r="A462" t="n">
        <v>275</v>
      </c>
      <c r="B462" t="inlineStr">
        <is>
          <t>Casa independiente</t>
        </is>
      </c>
      <c r="C462" t="inlineStr">
        <is>
          <t>https://www.idealista.com/inmueble/110474275/</t>
        </is>
      </c>
      <c r="E462" t="n">
        <v>6</v>
      </c>
      <c r="H462" t="n">
        <v>303</v>
      </c>
      <c r="J462" t="inlineStr">
        <is>
          <t>Costa de la Calma, Calvià</t>
        </is>
      </c>
      <c r="K462" t="n">
        <v>32.6</v>
      </c>
      <c r="L462" t="n">
        <v>29</v>
      </c>
      <c r="M462" t="n">
        <v>75.40000000000001</v>
      </c>
      <c r="N462" t="n">
        <v>62</v>
      </c>
      <c r="O462" t="n">
        <v>13.7</v>
      </c>
      <c r="P462" t="n">
        <v>18</v>
      </c>
      <c r="Q462" t="n">
        <v>73.09999999999999</v>
      </c>
      <c r="R462" t="n">
        <v>58</v>
      </c>
      <c r="S462" t="n">
        <v>3000000</v>
      </c>
      <c r="T462" t="n">
        <v>9901</v>
      </c>
      <c r="AH462" t="inlineStr">
        <is>
          <t>Quelle: Idealista</t>
        </is>
      </c>
    </row>
    <row r="463">
      <c r="A463" t="n">
        <v>276</v>
      </c>
      <c r="B463" t="inlineStr">
        <is>
          <t>Casa independiente</t>
        </is>
      </c>
      <c r="C463" t="inlineStr">
        <is>
          <t>https://www.idealista.com/inmueble/110458993/</t>
        </is>
      </c>
      <c r="E463" t="n">
        <v>6</v>
      </c>
      <c r="H463" t="n">
        <v>690</v>
      </c>
      <c r="J463" t="inlineStr">
        <is>
          <t>Bañalbufar</t>
        </is>
      </c>
      <c r="K463" t="n">
        <v>35.3</v>
      </c>
      <c r="L463" t="n">
        <v>44</v>
      </c>
      <c r="M463" t="n">
        <v>78.09999999999999</v>
      </c>
      <c r="N463" t="n">
        <v>77</v>
      </c>
      <c r="O463" t="n">
        <v>26.9</v>
      </c>
      <c r="P463" t="n">
        <v>43</v>
      </c>
      <c r="Q463" t="n">
        <v>75.8</v>
      </c>
      <c r="R463" t="n">
        <v>73</v>
      </c>
      <c r="S463" t="n">
        <v>6290000</v>
      </c>
      <c r="T463" t="n">
        <v>9116</v>
      </c>
      <c r="AH463" t="inlineStr">
        <is>
          <t>Quelle: Idealista</t>
        </is>
      </c>
    </row>
    <row r="464">
      <c r="A464" t="n">
        <v>277</v>
      </c>
      <c r="B464" t="inlineStr">
        <is>
          <t>Chalet</t>
        </is>
      </c>
      <c r="C464" t="inlineStr">
        <is>
          <t>https://www.idealista.com/inmueble/110241729/</t>
        </is>
      </c>
      <c r="E464" t="n">
        <v>6</v>
      </c>
      <c r="H464" t="n">
        <v>831</v>
      </c>
      <c r="J464" t="inlineStr">
        <is>
          <t>Binissalem</t>
        </is>
      </c>
      <c r="K464" t="n">
        <v>31.5</v>
      </c>
      <c r="L464" t="n">
        <v>29</v>
      </c>
      <c r="M464" t="n">
        <v>74.3</v>
      </c>
      <c r="N464" t="n">
        <v>62</v>
      </c>
      <c r="O464" t="n">
        <v>54.1</v>
      </c>
      <c r="P464" t="n">
        <v>45</v>
      </c>
      <c r="Q464" t="n">
        <v>72</v>
      </c>
      <c r="R464" t="n">
        <v>58</v>
      </c>
      <c r="S464" t="n">
        <v>2300000</v>
      </c>
      <c r="T464" t="n">
        <v>2768</v>
      </c>
      <c r="AH464" t="inlineStr">
        <is>
          <t>Quelle: Idealista</t>
        </is>
      </c>
    </row>
    <row r="465">
      <c r="A465" t="n">
        <v>278</v>
      </c>
      <c r="B465" t="inlineStr">
        <is>
          <t>Casa independiente en calle Església, Plaça, 3</t>
        </is>
      </c>
      <c r="C465" t="inlineStr">
        <is>
          <t>https://www.idealista.com/inmueble/110470320/</t>
        </is>
      </c>
      <c r="E465" t="n">
        <v>8</v>
      </c>
      <c r="H465" t="n">
        <v>472</v>
      </c>
      <c r="J465" t="inlineStr">
        <is>
          <t>Binissalem</t>
        </is>
      </c>
      <c r="K465" t="n">
        <v>31.5</v>
      </c>
      <c r="L465" t="n">
        <v>29</v>
      </c>
      <c r="M465" t="n">
        <v>74.3</v>
      </c>
      <c r="N465" t="n">
        <v>62</v>
      </c>
      <c r="O465" t="n">
        <v>54.1</v>
      </c>
      <c r="P465" t="n">
        <v>45</v>
      </c>
      <c r="Q465" t="n">
        <v>72</v>
      </c>
      <c r="R465" t="n">
        <v>58</v>
      </c>
      <c r="S465" t="n">
        <v>3400000</v>
      </c>
      <c r="T465" t="n">
        <v>7203</v>
      </c>
      <c r="AH465" t="inlineStr">
        <is>
          <t>Quelle: Idealista</t>
        </is>
      </c>
    </row>
    <row r="466">
      <c r="A466" t="n">
        <v>279</v>
      </c>
      <c r="B466" t="inlineStr">
        <is>
          <t>Casa rural</t>
        </is>
      </c>
      <c r="C466" t="inlineStr">
        <is>
          <t>https://www.idealista.com/inmueble/110468580/</t>
        </is>
      </c>
      <c r="E466" t="n">
        <v>8</v>
      </c>
      <c r="H466" t="n">
        <v>475</v>
      </c>
      <c r="J466" t="inlineStr">
        <is>
          <t>Binissalem</t>
        </is>
      </c>
      <c r="K466" t="n">
        <v>31.5</v>
      </c>
      <c r="L466" t="n">
        <v>29</v>
      </c>
      <c r="M466" t="n">
        <v>74.3</v>
      </c>
      <c r="N466" t="n">
        <v>62</v>
      </c>
      <c r="O466" t="n">
        <v>54.1</v>
      </c>
      <c r="P466" t="n">
        <v>45</v>
      </c>
      <c r="Q466" t="n">
        <v>72</v>
      </c>
      <c r="R466" t="n">
        <v>58</v>
      </c>
      <c r="S466" t="n">
        <v>3400000</v>
      </c>
      <c r="T466" t="n">
        <v>7158</v>
      </c>
      <c r="AH466" t="inlineStr">
        <is>
          <t>Quelle: Idealista</t>
        </is>
      </c>
    </row>
    <row r="467">
      <c r="A467" t="n">
        <v>280</v>
      </c>
      <c r="B467" t="inlineStr">
        <is>
          <t>Finca rústica</t>
        </is>
      </c>
      <c r="C467" t="inlineStr">
        <is>
          <t>https://www.idealista.com/inmueble/110468391/</t>
        </is>
      </c>
      <c r="E467" t="n">
        <v>7</v>
      </c>
      <c r="H467" t="n">
        <v>550</v>
      </c>
      <c r="J467" t="inlineStr">
        <is>
          <t>Cales de Mallorca, Manacor</t>
        </is>
      </c>
      <c r="K467" t="n">
        <v>50</v>
      </c>
      <c r="L467" t="n">
        <v>45</v>
      </c>
      <c r="M467" t="n">
        <v>39.6</v>
      </c>
      <c r="N467" t="n">
        <v>42</v>
      </c>
      <c r="O467" t="n">
        <v>84.2</v>
      </c>
      <c r="P467" t="n">
        <v>70</v>
      </c>
      <c r="Q467" t="n">
        <v>37.3</v>
      </c>
      <c r="R467" t="n">
        <v>38</v>
      </c>
      <c r="S467" t="n">
        <v>3650000</v>
      </c>
      <c r="T467" t="n">
        <v>6636</v>
      </c>
      <c r="AH467" t="inlineStr">
        <is>
          <t>Quelle: Idealista</t>
        </is>
      </c>
    </row>
    <row r="468">
      <c r="A468" t="n">
        <v>281</v>
      </c>
      <c r="B468" t="inlineStr">
        <is>
          <t>Casa rural</t>
        </is>
      </c>
      <c r="C468" t="inlineStr">
        <is>
          <t>https://www.idealista.com/inmueble/110467402/</t>
        </is>
      </c>
      <c r="E468" t="n">
        <v>6</v>
      </c>
      <c r="H468" t="n">
        <v>494</v>
      </c>
      <c r="J468" t="inlineStr">
        <is>
          <t>Llucmajor Interior, Llucmajor</t>
        </is>
      </c>
      <c r="K468" t="n">
        <v>22</v>
      </c>
      <c r="L468" t="n">
        <v>21</v>
      </c>
      <c r="M468" t="n">
        <v>28.2</v>
      </c>
      <c r="N468" t="n">
        <v>33</v>
      </c>
      <c r="O468" t="n">
        <v>60.2</v>
      </c>
      <c r="P468" t="n">
        <v>48</v>
      </c>
      <c r="Q468" t="n">
        <v>25.9</v>
      </c>
      <c r="R468" t="n">
        <v>29</v>
      </c>
      <c r="S468" t="n">
        <v>2400000</v>
      </c>
      <c r="T468" t="n">
        <v>4858</v>
      </c>
      <c r="AH468" t="inlineStr">
        <is>
          <t>Quelle: Idealista</t>
        </is>
      </c>
    </row>
    <row r="469">
      <c r="A469" t="n">
        <v>282</v>
      </c>
      <c r="B469" t="inlineStr">
        <is>
          <t>Finca rústica</t>
        </is>
      </c>
      <c r="C469" t="inlineStr">
        <is>
          <t>https://www.idealista.com/inmueble/110466321/</t>
        </is>
      </c>
      <c r="E469" t="n">
        <v>5</v>
      </c>
      <c r="H469" t="n">
        <v>580</v>
      </c>
      <c r="J469" t="inlineStr">
        <is>
          <t>S'Horta - Cas Concos des Cavaller, Felanitx</t>
        </is>
      </c>
      <c r="K469" t="n">
        <v>43.4</v>
      </c>
      <c r="L469" t="n">
        <v>42</v>
      </c>
      <c r="M469" t="n">
        <v>14.6</v>
      </c>
      <c r="N469" t="n">
        <v>21</v>
      </c>
      <c r="O469" t="n">
        <v>81.59999999999999</v>
      </c>
      <c r="P469" t="n">
        <v>69</v>
      </c>
      <c r="Q469" t="n">
        <v>15.9</v>
      </c>
      <c r="R469" t="n">
        <v>25</v>
      </c>
      <c r="S469" t="n">
        <v>4950000</v>
      </c>
      <c r="T469" t="n">
        <v>8534</v>
      </c>
      <c r="AH469" t="inlineStr">
        <is>
          <t>Quelle: Idealista</t>
        </is>
      </c>
    </row>
    <row r="470">
      <c r="A470" t="n">
        <v>283</v>
      </c>
      <c r="B470" t="inlineStr">
        <is>
          <t>Casa independiente</t>
        </is>
      </c>
      <c r="C470" t="inlineStr">
        <is>
          <t>https://www.idealista.com/inmueble/110465976/</t>
        </is>
      </c>
      <c r="E470" t="n">
        <v>5</v>
      </c>
      <c r="H470" t="n">
        <v>269</v>
      </c>
      <c r="J470" t="inlineStr">
        <is>
          <t>Santa Ponça, Calvià</t>
        </is>
      </c>
      <c r="K470" t="n">
        <v>31.1</v>
      </c>
      <c r="L470" t="n">
        <v>28</v>
      </c>
      <c r="M470" t="n">
        <v>73.90000000000001</v>
      </c>
      <c r="N470" t="n">
        <v>61</v>
      </c>
      <c r="O470" t="n">
        <v>15.2</v>
      </c>
      <c r="P470" t="n">
        <v>19</v>
      </c>
      <c r="Q470" t="n">
        <v>71.59999999999999</v>
      </c>
      <c r="R470" t="n">
        <v>57</v>
      </c>
      <c r="S470" t="n">
        <v>2750000</v>
      </c>
      <c r="T470" t="n">
        <v>10223</v>
      </c>
      <c r="AH470" t="inlineStr">
        <is>
          <t>Quelle: Idealista</t>
        </is>
      </c>
    </row>
    <row r="471">
      <c r="A471" t="n">
        <v>284</v>
      </c>
      <c r="B471" t="inlineStr">
        <is>
          <t>Casa independiente</t>
        </is>
      </c>
      <c r="C471" t="inlineStr">
        <is>
          <t>https://www.idealista.com/inmueble/110453314/</t>
        </is>
      </c>
      <c r="E471" t="n">
        <v>5</v>
      </c>
      <c r="H471" t="n">
        <v>576</v>
      </c>
      <c r="J471" t="inlineStr">
        <is>
          <t>Porreres</t>
        </is>
      </c>
      <c r="K471" t="n">
        <v>35.9</v>
      </c>
      <c r="L471" t="n">
        <v>34</v>
      </c>
      <c r="M471" t="n">
        <v>27.6</v>
      </c>
      <c r="N471" t="n">
        <v>32</v>
      </c>
      <c r="O471" t="n">
        <v>69.3</v>
      </c>
      <c r="P471" t="n">
        <v>59</v>
      </c>
      <c r="Q471" t="n">
        <v>25.3</v>
      </c>
      <c r="R471" t="n">
        <v>29</v>
      </c>
      <c r="S471" t="n">
        <v>4800000</v>
      </c>
      <c r="T471" t="n">
        <v>8333</v>
      </c>
      <c r="AH471" t="inlineStr">
        <is>
          <t>Quelle: Idealista</t>
        </is>
      </c>
    </row>
    <row r="472">
      <c r="A472" t="n">
        <v>285</v>
      </c>
      <c r="B472" t="inlineStr">
        <is>
          <t>Casa independiente</t>
        </is>
      </c>
      <c r="C472" t="inlineStr">
        <is>
          <t>https://www.idealista.com/inmueble/110299405/</t>
        </is>
      </c>
      <c r="E472" t="n">
        <v>6</v>
      </c>
      <c r="H472" t="n">
        <v>458</v>
      </c>
      <c r="J472" t="inlineStr">
        <is>
          <t>Bendinat, Calvià</t>
        </is>
      </c>
      <c r="K472" t="n">
        <v>23.1</v>
      </c>
      <c r="L472" t="n">
        <v>22</v>
      </c>
      <c r="M472" t="n">
        <v>65.8</v>
      </c>
      <c r="N472" t="n">
        <v>55</v>
      </c>
      <c r="O472" t="n">
        <v>23.2</v>
      </c>
      <c r="P472" t="n">
        <v>23</v>
      </c>
      <c r="Q472" t="n">
        <v>63.5</v>
      </c>
      <c r="R472" t="n">
        <v>51</v>
      </c>
      <c r="S472" t="n">
        <v>6200000</v>
      </c>
      <c r="T472" t="n">
        <v>13537</v>
      </c>
      <c r="AH472" t="inlineStr">
        <is>
          <t>Quelle: Idealista</t>
        </is>
      </c>
    </row>
    <row r="473">
      <c r="A473" t="n">
        <v>286</v>
      </c>
      <c r="B473" t="inlineStr">
        <is>
          <t>Chalet adosado</t>
        </is>
      </c>
      <c r="C473" t="inlineStr">
        <is>
          <t>https://www.idealista.com/inmueble/110383930/</t>
        </is>
      </c>
      <c r="E473" t="n">
        <v>7</v>
      </c>
      <c r="H473" t="n">
        <v>600</v>
      </c>
      <c r="J473" t="inlineStr">
        <is>
          <t>Alaró</t>
        </is>
      </c>
      <c r="K473" t="n">
        <v>33.4</v>
      </c>
      <c r="L473" t="n">
        <v>33</v>
      </c>
      <c r="M473" t="n">
        <v>76.09999999999999</v>
      </c>
      <c r="N473" t="n">
        <v>66</v>
      </c>
      <c r="O473" t="n">
        <v>55.9</v>
      </c>
      <c r="P473" t="n">
        <v>49</v>
      </c>
      <c r="Q473" t="n">
        <v>73.8</v>
      </c>
      <c r="R473" t="n">
        <v>62</v>
      </c>
      <c r="S473" t="n">
        <v>6200000</v>
      </c>
      <c r="T473" t="n">
        <v>10333</v>
      </c>
      <c r="AH473" t="inlineStr">
        <is>
          <t>Quelle: Idealista</t>
        </is>
      </c>
    </row>
    <row r="474">
      <c r="A474" t="n">
        <v>287</v>
      </c>
      <c r="B474" t="inlineStr">
        <is>
          <t>Casa independiente</t>
        </is>
      </c>
      <c r="C474" t="inlineStr">
        <is>
          <t>https://www.idealista.com/inmueble/110323654/</t>
        </is>
      </c>
      <c r="E474" t="n">
        <v>5</v>
      </c>
      <c r="H474" t="n">
        <v>691</v>
      </c>
      <c r="J474" t="inlineStr">
        <is>
          <t>Alaró</t>
        </is>
      </c>
      <c r="K474" t="n">
        <v>33.4</v>
      </c>
      <c r="L474" t="n">
        <v>33</v>
      </c>
      <c r="M474" t="n">
        <v>76.09999999999999</v>
      </c>
      <c r="N474" t="n">
        <v>66</v>
      </c>
      <c r="O474" t="n">
        <v>55.9</v>
      </c>
      <c r="P474" t="n">
        <v>49</v>
      </c>
      <c r="Q474" t="n">
        <v>73.8</v>
      </c>
      <c r="R474" t="n">
        <v>62</v>
      </c>
      <c r="S474" t="n">
        <v>5500000</v>
      </c>
      <c r="T474" t="n">
        <v>7959</v>
      </c>
      <c r="AH474" t="inlineStr">
        <is>
          <t>Quelle: Idealista</t>
        </is>
      </c>
    </row>
    <row r="475">
      <c r="A475" t="n">
        <v>288</v>
      </c>
      <c r="B475" t="inlineStr">
        <is>
          <t>Chalet</t>
        </is>
      </c>
      <c r="C475" t="inlineStr">
        <is>
          <t>https://www.idealista.com/inmueble/110155843/</t>
        </is>
      </c>
      <c r="E475" t="n">
        <v>6</v>
      </c>
      <c r="H475" t="n">
        <v>415</v>
      </c>
      <c r="J475" t="inlineStr">
        <is>
          <t>Alaró</t>
        </is>
      </c>
      <c r="K475" t="n">
        <v>33.4</v>
      </c>
      <c r="L475" t="n">
        <v>33</v>
      </c>
      <c r="M475" t="n">
        <v>76.09999999999999</v>
      </c>
      <c r="N475" t="n">
        <v>66</v>
      </c>
      <c r="O475" t="n">
        <v>55.9</v>
      </c>
      <c r="P475" t="n">
        <v>49</v>
      </c>
      <c r="Q475" t="n">
        <v>73.8</v>
      </c>
      <c r="R475" t="n">
        <v>62</v>
      </c>
      <c r="S475" t="n">
        <v>4500000</v>
      </c>
      <c r="T475" t="n">
        <v>10843</v>
      </c>
      <c r="AH475" t="inlineStr">
        <is>
          <t>Quelle: Idealista</t>
        </is>
      </c>
    </row>
    <row r="476">
      <c r="A476" t="n">
        <v>289</v>
      </c>
      <c r="B476" t="inlineStr">
        <is>
          <t>Casa independiente</t>
        </is>
      </c>
      <c r="C476" t="inlineStr">
        <is>
          <t>https://www.idealista.com/inmueble/109920859/</t>
        </is>
      </c>
      <c r="E476" t="n">
        <v>5</v>
      </c>
      <c r="H476" t="n">
        <v>645</v>
      </c>
      <c r="J476" t="inlineStr">
        <is>
          <t>Alaró</t>
        </is>
      </c>
      <c r="K476" t="n">
        <v>33.4</v>
      </c>
      <c r="L476" t="n">
        <v>33</v>
      </c>
      <c r="M476" t="n">
        <v>76.09999999999999</v>
      </c>
      <c r="N476" t="n">
        <v>66</v>
      </c>
      <c r="O476" t="n">
        <v>55.9</v>
      </c>
      <c r="P476" t="n">
        <v>49</v>
      </c>
      <c r="Q476" t="n">
        <v>73.8</v>
      </c>
      <c r="R476" t="n">
        <v>62</v>
      </c>
      <c r="S476" t="n">
        <v>5800000</v>
      </c>
      <c r="T476" t="n">
        <v>8992</v>
      </c>
      <c r="AH476" t="inlineStr">
        <is>
          <t>Quelle: Idealista</t>
        </is>
      </c>
    </row>
    <row r="477">
      <c r="A477" t="n">
        <v>290</v>
      </c>
      <c r="B477" t="inlineStr">
        <is>
          <t>Casa rural</t>
        </is>
      </c>
      <c r="C477" t="inlineStr">
        <is>
          <t>https://www.idealista.com/inmueble/109857421/</t>
        </is>
      </c>
      <c r="E477" t="n">
        <v>7</v>
      </c>
      <c r="H477" t="n">
        <v>1300</v>
      </c>
      <c r="J477" t="inlineStr">
        <is>
          <t>Alaró</t>
        </is>
      </c>
      <c r="K477" t="n">
        <v>33.4</v>
      </c>
      <c r="L477" t="n">
        <v>33</v>
      </c>
      <c r="M477" t="n">
        <v>76.09999999999999</v>
      </c>
      <c r="N477" t="n">
        <v>66</v>
      </c>
      <c r="O477" t="n">
        <v>55.9</v>
      </c>
      <c r="P477" t="n">
        <v>49</v>
      </c>
      <c r="Q477" t="n">
        <v>73.8</v>
      </c>
      <c r="R477" t="n">
        <v>62</v>
      </c>
      <c r="S477" t="n">
        <v>4950000</v>
      </c>
      <c r="T477" t="n">
        <v>3808</v>
      </c>
      <c r="AH477" t="inlineStr">
        <is>
          <t>Quelle: Idealista</t>
        </is>
      </c>
    </row>
    <row r="478">
      <c r="A478" t="n">
        <v>291</v>
      </c>
      <c r="B478" t="inlineStr">
        <is>
          <t>Finca rústica</t>
        </is>
      </c>
      <c r="C478" t="inlineStr">
        <is>
          <t>https://www.idealista.com/inmueble/109408136/</t>
        </is>
      </c>
      <c r="E478" t="n">
        <v>5</v>
      </c>
      <c r="H478" t="n">
        <v>667</v>
      </c>
      <c r="J478" t="inlineStr">
        <is>
          <t>Alaró</t>
        </is>
      </c>
      <c r="K478" t="n">
        <v>33.4</v>
      </c>
      <c r="L478" t="n">
        <v>33</v>
      </c>
      <c r="M478" t="n">
        <v>76.09999999999999</v>
      </c>
      <c r="N478" t="n">
        <v>66</v>
      </c>
      <c r="O478" t="n">
        <v>55.9</v>
      </c>
      <c r="P478" t="n">
        <v>49</v>
      </c>
      <c r="Q478" t="n">
        <v>73.8</v>
      </c>
      <c r="R478" t="n">
        <v>62</v>
      </c>
      <c r="S478" t="n">
        <v>3000000</v>
      </c>
      <c r="T478" t="n">
        <v>4498</v>
      </c>
      <c r="AH478" t="inlineStr">
        <is>
          <t>Quelle: Idealista</t>
        </is>
      </c>
    </row>
    <row r="479">
      <c r="A479" t="n">
        <v>292</v>
      </c>
      <c r="B479" t="inlineStr">
        <is>
          <t>Finca rústica</t>
        </is>
      </c>
      <c r="C479" t="inlineStr">
        <is>
          <t>https://www.idealista.com/inmueble/109517240/</t>
        </is>
      </c>
      <c r="E479" t="n">
        <v>8</v>
      </c>
      <c r="H479" t="n">
        <v>976</v>
      </c>
      <c r="J479" t="inlineStr">
        <is>
          <t>Alaró</t>
        </is>
      </c>
      <c r="K479" t="n">
        <v>33.4</v>
      </c>
      <c r="L479" t="n">
        <v>33</v>
      </c>
      <c r="M479" t="n">
        <v>76.09999999999999</v>
      </c>
      <c r="N479" t="n">
        <v>66</v>
      </c>
      <c r="O479" t="n">
        <v>55.9</v>
      </c>
      <c r="P479" t="n">
        <v>49</v>
      </c>
      <c r="Q479" t="n">
        <v>73.8</v>
      </c>
      <c r="R479" t="n">
        <v>62</v>
      </c>
      <c r="S479" t="n">
        <v>3500000</v>
      </c>
      <c r="T479" t="n">
        <v>3586</v>
      </c>
      <c r="AH479" t="inlineStr">
        <is>
          <t>Quelle: Idealista</t>
        </is>
      </c>
    </row>
    <row r="480">
      <c r="A480" t="n">
        <v>293</v>
      </c>
      <c r="B480" t="inlineStr">
        <is>
          <t>Finca rústica</t>
        </is>
      </c>
      <c r="C480" t="inlineStr">
        <is>
          <t>https://www.idealista.com/inmueble/109475860/</t>
        </is>
      </c>
      <c r="E480" t="n">
        <v>7</v>
      </c>
      <c r="H480" t="n">
        <v>1130</v>
      </c>
      <c r="J480" t="inlineStr">
        <is>
          <t>Alaró</t>
        </is>
      </c>
      <c r="K480" t="n">
        <v>33.4</v>
      </c>
      <c r="L480" t="n">
        <v>33</v>
      </c>
      <c r="M480" t="n">
        <v>76.09999999999999</v>
      </c>
      <c r="N480" t="n">
        <v>66</v>
      </c>
      <c r="O480" t="n">
        <v>55.9</v>
      </c>
      <c r="P480" t="n">
        <v>49</v>
      </c>
      <c r="Q480" t="n">
        <v>73.8</v>
      </c>
      <c r="R480" t="n">
        <v>62</v>
      </c>
      <c r="S480" t="n">
        <v>5500000</v>
      </c>
      <c r="T480" t="n">
        <v>4867</v>
      </c>
      <c r="AH480" t="inlineStr">
        <is>
          <t>Quelle: Idealista</t>
        </is>
      </c>
    </row>
    <row r="481">
      <c r="A481" t="n">
        <v>294</v>
      </c>
      <c r="B481" t="inlineStr">
        <is>
          <t>Finca rústica</t>
        </is>
      </c>
      <c r="C481" t="inlineStr">
        <is>
          <t>https://www.idealista.com/inmueble/109225650/</t>
        </is>
      </c>
      <c r="E481" t="n">
        <v>5</v>
      </c>
      <c r="H481" t="n">
        <v>400</v>
      </c>
      <c r="J481" t="inlineStr">
        <is>
          <t>Alaró</t>
        </is>
      </c>
      <c r="K481" t="n">
        <v>33.4</v>
      </c>
      <c r="L481" t="n">
        <v>33</v>
      </c>
      <c r="M481" t="n">
        <v>76.09999999999999</v>
      </c>
      <c r="N481" t="n">
        <v>66</v>
      </c>
      <c r="O481" t="n">
        <v>55.9</v>
      </c>
      <c r="P481" t="n">
        <v>49</v>
      </c>
      <c r="Q481" t="n">
        <v>73.8</v>
      </c>
      <c r="R481" t="n">
        <v>62</v>
      </c>
      <c r="S481" t="n">
        <v>2800000</v>
      </c>
      <c r="T481" t="n">
        <v>7000</v>
      </c>
      <c r="AH481" t="inlineStr">
        <is>
          <t>Quelle: Idealista</t>
        </is>
      </c>
    </row>
    <row r="482">
      <c r="A482" t="n">
        <v>295</v>
      </c>
      <c r="B482" t="inlineStr">
        <is>
          <t>Finca rústica</t>
        </is>
      </c>
      <c r="C482" t="inlineStr">
        <is>
          <t>https://www.idealista.com/inmueble/105832795/</t>
        </is>
      </c>
      <c r="E482" t="n">
        <v>5</v>
      </c>
      <c r="H482" t="n">
        <v>267</v>
      </c>
      <c r="J482" t="inlineStr">
        <is>
          <t>Alaró</t>
        </is>
      </c>
      <c r="K482" t="n">
        <v>33.4</v>
      </c>
      <c r="L482" t="n">
        <v>33</v>
      </c>
      <c r="M482" t="n">
        <v>76.09999999999999</v>
      </c>
      <c r="N482" t="n">
        <v>66</v>
      </c>
      <c r="O482" t="n">
        <v>55.9</v>
      </c>
      <c r="P482" t="n">
        <v>49</v>
      </c>
      <c r="Q482" t="n">
        <v>73.8</v>
      </c>
      <c r="R482" t="n">
        <v>62</v>
      </c>
      <c r="S482" t="n">
        <v>2800000</v>
      </c>
      <c r="T482" t="n">
        <v>10487</v>
      </c>
      <c r="AH482" t="inlineStr">
        <is>
          <t>Quelle: Idealista</t>
        </is>
      </c>
    </row>
    <row r="483">
      <c r="A483" t="n">
        <v>296</v>
      </c>
      <c r="B483" t="inlineStr">
        <is>
          <t>Casa independiente</t>
        </is>
      </c>
      <c r="C483" t="inlineStr">
        <is>
          <t>https://www.idealista.com/inmueble/107392269/</t>
        </is>
      </c>
      <c r="E483" t="n">
        <v>5</v>
      </c>
      <c r="H483" t="n">
        <v>424</v>
      </c>
      <c r="J483" t="inlineStr">
        <is>
          <t>Alaró</t>
        </is>
      </c>
      <c r="K483" t="n">
        <v>33.4</v>
      </c>
      <c r="L483" t="n">
        <v>33</v>
      </c>
      <c r="M483" t="n">
        <v>76.09999999999999</v>
      </c>
      <c r="N483" t="n">
        <v>66</v>
      </c>
      <c r="O483" t="n">
        <v>55.9</v>
      </c>
      <c r="P483" t="n">
        <v>49</v>
      </c>
      <c r="Q483" t="n">
        <v>73.8</v>
      </c>
      <c r="R483" t="n">
        <v>62</v>
      </c>
      <c r="S483" t="n">
        <v>2500000</v>
      </c>
      <c r="T483" t="n">
        <v>5896</v>
      </c>
      <c r="AH483" t="inlineStr">
        <is>
          <t>Quelle: Idealista</t>
        </is>
      </c>
    </row>
    <row r="484">
      <c r="A484" t="n">
        <v>297</v>
      </c>
      <c r="B484" t="inlineStr">
        <is>
          <t>Casa independiente en camino de Sa Sacorrada</t>
        </is>
      </c>
      <c r="C484" t="inlineStr">
        <is>
          <t>https://www.idealista.com/inmueble/109218289/</t>
        </is>
      </c>
      <c r="E484" t="n">
        <v>5</v>
      </c>
      <c r="H484" t="n">
        <v>276</v>
      </c>
      <c r="J484" t="inlineStr">
        <is>
          <t>Alaró</t>
        </is>
      </c>
      <c r="K484" t="n">
        <v>33.4</v>
      </c>
      <c r="L484" t="n">
        <v>33</v>
      </c>
      <c r="M484" t="n">
        <v>76.09999999999999</v>
      </c>
      <c r="N484" t="n">
        <v>66</v>
      </c>
      <c r="O484" t="n">
        <v>55.9</v>
      </c>
      <c r="P484" t="n">
        <v>49</v>
      </c>
      <c r="Q484" t="n">
        <v>73.8</v>
      </c>
      <c r="R484" t="n">
        <v>62</v>
      </c>
      <c r="S484" t="n">
        <v>2800000</v>
      </c>
      <c r="T484" t="n">
        <v>10145</v>
      </c>
      <c r="AH484" t="inlineStr">
        <is>
          <t>Quelle: Idealista</t>
        </is>
      </c>
    </row>
    <row r="485">
      <c r="A485" t="n">
        <v>298</v>
      </c>
      <c r="B485" t="inlineStr">
        <is>
          <t>Casa rural</t>
        </is>
      </c>
      <c r="C485" t="inlineStr">
        <is>
          <t>https://www.idealista.com/inmueble/108541311/</t>
        </is>
      </c>
      <c r="E485" t="n">
        <v>5</v>
      </c>
      <c r="H485" t="n">
        <v>680</v>
      </c>
      <c r="J485" t="inlineStr">
        <is>
          <t>Alaró</t>
        </is>
      </c>
      <c r="K485" t="n">
        <v>33.4</v>
      </c>
      <c r="L485" t="n">
        <v>33</v>
      </c>
      <c r="M485" t="n">
        <v>76.09999999999999</v>
      </c>
      <c r="N485" t="n">
        <v>66</v>
      </c>
      <c r="O485" t="n">
        <v>55.9</v>
      </c>
      <c r="P485" t="n">
        <v>49</v>
      </c>
      <c r="Q485" t="n">
        <v>73.8</v>
      </c>
      <c r="R485" t="n">
        <v>62</v>
      </c>
      <c r="S485" t="n">
        <v>2995000</v>
      </c>
      <c r="T485" t="n">
        <v>4404</v>
      </c>
      <c r="AH485" t="inlineStr">
        <is>
          <t>Quelle: Idealista</t>
        </is>
      </c>
    </row>
    <row r="486">
      <c r="A486" t="n">
        <v>299</v>
      </c>
      <c r="B486" t="inlineStr">
        <is>
          <t>Casa independiente</t>
        </is>
      </c>
      <c r="C486" t="inlineStr">
        <is>
          <t>https://www.idealista.com/inmueble/108489813/</t>
        </is>
      </c>
      <c r="E486" t="n">
        <v>13</v>
      </c>
      <c r="H486" t="n">
        <v>1016</v>
      </c>
      <c r="J486" t="inlineStr">
        <is>
          <t>Alaró</t>
        </is>
      </c>
      <c r="K486" t="n">
        <v>33.4</v>
      </c>
      <c r="L486" t="n">
        <v>33</v>
      </c>
      <c r="M486" t="n">
        <v>76.09999999999999</v>
      </c>
      <c r="N486" t="n">
        <v>66</v>
      </c>
      <c r="O486" t="n">
        <v>55.9</v>
      </c>
      <c r="P486" t="n">
        <v>49</v>
      </c>
      <c r="Q486" t="n">
        <v>73.8</v>
      </c>
      <c r="R486" t="n">
        <v>62</v>
      </c>
      <c r="S486" t="n">
        <v>2200000</v>
      </c>
      <c r="T486" t="n">
        <v>2165</v>
      </c>
      <c r="AH486" t="inlineStr">
        <is>
          <t>Quelle: Idealista</t>
        </is>
      </c>
    </row>
    <row r="487">
      <c r="A487" t="n">
        <v>300</v>
      </c>
      <c r="B487" t="inlineStr">
        <is>
          <t>Casa independiente en Poligono 4</t>
        </is>
      </c>
      <c r="C487" t="inlineStr">
        <is>
          <t>https://www.idealista.com/inmueble/106843288/</t>
        </is>
      </c>
      <c r="E487" t="n">
        <v>5</v>
      </c>
      <c r="H487" t="n">
        <v>543</v>
      </c>
      <c r="J487" t="inlineStr">
        <is>
          <t>Alaró</t>
        </is>
      </c>
      <c r="K487" t="n">
        <v>33.4</v>
      </c>
      <c r="L487" t="n">
        <v>33</v>
      </c>
      <c r="M487" t="n">
        <v>76.09999999999999</v>
      </c>
      <c r="N487" t="n">
        <v>66</v>
      </c>
      <c r="O487" t="n">
        <v>55.9</v>
      </c>
      <c r="P487" t="n">
        <v>49</v>
      </c>
      <c r="Q487" t="n">
        <v>73.8</v>
      </c>
      <c r="R487" t="n">
        <v>62</v>
      </c>
      <c r="S487" t="n">
        <v>4800000</v>
      </c>
      <c r="T487" t="n">
        <v>8840</v>
      </c>
      <c r="AH487" t="inlineStr">
        <is>
          <t>Quelle: Idealista</t>
        </is>
      </c>
    </row>
    <row r="488">
      <c r="A488" t="n">
        <v>301</v>
      </c>
      <c r="B488" t="inlineStr">
        <is>
          <t>Casa independiente</t>
        </is>
      </c>
      <c r="C488" t="inlineStr">
        <is>
          <t>https://www.idealista.com/inmueble/108160281/</t>
        </is>
      </c>
      <c r="E488" t="n">
        <v>5</v>
      </c>
      <c r="H488" t="n">
        <v>349</v>
      </c>
      <c r="J488" t="inlineStr">
        <is>
          <t>Alaró</t>
        </is>
      </c>
      <c r="K488" t="n">
        <v>33.4</v>
      </c>
      <c r="L488" t="n">
        <v>33</v>
      </c>
      <c r="M488" t="n">
        <v>76.09999999999999</v>
      </c>
      <c r="N488" t="n">
        <v>66</v>
      </c>
      <c r="O488" t="n">
        <v>55.9</v>
      </c>
      <c r="P488" t="n">
        <v>49</v>
      </c>
      <c r="Q488" t="n">
        <v>73.8</v>
      </c>
      <c r="R488" t="n">
        <v>62</v>
      </c>
      <c r="S488" t="n">
        <v>5500000</v>
      </c>
      <c r="T488" t="n">
        <v>15759</v>
      </c>
      <c r="AH488" t="inlineStr">
        <is>
          <t>Quelle: Idealista</t>
        </is>
      </c>
    </row>
    <row r="489">
      <c r="A489" t="n">
        <v>302</v>
      </c>
      <c r="B489" t="inlineStr">
        <is>
          <t>Chalet adosado en colom</t>
        </is>
      </c>
      <c r="C489" t="inlineStr">
        <is>
          <t>https://www.idealista.com/inmueble/108114341/</t>
        </is>
      </c>
      <c r="E489" t="n">
        <v>17</v>
      </c>
      <c r="H489" t="n">
        <v>1016</v>
      </c>
      <c r="J489" t="inlineStr">
        <is>
          <t>Alaró</t>
        </is>
      </c>
      <c r="K489" t="n">
        <v>33.4</v>
      </c>
      <c r="L489" t="n">
        <v>33</v>
      </c>
      <c r="M489" t="n">
        <v>76.09999999999999</v>
      </c>
      <c r="N489" t="n">
        <v>66</v>
      </c>
      <c r="O489" t="n">
        <v>55.9</v>
      </c>
      <c r="P489" t="n">
        <v>49</v>
      </c>
      <c r="Q489" t="n">
        <v>73.8</v>
      </c>
      <c r="R489" t="n">
        <v>62</v>
      </c>
      <c r="S489" t="n">
        <v>2200000</v>
      </c>
      <c r="T489" t="n">
        <v>2165</v>
      </c>
      <c r="AH489" t="inlineStr">
        <is>
          <t>Quelle: Idealista</t>
        </is>
      </c>
    </row>
    <row r="490">
      <c r="A490" t="n">
        <v>303</v>
      </c>
      <c r="B490" t="inlineStr">
        <is>
          <t>Finca rústica</t>
        </is>
      </c>
      <c r="C490" t="inlineStr">
        <is>
          <t>https://www.idealista.com/inmueble/108002780/</t>
        </is>
      </c>
      <c r="E490" t="n">
        <v>5</v>
      </c>
      <c r="H490" t="n">
        <v>480</v>
      </c>
      <c r="J490" t="inlineStr">
        <is>
          <t>Alaró</t>
        </is>
      </c>
      <c r="K490" t="n">
        <v>33.4</v>
      </c>
      <c r="L490" t="n">
        <v>33</v>
      </c>
      <c r="M490" t="n">
        <v>76.09999999999999</v>
      </c>
      <c r="N490" t="n">
        <v>66</v>
      </c>
      <c r="O490" t="n">
        <v>55.9</v>
      </c>
      <c r="P490" t="n">
        <v>49</v>
      </c>
      <c r="Q490" t="n">
        <v>73.8</v>
      </c>
      <c r="R490" t="n">
        <v>62</v>
      </c>
      <c r="S490" t="n">
        <v>5900000</v>
      </c>
      <c r="T490" t="n">
        <v>12292</v>
      </c>
      <c r="AH490" t="inlineStr">
        <is>
          <t>Quelle: Idealista</t>
        </is>
      </c>
    </row>
    <row r="491">
      <c r="A491" t="n">
        <v>304</v>
      </c>
      <c r="B491" t="inlineStr">
        <is>
          <t>Finca rústica</t>
        </is>
      </c>
      <c r="C491" t="inlineStr">
        <is>
          <t>https://www.idealista.com/inmueble/106961200/</t>
        </is>
      </c>
      <c r="E491" t="n">
        <v>6</v>
      </c>
      <c r="H491" t="n">
        <v>440</v>
      </c>
      <c r="J491" t="inlineStr">
        <is>
          <t>Alaró</t>
        </is>
      </c>
      <c r="K491" t="n">
        <v>33.4</v>
      </c>
      <c r="L491" t="n">
        <v>33</v>
      </c>
      <c r="M491" t="n">
        <v>76.09999999999999</v>
      </c>
      <c r="N491" t="n">
        <v>66</v>
      </c>
      <c r="O491" t="n">
        <v>55.9</v>
      </c>
      <c r="P491" t="n">
        <v>49</v>
      </c>
      <c r="Q491" t="n">
        <v>73.8</v>
      </c>
      <c r="R491" t="n">
        <v>62</v>
      </c>
      <c r="S491" t="n">
        <v>3800000</v>
      </c>
      <c r="T491" t="n">
        <v>8636</v>
      </c>
      <c r="AH491" t="inlineStr">
        <is>
          <t>Quelle: Idealista</t>
        </is>
      </c>
    </row>
    <row r="492">
      <c r="A492" t="n">
        <v>305</v>
      </c>
      <c r="B492" t="inlineStr">
        <is>
          <t>Casa independiente</t>
        </is>
      </c>
      <c r="C492" t="inlineStr">
        <is>
          <t>https://www.idealista.com/inmueble/107434447/</t>
        </is>
      </c>
      <c r="E492" t="n">
        <v>6</v>
      </c>
      <c r="H492" t="n">
        <v>600</v>
      </c>
      <c r="J492" t="inlineStr">
        <is>
          <t>Alaró</t>
        </is>
      </c>
      <c r="K492" t="n">
        <v>33.4</v>
      </c>
      <c r="L492" t="n">
        <v>33</v>
      </c>
      <c r="M492" t="n">
        <v>76.09999999999999</v>
      </c>
      <c r="N492" t="n">
        <v>66</v>
      </c>
      <c r="O492" t="n">
        <v>55.9</v>
      </c>
      <c r="P492" t="n">
        <v>49</v>
      </c>
      <c r="Q492" t="n">
        <v>73.8</v>
      </c>
      <c r="R492" t="n">
        <v>62</v>
      </c>
      <c r="S492" t="n">
        <v>2985000</v>
      </c>
      <c r="T492" t="n">
        <v>4975</v>
      </c>
      <c r="AH492" t="inlineStr">
        <is>
          <t>Quelle: Idealista</t>
        </is>
      </c>
    </row>
    <row r="493">
      <c r="A493" t="n">
        <v>306</v>
      </c>
      <c r="B493" t="inlineStr">
        <is>
          <t>Finca rústica en calle de Camp Roig</t>
        </is>
      </c>
      <c r="C493" t="inlineStr">
        <is>
          <t>https://www.idealista.com/inmueble/107305911/</t>
        </is>
      </c>
      <c r="E493" t="n">
        <v>5</v>
      </c>
      <c r="H493" t="n">
        <v>265</v>
      </c>
      <c r="J493" t="inlineStr">
        <is>
          <t>Alaró</t>
        </is>
      </c>
      <c r="K493" t="n">
        <v>33.4</v>
      </c>
      <c r="L493" t="n">
        <v>33</v>
      </c>
      <c r="M493" t="n">
        <v>76.09999999999999</v>
      </c>
      <c r="N493" t="n">
        <v>66</v>
      </c>
      <c r="O493" t="n">
        <v>55.9</v>
      </c>
      <c r="P493" t="n">
        <v>49</v>
      </c>
      <c r="Q493" t="n">
        <v>73.8</v>
      </c>
      <c r="R493" t="n">
        <v>62</v>
      </c>
      <c r="S493" t="n">
        <v>2800000</v>
      </c>
      <c r="T493" t="n">
        <v>10566</v>
      </c>
      <c r="AH493" t="inlineStr">
        <is>
          <t>Quelle: Idealista</t>
        </is>
      </c>
    </row>
    <row r="494">
      <c r="A494" t="n">
        <v>307</v>
      </c>
      <c r="B494" t="inlineStr">
        <is>
          <t>Casa independiente</t>
        </is>
      </c>
      <c r="C494" t="inlineStr">
        <is>
          <t>https://www.idealista.com/inmueble/106160254/</t>
        </is>
      </c>
      <c r="E494" t="n">
        <v>6</v>
      </c>
      <c r="H494" t="n">
        <v>700</v>
      </c>
      <c r="J494" t="inlineStr">
        <is>
          <t>Alaró</t>
        </is>
      </c>
      <c r="K494" t="n">
        <v>33.4</v>
      </c>
      <c r="L494" t="n">
        <v>33</v>
      </c>
      <c r="M494" t="n">
        <v>76.09999999999999</v>
      </c>
      <c r="N494" t="n">
        <v>66</v>
      </c>
      <c r="O494" t="n">
        <v>55.9</v>
      </c>
      <c r="P494" t="n">
        <v>49</v>
      </c>
      <c r="Q494" t="n">
        <v>73.8</v>
      </c>
      <c r="R494" t="n">
        <v>62</v>
      </c>
      <c r="S494" t="n">
        <v>6200000</v>
      </c>
      <c r="T494" t="n">
        <v>8857</v>
      </c>
      <c r="AH494" t="inlineStr">
        <is>
          <t>Quelle: Idealista</t>
        </is>
      </c>
    </row>
    <row r="495">
      <c r="A495" t="n">
        <v>308</v>
      </c>
      <c r="B495" t="inlineStr">
        <is>
          <t>Casa rural</t>
        </is>
      </c>
      <c r="C495" t="inlineStr">
        <is>
          <t>https://www.idealista.com/inmueble/105300643/</t>
        </is>
      </c>
      <c r="E495" t="n">
        <v>5</v>
      </c>
      <c r="H495" t="n">
        <v>265</v>
      </c>
      <c r="J495" t="inlineStr">
        <is>
          <t>Alaró</t>
        </is>
      </c>
      <c r="K495" t="n">
        <v>33.4</v>
      </c>
      <c r="L495" t="n">
        <v>33</v>
      </c>
      <c r="M495" t="n">
        <v>76.09999999999999</v>
      </c>
      <c r="N495" t="n">
        <v>66</v>
      </c>
      <c r="O495" t="n">
        <v>55.9</v>
      </c>
      <c r="P495" t="n">
        <v>49</v>
      </c>
      <c r="Q495" t="n">
        <v>73.8</v>
      </c>
      <c r="R495" t="n">
        <v>62</v>
      </c>
      <c r="S495" t="n">
        <v>2800000</v>
      </c>
      <c r="T495" t="n">
        <v>10566</v>
      </c>
      <c r="AH495" t="inlineStr">
        <is>
          <t>Quelle: Idealista</t>
        </is>
      </c>
    </row>
    <row r="496">
      <c r="A496" t="n">
        <v>309</v>
      </c>
      <c r="B496" t="inlineStr">
        <is>
          <t>Casa rural</t>
        </is>
      </c>
      <c r="C496" t="inlineStr">
        <is>
          <t>https://www.idealista.com/inmueble/104588981/</t>
        </is>
      </c>
      <c r="E496" t="n">
        <v>6</v>
      </c>
      <c r="H496" t="n">
        <v>376</v>
      </c>
      <c r="J496" t="inlineStr">
        <is>
          <t>Alaró</t>
        </is>
      </c>
      <c r="K496" t="n">
        <v>33.4</v>
      </c>
      <c r="L496" t="n">
        <v>33</v>
      </c>
      <c r="M496" t="n">
        <v>76.09999999999999</v>
      </c>
      <c r="N496" t="n">
        <v>66</v>
      </c>
      <c r="O496" t="n">
        <v>55.9</v>
      </c>
      <c r="P496" t="n">
        <v>49</v>
      </c>
      <c r="Q496" t="n">
        <v>73.8</v>
      </c>
      <c r="R496" t="n">
        <v>62</v>
      </c>
      <c r="S496" t="n">
        <v>4250000</v>
      </c>
      <c r="T496" t="n">
        <v>11303</v>
      </c>
      <c r="AH496" t="inlineStr">
        <is>
          <t>Quelle: Idealista</t>
        </is>
      </c>
    </row>
    <row r="497">
      <c r="A497" t="n">
        <v>310</v>
      </c>
      <c r="B497" t="inlineStr">
        <is>
          <t>Casa independiente</t>
        </is>
      </c>
      <c r="C497" t="inlineStr">
        <is>
          <t>https://www.idealista.com/inmueble/100537088/</t>
        </is>
      </c>
      <c r="E497" t="n">
        <v>5</v>
      </c>
      <c r="H497" t="n">
        <v>487</v>
      </c>
      <c r="J497" t="inlineStr">
        <is>
          <t>Alaró</t>
        </is>
      </c>
      <c r="K497" t="n">
        <v>33.4</v>
      </c>
      <c r="L497" t="n">
        <v>33</v>
      </c>
      <c r="M497" t="n">
        <v>76.09999999999999</v>
      </c>
      <c r="N497" t="n">
        <v>66</v>
      </c>
      <c r="O497" t="n">
        <v>55.9</v>
      </c>
      <c r="P497" t="n">
        <v>49</v>
      </c>
      <c r="Q497" t="n">
        <v>73.8</v>
      </c>
      <c r="R497" t="n">
        <v>62</v>
      </c>
      <c r="S497" t="n">
        <v>3800000</v>
      </c>
      <c r="T497" t="n">
        <v>7803</v>
      </c>
      <c r="AH497" t="inlineStr">
        <is>
          <t>Quelle: Idealista</t>
        </is>
      </c>
    </row>
    <row r="498">
      <c r="A498" t="n">
        <v>311</v>
      </c>
      <c r="B498" t="inlineStr">
        <is>
          <t>Casa rural</t>
        </is>
      </c>
      <c r="C498" t="inlineStr">
        <is>
          <t>https://www.idealista.com/inmueble/95288523/</t>
        </is>
      </c>
      <c r="E498" t="n">
        <v>17</v>
      </c>
      <c r="H498" t="n">
        <v>2000</v>
      </c>
      <c r="J498" t="inlineStr">
        <is>
          <t>Alaró</t>
        </is>
      </c>
      <c r="K498" t="n">
        <v>33.4</v>
      </c>
      <c r="L498" t="n">
        <v>33</v>
      </c>
      <c r="M498" t="n">
        <v>76.09999999999999</v>
      </c>
      <c r="N498" t="n">
        <v>66</v>
      </c>
      <c r="O498" t="n">
        <v>55.9</v>
      </c>
      <c r="P498" t="n">
        <v>49</v>
      </c>
      <c r="Q498" t="n">
        <v>73.8</v>
      </c>
      <c r="R498" t="n">
        <v>62</v>
      </c>
      <c r="S498" t="n">
        <v>3400000</v>
      </c>
      <c r="T498" t="n">
        <v>1700</v>
      </c>
      <c r="AH498" t="inlineStr">
        <is>
          <t>Quelle: Idealista</t>
        </is>
      </c>
    </row>
    <row r="499">
      <c r="A499" t="n">
        <v>312</v>
      </c>
      <c r="B499" t="inlineStr">
        <is>
          <t>Casa rural</t>
        </is>
      </c>
      <c r="C499" t="inlineStr">
        <is>
          <t>https://www.idealista.com/inmueble/110296241/</t>
        </is>
      </c>
      <c r="E499" t="n">
        <v>5</v>
      </c>
      <c r="H499" t="n">
        <v>900</v>
      </c>
      <c r="J499" t="inlineStr">
        <is>
          <t>Port d'Alcúdia - Platja d'Alcúdia, Alcúdia</t>
        </is>
      </c>
      <c r="K499" t="n">
        <v>61.9</v>
      </c>
      <c r="L499" t="n">
        <v>47</v>
      </c>
      <c r="M499" t="n">
        <v>80.09999999999999</v>
      </c>
      <c r="N499" t="n">
        <v>73</v>
      </c>
      <c r="O499" t="n">
        <v>84.5</v>
      </c>
      <c r="P499" t="n">
        <v>63</v>
      </c>
      <c r="Q499" t="n">
        <v>77.8</v>
      </c>
      <c r="R499" t="n">
        <v>70</v>
      </c>
      <c r="S499" t="n">
        <v>4200000</v>
      </c>
      <c r="T499" t="n">
        <v>4667</v>
      </c>
      <c r="AH499" t="inlineStr">
        <is>
          <t>Quelle: Idealista</t>
        </is>
      </c>
    </row>
    <row r="500">
      <c r="A500" t="n">
        <v>313</v>
      </c>
      <c r="B500" t="inlineStr">
        <is>
          <t>Casa independiente en Diseminado Disseminat 4</t>
        </is>
      </c>
      <c r="C500" t="inlineStr">
        <is>
          <t>https://www.idealista.com/inmueble/110207644/</t>
        </is>
      </c>
      <c r="E500" t="n">
        <v>5</v>
      </c>
      <c r="H500" t="n">
        <v>280</v>
      </c>
      <c r="J500" t="inlineStr">
        <is>
          <t>Ciutat d'Alcúdia, Alcúdia</t>
        </is>
      </c>
      <c r="K500" t="n">
        <v>61.6</v>
      </c>
      <c r="L500" t="n">
        <v>47</v>
      </c>
      <c r="M500" t="n">
        <v>79.7</v>
      </c>
      <c r="N500" t="n">
        <v>74</v>
      </c>
      <c r="O500" t="n">
        <v>84.2</v>
      </c>
      <c r="P500" t="n">
        <v>63</v>
      </c>
      <c r="Q500" t="n">
        <v>77.40000000000001</v>
      </c>
      <c r="R500" t="n">
        <v>70</v>
      </c>
      <c r="S500" t="n">
        <v>2690000</v>
      </c>
      <c r="T500" t="n">
        <v>9607</v>
      </c>
      <c r="AH500" t="inlineStr">
        <is>
          <t>Quelle: Idealista</t>
        </is>
      </c>
    </row>
    <row r="501">
      <c r="A501" t="n">
        <v>314</v>
      </c>
      <c r="B501" t="inlineStr">
        <is>
          <t>Casa independiente en CM Alcanada, d', 68</t>
        </is>
      </c>
      <c r="C501" t="inlineStr">
        <is>
          <t>https://www.idealista.com/inmueble/110116495/</t>
        </is>
      </c>
      <c r="E501" t="n">
        <v>5</v>
      </c>
      <c r="H501" t="n">
        <v>300</v>
      </c>
      <c r="J501" t="inlineStr">
        <is>
          <t>Port d'Alcúdia - Platja d'Alcúdia, Alcúdia</t>
        </is>
      </c>
      <c r="K501" t="n">
        <v>61.9</v>
      </c>
      <c r="L501" t="n">
        <v>47</v>
      </c>
      <c r="M501" t="n">
        <v>80.09999999999999</v>
      </c>
      <c r="N501" t="n">
        <v>73</v>
      </c>
      <c r="O501" t="n">
        <v>84.5</v>
      </c>
      <c r="P501" t="n">
        <v>63</v>
      </c>
      <c r="Q501" t="n">
        <v>77.8</v>
      </c>
      <c r="R501" t="n">
        <v>70</v>
      </c>
      <c r="S501" t="n">
        <v>2400000</v>
      </c>
      <c r="T501" t="n">
        <v>8000</v>
      </c>
      <c r="AH501" t="inlineStr">
        <is>
          <t>Quelle: Idealista</t>
        </is>
      </c>
    </row>
    <row r="502">
      <c r="A502" t="n">
        <v>315</v>
      </c>
      <c r="B502" t="inlineStr">
        <is>
          <t>Casa independiente</t>
        </is>
      </c>
      <c r="C502" t="inlineStr">
        <is>
          <t>https://www.idealista.com/inmueble/110016483/</t>
        </is>
      </c>
      <c r="E502" t="n">
        <v>5</v>
      </c>
      <c r="H502" t="n">
        <v>332</v>
      </c>
      <c r="J502" t="inlineStr">
        <is>
          <t>Barcarés - Manresa - Bonaire, Alcúdia</t>
        </is>
      </c>
      <c r="K502" t="n">
        <v>63.2</v>
      </c>
      <c r="L502" t="n">
        <v>51</v>
      </c>
      <c r="M502" t="n">
        <v>81.3</v>
      </c>
      <c r="N502" t="n">
        <v>78</v>
      </c>
      <c r="O502" t="n">
        <v>85.8</v>
      </c>
      <c r="P502" t="n">
        <v>67</v>
      </c>
      <c r="Q502" t="n">
        <v>79</v>
      </c>
      <c r="R502" t="n">
        <v>74</v>
      </c>
      <c r="S502" t="n">
        <v>5900000</v>
      </c>
      <c r="T502" t="n">
        <v>17771</v>
      </c>
      <c r="AH502" t="inlineStr">
        <is>
          <t>Quelle: Idealista</t>
        </is>
      </c>
    </row>
    <row r="503">
      <c r="A503" t="n">
        <v>316</v>
      </c>
      <c r="B503" t="inlineStr">
        <is>
          <t>Casa independiente</t>
        </is>
      </c>
      <c r="C503" t="inlineStr">
        <is>
          <t>https://www.idealista.com/inmueble/101312371/</t>
        </is>
      </c>
      <c r="E503" t="n">
        <v>6</v>
      </c>
      <c r="H503" t="n">
        <v>750</v>
      </c>
      <c r="J503" t="inlineStr">
        <is>
          <t>Barcarés - Manresa - Bonaire, Alcúdia</t>
        </is>
      </c>
      <c r="K503" t="n">
        <v>63.2</v>
      </c>
      <c r="L503" t="n">
        <v>51</v>
      </c>
      <c r="M503" t="n">
        <v>81.3</v>
      </c>
      <c r="N503" t="n">
        <v>78</v>
      </c>
      <c r="O503" t="n">
        <v>85.8</v>
      </c>
      <c r="P503" t="n">
        <v>67</v>
      </c>
      <c r="Q503" t="n">
        <v>79</v>
      </c>
      <c r="R503" t="n">
        <v>74</v>
      </c>
      <c r="S503" t="n">
        <v>2950000</v>
      </c>
      <c r="T503" t="n">
        <v>3933</v>
      </c>
      <c r="AH503" t="inlineStr">
        <is>
          <t>Quelle: Idealista</t>
        </is>
      </c>
    </row>
    <row r="504">
      <c r="A504" t="n">
        <v>317</v>
      </c>
      <c r="B504" t="inlineStr">
        <is>
          <t>Casa independiente</t>
        </is>
      </c>
      <c r="C504" t="inlineStr">
        <is>
          <t>https://www.idealista.com/inmueble/109921796/</t>
        </is>
      </c>
      <c r="E504" t="n">
        <v>6</v>
      </c>
      <c r="H504" t="n">
        <v>361</v>
      </c>
      <c r="J504" t="inlineStr">
        <is>
          <t>Ciutat d'Alcúdia, Alcúdia</t>
        </is>
      </c>
      <c r="K504" t="n">
        <v>61.6</v>
      </c>
      <c r="L504" t="n">
        <v>47</v>
      </c>
      <c r="M504" t="n">
        <v>79.7</v>
      </c>
      <c r="N504" t="n">
        <v>74</v>
      </c>
      <c r="O504" t="n">
        <v>84.2</v>
      </c>
      <c r="P504" t="n">
        <v>63</v>
      </c>
      <c r="Q504" t="n">
        <v>77.40000000000001</v>
      </c>
      <c r="R504" t="n">
        <v>70</v>
      </c>
      <c r="S504" t="n">
        <v>4300000</v>
      </c>
      <c r="T504" t="n">
        <v>11911</v>
      </c>
      <c r="AH504" t="inlineStr">
        <is>
          <t>Quelle: Idealista</t>
        </is>
      </c>
    </row>
    <row r="505">
      <c r="A505" t="n">
        <v>318</v>
      </c>
      <c r="B505" t="inlineStr">
        <is>
          <t>Casa independiente</t>
        </is>
      </c>
      <c r="C505" t="inlineStr">
        <is>
          <t>https://www.idealista.com/inmueble/103008012/</t>
        </is>
      </c>
      <c r="E505" t="n">
        <v>6</v>
      </c>
      <c r="H505" t="n">
        <v>372</v>
      </c>
      <c r="J505" t="inlineStr">
        <is>
          <t>Port d'Alcúdia - Platja d'Alcúdia, Alcúdia</t>
        </is>
      </c>
      <c r="K505" t="n">
        <v>61.9</v>
      </c>
      <c r="L505" t="n">
        <v>47</v>
      </c>
      <c r="M505" t="n">
        <v>80.09999999999999</v>
      </c>
      <c r="N505" t="n">
        <v>73</v>
      </c>
      <c r="O505" t="n">
        <v>84.5</v>
      </c>
      <c r="P505" t="n">
        <v>63</v>
      </c>
      <c r="Q505" t="n">
        <v>77.8</v>
      </c>
      <c r="R505" t="n">
        <v>70</v>
      </c>
      <c r="S505" t="n">
        <v>4300000</v>
      </c>
      <c r="T505" t="n">
        <v>11559</v>
      </c>
      <c r="AH505" t="inlineStr">
        <is>
          <t>Quelle: Idealista</t>
        </is>
      </c>
    </row>
    <row r="506">
      <c r="A506" t="n">
        <v>319</v>
      </c>
      <c r="B506" t="inlineStr">
        <is>
          <t>Casa independiente</t>
        </is>
      </c>
      <c r="C506" t="inlineStr">
        <is>
          <t>https://www.idealista.com/inmueble/109681188/</t>
        </is>
      </c>
      <c r="E506" t="n">
        <v>5</v>
      </c>
      <c r="H506" t="n">
        <v>331</v>
      </c>
      <c r="J506" t="inlineStr">
        <is>
          <t>Barcarés - Manresa - Bonaire, Alcúdia</t>
        </is>
      </c>
      <c r="K506" t="n">
        <v>63.2</v>
      </c>
      <c r="L506" t="n">
        <v>51</v>
      </c>
      <c r="M506" t="n">
        <v>81.3</v>
      </c>
      <c r="N506" t="n">
        <v>78</v>
      </c>
      <c r="O506" t="n">
        <v>85.8</v>
      </c>
      <c r="P506" t="n">
        <v>67</v>
      </c>
      <c r="Q506" t="n">
        <v>79</v>
      </c>
      <c r="R506" t="n">
        <v>74</v>
      </c>
      <c r="S506" t="n">
        <v>5900000</v>
      </c>
      <c r="T506" t="n">
        <v>17825</v>
      </c>
      <c r="AH506" t="inlineStr">
        <is>
          <t>Quelle: Idealista</t>
        </is>
      </c>
    </row>
    <row r="507">
      <c r="A507" t="n">
        <v>320</v>
      </c>
      <c r="B507" t="inlineStr">
        <is>
          <t>Casa rural</t>
        </is>
      </c>
      <c r="C507" t="inlineStr">
        <is>
          <t>https://www.idealista.com/inmueble/109668240/</t>
        </is>
      </c>
      <c r="E507" t="n">
        <v>5</v>
      </c>
      <c r="H507" t="n">
        <v>472</v>
      </c>
      <c r="J507" t="inlineStr">
        <is>
          <t>Ciutat d'Alcúdia, Alcúdia</t>
        </is>
      </c>
      <c r="K507" t="n">
        <v>61.6</v>
      </c>
      <c r="L507" t="n">
        <v>47</v>
      </c>
      <c r="M507" t="n">
        <v>79.7</v>
      </c>
      <c r="N507" t="n">
        <v>74</v>
      </c>
      <c r="O507" t="n">
        <v>84.2</v>
      </c>
      <c r="P507" t="n">
        <v>63</v>
      </c>
      <c r="Q507" t="n">
        <v>77.40000000000001</v>
      </c>
      <c r="R507" t="n">
        <v>70</v>
      </c>
      <c r="S507" t="n">
        <v>3330000</v>
      </c>
      <c r="T507" t="n">
        <v>7055</v>
      </c>
      <c r="AH507" t="inlineStr">
        <is>
          <t>Quelle: Idealista</t>
        </is>
      </c>
    </row>
    <row r="508">
      <c r="A508" t="n">
        <v>321</v>
      </c>
      <c r="B508" t="inlineStr">
        <is>
          <t>Casa independiente en Disseminat</t>
        </is>
      </c>
      <c r="C508" t="inlineStr">
        <is>
          <t>https://www.idealista.com/inmueble/109567685/</t>
        </is>
      </c>
      <c r="E508" t="n">
        <v>5</v>
      </c>
      <c r="H508" t="n">
        <v>425</v>
      </c>
      <c r="J508" t="inlineStr">
        <is>
          <t>Ciutat d'Alcúdia, Alcúdia</t>
        </is>
      </c>
      <c r="K508" t="n">
        <v>61.6</v>
      </c>
      <c r="L508" t="n">
        <v>47</v>
      </c>
      <c r="M508" t="n">
        <v>79.7</v>
      </c>
      <c r="N508" t="n">
        <v>74</v>
      </c>
      <c r="O508" t="n">
        <v>84.2</v>
      </c>
      <c r="P508" t="n">
        <v>63</v>
      </c>
      <c r="Q508" t="n">
        <v>77.40000000000001</v>
      </c>
      <c r="R508" t="n">
        <v>70</v>
      </c>
      <c r="S508" t="n">
        <v>3200000</v>
      </c>
      <c r="T508" t="n">
        <v>7529</v>
      </c>
      <c r="AH508" t="inlineStr">
        <is>
          <t>Quelle: Idealista</t>
        </is>
      </c>
    </row>
    <row r="509">
      <c r="A509" t="n">
        <v>322</v>
      </c>
      <c r="B509" t="inlineStr">
        <is>
          <t>Casa independiente</t>
        </is>
      </c>
      <c r="C509" t="inlineStr">
        <is>
          <t>https://www.idealista.com/inmueble/109344337/</t>
        </is>
      </c>
      <c r="E509" t="n">
        <v>6</v>
      </c>
      <c r="H509" t="n">
        <v>372</v>
      </c>
      <c r="J509" t="inlineStr">
        <is>
          <t>Port d'Alcúdia - Platja d'Alcúdia, Alcúdia</t>
        </is>
      </c>
      <c r="K509" t="n">
        <v>61.9</v>
      </c>
      <c r="L509" t="n">
        <v>47</v>
      </c>
      <c r="M509" t="n">
        <v>80.09999999999999</v>
      </c>
      <c r="N509" t="n">
        <v>73</v>
      </c>
      <c r="O509" t="n">
        <v>84.5</v>
      </c>
      <c r="P509" t="n">
        <v>63</v>
      </c>
      <c r="Q509" t="n">
        <v>77.8</v>
      </c>
      <c r="R509" t="n">
        <v>70</v>
      </c>
      <c r="S509" t="n">
        <v>4300000</v>
      </c>
      <c r="T509" t="n">
        <v>11559</v>
      </c>
      <c r="AH509" t="inlineStr">
        <is>
          <t>Quelle: Idealista</t>
        </is>
      </c>
    </row>
    <row r="510">
      <c r="A510" t="n">
        <v>323</v>
      </c>
      <c r="B510" t="inlineStr">
        <is>
          <t>Casa rural en Verteient</t>
        </is>
      </c>
      <c r="C510" t="inlineStr">
        <is>
          <t>https://www.idealista.com/inmueble/109238235/</t>
        </is>
      </c>
      <c r="E510" t="n">
        <v>5</v>
      </c>
      <c r="H510" t="n">
        <v>521</v>
      </c>
      <c r="J510" t="inlineStr">
        <is>
          <t>Ciutat d'Alcúdia, Alcúdia</t>
        </is>
      </c>
      <c r="K510" t="n">
        <v>61.6</v>
      </c>
      <c r="L510" t="n">
        <v>47</v>
      </c>
      <c r="M510" t="n">
        <v>79.7</v>
      </c>
      <c r="N510" t="n">
        <v>74</v>
      </c>
      <c r="O510" t="n">
        <v>84.2</v>
      </c>
      <c r="P510" t="n">
        <v>63</v>
      </c>
      <c r="Q510" t="n">
        <v>77.40000000000001</v>
      </c>
      <c r="R510" t="n">
        <v>70</v>
      </c>
      <c r="S510" t="n">
        <v>4500000</v>
      </c>
      <c r="T510" t="n">
        <v>8637</v>
      </c>
      <c r="AH510" t="inlineStr">
        <is>
          <t>Quelle: Idealista</t>
        </is>
      </c>
    </row>
    <row r="511">
      <c r="A511" t="n">
        <v>324</v>
      </c>
      <c r="B511" t="inlineStr">
        <is>
          <t>Casa independiente</t>
        </is>
      </c>
      <c r="C511" t="inlineStr">
        <is>
          <t>https://www.idealista.com/inmueble/104904799/</t>
        </is>
      </c>
      <c r="E511" t="n">
        <v>5</v>
      </c>
      <c r="H511" t="n">
        <v>543</v>
      </c>
      <c r="J511" t="inlineStr">
        <is>
          <t>Port d'Alcúdia - Platja d'Alcúdia, Alcúdia</t>
        </is>
      </c>
      <c r="K511" t="n">
        <v>61.9</v>
      </c>
      <c r="L511" t="n">
        <v>47</v>
      </c>
      <c r="M511" t="n">
        <v>80.09999999999999</v>
      </c>
      <c r="N511" t="n">
        <v>73</v>
      </c>
      <c r="O511" t="n">
        <v>84.5</v>
      </c>
      <c r="P511" t="n">
        <v>63</v>
      </c>
      <c r="Q511" t="n">
        <v>77.8</v>
      </c>
      <c r="R511" t="n">
        <v>70</v>
      </c>
      <c r="S511" t="n">
        <v>2275000</v>
      </c>
      <c r="T511" t="n">
        <v>4190</v>
      </c>
      <c r="AH511" t="inlineStr">
        <is>
          <t>Quelle: Idealista</t>
        </is>
      </c>
    </row>
    <row r="512">
      <c r="A512" t="n">
        <v>325</v>
      </c>
      <c r="B512" t="inlineStr">
        <is>
          <t>Casa independiente</t>
        </is>
      </c>
      <c r="C512" t="inlineStr">
        <is>
          <t>https://www.idealista.com/inmueble/108806709/</t>
        </is>
      </c>
      <c r="E512" t="n">
        <v>5</v>
      </c>
      <c r="H512" t="n">
        <v>445</v>
      </c>
      <c r="J512" t="inlineStr">
        <is>
          <t>Port d'Alcúdia - Platja d'Alcúdia, Alcúdia</t>
        </is>
      </c>
      <c r="K512" t="n">
        <v>61.9</v>
      </c>
      <c r="L512" t="n">
        <v>47</v>
      </c>
      <c r="M512" t="n">
        <v>80.09999999999999</v>
      </c>
      <c r="N512" t="n">
        <v>73</v>
      </c>
      <c r="O512" t="n">
        <v>84.5</v>
      </c>
      <c r="P512" t="n">
        <v>63</v>
      </c>
      <c r="Q512" t="n">
        <v>77.8</v>
      </c>
      <c r="R512" t="n">
        <v>70</v>
      </c>
      <c r="S512" t="n">
        <v>4990000</v>
      </c>
      <c r="T512" t="n">
        <v>11213</v>
      </c>
      <c r="AH512" t="inlineStr">
        <is>
          <t>Quelle: Idealista</t>
        </is>
      </c>
    </row>
    <row r="513">
      <c r="A513" t="n">
        <v>326</v>
      </c>
      <c r="B513" t="inlineStr">
        <is>
          <t>Finca rústica</t>
        </is>
      </c>
      <c r="C513" t="inlineStr">
        <is>
          <t>https://www.idealista.com/inmueble/108806935/</t>
        </is>
      </c>
      <c r="E513" t="n">
        <v>5</v>
      </c>
      <c r="H513" t="n">
        <v>550</v>
      </c>
      <c r="J513" t="inlineStr">
        <is>
          <t>Ciutat d'Alcúdia, Alcúdia</t>
        </is>
      </c>
      <c r="K513" t="n">
        <v>61.6</v>
      </c>
      <c r="L513" t="n">
        <v>47</v>
      </c>
      <c r="M513" t="n">
        <v>79.7</v>
      </c>
      <c r="N513" t="n">
        <v>74</v>
      </c>
      <c r="O513" t="n">
        <v>84.2</v>
      </c>
      <c r="P513" t="n">
        <v>63</v>
      </c>
      <c r="Q513" t="n">
        <v>77.40000000000001</v>
      </c>
      <c r="R513" t="n">
        <v>70</v>
      </c>
      <c r="S513" t="n">
        <v>2450000</v>
      </c>
      <c r="T513" t="n">
        <v>4455</v>
      </c>
      <c r="AH513" t="inlineStr">
        <is>
          <t>Quelle: Idealista</t>
        </is>
      </c>
    </row>
    <row r="514">
      <c r="A514" t="n">
        <v>327</v>
      </c>
      <c r="B514" t="inlineStr">
        <is>
          <t>Chalet</t>
        </is>
      </c>
      <c r="C514" t="inlineStr">
        <is>
          <t>https://www.idealista.com/inmueble/108942119/</t>
        </is>
      </c>
      <c r="E514" t="n">
        <v>5</v>
      </c>
      <c r="H514" t="n">
        <v>417</v>
      </c>
      <c r="J514" t="inlineStr">
        <is>
          <t>Ciutat d'Alcúdia, Alcúdia</t>
        </is>
      </c>
      <c r="K514" t="n">
        <v>61.6</v>
      </c>
      <c r="L514" t="n">
        <v>47</v>
      </c>
      <c r="M514" t="n">
        <v>79.7</v>
      </c>
      <c r="N514" t="n">
        <v>74</v>
      </c>
      <c r="O514" t="n">
        <v>84.2</v>
      </c>
      <c r="P514" t="n">
        <v>63</v>
      </c>
      <c r="Q514" t="n">
        <v>77.40000000000001</v>
      </c>
      <c r="R514" t="n">
        <v>70</v>
      </c>
      <c r="S514" t="n">
        <v>2600000</v>
      </c>
      <c r="T514" t="n">
        <v>6235</v>
      </c>
      <c r="AH514" t="inlineStr">
        <is>
          <t>Quelle: Idealista</t>
        </is>
      </c>
    </row>
    <row r="515">
      <c r="A515" t="n">
        <v>328</v>
      </c>
      <c r="B515" t="inlineStr">
        <is>
          <t>Finca rústica</t>
        </is>
      </c>
      <c r="C515" t="inlineStr">
        <is>
          <t>https://www.idealista.com/inmueble/108894925/</t>
        </is>
      </c>
      <c r="E515" t="n">
        <v>5</v>
      </c>
      <c r="H515" t="n">
        <v>465</v>
      </c>
      <c r="J515" t="inlineStr">
        <is>
          <t>Ciutat d'Alcúdia, Alcúdia</t>
        </is>
      </c>
      <c r="K515" t="n">
        <v>61.6</v>
      </c>
      <c r="L515" t="n">
        <v>47</v>
      </c>
      <c r="M515" t="n">
        <v>79.7</v>
      </c>
      <c r="N515" t="n">
        <v>74</v>
      </c>
      <c r="O515" t="n">
        <v>84.2</v>
      </c>
      <c r="P515" t="n">
        <v>63</v>
      </c>
      <c r="Q515" t="n">
        <v>77.40000000000001</v>
      </c>
      <c r="R515" t="n">
        <v>70</v>
      </c>
      <c r="S515" t="n">
        <v>3750000</v>
      </c>
      <c r="T515" t="n">
        <v>8065</v>
      </c>
      <c r="AH515" t="inlineStr">
        <is>
          <t>Quelle: Idealista</t>
        </is>
      </c>
    </row>
    <row r="516">
      <c r="A516" t="n">
        <v>329</v>
      </c>
      <c r="B516" t="inlineStr">
        <is>
          <t>Casa independiente en camino d'Alcanada</t>
        </is>
      </c>
      <c r="C516" t="inlineStr">
        <is>
          <t>https://www.idealista.com/inmueble/108695186/</t>
        </is>
      </c>
      <c r="E516" t="n">
        <v>6</v>
      </c>
      <c r="H516" t="n">
        <v>327</v>
      </c>
      <c r="J516" t="inlineStr">
        <is>
          <t>Port d'Alcúdia - Platja d'Alcúdia, Alcúdia</t>
        </is>
      </c>
      <c r="K516" t="n">
        <v>61.9</v>
      </c>
      <c r="L516" t="n">
        <v>47</v>
      </c>
      <c r="M516" t="n">
        <v>80.09999999999999</v>
      </c>
      <c r="N516" t="n">
        <v>73</v>
      </c>
      <c r="O516" t="n">
        <v>84.5</v>
      </c>
      <c r="P516" t="n">
        <v>63</v>
      </c>
      <c r="Q516" t="n">
        <v>77.8</v>
      </c>
      <c r="R516" t="n">
        <v>70</v>
      </c>
      <c r="S516" t="n">
        <v>4300000</v>
      </c>
      <c r="T516" t="n">
        <v>13150</v>
      </c>
      <c r="AH516" t="inlineStr">
        <is>
          <t>Quelle: Idealista</t>
        </is>
      </c>
    </row>
    <row r="517">
      <c r="A517" t="n">
        <v>330</v>
      </c>
      <c r="B517" t="inlineStr">
        <is>
          <t>Casa independiente</t>
        </is>
      </c>
      <c r="C517" t="inlineStr">
        <is>
          <t>https://www.idealista.com/inmueble/106650617/</t>
        </is>
      </c>
      <c r="E517" t="n">
        <v>5</v>
      </c>
      <c r="H517" t="n">
        <v>1110</v>
      </c>
      <c r="J517" t="inlineStr">
        <is>
          <t>Barcarés - Manresa - Bonaire, Alcúdia</t>
        </is>
      </c>
      <c r="K517" t="n">
        <v>63.2</v>
      </c>
      <c r="L517" t="n">
        <v>51</v>
      </c>
      <c r="M517" t="n">
        <v>81.3</v>
      </c>
      <c r="N517" t="n">
        <v>78</v>
      </c>
      <c r="O517" t="n">
        <v>85.8</v>
      </c>
      <c r="P517" t="n">
        <v>67</v>
      </c>
      <c r="Q517" t="n">
        <v>79</v>
      </c>
      <c r="R517" t="n">
        <v>74</v>
      </c>
      <c r="S517" t="n">
        <v>2900000</v>
      </c>
      <c r="T517" t="n">
        <v>2613</v>
      </c>
      <c r="AH517" t="inlineStr">
        <is>
          <t>Quelle: Idealista</t>
        </is>
      </c>
    </row>
    <row r="518">
      <c r="A518" t="n">
        <v>331</v>
      </c>
      <c r="B518" t="inlineStr">
        <is>
          <t>Chalet</t>
        </is>
      </c>
      <c r="C518" t="inlineStr">
        <is>
          <t>https://www.idealista.com/inmueble/107919945/</t>
        </is>
      </c>
      <c r="E518" t="n">
        <v>5</v>
      </c>
      <c r="H518" t="n">
        <v>275</v>
      </c>
      <c r="J518" t="inlineStr">
        <is>
          <t>Barcarés - Manresa - Bonaire, Alcúdia</t>
        </is>
      </c>
      <c r="K518" t="n">
        <v>63.2</v>
      </c>
      <c r="L518" t="n">
        <v>51</v>
      </c>
      <c r="M518" t="n">
        <v>81.3</v>
      </c>
      <c r="N518" t="n">
        <v>78</v>
      </c>
      <c r="O518" t="n">
        <v>85.8</v>
      </c>
      <c r="P518" t="n">
        <v>67</v>
      </c>
      <c r="Q518" t="n">
        <v>79</v>
      </c>
      <c r="R518" t="n">
        <v>74</v>
      </c>
      <c r="S518" t="n">
        <v>2200000</v>
      </c>
      <c r="T518" t="n">
        <v>8000</v>
      </c>
      <c r="AH518" t="inlineStr">
        <is>
          <t>Quelle: Idealista</t>
        </is>
      </c>
    </row>
    <row r="519">
      <c r="A519" t="n">
        <v>332</v>
      </c>
      <c r="B519" t="inlineStr">
        <is>
          <t>Chalet</t>
        </is>
      </c>
      <c r="C519" t="inlineStr">
        <is>
          <t>https://www.idealista.com/inmueble/107919876/</t>
        </is>
      </c>
      <c r="E519" t="n">
        <v>6</v>
      </c>
      <c r="H519" t="n">
        <v>751</v>
      </c>
      <c r="J519" t="inlineStr">
        <is>
          <t>Barcarés - Manresa - Bonaire, Alcúdia</t>
        </is>
      </c>
      <c r="K519" t="n">
        <v>63.2</v>
      </c>
      <c r="L519" t="n">
        <v>51</v>
      </c>
      <c r="M519" t="n">
        <v>81.3</v>
      </c>
      <c r="N519" t="n">
        <v>78</v>
      </c>
      <c r="O519" t="n">
        <v>85.8</v>
      </c>
      <c r="P519" t="n">
        <v>67</v>
      </c>
      <c r="Q519" t="n">
        <v>79</v>
      </c>
      <c r="R519" t="n">
        <v>74</v>
      </c>
      <c r="S519" t="n">
        <v>2990000</v>
      </c>
      <c r="T519" t="n">
        <v>3981</v>
      </c>
      <c r="AH519" t="inlineStr">
        <is>
          <t>Quelle: Idealista</t>
        </is>
      </c>
    </row>
    <row r="520">
      <c r="A520" t="n">
        <v>333</v>
      </c>
      <c r="B520" t="inlineStr">
        <is>
          <t>Chalet</t>
        </is>
      </c>
      <c r="C520" t="inlineStr">
        <is>
          <t>https://www.idealista.com/inmueble/107919807/</t>
        </is>
      </c>
      <c r="E520" t="n">
        <v>7</v>
      </c>
      <c r="H520" t="n">
        <v>542</v>
      </c>
      <c r="J520" t="inlineStr">
        <is>
          <t>Ciutat d'Alcúdia, Alcúdia</t>
        </is>
      </c>
      <c r="K520" t="n">
        <v>61.6</v>
      </c>
      <c r="L520" t="n">
        <v>47</v>
      </c>
      <c r="M520" t="n">
        <v>79.7</v>
      </c>
      <c r="N520" t="n">
        <v>74</v>
      </c>
      <c r="O520" t="n">
        <v>84.2</v>
      </c>
      <c r="P520" t="n">
        <v>63</v>
      </c>
      <c r="Q520" t="n">
        <v>77.40000000000001</v>
      </c>
      <c r="R520" t="n">
        <v>70</v>
      </c>
      <c r="S520" t="n">
        <v>2400000</v>
      </c>
      <c r="T520" t="n">
        <v>4428</v>
      </c>
      <c r="AH520" t="inlineStr">
        <is>
          <t>Quelle: Idealista</t>
        </is>
      </c>
    </row>
    <row r="521">
      <c r="A521" t="n">
        <v>334</v>
      </c>
      <c r="B521" t="inlineStr">
        <is>
          <t>Finca rústica en camino Vial</t>
        </is>
      </c>
      <c r="C521" t="inlineStr">
        <is>
          <t>https://www.idealista.com/inmueble/107741919/</t>
        </is>
      </c>
      <c r="E521" t="n">
        <v>6</v>
      </c>
      <c r="H521" t="n">
        <v>300</v>
      </c>
      <c r="J521" t="inlineStr">
        <is>
          <t>Ciutat d'Alcúdia, Alcúdia</t>
        </is>
      </c>
      <c r="K521" t="n">
        <v>61.6</v>
      </c>
      <c r="L521" t="n">
        <v>47</v>
      </c>
      <c r="M521" t="n">
        <v>79.7</v>
      </c>
      <c r="N521" t="n">
        <v>74</v>
      </c>
      <c r="O521" t="n">
        <v>84.2</v>
      </c>
      <c r="P521" t="n">
        <v>63</v>
      </c>
      <c r="Q521" t="n">
        <v>77.40000000000001</v>
      </c>
      <c r="R521" t="n">
        <v>70</v>
      </c>
      <c r="S521" t="n">
        <v>2690000</v>
      </c>
      <c r="T521" t="n">
        <v>8967</v>
      </c>
      <c r="AH521" t="inlineStr">
        <is>
          <t>Quelle: Idealista</t>
        </is>
      </c>
    </row>
    <row r="522">
      <c r="A522" t="n">
        <v>335</v>
      </c>
      <c r="B522" t="inlineStr">
        <is>
          <t>Casa independiente</t>
        </is>
      </c>
      <c r="C522" t="inlineStr">
        <is>
          <t>https://www.idealista.com/inmueble/107639973/</t>
        </is>
      </c>
      <c r="E522" t="n">
        <v>7</v>
      </c>
      <c r="H522" t="n">
        <v>325</v>
      </c>
      <c r="J522" t="inlineStr">
        <is>
          <t>Barcarés - Manresa - Bonaire, Alcúdia</t>
        </is>
      </c>
      <c r="K522" t="n">
        <v>63.2</v>
      </c>
      <c r="L522" t="n">
        <v>51</v>
      </c>
      <c r="M522" t="n">
        <v>81.3</v>
      </c>
      <c r="N522" t="n">
        <v>78</v>
      </c>
      <c r="O522" t="n">
        <v>85.8</v>
      </c>
      <c r="P522" t="n">
        <v>67</v>
      </c>
      <c r="Q522" t="n">
        <v>79</v>
      </c>
      <c r="R522" t="n">
        <v>74</v>
      </c>
      <c r="S522" t="n">
        <v>2300000</v>
      </c>
      <c r="T522" t="n">
        <v>7077</v>
      </c>
      <c r="AH522" t="inlineStr">
        <is>
          <t>Quelle: Idealista</t>
        </is>
      </c>
    </row>
    <row r="523">
      <c r="A523" t="n">
        <v>336</v>
      </c>
      <c r="B523" t="inlineStr">
        <is>
          <t>Chalet en calle del Marisc</t>
        </is>
      </c>
      <c r="C523" t="inlineStr">
        <is>
          <t>https://www.idealista.com/inmueble/107125112/</t>
        </is>
      </c>
      <c r="E523" t="n">
        <v>5</v>
      </c>
      <c r="H523" t="n">
        <v>572</v>
      </c>
      <c r="J523" t="inlineStr">
        <is>
          <t>Port d'Alcúdia - Platja d'Alcúdia, Alcúdia</t>
        </is>
      </c>
      <c r="K523" t="n">
        <v>61.9</v>
      </c>
      <c r="L523" t="n">
        <v>47</v>
      </c>
      <c r="M523" t="n">
        <v>80.09999999999999</v>
      </c>
      <c r="N523" t="n">
        <v>73</v>
      </c>
      <c r="O523" t="n">
        <v>84.5</v>
      </c>
      <c r="P523" t="n">
        <v>63</v>
      </c>
      <c r="Q523" t="n">
        <v>77.8</v>
      </c>
      <c r="R523" t="n">
        <v>70</v>
      </c>
      <c r="S523" t="n">
        <v>4990000</v>
      </c>
      <c r="T523" t="n">
        <v>8724</v>
      </c>
      <c r="AH523" t="inlineStr">
        <is>
          <t>Quelle: Idealista</t>
        </is>
      </c>
    </row>
    <row r="524">
      <c r="A524" t="n">
        <v>337</v>
      </c>
      <c r="B524" t="inlineStr">
        <is>
          <t>Casa rural</t>
        </is>
      </c>
      <c r="C524" t="inlineStr">
        <is>
          <t>https://www.idealista.com/inmueble/107111053/</t>
        </is>
      </c>
      <c r="E524" t="n">
        <v>6</v>
      </c>
      <c r="H524" t="n">
        <v>439</v>
      </c>
      <c r="J524" t="inlineStr">
        <is>
          <t>Port d'Alcúdia - Platja d'Alcúdia, Alcúdia</t>
        </is>
      </c>
      <c r="K524" t="n">
        <v>61.9</v>
      </c>
      <c r="L524" t="n">
        <v>47</v>
      </c>
      <c r="M524" t="n">
        <v>80.09999999999999</v>
      </c>
      <c r="N524" t="n">
        <v>73</v>
      </c>
      <c r="O524" t="n">
        <v>84.5</v>
      </c>
      <c r="P524" t="n">
        <v>63</v>
      </c>
      <c r="Q524" t="n">
        <v>77.8</v>
      </c>
      <c r="R524" t="n">
        <v>70</v>
      </c>
      <c r="S524" t="n">
        <v>3650000</v>
      </c>
      <c r="T524" t="n">
        <v>8314</v>
      </c>
      <c r="AH524" t="inlineStr">
        <is>
          <t>Quelle: Idealista</t>
        </is>
      </c>
    </row>
    <row r="525">
      <c r="A525" t="n">
        <v>338</v>
      </c>
      <c r="B525" t="inlineStr">
        <is>
          <t>Casa independiente en calle de la Ginesta</t>
        </is>
      </c>
      <c r="C525" t="inlineStr">
        <is>
          <t>https://www.idealista.com/inmueble/106560393/</t>
        </is>
      </c>
      <c r="E525" t="n">
        <v>5</v>
      </c>
      <c r="H525" t="n">
        <v>450</v>
      </c>
      <c r="J525" t="inlineStr">
        <is>
          <t>Port d'Alcúdia - Platja d'Alcúdia, Alcúdia</t>
        </is>
      </c>
      <c r="K525" t="n">
        <v>61.9</v>
      </c>
      <c r="L525" t="n">
        <v>47</v>
      </c>
      <c r="M525" t="n">
        <v>80.09999999999999</v>
      </c>
      <c r="N525" t="n">
        <v>73</v>
      </c>
      <c r="O525" t="n">
        <v>84.5</v>
      </c>
      <c r="P525" t="n">
        <v>63</v>
      </c>
      <c r="Q525" t="n">
        <v>77.8</v>
      </c>
      <c r="R525" t="n">
        <v>70</v>
      </c>
      <c r="S525" t="n">
        <v>4990000</v>
      </c>
      <c r="T525" t="n">
        <v>11089</v>
      </c>
      <c r="AH525" t="inlineStr">
        <is>
          <t>Quelle: Idealista</t>
        </is>
      </c>
    </row>
    <row r="526">
      <c r="A526" t="n">
        <v>339</v>
      </c>
      <c r="B526" t="inlineStr">
        <is>
          <t>Casa independiente</t>
        </is>
      </c>
      <c r="C526" t="inlineStr">
        <is>
          <t>https://www.idealista.com/inmueble/105839916/</t>
        </is>
      </c>
      <c r="E526" t="n">
        <v>5</v>
      </c>
      <c r="H526" t="n">
        <v>275</v>
      </c>
      <c r="J526" t="inlineStr">
        <is>
          <t>Barcarés - Manresa - Bonaire, Alcúdia</t>
        </is>
      </c>
      <c r="K526" t="n">
        <v>63.2</v>
      </c>
      <c r="L526" t="n">
        <v>51</v>
      </c>
      <c r="M526" t="n">
        <v>81.3</v>
      </c>
      <c r="N526" t="n">
        <v>78</v>
      </c>
      <c r="O526" t="n">
        <v>85.8</v>
      </c>
      <c r="P526" t="n">
        <v>67</v>
      </c>
      <c r="Q526" t="n">
        <v>79</v>
      </c>
      <c r="R526" t="n">
        <v>74</v>
      </c>
      <c r="S526" t="n">
        <v>2200000</v>
      </c>
      <c r="T526" t="n">
        <v>8000</v>
      </c>
      <c r="AH526" t="inlineStr">
        <is>
          <t>Quelle: Idealista</t>
        </is>
      </c>
    </row>
    <row r="527">
      <c r="A527" t="n">
        <v>340</v>
      </c>
      <c r="B527" t="inlineStr">
        <is>
          <t>Finca rústica</t>
        </is>
      </c>
      <c r="C527" t="inlineStr">
        <is>
          <t>https://www.idealista.com/inmueble/91707866/</t>
        </is>
      </c>
      <c r="E527" t="n">
        <v>5</v>
      </c>
      <c r="H527" t="n">
        <v>280</v>
      </c>
      <c r="J527" t="inlineStr">
        <is>
          <t>Ciutat d'Alcúdia, Alcúdia</t>
        </is>
      </c>
      <c r="K527" t="n">
        <v>61.6</v>
      </c>
      <c r="L527" t="n">
        <v>47</v>
      </c>
      <c r="M527" t="n">
        <v>79.7</v>
      </c>
      <c r="N527" t="n">
        <v>74</v>
      </c>
      <c r="O527" t="n">
        <v>84.2</v>
      </c>
      <c r="P527" t="n">
        <v>63</v>
      </c>
      <c r="Q527" t="n">
        <v>77.40000000000001</v>
      </c>
      <c r="R527" t="n">
        <v>70</v>
      </c>
      <c r="S527" t="n">
        <v>2690000</v>
      </c>
      <c r="T527" t="n">
        <v>9607</v>
      </c>
      <c r="AH527" t="inlineStr">
        <is>
          <t>Quelle: Idealista</t>
        </is>
      </c>
    </row>
    <row r="528">
      <c r="A528" t="n">
        <v>341</v>
      </c>
      <c r="B528" t="inlineStr">
        <is>
          <t>Finca rústica</t>
        </is>
      </c>
      <c r="C528" t="inlineStr">
        <is>
          <t>https://www.idealista.com/inmueble/105754249/</t>
        </is>
      </c>
      <c r="E528" t="n">
        <v>6</v>
      </c>
      <c r="H528" t="n">
        <v>906</v>
      </c>
      <c r="J528" t="inlineStr">
        <is>
          <t>Ciutat d'Alcúdia, Alcúdia</t>
        </is>
      </c>
      <c r="K528" t="n">
        <v>61.6</v>
      </c>
      <c r="L528" t="n">
        <v>47</v>
      </c>
      <c r="M528" t="n">
        <v>79.7</v>
      </c>
      <c r="N528" t="n">
        <v>74</v>
      </c>
      <c r="O528" t="n">
        <v>84.2</v>
      </c>
      <c r="P528" t="n">
        <v>63</v>
      </c>
      <c r="Q528" t="n">
        <v>77.40000000000001</v>
      </c>
      <c r="R528" t="n">
        <v>70</v>
      </c>
      <c r="S528" t="n">
        <v>3500000</v>
      </c>
      <c r="T528" t="n">
        <v>3863</v>
      </c>
      <c r="AH528" t="inlineStr">
        <is>
          <t>Quelle: Idealista</t>
        </is>
      </c>
    </row>
    <row r="529">
      <c r="A529" t="n">
        <v>342</v>
      </c>
      <c r="B529" t="inlineStr">
        <is>
          <t>Finca rústica</t>
        </is>
      </c>
      <c r="C529" t="inlineStr">
        <is>
          <t>https://www.idealista.com/inmueble/88433082/</t>
        </is>
      </c>
      <c r="E529" t="n">
        <v>5</v>
      </c>
      <c r="H529" t="n">
        <v>363</v>
      </c>
      <c r="J529" t="inlineStr">
        <is>
          <t>Ciutat d'Alcúdia, Alcúdia</t>
        </is>
      </c>
      <c r="K529" t="n">
        <v>61.6</v>
      </c>
      <c r="L529" t="n">
        <v>47</v>
      </c>
      <c r="M529" t="n">
        <v>79.7</v>
      </c>
      <c r="N529" t="n">
        <v>74</v>
      </c>
      <c r="O529" t="n">
        <v>84.2</v>
      </c>
      <c r="P529" t="n">
        <v>63</v>
      </c>
      <c r="Q529" t="n">
        <v>77.40000000000001</v>
      </c>
      <c r="R529" t="n">
        <v>70</v>
      </c>
      <c r="S529" t="n">
        <v>2690000</v>
      </c>
      <c r="T529" t="n">
        <v>7410</v>
      </c>
      <c r="AH529" t="inlineStr">
        <is>
          <t>Quelle: Idealista</t>
        </is>
      </c>
    </row>
    <row r="530">
      <c r="A530" t="n">
        <v>343</v>
      </c>
      <c r="B530" t="inlineStr">
        <is>
          <t>Casa independiente</t>
        </is>
      </c>
      <c r="C530" t="inlineStr">
        <is>
          <t>https://www.idealista.com/inmueble/105568125/</t>
        </is>
      </c>
      <c r="E530" t="n">
        <v>5</v>
      </c>
      <c r="H530" t="n">
        <v>572</v>
      </c>
      <c r="J530" t="inlineStr">
        <is>
          <t>Port d'Alcúdia - Platja d'Alcúdia, Alcúdia</t>
        </is>
      </c>
      <c r="K530" t="n">
        <v>61.9</v>
      </c>
      <c r="L530" t="n">
        <v>47</v>
      </c>
      <c r="M530" t="n">
        <v>80.09999999999999</v>
      </c>
      <c r="N530" t="n">
        <v>73</v>
      </c>
      <c r="O530" t="n">
        <v>84.5</v>
      </c>
      <c r="P530" t="n">
        <v>63</v>
      </c>
      <c r="Q530" t="n">
        <v>77.8</v>
      </c>
      <c r="R530" t="n">
        <v>70</v>
      </c>
      <c r="S530" t="n">
        <v>4990000</v>
      </c>
      <c r="T530" t="n">
        <v>8724</v>
      </c>
      <c r="AH530" t="inlineStr">
        <is>
          <t>Quelle: Idealista</t>
        </is>
      </c>
    </row>
    <row r="531">
      <c r="A531" t="n">
        <v>344</v>
      </c>
      <c r="B531" t="inlineStr">
        <is>
          <t>Casa independiente</t>
        </is>
      </c>
      <c r="C531" t="inlineStr">
        <is>
          <t>https://www.idealista.com/inmueble/104855673/</t>
        </is>
      </c>
      <c r="E531" t="n">
        <v>5</v>
      </c>
      <c r="H531" t="n">
        <v>271</v>
      </c>
      <c r="J531" t="inlineStr">
        <is>
          <t>Barcarés - Manresa - Bonaire, Alcúdia</t>
        </is>
      </c>
      <c r="K531" t="n">
        <v>63.2</v>
      </c>
      <c r="L531" t="n">
        <v>51</v>
      </c>
      <c r="M531" t="n">
        <v>81.3</v>
      </c>
      <c r="N531" t="n">
        <v>78</v>
      </c>
      <c r="O531" t="n">
        <v>85.8</v>
      </c>
      <c r="P531" t="n">
        <v>67</v>
      </c>
      <c r="Q531" t="n">
        <v>79</v>
      </c>
      <c r="R531" t="n">
        <v>74</v>
      </c>
      <c r="S531" t="n">
        <v>2200000</v>
      </c>
      <c r="T531" t="n">
        <v>8118</v>
      </c>
      <c r="AH531" t="inlineStr">
        <is>
          <t>Quelle: Idealista</t>
        </is>
      </c>
    </row>
    <row r="532">
      <c r="A532" t="n">
        <v>345</v>
      </c>
      <c r="B532" t="inlineStr">
        <is>
          <t>Casa independiente</t>
        </is>
      </c>
      <c r="C532" t="inlineStr">
        <is>
          <t>https://www.idealista.com/inmueble/98785804/</t>
        </is>
      </c>
      <c r="E532" t="n">
        <v>5</v>
      </c>
      <c r="H532" t="n">
        <v>572</v>
      </c>
      <c r="J532" t="inlineStr">
        <is>
          <t>Port d'Alcúdia - Platja d'Alcúdia, Alcúdia</t>
        </is>
      </c>
      <c r="K532" t="n">
        <v>61.9</v>
      </c>
      <c r="L532" t="n">
        <v>47</v>
      </c>
      <c r="M532" t="n">
        <v>80.09999999999999</v>
      </c>
      <c r="N532" t="n">
        <v>73</v>
      </c>
      <c r="O532" t="n">
        <v>84.5</v>
      </c>
      <c r="P532" t="n">
        <v>63</v>
      </c>
      <c r="Q532" t="n">
        <v>77.8</v>
      </c>
      <c r="R532" t="n">
        <v>70</v>
      </c>
      <c r="S532" t="n">
        <v>4990000</v>
      </c>
      <c r="T532" t="n">
        <v>8724</v>
      </c>
      <c r="AH532" t="inlineStr">
        <is>
          <t>Quelle: Idealista</t>
        </is>
      </c>
    </row>
    <row r="533">
      <c r="A533" t="n">
        <v>346</v>
      </c>
      <c r="B533" t="inlineStr">
        <is>
          <t>Casa independiente</t>
        </is>
      </c>
      <c r="C533" t="inlineStr">
        <is>
          <t>https://www.idealista.com/inmueble/104469184/</t>
        </is>
      </c>
      <c r="E533" t="n">
        <v>5</v>
      </c>
      <c r="H533" t="n">
        <v>460</v>
      </c>
      <c r="J533" t="inlineStr">
        <is>
          <t>Port d'Alcúdia - Platja d'Alcúdia, Alcúdia</t>
        </is>
      </c>
      <c r="K533" t="n">
        <v>61.9</v>
      </c>
      <c r="L533" t="n">
        <v>47</v>
      </c>
      <c r="M533" t="n">
        <v>80.09999999999999</v>
      </c>
      <c r="N533" t="n">
        <v>73</v>
      </c>
      <c r="O533" t="n">
        <v>84.5</v>
      </c>
      <c r="P533" t="n">
        <v>63</v>
      </c>
      <c r="Q533" t="n">
        <v>77.8</v>
      </c>
      <c r="R533" t="n">
        <v>70</v>
      </c>
      <c r="S533" t="n">
        <v>4300000</v>
      </c>
      <c r="T533" t="n">
        <v>9348</v>
      </c>
      <c r="AH533" t="inlineStr">
        <is>
          <t>Quelle: Idealista</t>
        </is>
      </c>
    </row>
    <row r="534">
      <c r="A534" t="n">
        <v>347</v>
      </c>
      <c r="B534" t="inlineStr">
        <is>
          <t>Casa independiente</t>
        </is>
      </c>
      <c r="C534" t="inlineStr">
        <is>
          <t>https://www.idealista.com/inmueble/103729709/</t>
        </is>
      </c>
      <c r="E534" t="n">
        <v>5</v>
      </c>
      <c r="H534" t="n">
        <v>1200</v>
      </c>
      <c r="J534" t="inlineStr">
        <is>
          <t>Ciutat d'Alcúdia, Alcúdia</t>
        </is>
      </c>
      <c r="K534" t="n">
        <v>61.6</v>
      </c>
      <c r="L534" t="n">
        <v>47</v>
      </c>
      <c r="M534" t="n">
        <v>79.7</v>
      </c>
      <c r="N534" t="n">
        <v>74</v>
      </c>
      <c r="O534" t="n">
        <v>84.2</v>
      </c>
      <c r="P534" t="n">
        <v>63</v>
      </c>
      <c r="Q534" t="n">
        <v>77.40000000000001</v>
      </c>
      <c r="R534" t="n">
        <v>70</v>
      </c>
      <c r="S534" t="n">
        <v>4800000</v>
      </c>
      <c r="T534" t="n">
        <v>4000</v>
      </c>
      <c r="AH534" t="inlineStr">
        <is>
          <t>Quelle: Idealista</t>
        </is>
      </c>
    </row>
    <row r="535">
      <c r="A535" t="n">
        <v>348</v>
      </c>
      <c r="B535" t="inlineStr">
        <is>
          <t>Chalet</t>
        </is>
      </c>
      <c r="C535" t="inlineStr">
        <is>
          <t>https://www.idealista.com/inmueble/98509566/</t>
        </is>
      </c>
      <c r="E535" t="n">
        <v>5</v>
      </c>
      <c r="H535" t="n">
        <v>577</v>
      </c>
      <c r="J535" t="inlineStr">
        <is>
          <t>Port d'Alcúdia - Platja d'Alcúdia, Alcúdia</t>
        </is>
      </c>
      <c r="K535" t="n">
        <v>61.9</v>
      </c>
      <c r="L535" t="n">
        <v>47</v>
      </c>
      <c r="M535" t="n">
        <v>80.09999999999999</v>
      </c>
      <c r="N535" t="n">
        <v>73</v>
      </c>
      <c r="O535" t="n">
        <v>84.5</v>
      </c>
      <c r="P535" t="n">
        <v>63</v>
      </c>
      <c r="Q535" t="n">
        <v>77.8</v>
      </c>
      <c r="R535" t="n">
        <v>70</v>
      </c>
      <c r="S535" t="n">
        <v>4990000</v>
      </c>
      <c r="T535" t="n">
        <v>8648</v>
      </c>
      <c r="AH535" t="inlineStr">
        <is>
          <t>Quelle: Idealista</t>
        </is>
      </c>
    </row>
    <row r="536">
      <c r="A536" t="n">
        <v>349</v>
      </c>
      <c r="B536" t="inlineStr">
        <is>
          <t>Casa independiente</t>
        </is>
      </c>
      <c r="C536" t="inlineStr">
        <is>
          <t>https://www.idealista.com/inmueble/102820137/</t>
        </is>
      </c>
      <c r="E536" t="n">
        <v>8</v>
      </c>
      <c r="H536" t="n">
        <v>671</v>
      </c>
      <c r="J536" t="inlineStr">
        <is>
          <t>Ciutat d'Alcúdia, Alcúdia</t>
        </is>
      </c>
      <c r="K536" t="n">
        <v>61.6</v>
      </c>
      <c r="L536" t="n">
        <v>47</v>
      </c>
      <c r="M536" t="n">
        <v>79.7</v>
      </c>
      <c r="N536" t="n">
        <v>74</v>
      </c>
      <c r="O536" t="n">
        <v>84.2</v>
      </c>
      <c r="P536" t="n">
        <v>63</v>
      </c>
      <c r="Q536" t="n">
        <v>77.40000000000001</v>
      </c>
      <c r="R536" t="n">
        <v>70</v>
      </c>
      <c r="S536" t="n">
        <v>5990000</v>
      </c>
      <c r="T536" t="n">
        <v>8927</v>
      </c>
      <c r="AH536" t="inlineStr">
        <is>
          <t>Quelle: Idealista</t>
        </is>
      </c>
    </row>
    <row r="537">
      <c r="A537" t="n">
        <v>350</v>
      </c>
      <c r="B537" t="inlineStr">
        <is>
          <t>Casa independiente</t>
        </is>
      </c>
      <c r="C537" t="inlineStr">
        <is>
          <t>https://www.idealista.com/inmueble/102114124/</t>
        </is>
      </c>
      <c r="E537" t="n">
        <v>5</v>
      </c>
      <c r="H537" t="n">
        <v>543</v>
      </c>
      <c r="J537" t="inlineStr">
        <is>
          <t>Port d'Alcúdia - Platja d'Alcúdia, Alcúdia</t>
        </is>
      </c>
      <c r="K537" t="n">
        <v>61.9</v>
      </c>
      <c r="L537" t="n">
        <v>47</v>
      </c>
      <c r="M537" t="n">
        <v>80.09999999999999</v>
      </c>
      <c r="N537" t="n">
        <v>73</v>
      </c>
      <c r="O537" t="n">
        <v>84.5</v>
      </c>
      <c r="P537" t="n">
        <v>63</v>
      </c>
      <c r="Q537" t="n">
        <v>77.8</v>
      </c>
      <c r="R537" t="n">
        <v>70</v>
      </c>
      <c r="S537" t="n">
        <v>2500000</v>
      </c>
      <c r="T537" t="n">
        <v>4604</v>
      </c>
      <c r="AH537" t="inlineStr">
        <is>
          <t>Quelle: Idealista</t>
        </is>
      </c>
    </row>
    <row r="538">
      <c r="A538" t="n">
        <v>351</v>
      </c>
      <c r="B538" t="inlineStr">
        <is>
          <t>Casa independiente</t>
        </is>
      </c>
      <c r="C538" t="inlineStr">
        <is>
          <t>https://www.idealista.com/inmueble/98912885/</t>
        </is>
      </c>
      <c r="E538" t="n">
        <v>5</v>
      </c>
      <c r="H538" t="n">
        <v>572</v>
      </c>
      <c r="J538" t="inlineStr">
        <is>
          <t>Port d'Alcúdia - Platja d'Alcúdia, Alcúdia</t>
        </is>
      </c>
      <c r="K538" t="n">
        <v>61.9</v>
      </c>
      <c r="L538" t="n">
        <v>47</v>
      </c>
      <c r="M538" t="n">
        <v>80.09999999999999</v>
      </c>
      <c r="N538" t="n">
        <v>73</v>
      </c>
      <c r="O538" t="n">
        <v>84.5</v>
      </c>
      <c r="P538" t="n">
        <v>63</v>
      </c>
      <c r="Q538" t="n">
        <v>77.8</v>
      </c>
      <c r="R538" t="n">
        <v>70</v>
      </c>
      <c r="S538" t="n">
        <v>4990000</v>
      </c>
      <c r="T538" t="n">
        <v>8724</v>
      </c>
      <c r="AH538" t="inlineStr">
        <is>
          <t>Quelle: Idealista</t>
        </is>
      </c>
    </row>
    <row r="539">
      <c r="A539" t="n">
        <v>352</v>
      </c>
      <c r="B539" t="inlineStr">
        <is>
          <t>Casa independiente</t>
        </is>
      </c>
      <c r="C539" t="inlineStr">
        <is>
          <t>https://www.idealista.com/inmueble/101877393/</t>
        </is>
      </c>
      <c r="E539" t="n">
        <v>5</v>
      </c>
      <c r="H539" t="n">
        <v>259</v>
      </c>
      <c r="J539" t="inlineStr">
        <is>
          <t>Ciutat d'Alcúdia, Alcúdia</t>
        </is>
      </c>
      <c r="K539" t="n">
        <v>61.6</v>
      </c>
      <c r="L539" t="n">
        <v>47</v>
      </c>
      <c r="M539" t="n">
        <v>79.7</v>
      </c>
      <c r="N539" t="n">
        <v>74</v>
      </c>
      <c r="O539" t="n">
        <v>84.2</v>
      </c>
      <c r="P539" t="n">
        <v>63</v>
      </c>
      <c r="Q539" t="n">
        <v>77.40000000000001</v>
      </c>
      <c r="R539" t="n">
        <v>70</v>
      </c>
      <c r="S539" t="n">
        <v>2700000</v>
      </c>
      <c r="T539" t="n">
        <v>10425</v>
      </c>
      <c r="AH539" t="inlineStr">
        <is>
          <t>Quelle: Idealista</t>
        </is>
      </c>
    </row>
    <row r="540">
      <c r="A540" t="n">
        <v>353</v>
      </c>
      <c r="B540" t="inlineStr">
        <is>
          <t>Casa independiente</t>
        </is>
      </c>
      <c r="C540" t="inlineStr">
        <is>
          <t>https://www.idealista.com/inmueble/101477227/</t>
        </is>
      </c>
      <c r="E540" t="n">
        <v>5</v>
      </c>
      <c r="H540" t="n">
        <v>259</v>
      </c>
      <c r="J540" t="inlineStr">
        <is>
          <t>Ciutat d'Alcúdia, Alcúdia</t>
        </is>
      </c>
      <c r="K540" t="n">
        <v>61.6</v>
      </c>
      <c r="L540" t="n">
        <v>47</v>
      </c>
      <c r="M540" t="n">
        <v>79.7</v>
      </c>
      <c r="N540" t="n">
        <v>74</v>
      </c>
      <c r="O540" t="n">
        <v>84.2</v>
      </c>
      <c r="P540" t="n">
        <v>63</v>
      </c>
      <c r="Q540" t="n">
        <v>77.40000000000001</v>
      </c>
      <c r="R540" t="n">
        <v>70</v>
      </c>
      <c r="S540" t="n">
        <v>2700000</v>
      </c>
      <c r="T540" t="n">
        <v>10425</v>
      </c>
      <c r="AH540" t="inlineStr">
        <is>
          <t>Quelle: Idealista</t>
        </is>
      </c>
    </row>
    <row r="541">
      <c r="A541" t="n">
        <v>354</v>
      </c>
      <c r="B541" t="inlineStr">
        <is>
          <t>Casa independiente en avenida del Mal Pas</t>
        </is>
      </c>
      <c r="C541" t="inlineStr">
        <is>
          <t>https://www.idealista.com/inmueble/86222393/</t>
        </is>
      </c>
      <c r="E541" t="n">
        <v>5</v>
      </c>
      <c r="H541" t="n">
        <v>291</v>
      </c>
      <c r="J541" t="inlineStr">
        <is>
          <t>Barcarés - Manresa - Bonaire, Alcúdia</t>
        </is>
      </c>
      <c r="K541" t="n">
        <v>63.2</v>
      </c>
      <c r="L541" t="n">
        <v>51</v>
      </c>
      <c r="M541" t="n">
        <v>81.3</v>
      </c>
      <c r="N541" t="n">
        <v>78</v>
      </c>
      <c r="O541" t="n">
        <v>85.8</v>
      </c>
      <c r="P541" t="n">
        <v>67</v>
      </c>
      <c r="Q541" t="n">
        <v>79</v>
      </c>
      <c r="R541" t="n">
        <v>74</v>
      </c>
      <c r="S541" t="n">
        <v>2700000</v>
      </c>
      <c r="T541" t="n">
        <v>9278</v>
      </c>
      <c r="AH541" t="inlineStr">
        <is>
          <t>Quelle: Idealista</t>
        </is>
      </c>
    </row>
    <row r="542">
      <c r="A542" t="n">
        <v>355</v>
      </c>
      <c r="B542" t="inlineStr">
        <is>
          <t>Casa independiente</t>
        </is>
      </c>
      <c r="C542" t="inlineStr">
        <is>
          <t>https://www.idealista.com/inmueble/31699395/</t>
        </is>
      </c>
      <c r="E542" t="n">
        <v>5</v>
      </c>
      <c r="H542" t="n">
        <v>500</v>
      </c>
      <c r="J542" t="inlineStr">
        <is>
          <t>Ciutat d'Alcúdia, Alcúdia</t>
        </is>
      </c>
      <c r="K542" t="n">
        <v>61.6</v>
      </c>
      <c r="L542" t="n">
        <v>47</v>
      </c>
      <c r="M542" t="n">
        <v>79.7</v>
      </c>
      <c r="N542" t="n">
        <v>74</v>
      </c>
      <c r="O542" t="n">
        <v>84.2</v>
      </c>
      <c r="P542" t="n">
        <v>63</v>
      </c>
      <c r="Q542" t="n">
        <v>77.40000000000001</v>
      </c>
      <c r="R542" t="n">
        <v>70</v>
      </c>
      <c r="S542" t="n">
        <v>2100000</v>
      </c>
      <c r="T542" t="n">
        <v>4200</v>
      </c>
      <c r="AH542" t="inlineStr">
        <is>
          <t>Quelle: Idealista</t>
        </is>
      </c>
    </row>
    <row r="543">
      <c r="A543" t="n">
        <v>356</v>
      </c>
      <c r="B543" t="inlineStr">
        <is>
          <t>Casa rural</t>
        </is>
      </c>
      <c r="C543" t="inlineStr">
        <is>
          <t>https://www.idealista.com/inmueble/108236792/</t>
        </is>
      </c>
      <c r="E543" t="n">
        <v>6</v>
      </c>
      <c r="H543" t="n">
        <v>598</v>
      </c>
      <c r="J543" t="inlineStr">
        <is>
          <t>Algaida</t>
        </is>
      </c>
      <c r="K543" t="n">
        <v>20.1</v>
      </c>
      <c r="L543" t="n">
        <v>21</v>
      </c>
      <c r="M543" t="n">
        <v>39.8</v>
      </c>
      <c r="N543" t="n">
        <v>41</v>
      </c>
      <c r="O543" t="n">
        <v>54.4</v>
      </c>
      <c r="P543" t="n">
        <v>46</v>
      </c>
      <c r="Q543" t="n">
        <v>37.5</v>
      </c>
      <c r="R543" t="n">
        <v>37</v>
      </c>
      <c r="S543" t="n">
        <v>2190000</v>
      </c>
      <c r="T543" t="n">
        <v>3662</v>
      </c>
      <c r="AH543" t="inlineStr">
        <is>
          <t>Quelle: Idealista</t>
        </is>
      </c>
    </row>
    <row r="544">
      <c r="A544" t="n">
        <v>357</v>
      </c>
      <c r="B544" t="inlineStr">
        <is>
          <t>Casa rural</t>
        </is>
      </c>
      <c r="C544" t="inlineStr">
        <is>
          <t>https://www.idealista.com/inmueble/109933367/</t>
        </is>
      </c>
      <c r="E544" t="n">
        <v>7</v>
      </c>
      <c r="H544" t="n">
        <v>621</v>
      </c>
      <c r="J544" t="inlineStr">
        <is>
          <t>Algaida</t>
        </is>
      </c>
      <c r="K544" t="n">
        <v>20.1</v>
      </c>
      <c r="L544" t="n">
        <v>21</v>
      </c>
      <c r="M544" t="n">
        <v>39.8</v>
      </c>
      <c r="N544" t="n">
        <v>41</v>
      </c>
      <c r="O544" t="n">
        <v>54.4</v>
      </c>
      <c r="P544" t="n">
        <v>46</v>
      </c>
      <c r="Q544" t="n">
        <v>37.5</v>
      </c>
      <c r="R544" t="n">
        <v>37</v>
      </c>
      <c r="S544" t="n">
        <v>3000000</v>
      </c>
      <c r="T544" t="n">
        <v>4831</v>
      </c>
      <c r="AH544" t="inlineStr">
        <is>
          <t>Quelle: Idealista</t>
        </is>
      </c>
    </row>
    <row r="545">
      <c r="A545" t="n">
        <v>358</v>
      </c>
      <c r="B545" t="inlineStr">
        <is>
          <t>Finca rústica en Polígono</t>
        </is>
      </c>
      <c r="C545" t="inlineStr">
        <is>
          <t>https://www.idealista.com/inmueble/105332448/</t>
        </is>
      </c>
      <c r="E545" t="n">
        <v>10</v>
      </c>
      <c r="H545" t="n">
        <v>2910</v>
      </c>
      <c r="J545" t="inlineStr">
        <is>
          <t>Algaida</t>
        </is>
      </c>
      <c r="K545" t="n">
        <v>20.1</v>
      </c>
      <c r="L545" t="n">
        <v>21</v>
      </c>
      <c r="M545" t="n">
        <v>39.8</v>
      </c>
      <c r="N545" t="n">
        <v>41</v>
      </c>
      <c r="O545" t="n">
        <v>54.4</v>
      </c>
      <c r="P545" t="n">
        <v>46</v>
      </c>
      <c r="Q545" t="n">
        <v>37.5</v>
      </c>
      <c r="R545" t="n">
        <v>37</v>
      </c>
      <c r="S545" t="n">
        <v>5000000</v>
      </c>
      <c r="T545" t="n">
        <v>1718</v>
      </c>
      <c r="AH545" t="inlineStr">
        <is>
          <t>Quelle: Idealista</t>
        </is>
      </c>
    </row>
    <row r="546">
      <c r="A546" t="n">
        <v>359</v>
      </c>
      <c r="B546" t="inlineStr">
        <is>
          <t>Casa independiente</t>
        </is>
      </c>
      <c r="C546" t="inlineStr">
        <is>
          <t>https://www.idealista.com/inmueble/109279219/</t>
        </is>
      </c>
      <c r="E546" t="n">
        <v>14</v>
      </c>
      <c r="H546" t="n">
        <v>2023</v>
      </c>
      <c r="J546" t="inlineStr">
        <is>
          <t>Algaida</t>
        </is>
      </c>
      <c r="K546" t="n">
        <v>20.1</v>
      </c>
      <c r="L546" t="n">
        <v>21</v>
      </c>
      <c r="M546" t="n">
        <v>39.8</v>
      </c>
      <c r="N546" t="n">
        <v>41</v>
      </c>
      <c r="O546" t="n">
        <v>54.4</v>
      </c>
      <c r="P546" t="n">
        <v>46</v>
      </c>
      <c r="Q546" t="n">
        <v>37.5</v>
      </c>
      <c r="R546" t="n">
        <v>37</v>
      </c>
      <c r="S546" t="n">
        <v>5900000</v>
      </c>
      <c r="T546" t="n">
        <v>2916</v>
      </c>
      <c r="AH546" t="inlineStr">
        <is>
          <t>Quelle: Idealista</t>
        </is>
      </c>
    </row>
    <row r="547">
      <c r="A547" t="n">
        <v>360</v>
      </c>
      <c r="B547" t="inlineStr">
        <is>
          <t>Finca rústica en Polígono</t>
        </is>
      </c>
      <c r="C547" t="inlineStr">
        <is>
          <t>https://www.idealista.com/inmueble/109270234/</t>
        </is>
      </c>
      <c r="E547" t="n">
        <v>6</v>
      </c>
      <c r="H547" t="n">
        <v>634</v>
      </c>
      <c r="J547" t="inlineStr">
        <is>
          <t>Algaida</t>
        </is>
      </c>
      <c r="K547" t="n">
        <v>20.1</v>
      </c>
      <c r="L547" t="n">
        <v>21</v>
      </c>
      <c r="M547" t="n">
        <v>39.8</v>
      </c>
      <c r="N547" t="n">
        <v>41</v>
      </c>
      <c r="O547" t="n">
        <v>54.4</v>
      </c>
      <c r="P547" t="n">
        <v>46</v>
      </c>
      <c r="Q547" t="n">
        <v>37.5</v>
      </c>
      <c r="R547" t="n">
        <v>37</v>
      </c>
      <c r="S547" t="n">
        <v>2750000</v>
      </c>
      <c r="T547" t="n">
        <v>4338</v>
      </c>
      <c r="AH547" t="inlineStr">
        <is>
          <t>Quelle: Idealista</t>
        </is>
      </c>
    </row>
    <row r="548">
      <c r="A548" t="n">
        <v>361</v>
      </c>
      <c r="B548" t="inlineStr">
        <is>
          <t>Finca rústica</t>
        </is>
      </c>
      <c r="C548" t="inlineStr">
        <is>
          <t>https://www.idealista.com/inmueble/106342272/</t>
        </is>
      </c>
      <c r="E548" t="n">
        <v>8</v>
      </c>
      <c r="H548" t="n">
        <v>565</v>
      </c>
      <c r="J548" t="inlineStr">
        <is>
          <t>Algaida</t>
        </is>
      </c>
      <c r="K548" t="n">
        <v>20.1</v>
      </c>
      <c r="L548" t="n">
        <v>21</v>
      </c>
      <c r="M548" t="n">
        <v>39.8</v>
      </c>
      <c r="N548" t="n">
        <v>41</v>
      </c>
      <c r="O548" t="n">
        <v>54.4</v>
      </c>
      <c r="P548" t="n">
        <v>46</v>
      </c>
      <c r="Q548" t="n">
        <v>37.5</v>
      </c>
      <c r="R548" t="n">
        <v>37</v>
      </c>
      <c r="S548" t="n">
        <v>3250000</v>
      </c>
      <c r="T548" t="n">
        <v>5752</v>
      </c>
      <c r="AH548" t="inlineStr">
        <is>
          <t>Quelle: Idealista</t>
        </is>
      </c>
    </row>
    <row r="549">
      <c r="A549" t="n">
        <v>362</v>
      </c>
      <c r="B549" t="inlineStr">
        <is>
          <t>Finca rústica</t>
        </is>
      </c>
      <c r="C549" t="inlineStr">
        <is>
          <t>https://www.idealista.com/inmueble/105536327/</t>
        </is>
      </c>
      <c r="E549" t="n">
        <v>6</v>
      </c>
      <c r="H549" t="n">
        <v>414</v>
      </c>
      <c r="J549" t="inlineStr">
        <is>
          <t>Algaida</t>
        </is>
      </c>
      <c r="K549" t="n">
        <v>20.1</v>
      </c>
      <c r="L549" t="n">
        <v>21</v>
      </c>
      <c r="M549" t="n">
        <v>39.8</v>
      </c>
      <c r="N549" t="n">
        <v>41</v>
      </c>
      <c r="O549" t="n">
        <v>54.4</v>
      </c>
      <c r="P549" t="n">
        <v>46</v>
      </c>
      <c r="Q549" t="n">
        <v>37.5</v>
      </c>
      <c r="R549" t="n">
        <v>37</v>
      </c>
      <c r="S549" t="n">
        <v>2950000</v>
      </c>
      <c r="T549" t="n">
        <v>7126</v>
      </c>
      <c r="AH549" t="inlineStr">
        <is>
          <t>Quelle: Idealista</t>
        </is>
      </c>
    </row>
    <row r="550">
      <c r="A550" t="n">
        <v>363</v>
      </c>
      <c r="B550" t="inlineStr">
        <is>
          <t>Finca rústica</t>
        </is>
      </c>
      <c r="C550" t="inlineStr">
        <is>
          <t>https://www.idealista.com/inmueble/108858173/</t>
        </is>
      </c>
      <c r="E550" t="n">
        <v>8</v>
      </c>
      <c r="H550" t="n">
        <v>518</v>
      </c>
      <c r="J550" t="inlineStr">
        <is>
          <t>Algaida</t>
        </is>
      </c>
      <c r="K550" t="n">
        <v>20.1</v>
      </c>
      <c r="L550" t="n">
        <v>21</v>
      </c>
      <c r="M550" t="n">
        <v>39.8</v>
      </c>
      <c r="N550" t="n">
        <v>41</v>
      </c>
      <c r="O550" t="n">
        <v>54.4</v>
      </c>
      <c r="P550" t="n">
        <v>46</v>
      </c>
      <c r="Q550" t="n">
        <v>37.5</v>
      </c>
      <c r="R550" t="n">
        <v>37</v>
      </c>
      <c r="S550" t="n">
        <v>5450000</v>
      </c>
      <c r="T550" t="n">
        <v>10521</v>
      </c>
      <c r="AH550" t="inlineStr">
        <is>
          <t>Quelle: Idealista</t>
        </is>
      </c>
    </row>
    <row r="551">
      <c r="A551" t="n">
        <v>364</v>
      </c>
      <c r="B551" t="inlineStr">
        <is>
          <t>Finca rústica en camino son amagat poligono 7 parcela 122</t>
        </is>
      </c>
      <c r="C551" t="inlineStr">
        <is>
          <t>https://www.idealista.com/inmueble/100358445/</t>
        </is>
      </c>
      <c r="E551" t="n">
        <v>6</v>
      </c>
      <c r="H551" t="n">
        <v>634</v>
      </c>
      <c r="J551" t="inlineStr">
        <is>
          <t>Algaida</t>
        </is>
      </c>
      <c r="K551" t="n">
        <v>20.1</v>
      </c>
      <c r="L551" t="n">
        <v>21</v>
      </c>
      <c r="M551" t="n">
        <v>39.8</v>
      </c>
      <c r="N551" t="n">
        <v>41</v>
      </c>
      <c r="O551" t="n">
        <v>54.4</v>
      </c>
      <c r="P551" t="n">
        <v>46</v>
      </c>
      <c r="Q551" t="n">
        <v>37.5</v>
      </c>
      <c r="R551" t="n">
        <v>37</v>
      </c>
      <c r="S551" t="n">
        <v>2750000</v>
      </c>
      <c r="T551" t="n">
        <v>4338</v>
      </c>
      <c r="AH551" t="inlineStr">
        <is>
          <t>Quelle: Idealista</t>
        </is>
      </c>
    </row>
    <row r="552">
      <c r="A552" t="n">
        <v>365</v>
      </c>
      <c r="B552" t="inlineStr">
        <is>
          <t>Finca rústica</t>
        </is>
      </c>
      <c r="C552" t="inlineStr">
        <is>
          <t>https://www.idealista.com/inmueble/108808336/</t>
        </is>
      </c>
      <c r="E552" t="n">
        <v>7</v>
      </c>
      <c r="H552" t="n">
        <v>621</v>
      </c>
      <c r="J552" t="inlineStr">
        <is>
          <t>Algaida</t>
        </is>
      </c>
      <c r="K552" t="n">
        <v>20.1</v>
      </c>
      <c r="L552" t="n">
        <v>21</v>
      </c>
      <c r="M552" t="n">
        <v>39.8</v>
      </c>
      <c r="N552" t="n">
        <v>41</v>
      </c>
      <c r="O552" t="n">
        <v>54.4</v>
      </c>
      <c r="P552" t="n">
        <v>46</v>
      </c>
      <c r="Q552" t="n">
        <v>37.5</v>
      </c>
      <c r="R552" t="n">
        <v>37</v>
      </c>
      <c r="S552" t="n">
        <v>3000000</v>
      </c>
      <c r="T552" t="n">
        <v>4831</v>
      </c>
      <c r="AH552" t="inlineStr">
        <is>
          <t>Quelle: Idealista</t>
        </is>
      </c>
    </row>
    <row r="553">
      <c r="A553" t="n">
        <v>366</v>
      </c>
      <c r="B553" t="inlineStr">
        <is>
          <t>Finca rústica</t>
        </is>
      </c>
      <c r="C553" t="inlineStr">
        <is>
          <t>https://www.idealista.com/inmueble/108212708/</t>
        </is>
      </c>
      <c r="E553" t="n">
        <v>10</v>
      </c>
      <c r="H553" t="n">
        <v>2910</v>
      </c>
      <c r="J553" t="inlineStr">
        <is>
          <t>Algaida</t>
        </is>
      </c>
      <c r="K553" t="n">
        <v>20.1</v>
      </c>
      <c r="L553" t="n">
        <v>21</v>
      </c>
      <c r="M553" t="n">
        <v>39.8</v>
      </c>
      <c r="N553" t="n">
        <v>41</v>
      </c>
      <c r="O553" t="n">
        <v>54.4</v>
      </c>
      <c r="P553" t="n">
        <v>46</v>
      </c>
      <c r="Q553" t="n">
        <v>37.5</v>
      </c>
      <c r="R553" t="n">
        <v>37</v>
      </c>
      <c r="S553" t="n">
        <v>5000000</v>
      </c>
      <c r="T553" t="n">
        <v>1718</v>
      </c>
      <c r="AH553" t="inlineStr">
        <is>
          <t>Quelle: Idealista</t>
        </is>
      </c>
    </row>
    <row r="554">
      <c r="A554" t="n">
        <v>367</v>
      </c>
      <c r="B554" t="inlineStr">
        <is>
          <t>Finca rústica en calle de la Unió</t>
        </is>
      </c>
      <c r="C554" t="inlineStr">
        <is>
          <t>https://www.idealista.com/inmueble/108060762/</t>
        </is>
      </c>
      <c r="E554" t="n">
        <v>6</v>
      </c>
      <c r="H554" t="n">
        <v>634</v>
      </c>
      <c r="J554" t="inlineStr">
        <is>
          <t>Algaida</t>
        </is>
      </c>
      <c r="K554" t="n">
        <v>20.1</v>
      </c>
      <c r="L554" t="n">
        <v>21</v>
      </c>
      <c r="M554" t="n">
        <v>39.8</v>
      </c>
      <c r="N554" t="n">
        <v>41</v>
      </c>
      <c r="O554" t="n">
        <v>54.4</v>
      </c>
      <c r="P554" t="n">
        <v>46</v>
      </c>
      <c r="Q554" t="n">
        <v>37.5</v>
      </c>
      <c r="R554" t="n">
        <v>37</v>
      </c>
      <c r="S554" t="n">
        <v>2750000</v>
      </c>
      <c r="T554" t="n">
        <v>4338</v>
      </c>
      <c r="AH554" t="inlineStr">
        <is>
          <t>Quelle: Idealista</t>
        </is>
      </c>
    </row>
    <row r="555">
      <c r="A555" t="n">
        <v>368</v>
      </c>
      <c r="B555" t="inlineStr">
        <is>
          <t>Casa rural en camino de Can Falet, 87</t>
        </is>
      </c>
      <c r="C555" t="inlineStr">
        <is>
          <t>https://www.idealista.com/inmueble/108027796/</t>
        </is>
      </c>
      <c r="E555" t="n">
        <v>8</v>
      </c>
      <c r="H555" t="n">
        <v>1927</v>
      </c>
      <c r="J555" t="inlineStr">
        <is>
          <t>Algaida</t>
        </is>
      </c>
      <c r="K555" t="n">
        <v>20.1</v>
      </c>
      <c r="L555" t="n">
        <v>21</v>
      </c>
      <c r="M555" t="n">
        <v>39.8</v>
      </c>
      <c r="N555" t="n">
        <v>41</v>
      </c>
      <c r="O555" t="n">
        <v>54.4</v>
      </c>
      <c r="P555" t="n">
        <v>46</v>
      </c>
      <c r="Q555" t="n">
        <v>37.5</v>
      </c>
      <c r="R555" t="n">
        <v>37</v>
      </c>
      <c r="S555" t="n">
        <v>4300000</v>
      </c>
      <c r="T555" t="n">
        <v>2231</v>
      </c>
      <c r="AH555" t="inlineStr">
        <is>
          <t>Quelle: Idealista</t>
        </is>
      </c>
    </row>
    <row r="556">
      <c r="A556" t="n">
        <v>369</v>
      </c>
      <c r="B556" t="inlineStr">
        <is>
          <t>Casa rural en Diseminado Sa Raconada, 269</t>
        </is>
      </c>
      <c r="C556" t="inlineStr">
        <is>
          <t>https://www.idealista.com/inmueble/107114144/</t>
        </is>
      </c>
      <c r="E556" t="n">
        <v>5</v>
      </c>
      <c r="H556" t="n">
        <v>890</v>
      </c>
      <c r="J556" t="inlineStr">
        <is>
          <t>Algaida</t>
        </is>
      </c>
      <c r="K556" t="n">
        <v>20.1</v>
      </c>
      <c r="L556" t="n">
        <v>21</v>
      </c>
      <c r="M556" t="n">
        <v>39.8</v>
      </c>
      <c r="N556" t="n">
        <v>41</v>
      </c>
      <c r="O556" t="n">
        <v>54.4</v>
      </c>
      <c r="P556" t="n">
        <v>46</v>
      </c>
      <c r="Q556" t="n">
        <v>37.5</v>
      </c>
      <c r="R556" t="n">
        <v>37</v>
      </c>
      <c r="S556" t="n">
        <v>4500000</v>
      </c>
      <c r="T556" t="n">
        <v>5056</v>
      </c>
      <c r="AH556" t="inlineStr">
        <is>
          <t>Quelle: Idealista</t>
        </is>
      </c>
    </row>
    <row r="557">
      <c r="A557" t="n">
        <v>370</v>
      </c>
      <c r="B557" t="inlineStr">
        <is>
          <t>Casa rural</t>
        </is>
      </c>
      <c r="C557" t="inlineStr">
        <is>
          <t>https://www.idealista.com/inmueble/106876338/</t>
        </is>
      </c>
      <c r="E557" t="n">
        <v>6</v>
      </c>
      <c r="H557" t="n">
        <v>700</v>
      </c>
      <c r="J557" t="inlineStr">
        <is>
          <t>Algaida</t>
        </is>
      </c>
      <c r="K557" t="n">
        <v>20.1</v>
      </c>
      <c r="L557" t="n">
        <v>21</v>
      </c>
      <c r="M557" t="n">
        <v>39.8</v>
      </c>
      <c r="N557" t="n">
        <v>41</v>
      </c>
      <c r="O557" t="n">
        <v>54.4</v>
      </c>
      <c r="P557" t="n">
        <v>46</v>
      </c>
      <c r="Q557" t="n">
        <v>37.5</v>
      </c>
      <c r="R557" t="n">
        <v>37</v>
      </c>
      <c r="S557" t="n">
        <v>2750000</v>
      </c>
      <c r="T557" t="n">
        <v>3929</v>
      </c>
      <c r="AH557" t="inlineStr">
        <is>
          <t>Quelle: Idealista</t>
        </is>
      </c>
    </row>
    <row r="558">
      <c r="A558" t="n">
        <v>371</v>
      </c>
      <c r="B558" t="inlineStr">
        <is>
          <t>Masía en Polígono</t>
        </is>
      </c>
      <c r="C558" t="inlineStr">
        <is>
          <t>https://www.idealista.com/inmueble/105695128/</t>
        </is>
      </c>
      <c r="E558" t="n">
        <v>13</v>
      </c>
      <c r="H558" t="n">
        <v>2000</v>
      </c>
      <c r="J558" t="inlineStr">
        <is>
          <t>Algaida</t>
        </is>
      </c>
      <c r="K558" t="n">
        <v>20.1</v>
      </c>
      <c r="L558" t="n">
        <v>21</v>
      </c>
      <c r="M558" t="n">
        <v>39.8</v>
      </c>
      <c r="N558" t="n">
        <v>41</v>
      </c>
      <c r="O558" t="n">
        <v>54.4</v>
      </c>
      <c r="P558" t="n">
        <v>46</v>
      </c>
      <c r="Q558" t="n">
        <v>37.5</v>
      </c>
      <c r="R558" t="n">
        <v>37</v>
      </c>
      <c r="S558" t="n">
        <v>4200000</v>
      </c>
      <c r="T558" t="n">
        <v>2100</v>
      </c>
      <c r="AH558" t="inlineStr">
        <is>
          <t>Quelle: Idealista</t>
        </is>
      </c>
    </row>
    <row r="559">
      <c r="A559" t="n">
        <v>372</v>
      </c>
      <c r="B559" t="inlineStr">
        <is>
          <t>Masía en camino de Muntanya</t>
        </is>
      </c>
      <c r="C559" t="inlineStr">
        <is>
          <t>https://www.idealista.com/inmueble/106472876/</t>
        </is>
      </c>
      <c r="E559" t="n">
        <v>20</v>
      </c>
      <c r="H559" t="n">
        <v>2000</v>
      </c>
      <c r="J559" t="inlineStr">
        <is>
          <t>Algaida</t>
        </is>
      </c>
      <c r="K559" t="n">
        <v>20.1</v>
      </c>
      <c r="L559" t="n">
        <v>21</v>
      </c>
      <c r="M559" t="n">
        <v>39.8</v>
      </c>
      <c r="N559" t="n">
        <v>41</v>
      </c>
      <c r="O559" t="n">
        <v>54.4</v>
      </c>
      <c r="P559" t="n">
        <v>46</v>
      </c>
      <c r="Q559" t="n">
        <v>37.5</v>
      </c>
      <c r="R559" t="n">
        <v>37</v>
      </c>
      <c r="S559" t="n">
        <v>5900000</v>
      </c>
      <c r="T559" t="n">
        <v>2950</v>
      </c>
      <c r="AH559" t="inlineStr">
        <is>
          <t>Quelle: Idealista</t>
        </is>
      </c>
    </row>
    <row r="560">
      <c r="A560" t="n">
        <v>373</v>
      </c>
      <c r="B560" t="inlineStr">
        <is>
          <t>Casa independiente en Diseminado Son Bernat Reus</t>
        </is>
      </c>
      <c r="C560" t="inlineStr">
        <is>
          <t>https://www.idealista.com/inmueble/106372132/</t>
        </is>
      </c>
      <c r="E560" t="n">
        <v>10</v>
      </c>
      <c r="H560" t="n">
        <v>2500</v>
      </c>
      <c r="J560" t="inlineStr">
        <is>
          <t>Algaida</t>
        </is>
      </c>
      <c r="K560" t="n">
        <v>20.1</v>
      </c>
      <c r="L560" t="n">
        <v>21</v>
      </c>
      <c r="M560" t="n">
        <v>39.8</v>
      </c>
      <c r="N560" t="n">
        <v>41</v>
      </c>
      <c r="O560" t="n">
        <v>54.4</v>
      </c>
      <c r="P560" t="n">
        <v>46</v>
      </c>
      <c r="Q560" t="n">
        <v>37.5</v>
      </c>
      <c r="R560" t="n">
        <v>37</v>
      </c>
      <c r="S560" t="n">
        <v>5000000</v>
      </c>
      <c r="T560" t="n">
        <v>2000</v>
      </c>
      <c r="AH560" t="inlineStr">
        <is>
          <t>Quelle: Idealista</t>
        </is>
      </c>
    </row>
    <row r="561">
      <c r="A561" t="n">
        <v>374</v>
      </c>
      <c r="B561" t="inlineStr">
        <is>
          <t>Chalet en calle de Palma</t>
        </is>
      </c>
      <c r="C561" t="inlineStr">
        <is>
          <t>https://www.idealista.com/inmueble/105790678/</t>
        </is>
      </c>
      <c r="E561" t="n">
        <v>5</v>
      </c>
      <c r="H561" t="n">
        <v>800</v>
      </c>
      <c r="J561" t="inlineStr">
        <is>
          <t>Algaida</t>
        </is>
      </c>
      <c r="K561" t="n">
        <v>20.1</v>
      </c>
      <c r="L561" t="n">
        <v>21</v>
      </c>
      <c r="M561" t="n">
        <v>39.8</v>
      </c>
      <c r="N561" t="n">
        <v>41</v>
      </c>
      <c r="O561" t="n">
        <v>54.4</v>
      </c>
      <c r="P561" t="n">
        <v>46</v>
      </c>
      <c r="Q561" t="n">
        <v>37.5</v>
      </c>
      <c r="R561" t="n">
        <v>37</v>
      </c>
      <c r="S561" t="n">
        <v>2300000</v>
      </c>
      <c r="T561" t="n">
        <v>2875</v>
      </c>
      <c r="AH561" t="inlineStr">
        <is>
          <t>Quelle: Idealista</t>
        </is>
      </c>
    </row>
    <row r="562">
      <c r="A562" t="n">
        <v>375</v>
      </c>
      <c r="B562" t="inlineStr">
        <is>
          <t>Casa independiente en diseminado</t>
        </is>
      </c>
      <c r="C562" t="inlineStr">
        <is>
          <t>https://www.idealista.com/inmueble/105408204/</t>
        </is>
      </c>
      <c r="E562" t="n">
        <v>5</v>
      </c>
      <c r="H562" t="n">
        <v>464</v>
      </c>
      <c r="J562" t="inlineStr">
        <is>
          <t>Algaida</t>
        </is>
      </c>
      <c r="K562" t="n">
        <v>20.1</v>
      </c>
      <c r="L562" t="n">
        <v>21</v>
      </c>
      <c r="M562" t="n">
        <v>39.8</v>
      </c>
      <c r="N562" t="n">
        <v>41</v>
      </c>
      <c r="O562" t="n">
        <v>54.4</v>
      </c>
      <c r="P562" t="n">
        <v>46</v>
      </c>
      <c r="Q562" t="n">
        <v>37.5</v>
      </c>
      <c r="R562" t="n">
        <v>37</v>
      </c>
      <c r="S562" t="n">
        <v>2500000</v>
      </c>
      <c r="T562" t="n">
        <v>5388</v>
      </c>
      <c r="AH562" t="inlineStr">
        <is>
          <t>Quelle: Idealista</t>
        </is>
      </c>
    </row>
    <row r="563">
      <c r="A563" t="n">
        <v>376</v>
      </c>
      <c r="B563" t="inlineStr">
        <is>
          <t>Finca rústica</t>
        </is>
      </c>
      <c r="C563" t="inlineStr">
        <is>
          <t>https://www.idealista.com/inmueble/104828154/</t>
        </is>
      </c>
      <c r="E563" t="n">
        <v>13</v>
      </c>
      <c r="H563" t="n">
        <v>2000</v>
      </c>
      <c r="J563" t="inlineStr">
        <is>
          <t>Algaida</t>
        </is>
      </c>
      <c r="K563" t="n">
        <v>20.1</v>
      </c>
      <c r="L563" t="n">
        <v>21</v>
      </c>
      <c r="M563" t="n">
        <v>39.8</v>
      </c>
      <c r="N563" t="n">
        <v>41</v>
      </c>
      <c r="O563" t="n">
        <v>54.4</v>
      </c>
      <c r="P563" t="n">
        <v>46</v>
      </c>
      <c r="Q563" t="n">
        <v>37.5</v>
      </c>
      <c r="R563" t="n">
        <v>37</v>
      </c>
      <c r="S563" t="n">
        <v>5900000</v>
      </c>
      <c r="T563" t="n">
        <v>2950</v>
      </c>
      <c r="AH563" t="inlineStr">
        <is>
          <t>Quelle: Idealista</t>
        </is>
      </c>
    </row>
    <row r="564">
      <c r="A564" t="n">
        <v>377</v>
      </c>
      <c r="B564" t="inlineStr">
        <is>
          <t>Finca rústica en carretera Pol 07 Parc 091</t>
        </is>
      </c>
      <c r="C564" t="inlineStr">
        <is>
          <t>https://www.idealista.com/inmueble/103081620/</t>
        </is>
      </c>
      <c r="E564" t="n">
        <v>12</v>
      </c>
      <c r="H564" t="n">
        <v>2023</v>
      </c>
      <c r="J564" t="inlineStr">
        <is>
          <t>Algaida</t>
        </is>
      </c>
      <c r="K564" t="n">
        <v>20.1</v>
      </c>
      <c r="L564" t="n">
        <v>21</v>
      </c>
      <c r="M564" t="n">
        <v>39.8</v>
      </c>
      <c r="N564" t="n">
        <v>41</v>
      </c>
      <c r="O564" t="n">
        <v>54.4</v>
      </c>
      <c r="P564" t="n">
        <v>46</v>
      </c>
      <c r="Q564" t="n">
        <v>37.5</v>
      </c>
      <c r="R564" t="n">
        <v>37</v>
      </c>
      <c r="S564" t="n">
        <v>5900000</v>
      </c>
      <c r="T564" t="n">
        <v>2916</v>
      </c>
      <c r="AH564" t="inlineStr">
        <is>
          <t>Quelle: Idealista</t>
        </is>
      </c>
    </row>
    <row r="565">
      <c r="A565" t="n">
        <v>378</v>
      </c>
      <c r="B565" t="inlineStr">
        <is>
          <t>Cortijo</t>
        </is>
      </c>
      <c r="C565" t="inlineStr">
        <is>
          <t>https://www.idealista.com/inmueble/103584149/</t>
        </is>
      </c>
      <c r="E565" t="n">
        <v>10</v>
      </c>
      <c r="H565" t="n">
        <v>1969</v>
      </c>
      <c r="J565" t="inlineStr">
        <is>
          <t>Algaida</t>
        </is>
      </c>
      <c r="K565" t="n">
        <v>20.1</v>
      </c>
      <c r="L565" t="n">
        <v>21</v>
      </c>
      <c r="M565" t="n">
        <v>39.8</v>
      </c>
      <c r="N565" t="n">
        <v>41</v>
      </c>
      <c r="O565" t="n">
        <v>54.4</v>
      </c>
      <c r="P565" t="n">
        <v>46</v>
      </c>
      <c r="Q565" t="n">
        <v>37.5</v>
      </c>
      <c r="R565" t="n">
        <v>37</v>
      </c>
      <c r="S565" t="n">
        <v>2500000</v>
      </c>
      <c r="T565" t="n">
        <v>1270</v>
      </c>
      <c r="AH565" t="inlineStr">
        <is>
          <t>Quelle: Idealista</t>
        </is>
      </c>
    </row>
    <row r="566">
      <c r="A566" t="n">
        <v>379</v>
      </c>
      <c r="B566" t="inlineStr">
        <is>
          <t>Casa rural</t>
        </is>
      </c>
      <c r="C566" t="inlineStr">
        <is>
          <t>https://www.idealista.com/inmueble/102852292/</t>
        </is>
      </c>
      <c r="E566" t="n">
        <v>9</v>
      </c>
      <c r="H566" t="n">
        <v>1900</v>
      </c>
      <c r="J566" t="inlineStr">
        <is>
          <t>Algaida</t>
        </is>
      </c>
      <c r="K566" t="n">
        <v>20.1</v>
      </c>
      <c r="L566" t="n">
        <v>21</v>
      </c>
      <c r="M566" t="n">
        <v>39.8</v>
      </c>
      <c r="N566" t="n">
        <v>41</v>
      </c>
      <c r="O566" t="n">
        <v>54.4</v>
      </c>
      <c r="P566" t="n">
        <v>46</v>
      </c>
      <c r="Q566" t="n">
        <v>37.5</v>
      </c>
      <c r="R566" t="n">
        <v>37</v>
      </c>
      <c r="S566" t="n">
        <v>4400000</v>
      </c>
      <c r="T566" t="n">
        <v>2316</v>
      </c>
      <c r="AH566" t="inlineStr">
        <is>
          <t>Quelle: Idealista</t>
        </is>
      </c>
    </row>
    <row r="567">
      <c r="A567" t="n">
        <v>380</v>
      </c>
      <c r="B567" t="inlineStr">
        <is>
          <t>Casa independiente en Algaida s/n</t>
        </is>
      </c>
      <c r="C567" t="inlineStr">
        <is>
          <t>https://www.idealista.com/inmueble/100309234/</t>
        </is>
      </c>
      <c r="E567" t="n">
        <v>5</v>
      </c>
      <c r="H567" t="n">
        <v>400</v>
      </c>
      <c r="J567" t="inlineStr">
        <is>
          <t>Algaida</t>
        </is>
      </c>
      <c r="K567" t="n">
        <v>20.1</v>
      </c>
      <c r="L567" t="n">
        <v>21</v>
      </c>
      <c r="M567" t="n">
        <v>39.8</v>
      </c>
      <c r="N567" t="n">
        <v>41</v>
      </c>
      <c r="O567" t="n">
        <v>54.4</v>
      </c>
      <c r="P567" t="n">
        <v>46</v>
      </c>
      <c r="Q567" t="n">
        <v>37.5</v>
      </c>
      <c r="R567" t="n">
        <v>37</v>
      </c>
      <c r="S567" t="n">
        <v>2500000</v>
      </c>
      <c r="T567" t="n">
        <v>6250</v>
      </c>
      <c r="AH567" t="inlineStr">
        <is>
          <t>Quelle: Idealista</t>
        </is>
      </c>
    </row>
    <row r="568">
      <c r="A568" t="n">
        <v>381</v>
      </c>
      <c r="B568" t="inlineStr">
        <is>
          <t>Casa rural</t>
        </is>
      </c>
      <c r="C568" t="inlineStr">
        <is>
          <t>https://www.idealista.com/inmueble/101060610/</t>
        </is>
      </c>
      <c r="E568" t="n">
        <v>5</v>
      </c>
      <c r="H568" t="n">
        <v>460</v>
      </c>
      <c r="J568" t="inlineStr">
        <is>
          <t>Algaida</t>
        </is>
      </c>
      <c r="K568" t="n">
        <v>20.1</v>
      </c>
      <c r="L568" t="n">
        <v>21</v>
      </c>
      <c r="M568" t="n">
        <v>39.8</v>
      </c>
      <c r="N568" t="n">
        <v>41</v>
      </c>
      <c r="O568" t="n">
        <v>54.4</v>
      </c>
      <c r="P568" t="n">
        <v>46</v>
      </c>
      <c r="Q568" t="n">
        <v>37.5</v>
      </c>
      <c r="R568" t="n">
        <v>37</v>
      </c>
      <c r="S568" t="n">
        <v>2500000</v>
      </c>
      <c r="T568" t="n">
        <v>5435</v>
      </c>
      <c r="AH568" t="inlineStr">
        <is>
          <t>Quelle: Idealista</t>
        </is>
      </c>
    </row>
    <row r="569">
      <c r="A569" t="n">
        <v>382</v>
      </c>
      <c r="B569" t="inlineStr">
        <is>
          <t>Masía en calle ma5010 14</t>
        </is>
      </c>
      <c r="C569" t="inlineStr">
        <is>
          <t>https://www.idealista.com/inmueble/100858625/</t>
        </is>
      </c>
      <c r="E569" t="n">
        <v>20</v>
      </c>
      <c r="H569" t="n">
        <v>2000</v>
      </c>
      <c r="J569" t="inlineStr">
        <is>
          <t>Algaida</t>
        </is>
      </c>
      <c r="K569" t="n">
        <v>20.1</v>
      </c>
      <c r="L569" t="n">
        <v>21</v>
      </c>
      <c r="M569" t="n">
        <v>39.8</v>
      </c>
      <c r="N569" t="n">
        <v>41</v>
      </c>
      <c r="O569" t="n">
        <v>54.4</v>
      </c>
      <c r="P569" t="n">
        <v>46</v>
      </c>
      <c r="Q569" t="n">
        <v>37.5</v>
      </c>
      <c r="R569" t="n">
        <v>37</v>
      </c>
      <c r="S569" t="n">
        <v>4200000</v>
      </c>
      <c r="T569" t="n">
        <v>2100</v>
      </c>
      <c r="AH569" t="inlineStr">
        <is>
          <t>Quelle: Idealista</t>
        </is>
      </c>
    </row>
    <row r="570">
      <c r="A570" t="n">
        <v>383</v>
      </c>
      <c r="B570" t="inlineStr">
        <is>
          <t>Finca rústica en mayor</t>
        </is>
      </c>
      <c r="C570" t="inlineStr">
        <is>
          <t>https://www.idealista.com/inmueble/98408169/</t>
        </is>
      </c>
      <c r="E570" t="n">
        <v>25</v>
      </c>
      <c r="H570" t="n">
        <v>2023</v>
      </c>
      <c r="J570" t="inlineStr">
        <is>
          <t>Algaida</t>
        </is>
      </c>
      <c r="K570" t="n">
        <v>20.1</v>
      </c>
      <c r="L570" t="n">
        <v>21</v>
      </c>
      <c r="M570" t="n">
        <v>39.8</v>
      </c>
      <c r="N570" t="n">
        <v>41</v>
      </c>
      <c r="O570" t="n">
        <v>54.4</v>
      </c>
      <c r="P570" t="n">
        <v>46</v>
      </c>
      <c r="Q570" t="n">
        <v>37.5</v>
      </c>
      <c r="R570" t="n">
        <v>37</v>
      </c>
      <c r="S570" t="n">
        <v>5900000</v>
      </c>
      <c r="T570" t="n">
        <v>2916</v>
      </c>
      <c r="AH570" t="inlineStr">
        <is>
          <t>Quelle: Idealista</t>
        </is>
      </c>
    </row>
    <row r="571">
      <c r="A571" t="n">
        <v>384</v>
      </c>
      <c r="B571" t="inlineStr">
        <is>
          <t>Finca rústica</t>
        </is>
      </c>
      <c r="C571" t="inlineStr">
        <is>
          <t>https://www.idealista.com/inmueble/95411679/</t>
        </is>
      </c>
      <c r="E571" t="n">
        <v>5</v>
      </c>
      <c r="H571" t="n">
        <v>871</v>
      </c>
      <c r="J571" t="inlineStr">
        <is>
          <t>Algaida</t>
        </is>
      </c>
      <c r="K571" t="n">
        <v>20.1</v>
      </c>
      <c r="L571" t="n">
        <v>21</v>
      </c>
      <c r="M571" t="n">
        <v>39.8</v>
      </c>
      <c r="N571" t="n">
        <v>41</v>
      </c>
      <c r="O571" t="n">
        <v>54.4</v>
      </c>
      <c r="P571" t="n">
        <v>46</v>
      </c>
      <c r="Q571" t="n">
        <v>37.5</v>
      </c>
      <c r="R571" t="n">
        <v>37</v>
      </c>
      <c r="S571" t="n">
        <v>2000000</v>
      </c>
      <c r="T571" t="n">
        <v>2296</v>
      </c>
      <c r="AH571" t="inlineStr">
        <is>
          <t>Quelle: Idealista</t>
        </is>
      </c>
    </row>
    <row r="572">
      <c r="A572" t="n">
        <v>385</v>
      </c>
      <c r="B572" t="inlineStr">
        <is>
          <t>Finca rústica en via Sense Nom</t>
        </is>
      </c>
      <c r="C572" t="inlineStr">
        <is>
          <t>https://www.idealista.com/inmueble/91044880/</t>
        </is>
      </c>
      <c r="E572" t="n">
        <v>8</v>
      </c>
      <c r="H572" t="n">
        <v>1001</v>
      </c>
      <c r="J572" t="inlineStr">
        <is>
          <t>Algaida</t>
        </is>
      </c>
      <c r="K572" t="n">
        <v>20.1</v>
      </c>
      <c r="L572" t="n">
        <v>21</v>
      </c>
      <c r="M572" t="n">
        <v>39.8</v>
      </c>
      <c r="N572" t="n">
        <v>41</v>
      </c>
      <c r="O572" t="n">
        <v>54.4</v>
      </c>
      <c r="P572" t="n">
        <v>46</v>
      </c>
      <c r="Q572" t="n">
        <v>37.5</v>
      </c>
      <c r="R572" t="n">
        <v>37</v>
      </c>
      <c r="S572" t="n">
        <v>6500000</v>
      </c>
      <c r="T572" t="n">
        <v>6494</v>
      </c>
      <c r="AH572" t="inlineStr">
        <is>
          <t>Quelle: Idealista</t>
        </is>
      </c>
    </row>
    <row r="573">
      <c r="A573" t="n">
        <v>386</v>
      </c>
      <c r="B573" t="inlineStr">
        <is>
          <t>Casa independiente</t>
        </is>
      </c>
      <c r="C573" t="inlineStr">
        <is>
          <t>https://www.idealista.com/inmueble/110452579/</t>
        </is>
      </c>
      <c r="E573" t="n">
        <v>5</v>
      </c>
      <c r="H573" t="n">
        <v>267</v>
      </c>
      <c r="J573" t="inlineStr">
        <is>
          <t>Port d'Andratx, Andratx</t>
        </is>
      </c>
      <c r="K573" t="n">
        <v>40.3</v>
      </c>
      <c r="L573" t="n">
        <v>36</v>
      </c>
      <c r="M573" t="n">
        <v>83</v>
      </c>
      <c r="N573" t="n">
        <v>68</v>
      </c>
      <c r="O573" t="n">
        <v>2.7</v>
      </c>
      <c r="P573" t="n">
        <v>7</v>
      </c>
      <c r="Q573" t="n">
        <v>80.7</v>
      </c>
      <c r="R573" t="n">
        <v>65</v>
      </c>
      <c r="S573" t="n">
        <v>3200000</v>
      </c>
      <c r="T573" t="n">
        <v>11985</v>
      </c>
      <c r="AH573" t="inlineStr">
        <is>
          <t>Quelle: Idealista</t>
        </is>
      </c>
    </row>
    <row r="574">
      <c r="A574" t="n">
        <v>387</v>
      </c>
      <c r="B574" t="inlineStr">
        <is>
          <t>Casa independiente</t>
        </is>
      </c>
      <c r="C574" t="inlineStr">
        <is>
          <t>https://www.idealista.com/inmueble/110412381/</t>
        </is>
      </c>
      <c r="E574" t="n">
        <v>6</v>
      </c>
      <c r="H574" t="n">
        <v>385</v>
      </c>
      <c r="J574" t="inlineStr">
        <is>
          <t>Port d'Andratx, Andratx</t>
        </is>
      </c>
      <c r="K574" t="n">
        <v>40.3</v>
      </c>
      <c r="L574" t="n">
        <v>36</v>
      </c>
      <c r="M574" t="n">
        <v>83</v>
      </c>
      <c r="N574" t="n">
        <v>68</v>
      </c>
      <c r="O574" t="n">
        <v>2.7</v>
      </c>
      <c r="P574" t="n">
        <v>7</v>
      </c>
      <c r="Q574" t="n">
        <v>80.7</v>
      </c>
      <c r="R574" t="n">
        <v>65</v>
      </c>
      <c r="S574" t="n">
        <v>5900000</v>
      </c>
      <c r="T574" t="n">
        <v>15325</v>
      </c>
      <c r="AH574" t="inlineStr">
        <is>
          <t>Quelle: Idealista</t>
        </is>
      </c>
    </row>
    <row r="575">
      <c r="A575" t="n">
        <v>388</v>
      </c>
      <c r="B575" t="inlineStr">
        <is>
          <t>Finca rústica en Ses Penyes-sa Coma 94 Polígono 5 Parcela 94 s/n</t>
        </is>
      </c>
      <c r="C575" t="inlineStr">
        <is>
          <t>https://www.idealista.com/inmueble/110055438/</t>
        </is>
      </c>
      <c r="E575" t="n">
        <v>5</v>
      </c>
      <c r="H575" t="n">
        <v>500</v>
      </c>
      <c r="J575" t="inlineStr">
        <is>
          <t>Andratx Pueblo, Andratx</t>
        </is>
      </c>
      <c r="K575" t="n">
        <v>40.3</v>
      </c>
      <c r="L575" t="n">
        <v>36</v>
      </c>
      <c r="M575" t="n">
        <v>83</v>
      </c>
      <c r="N575" t="n">
        <v>68</v>
      </c>
      <c r="O575" t="n">
        <v>2.7</v>
      </c>
      <c r="P575" t="n">
        <v>7</v>
      </c>
      <c r="Q575" t="n">
        <v>80.7</v>
      </c>
      <c r="R575" t="n">
        <v>65</v>
      </c>
      <c r="S575" t="n">
        <v>3900000</v>
      </c>
      <c r="T575" t="n">
        <v>7800</v>
      </c>
      <c r="AH575" t="inlineStr">
        <is>
          <t>Quelle: Idealista</t>
        </is>
      </c>
    </row>
    <row r="576">
      <c r="A576" t="n">
        <v>389</v>
      </c>
      <c r="B576" t="inlineStr">
        <is>
          <t>Finca rústica</t>
        </is>
      </c>
      <c r="C576" t="inlineStr">
        <is>
          <t>https://www.idealista.com/inmueble/91974863/</t>
        </is>
      </c>
      <c r="E576" t="n">
        <v>5</v>
      </c>
      <c r="H576" t="n">
        <v>392</v>
      </c>
      <c r="J576" t="inlineStr">
        <is>
          <t>Andratx Pueblo, Andratx</t>
        </is>
      </c>
      <c r="K576" t="n">
        <v>40.3</v>
      </c>
      <c r="L576" t="n">
        <v>36</v>
      </c>
      <c r="M576" t="n">
        <v>83</v>
      </c>
      <c r="N576" t="n">
        <v>68</v>
      </c>
      <c r="O576" t="n">
        <v>2.7</v>
      </c>
      <c r="P576" t="n">
        <v>7</v>
      </c>
      <c r="Q576" t="n">
        <v>80.7</v>
      </c>
      <c r="R576" t="n">
        <v>65</v>
      </c>
      <c r="S576" t="n">
        <v>2900000</v>
      </c>
      <c r="T576" t="n">
        <v>7398</v>
      </c>
      <c r="AH576" t="inlineStr">
        <is>
          <t>Quelle: Idealista</t>
        </is>
      </c>
    </row>
    <row r="577">
      <c r="A577" t="n">
        <v>390</v>
      </c>
      <c r="B577" t="inlineStr">
        <is>
          <t>Finca rústica</t>
        </is>
      </c>
      <c r="C577" t="inlineStr">
        <is>
          <t>https://www.idealista.com/inmueble/109370005/</t>
        </is>
      </c>
      <c r="E577" t="n">
        <v>5</v>
      </c>
      <c r="H577" t="n">
        <v>442</v>
      </c>
      <c r="J577" t="inlineStr">
        <is>
          <t>Andratx Pueblo, Andratx</t>
        </is>
      </c>
      <c r="K577" t="n">
        <v>40.3</v>
      </c>
      <c r="L577" t="n">
        <v>36</v>
      </c>
      <c r="M577" t="n">
        <v>83</v>
      </c>
      <c r="N577" t="n">
        <v>68</v>
      </c>
      <c r="O577" t="n">
        <v>2.7</v>
      </c>
      <c r="P577" t="n">
        <v>7</v>
      </c>
      <c r="Q577" t="n">
        <v>80.7</v>
      </c>
      <c r="R577" t="n">
        <v>65</v>
      </c>
      <c r="S577" t="n">
        <v>2350000</v>
      </c>
      <c r="T577" t="n">
        <v>5317</v>
      </c>
      <c r="AH577" t="inlineStr">
        <is>
          <t>Quelle: Idealista</t>
        </is>
      </c>
    </row>
    <row r="578">
      <c r="A578" t="n">
        <v>391</v>
      </c>
      <c r="B578" t="inlineStr">
        <is>
          <t>Casa independiente</t>
        </is>
      </c>
      <c r="C578" t="inlineStr">
        <is>
          <t>https://www.idealista.com/inmueble/109751454/</t>
        </is>
      </c>
      <c r="E578" t="n">
        <v>5</v>
      </c>
      <c r="H578" t="n">
        <v>1300</v>
      </c>
      <c r="J578" t="inlineStr">
        <is>
          <t>Port d'Andratx, Andratx</t>
        </is>
      </c>
      <c r="K578" t="n">
        <v>40.3</v>
      </c>
      <c r="L578" t="n">
        <v>36</v>
      </c>
      <c r="M578" t="n">
        <v>83</v>
      </c>
      <c r="N578" t="n">
        <v>68</v>
      </c>
      <c r="O578" t="n">
        <v>2.7</v>
      </c>
      <c r="P578" t="n">
        <v>7</v>
      </c>
      <c r="Q578" t="n">
        <v>80.7</v>
      </c>
      <c r="R578" t="n">
        <v>65</v>
      </c>
      <c r="S578" t="n">
        <v>3400000</v>
      </c>
      <c r="T578" t="n">
        <v>2615</v>
      </c>
      <c r="AH578" t="inlineStr">
        <is>
          <t>Quelle: Idealista</t>
        </is>
      </c>
    </row>
    <row r="579">
      <c r="A579" t="n">
        <v>392</v>
      </c>
      <c r="B579" t="inlineStr">
        <is>
          <t>Finca rústica</t>
        </is>
      </c>
      <c r="C579" t="inlineStr">
        <is>
          <t>https://www.idealista.com/inmueble/109409050/</t>
        </is>
      </c>
      <c r="E579" t="n">
        <v>5</v>
      </c>
      <c r="H579" t="n">
        <v>392</v>
      </c>
      <c r="J579" t="inlineStr">
        <is>
          <t>Andratx Pueblo, Andratx</t>
        </is>
      </c>
      <c r="K579" t="n">
        <v>40.3</v>
      </c>
      <c r="L579" t="n">
        <v>36</v>
      </c>
      <c r="M579" t="n">
        <v>83</v>
      </c>
      <c r="N579" t="n">
        <v>68</v>
      </c>
      <c r="O579" t="n">
        <v>2.7</v>
      </c>
      <c r="P579" t="n">
        <v>7</v>
      </c>
      <c r="Q579" t="n">
        <v>80.7</v>
      </c>
      <c r="R579" t="n">
        <v>65</v>
      </c>
      <c r="S579" t="n">
        <v>2900000</v>
      </c>
      <c r="T579" t="n">
        <v>7398</v>
      </c>
      <c r="AH579" t="inlineStr">
        <is>
          <t>Quelle: Idealista</t>
        </is>
      </c>
    </row>
    <row r="580">
      <c r="A580" t="n">
        <v>393</v>
      </c>
      <c r="B580" t="inlineStr">
        <is>
          <t>Casa rural en camino Cala en Cranc</t>
        </is>
      </c>
      <c r="C580" t="inlineStr">
        <is>
          <t>https://www.idealista.com/inmueble/109167761/</t>
        </is>
      </c>
      <c r="E580" t="n">
        <v>6</v>
      </c>
      <c r="H580" t="n">
        <v>510</v>
      </c>
      <c r="J580" t="inlineStr">
        <is>
          <t>Es Camp de Mar, Andratx</t>
        </is>
      </c>
      <c r="K580" t="n">
        <v>38.7</v>
      </c>
      <c r="L580" t="n">
        <v>32</v>
      </c>
      <c r="M580" t="n">
        <v>81.40000000000001</v>
      </c>
      <c r="N580" t="n">
        <v>65</v>
      </c>
      <c r="O580" t="n">
        <v>6.7</v>
      </c>
      <c r="P580" t="n">
        <v>10</v>
      </c>
      <c r="Q580" t="n">
        <v>79.09999999999999</v>
      </c>
      <c r="R580" t="n">
        <v>62</v>
      </c>
      <c r="S580" t="n">
        <v>6480000</v>
      </c>
      <c r="T580" t="n">
        <v>12706</v>
      </c>
      <c r="AH580" t="inlineStr">
        <is>
          <t>Quelle: Idealista</t>
        </is>
      </c>
    </row>
    <row r="581">
      <c r="A581" t="n">
        <v>394</v>
      </c>
      <c r="B581" t="inlineStr">
        <is>
          <t>Casa independiente en calle Picasso</t>
        </is>
      </c>
      <c r="C581" t="inlineStr">
        <is>
          <t>https://www.idealista.com/inmueble/109120335/</t>
        </is>
      </c>
      <c r="E581" t="n">
        <v>6</v>
      </c>
      <c r="H581" t="n">
        <v>916</v>
      </c>
      <c r="J581" t="inlineStr">
        <is>
          <t>Port d'Andratx, Andratx</t>
        </is>
      </c>
      <c r="K581" t="n">
        <v>40.3</v>
      </c>
      <c r="L581" t="n">
        <v>36</v>
      </c>
      <c r="M581" t="n">
        <v>83</v>
      </c>
      <c r="N581" t="n">
        <v>68</v>
      </c>
      <c r="O581" t="n">
        <v>2.7</v>
      </c>
      <c r="P581" t="n">
        <v>7</v>
      </c>
      <c r="Q581" t="n">
        <v>80.7</v>
      </c>
      <c r="R581" t="n">
        <v>65</v>
      </c>
      <c r="S581" t="n">
        <v>5000000</v>
      </c>
      <c r="T581" t="n">
        <v>5459</v>
      </c>
      <c r="AH581" t="inlineStr">
        <is>
          <t>Quelle: Idealista</t>
        </is>
      </c>
    </row>
    <row r="582">
      <c r="A582" t="n">
        <v>395</v>
      </c>
      <c r="B582" t="inlineStr">
        <is>
          <t>Casa independiente en calle Siurell s/n</t>
        </is>
      </c>
      <c r="C582" t="inlineStr">
        <is>
          <t>https://www.idealista.com/inmueble/108988313/</t>
        </is>
      </c>
      <c r="E582" t="n">
        <v>5</v>
      </c>
      <c r="H582" t="n">
        <v>678</v>
      </c>
      <c r="J582" t="inlineStr">
        <is>
          <t>Port d'Andratx, Andratx</t>
        </is>
      </c>
      <c r="K582" t="n">
        <v>40.3</v>
      </c>
      <c r="L582" t="n">
        <v>36</v>
      </c>
      <c r="M582" t="n">
        <v>83</v>
      </c>
      <c r="N582" t="n">
        <v>68</v>
      </c>
      <c r="O582" t="n">
        <v>2.7</v>
      </c>
      <c r="P582" t="n">
        <v>7</v>
      </c>
      <c r="Q582" t="n">
        <v>80.7</v>
      </c>
      <c r="R582" t="n">
        <v>65</v>
      </c>
      <c r="S582" t="n">
        <v>5800000</v>
      </c>
      <c r="T582" t="n">
        <v>8555</v>
      </c>
      <c r="AH582" t="inlineStr">
        <is>
          <t>Quelle: Idealista</t>
        </is>
      </c>
    </row>
    <row r="583">
      <c r="A583" t="n">
        <v>396</v>
      </c>
      <c r="B583" t="inlineStr">
        <is>
          <t>Casa independiente</t>
        </is>
      </c>
      <c r="C583" t="inlineStr">
        <is>
          <t>https://www.idealista.com/inmueble/108965665/</t>
        </is>
      </c>
      <c r="E583" t="n">
        <v>5</v>
      </c>
      <c r="H583" t="n">
        <v>430</v>
      </c>
      <c r="J583" t="inlineStr">
        <is>
          <t>Port d'Andratx, Andratx</t>
        </is>
      </c>
      <c r="K583" t="n">
        <v>40.3</v>
      </c>
      <c r="L583" t="n">
        <v>36</v>
      </c>
      <c r="M583" t="n">
        <v>83</v>
      </c>
      <c r="N583" t="n">
        <v>68</v>
      </c>
      <c r="O583" t="n">
        <v>2.7</v>
      </c>
      <c r="P583" t="n">
        <v>7</v>
      </c>
      <c r="Q583" t="n">
        <v>80.7</v>
      </c>
      <c r="R583" t="n">
        <v>65</v>
      </c>
      <c r="S583" t="n">
        <v>4500000</v>
      </c>
      <c r="T583" t="n">
        <v>10465</v>
      </c>
      <c r="AH583" t="inlineStr">
        <is>
          <t>Quelle: Idealista</t>
        </is>
      </c>
    </row>
    <row r="584">
      <c r="A584" t="n">
        <v>397</v>
      </c>
      <c r="B584" t="inlineStr">
        <is>
          <t>Casa independiente en calle Esparraguera</t>
        </is>
      </c>
      <c r="C584" t="inlineStr">
        <is>
          <t>https://www.idealista.com/inmueble/108830832/</t>
        </is>
      </c>
      <c r="E584" t="n">
        <v>5</v>
      </c>
      <c r="H584" t="n">
        <v>492</v>
      </c>
      <c r="J584" t="inlineStr">
        <is>
          <t>Port d'Andratx, Andratx</t>
        </is>
      </c>
      <c r="K584" t="n">
        <v>40.3</v>
      </c>
      <c r="L584" t="n">
        <v>36</v>
      </c>
      <c r="M584" t="n">
        <v>83</v>
      </c>
      <c r="N584" t="n">
        <v>68</v>
      </c>
      <c r="O584" t="n">
        <v>2.7</v>
      </c>
      <c r="P584" t="n">
        <v>7</v>
      </c>
      <c r="Q584" t="n">
        <v>80.7</v>
      </c>
      <c r="R584" t="n">
        <v>65</v>
      </c>
      <c r="S584" t="n">
        <v>6100000</v>
      </c>
      <c r="T584" t="n">
        <v>12398</v>
      </c>
      <c r="AH584" t="inlineStr">
        <is>
          <t>Quelle: Idealista</t>
        </is>
      </c>
    </row>
    <row r="585">
      <c r="A585" t="n">
        <v>398</v>
      </c>
      <c r="B585" t="inlineStr">
        <is>
          <t>Casa independiente</t>
        </is>
      </c>
      <c r="C585" t="inlineStr">
        <is>
          <t>https://www.idealista.com/inmueble/108802504/</t>
        </is>
      </c>
      <c r="E585" t="n">
        <v>5</v>
      </c>
      <c r="H585" t="n">
        <v>215</v>
      </c>
      <c r="J585" t="inlineStr">
        <is>
          <t>Andratx Pueblo, Andratx</t>
        </is>
      </c>
      <c r="K585" t="n">
        <v>40.3</v>
      </c>
      <c r="L585" t="n">
        <v>36</v>
      </c>
      <c r="M585" t="n">
        <v>83</v>
      </c>
      <c r="N585" t="n">
        <v>68</v>
      </c>
      <c r="O585" t="n">
        <v>2.7</v>
      </c>
      <c r="P585" t="n">
        <v>7</v>
      </c>
      <c r="Q585" t="n">
        <v>80.7</v>
      </c>
      <c r="R585" t="n">
        <v>65</v>
      </c>
      <c r="S585" t="n">
        <v>2500000</v>
      </c>
      <c r="T585" t="n">
        <v>11628</v>
      </c>
      <c r="AH585" t="inlineStr">
        <is>
          <t>Quelle: Idealista</t>
        </is>
      </c>
    </row>
    <row r="586">
      <c r="A586" t="n">
        <v>399</v>
      </c>
      <c r="B586" t="inlineStr">
        <is>
          <t>Casa independiente</t>
        </is>
      </c>
      <c r="C586" t="inlineStr">
        <is>
          <t>https://www.idealista.com/inmueble/108541867/</t>
        </is>
      </c>
      <c r="E586" t="n">
        <v>5</v>
      </c>
      <c r="H586" t="n">
        <v>420</v>
      </c>
      <c r="J586" t="inlineStr">
        <is>
          <t>Port d'Andratx, Andratx</t>
        </is>
      </c>
      <c r="K586" t="n">
        <v>40.3</v>
      </c>
      <c r="L586" t="n">
        <v>36</v>
      </c>
      <c r="M586" t="n">
        <v>83</v>
      </c>
      <c r="N586" t="n">
        <v>68</v>
      </c>
      <c r="O586" t="n">
        <v>2.7</v>
      </c>
      <c r="P586" t="n">
        <v>7</v>
      </c>
      <c r="Q586" t="n">
        <v>80.7</v>
      </c>
      <c r="R586" t="n">
        <v>65</v>
      </c>
      <c r="S586" t="n">
        <v>6500000</v>
      </c>
      <c r="T586" t="n">
        <v>15476</v>
      </c>
      <c r="AH586" t="inlineStr">
        <is>
          <t>Quelle: Idealista</t>
        </is>
      </c>
    </row>
    <row r="587">
      <c r="A587" t="n">
        <v>400</v>
      </c>
      <c r="B587" t="inlineStr">
        <is>
          <t>Casa independiente</t>
        </is>
      </c>
      <c r="C587" t="inlineStr">
        <is>
          <t>https://www.idealista.com/inmueble/108540481/</t>
        </is>
      </c>
      <c r="E587" t="n">
        <v>6</v>
      </c>
      <c r="H587" t="n">
        <v>390</v>
      </c>
      <c r="J587" t="inlineStr">
        <is>
          <t>Port d'Andratx, Andratx</t>
        </is>
      </c>
      <c r="K587" t="n">
        <v>40.3</v>
      </c>
      <c r="L587" t="n">
        <v>36</v>
      </c>
      <c r="M587" t="n">
        <v>83</v>
      </c>
      <c r="N587" t="n">
        <v>68</v>
      </c>
      <c r="O587" t="n">
        <v>2.7</v>
      </c>
      <c r="P587" t="n">
        <v>7</v>
      </c>
      <c r="Q587" t="n">
        <v>80.7</v>
      </c>
      <c r="R587" t="n">
        <v>65</v>
      </c>
      <c r="S587" t="n">
        <v>6500000</v>
      </c>
      <c r="T587" t="n">
        <v>16667</v>
      </c>
      <c r="AH587" t="inlineStr">
        <is>
          <t>Quelle: Idealista</t>
        </is>
      </c>
    </row>
    <row r="588">
      <c r="A588" t="n">
        <v>401</v>
      </c>
      <c r="B588" t="inlineStr">
        <is>
          <t>Casa independiente</t>
        </is>
      </c>
      <c r="C588" t="inlineStr">
        <is>
          <t>https://www.idealista.com/inmueble/94821558/</t>
        </is>
      </c>
      <c r="E588" t="n">
        <v>6</v>
      </c>
      <c r="H588" t="n">
        <v>333</v>
      </c>
      <c r="J588" t="inlineStr">
        <is>
          <t>Port d'Andratx, Andratx</t>
        </is>
      </c>
      <c r="K588" t="n">
        <v>40.3</v>
      </c>
      <c r="L588" t="n">
        <v>36</v>
      </c>
      <c r="M588" t="n">
        <v>83</v>
      </c>
      <c r="N588" t="n">
        <v>68</v>
      </c>
      <c r="O588" t="n">
        <v>2.7</v>
      </c>
      <c r="P588" t="n">
        <v>7</v>
      </c>
      <c r="Q588" t="n">
        <v>80.7</v>
      </c>
      <c r="R588" t="n">
        <v>65</v>
      </c>
      <c r="S588" t="n">
        <v>5900000</v>
      </c>
      <c r="T588" t="n">
        <v>17718</v>
      </c>
      <c r="AH588" t="inlineStr">
        <is>
          <t>Quelle: Idealista</t>
        </is>
      </c>
    </row>
    <row r="589">
      <c r="A589" t="n">
        <v>402</v>
      </c>
      <c r="B589" t="inlineStr">
        <is>
          <t>Chalet</t>
        </is>
      </c>
      <c r="C589" t="inlineStr">
        <is>
          <t>https://www.idealista.com/inmueble/97549338/</t>
        </is>
      </c>
      <c r="E589" t="n">
        <v>6</v>
      </c>
      <c r="H589" t="n">
        <v>346</v>
      </c>
      <c r="J589" t="inlineStr">
        <is>
          <t>Port d'Andratx, Andratx</t>
        </is>
      </c>
      <c r="K589" t="n">
        <v>40.3</v>
      </c>
      <c r="L589" t="n">
        <v>36</v>
      </c>
      <c r="M589" t="n">
        <v>83</v>
      </c>
      <c r="N589" t="n">
        <v>68</v>
      </c>
      <c r="O589" t="n">
        <v>2.7</v>
      </c>
      <c r="P589" t="n">
        <v>7</v>
      </c>
      <c r="Q589" t="n">
        <v>80.7</v>
      </c>
      <c r="R589" t="n">
        <v>65</v>
      </c>
      <c r="S589" t="n">
        <v>4500000</v>
      </c>
      <c r="T589" t="n">
        <v>13006</v>
      </c>
      <c r="AH589" t="inlineStr">
        <is>
          <t>Quelle: Idealista</t>
        </is>
      </c>
    </row>
    <row r="590">
      <c r="A590" t="n">
        <v>403</v>
      </c>
      <c r="B590" t="inlineStr">
        <is>
          <t>Finca rústica</t>
        </is>
      </c>
      <c r="C590" t="inlineStr">
        <is>
          <t>https://www.idealista.com/inmueble/108008503/</t>
        </is>
      </c>
      <c r="E590" t="n">
        <v>6</v>
      </c>
      <c r="H590" t="n">
        <v>694</v>
      </c>
      <c r="J590" t="inlineStr">
        <is>
          <t>Port d'Andratx, Andratx</t>
        </is>
      </c>
      <c r="K590" t="n">
        <v>40.3</v>
      </c>
      <c r="L590" t="n">
        <v>36</v>
      </c>
      <c r="M590" t="n">
        <v>83</v>
      </c>
      <c r="N590" t="n">
        <v>68</v>
      </c>
      <c r="O590" t="n">
        <v>2.7</v>
      </c>
      <c r="P590" t="n">
        <v>7</v>
      </c>
      <c r="Q590" t="n">
        <v>80.7</v>
      </c>
      <c r="R590" t="n">
        <v>65</v>
      </c>
      <c r="S590" t="n">
        <v>4500000</v>
      </c>
      <c r="T590" t="n">
        <v>6484</v>
      </c>
      <c r="AH590" t="inlineStr">
        <is>
          <t>Quelle: Idealista</t>
        </is>
      </c>
    </row>
    <row r="591">
      <c r="A591" t="n">
        <v>404</v>
      </c>
      <c r="B591" t="inlineStr">
        <is>
          <t>Casa independiente en calle del Carme</t>
        </is>
      </c>
      <c r="C591" t="inlineStr">
        <is>
          <t>https://www.idealista.com/inmueble/104014181/</t>
        </is>
      </c>
      <c r="E591" t="n">
        <v>5</v>
      </c>
      <c r="H591" t="n">
        <v>496</v>
      </c>
      <c r="J591" t="inlineStr">
        <is>
          <t>Andratx Pueblo, Andratx</t>
        </is>
      </c>
      <c r="K591" t="n">
        <v>40.3</v>
      </c>
      <c r="L591" t="n">
        <v>36</v>
      </c>
      <c r="M591" t="n">
        <v>83</v>
      </c>
      <c r="N591" t="n">
        <v>68</v>
      </c>
      <c r="O591" t="n">
        <v>2.7</v>
      </c>
      <c r="P591" t="n">
        <v>7</v>
      </c>
      <c r="Q591" t="n">
        <v>80.7</v>
      </c>
      <c r="R591" t="n">
        <v>65</v>
      </c>
      <c r="S591" t="n">
        <v>3950000</v>
      </c>
      <c r="T591" t="n">
        <v>7964</v>
      </c>
      <c r="AH591" t="inlineStr">
        <is>
          <t>Quelle: Idealista</t>
        </is>
      </c>
    </row>
    <row r="592">
      <c r="A592" t="n">
        <v>405</v>
      </c>
      <c r="B592" t="inlineStr">
        <is>
          <t>Casa independiente</t>
        </is>
      </c>
      <c r="C592" t="inlineStr">
        <is>
          <t>https://www.idealista.com/inmueble/106946549/</t>
        </is>
      </c>
      <c r="E592" t="n">
        <v>5</v>
      </c>
      <c r="H592" t="n">
        <v>220</v>
      </c>
      <c r="J592" t="inlineStr">
        <is>
          <t>Port d'Andratx, Andratx</t>
        </is>
      </c>
      <c r="K592" t="n">
        <v>40.3</v>
      </c>
      <c r="L592" t="n">
        <v>36</v>
      </c>
      <c r="M592" t="n">
        <v>83</v>
      </c>
      <c r="N592" t="n">
        <v>68</v>
      </c>
      <c r="O592" t="n">
        <v>2.7</v>
      </c>
      <c r="P592" t="n">
        <v>7</v>
      </c>
      <c r="Q592" t="n">
        <v>80.7</v>
      </c>
      <c r="R592" t="n">
        <v>65</v>
      </c>
      <c r="S592" t="n">
        <v>3200000</v>
      </c>
      <c r="T592" t="n">
        <v>14545</v>
      </c>
      <c r="AH592" t="inlineStr">
        <is>
          <t>Quelle: Idealista</t>
        </is>
      </c>
    </row>
    <row r="593">
      <c r="A593" t="n">
        <v>406</v>
      </c>
      <c r="B593" t="inlineStr">
        <is>
          <t>Casa independiente</t>
        </is>
      </c>
      <c r="C593" t="inlineStr">
        <is>
          <t>https://www.idealista.com/inmueble/106207634/</t>
        </is>
      </c>
      <c r="E593" t="n">
        <v>5</v>
      </c>
      <c r="H593" t="n">
        <v>340</v>
      </c>
      <c r="J593" t="inlineStr">
        <is>
          <t>Es Camp de Mar, Andratx</t>
        </is>
      </c>
      <c r="K593" t="n">
        <v>38.7</v>
      </c>
      <c r="L593" t="n">
        <v>32</v>
      </c>
      <c r="M593" t="n">
        <v>81.40000000000001</v>
      </c>
      <c r="N593" t="n">
        <v>65</v>
      </c>
      <c r="O593" t="n">
        <v>6.7</v>
      </c>
      <c r="P593" t="n">
        <v>10</v>
      </c>
      <c r="Q593" t="n">
        <v>79.09999999999999</v>
      </c>
      <c r="R593" t="n">
        <v>62</v>
      </c>
      <c r="S593" t="n">
        <v>2900000</v>
      </c>
      <c r="T593" t="n">
        <v>8529</v>
      </c>
      <c r="AH593" t="inlineStr">
        <is>
          <t>Quelle: Idealista</t>
        </is>
      </c>
    </row>
    <row r="594">
      <c r="A594" t="n">
        <v>407</v>
      </c>
      <c r="B594" t="inlineStr">
        <is>
          <t>Casa rural</t>
        </is>
      </c>
      <c r="C594" t="inlineStr">
        <is>
          <t>https://www.idealista.com/inmueble/98100524/</t>
        </is>
      </c>
      <c r="E594" t="n">
        <v>5</v>
      </c>
      <c r="H594" t="n">
        <v>380</v>
      </c>
      <c r="J594" t="inlineStr">
        <is>
          <t>Andratx Pueblo, Andratx</t>
        </is>
      </c>
      <c r="K594" t="n">
        <v>40.3</v>
      </c>
      <c r="L594" t="n">
        <v>36</v>
      </c>
      <c r="M594" t="n">
        <v>83</v>
      </c>
      <c r="N594" t="n">
        <v>68</v>
      </c>
      <c r="O594" t="n">
        <v>2.7</v>
      </c>
      <c r="P594" t="n">
        <v>7</v>
      </c>
      <c r="Q594" t="n">
        <v>80.7</v>
      </c>
      <c r="R594" t="n">
        <v>65</v>
      </c>
      <c r="S594" t="n">
        <v>2350000</v>
      </c>
      <c r="T594" t="n">
        <v>6184</v>
      </c>
      <c r="AH594" t="inlineStr">
        <is>
          <t>Quelle: Idealista</t>
        </is>
      </c>
    </row>
    <row r="595">
      <c r="A595" t="n">
        <v>408</v>
      </c>
      <c r="B595" t="inlineStr">
        <is>
          <t>Casa independiente</t>
        </is>
      </c>
      <c r="C595" t="inlineStr">
        <is>
          <t>https://www.idealista.com/inmueble/105365889/</t>
        </is>
      </c>
      <c r="E595" t="n">
        <v>5</v>
      </c>
      <c r="H595" t="n">
        <v>325</v>
      </c>
      <c r="J595" t="inlineStr">
        <is>
          <t>Port d'Andratx, Andratx</t>
        </is>
      </c>
      <c r="K595" t="n">
        <v>40.3</v>
      </c>
      <c r="L595" t="n">
        <v>36</v>
      </c>
      <c r="M595" t="n">
        <v>83</v>
      </c>
      <c r="N595" t="n">
        <v>68</v>
      </c>
      <c r="O595" t="n">
        <v>2.7</v>
      </c>
      <c r="P595" t="n">
        <v>7</v>
      </c>
      <c r="Q595" t="n">
        <v>80.7</v>
      </c>
      <c r="R595" t="n">
        <v>65</v>
      </c>
      <c r="S595" t="n">
        <v>6200000</v>
      </c>
      <c r="T595" t="n">
        <v>19077</v>
      </c>
      <c r="AH595" t="inlineStr">
        <is>
          <t>Quelle: Idealista</t>
        </is>
      </c>
    </row>
    <row r="596">
      <c r="A596" t="n">
        <v>409</v>
      </c>
      <c r="B596" t="inlineStr">
        <is>
          <t>Finca rústica</t>
        </is>
      </c>
      <c r="C596" t="inlineStr">
        <is>
          <t>https://www.idealista.com/inmueble/104921008/</t>
        </is>
      </c>
      <c r="E596" t="n">
        <v>5</v>
      </c>
      <c r="H596" t="n">
        <v>250</v>
      </c>
      <c r="J596" t="inlineStr">
        <is>
          <t>Port d'Andratx, Andratx</t>
        </is>
      </c>
      <c r="K596" t="n">
        <v>40.3</v>
      </c>
      <c r="L596" t="n">
        <v>36</v>
      </c>
      <c r="M596" t="n">
        <v>83</v>
      </c>
      <c r="N596" t="n">
        <v>68</v>
      </c>
      <c r="O596" t="n">
        <v>2.7</v>
      </c>
      <c r="P596" t="n">
        <v>7</v>
      </c>
      <c r="Q596" t="n">
        <v>80.7</v>
      </c>
      <c r="R596" t="n">
        <v>65</v>
      </c>
      <c r="S596" t="n">
        <v>3950000</v>
      </c>
      <c r="T596" t="n">
        <v>15800</v>
      </c>
      <c r="AH596" t="inlineStr">
        <is>
          <t>Quelle: Idealista</t>
        </is>
      </c>
    </row>
    <row r="597">
      <c r="A597" t="n">
        <v>410</v>
      </c>
      <c r="B597" t="inlineStr">
        <is>
          <t>Casa independiente</t>
        </is>
      </c>
      <c r="C597" t="inlineStr">
        <is>
          <t>https://www.idealista.com/inmueble/104579540/</t>
        </is>
      </c>
      <c r="E597" t="n">
        <v>5</v>
      </c>
      <c r="H597" t="n">
        <v>530</v>
      </c>
      <c r="J597" t="inlineStr">
        <is>
          <t>Port d'Andratx, Andratx</t>
        </is>
      </c>
      <c r="K597" t="n">
        <v>40.3</v>
      </c>
      <c r="L597" t="n">
        <v>36</v>
      </c>
      <c r="M597" t="n">
        <v>83</v>
      </c>
      <c r="N597" t="n">
        <v>68</v>
      </c>
      <c r="O597" t="n">
        <v>2.7</v>
      </c>
      <c r="P597" t="n">
        <v>7</v>
      </c>
      <c r="Q597" t="n">
        <v>80.7</v>
      </c>
      <c r="R597" t="n">
        <v>65</v>
      </c>
      <c r="S597" t="n">
        <v>2500000</v>
      </c>
      <c r="T597" t="n">
        <v>4717</v>
      </c>
      <c r="AH597" t="inlineStr">
        <is>
          <t>Quelle: Idealista</t>
        </is>
      </c>
    </row>
    <row r="598">
      <c r="A598" t="n">
        <v>411</v>
      </c>
      <c r="B598" t="inlineStr">
        <is>
          <t>Finca rústica</t>
        </is>
      </c>
      <c r="C598" t="inlineStr">
        <is>
          <t>https://www.idealista.com/inmueble/104089767/</t>
        </is>
      </c>
      <c r="E598" t="n">
        <v>5</v>
      </c>
      <c r="H598" t="n">
        <v>596</v>
      </c>
      <c r="J598" t="inlineStr">
        <is>
          <t>Andratx Pueblo, Andratx</t>
        </is>
      </c>
      <c r="K598" t="n">
        <v>40.3</v>
      </c>
      <c r="L598" t="n">
        <v>36</v>
      </c>
      <c r="M598" t="n">
        <v>83</v>
      </c>
      <c r="N598" t="n">
        <v>68</v>
      </c>
      <c r="O598" t="n">
        <v>2.7</v>
      </c>
      <c r="P598" t="n">
        <v>7</v>
      </c>
      <c r="Q598" t="n">
        <v>80.7</v>
      </c>
      <c r="R598" t="n">
        <v>65</v>
      </c>
      <c r="S598" t="n">
        <v>3950000</v>
      </c>
      <c r="T598" t="n">
        <v>6628</v>
      </c>
      <c r="AH598" t="inlineStr">
        <is>
          <t>Quelle: Idealista</t>
        </is>
      </c>
    </row>
    <row r="599">
      <c r="A599" t="n">
        <v>412</v>
      </c>
      <c r="B599" t="inlineStr">
        <is>
          <t>Casa independiente</t>
        </is>
      </c>
      <c r="C599" t="inlineStr">
        <is>
          <t>https://www.idealista.com/inmueble/103812415/</t>
        </is>
      </c>
      <c r="E599" t="n">
        <v>5</v>
      </c>
      <c r="H599" t="n">
        <v>530</v>
      </c>
      <c r="J599" t="inlineStr">
        <is>
          <t>Andratx Pueblo, Andratx</t>
        </is>
      </c>
      <c r="K599" t="n">
        <v>40.3</v>
      </c>
      <c r="L599" t="n">
        <v>36</v>
      </c>
      <c r="M599" t="n">
        <v>83</v>
      </c>
      <c r="N599" t="n">
        <v>68</v>
      </c>
      <c r="O599" t="n">
        <v>2.7</v>
      </c>
      <c r="P599" t="n">
        <v>7</v>
      </c>
      <c r="Q599" t="n">
        <v>80.7</v>
      </c>
      <c r="R599" t="n">
        <v>65</v>
      </c>
      <c r="S599" t="n">
        <v>2500000</v>
      </c>
      <c r="T599" t="n">
        <v>4717</v>
      </c>
      <c r="AH599" t="inlineStr">
        <is>
          <t>Quelle: Idealista</t>
        </is>
      </c>
    </row>
    <row r="600">
      <c r="A600" t="n">
        <v>413</v>
      </c>
      <c r="B600" t="inlineStr">
        <is>
          <t>Casa independiente en camino sant Lluis</t>
        </is>
      </c>
      <c r="C600" t="inlineStr">
        <is>
          <t>https://www.idealista.com/inmueble/103678359/</t>
        </is>
      </c>
      <c r="E600" t="n">
        <v>16</v>
      </c>
      <c r="H600" t="n">
        <v>1550</v>
      </c>
      <c r="J600" t="inlineStr">
        <is>
          <t>Andratx Pueblo, Andratx</t>
        </is>
      </c>
      <c r="K600" t="n">
        <v>40.3</v>
      </c>
      <c r="L600" t="n">
        <v>36</v>
      </c>
      <c r="M600" t="n">
        <v>83</v>
      </c>
      <c r="N600" t="n">
        <v>68</v>
      </c>
      <c r="O600" t="n">
        <v>2.7</v>
      </c>
      <c r="P600" t="n">
        <v>7</v>
      </c>
      <c r="Q600" t="n">
        <v>80.7</v>
      </c>
      <c r="R600" t="n">
        <v>65</v>
      </c>
      <c r="S600" t="n">
        <v>2800000</v>
      </c>
      <c r="T600" t="n">
        <v>1806</v>
      </c>
      <c r="AH600" t="inlineStr">
        <is>
          <t>Quelle: Idealista</t>
        </is>
      </c>
    </row>
    <row r="601">
      <c r="A601" t="n">
        <v>414</v>
      </c>
      <c r="B601" t="inlineStr">
        <is>
          <t>Finca rústica</t>
        </is>
      </c>
      <c r="C601" t="inlineStr">
        <is>
          <t>https://www.idealista.com/inmueble/102457485/</t>
        </is>
      </c>
      <c r="E601" t="n">
        <v>5</v>
      </c>
      <c r="H601" t="n">
        <v>400</v>
      </c>
      <c r="J601" t="inlineStr">
        <is>
          <t>Andratx Pueblo, Andratx</t>
        </is>
      </c>
      <c r="K601" t="n">
        <v>40.3</v>
      </c>
      <c r="L601" t="n">
        <v>36</v>
      </c>
      <c r="M601" t="n">
        <v>83</v>
      </c>
      <c r="N601" t="n">
        <v>68</v>
      </c>
      <c r="O601" t="n">
        <v>2.7</v>
      </c>
      <c r="P601" t="n">
        <v>7</v>
      </c>
      <c r="Q601" t="n">
        <v>80.7</v>
      </c>
      <c r="R601" t="n">
        <v>65</v>
      </c>
      <c r="S601" t="n">
        <v>2350000</v>
      </c>
      <c r="T601" t="n">
        <v>5875</v>
      </c>
      <c r="AH601" t="inlineStr">
        <is>
          <t>Quelle: Idealista</t>
        </is>
      </c>
    </row>
    <row r="602">
      <c r="A602" t="n">
        <v>415</v>
      </c>
      <c r="B602" t="inlineStr">
        <is>
          <t>Casa independiente</t>
        </is>
      </c>
      <c r="C602" t="inlineStr">
        <is>
          <t>https://www.idealista.com/inmueble/97079637/</t>
        </is>
      </c>
      <c r="E602" t="n">
        <v>5</v>
      </c>
      <c r="H602" t="n">
        <v>257</v>
      </c>
      <c r="J602" t="inlineStr">
        <is>
          <t>Port d'Andratx, Andratx</t>
        </is>
      </c>
      <c r="K602" t="n">
        <v>40.3</v>
      </c>
      <c r="L602" t="n">
        <v>36</v>
      </c>
      <c r="M602" t="n">
        <v>83</v>
      </c>
      <c r="N602" t="n">
        <v>68</v>
      </c>
      <c r="O602" t="n">
        <v>2.7</v>
      </c>
      <c r="P602" t="n">
        <v>7</v>
      </c>
      <c r="Q602" t="n">
        <v>80.7</v>
      </c>
      <c r="R602" t="n">
        <v>65</v>
      </c>
      <c r="S602" t="n">
        <v>5900000</v>
      </c>
      <c r="T602" t="n">
        <v>22957</v>
      </c>
      <c r="AH602" t="inlineStr">
        <is>
          <t>Quelle: Idealista</t>
        </is>
      </c>
    </row>
    <row r="603">
      <c r="A603" t="n">
        <v>416</v>
      </c>
      <c r="B603" t="inlineStr">
        <is>
          <t>Casa independiente en camino Pla de son Llarg</t>
        </is>
      </c>
      <c r="C603" t="inlineStr">
        <is>
          <t>https://www.idealista.com/inmueble/98917487/</t>
        </is>
      </c>
      <c r="E603" t="n">
        <v>5</v>
      </c>
      <c r="H603" t="n">
        <v>318</v>
      </c>
      <c r="J603" t="inlineStr">
        <is>
          <t>Port d'Andratx, Andratx</t>
        </is>
      </c>
      <c r="K603" t="n">
        <v>40.3</v>
      </c>
      <c r="L603" t="n">
        <v>36</v>
      </c>
      <c r="M603" t="n">
        <v>83</v>
      </c>
      <c r="N603" t="n">
        <v>68</v>
      </c>
      <c r="O603" t="n">
        <v>2.7</v>
      </c>
      <c r="P603" t="n">
        <v>7</v>
      </c>
      <c r="Q603" t="n">
        <v>80.7</v>
      </c>
      <c r="R603" t="n">
        <v>65</v>
      </c>
      <c r="S603" t="n">
        <v>2000000</v>
      </c>
      <c r="T603" t="n">
        <v>6289</v>
      </c>
      <c r="AH603" t="inlineStr">
        <is>
          <t>Quelle: Idealista</t>
        </is>
      </c>
    </row>
    <row r="604">
      <c r="A604" t="n">
        <v>417</v>
      </c>
      <c r="B604" t="inlineStr">
        <is>
          <t>Casa independiente</t>
        </is>
      </c>
      <c r="C604" t="inlineStr">
        <is>
          <t>https://www.idealista.com/inmueble/98463380/</t>
        </is>
      </c>
      <c r="E604" t="n">
        <v>10</v>
      </c>
      <c r="H604" t="n">
        <v>1565</v>
      </c>
      <c r="J604" t="inlineStr">
        <is>
          <t>Andratx Pueblo, Andratx</t>
        </is>
      </c>
      <c r="K604" t="n">
        <v>40.3</v>
      </c>
      <c r="L604" t="n">
        <v>36</v>
      </c>
      <c r="M604" t="n">
        <v>83</v>
      </c>
      <c r="N604" t="n">
        <v>68</v>
      </c>
      <c r="O604" t="n">
        <v>2.7</v>
      </c>
      <c r="P604" t="n">
        <v>7</v>
      </c>
      <c r="Q604" t="n">
        <v>80.7</v>
      </c>
      <c r="R604" t="n">
        <v>65</v>
      </c>
      <c r="S604" t="n">
        <v>2900000</v>
      </c>
      <c r="T604" t="n">
        <v>1853</v>
      </c>
      <c r="AH604" t="inlineStr">
        <is>
          <t>Quelle: Idealista</t>
        </is>
      </c>
    </row>
    <row r="605">
      <c r="A605" t="n">
        <v>418</v>
      </c>
      <c r="B605" t="inlineStr">
        <is>
          <t>Casa independiente</t>
        </is>
      </c>
      <c r="C605" t="inlineStr">
        <is>
          <t>https://www.idealista.com/inmueble/94304778/</t>
        </is>
      </c>
      <c r="E605" t="n">
        <v>5</v>
      </c>
      <c r="H605" t="n">
        <v>269</v>
      </c>
      <c r="J605" t="inlineStr">
        <is>
          <t>Port d'Andratx, Andratx</t>
        </is>
      </c>
      <c r="K605" t="n">
        <v>40.3</v>
      </c>
      <c r="L605" t="n">
        <v>36</v>
      </c>
      <c r="M605" t="n">
        <v>83</v>
      </c>
      <c r="N605" t="n">
        <v>68</v>
      </c>
      <c r="O605" t="n">
        <v>2.7</v>
      </c>
      <c r="P605" t="n">
        <v>7</v>
      </c>
      <c r="Q605" t="n">
        <v>80.7</v>
      </c>
      <c r="R605" t="n">
        <v>65</v>
      </c>
      <c r="S605" t="n">
        <v>5900000</v>
      </c>
      <c r="T605" t="n">
        <v>21933</v>
      </c>
      <c r="AH605" t="inlineStr">
        <is>
          <t>Quelle: Idealista</t>
        </is>
      </c>
    </row>
    <row r="606">
      <c r="A606" t="n">
        <v>419</v>
      </c>
      <c r="B606" t="inlineStr">
        <is>
          <t>Casa rural</t>
        </is>
      </c>
      <c r="C606" t="inlineStr">
        <is>
          <t>https://www.idealista.com/inmueble/109503530/</t>
        </is>
      </c>
      <c r="E606" t="n">
        <v>6</v>
      </c>
      <c r="H606" t="n">
        <v>525</v>
      </c>
      <c r="J606" t="inlineStr">
        <is>
          <t>Artà, Arta</t>
        </is>
      </c>
      <c r="K606" t="n">
        <v>68.3</v>
      </c>
      <c r="L606" t="n">
        <v>61</v>
      </c>
      <c r="M606" t="n">
        <v>63.7</v>
      </c>
      <c r="N606" t="n">
        <v>64</v>
      </c>
      <c r="O606" t="n">
        <v>102.6</v>
      </c>
      <c r="P606" t="n">
        <v>86</v>
      </c>
      <c r="Q606" t="n">
        <v>61.4</v>
      </c>
      <c r="R606" t="n">
        <v>61</v>
      </c>
      <c r="S606" t="n">
        <v>4700000</v>
      </c>
      <c r="T606" t="n">
        <v>8952</v>
      </c>
      <c r="AH606" t="inlineStr">
        <is>
          <t>Quelle: Idealista</t>
        </is>
      </c>
    </row>
    <row r="607">
      <c r="A607" t="n">
        <v>420</v>
      </c>
      <c r="B607" t="inlineStr">
        <is>
          <t>Casa rural</t>
        </is>
      </c>
      <c r="C607" t="inlineStr">
        <is>
          <t>https://www.idealista.com/inmueble/109486235/</t>
        </is>
      </c>
      <c r="E607" t="n">
        <v>6</v>
      </c>
      <c r="H607" t="n">
        <v>388</v>
      </c>
      <c r="J607" t="inlineStr">
        <is>
          <t>Colònia de Sant Pere, Arta</t>
        </is>
      </c>
      <c r="K607" t="n">
        <v>70</v>
      </c>
      <c r="L607" t="n">
        <v>60</v>
      </c>
      <c r="M607" t="n">
        <v>65.40000000000001</v>
      </c>
      <c r="N607" t="n">
        <v>63</v>
      </c>
      <c r="O607" t="n">
        <v>105.9</v>
      </c>
      <c r="P607" t="n">
        <v>84</v>
      </c>
      <c r="Q607" t="n">
        <v>63.1</v>
      </c>
      <c r="R607" t="n">
        <v>60</v>
      </c>
      <c r="S607" t="n">
        <v>2350000</v>
      </c>
      <c r="T607" t="n">
        <v>6057</v>
      </c>
      <c r="AH607" t="inlineStr">
        <is>
          <t>Quelle: Idealista</t>
        </is>
      </c>
    </row>
    <row r="608">
      <c r="A608" t="n">
        <v>421</v>
      </c>
      <c r="B608" t="inlineStr">
        <is>
          <t>Finca rústica</t>
        </is>
      </c>
      <c r="C608" t="inlineStr">
        <is>
          <t>https://www.idealista.com/inmueble/109475691/</t>
        </is>
      </c>
      <c r="E608" t="n">
        <v>6</v>
      </c>
      <c r="H608" t="n">
        <v>880</v>
      </c>
      <c r="J608" t="inlineStr">
        <is>
          <t>Artà, Arta</t>
        </is>
      </c>
      <c r="K608" t="n">
        <v>68.3</v>
      </c>
      <c r="L608" t="n">
        <v>61</v>
      </c>
      <c r="M608" t="n">
        <v>63.7</v>
      </c>
      <c r="N608" t="n">
        <v>64</v>
      </c>
      <c r="O608" t="n">
        <v>102.6</v>
      </c>
      <c r="P608" t="n">
        <v>86</v>
      </c>
      <c r="Q608" t="n">
        <v>61.4</v>
      </c>
      <c r="R608" t="n">
        <v>61</v>
      </c>
      <c r="S608" t="n">
        <v>3500000</v>
      </c>
      <c r="T608" t="n">
        <v>3977</v>
      </c>
      <c r="AH608" t="inlineStr">
        <is>
          <t>Quelle: Idealista</t>
        </is>
      </c>
    </row>
    <row r="609">
      <c r="A609" t="n">
        <v>422</v>
      </c>
      <c r="B609" t="inlineStr">
        <is>
          <t>Finca rústica</t>
        </is>
      </c>
      <c r="C609" t="inlineStr">
        <is>
          <t>https://www.idealista.com/inmueble/109402809/</t>
        </is>
      </c>
      <c r="E609" t="n">
        <v>6</v>
      </c>
      <c r="H609" t="n">
        <v>620</v>
      </c>
      <c r="J609" t="inlineStr">
        <is>
          <t>Artà, Arta</t>
        </is>
      </c>
      <c r="K609" t="n">
        <v>68.3</v>
      </c>
      <c r="L609" t="n">
        <v>61</v>
      </c>
      <c r="M609" t="n">
        <v>63.7</v>
      </c>
      <c r="N609" t="n">
        <v>64</v>
      </c>
      <c r="O609" t="n">
        <v>102.6</v>
      </c>
      <c r="P609" t="n">
        <v>86</v>
      </c>
      <c r="Q609" t="n">
        <v>61.4</v>
      </c>
      <c r="R609" t="n">
        <v>61</v>
      </c>
      <c r="S609" t="n">
        <v>6000000</v>
      </c>
      <c r="T609" t="n">
        <v>9677</v>
      </c>
      <c r="AH609" t="inlineStr">
        <is>
          <t>Quelle: Idealista</t>
        </is>
      </c>
    </row>
    <row r="610">
      <c r="A610" t="n">
        <v>423</v>
      </c>
      <c r="B610" t="inlineStr">
        <is>
          <t>Finca rústica</t>
        </is>
      </c>
      <c r="C610" t="inlineStr">
        <is>
          <t>https://www.idealista.com/inmueble/109237981/</t>
        </is>
      </c>
      <c r="E610" t="n">
        <v>5</v>
      </c>
      <c r="H610" t="n">
        <v>465</v>
      </c>
      <c r="J610" t="inlineStr">
        <is>
          <t>Artà, Arta</t>
        </is>
      </c>
      <c r="K610" t="n">
        <v>68.3</v>
      </c>
      <c r="L610" t="n">
        <v>61</v>
      </c>
      <c r="M610" t="n">
        <v>63.7</v>
      </c>
      <c r="N610" t="n">
        <v>64</v>
      </c>
      <c r="O610" t="n">
        <v>102.6</v>
      </c>
      <c r="P610" t="n">
        <v>86</v>
      </c>
      <c r="Q610" t="n">
        <v>61.4</v>
      </c>
      <c r="R610" t="n">
        <v>61</v>
      </c>
      <c r="S610" t="n">
        <v>2950000</v>
      </c>
      <c r="T610" t="n">
        <v>6344</v>
      </c>
      <c r="AH610" t="inlineStr">
        <is>
          <t>Quelle: Idealista</t>
        </is>
      </c>
    </row>
    <row r="611">
      <c r="A611" t="n">
        <v>424</v>
      </c>
      <c r="B611" t="inlineStr">
        <is>
          <t>Casa independiente</t>
        </is>
      </c>
      <c r="C611" t="inlineStr">
        <is>
          <t>https://www.idealista.com/inmueble/109220992/</t>
        </is>
      </c>
      <c r="E611" t="n">
        <v>6</v>
      </c>
      <c r="H611" t="n">
        <v>500</v>
      </c>
      <c r="J611" t="inlineStr">
        <is>
          <t>Colònia de Sant Pere, Arta</t>
        </is>
      </c>
      <c r="K611" t="n">
        <v>70</v>
      </c>
      <c r="L611" t="n">
        <v>60</v>
      </c>
      <c r="M611" t="n">
        <v>65.40000000000001</v>
      </c>
      <c r="N611" t="n">
        <v>63</v>
      </c>
      <c r="O611" t="n">
        <v>105.9</v>
      </c>
      <c r="P611" t="n">
        <v>84</v>
      </c>
      <c r="Q611" t="n">
        <v>63.1</v>
      </c>
      <c r="R611" t="n">
        <v>60</v>
      </c>
      <c r="S611" t="n">
        <v>4900000</v>
      </c>
      <c r="T611" t="n">
        <v>9800</v>
      </c>
      <c r="AH611" t="inlineStr">
        <is>
          <t>Quelle: Idealista</t>
        </is>
      </c>
    </row>
    <row r="612">
      <c r="A612" t="n">
        <v>425</v>
      </c>
      <c r="B612" t="inlineStr">
        <is>
          <t>Chalet adosado</t>
        </is>
      </c>
      <c r="C612" t="inlineStr">
        <is>
          <t>https://www.idealista.com/inmueble/109007818/</t>
        </is>
      </c>
      <c r="E612" t="n">
        <v>7</v>
      </c>
      <c r="H612" t="n">
        <v>331</v>
      </c>
      <c r="J612" t="inlineStr">
        <is>
          <t>Artà, Arta</t>
        </is>
      </c>
      <c r="K612" t="n">
        <v>68.3</v>
      </c>
      <c r="L612" t="n">
        <v>61</v>
      </c>
      <c r="M612" t="n">
        <v>63.7</v>
      </c>
      <c r="N612" t="n">
        <v>64</v>
      </c>
      <c r="O612" t="n">
        <v>102.6</v>
      </c>
      <c r="P612" t="n">
        <v>86</v>
      </c>
      <c r="Q612" t="n">
        <v>61.4</v>
      </c>
      <c r="R612" t="n">
        <v>61</v>
      </c>
      <c r="S612" t="n">
        <v>2395000</v>
      </c>
      <c r="T612" t="n">
        <v>7236</v>
      </c>
      <c r="AH612" t="inlineStr">
        <is>
          <t>Quelle: Idealista</t>
        </is>
      </c>
    </row>
    <row r="613">
      <c r="A613" t="n">
        <v>426</v>
      </c>
      <c r="B613" t="inlineStr">
        <is>
          <t>Casa rural</t>
        </is>
      </c>
      <c r="C613" t="inlineStr">
        <is>
          <t>https://www.idealista.com/inmueble/108818587/</t>
        </is>
      </c>
      <c r="E613" t="n">
        <v>7</v>
      </c>
      <c r="H613" t="n">
        <v>871</v>
      </c>
      <c r="J613" t="inlineStr">
        <is>
          <t>Artà, Arta</t>
        </is>
      </c>
      <c r="K613" t="n">
        <v>68.3</v>
      </c>
      <c r="L613" t="n">
        <v>61</v>
      </c>
      <c r="M613" t="n">
        <v>63.7</v>
      </c>
      <c r="N613" t="n">
        <v>64</v>
      </c>
      <c r="O613" t="n">
        <v>102.6</v>
      </c>
      <c r="P613" t="n">
        <v>86</v>
      </c>
      <c r="Q613" t="n">
        <v>61.4</v>
      </c>
      <c r="R613" t="n">
        <v>61</v>
      </c>
      <c r="S613" t="n">
        <v>3500000</v>
      </c>
      <c r="T613" t="n">
        <v>4018</v>
      </c>
      <c r="AH613" t="inlineStr">
        <is>
          <t>Quelle: Idealista</t>
        </is>
      </c>
    </row>
    <row r="614">
      <c r="A614" t="n">
        <v>427</v>
      </c>
      <c r="B614" t="inlineStr">
        <is>
          <t>Casa independiente</t>
        </is>
      </c>
      <c r="C614" t="inlineStr">
        <is>
          <t>https://www.idealista.com/inmueble/108748296/</t>
        </is>
      </c>
      <c r="E614" t="n">
        <v>5</v>
      </c>
      <c r="H614" t="n">
        <v>650</v>
      </c>
      <c r="J614" t="inlineStr">
        <is>
          <t>Colònia de Sant Pere, Arta</t>
        </is>
      </c>
      <c r="K614" t="n">
        <v>70</v>
      </c>
      <c r="L614" t="n">
        <v>60</v>
      </c>
      <c r="M614" t="n">
        <v>65.40000000000001</v>
      </c>
      <c r="N614" t="n">
        <v>63</v>
      </c>
      <c r="O614" t="n">
        <v>105.9</v>
      </c>
      <c r="P614" t="n">
        <v>84</v>
      </c>
      <c r="Q614" t="n">
        <v>63.1</v>
      </c>
      <c r="R614" t="n">
        <v>60</v>
      </c>
      <c r="S614" t="n">
        <v>3000000</v>
      </c>
      <c r="T614" t="n">
        <v>4615</v>
      </c>
      <c r="AH614" t="inlineStr">
        <is>
          <t>Quelle: Idealista</t>
        </is>
      </c>
    </row>
    <row r="615">
      <c r="A615" t="n">
        <v>428</v>
      </c>
      <c r="B615" t="inlineStr">
        <is>
          <t>Casa rural</t>
        </is>
      </c>
      <c r="C615" t="inlineStr">
        <is>
          <t>https://www.idealista.com/inmueble/108130991/</t>
        </is>
      </c>
      <c r="E615" t="n">
        <v>5</v>
      </c>
      <c r="H615" t="n">
        <v>645</v>
      </c>
      <c r="J615" t="inlineStr">
        <is>
          <t>Artà, Arta</t>
        </is>
      </c>
      <c r="K615" t="n">
        <v>68.3</v>
      </c>
      <c r="L615" t="n">
        <v>61</v>
      </c>
      <c r="M615" t="n">
        <v>63.7</v>
      </c>
      <c r="N615" t="n">
        <v>64</v>
      </c>
      <c r="O615" t="n">
        <v>102.6</v>
      </c>
      <c r="P615" t="n">
        <v>86</v>
      </c>
      <c r="Q615" t="n">
        <v>61.4</v>
      </c>
      <c r="R615" t="n">
        <v>61</v>
      </c>
      <c r="S615" t="n">
        <v>2490000</v>
      </c>
      <c r="T615" t="n">
        <v>3860</v>
      </c>
      <c r="AH615" t="inlineStr">
        <is>
          <t>Quelle: Idealista</t>
        </is>
      </c>
    </row>
    <row r="616">
      <c r="A616" t="n">
        <v>429</v>
      </c>
      <c r="B616" t="inlineStr">
        <is>
          <t>Finca rústica</t>
        </is>
      </c>
      <c r="C616" t="inlineStr">
        <is>
          <t>https://www.idealista.com/inmueble/107205881/</t>
        </is>
      </c>
      <c r="E616" t="n">
        <v>9</v>
      </c>
      <c r="H616" t="n">
        <v>550</v>
      </c>
      <c r="J616" t="inlineStr">
        <is>
          <t>Artà, Arta</t>
        </is>
      </c>
      <c r="K616" t="n">
        <v>68.3</v>
      </c>
      <c r="L616" t="n">
        <v>61</v>
      </c>
      <c r="M616" t="n">
        <v>63.7</v>
      </c>
      <c r="N616" t="n">
        <v>64</v>
      </c>
      <c r="O616" t="n">
        <v>102.6</v>
      </c>
      <c r="P616" t="n">
        <v>86</v>
      </c>
      <c r="Q616" t="n">
        <v>61.4</v>
      </c>
      <c r="R616" t="n">
        <v>61</v>
      </c>
      <c r="S616" t="n">
        <v>3000000</v>
      </c>
      <c r="T616" t="n">
        <v>5455</v>
      </c>
      <c r="AH616" t="inlineStr">
        <is>
          <t>Quelle: Idealista</t>
        </is>
      </c>
    </row>
    <row r="617">
      <c r="A617" t="n">
        <v>430</v>
      </c>
      <c r="B617" t="inlineStr">
        <is>
          <t>Finca rústica</t>
        </is>
      </c>
      <c r="C617" t="inlineStr">
        <is>
          <t>https://www.idealista.com/inmueble/106219826/</t>
        </is>
      </c>
      <c r="E617" t="n">
        <v>6</v>
      </c>
      <c r="H617" t="n">
        <v>470</v>
      </c>
      <c r="J617" t="inlineStr">
        <is>
          <t>Artà, Arta</t>
        </is>
      </c>
      <c r="K617" t="n">
        <v>68.3</v>
      </c>
      <c r="L617" t="n">
        <v>61</v>
      </c>
      <c r="M617" t="n">
        <v>63.7</v>
      </c>
      <c r="N617" t="n">
        <v>64</v>
      </c>
      <c r="O617" t="n">
        <v>102.6</v>
      </c>
      <c r="P617" t="n">
        <v>86</v>
      </c>
      <c r="Q617" t="n">
        <v>61.4</v>
      </c>
      <c r="R617" t="n">
        <v>61</v>
      </c>
      <c r="S617" t="n">
        <v>3500000</v>
      </c>
      <c r="T617" t="n">
        <v>7447</v>
      </c>
      <c r="AH617" t="inlineStr">
        <is>
          <t>Quelle: Idealista</t>
        </is>
      </c>
    </row>
    <row r="618">
      <c r="A618" t="n">
        <v>431</v>
      </c>
      <c r="B618" t="inlineStr">
        <is>
          <t>Casa rural</t>
        </is>
      </c>
      <c r="C618" t="inlineStr">
        <is>
          <t>https://www.idealista.com/inmueble/106684936/</t>
        </is>
      </c>
      <c r="E618" t="n">
        <v>8</v>
      </c>
      <c r="H618" t="n">
        <v>450</v>
      </c>
      <c r="J618" t="inlineStr">
        <is>
          <t>Artà, Arta</t>
        </is>
      </c>
      <c r="K618" t="n">
        <v>68.3</v>
      </c>
      <c r="L618" t="n">
        <v>61</v>
      </c>
      <c r="M618" t="n">
        <v>63.7</v>
      </c>
      <c r="N618" t="n">
        <v>64</v>
      </c>
      <c r="O618" t="n">
        <v>102.6</v>
      </c>
      <c r="P618" t="n">
        <v>86</v>
      </c>
      <c r="Q618" t="n">
        <v>61.4</v>
      </c>
      <c r="R618" t="n">
        <v>61</v>
      </c>
      <c r="S618" t="n">
        <v>3800000</v>
      </c>
      <c r="T618" t="n">
        <v>8444</v>
      </c>
      <c r="AH618" t="inlineStr">
        <is>
          <t>Quelle: Idealista</t>
        </is>
      </c>
    </row>
    <row r="619">
      <c r="A619" t="n">
        <v>432</v>
      </c>
      <c r="B619" t="inlineStr">
        <is>
          <t>Casa independiente</t>
        </is>
      </c>
      <c r="C619" t="inlineStr">
        <is>
          <t>https://www.idealista.com/inmueble/102376931/</t>
        </is>
      </c>
      <c r="E619" t="n">
        <v>6</v>
      </c>
      <c r="H619" t="n">
        <v>813</v>
      </c>
      <c r="J619" t="inlineStr">
        <is>
          <t>Artà, Arta</t>
        </is>
      </c>
      <c r="K619" t="n">
        <v>68.3</v>
      </c>
      <c r="L619" t="n">
        <v>61</v>
      </c>
      <c r="M619" t="n">
        <v>63.7</v>
      </c>
      <c r="N619" t="n">
        <v>64</v>
      </c>
      <c r="O619" t="n">
        <v>102.6</v>
      </c>
      <c r="P619" t="n">
        <v>86</v>
      </c>
      <c r="Q619" t="n">
        <v>61.4</v>
      </c>
      <c r="R619" t="n">
        <v>61</v>
      </c>
      <c r="S619" t="n">
        <v>2350000</v>
      </c>
      <c r="T619" t="n">
        <v>2891</v>
      </c>
      <c r="AH619" t="inlineStr">
        <is>
          <t>Quelle: Idealista</t>
        </is>
      </c>
    </row>
    <row r="620">
      <c r="A620" t="n">
        <v>433</v>
      </c>
      <c r="B620" t="inlineStr">
        <is>
          <t>Casa independiente</t>
        </is>
      </c>
      <c r="C620" t="inlineStr">
        <is>
          <t>https://www.idealista.com/inmueble/104947018/</t>
        </is>
      </c>
      <c r="E620" t="n">
        <v>6</v>
      </c>
      <c r="H620" t="n">
        <v>649</v>
      </c>
      <c r="J620" t="inlineStr">
        <is>
          <t>Colònia de Sant Pere, Arta</t>
        </is>
      </c>
      <c r="K620" t="n">
        <v>70</v>
      </c>
      <c r="L620" t="n">
        <v>60</v>
      </c>
      <c r="M620" t="n">
        <v>65.40000000000001</v>
      </c>
      <c r="N620" t="n">
        <v>63</v>
      </c>
      <c r="O620" t="n">
        <v>105.9</v>
      </c>
      <c r="P620" t="n">
        <v>84</v>
      </c>
      <c r="Q620" t="n">
        <v>63.1</v>
      </c>
      <c r="R620" t="n">
        <v>60</v>
      </c>
      <c r="S620" t="n">
        <v>3000000</v>
      </c>
      <c r="T620" t="n">
        <v>4622</v>
      </c>
      <c r="AH620" t="inlineStr">
        <is>
          <t>Quelle: Idealista</t>
        </is>
      </c>
    </row>
    <row r="621">
      <c r="A621" t="n">
        <v>434</v>
      </c>
      <c r="B621" t="inlineStr">
        <is>
          <t>Casa independiente</t>
        </is>
      </c>
      <c r="C621" t="inlineStr">
        <is>
          <t>https://www.idealista.com/inmueble/104881759/</t>
        </is>
      </c>
      <c r="E621" t="n">
        <v>6</v>
      </c>
      <c r="H621" t="n">
        <v>685</v>
      </c>
      <c r="J621" t="inlineStr">
        <is>
          <t>Colònia de Sant Pere, Arta</t>
        </is>
      </c>
      <c r="K621" t="n">
        <v>70</v>
      </c>
      <c r="L621" t="n">
        <v>60</v>
      </c>
      <c r="M621" t="n">
        <v>65.40000000000001</v>
      </c>
      <c r="N621" t="n">
        <v>63</v>
      </c>
      <c r="O621" t="n">
        <v>105.9</v>
      </c>
      <c r="P621" t="n">
        <v>84</v>
      </c>
      <c r="Q621" t="n">
        <v>63.1</v>
      </c>
      <c r="R621" t="n">
        <v>60</v>
      </c>
      <c r="S621" t="n">
        <v>3000000</v>
      </c>
      <c r="T621" t="n">
        <v>4380</v>
      </c>
      <c r="AH621" t="inlineStr">
        <is>
          <t>Quelle: Idealista</t>
        </is>
      </c>
    </row>
    <row r="622">
      <c r="A622" t="n">
        <v>435</v>
      </c>
      <c r="B622" t="inlineStr">
        <is>
          <t>Finca rústica</t>
        </is>
      </c>
      <c r="C622" t="inlineStr">
        <is>
          <t>https://www.idealista.com/inmueble/102112386/</t>
        </is>
      </c>
      <c r="E622" t="n">
        <v>6</v>
      </c>
      <c r="H622" t="n">
        <v>600</v>
      </c>
      <c r="J622" t="inlineStr">
        <is>
          <t>Artà, Arta</t>
        </is>
      </c>
      <c r="K622" t="n">
        <v>68.3</v>
      </c>
      <c r="L622" t="n">
        <v>61</v>
      </c>
      <c r="M622" t="n">
        <v>63.7</v>
      </c>
      <c r="N622" t="n">
        <v>64</v>
      </c>
      <c r="O622" t="n">
        <v>102.6</v>
      </c>
      <c r="P622" t="n">
        <v>86</v>
      </c>
      <c r="Q622" t="n">
        <v>61.4</v>
      </c>
      <c r="R622" t="n">
        <v>61</v>
      </c>
      <c r="S622" t="n">
        <v>4700000</v>
      </c>
      <c r="T622" t="n">
        <v>7833</v>
      </c>
      <c r="AH622" t="inlineStr">
        <is>
          <t>Quelle: Idealista</t>
        </is>
      </c>
    </row>
    <row r="623">
      <c r="A623" t="n">
        <v>436</v>
      </c>
      <c r="B623" t="inlineStr">
        <is>
          <t>Casa rural</t>
        </is>
      </c>
      <c r="C623" t="inlineStr">
        <is>
          <t>https://www.idealista.com/inmueble/101103737/</t>
        </is>
      </c>
      <c r="E623" t="n">
        <v>6</v>
      </c>
      <c r="H623" t="n">
        <v>854</v>
      </c>
      <c r="J623" t="inlineStr">
        <is>
          <t>Colònia de Sant Pere, Arta</t>
        </is>
      </c>
      <c r="K623" t="n">
        <v>70</v>
      </c>
      <c r="L623" t="n">
        <v>60</v>
      </c>
      <c r="M623" t="n">
        <v>65.40000000000001</v>
      </c>
      <c r="N623" t="n">
        <v>63</v>
      </c>
      <c r="O623" t="n">
        <v>105.9</v>
      </c>
      <c r="P623" t="n">
        <v>84</v>
      </c>
      <c r="Q623" t="n">
        <v>63.1</v>
      </c>
      <c r="R623" t="n">
        <v>60</v>
      </c>
      <c r="S623" t="n">
        <v>4700000</v>
      </c>
      <c r="T623" t="n">
        <v>5504</v>
      </c>
      <c r="AH623" t="inlineStr">
        <is>
          <t>Quelle: Idealista</t>
        </is>
      </c>
    </row>
    <row r="624">
      <c r="A624" t="n">
        <v>437</v>
      </c>
      <c r="B624" t="inlineStr">
        <is>
          <t>Chalet</t>
        </is>
      </c>
      <c r="C624" t="inlineStr">
        <is>
          <t>https://www.idealista.com/inmueble/97109074/</t>
        </is>
      </c>
      <c r="E624" t="n">
        <v>8</v>
      </c>
      <c r="H624" t="n">
        <v>936</v>
      </c>
      <c r="J624" t="inlineStr">
        <is>
          <t>Artà, Arta</t>
        </is>
      </c>
      <c r="K624" t="n">
        <v>68.3</v>
      </c>
      <c r="L624" t="n">
        <v>61</v>
      </c>
      <c r="M624" t="n">
        <v>63.7</v>
      </c>
      <c r="N624" t="n">
        <v>64</v>
      </c>
      <c r="O624" t="n">
        <v>102.6</v>
      </c>
      <c r="P624" t="n">
        <v>86</v>
      </c>
      <c r="Q624" t="n">
        <v>61.4</v>
      </c>
      <c r="R624" t="n">
        <v>61</v>
      </c>
      <c r="S624" t="n">
        <v>3400000</v>
      </c>
      <c r="T624" t="n">
        <v>3632</v>
      </c>
      <c r="AH624" t="inlineStr">
        <is>
          <t>Quelle: Idealista</t>
        </is>
      </c>
    </row>
    <row r="625">
      <c r="A625" t="n">
        <v>438</v>
      </c>
      <c r="B625" t="inlineStr">
        <is>
          <t>Casa independiente</t>
        </is>
      </c>
      <c r="C625" t="inlineStr">
        <is>
          <t>https://www.idealista.com/inmueble/92265239/</t>
        </is>
      </c>
      <c r="E625" t="n">
        <v>8</v>
      </c>
      <c r="H625" t="n">
        <v>1123</v>
      </c>
      <c r="J625" t="inlineStr">
        <is>
          <t>Artà, Arta</t>
        </is>
      </c>
      <c r="K625" t="n">
        <v>68.3</v>
      </c>
      <c r="L625" t="n">
        <v>61</v>
      </c>
      <c r="M625" t="n">
        <v>63.7</v>
      </c>
      <c r="N625" t="n">
        <v>64</v>
      </c>
      <c r="O625" t="n">
        <v>102.6</v>
      </c>
      <c r="P625" t="n">
        <v>86</v>
      </c>
      <c r="Q625" t="n">
        <v>61.4</v>
      </c>
      <c r="R625" t="n">
        <v>61</v>
      </c>
      <c r="S625" t="n">
        <v>3400000</v>
      </c>
      <c r="T625" t="n">
        <v>3028</v>
      </c>
      <c r="AH625" t="inlineStr">
        <is>
          <t>Quelle: Idealista</t>
        </is>
      </c>
    </row>
    <row r="626">
      <c r="A626" t="n">
        <v>439</v>
      </c>
      <c r="B626" t="inlineStr">
        <is>
          <t>Casa independiente</t>
        </is>
      </c>
      <c r="C626" t="inlineStr">
        <is>
          <t>https://www.idealista.com/inmueble/108858113/</t>
        </is>
      </c>
      <c r="E626" t="n">
        <v>6</v>
      </c>
      <c r="H626" t="n">
        <v>376</v>
      </c>
      <c r="J626" t="inlineStr">
        <is>
          <t>Bañalbufar</t>
        </is>
      </c>
      <c r="K626" t="n">
        <v>35.3</v>
      </c>
      <c r="L626" t="n">
        <v>44</v>
      </c>
      <c r="M626" t="n">
        <v>78.09999999999999</v>
      </c>
      <c r="N626" t="n">
        <v>77</v>
      </c>
      <c r="O626" t="n">
        <v>26.9</v>
      </c>
      <c r="P626" t="n">
        <v>43</v>
      </c>
      <c r="Q626" t="n">
        <v>75.8</v>
      </c>
      <c r="R626" t="n">
        <v>73</v>
      </c>
      <c r="S626" t="n">
        <v>6290000</v>
      </c>
      <c r="T626" t="n">
        <v>16729</v>
      </c>
      <c r="AH626" t="inlineStr">
        <is>
          <t>Quelle: Idealista</t>
        </is>
      </c>
    </row>
    <row r="627">
      <c r="A627" t="n">
        <v>440</v>
      </c>
      <c r="B627" t="inlineStr">
        <is>
          <t>Casa independiente en calle Font</t>
        </is>
      </c>
      <c r="C627" t="inlineStr">
        <is>
          <t>https://www.idealista.com/inmueble/108600828/</t>
        </is>
      </c>
      <c r="E627" t="n">
        <v>6</v>
      </c>
      <c r="H627" t="n">
        <v>688</v>
      </c>
      <c r="J627" t="inlineStr">
        <is>
          <t>Bañalbufar</t>
        </is>
      </c>
      <c r="K627" t="n">
        <v>35.3</v>
      </c>
      <c r="L627" t="n">
        <v>44</v>
      </c>
      <c r="M627" t="n">
        <v>78.09999999999999</v>
      </c>
      <c r="N627" t="n">
        <v>77</v>
      </c>
      <c r="O627" t="n">
        <v>26.9</v>
      </c>
      <c r="P627" t="n">
        <v>43</v>
      </c>
      <c r="Q627" t="n">
        <v>75.8</v>
      </c>
      <c r="R627" t="n">
        <v>73</v>
      </c>
      <c r="S627" t="n">
        <v>6290000</v>
      </c>
      <c r="T627" t="n">
        <v>9142</v>
      </c>
      <c r="AH627" t="inlineStr">
        <is>
          <t>Quelle: Idealista</t>
        </is>
      </c>
    </row>
    <row r="628">
      <c r="A628" t="n">
        <v>441</v>
      </c>
      <c r="B628" t="inlineStr">
        <is>
          <t>Casa independiente</t>
        </is>
      </c>
      <c r="C628" t="inlineStr">
        <is>
          <t>https://www.idealista.com/inmueble/108295303/</t>
        </is>
      </c>
      <c r="E628" t="n">
        <v>6</v>
      </c>
      <c r="H628" t="n">
        <v>680</v>
      </c>
      <c r="J628" t="inlineStr">
        <is>
          <t>Bañalbufar</t>
        </is>
      </c>
      <c r="K628" t="n">
        <v>35.3</v>
      </c>
      <c r="L628" t="n">
        <v>44</v>
      </c>
      <c r="M628" t="n">
        <v>78.09999999999999</v>
      </c>
      <c r="N628" t="n">
        <v>77</v>
      </c>
      <c r="O628" t="n">
        <v>26.9</v>
      </c>
      <c r="P628" t="n">
        <v>43</v>
      </c>
      <c r="Q628" t="n">
        <v>75.8</v>
      </c>
      <c r="R628" t="n">
        <v>73</v>
      </c>
      <c r="S628" t="n">
        <v>6295000</v>
      </c>
      <c r="T628" t="n">
        <v>9257</v>
      </c>
      <c r="AH628" t="inlineStr">
        <is>
          <t>Quelle: Idealista</t>
        </is>
      </c>
    </row>
    <row r="629">
      <c r="A629" t="n">
        <v>442</v>
      </c>
      <c r="B629" t="inlineStr">
        <is>
          <t>Chalet</t>
        </is>
      </c>
      <c r="C629" t="inlineStr">
        <is>
          <t>https://www.idealista.com/inmueble/99040413/</t>
        </is>
      </c>
      <c r="E629" t="n">
        <v>5</v>
      </c>
      <c r="H629" t="n">
        <v>314</v>
      </c>
      <c r="J629" t="inlineStr">
        <is>
          <t>Bañalbufar</t>
        </is>
      </c>
      <c r="K629" t="n">
        <v>35.3</v>
      </c>
      <c r="L629" t="n">
        <v>44</v>
      </c>
      <c r="M629" t="n">
        <v>78.09999999999999</v>
      </c>
      <c r="N629" t="n">
        <v>77</v>
      </c>
      <c r="O629" t="n">
        <v>26.9</v>
      </c>
      <c r="P629" t="n">
        <v>43</v>
      </c>
      <c r="Q629" t="n">
        <v>75.8</v>
      </c>
      <c r="R629" t="n">
        <v>73</v>
      </c>
      <c r="S629" t="n">
        <v>6290000</v>
      </c>
      <c r="T629" t="n">
        <v>20032</v>
      </c>
      <c r="AH629" t="inlineStr">
        <is>
          <t>Quelle: Idealista</t>
        </is>
      </c>
    </row>
    <row r="630">
      <c r="A630" t="n">
        <v>443</v>
      </c>
      <c r="B630" t="inlineStr">
        <is>
          <t>Casa rural</t>
        </is>
      </c>
      <c r="C630" t="inlineStr">
        <is>
          <t>https://www.idealista.com/inmueble/110296054/</t>
        </is>
      </c>
      <c r="E630" t="n">
        <v>6</v>
      </c>
      <c r="H630" t="n">
        <v>1058</v>
      </c>
      <c r="J630" t="inlineStr">
        <is>
          <t>Binissalem</t>
        </is>
      </c>
      <c r="K630" t="n">
        <v>31.5</v>
      </c>
      <c r="L630" t="n">
        <v>29</v>
      </c>
      <c r="M630" t="n">
        <v>74.3</v>
      </c>
      <c r="N630" t="n">
        <v>62</v>
      </c>
      <c r="O630" t="n">
        <v>54.1</v>
      </c>
      <c r="P630" t="n">
        <v>45</v>
      </c>
      <c r="Q630" t="n">
        <v>72</v>
      </c>
      <c r="R630" t="n">
        <v>58</v>
      </c>
      <c r="S630" t="n">
        <v>4950000</v>
      </c>
      <c r="T630" t="n">
        <v>4679</v>
      </c>
      <c r="AH630" t="inlineStr">
        <is>
          <t>Quelle: Idealista</t>
        </is>
      </c>
    </row>
    <row r="631">
      <c r="A631" t="n">
        <v>444</v>
      </c>
      <c r="B631" t="inlineStr">
        <is>
          <t>Finca rústica</t>
        </is>
      </c>
      <c r="C631" t="inlineStr">
        <is>
          <t>https://www.idealista.com/inmueble/110126792/</t>
        </is>
      </c>
      <c r="E631" t="n">
        <v>8</v>
      </c>
      <c r="H631" t="n">
        <v>384</v>
      </c>
      <c r="J631" t="inlineStr">
        <is>
          <t>Binissalem</t>
        </is>
      </c>
      <c r="K631" t="n">
        <v>31.5</v>
      </c>
      <c r="L631" t="n">
        <v>29</v>
      </c>
      <c r="M631" t="n">
        <v>74.3</v>
      </c>
      <c r="N631" t="n">
        <v>62</v>
      </c>
      <c r="O631" t="n">
        <v>54.1</v>
      </c>
      <c r="P631" t="n">
        <v>45</v>
      </c>
      <c r="Q631" t="n">
        <v>72</v>
      </c>
      <c r="R631" t="n">
        <v>58</v>
      </c>
      <c r="S631" t="n">
        <v>3400000</v>
      </c>
      <c r="T631" t="n">
        <v>8854</v>
      </c>
      <c r="AH631" t="inlineStr">
        <is>
          <t>Quelle: Idealista</t>
        </is>
      </c>
    </row>
    <row r="632">
      <c r="A632" t="n">
        <v>445</v>
      </c>
      <c r="B632" t="inlineStr">
        <is>
          <t>Casa rural</t>
        </is>
      </c>
      <c r="C632" t="inlineStr">
        <is>
          <t>https://www.idealista.com/inmueble/109473280/</t>
        </is>
      </c>
      <c r="E632" t="n">
        <v>8</v>
      </c>
      <c r="H632" t="n">
        <v>403</v>
      </c>
      <c r="J632" t="inlineStr">
        <is>
          <t>Binissalem</t>
        </is>
      </c>
      <c r="K632" t="n">
        <v>31.5</v>
      </c>
      <c r="L632" t="n">
        <v>29</v>
      </c>
      <c r="M632" t="n">
        <v>74.3</v>
      </c>
      <c r="N632" t="n">
        <v>62</v>
      </c>
      <c r="O632" t="n">
        <v>54.1</v>
      </c>
      <c r="P632" t="n">
        <v>45</v>
      </c>
      <c r="Q632" t="n">
        <v>72</v>
      </c>
      <c r="R632" t="n">
        <v>58</v>
      </c>
      <c r="S632" t="n">
        <v>3400000</v>
      </c>
      <c r="T632" t="n">
        <v>8437</v>
      </c>
      <c r="AH632" t="inlineStr">
        <is>
          <t>Quelle: Idealista</t>
        </is>
      </c>
    </row>
    <row r="633">
      <c r="A633" t="n">
        <v>446</v>
      </c>
      <c r="B633" t="inlineStr">
        <is>
          <t>Masía</t>
        </is>
      </c>
      <c r="C633" t="inlineStr">
        <is>
          <t>https://www.idealista.com/inmueble/109920405/</t>
        </is>
      </c>
      <c r="E633" t="n">
        <v>8</v>
      </c>
      <c r="H633" t="n">
        <v>472</v>
      </c>
      <c r="J633" t="inlineStr">
        <is>
          <t>Binissalem</t>
        </is>
      </c>
      <c r="K633" t="n">
        <v>31.5</v>
      </c>
      <c r="L633" t="n">
        <v>29</v>
      </c>
      <c r="M633" t="n">
        <v>74.3</v>
      </c>
      <c r="N633" t="n">
        <v>62</v>
      </c>
      <c r="O633" t="n">
        <v>54.1</v>
      </c>
      <c r="P633" t="n">
        <v>45</v>
      </c>
      <c r="Q633" t="n">
        <v>72</v>
      </c>
      <c r="R633" t="n">
        <v>58</v>
      </c>
      <c r="S633" t="n">
        <v>3400000</v>
      </c>
      <c r="T633" t="n">
        <v>7203</v>
      </c>
      <c r="AH633" t="inlineStr">
        <is>
          <t>Quelle: Idealista</t>
        </is>
      </c>
    </row>
    <row r="634">
      <c r="A634" t="n">
        <v>447</v>
      </c>
      <c r="B634" t="inlineStr">
        <is>
          <t>Casa rural</t>
        </is>
      </c>
      <c r="C634" t="inlineStr">
        <is>
          <t>https://www.idealista.com/inmueble/109667994/</t>
        </is>
      </c>
      <c r="E634" t="n">
        <v>8</v>
      </c>
      <c r="H634" t="n">
        <v>432</v>
      </c>
      <c r="J634" t="inlineStr">
        <is>
          <t>Binissalem</t>
        </is>
      </c>
      <c r="K634" t="n">
        <v>31.5</v>
      </c>
      <c r="L634" t="n">
        <v>29</v>
      </c>
      <c r="M634" t="n">
        <v>74.3</v>
      </c>
      <c r="N634" t="n">
        <v>62</v>
      </c>
      <c r="O634" t="n">
        <v>54.1</v>
      </c>
      <c r="P634" t="n">
        <v>45</v>
      </c>
      <c r="Q634" t="n">
        <v>72</v>
      </c>
      <c r="R634" t="n">
        <v>58</v>
      </c>
      <c r="S634" t="n">
        <v>3900000</v>
      </c>
      <c r="T634" t="n">
        <v>9028</v>
      </c>
      <c r="AH634" t="inlineStr">
        <is>
          <t>Quelle: Idealista</t>
        </is>
      </c>
    </row>
    <row r="635">
      <c r="A635" t="n">
        <v>448</v>
      </c>
      <c r="B635" t="inlineStr">
        <is>
          <t>Finca rústica</t>
        </is>
      </c>
      <c r="C635" t="inlineStr">
        <is>
          <t>https://www.idealista.com/inmueble/108828908/</t>
        </is>
      </c>
      <c r="E635" t="n">
        <v>8</v>
      </c>
      <c r="H635" t="n">
        <v>400</v>
      </c>
      <c r="J635" t="inlineStr">
        <is>
          <t>Binissalem</t>
        </is>
      </c>
      <c r="K635" t="n">
        <v>31.5</v>
      </c>
      <c r="L635" t="n">
        <v>29</v>
      </c>
      <c r="M635" t="n">
        <v>74.3</v>
      </c>
      <c r="N635" t="n">
        <v>62</v>
      </c>
      <c r="O635" t="n">
        <v>54.1</v>
      </c>
      <c r="P635" t="n">
        <v>45</v>
      </c>
      <c r="Q635" t="n">
        <v>72</v>
      </c>
      <c r="R635" t="n">
        <v>58</v>
      </c>
      <c r="S635" t="n">
        <v>3400000</v>
      </c>
      <c r="T635" t="n">
        <v>8500</v>
      </c>
      <c r="AH635" t="inlineStr">
        <is>
          <t>Quelle: Idealista</t>
        </is>
      </c>
    </row>
    <row r="636">
      <c r="A636" t="n">
        <v>449</v>
      </c>
      <c r="B636" t="inlineStr">
        <is>
          <t>Casa rural en calle de Sant Jordi</t>
        </is>
      </c>
      <c r="C636" t="inlineStr">
        <is>
          <t>https://www.idealista.com/inmueble/108949451/</t>
        </is>
      </c>
      <c r="E636" t="n">
        <v>8</v>
      </c>
      <c r="H636" t="n">
        <v>472</v>
      </c>
      <c r="J636" t="inlineStr">
        <is>
          <t>Binissalem</t>
        </is>
      </c>
      <c r="K636" t="n">
        <v>31.5</v>
      </c>
      <c r="L636" t="n">
        <v>29</v>
      </c>
      <c r="M636" t="n">
        <v>74.3</v>
      </c>
      <c r="N636" t="n">
        <v>62</v>
      </c>
      <c r="O636" t="n">
        <v>54.1</v>
      </c>
      <c r="P636" t="n">
        <v>45</v>
      </c>
      <c r="Q636" t="n">
        <v>72</v>
      </c>
      <c r="R636" t="n">
        <v>58</v>
      </c>
      <c r="S636" t="n">
        <v>3400000</v>
      </c>
      <c r="T636" t="n">
        <v>7203</v>
      </c>
      <c r="AH636" t="inlineStr">
        <is>
          <t>Quelle: Idealista</t>
        </is>
      </c>
    </row>
    <row r="637">
      <c r="A637" t="n">
        <v>450</v>
      </c>
      <c r="B637" t="inlineStr">
        <is>
          <t>Finca rústica</t>
        </is>
      </c>
      <c r="C637" t="inlineStr">
        <is>
          <t>https://www.idealista.com/inmueble/108914364/</t>
        </is>
      </c>
      <c r="E637" t="n">
        <v>8</v>
      </c>
      <c r="H637" t="n">
        <v>475</v>
      </c>
      <c r="J637" t="inlineStr">
        <is>
          <t>Binissalem</t>
        </is>
      </c>
      <c r="K637" t="n">
        <v>31.5</v>
      </c>
      <c r="L637" t="n">
        <v>29</v>
      </c>
      <c r="M637" t="n">
        <v>74.3</v>
      </c>
      <c r="N637" t="n">
        <v>62</v>
      </c>
      <c r="O637" t="n">
        <v>54.1</v>
      </c>
      <c r="P637" t="n">
        <v>45</v>
      </c>
      <c r="Q637" t="n">
        <v>72</v>
      </c>
      <c r="R637" t="n">
        <v>58</v>
      </c>
      <c r="S637" t="n">
        <v>3900000</v>
      </c>
      <c r="T637" t="n">
        <v>8211</v>
      </c>
      <c r="AH637" t="inlineStr">
        <is>
          <t>Quelle: Idealista</t>
        </is>
      </c>
    </row>
    <row r="638">
      <c r="A638" t="n">
        <v>451</v>
      </c>
      <c r="B638" t="inlineStr">
        <is>
          <t>Finca rústica</t>
        </is>
      </c>
      <c r="C638" t="inlineStr">
        <is>
          <t>https://www.idealista.com/inmueble/108911857/</t>
        </is>
      </c>
      <c r="E638" t="n">
        <v>8</v>
      </c>
      <c r="H638" t="n">
        <v>336</v>
      </c>
      <c r="J638" t="inlineStr">
        <is>
          <t>Binissalem</t>
        </is>
      </c>
      <c r="K638" t="n">
        <v>31.5</v>
      </c>
      <c r="L638" t="n">
        <v>29</v>
      </c>
      <c r="M638" t="n">
        <v>74.3</v>
      </c>
      <c r="N638" t="n">
        <v>62</v>
      </c>
      <c r="O638" t="n">
        <v>54.1</v>
      </c>
      <c r="P638" t="n">
        <v>45</v>
      </c>
      <c r="Q638" t="n">
        <v>72</v>
      </c>
      <c r="R638" t="n">
        <v>58</v>
      </c>
      <c r="S638" t="n">
        <v>3900000</v>
      </c>
      <c r="T638" t="n">
        <v>11607</v>
      </c>
      <c r="AH638" t="inlineStr">
        <is>
          <t>Quelle: Idealista</t>
        </is>
      </c>
    </row>
    <row r="639">
      <c r="A639" t="n">
        <v>452</v>
      </c>
      <c r="B639" t="inlineStr">
        <is>
          <t>Casa rural</t>
        </is>
      </c>
      <c r="C639" t="inlineStr">
        <is>
          <t>https://www.idealista.com/inmueble/102228753/</t>
        </is>
      </c>
      <c r="E639" t="n">
        <v>10</v>
      </c>
      <c r="H639" t="n">
        <v>1800</v>
      </c>
      <c r="J639" t="inlineStr">
        <is>
          <t>Binissalem</t>
        </is>
      </c>
      <c r="K639" t="n">
        <v>31.5</v>
      </c>
      <c r="L639" t="n">
        <v>29</v>
      </c>
      <c r="M639" t="n">
        <v>74.3</v>
      </c>
      <c r="N639" t="n">
        <v>62</v>
      </c>
      <c r="O639" t="n">
        <v>54.1</v>
      </c>
      <c r="P639" t="n">
        <v>45</v>
      </c>
      <c r="Q639" t="n">
        <v>72</v>
      </c>
      <c r="R639" t="n">
        <v>58</v>
      </c>
      <c r="S639" t="n">
        <v>4500000</v>
      </c>
      <c r="T639" t="n">
        <v>2500</v>
      </c>
      <c r="AH639" t="inlineStr">
        <is>
          <t>Quelle: Idealista</t>
        </is>
      </c>
    </row>
    <row r="640">
      <c r="A640" t="n">
        <v>453</v>
      </c>
      <c r="B640" t="inlineStr">
        <is>
          <t>Chalet en calle de sa Coma</t>
        </is>
      </c>
      <c r="C640" t="inlineStr">
        <is>
          <t>https://www.idealista.com/inmueble/106375370/</t>
        </is>
      </c>
      <c r="E640" t="n">
        <v>8</v>
      </c>
      <c r="H640" t="n">
        <v>1170</v>
      </c>
      <c r="J640" t="inlineStr">
        <is>
          <t>Binissalem</t>
        </is>
      </c>
      <c r="K640" t="n">
        <v>31.5</v>
      </c>
      <c r="L640" t="n">
        <v>29</v>
      </c>
      <c r="M640" t="n">
        <v>74.3</v>
      </c>
      <c r="N640" t="n">
        <v>62</v>
      </c>
      <c r="O640" t="n">
        <v>54.1</v>
      </c>
      <c r="P640" t="n">
        <v>45</v>
      </c>
      <c r="Q640" t="n">
        <v>72</v>
      </c>
      <c r="R640" t="n">
        <v>58</v>
      </c>
      <c r="S640" t="n">
        <v>2500000</v>
      </c>
      <c r="T640" t="n">
        <v>2137</v>
      </c>
      <c r="AH640" t="inlineStr">
        <is>
          <t>Quelle: Idealista</t>
        </is>
      </c>
    </row>
    <row r="641">
      <c r="A641" t="n">
        <v>454</v>
      </c>
      <c r="B641" t="inlineStr">
        <is>
          <t>Casa independiente</t>
        </is>
      </c>
      <c r="C641" t="inlineStr">
        <is>
          <t>https://www.idealista.com/inmueble/105727685/</t>
        </is>
      </c>
      <c r="E641" t="n">
        <v>6</v>
      </c>
      <c r="H641" t="n">
        <v>1400</v>
      </c>
      <c r="J641" t="inlineStr">
        <is>
          <t>Binissalem</t>
        </is>
      </c>
      <c r="K641" t="n">
        <v>31.5</v>
      </c>
      <c r="L641" t="n">
        <v>29</v>
      </c>
      <c r="M641" t="n">
        <v>74.3</v>
      </c>
      <c r="N641" t="n">
        <v>62</v>
      </c>
      <c r="O641" t="n">
        <v>54.1</v>
      </c>
      <c r="P641" t="n">
        <v>45</v>
      </c>
      <c r="Q641" t="n">
        <v>72</v>
      </c>
      <c r="R641" t="n">
        <v>58</v>
      </c>
      <c r="S641" t="n">
        <v>3350000</v>
      </c>
      <c r="T641" t="n">
        <v>2393</v>
      </c>
      <c r="AH641" t="inlineStr">
        <is>
          <t>Quelle: Idealista</t>
        </is>
      </c>
    </row>
    <row r="642">
      <c r="A642" t="n">
        <v>455</v>
      </c>
      <c r="B642" t="inlineStr">
        <is>
          <t>Casa independiente</t>
        </is>
      </c>
      <c r="C642" t="inlineStr">
        <is>
          <t>https://www.idealista.com/inmueble/101945403/</t>
        </is>
      </c>
      <c r="E642" t="n">
        <v>10</v>
      </c>
      <c r="H642" t="n">
        <v>1600</v>
      </c>
      <c r="J642" t="inlineStr">
        <is>
          <t>Binissalem</t>
        </is>
      </c>
      <c r="K642" t="n">
        <v>31.5</v>
      </c>
      <c r="L642" t="n">
        <v>29</v>
      </c>
      <c r="M642" t="n">
        <v>74.3</v>
      </c>
      <c r="N642" t="n">
        <v>62</v>
      </c>
      <c r="O642" t="n">
        <v>54.1</v>
      </c>
      <c r="P642" t="n">
        <v>45</v>
      </c>
      <c r="Q642" t="n">
        <v>72</v>
      </c>
      <c r="R642" t="n">
        <v>58</v>
      </c>
      <c r="S642" t="n">
        <v>4500000</v>
      </c>
      <c r="T642" t="n">
        <v>2812</v>
      </c>
      <c r="AH642" t="inlineStr">
        <is>
          <t>Quelle: Idealista</t>
        </is>
      </c>
    </row>
    <row r="643">
      <c r="A643" t="n">
        <v>456</v>
      </c>
      <c r="B643" t="inlineStr">
        <is>
          <t>Casa rural</t>
        </is>
      </c>
      <c r="C643" t="inlineStr">
        <is>
          <t>https://www.idealista.com/inmueble/93458453/</t>
        </is>
      </c>
      <c r="E643" t="n">
        <v>10</v>
      </c>
      <c r="H643" t="n">
        <v>1803</v>
      </c>
      <c r="J643" t="inlineStr">
        <is>
          <t>Binissalem</t>
        </is>
      </c>
      <c r="K643" t="n">
        <v>31.5</v>
      </c>
      <c r="L643" t="n">
        <v>29</v>
      </c>
      <c r="M643" t="n">
        <v>74.3</v>
      </c>
      <c r="N643" t="n">
        <v>62</v>
      </c>
      <c r="O643" t="n">
        <v>54.1</v>
      </c>
      <c r="P643" t="n">
        <v>45</v>
      </c>
      <c r="Q643" t="n">
        <v>72</v>
      </c>
      <c r="R643" t="n">
        <v>58</v>
      </c>
      <c r="S643" t="n">
        <v>4500000</v>
      </c>
      <c r="T643" t="n">
        <v>2496</v>
      </c>
      <c r="AH643" t="inlineStr">
        <is>
          <t>Quelle: Idealista</t>
        </is>
      </c>
    </row>
    <row r="644">
      <c r="A644" t="n">
        <v>457</v>
      </c>
      <c r="B644" t="inlineStr">
        <is>
          <t>Casa rural</t>
        </is>
      </c>
      <c r="C644" t="inlineStr">
        <is>
          <t>https://www.idealista.com/inmueble/99984954/</t>
        </is>
      </c>
      <c r="E644" t="n">
        <v>10</v>
      </c>
      <c r="H644" t="n">
        <v>1803</v>
      </c>
      <c r="J644" t="inlineStr">
        <is>
          <t>Binissalem</t>
        </is>
      </c>
      <c r="K644" t="n">
        <v>31.5</v>
      </c>
      <c r="L644" t="n">
        <v>29</v>
      </c>
      <c r="M644" t="n">
        <v>74.3</v>
      </c>
      <c r="N644" t="n">
        <v>62</v>
      </c>
      <c r="O644" t="n">
        <v>54.1</v>
      </c>
      <c r="P644" t="n">
        <v>45</v>
      </c>
      <c r="Q644" t="n">
        <v>72</v>
      </c>
      <c r="R644" t="n">
        <v>58</v>
      </c>
      <c r="S644" t="n">
        <v>4500000</v>
      </c>
      <c r="T644" t="n">
        <v>2496</v>
      </c>
      <c r="AH644" t="inlineStr">
        <is>
          <t>Quelle: Idealista</t>
        </is>
      </c>
    </row>
    <row r="645">
      <c r="A645" t="n">
        <v>458</v>
      </c>
      <c r="B645" t="inlineStr">
        <is>
          <t>Casa independiente en calle Major</t>
        </is>
      </c>
      <c r="C645" t="inlineStr">
        <is>
          <t>https://www.idealista.com/inmueble/110378386/</t>
        </is>
      </c>
      <c r="E645" t="n">
        <v>7</v>
      </c>
      <c r="H645" t="n">
        <v>800</v>
      </c>
      <c r="J645" t="inlineStr">
        <is>
          <t>Buger</t>
        </is>
      </c>
      <c r="K645" t="n">
        <v>46.1</v>
      </c>
      <c r="L645" t="n">
        <v>35</v>
      </c>
      <c r="M645" t="n">
        <v>64.2</v>
      </c>
      <c r="N645" t="n">
        <v>62</v>
      </c>
      <c r="O645" t="n">
        <v>68.7</v>
      </c>
      <c r="P645" t="n">
        <v>51</v>
      </c>
      <c r="Q645" t="n">
        <v>61.9</v>
      </c>
      <c r="R645" t="n">
        <v>58</v>
      </c>
      <c r="S645" t="n">
        <v>2195000</v>
      </c>
      <c r="T645" t="n">
        <v>2744</v>
      </c>
      <c r="AH645" t="inlineStr">
        <is>
          <t>Quelle: Idealista</t>
        </is>
      </c>
    </row>
    <row r="646">
      <c r="A646" t="n">
        <v>459</v>
      </c>
      <c r="B646" t="inlineStr">
        <is>
          <t>Casa independiente</t>
        </is>
      </c>
      <c r="C646" t="inlineStr">
        <is>
          <t>https://www.idealista.com/inmueble/102813776/</t>
        </is>
      </c>
      <c r="E646" t="n">
        <v>5</v>
      </c>
      <c r="H646" t="n">
        <v>700</v>
      </c>
      <c r="J646" t="inlineStr">
        <is>
          <t>Buger</t>
        </is>
      </c>
      <c r="K646" t="n">
        <v>46.1</v>
      </c>
      <c r="L646" t="n">
        <v>35</v>
      </c>
      <c r="M646" t="n">
        <v>64.2</v>
      </c>
      <c r="N646" t="n">
        <v>62</v>
      </c>
      <c r="O646" t="n">
        <v>68.7</v>
      </c>
      <c r="P646" t="n">
        <v>51</v>
      </c>
      <c r="Q646" t="n">
        <v>61.9</v>
      </c>
      <c r="R646" t="n">
        <v>58</v>
      </c>
      <c r="S646" t="n">
        <v>2500000</v>
      </c>
      <c r="T646" t="n">
        <v>3571</v>
      </c>
      <c r="AH646" t="inlineStr">
        <is>
          <t>Quelle: Idealista</t>
        </is>
      </c>
    </row>
    <row r="647">
      <c r="A647" t="n">
        <v>460</v>
      </c>
      <c r="B647" t="inlineStr">
        <is>
          <t>Casa independiente</t>
        </is>
      </c>
      <c r="C647" t="inlineStr">
        <is>
          <t>https://www.idealista.com/inmueble/109758839/</t>
        </is>
      </c>
      <c r="E647" t="n">
        <v>5</v>
      </c>
      <c r="H647" t="n">
        <v>326</v>
      </c>
      <c r="J647" t="inlineStr">
        <is>
          <t>Buger</t>
        </is>
      </c>
      <c r="K647" t="n">
        <v>46.1</v>
      </c>
      <c r="L647" t="n">
        <v>35</v>
      </c>
      <c r="M647" t="n">
        <v>64.2</v>
      </c>
      <c r="N647" t="n">
        <v>62</v>
      </c>
      <c r="O647" t="n">
        <v>68.7</v>
      </c>
      <c r="P647" t="n">
        <v>51</v>
      </c>
      <c r="Q647" t="n">
        <v>61.9</v>
      </c>
      <c r="R647" t="n">
        <v>58</v>
      </c>
      <c r="S647" t="n">
        <v>3600000</v>
      </c>
      <c r="T647" t="n">
        <v>11043</v>
      </c>
      <c r="AH647" t="inlineStr">
        <is>
          <t>Quelle: Idealista</t>
        </is>
      </c>
    </row>
    <row r="648">
      <c r="A648" t="n">
        <v>461</v>
      </c>
      <c r="B648" t="inlineStr">
        <is>
          <t>Casa rural</t>
        </is>
      </c>
      <c r="C648" t="inlineStr">
        <is>
          <t>https://www.idealista.com/inmueble/106966994/</t>
        </is>
      </c>
      <c r="E648" t="n">
        <v>5</v>
      </c>
      <c r="H648" t="n">
        <v>550</v>
      </c>
      <c r="J648" t="inlineStr">
        <is>
          <t>Buger</t>
        </is>
      </c>
      <c r="K648" t="n">
        <v>46.1</v>
      </c>
      <c r="L648" t="n">
        <v>35</v>
      </c>
      <c r="M648" t="n">
        <v>64.2</v>
      </c>
      <c r="N648" t="n">
        <v>62</v>
      </c>
      <c r="O648" t="n">
        <v>68.7</v>
      </c>
      <c r="P648" t="n">
        <v>51</v>
      </c>
      <c r="Q648" t="n">
        <v>61.9</v>
      </c>
      <c r="R648" t="n">
        <v>58</v>
      </c>
      <c r="S648" t="n">
        <v>2495000</v>
      </c>
      <c r="T648" t="n">
        <v>4536</v>
      </c>
      <c r="AH648" t="inlineStr">
        <is>
          <t>Quelle: Idealista</t>
        </is>
      </c>
    </row>
    <row r="649">
      <c r="A649" t="n">
        <v>462</v>
      </c>
      <c r="B649" t="inlineStr">
        <is>
          <t>Chalet en plaza de la Constitució</t>
        </is>
      </c>
      <c r="C649" t="inlineStr">
        <is>
          <t>https://www.idealista.com/inmueble/105704396/</t>
        </is>
      </c>
      <c r="E649" t="n">
        <v>5</v>
      </c>
      <c r="H649" t="n">
        <v>700</v>
      </c>
      <c r="J649" t="inlineStr">
        <is>
          <t>Buger</t>
        </is>
      </c>
      <c r="K649" t="n">
        <v>46.1</v>
      </c>
      <c r="L649" t="n">
        <v>35</v>
      </c>
      <c r="M649" t="n">
        <v>64.2</v>
      </c>
      <c r="N649" t="n">
        <v>62</v>
      </c>
      <c r="O649" t="n">
        <v>68.7</v>
      </c>
      <c r="P649" t="n">
        <v>51</v>
      </c>
      <c r="Q649" t="n">
        <v>61.9</v>
      </c>
      <c r="R649" t="n">
        <v>58</v>
      </c>
      <c r="S649" t="n">
        <v>2500000</v>
      </c>
      <c r="T649" t="n">
        <v>3571</v>
      </c>
      <c r="AH649" t="inlineStr">
        <is>
          <t>Quelle: Idealista</t>
        </is>
      </c>
    </row>
    <row r="650">
      <c r="A650" t="n">
        <v>463</v>
      </c>
      <c r="B650" t="inlineStr">
        <is>
          <t>Chalet en Carrer del Rosari</t>
        </is>
      </c>
      <c r="C650" t="inlineStr">
        <is>
          <t>https://www.idealista.com/inmueble/99957813/</t>
        </is>
      </c>
      <c r="E650" t="n">
        <v>5</v>
      </c>
      <c r="H650" t="n">
        <v>700</v>
      </c>
      <c r="J650" t="inlineStr">
        <is>
          <t>Buger</t>
        </is>
      </c>
      <c r="K650" t="n">
        <v>46.1</v>
      </c>
      <c r="L650" t="n">
        <v>35</v>
      </c>
      <c r="M650" t="n">
        <v>64.2</v>
      </c>
      <c r="N650" t="n">
        <v>62</v>
      </c>
      <c r="O650" t="n">
        <v>68.7</v>
      </c>
      <c r="P650" t="n">
        <v>51</v>
      </c>
      <c r="Q650" t="n">
        <v>61.9</v>
      </c>
      <c r="R650" t="n">
        <v>58</v>
      </c>
      <c r="S650" t="n">
        <v>2500000</v>
      </c>
      <c r="T650" t="n">
        <v>3571</v>
      </c>
      <c r="AH650" t="inlineStr">
        <is>
          <t>Quelle: Idealista</t>
        </is>
      </c>
    </row>
    <row r="651">
      <c r="A651" t="n">
        <v>464</v>
      </c>
      <c r="B651" t="inlineStr">
        <is>
          <t>Finca rústica</t>
        </is>
      </c>
      <c r="C651" t="inlineStr">
        <is>
          <t>https://www.idealista.com/inmueble/110029454/</t>
        </is>
      </c>
      <c r="E651" t="n">
        <v>5</v>
      </c>
      <c r="H651" t="n">
        <v>399</v>
      </c>
      <c r="J651" t="inlineStr">
        <is>
          <t>Bunyola</t>
        </is>
      </c>
      <c r="K651" t="n">
        <v>26.3</v>
      </c>
      <c r="L651" t="n">
        <v>25</v>
      </c>
      <c r="M651" t="n">
        <v>69.09999999999999</v>
      </c>
      <c r="N651" t="n">
        <v>58</v>
      </c>
      <c r="O651" t="n">
        <v>48.9</v>
      </c>
      <c r="P651" t="n">
        <v>41</v>
      </c>
      <c r="Q651" t="n">
        <v>66.8</v>
      </c>
      <c r="R651" t="n">
        <v>54</v>
      </c>
      <c r="S651" t="n">
        <v>3250000</v>
      </c>
      <c r="T651" t="n">
        <v>8145</v>
      </c>
      <c r="AH651" t="inlineStr">
        <is>
          <t>Quelle: Idealista</t>
        </is>
      </c>
    </row>
    <row r="652">
      <c r="A652" t="n">
        <v>465</v>
      </c>
      <c r="B652" t="inlineStr">
        <is>
          <t>Chalet</t>
        </is>
      </c>
      <c r="C652" t="inlineStr">
        <is>
          <t>https://www.idealista.com/inmueble/109824403/</t>
        </is>
      </c>
      <c r="E652" t="n">
        <v>5</v>
      </c>
      <c r="H652" t="n">
        <v>438</v>
      </c>
      <c r="J652" t="inlineStr">
        <is>
          <t>Bunyola</t>
        </is>
      </c>
      <c r="K652" t="n">
        <v>26.3</v>
      </c>
      <c r="L652" t="n">
        <v>25</v>
      </c>
      <c r="M652" t="n">
        <v>69.09999999999999</v>
      </c>
      <c r="N652" t="n">
        <v>58</v>
      </c>
      <c r="O652" t="n">
        <v>48.9</v>
      </c>
      <c r="P652" t="n">
        <v>41</v>
      </c>
      <c r="Q652" t="n">
        <v>66.8</v>
      </c>
      <c r="R652" t="n">
        <v>54</v>
      </c>
      <c r="S652" t="n">
        <v>2950000</v>
      </c>
      <c r="T652" t="n">
        <v>6735</v>
      </c>
      <c r="AH652" t="inlineStr">
        <is>
          <t>Quelle: Idealista</t>
        </is>
      </c>
    </row>
    <row r="653">
      <c r="A653" t="n">
        <v>466</v>
      </c>
      <c r="B653" t="inlineStr">
        <is>
          <t>Casa rural</t>
        </is>
      </c>
      <c r="C653" t="inlineStr">
        <is>
          <t>https://www.idealista.com/inmueble/109749288/</t>
        </is>
      </c>
      <c r="E653" t="n">
        <v>6</v>
      </c>
      <c r="H653" t="n">
        <v>320</v>
      </c>
      <c r="J653" t="inlineStr">
        <is>
          <t>Bunyola</t>
        </is>
      </c>
      <c r="K653" t="n">
        <v>26.3</v>
      </c>
      <c r="L653" t="n">
        <v>25</v>
      </c>
      <c r="M653" t="n">
        <v>69.09999999999999</v>
      </c>
      <c r="N653" t="n">
        <v>58</v>
      </c>
      <c r="O653" t="n">
        <v>48.9</v>
      </c>
      <c r="P653" t="n">
        <v>41</v>
      </c>
      <c r="Q653" t="n">
        <v>66.8</v>
      </c>
      <c r="R653" t="n">
        <v>54</v>
      </c>
      <c r="S653" t="n">
        <v>2100000</v>
      </c>
      <c r="T653" t="n">
        <v>6562</v>
      </c>
      <c r="AH653" t="inlineStr">
        <is>
          <t>Quelle: Idealista</t>
        </is>
      </c>
    </row>
    <row r="654">
      <c r="A654" t="n">
        <v>467</v>
      </c>
      <c r="B654" t="inlineStr">
        <is>
          <t>Casa independiente</t>
        </is>
      </c>
      <c r="C654" t="inlineStr">
        <is>
          <t>https://www.idealista.com/inmueble/109738832/</t>
        </is>
      </c>
      <c r="E654" t="n">
        <v>5</v>
      </c>
      <c r="H654" t="n">
        <v>303</v>
      </c>
      <c r="J654" t="inlineStr">
        <is>
          <t>Bunyola</t>
        </is>
      </c>
      <c r="K654" t="n">
        <v>26.3</v>
      </c>
      <c r="L654" t="n">
        <v>25</v>
      </c>
      <c r="M654" t="n">
        <v>69.09999999999999</v>
      </c>
      <c r="N654" t="n">
        <v>58</v>
      </c>
      <c r="O654" t="n">
        <v>48.9</v>
      </c>
      <c r="P654" t="n">
        <v>41</v>
      </c>
      <c r="Q654" t="n">
        <v>66.8</v>
      </c>
      <c r="R654" t="n">
        <v>54</v>
      </c>
      <c r="S654" t="n">
        <v>2295000</v>
      </c>
      <c r="T654" t="n">
        <v>7574</v>
      </c>
      <c r="AH654" t="inlineStr">
        <is>
          <t>Quelle: Idealista</t>
        </is>
      </c>
    </row>
    <row r="655">
      <c r="A655" t="n">
        <v>468</v>
      </c>
      <c r="B655" t="inlineStr">
        <is>
          <t>Casa independiente</t>
        </is>
      </c>
      <c r="C655" t="inlineStr">
        <is>
          <t>https://www.idealista.com/inmueble/108858110/</t>
        </is>
      </c>
      <c r="E655" t="n">
        <v>6</v>
      </c>
      <c r="H655" t="n">
        <v>556</v>
      </c>
      <c r="J655" t="inlineStr">
        <is>
          <t>Bunyola</t>
        </is>
      </c>
      <c r="K655" t="n">
        <v>26.3</v>
      </c>
      <c r="L655" t="n">
        <v>25</v>
      </c>
      <c r="M655" t="n">
        <v>69.09999999999999</v>
      </c>
      <c r="N655" t="n">
        <v>58</v>
      </c>
      <c r="O655" t="n">
        <v>48.9</v>
      </c>
      <c r="P655" t="n">
        <v>41</v>
      </c>
      <c r="Q655" t="n">
        <v>66.8</v>
      </c>
      <c r="R655" t="n">
        <v>54</v>
      </c>
      <c r="S655" t="n">
        <v>2300000</v>
      </c>
      <c r="T655" t="n">
        <v>4137</v>
      </c>
      <c r="AH655" t="inlineStr">
        <is>
          <t>Quelle: Idealista</t>
        </is>
      </c>
    </row>
    <row r="656">
      <c r="A656" t="n">
        <v>469</v>
      </c>
      <c r="B656" t="inlineStr">
        <is>
          <t>Casa independiente</t>
        </is>
      </c>
      <c r="C656" t="inlineStr">
        <is>
          <t>https://www.idealista.com/inmueble/107835992/</t>
        </is>
      </c>
      <c r="E656" t="n">
        <v>7</v>
      </c>
      <c r="H656" t="n">
        <v>720</v>
      </c>
      <c r="J656" t="inlineStr">
        <is>
          <t>Bunyola</t>
        </is>
      </c>
      <c r="K656" t="n">
        <v>26.3</v>
      </c>
      <c r="L656" t="n">
        <v>25</v>
      </c>
      <c r="M656" t="n">
        <v>69.09999999999999</v>
      </c>
      <c r="N656" t="n">
        <v>58</v>
      </c>
      <c r="O656" t="n">
        <v>48.9</v>
      </c>
      <c r="P656" t="n">
        <v>41</v>
      </c>
      <c r="Q656" t="n">
        <v>66.8</v>
      </c>
      <c r="R656" t="n">
        <v>54</v>
      </c>
      <c r="S656" t="n">
        <v>2300000</v>
      </c>
      <c r="T656" t="n">
        <v>3194</v>
      </c>
      <c r="AH656" t="inlineStr">
        <is>
          <t>Quelle: Idealista</t>
        </is>
      </c>
    </row>
    <row r="657">
      <c r="A657" t="n">
        <v>470</v>
      </c>
      <c r="B657" t="inlineStr">
        <is>
          <t>Casa rural</t>
        </is>
      </c>
      <c r="C657" t="inlineStr">
        <is>
          <t>https://www.idealista.com/inmueble/101581695/</t>
        </is>
      </c>
      <c r="E657" t="n">
        <v>5</v>
      </c>
      <c r="H657" t="n">
        <v>602</v>
      </c>
      <c r="J657" t="inlineStr">
        <is>
          <t>Bunyola</t>
        </is>
      </c>
      <c r="K657" t="n">
        <v>26.3</v>
      </c>
      <c r="L657" t="n">
        <v>25</v>
      </c>
      <c r="M657" t="n">
        <v>69.09999999999999</v>
      </c>
      <c r="N657" t="n">
        <v>58</v>
      </c>
      <c r="O657" t="n">
        <v>48.9</v>
      </c>
      <c r="P657" t="n">
        <v>41</v>
      </c>
      <c r="Q657" t="n">
        <v>66.8</v>
      </c>
      <c r="R657" t="n">
        <v>54</v>
      </c>
      <c r="S657" t="n">
        <v>6500000</v>
      </c>
      <c r="T657" t="n">
        <v>10797</v>
      </c>
      <c r="AH657" t="inlineStr">
        <is>
          <t>Quelle: Idealista</t>
        </is>
      </c>
    </row>
    <row r="658">
      <c r="A658" t="n">
        <v>471</v>
      </c>
      <c r="B658" t="inlineStr">
        <is>
          <t>Casa independiente</t>
        </is>
      </c>
      <c r="C658" t="inlineStr">
        <is>
          <t>https://www.idealista.com/inmueble/106876274/</t>
        </is>
      </c>
      <c r="E658" t="n">
        <v>6</v>
      </c>
      <c r="H658" t="n">
        <v>880</v>
      </c>
      <c r="J658" t="inlineStr">
        <is>
          <t>Bunyola</t>
        </is>
      </c>
      <c r="K658" t="n">
        <v>26.3</v>
      </c>
      <c r="L658" t="n">
        <v>25</v>
      </c>
      <c r="M658" t="n">
        <v>69.09999999999999</v>
      </c>
      <c r="N658" t="n">
        <v>58</v>
      </c>
      <c r="O658" t="n">
        <v>48.9</v>
      </c>
      <c r="P658" t="n">
        <v>41</v>
      </c>
      <c r="Q658" t="n">
        <v>66.8</v>
      </c>
      <c r="R658" t="n">
        <v>54</v>
      </c>
      <c r="S658" t="n">
        <v>2300000</v>
      </c>
      <c r="T658" t="n">
        <v>2614</v>
      </c>
      <c r="AH658" t="inlineStr">
        <is>
          <t>Quelle: Idealista</t>
        </is>
      </c>
    </row>
    <row r="659">
      <c r="A659" t="n">
        <v>472</v>
      </c>
      <c r="B659" t="inlineStr">
        <is>
          <t>Finca rústica en Bunyola</t>
        </is>
      </c>
      <c r="C659" t="inlineStr">
        <is>
          <t>https://www.idealista.com/inmueble/104155327/</t>
        </is>
      </c>
      <c r="E659" t="n">
        <v>6</v>
      </c>
      <c r="H659" t="n">
        <v>380</v>
      </c>
      <c r="J659" t="inlineStr">
        <is>
          <t>Bunyola</t>
        </is>
      </c>
      <c r="K659" t="n">
        <v>26.3</v>
      </c>
      <c r="L659" t="n">
        <v>25</v>
      </c>
      <c r="M659" t="n">
        <v>69.09999999999999</v>
      </c>
      <c r="N659" t="n">
        <v>58</v>
      </c>
      <c r="O659" t="n">
        <v>48.9</v>
      </c>
      <c r="P659" t="n">
        <v>41</v>
      </c>
      <c r="Q659" t="n">
        <v>66.8</v>
      </c>
      <c r="R659" t="n">
        <v>54</v>
      </c>
      <c r="S659" t="n">
        <v>3000000</v>
      </c>
      <c r="T659" t="n">
        <v>7895</v>
      </c>
      <c r="AH659" t="inlineStr">
        <is>
          <t>Quelle: Idealista</t>
        </is>
      </c>
    </row>
    <row r="660">
      <c r="A660" t="n">
        <v>473</v>
      </c>
      <c r="B660" t="inlineStr">
        <is>
          <t>Casa rural</t>
        </is>
      </c>
      <c r="C660" t="inlineStr">
        <is>
          <t>https://www.idealista.com/inmueble/103844334/</t>
        </is>
      </c>
      <c r="E660" t="n">
        <v>5</v>
      </c>
      <c r="H660" t="n">
        <v>333</v>
      </c>
      <c r="J660" t="inlineStr">
        <is>
          <t>Bunyola</t>
        </is>
      </c>
      <c r="K660" t="n">
        <v>26.3</v>
      </c>
      <c r="L660" t="n">
        <v>25</v>
      </c>
      <c r="M660" t="n">
        <v>69.09999999999999</v>
      </c>
      <c r="N660" t="n">
        <v>58</v>
      </c>
      <c r="O660" t="n">
        <v>48.9</v>
      </c>
      <c r="P660" t="n">
        <v>41</v>
      </c>
      <c r="Q660" t="n">
        <v>66.8</v>
      </c>
      <c r="R660" t="n">
        <v>54</v>
      </c>
      <c r="S660" t="n">
        <v>3500000</v>
      </c>
      <c r="T660" t="n">
        <v>10511</v>
      </c>
      <c r="AH660" t="inlineStr">
        <is>
          <t>Quelle: Idealista</t>
        </is>
      </c>
    </row>
    <row r="661">
      <c r="A661" t="n">
        <v>474</v>
      </c>
      <c r="B661" t="inlineStr">
        <is>
          <t>Chalet</t>
        </is>
      </c>
      <c r="C661" t="inlineStr">
        <is>
          <t>https://www.idealista.com/inmueble/102002176/</t>
        </is>
      </c>
      <c r="E661" t="n">
        <v>6</v>
      </c>
      <c r="H661" t="n">
        <v>358</v>
      </c>
      <c r="J661" t="inlineStr">
        <is>
          <t>Bunyola</t>
        </is>
      </c>
      <c r="K661" t="n">
        <v>26.3</v>
      </c>
      <c r="L661" t="n">
        <v>25</v>
      </c>
      <c r="M661" t="n">
        <v>69.09999999999999</v>
      </c>
      <c r="N661" t="n">
        <v>58</v>
      </c>
      <c r="O661" t="n">
        <v>48.9</v>
      </c>
      <c r="P661" t="n">
        <v>41</v>
      </c>
      <c r="Q661" t="n">
        <v>66.8</v>
      </c>
      <c r="R661" t="n">
        <v>54</v>
      </c>
      <c r="S661" t="n">
        <v>2200000</v>
      </c>
      <c r="T661" t="n">
        <v>6145</v>
      </c>
      <c r="AH661" t="inlineStr">
        <is>
          <t>Quelle: Idealista</t>
        </is>
      </c>
    </row>
    <row r="662">
      <c r="A662" t="n">
        <v>475</v>
      </c>
      <c r="B662" t="inlineStr">
        <is>
          <t>Casa rural</t>
        </is>
      </c>
      <c r="C662" t="inlineStr">
        <is>
          <t>https://www.idealista.com/inmueble/94202518/</t>
        </is>
      </c>
      <c r="E662" t="n">
        <v>5</v>
      </c>
      <c r="H662" t="n">
        <v>300</v>
      </c>
      <c r="J662" t="inlineStr">
        <is>
          <t>Bunyola</t>
        </is>
      </c>
      <c r="K662" t="n">
        <v>26.3</v>
      </c>
      <c r="L662" t="n">
        <v>25</v>
      </c>
      <c r="M662" t="n">
        <v>69.09999999999999</v>
      </c>
      <c r="N662" t="n">
        <v>58</v>
      </c>
      <c r="O662" t="n">
        <v>48.9</v>
      </c>
      <c r="P662" t="n">
        <v>41</v>
      </c>
      <c r="Q662" t="n">
        <v>66.8</v>
      </c>
      <c r="R662" t="n">
        <v>54</v>
      </c>
      <c r="S662" t="n">
        <v>3550000</v>
      </c>
      <c r="T662" t="n">
        <v>11833</v>
      </c>
      <c r="AH662" t="inlineStr">
        <is>
          <t>Quelle: Idealista</t>
        </is>
      </c>
    </row>
    <row r="663">
      <c r="A663" t="n">
        <v>476</v>
      </c>
      <c r="B663" t="inlineStr">
        <is>
          <t>Casa rural</t>
        </is>
      </c>
      <c r="C663" t="inlineStr">
        <is>
          <t>https://www.idealista.com/inmueble/93414852/</t>
        </is>
      </c>
      <c r="E663" t="n">
        <v>6</v>
      </c>
      <c r="H663" t="n">
        <v>380</v>
      </c>
      <c r="J663" t="inlineStr">
        <is>
          <t>Bunyola</t>
        </is>
      </c>
      <c r="K663" t="n">
        <v>26.3</v>
      </c>
      <c r="L663" t="n">
        <v>25</v>
      </c>
      <c r="M663" t="n">
        <v>69.09999999999999</v>
      </c>
      <c r="N663" t="n">
        <v>58</v>
      </c>
      <c r="O663" t="n">
        <v>48.9</v>
      </c>
      <c r="P663" t="n">
        <v>41</v>
      </c>
      <c r="Q663" t="n">
        <v>66.8</v>
      </c>
      <c r="R663" t="n">
        <v>54</v>
      </c>
      <c r="S663" t="n">
        <v>3500000</v>
      </c>
      <c r="T663" t="n">
        <v>9211</v>
      </c>
      <c r="AH663" t="inlineStr">
        <is>
          <t>Quelle: Idealista</t>
        </is>
      </c>
    </row>
    <row r="664">
      <c r="A664" t="n">
        <v>477</v>
      </c>
      <c r="B664" t="inlineStr">
        <is>
          <t>Finca rústica en poligono 07</t>
        </is>
      </c>
      <c r="C664" t="inlineStr">
        <is>
          <t>https://www.idealista.com/inmueble/88910494/</t>
        </is>
      </c>
      <c r="E664" t="n">
        <v>5</v>
      </c>
      <c r="H664" t="n">
        <v>300</v>
      </c>
      <c r="J664" t="inlineStr">
        <is>
          <t>Bunyola</t>
        </is>
      </c>
      <c r="K664" t="n">
        <v>26.3</v>
      </c>
      <c r="L664" t="n">
        <v>25</v>
      </c>
      <c r="M664" t="n">
        <v>69.09999999999999</v>
      </c>
      <c r="N664" t="n">
        <v>58</v>
      </c>
      <c r="O664" t="n">
        <v>48.9</v>
      </c>
      <c r="P664" t="n">
        <v>41</v>
      </c>
      <c r="Q664" t="n">
        <v>66.8</v>
      </c>
      <c r="R664" t="n">
        <v>54</v>
      </c>
      <c r="S664" t="n">
        <v>3550000</v>
      </c>
      <c r="T664" t="n">
        <v>11833</v>
      </c>
      <c r="AH664" t="inlineStr">
        <is>
          <t>Quelle: Idealista</t>
        </is>
      </c>
    </row>
    <row r="665">
      <c r="A665" t="n">
        <v>478</v>
      </c>
      <c r="B665" t="inlineStr">
        <is>
          <t>Casa de pueblo</t>
        </is>
      </c>
      <c r="C665" t="inlineStr">
        <is>
          <t>https://www.idealista.com/inmueble/109376576/</t>
        </is>
      </c>
      <c r="E665" t="n">
        <v>5</v>
      </c>
      <c r="H665" t="n">
        <v>522</v>
      </c>
      <c r="J665" t="inlineStr">
        <is>
          <t>Cala Millor</t>
        </is>
      </c>
      <c r="K665" t="n">
        <v>68.5</v>
      </c>
      <c r="L665" t="n">
        <v>58</v>
      </c>
      <c r="M665" t="n">
        <v>49.1</v>
      </c>
      <c r="N665" t="n">
        <v>59</v>
      </c>
      <c r="O665" t="n">
        <v>102.7</v>
      </c>
      <c r="P665" t="n">
        <v>82</v>
      </c>
      <c r="Q665" t="n">
        <v>55</v>
      </c>
      <c r="R665" t="n">
        <v>57</v>
      </c>
      <c r="S665" t="n">
        <v>2900000</v>
      </c>
      <c r="T665" t="n">
        <v>5556</v>
      </c>
      <c r="AH665" t="inlineStr">
        <is>
          <t>Quelle: Idealista</t>
        </is>
      </c>
    </row>
    <row r="666">
      <c r="A666" t="n">
        <v>479</v>
      </c>
      <c r="B666" t="inlineStr">
        <is>
          <t>Chalet adosado en calle de Binicanella</t>
        </is>
      </c>
      <c r="C666" t="inlineStr">
        <is>
          <t>https://www.idealista.com/inmueble/105699932/</t>
        </is>
      </c>
      <c r="E666" t="n">
        <v>20</v>
      </c>
      <c r="H666" t="n">
        <v>1350</v>
      </c>
      <c r="J666" t="inlineStr">
        <is>
          <t>Cala Millor</t>
        </is>
      </c>
      <c r="K666" t="n">
        <v>68.5</v>
      </c>
      <c r="L666" t="n">
        <v>58</v>
      </c>
      <c r="M666" t="n">
        <v>49.1</v>
      </c>
      <c r="N666" t="n">
        <v>59</v>
      </c>
      <c r="O666" t="n">
        <v>102.7</v>
      </c>
      <c r="P666" t="n">
        <v>82</v>
      </c>
      <c r="Q666" t="n">
        <v>55</v>
      </c>
      <c r="R666" t="n">
        <v>57</v>
      </c>
      <c r="S666" t="n">
        <v>2500000</v>
      </c>
      <c r="T666" t="n">
        <v>1852</v>
      </c>
      <c r="AH666" t="inlineStr">
        <is>
          <t>Quelle: Idealista</t>
        </is>
      </c>
    </row>
    <row r="667">
      <c r="A667" t="n">
        <v>480</v>
      </c>
      <c r="B667" t="inlineStr">
        <is>
          <t>Chalet pareado en calle de Son Corb, 1</t>
        </is>
      </c>
      <c r="C667" t="inlineStr">
        <is>
          <t>https://www.idealista.com/inmueble/105299966/</t>
        </is>
      </c>
      <c r="E667" t="n">
        <v>24</v>
      </c>
      <c r="H667" t="n">
        <v>1250</v>
      </c>
      <c r="J667" t="inlineStr">
        <is>
          <t>Cala Millor</t>
        </is>
      </c>
      <c r="K667" t="n">
        <v>68.5</v>
      </c>
      <c r="L667" t="n">
        <v>58</v>
      </c>
      <c r="M667" t="n">
        <v>49.1</v>
      </c>
      <c r="N667" t="n">
        <v>59</v>
      </c>
      <c r="O667" t="n">
        <v>102.7</v>
      </c>
      <c r="P667" t="n">
        <v>82</v>
      </c>
      <c r="Q667" t="n">
        <v>55</v>
      </c>
      <c r="R667" t="n">
        <v>57</v>
      </c>
      <c r="S667" t="n">
        <v>2500000</v>
      </c>
      <c r="T667" t="n">
        <v>2000</v>
      </c>
      <c r="AH667" t="inlineStr">
        <is>
          <t>Quelle: Idealista</t>
        </is>
      </c>
    </row>
    <row r="668">
      <c r="A668" t="n">
        <v>481</v>
      </c>
      <c r="B668" t="inlineStr">
        <is>
          <t>Casa independiente en calle de Pula</t>
        </is>
      </c>
      <c r="C668" t="inlineStr">
        <is>
          <t>https://www.idealista.com/inmueble/104869542/</t>
        </is>
      </c>
      <c r="E668" t="n">
        <v>7</v>
      </c>
      <c r="H668" t="n">
        <v>545</v>
      </c>
      <c r="J668" t="inlineStr">
        <is>
          <t>Cala Millor</t>
        </is>
      </c>
      <c r="K668" t="n">
        <v>68.5</v>
      </c>
      <c r="L668" t="n">
        <v>58</v>
      </c>
      <c r="M668" t="n">
        <v>49.1</v>
      </c>
      <c r="N668" t="n">
        <v>59</v>
      </c>
      <c r="O668" t="n">
        <v>102.7</v>
      </c>
      <c r="P668" t="n">
        <v>82</v>
      </c>
      <c r="Q668" t="n">
        <v>55</v>
      </c>
      <c r="R668" t="n">
        <v>57</v>
      </c>
      <c r="S668" t="n">
        <v>3100000</v>
      </c>
      <c r="T668" t="n">
        <v>5688</v>
      </c>
      <c r="AH668" t="inlineStr">
        <is>
          <t>Quelle: Idealista</t>
        </is>
      </c>
    </row>
    <row r="669">
      <c r="A669" t="n">
        <v>482</v>
      </c>
      <c r="B669" t="inlineStr">
        <is>
          <t>Casa independiente</t>
        </is>
      </c>
      <c r="C669" t="inlineStr">
        <is>
          <t>https://www.idealista.com/inmueble/110413103/</t>
        </is>
      </c>
      <c r="E669" t="n">
        <v>6</v>
      </c>
      <c r="H669" t="n">
        <v>654</v>
      </c>
      <c r="J669" t="inlineStr">
        <is>
          <t>Santa Ponça, Calvià</t>
        </is>
      </c>
      <c r="K669" t="n">
        <v>31.1</v>
      </c>
      <c r="L669" t="n">
        <v>28</v>
      </c>
      <c r="M669" t="n">
        <v>73.90000000000001</v>
      </c>
      <c r="N669" t="n">
        <v>61</v>
      </c>
      <c r="O669" t="n">
        <v>15.2</v>
      </c>
      <c r="P669" t="n">
        <v>19</v>
      </c>
      <c r="Q669" t="n">
        <v>71.59999999999999</v>
      </c>
      <c r="R669" t="n">
        <v>57</v>
      </c>
      <c r="S669" t="n">
        <v>4250000</v>
      </c>
      <c r="T669" t="n">
        <v>6498</v>
      </c>
      <c r="AH669" t="inlineStr">
        <is>
          <t>Quelle: Idealista</t>
        </is>
      </c>
    </row>
    <row r="670">
      <c r="A670" t="n">
        <v>483</v>
      </c>
      <c r="B670" t="inlineStr">
        <is>
          <t>Casa independiente</t>
        </is>
      </c>
      <c r="C670" t="inlineStr">
        <is>
          <t>https://www.idealista.com/inmueble/110398004/</t>
        </is>
      </c>
      <c r="E670" t="n">
        <v>5</v>
      </c>
      <c r="H670" t="n">
        <v>550</v>
      </c>
      <c r="J670" t="inlineStr">
        <is>
          <t>Bendinat, Calvià</t>
        </is>
      </c>
      <c r="K670" t="n">
        <v>23.1</v>
      </c>
      <c r="L670" t="n">
        <v>22</v>
      </c>
      <c r="M670" t="n">
        <v>65.8</v>
      </c>
      <c r="N670" t="n">
        <v>55</v>
      </c>
      <c r="O670" t="n">
        <v>23.2</v>
      </c>
      <c r="P670" t="n">
        <v>23</v>
      </c>
      <c r="Q670" t="n">
        <v>63.5</v>
      </c>
      <c r="R670" t="n">
        <v>51</v>
      </c>
      <c r="S670" t="n">
        <v>6500000</v>
      </c>
      <c r="T670" t="n">
        <v>11818</v>
      </c>
      <c r="AH670" t="inlineStr">
        <is>
          <t>Quelle: Idealista</t>
        </is>
      </c>
    </row>
    <row r="671">
      <c r="A671" t="n">
        <v>484</v>
      </c>
      <c r="B671" t="inlineStr">
        <is>
          <t>Casa independiente</t>
        </is>
      </c>
      <c r="C671" t="inlineStr">
        <is>
          <t>https://www.idealista.com/inmueble/103932756/</t>
        </is>
      </c>
      <c r="E671" t="n">
        <v>5</v>
      </c>
      <c r="H671" t="n">
        <v>540</v>
      </c>
      <c r="J671" t="inlineStr">
        <is>
          <t>Santa Ponça, Calvià</t>
        </is>
      </c>
      <c r="K671" t="n">
        <v>31.1</v>
      </c>
      <c r="L671" t="n">
        <v>28</v>
      </c>
      <c r="M671" t="n">
        <v>73.90000000000001</v>
      </c>
      <c r="N671" t="n">
        <v>61</v>
      </c>
      <c r="O671" t="n">
        <v>15.2</v>
      </c>
      <c r="P671" t="n">
        <v>19</v>
      </c>
      <c r="Q671" t="n">
        <v>71.59999999999999</v>
      </c>
      <c r="R671" t="n">
        <v>57</v>
      </c>
      <c r="S671" t="n">
        <v>5900000</v>
      </c>
      <c r="T671" t="n">
        <v>10926</v>
      </c>
      <c r="AH671" t="inlineStr">
        <is>
          <t>Quelle: Idealista</t>
        </is>
      </c>
    </row>
    <row r="672">
      <c r="A672" t="n">
        <v>485</v>
      </c>
      <c r="B672" t="inlineStr">
        <is>
          <t>Chalet</t>
        </is>
      </c>
      <c r="C672" t="inlineStr">
        <is>
          <t>https://www.idealista.com/inmueble/110376763/</t>
        </is>
      </c>
      <c r="E672" t="n">
        <v>5</v>
      </c>
      <c r="H672" t="n">
        <v>497</v>
      </c>
      <c r="J672" t="inlineStr">
        <is>
          <t>Bendinat, Calvià</t>
        </is>
      </c>
      <c r="K672" t="n">
        <v>23.1</v>
      </c>
      <c r="L672" t="n">
        <v>22</v>
      </c>
      <c r="M672" t="n">
        <v>65.8</v>
      </c>
      <c r="N672" t="n">
        <v>55</v>
      </c>
      <c r="O672" t="n">
        <v>23.2</v>
      </c>
      <c r="P672" t="n">
        <v>23</v>
      </c>
      <c r="Q672" t="n">
        <v>63.5</v>
      </c>
      <c r="R672" t="n">
        <v>51</v>
      </c>
      <c r="S672" t="n">
        <v>3950000</v>
      </c>
      <c r="T672" t="n">
        <v>7948</v>
      </c>
      <c r="AH672" t="inlineStr">
        <is>
          <t>Quelle: Idealista</t>
        </is>
      </c>
    </row>
    <row r="673">
      <c r="A673" t="n">
        <v>486</v>
      </c>
      <c r="B673" t="inlineStr">
        <is>
          <t>Casa independiente en avenida del Rei Jaume I</t>
        </is>
      </c>
      <c r="C673" t="inlineStr">
        <is>
          <t>https://www.idealista.com/inmueble/110373658/</t>
        </is>
      </c>
      <c r="E673" t="n">
        <v>5</v>
      </c>
      <c r="H673" t="n">
        <v>371</v>
      </c>
      <c r="J673" t="inlineStr">
        <is>
          <t>Santa Ponça, Calvià</t>
        </is>
      </c>
      <c r="K673" t="n">
        <v>31.1</v>
      </c>
      <c r="L673" t="n">
        <v>28</v>
      </c>
      <c r="M673" t="n">
        <v>73.90000000000001</v>
      </c>
      <c r="N673" t="n">
        <v>61</v>
      </c>
      <c r="O673" t="n">
        <v>15.2</v>
      </c>
      <c r="P673" t="n">
        <v>19</v>
      </c>
      <c r="Q673" t="n">
        <v>71.59999999999999</v>
      </c>
      <c r="R673" t="n">
        <v>57</v>
      </c>
      <c r="S673" t="n">
        <v>2195000</v>
      </c>
      <c r="T673" t="n">
        <v>5916</v>
      </c>
      <c r="AH673" t="inlineStr">
        <is>
          <t>Quelle: Idealista</t>
        </is>
      </c>
    </row>
    <row r="674">
      <c r="A674" t="n">
        <v>487</v>
      </c>
      <c r="B674" t="inlineStr">
        <is>
          <t>Casa independiente</t>
        </is>
      </c>
      <c r="C674" t="inlineStr">
        <is>
          <t>https://www.idealista.com/inmueble/104336950/</t>
        </is>
      </c>
      <c r="E674" t="n">
        <v>5</v>
      </c>
      <c r="H674" t="n">
        <v>665</v>
      </c>
      <c r="J674" t="inlineStr">
        <is>
          <t>Santa Ponça, Calvià</t>
        </is>
      </c>
      <c r="K674" t="n">
        <v>31.1</v>
      </c>
      <c r="L674" t="n">
        <v>28</v>
      </c>
      <c r="M674" t="n">
        <v>73.90000000000001</v>
      </c>
      <c r="N674" t="n">
        <v>61</v>
      </c>
      <c r="O674" t="n">
        <v>15.2</v>
      </c>
      <c r="P674" t="n">
        <v>19</v>
      </c>
      <c r="Q674" t="n">
        <v>71.59999999999999</v>
      </c>
      <c r="R674" t="n">
        <v>57</v>
      </c>
      <c r="S674" t="n">
        <v>4250000</v>
      </c>
      <c r="T674" t="n">
        <v>6391</v>
      </c>
      <c r="AH674" t="inlineStr">
        <is>
          <t>Quelle: Idealista</t>
        </is>
      </c>
    </row>
    <row r="675">
      <c r="A675" t="n">
        <v>488</v>
      </c>
      <c r="B675" t="inlineStr">
        <is>
          <t>Casa independiente en via Cabrera s/n</t>
        </is>
      </c>
      <c r="C675" t="inlineStr">
        <is>
          <t>https://www.idealista.com/inmueble/109369521/</t>
        </is>
      </c>
      <c r="E675" t="n">
        <v>5</v>
      </c>
      <c r="H675" t="n">
        <v>350</v>
      </c>
      <c r="J675" t="inlineStr">
        <is>
          <t>Santa Ponça, Calvià</t>
        </is>
      </c>
      <c r="K675" t="n">
        <v>31.1</v>
      </c>
      <c r="L675" t="n">
        <v>28</v>
      </c>
      <c r="M675" t="n">
        <v>73.90000000000001</v>
      </c>
      <c r="N675" t="n">
        <v>61</v>
      </c>
      <c r="O675" t="n">
        <v>15.2</v>
      </c>
      <c r="P675" t="n">
        <v>19</v>
      </c>
      <c r="Q675" t="n">
        <v>71.59999999999999</v>
      </c>
      <c r="R675" t="n">
        <v>57</v>
      </c>
      <c r="S675" t="n">
        <v>2750000</v>
      </c>
      <c r="T675" t="n">
        <v>7857</v>
      </c>
      <c r="AH675" t="inlineStr">
        <is>
          <t>Quelle: Idealista</t>
        </is>
      </c>
    </row>
    <row r="676">
      <c r="A676" t="n">
        <v>489</v>
      </c>
      <c r="B676" t="inlineStr">
        <is>
          <t>Casa independiente en Gran Via de Cabrera</t>
        </is>
      </c>
      <c r="C676" t="inlineStr">
        <is>
          <t>https://www.idealista.com/inmueble/110334401/</t>
        </is>
      </c>
      <c r="E676" t="n">
        <v>5</v>
      </c>
      <c r="H676" t="n">
        <v>330</v>
      </c>
      <c r="J676" t="inlineStr">
        <is>
          <t>Santa Ponça, Calvià</t>
        </is>
      </c>
      <c r="K676" t="n">
        <v>31.1</v>
      </c>
      <c r="L676" t="n">
        <v>28</v>
      </c>
      <c r="M676" t="n">
        <v>73.90000000000001</v>
      </c>
      <c r="N676" t="n">
        <v>61</v>
      </c>
      <c r="O676" t="n">
        <v>15.2</v>
      </c>
      <c r="P676" t="n">
        <v>19</v>
      </c>
      <c r="Q676" t="n">
        <v>71.59999999999999</v>
      </c>
      <c r="R676" t="n">
        <v>57</v>
      </c>
      <c r="S676" t="n">
        <v>2550000</v>
      </c>
      <c r="T676" t="n">
        <v>7727</v>
      </c>
      <c r="AH676" t="inlineStr">
        <is>
          <t>Quelle: Idealista</t>
        </is>
      </c>
    </row>
    <row r="677">
      <c r="A677" t="n">
        <v>490</v>
      </c>
      <c r="B677" t="inlineStr">
        <is>
          <t>Casa independiente</t>
        </is>
      </c>
      <c r="C677" t="inlineStr">
        <is>
          <t>https://www.idealista.com/inmueble/98229353/</t>
        </is>
      </c>
      <c r="E677" t="n">
        <v>5</v>
      </c>
      <c r="H677" t="n">
        <v>450</v>
      </c>
      <c r="J677" t="inlineStr">
        <is>
          <t>Cala Vinyes, Calvià</t>
        </is>
      </c>
      <c r="K677" t="n">
        <v>31.5</v>
      </c>
      <c r="L677" t="n">
        <v>31</v>
      </c>
      <c r="M677" t="n">
        <v>74.3</v>
      </c>
      <c r="N677" t="n">
        <v>64</v>
      </c>
      <c r="O677" t="n">
        <v>20.4</v>
      </c>
      <c r="P677" t="n">
        <v>25</v>
      </c>
      <c r="Q677" t="n">
        <v>72</v>
      </c>
      <c r="R677" t="n">
        <v>60</v>
      </c>
      <c r="S677" t="n">
        <v>3250000</v>
      </c>
      <c r="T677" t="n">
        <v>7222</v>
      </c>
      <c r="AH677" t="inlineStr">
        <is>
          <t>Quelle: Idealista</t>
        </is>
      </c>
    </row>
    <row r="678">
      <c r="A678" t="n">
        <v>491</v>
      </c>
      <c r="B678" t="inlineStr">
        <is>
          <t>Casa independiente</t>
        </is>
      </c>
      <c r="C678" t="inlineStr">
        <is>
          <t>https://www.idealista.com/inmueble/109427702/</t>
        </is>
      </c>
      <c r="E678" t="n">
        <v>5</v>
      </c>
      <c r="H678" t="n">
        <v>292</v>
      </c>
      <c r="J678" t="inlineStr">
        <is>
          <t>Costa d'En Blanes, Calvià</t>
        </is>
      </c>
      <c r="K678" t="n">
        <v>23.3</v>
      </c>
      <c r="L678" t="n">
        <v>21</v>
      </c>
      <c r="M678" t="n">
        <v>66.09999999999999</v>
      </c>
      <c r="N678" t="n">
        <v>54</v>
      </c>
      <c r="O678" t="n">
        <v>21</v>
      </c>
      <c r="P678" t="n">
        <v>21</v>
      </c>
      <c r="Q678" t="n">
        <v>63.8</v>
      </c>
      <c r="R678" t="n">
        <v>51</v>
      </c>
      <c r="S678" t="n">
        <v>3900000</v>
      </c>
      <c r="T678" t="n">
        <v>13356</v>
      </c>
      <c r="AH678" t="inlineStr">
        <is>
          <t>Quelle: Idealista</t>
        </is>
      </c>
    </row>
    <row r="679">
      <c r="A679" t="n">
        <v>492</v>
      </c>
      <c r="B679" t="inlineStr">
        <is>
          <t>Chalet en calle de Nunyo Sanç</t>
        </is>
      </c>
      <c r="C679" t="inlineStr">
        <is>
          <t>https://www.idealista.com/inmueble/110293863/</t>
        </is>
      </c>
      <c r="E679" t="n">
        <v>5</v>
      </c>
      <c r="H679" t="n">
        <v>450</v>
      </c>
      <c r="J679" t="inlineStr">
        <is>
          <t>Santa Ponça, Calvià</t>
        </is>
      </c>
      <c r="K679" t="n">
        <v>31.1</v>
      </c>
      <c r="L679" t="n">
        <v>28</v>
      </c>
      <c r="M679" t="n">
        <v>73.90000000000001</v>
      </c>
      <c r="N679" t="n">
        <v>61</v>
      </c>
      <c r="O679" t="n">
        <v>15.2</v>
      </c>
      <c r="P679" t="n">
        <v>19</v>
      </c>
      <c r="Q679" t="n">
        <v>71.59999999999999</v>
      </c>
      <c r="R679" t="n">
        <v>57</v>
      </c>
      <c r="S679" t="n">
        <v>2450000</v>
      </c>
      <c r="T679" t="n">
        <v>5444</v>
      </c>
      <c r="AH679" t="inlineStr">
        <is>
          <t>Quelle: Idealista</t>
        </is>
      </c>
    </row>
    <row r="680">
      <c r="A680" t="n">
        <v>493</v>
      </c>
      <c r="B680" t="inlineStr">
        <is>
          <t>Casa independiente en calle Sant Lluís, 1</t>
        </is>
      </c>
      <c r="C680" t="inlineStr">
        <is>
          <t>https://www.idealista.com/obra-nueva/110289376/</t>
        </is>
      </c>
      <c r="E680" t="n">
        <v>6</v>
      </c>
      <c r="H680" t="n">
        <v>447</v>
      </c>
      <c r="J680" t="inlineStr">
        <is>
          <t>Costa d'En Blanes, Calvià</t>
        </is>
      </c>
      <c r="K680" t="n">
        <v>23.3</v>
      </c>
      <c r="L680" t="n">
        <v>21</v>
      </c>
      <c r="M680" t="n">
        <v>66.09999999999999</v>
      </c>
      <c r="N680" t="n">
        <v>54</v>
      </c>
      <c r="O680" t="n">
        <v>21</v>
      </c>
      <c r="P680" t="n">
        <v>21</v>
      </c>
      <c r="Q680" t="n">
        <v>63.8</v>
      </c>
      <c r="R680" t="n">
        <v>51</v>
      </c>
      <c r="S680" t="n">
        <v>5800000</v>
      </c>
      <c r="T680" t="n">
        <v>12975</v>
      </c>
      <c r="AH680" t="inlineStr">
        <is>
          <t>Quelle: Idealista</t>
        </is>
      </c>
    </row>
    <row r="681">
      <c r="A681" t="n">
        <v>494</v>
      </c>
      <c r="B681" t="inlineStr">
        <is>
          <t>Casa independiente</t>
        </is>
      </c>
      <c r="C681" t="inlineStr">
        <is>
          <t>https://www.idealista.com/inmueble/110252289/</t>
        </is>
      </c>
      <c r="E681" t="n">
        <v>5</v>
      </c>
      <c r="H681" t="n">
        <v>346</v>
      </c>
      <c r="J681" t="inlineStr">
        <is>
          <t>Costa d'En Blanes, Calvià</t>
        </is>
      </c>
      <c r="K681" t="n">
        <v>23.3</v>
      </c>
      <c r="L681" t="n">
        <v>21</v>
      </c>
      <c r="M681" t="n">
        <v>66.09999999999999</v>
      </c>
      <c r="N681" t="n">
        <v>54</v>
      </c>
      <c r="O681" t="n">
        <v>21</v>
      </c>
      <c r="P681" t="n">
        <v>21</v>
      </c>
      <c r="Q681" t="n">
        <v>63.8</v>
      </c>
      <c r="R681" t="n">
        <v>51</v>
      </c>
      <c r="S681" t="n">
        <v>3300000</v>
      </c>
      <c r="T681" t="n">
        <v>9538</v>
      </c>
      <c r="AH681" t="inlineStr">
        <is>
          <t>Quelle: Idealista</t>
        </is>
      </c>
    </row>
    <row r="682">
      <c r="A682" t="n">
        <v>495</v>
      </c>
      <c r="B682" t="inlineStr">
        <is>
          <t>Casa independiente</t>
        </is>
      </c>
      <c r="C682" t="inlineStr">
        <is>
          <t>https://www.idealista.com/inmueble/110239662/</t>
        </is>
      </c>
      <c r="E682" t="n">
        <v>5</v>
      </c>
      <c r="H682" t="n">
        <v>526</v>
      </c>
      <c r="J682" t="inlineStr">
        <is>
          <t>Santa Ponça, Calvià</t>
        </is>
      </c>
      <c r="K682" t="n">
        <v>31.1</v>
      </c>
      <c r="L682" t="n">
        <v>28</v>
      </c>
      <c r="M682" t="n">
        <v>73.90000000000001</v>
      </c>
      <c r="N682" t="n">
        <v>61</v>
      </c>
      <c r="O682" t="n">
        <v>15.2</v>
      </c>
      <c r="P682" t="n">
        <v>19</v>
      </c>
      <c r="Q682" t="n">
        <v>71.59999999999999</v>
      </c>
      <c r="R682" t="n">
        <v>57</v>
      </c>
      <c r="S682" t="n">
        <v>4900000</v>
      </c>
      <c r="T682" t="n">
        <v>9316</v>
      </c>
      <c r="AH682" t="inlineStr">
        <is>
          <t>Quelle: Idealista</t>
        </is>
      </c>
    </row>
    <row r="683">
      <c r="A683" t="n">
        <v>496</v>
      </c>
      <c r="B683" t="inlineStr">
        <is>
          <t>Casa independiente en Cat Nou</t>
        </is>
      </c>
      <c r="C683" t="inlineStr">
        <is>
          <t>https://www.idealista.com/inmueble/110225917/</t>
        </is>
      </c>
      <c r="E683" t="n">
        <v>5</v>
      </c>
      <c r="H683" t="n">
        <v>409</v>
      </c>
      <c r="J683" t="inlineStr">
        <is>
          <t>Cas Catala, Calvià</t>
        </is>
      </c>
      <c r="K683" t="n">
        <v>20</v>
      </c>
      <c r="L683" t="n">
        <v>22</v>
      </c>
      <c r="M683" t="n">
        <v>62.8</v>
      </c>
      <c r="N683" t="n">
        <v>55</v>
      </c>
      <c r="O683" t="n">
        <v>23.7</v>
      </c>
      <c r="P683" t="n">
        <v>23</v>
      </c>
      <c r="Q683" t="n">
        <v>60.5</v>
      </c>
      <c r="R683" t="n">
        <v>51</v>
      </c>
      <c r="S683" t="n">
        <v>2800000</v>
      </c>
      <c r="T683" t="n">
        <v>6846</v>
      </c>
      <c r="AH683" t="inlineStr">
        <is>
          <t>Quelle: Idealista</t>
        </is>
      </c>
    </row>
    <row r="684">
      <c r="A684" t="n">
        <v>497</v>
      </c>
      <c r="B684" t="inlineStr">
        <is>
          <t>Casa independiente</t>
        </is>
      </c>
      <c r="C684" t="inlineStr">
        <is>
          <t>https://www.idealista.com/inmueble/110217231/</t>
        </is>
      </c>
      <c r="E684" t="n">
        <v>5</v>
      </c>
      <c r="H684" t="n">
        <v>526</v>
      </c>
      <c r="J684" t="inlineStr">
        <is>
          <t>Santa Ponça, Calvià</t>
        </is>
      </c>
      <c r="K684" t="n">
        <v>31.1</v>
      </c>
      <c r="L684" t="n">
        <v>28</v>
      </c>
      <c r="M684" t="n">
        <v>73.90000000000001</v>
      </c>
      <c r="N684" t="n">
        <v>61</v>
      </c>
      <c r="O684" t="n">
        <v>15.2</v>
      </c>
      <c r="P684" t="n">
        <v>19</v>
      </c>
      <c r="Q684" t="n">
        <v>71.59999999999999</v>
      </c>
      <c r="R684" t="n">
        <v>57</v>
      </c>
      <c r="S684" t="n">
        <v>4900000</v>
      </c>
      <c r="T684" t="n">
        <v>9316</v>
      </c>
      <c r="AH684" t="inlineStr">
        <is>
          <t>Quelle: Idealista</t>
        </is>
      </c>
    </row>
    <row r="685">
      <c r="A685" t="n">
        <v>498</v>
      </c>
      <c r="B685" t="inlineStr">
        <is>
          <t>Casa independiente</t>
        </is>
      </c>
      <c r="C685" t="inlineStr">
        <is>
          <t>https://www.idealista.com/inmueble/108181228/</t>
        </is>
      </c>
      <c r="E685" t="n">
        <v>5</v>
      </c>
      <c r="H685" t="n">
        <v>357</v>
      </c>
      <c r="J685" t="inlineStr">
        <is>
          <t>Santa Ponça, Calvià</t>
        </is>
      </c>
      <c r="K685" t="n">
        <v>31.1</v>
      </c>
      <c r="L685" t="n">
        <v>28</v>
      </c>
      <c r="M685" t="n">
        <v>73.90000000000001</v>
      </c>
      <c r="N685" t="n">
        <v>61</v>
      </c>
      <c r="O685" t="n">
        <v>15.2</v>
      </c>
      <c r="P685" t="n">
        <v>19</v>
      </c>
      <c r="Q685" t="n">
        <v>71.59999999999999</v>
      </c>
      <c r="R685" t="n">
        <v>57</v>
      </c>
      <c r="S685" t="n">
        <v>2750000</v>
      </c>
      <c r="T685" t="n">
        <v>7703</v>
      </c>
      <c r="AH685" t="inlineStr">
        <is>
          <t>Quelle: Idealista</t>
        </is>
      </c>
    </row>
    <row r="686">
      <c r="A686" t="n">
        <v>499</v>
      </c>
      <c r="B686" t="inlineStr">
        <is>
          <t>Casa independiente</t>
        </is>
      </c>
      <c r="C686" t="inlineStr">
        <is>
          <t>https://www.idealista.com/inmueble/110209741/</t>
        </is>
      </c>
      <c r="E686" t="n">
        <v>5</v>
      </c>
      <c r="H686" t="n">
        <v>250</v>
      </c>
      <c r="J686" t="inlineStr">
        <is>
          <t>El Toro, Calvià</t>
        </is>
      </c>
      <c r="K686" t="n">
        <v>35.4</v>
      </c>
      <c r="L686" t="n">
        <v>33</v>
      </c>
      <c r="M686" t="n">
        <v>78.09999999999999</v>
      </c>
      <c r="N686" t="n">
        <v>66</v>
      </c>
      <c r="O686" t="n">
        <v>19.5</v>
      </c>
      <c r="P686" t="n">
        <v>24</v>
      </c>
      <c r="Q686" t="n">
        <v>75.8</v>
      </c>
      <c r="R686" t="n">
        <v>63</v>
      </c>
      <c r="S686" t="n">
        <v>2200000</v>
      </c>
      <c r="T686" t="n">
        <v>8800</v>
      </c>
      <c r="AH686" t="inlineStr">
        <is>
          <t>Quelle: Idealista</t>
        </is>
      </c>
    </row>
    <row r="687">
      <c r="A687" t="n">
        <v>500</v>
      </c>
      <c r="B687" t="inlineStr">
        <is>
          <t>Chalet</t>
        </is>
      </c>
      <c r="C687" t="inlineStr">
        <is>
          <t>https://www.idealista.com/inmueble/110208629/</t>
        </is>
      </c>
      <c r="E687" t="n">
        <v>6</v>
      </c>
      <c r="H687" t="n">
        <v>311</v>
      </c>
      <c r="J687" t="inlineStr">
        <is>
          <t>Costa d'En Blanes, Calvià</t>
        </is>
      </c>
      <c r="K687" t="n">
        <v>23.3</v>
      </c>
      <c r="L687" t="n">
        <v>21</v>
      </c>
      <c r="M687" t="n">
        <v>66.09999999999999</v>
      </c>
      <c r="N687" t="n">
        <v>54</v>
      </c>
      <c r="O687" t="n">
        <v>21</v>
      </c>
      <c r="P687" t="n">
        <v>21</v>
      </c>
      <c r="Q687" t="n">
        <v>63.8</v>
      </c>
      <c r="R687" t="n">
        <v>51</v>
      </c>
      <c r="S687" t="n">
        <v>3500000</v>
      </c>
      <c r="T687" t="n">
        <v>11254</v>
      </c>
      <c r="AH687" t="inlineStr">
        <is>
          <t>Quelle: Idealista</t>
        </is>
      </c>
    </row>
    <row r="688">
      <c r="A688" t="n">
        <v>501</v>
      </c>
      <c r="B688" t="inlineStr">
        <is>
          <t>Casa independiente</t>
        </is>
      </c>
      <c r="C688" t="inlineStr">
        <is>
          <t>https://www.idealista.com/inmueble/110191830/</t>
        </is>
      </c>
      <c r="E688" t="n">
        <v>5</v>
      </c>
      <c r="H688" t="n">
        <v>360</v>
      </c>
      <c r="J688" t="inlineStr">
        <is>
          <t>Costa d'En Blanes, Calvià</t>
        </is>
      </c>
      <c r="K688" t="n">
        <v>23.3</v>
      </c>
      <c r="L688" t="n">
        <v>21</v>
      </c>
      <c r="M688" t="n">
        <v>66.09999999999999</v>
      </c>
      <c r="N688" t="n">
        <v>54</v>
      </c>
      <c r="O688" t="n">
        <v>21</v>
      </c>
      <c r="P688" t="n">
        <v>21</v>
      </c>
      <c r="Q688" t="n">
        <v>63.8</v>
      </c>
      <c r="R688" t="n">
        <v>51</v>
      </c>
      <c r="S688" t="n">
        <v>6355000</v>
      </c>
      <c r="T688" t="n">
        <v>17653</v>
      </c>
      <c r="AH688" t="inlineStr">
        <is>
          <t>Quelle: Idealista</t>
        </is>
      </c>
    </row>
    <row r="689">
      <c r="A689" t="n">
        <v>502</v>
      </c>
      <c r="B689" t="inlineStr">
        <is>
          <t>Casa independiente</t>
        </is>
      </c>
      <c r="C689" t="inlineStr">
        <is>
          <t>https://www.idealista.com/inmueble/110188733/</t>
        </is>
      </c>
      <c r="E689" t="n">
        <v>5</v>
      </c>
      <c r="H689" t="n">
        <v>450</v>
      </c>
      <c r="J689" t="inlineStr">
        <is>
          <t>Santa Ponça, Calvià</t>
        </is>
      </c>
      <c r="K689" t="n">
        <v>31.1</v>
      </c>
      <c r="L689" t="n">
        <v>28</v>
      </c>
      <c r="M689" t="n">
        <v>73.90000000000001</v>
      </c>
      <c r="N689" t="n">
        <v>61</v>
      </c>
      <c r="O689" t="n">
        <v>15.2</v>
      </c>
      <c r="P689" t="n">
        <v>19</v>
      </c>
      <c r="Q689" t="n">
        <v>71.59999999999999</v>
      </c>
      <c r="R689" t="n">
        <v>57</v>
      </c>
      <c r="S689" t="n">
        <v>2520000</v>
      </c>
      <c r="T689" t="n">
        <v>5600</v>
      </c>
      <c r="AH689" t="inlineStr">
        <is>
          <t>Quelle: Idealista</t>
        </is>
      </c>
    </row>
    <row r="690">
      <c r="A690" t="n">
        <v>503</v>
      </c>
      <c r="B690" t="inlineStr">
        <is>
          <t>Casa independiente</t>
        </is>
      </c>
      <c r="C690" t="inlineStr">
        <is>
          <t>https://www.idealista.com/inmueble/108182277/</t>
        </is>
      </c>
      <c r="E690" t="n">
        <v>6</v>
      </c>
      <c r="H690" t="n">
        <v>1516</v>
      </c>
      <c r="J690" t="inlineStr">
        <is>
          <t>Santa Ponça, Calvià</t>
        </is>
      </c>
      <c r="K690" t="n">
        <v>31.1</v>
      </c>
      <c r="L690" t="n">
        <v>28</v>
      </c>
      <c r="M690" t="n">
        <v>73.90000000000001</v>
      </c>
      <c r="N690" t="n">
        <v>61</v>
      </c>
      <c r="O690" t="n">
        <v>15.2</v>
      </c>
      <c r="P690" t="n">
        <v>19</v>
      </c>
      <c r="Q690" t="n">
        <v>71.59999999999999</v>
      </c>
      <c r="R690" t="n">
        <v>57</v>
      </c>
      <c r="S690" t="n">
        <v>4495000</v>
      </c>
      <c r="T690" t="n">
        <v>2965</v>
      </c>
      <c r="AH690" t="inlineStr">
        <is>
          <t>Quelle: Idealista</t>
        </is>
      </c>
    </row>
    <row r="691">
      <c r="A691" t="n">
        <v>504</v>
      </c>
      <c r="B691" t="inlineStr">
        <is>
          <t>Casa independiente en calle de Guillem de Montcada</t>
        </is>
      </c>
      <c r="C691" t="inlineStr">
        <is>
          <t>https://www.idealista.com/inmueble/109737454/</t>
        </is>
      </c>
      <c r="E691" t="n">
        <v>5</v>
      </c>
      <c r="H691" t="n">
        <v>452</v>
      </c>
      <c r="J691" t="inlineStr">
        <is>
          <t>Santa Ponça, Calvià</t>
        </is>
      </c>
      <c r="K691" t="n">
        <v>31.1</v>
      </c>
      <c r="L691" t="n">
        <v>28</v>
      </c>
      <c r="M691" t="n">
        <v>73.90000000000001</v>
      </c>
      <c r="N691" t="n">
        <v>61</v>
      </c>
      <c r="O691" t="n">
        <v>15.2</v>
      </c>
      <c r="P691" t="n">
        <v>19</v>
      </c>
      <c r="Q691" t="n">
        <v>71.59999999999999</v>
      </c>
      <c r="R691" t="n">
        <v>57</v>
      </c>
      <c r="S691" t="n">
        <v>3750000</v>
      </c>
      <c r="T691" t="n">
        <v>8296</v>
      </c>
      <c r="AH691" t="inlineStr">
        <is>
          <t>Quelle: Idealista</t>
        </is>
      </c>
    </row>
    <row r="692">
      <c r="A692" t="n">
        <v>505</v>
      </c>
      <c r="B692" t="inlineStr">
        <is>
          <t>Casa independiente</t>
        </is>
      </c>
      <c r="C692" t="inlineStr">
        <is>
          <t>https://www.idealista.com/inmueble/109913853/</t>
        </is>
      </c>
      <c r="E692" t="n">
        <v>5</v>
      </c>
      <c r="H692" t="n">
        <v>300</v>
      </c>
      <c r="J692" t="inlineStr">
        <is>
          <t>Es Capdellà, Calvià</t>
        </is>
      </c>
      <c r="K692" t="n">
        <v>34.8</v>
      </c>
      <c r="L692" t="n">
        <v>33</v>
      </c>
      <c r="M692" t="n">
        <v>77.5</v>
      </c>
      <c r="N692" t="n">
        <v>66</v>
      </c>
      <c r="O692" t="n">
        <v>13.6</v>
      </c>
      <c r="P692" t="n">
        <v>19</v>
      </c>
      <c r="Q692" t="n">
        <v>75.2</v>
      </c>
      <c r="R692" t="n">
        <v>63</v>
      </c>
      <c r="S692" t="n">
        <v>2800000</v>
      </c>
      <c r="T692" t="n">
        <v>9333</v>
      </c>
      <c r="AH692" t="inlineStr">
        <is>
          <t>Quelle: Idealista</t>
        </is>
      </c>
    </row>
    <row r="693">
      <c r="A693" t="n">
        <v>506</v>
      </c>
      <c r="B693" t="inlineStr">
        <is>
          <t>Masía</t>
        </is>
      </c>
      <c r="C693" t="inlineStr">
        <is>
          <t>https://www.idealista.com/inmueble/110141898/</t>
        </is>
      </c>
      <c r="E693" t="n">
        <v>5</v>
      </c>
      <c r="H693" t="n">
        <v>300</v>
      </c>
      <c r="J693" t="inlineStr">
        <is>
          <t>Es Capdellà, Calvià</t>
        </is>
      </c>
      <c r="K693" t="n">
        <v>34.8</v>
      </c>
      <c r="L693" t="n">
        <v>33</v>
      </c>
      <c r="M693" t="n">
        <v>77.5</v>
      </c>
      <c r="N693" t="n">
        <v>66</v>
      </c>
      <c r="O693" t="n">
        <v>13.6</v>
      </c>
      <c r="P693" t="n">
        <v>19</v>
      </c>
      <c r="Q693" t="n">
        <v>75.2</v>
      </c>
      <c r="R693" t="n">
        <v>63</v>
      </c>
      <c r="S693" t="n">
        <v>2800000</v>
      </c>
      <c r="T693" t="n">
        <v>9333</v>
      </c>
      <c r="AH693" t="inlineStr">
        <is>
          <t>Quelle: Idealista</t>
        </is>
      </c>
    </row>
    <row r="694">
      <c r="A694" t="n">
        <v>507</v>
      </c>
      <c r="B694" t="inlineStr">
        <is>
          <t>Casa independiente</t>
        </is>
      </c>
      <c r="C694" t="inlineStr">
        <is>
          <t>https://www.idealista.com/inmueble/110138546/</t>
        </is>
      </c>
      <c r="E694" t="n">
        <v>5</v>
      </c>
      <c r="H694" t="n">
        <v>508</v>
      </c>
      <c r="J694" t="inlineStr">
        <is>
          <t>Calvià pueblo, Calvià</t>
        </is>
      </c>
      <c r="K694" t="n">
        <v>31.1</v>
      </c>
      <c r="L694" t="n">
        <v>28</v>
      </c>
      <c r="M694" t="n">
        <v>73.90000000000001</v>
      </c>
      <c r="N694" t="n">
        <v>61</v>
      </c>
      <c r="O694" t="n">
        <v>19.4</v>
      </c>
      <c r="P694" t="n">
        <v>22</v>
      </c>
      <c r="Q694" t="n">
        <v>71.59999999999999</v>
      </c>
      <c r="R694" t="n">
        <v>58</v>
      </c>
      <c r="S694" t="n">
        <v>6300000</v>
      </c>
      <c r="T694" t="n">
        <v>12402</v>
      </c>
      <c r="AH694" t="inlineStr">
        <is>
          <t>Quelle: Idealista</t>
        </is>
      </c>
    </row>
    <row r="695">
      <c r="A695" t="n">
        <v>508</v>
      </c>
      <c r="B695" t="inlineStr">
        <is>
          <t>Chalet en calle de Sant Rafel</t>
        </is>
      </c>
      <c r="C695" t="inlineStr">
        <is>
          <t>https://www.idealista.com/inmueble/110130817/</t>
        </is>
      </c>
      <c r="E695" t="n">
        <v>5</v>
      </c>
      <c r="H695" t="n">
        <v>286</v>
      </c>
      <c r="J695" t="inlineStr">
        <is>
          <t>Costa d'En Blanes, Calvià</t>
        </is>
      </c>
      <c r="K695" t="n">
        <v>23.3</v>
      </c>
      <c r="L695" t="n">
        <v>21</v>
      </c>
      <c r="M695" t="n">
        <v>66.09999999999999</v>
      </c>
      <c r="N695" t="n">
        <v>54</v>
      </c>
      <c r="O695" t="n">
        <v>21</v>
      </c>
      <c r="P695" t="n">
        <v>21</v>
      </c>
      <c r="Q695" t="n">
        <v>63.8</v>
      </c>
      <c r="R695" t="n">
        <v>51</v>
      </c>
      <c r="S695" t="n">
        <v>3900000</v>
      </c>
      <c r="T695" t="n">
        <v>13636</v>
      </c>
      <c r="AH695" t="inlineStr">
        <is>
          <t>Quelle: Idealista</t>
        </is>
      </c>
    </row>
    <row r="696">
      <c r="A696" t="n">
        <v>509</v>
      </c>
      <c r="B696" t="inlineStr">
        <is>
          <t>Casa independiente en calle Germans Moncada, 30</t>
        </is>
      </c>
      <c r="C696" t="inlineStr">
        <is>
          <t>https://www.idealista.com/inmueble/110106184/</t>
        </is>
      </c>
      <c r="E696" t="n">
        <v>6</v>
      </c>
      <c r="H696" t="n">
        <v>390</v>
      </c>
      <c r="J696" t="inlineStr">
        <is>
          <t>Palmanova, Calvià</t>
        </is>
      </c>
      <c r="K696" t="n">
        <v>25.9</v>
      </c>
      <c r="L696" t="n">
        <v>24</v>
      </c>
      <c r="M696" t="n">
        <v>68.59999999999999</v>
      </c>
      <c r="N696" t="n">
        <v>57</v>
      </c>
      <c r="O696" t="n">
        <v>18.5</v>
      </c>
      <c r="P696" t="n">
        <v>21</v>
      </c>
      <c r="Q696" t="n">
        <v>66.3</v>
      </c>
      <c r="R696" t="n">
        <v>54</v>
      </c>
      <c r="S696" t="n">
        <v>2950000</v>
      </c>
      <c r="T696" t="n">
        <v>7564</v>
      </c>
      <c r="AH696" t="inlineStr">
        <is>
          <t>Quelle: Idealista</t>
        </is>
      </c>
    </row>
    <row r="697">
      <c r="A697" t="n">
        <v>510</v>
      </c>
      <c r="B697" t="inlineStr">
        <is>
          <t>Casa independiente</t>
        </is>
      </c>
      <c r="C697" t="inlineStr">
        <is>
          <t>https://www.idealista.com/inmueble/110116981/</t>
        </is>
      </c>
      <c r="E697" t="n">
        <v>6</v>
      </c>
      <c r="H697" t="n">
        <v>537</v>
      </c>
      <c r="J697" t="inlineStr">
        <is>
          <t>Palmanova, Calvià</t>
        </is>
      </c>
      <c r="K697" t="n">
        <v>25.9</v>
      </c>
      <c r="L697" t="n">
        <v>24</v>
      </c>
      <c r="M697" t="n">
        <v>68.59999999999999</v>
      </c>
      <c r="N697" t="n">
        <v>57</v>
      </c>
      <c r="O697" t="n">
        <v>18.5</v>
      </c>
      <c r="P697" t="n">
        <v>21</v>
      </c>
      <c r="Q697" t="n">
        <v>66.3</v>
      </c>
      <c r="R697" t="n">
        <v>54</v>
      </c>
      <c r="S697" t="n">
        <v>3950000</v>
      </c>
      <c r="T697" t="n">
        <v>7356</v>
      </c>
      <c r="AH697" t="inlineStr">
        <is>
          <t>Quelle: Idealista</t>
        </is>
      </c>
    </row>
    <row r="698">
      <c r="A698" t="n">
        <v>511</v>
      </c>
      <c r="B698" t="inlineStr">
        <is>
          <t>Casa independiente</t>
        </is>
      </c>
      <c r="C698" t="inlineStr">
        <is>
          <t>https://www.idealista.com/inmueble/110116761/</t>
        </is>
      </c>
      <c r="E698" t="n">
        <v>5</v>
      </c>
      <c r="H698" t="n">
        <v>450</v>
      </c>
      <c r="J698" t="inlineStr">
        <is>
          <t>Cas Catala, Calvià</t>
        </is>
      </c>
      <c r="K698" t="n">
        <v>20</v>
      </c>
      <c r="L698" t="n">
        <v>22</v>
      </c>
      <c r="M698" t="n">
        <v>62.8</v>
      </c>
      <c r="N698" t="n">
        <v>55</v>
      </c>
      <c r="O698" t="n">
        <v>23.7</v>
      </c>
      <c r="P698" t="n">
        <v>23</v>
      </c>
      <c r="Q698" t="n">
        <v>60.5</v>
      </c>
      <c r="R698" t="n">
        <v>51</v>
      </c>
      <c r="S698" t="n">
        <v>3500000</v>
      </c>
      <c r="T698" t="n">
        <v>7778</v>
      </c>
      <c r="AH698" t="inlineStr">
        <is>
          <t>Quelle: Idealista</t>
        </is>
      </c>
    </row>
    <row r="699">
      <c r="A699" t="n">
        <v>512</v>
      </c>
      <c r="B699" t="inlineStr">
        <is>
          <t>Casa independiente</t>
        </is>
      </c>
      <c r="C699" t="inlineStr">
        <is>
          <t>https://www.idealista.com/inmueble/110104685/</t>
        </is>
      </c>
      <c r="E699" t="n">
        <v>5</v>
      </c>
      <c r="H699" t="n">
        <v>336</v>
      </c>
      <c r="J699" t="inlineStr">
        <is>
          <t>Costa d'En Blanes, Calvià</t>
        </is>
      </c>
      <c r="K699" t="n">
        <v>23.3</v>
      </c>
      <c r="L699" t="n">
        <v>21</v>
      </c>
      <c r="M699" t="n">
        <v>66.09999999999999</v>
      </c>
      <c r="N699" t="n">
        <v>54</v>
      </c>
      <c r="O699" t="n">
        <v>21</v>
      </c>
      <c r="P699" t="n">
        <v>21</v>
      </c>
      <c r="Q699" t="n">
        <v>63.8</v>
      </c>
      <c r="R699" t="n">
        <v>51</v>
      </c>
      <c r="S699" t="n">
        <v>3900000</v>
      </c>
      <c r="T699" t="n">
        <v>11607</v>
      </c>
      <c r="AH699" t="inlineStr">
        <is>
          <t>Quelle: Idealista</t>
        </is>
      </c>
    </row>
    <row r="700">
      <c r="A700" t="n">
        <v>513</v>
      </c>
      <c r="B700" t="inlineStr">
        <is>
          <t>Chalet</t>
        </is>
      </c>
      <c r="C700" t="inlineStr">
        <is>
          <t>https://www.idealista.com/inmueble/110096842/</t>
        </is>
      </c>
      <c r="E700" t="n">
        <v>5</v>
      </c>
      <c r="H700" t="n">
        <v>409</v>
      </c>
      <c r="J700" t="inlineStr">
        <is>
          <t>Cas Catala, Calvià</t>
        </is>
      </c>
      <c r="K700" t="n">
        <v>20</v>
      </c>
      <c r="L700" t="n">
        <v>22</v>
      </c>
      <c r="M700" t="n">
        <v>62.8</v>
      </c>
      <c r="N700" t="n">
        <v>55</v>
      </c>
      <c r="O700" t="n">
        <v>23.7</v>
      </c>
      <c r="P700" t="n">
        <v>23</v>
      </c>
      <c r="Q700" t="n">
        <v>60.5</v>
      </c>
      <c r="R700" t="n">
        <v>51</v>
      </c>
      <c r="S700" t="n">
        <v>2800000</v>
      </c>
      <c r="T700" t="n">
        <v>6846</v>
      </c>
      <c r="AH700" t="inlineStr">
        <is>
          <t>Quelle: Idealista</t>
        </is>
      </c>
    </row>
    <row r="701">
      <c r="A701" t="n">
        <v>514</v>
      </c>
      <c r="B701" t="inlineStr">
        <is>
          <t>Casa independiente</t>
        </is>
      </c>
      <c r="C701" t="inlineStr">
        <is>
          <t>https://www.idealista.com/inmueble/110094979/</t>
        </is>
      </c>
      <c r="E701" t="n">
        <v>6</v>
      </c>
      <c r="H701" t="n">
        <v>471</v>
      </c>
      <c r="J701" t="inlineStr">
        <is>
          <t>Cas Catala, Calvià</t>
        </is>
      </c>
      <c r="K701" t="n">
        <v>20</v>
      </c>
      <c r="L701" t="n">
        <v>22</v>
      </c>
      <c r="M701" t="n">
        <v>62.8</v>
      </c>
      <c r="N701" t="n">
        <v>55</v>
      </c>
      <c r="O701" t="n">
        <v>23.7</v>
      </c>
      <c r="P701" t="n">
        <v>23</v>
      </c>
      <c r="Q701" t="n">
        <v>60.5</v>
      </c>
      <c r="R701" t="n">
        <v>51</v>
      </c>
      <c r="S701" t="n">
        <v>4995000</v>
      </c>
      <c r="T701" t="n">
        <v>10605</v>
      </c>
      <c r="AH701" t="inlineStr">
        <is>
          <t>Quelle: Idealista</t>
        </is>
      </c>
    </row>
    <row r="702">
      <c r="A702" t="n">
        <v>515</v>
      </c>
      <c r="B702" t="inlineStr">
        <is>
          <t>Casa independiente en Gran Via Puig des Castellet</t>
        </is>
      </c>
      <c r="C702" t="inlineStr">
        <is>
          <t>https://www.idealista.com/inmueble/109740809/</t>
        </is>
      </c>
      <c r="E702" t="n">
        <v>6</v>
      </c>
      <c r="H702" t="n">
        <v>600</v>
      </c>
      <c r="J702" t="inlineStr">
        <is>
          <t>Santa Ponça, Calvià</t>
        </is>
      </c>
      <c r="K702" t="n">
        <v>31.1</v>
      </c>
      <c r="L702" t="n">
        <v>28</v>
      </c>
      <c r="M702" t="n">
        <v>73.90000000000001</v>
      </c>
      <c r="N702" t="n">
        <v>61</v>
      </c>
      <c r="O702" t="n">
        <v>15.2</v>
      </c>
      <c r="P702" t="n">
        <v>19</v>
      </c>
      <c r="Q702" t="n">
        <v>71.59999999999999</v>
      </c>
      <c r="R702" t="n">
        <v>57</v>
      </c>
      <c r="S702" t="n">
        <v>2600000</v>
      </c>
      <c r="T702" t="n">
        <v>4333</v>
      </c>
      <c r="AH702" t="inlineStr">
        <is>
          <t>Quelle: Idealista</t>
        </is>
      </c>
    </row>
    <row r="703">
      <c r="A703" t="n">
        <v>516</v>
      </c>
      <c r="B703" t="inlineStr">
        <is>
          <t>Casa independiente</t>
        </is>
      </c>
      <c r="C703" t="inlineStr">
        <is>
          <t>https://www.idealista.com/inmueble/110055143/</t>
        </is>
      </c>
      <c r="E703" t="n">
        <v>5</v>
      </c>
      <c r="H703" t="n">
        <v>286</v>
      </c>
      <c r="J703" t="inlineStr">
        <is>
          <t>Costa d'En Blanes, Calvià</t>
        </is>
      </c>
      <c r="K703" t="n">
        <v>23.3</v>
      </c>
      <c r="L703" t="n">
        <v>21</v>
      </c>
      <c r="M703" t="n">
        <v>66.09999999999999</v>
      </c>
      <c r="N703" t="n">
        <v>54</v>
      </c>
      <c r="O703" t="n">
        <v>21</v>
      </c>
      <c r="P703" t="n">
        <v>21</v>
      </c>
      <c r="Q703" t="n">
        <v>63.8</v>
      </c>
      <c r="R703" t="n">
        <v>51</v>
      </c>
      <c r="S703" t="n">
        <v>3950000</v>
      </c>
      <c r="T703" t="n">
        <v>13811</v>
      </c>
      <c r="AH703" t="inlineStr">
        <is>
          <t>Quelle: Idealista</t>
        </is>
      </c>
    </row>
    <row r="704">
      <c r="A704" t="n">
        <v>517</v>
      </c>
      <c r="B704" t="inlineStr">
        <is>
          <t>Casa independiente</t>
        </is>
      </c>
      <c r="C704" t="inlineStr">
        <is>
          <t>https://www.idealista.com/inmueble/108880916/</t>
        </is>
      </c>
      <c r="E704" t="n">
        <v>5</v>
      </c>
      <c r="H704" t="n">
        <v>580</v>
      </c>
      <c r="J704" t="inlineStr">
        <is>
          <t>Santa Ponça, Calvià</t>
        </is>
      </c>
      <c r="K704" t="n">
        <v>31.1</v>
      </c>
      <c r="L704" t="n">
        <v>28</v>
      </c>
      <c r="M704" t="n">
        <v>73.90000000000001</v>
      </c>
      <c r="N704" t="n">
        <v>61</v>
      </c>
      <c r="O704" t="n">
        <v>15.2</v>
      </c>
      <c r="P704" t="n">
        <v>19</v>
      </c>
      <c r="Q704" t="n">
        <v>71.59999999999999</v>
      </c>
      <c r="R704" t="n">
        <v>57</v>
      </c>
      <c r="S704" t="n">
        <v>3900000</v>
      </c>
      <c r="T704" t="n">
        <v>6724</v>
      </c>
      <c r="AH704" t="inlineStr">
        <is>
          <t>Quelle: Idealista</t>
        </is>
      </c>
    </row>
    <row r="705">
      <c r="A705" t="n">
        <v>518</v>
      </c>
      <c r="B705" t="inlineStr">
        <is>
          <t>Casa independiente</t>
        </is>
      </c>
      <c r="C705" t="inlineStr">
        <is>
          <t>https://www.idealista.com/inmueble/110039926/</t>
        </is>
      </c>
      <c r="E705" t="n">
        <v>5</v>
      </c>
      <c r="H705" t="n">
        <v>196</v>
      </c>
      <c r="J705" t="inlineStr">
        <is>
          <t>Costa d'En Blanes, Calvià</t>
        </is>
      </c>
      <c r="K705" t="n">
        <v>23.3</v>
      </c>
      <c r="L705" t="n">
        <v>21</v>
      </c>
      <c r="M705" t="n">
        <v>66.09999999999999</v>
      </c>
      <c r="N705" t="n">
        <v>54</v>
      </c>
      <c r="O705" t="n">
        <v>21</v>
      </c>
      <c r="P705" t="n">
        <v>21</v>
      </c>
      <c r="Q705" t="n">
        <v>63.8</v>
      </c>
      <c r="R705" t="n">
        <v>51</v>
      </c>
      <c r="S705" t="n">
        <v>2980000</v>
      </c>
      <c r="T705" t="n">
        <v>15204</v>
      </c>
      <c r="AH705" t="inlineStr">
        <is>
          <t>Quelle: Idealista</t>
        </is>
      </c>
    </row>
    <row r="706">
      <c r="A706" t="n">
        <v>519</v>
      </c>
      <c r="B706" t="inlineStr">
        <is>
          <t>Casa independiente</t>
        </is>
      </c>
      <c r="C706" t="inlineStr">
        <is>
          <t>https://www.idealista.com/inmueble/110035987/</t>
        </is>
      </c>
      <c r="E706" t="n">
        <v>5</v>
      </c>
      <c r="H706" t="n">
        <v>288</v>
      </c>
      <c r="J706" t="inlineStr">
        <is>
          <t>El Toro, Calvià</t>
        </is>
      </c>
      <c r="K706" t="n">
        <v>35.4</v>
      </c>
      <c r="L706" t="n">
        <v>33</v>
      </c>
      <c r="M706" t="n">
        <v>78.09999999999999</v>
      </c>
      <c r="N706" t="n">
        <v>66</v>
      </c>
      <c r="O706" t="n">
        <v>19.5</v>
      </c>
      <c r="P706" t="n">
        <v>24</v>
      </c>
      <c r="Q706" t="n">
        <v>75.8</v>
      </c>
      <c r="R706" t="n">
        <v>63</v>
      </c>
      <c r="S706" t="n">
        <v>2500000</v>
      </c>
      <c r="T706" t="n">
        <v>8681</v>
      </c>
      <c r="AH706" t="inlineStr">
        <is>
          <t>Quelle: Idealista</t>
        </is>
      </c>
    </row>
    <row r="707">
      <c r="A707" t="n">
        <v>520</v>
      </c>
      <c r="B707" t="inlineStr">
        <is>
          <t>Casa independiente en jaime, 7</t>
        </is>
      </c>
      <c r="C707" t="inlineStr">
        <is>
          <t>https://www.idealista.com/inmueble/110033977/</t>
        </is>
      </c>
      <c r="E707" t="n">
        <v>5</v>
      </c>
      <c r="H707" t="n">
        <v>300</v>
      </c>
      <c r="J707" t="inlineStr">
        <is>
          <t>Calvià pueblo, Calvià</t>
        </is>
      </c>
      <c r="K707" t="n">
        <v>31.1</v>
      </c>
      <c r="L707" t="n">
        <v>28</v>
      </c>
      <c r="M707" t="n">
        <v>73.90000000000001</v>
      </c>
      <c r="N707" t="n">
        <v>61</v>
      </c>
      <c r="O707" t="n">
        <v>19.4</v>
      </c>
      <c r="P707" t="n">
        <v>22</v>
      </c>
      <c r="Q707" t="n">
        <v>71.59999999999999</v>
      </c>
      <c r="R707" t="n">
        <v>58</v>
      </c>
      <c r="S707" t="n">
        <v>2170000</v>
      </c>
      <c r="T707" t="n">
        <v>7233</v>
      </c>
      <c r="AH707" t="inlineStr">
        <is>
          <t>Quelle: Idealista</t>
        </is>
      </c>
    </row>
    <row r="708">
      <c r="A708" t="n">
        <v>521</v>
      </c>
      <c r="B708" t="inlineStr">
        <is>
          <t>Casa independiente en rafael</t>
        </is>
      </c>
      <c r="C708" t="inlineStr">
        <is>
          <t>https://www.idealista.com/inmueble/110024043/</t>
        </is>
      </c>
      <c r="E708" t="n">
        <v>5</v>
      </c>
      <c r="H708" t="n">
        <v>434</v>
      </c>
      <c r="J708" t="inlineStr">
        <is>
          <t>Costa d'En Blanes, Calvià</t>
        </is>
      </c>
      <c r="K708" t="n">
        <v>23.3</v>
      </c>
      <c r="L708" t="n">
        <v>21</v>
      </c>
      <c r="M708" t="n">
        <v>66.09999999999999</v>
      </c>
      <c r="N708" t="n">
        <v>54</v>
      </c>
      <c r="O708" t="n">
        <v>21</v>
      </c>
      <c r="P708" t="n">
        <v>21</v>
      </c>
      <c r="Q708" t="n">
        <v>63.8</v>
      </c>
      <c r="R708" t="n">
        <v>51</v>
      </c>
      <c r="S708" t="n">
        <v>3495000</v>
      </c>
      <c r="T708" t="n">
        <v>8053</v>
      </c>
      <c r="AH708" t="inlineStr">
        <is>
          <t>Quelle: Idealista</t>
        </is>
      </c>
    </row>
    <row r="709">
      <c r="A709" t="n">
        <v>522</v>
      </c>
      <c r="B709" t="inlineStr">
        <is>
          <t>Casa independiente</t>
        </is>
      </c>
      <c r="C709" t="inlineStr">
        <is>
          <t>https://www.idealista.com/inmueble/109997507/</t>
        </is>
      </c>
      <c r="E709" t="n">
        <v>5</v>
      </c>
      <c r="H709" t="n">
        <v>526</v>
      </c>
      <c r="J709" t="inlineStr">
        <is>
          <t>Santa Ponça, Calvià</t>
        </is>
      </c>
      <c r="K709" t="n">
        <v>31.1</v>
      </c>
      <c r="L709" t="n">
        <v>28</v>
      </c>
      <c r="M709" t="n">
        <v>73.90000000000001</v>
      </c>
      <c r="N709" t="n">
        <v>61</v>
      </c>
      <c r="O709" t="n">
        <v>15.2</v>
      </c>
      <c r="P709" t="n">
        <v>19</v>
      </c>
      <c r="Q709" t="n">
        <v>71.59999999999999</v>
      </c>
      <c r="R709" t="n">
        <v>57</v>
      </c>
      <c r="S709" t="n">
        <v>4900000</v>
      </c>
      <c r="T709" t="n">
        <v>9316</v>
      </c>
      <c r="AH709" t="inlineStr">
        <is>
          <t>Quelle: Idealista</t>
        </is>
      </c>
    </row>
    <row r="710">
      <c r="A710" t="n">
        <v>523</v>
      </c>
      <c r="B710" t="inlineStr">
        <is>
          <t>Casa independiente</t>
        </is>
      </c>
      <c r="C710" t="inlineStr">
        <is>
          <t>https://www.idealista.com/inmueble/109995193/</t>
        </is>
      </c>
      <c r="E710" t="n">
        <v>7</v>
      </c>
      <c r="H710" t="n">
        <v>639</v>
      </c>
      <c r="J710" t="inlineStr">
        <is>
          <t>Cas Catala, Calvià</t>
        </is>
      </c>
      <c r="K710" t="n">
        <v>20</v>
      </c>
      <c r="L710" t="n">
        <v>22</v>
      </c>
      <c r="M710" t="n">
        <v>62.8</v>
      </c>
      <c r="N710" t="n">
        <v>55</v>
      </c>
      <c r="O710" t="n">
        <v>23.7</v>
      </c>
      <c r="P710" t="n">
        <v>23</v>
      </c>
      <c r="Q710" t="n">
        <v>60.5</v>
      </c>
      <c r="R710" t="n">
        <v>51</v>
      </c>
      <c r="S710" t="n">
        <v>4800000</v>
      </c>
      <c r="T710" t="n">
        <v>7512</v>
      </c>
      <c r="AH710" t="inlineStr">
        <is>
          <t>Quelle: Idealista</t>
        </is>
      </c>
    </row>
    <row r="711">
      <c r="A711" t="n">
        <v>524</v>
      </c>
      <c r="B711" t="inlineStr">
        <is>
          <t>Casa independiente</t>
        </is>
      </c>
      <c r="C711" t="inlineStr">
        <is>
          <t>https://www.idealista.com/inmueble/109994986/</t>
        </is>
      </c>
      <c r="E711" t="n">
        <v>6</v>
      </c>
      <c r="H711" t="n">
        <v>725</v>
      </c>
      <c r="J711" t="inlineStr">
        <is>
          <t>Santa Ponça, Calvià</t>
        </is>
      </c>
      <c r="K711" t="n">
        <v>31.1</v>
      </c>
      <c r="L711" t="n">
        <v>28</v>
      </c>
      <c r="M711" t="n">
        <v>73.90000000000001</v>
      </c>
      <c r="N711" t="n">
        <v>61</v>
      </c>
      <c r="O711" t="n">
        <v>15.2</v>
      </c>
      <c r="P711" t="n">
        <v>19</v>
      </c>
      <c r="Q711" t="n">
        <v>71.59999999999999</v>
      </c>
      <c r="R711" t="n">
        <v>57</v>
      </c>
      <c r="S711" t="n">
        <v>3700000</v>
      </c>
      <c r="T711" t="n">
        <v>5103</v>
      </c>
      <c r="AH711" t="inlineStr">
        <is>
          <t>Quelle: Idealista</t>
        </is>
      </c>
    </row>
    <row r="712">
      <c r="A712" t="n">
        <v>525</v>
      </c>
      <c r="B712" t="inlineStr">
        <is>
          <t>Casa independiente en Av Mallorca /bendinat</t>
        </is>
      </c>
      <c r="C712" t="inlineStr">
        <is>
          <t>https://www.idealista.com/inmueble/109977702/</t>
        </is>
      </c>
      <c r="E712" t="n">
        <v>5</v>
      </c>
      <c r="H712" t="n">
        <v>290</v>
      </c>
      <c r="J712" t="inlineStr">
        <is>
          <t>Bendinat, Calvià</t>
        </is>
      </c>
      <c r="K712" t="n">
        <v>23.1</v>
      </c>
      <c r="L712" t="n">
        <v>22</v>
      </c>
      <c r="M712" t="n">
        <v>65.8</v>
      </c>
      <c r="N712" t="n">
        <v>55</v>
      </c>
      <c r="O712" t="n">
        <v>23.2</v>
      </c>
      <c r="P712" t="n">
        <v>23</v>
      </c>
      <c r="Q712" t="n">
        <v>63.5</v>
      </c>
      <c r="R712" t="n">
        <v>51</v>
      </c>
      <c r="S712" t="n">
        <v>3800000</v>
      </c>
      <c r="T712" t="n">
        <v>13103</v>
      </c>
      <c r="AH712" t="inlineStr">
        <is>
          <t>Quelle: Idealista</t>
        </is>
      </c>
    </row>
    <row r="713">
      <c r="A713" t="n">
        <v>526</v>
      </c>
      <c r="B713" t="inlineStr">
        <is>
          <t>Casa independiente</t>
        </is>
      </c>
      <c r="C713" t="inlineStr">
        <is>
          <t>https://www.idealista.com/inmueble/107164145/</t>
        </is>
      </c>
      <c r="E713" t="n">
        <v>5</v>
      </c>
      <c r="H713" t="n">
        <v>295</v>
      </c>
      <c r="J713" t="inlineStr">
        <is>
          <t>Santa Ponça, Calvià</t>
        </is>
      </c>
      <c r="K713" t="n">
        <v>31.1</v>
      </c>
      <c r="L713" t="n">
        <v>28</v>
      </c>
      <c r="M713" t="n">
        <v>73.90000000000001</v>
      </c>
      <c r="N713" t="n">
        <v>61</v>
      </c>
      <c r="O713" t="n">
        <v>15.2</v>
      </c>
      <c r="P713" t="n">
        <v>19</v>
      </c>
      <c r="Q713" t="n">
        <v>71.59999999999999</v>
      </c>
      <c r="R713" t="n">
        <v>57</v>
      </c>
      <c r="S713" t="n">
        <v>2750000</v>
      </c>
      <c r="T713" t="n">
        <v>9322</v>
      </c>
      <c r="AH713" t="inlineStr">
        <is>
          <t>Quelle: Idealista</t>
        </is>
      </c>
    </row>
    <row r="714">
      <c r="A714" t="n">
        <v>527</v>
      </c>
      <c r="B714" t="inlineStr">
        <is>
          <t>Casa independiente</t>
        </is>
      </c>
      <c r="C714" t="inlineStr">
        <is>
          <t>https://www.idealista.com/inmueble/94398013/</t>
        </is>
      </c>
      <c r="E714" t="n">
        <v>5</v>
      </c>
      <c r="H714" t="n">
        <v>400</v>
      </c>
      <c r="J714" t="inlineStr">
        <is>
          <t>Palmanova, Calvià</t>
        </is>
      </c>
      <c r="K714" t="n">
        <v>25.9</v>
      </c>
      <c r="L714" t="n">
        <v>24</v>
      </c>
      <c r="M714" t="n">
        <v>68.59999999999999</v>
      </c>
      <c r="N714" t="n">
        <v>57</v>
      </c>
      <c r="O714" t="n">
        <v>18.5</v>
      </c>
      <c r="P714" t="n">
        <v>21</v>
      </c>
      <c r="Q714" t="n">
        <v>66.3</v>
      </c>
      <c r="R714" t="n">
        <v>54</v>
      </c>
      <c r="S714" t="n">
        <v>2950000</v>
      </c>
      <c r="T714" t="n">
        <v>7375</v>
      </c>
      <c r="AH714" t="inlineStr">
        <is>
          <t>Quelle: Idealista</t>
        </is>
      </c>
    </row>
    <row r="715">
      <c r="A715" t="n">
        <v>528</v>
      </c>
      <c r="B715" t="inlineStr">
        <is>
          <t>Casa independiente</t>
        </is>
      </c>
      <c r="C715" t="inlineStr">
        <is>
          <t>https://www.idealista.com/inmueble/109920273/</t>
        </is>
      </c>
      <c r="E715" t="n">
        <v>5</v>
      </c>
      <c r="H715" t="n">
        <v>520</v>
      </c>
      <c r="J715" t="inlineStr">
        <is>
          <t>Santa Ponça, Calvià</t>
        </is>
      </c>
      <c r="K715" t="n">
        <v>31.1</v>
      </c>
      <c r="L715" t="n">
        <v>28</v>
      </c>
      <c r="M715" t="n">
        <v>73.90000000000001</v>
      </c>
      <c r="N715" t="n">
        <v>61</v>
      </c>
      <c r="O715" t="n">
        <v>15.2</v>
      </c>
      <c r="P715" t="n">
        <v>19</v>
      </c>
      <c r="Q715" t="n">
        <v>71.59999999999999</v>
      </c>
      <c r="R715" t="n">
        <v>57</v>
      </c>
      <c r="S715" t="n">
        <v>3950000</v>
      </c>
      <c r="T715" t="n">
        <v>7596</v>
      </c>
      <c r="AH715" t="inlineStr">
        <is>
          <t>Quelle: Idealista</t>
        </is>
      </c>
    </row>
    <row r="716">
      <c r="A716" t="n">
        <v>529</v>
      </c>
      <c r="B716" t="inlineStr">
        <is>
          <t>Casa independiente</t>
        </is>
      </c>
      <c r="C716" t="inlineStr">
        <is>
          <t>https://www.idealista.com/inmueble/109920381/</t>
        </is>
      </c>
      <c r="E716" t="n">
        <v>6</v>
      </c>
      <c r="H716" t="n">
        <v>1472</v>
      </c>
      <c r="J716" t="inlineStr">
        <is>
          <t>Santa Ponça, Calvià</t>
        </is>
      </c>
      <c r="K716" t="n">
        <v>31.1</v>
      </c>
      <c r="L716" t="n">
        <v>28</v>
      </c>
      <c r="M716" t="n">
        <v>73.90000000000001</v>
      </c>
      <c r="N716" t="n">
        <v>61</v>
      </c>
      <c r="O716" t="n">
        <v>15.2</v>
      </c>
      <c r="P716" t="n">
        <v>19</v>
      </c>
      <c r="Q716" t="n">
        <v>71.59999999999999</v>
      </c>
      <c r="R716" t="n">
        <v>57</v>
      </c>
      <c r="S716" t="n">
        <v>2600000</v>
      </c>
      <c r="T716" t="n">
        <v>1766</v>
      </c>
      <c r="AH716" t="inlineStr">
        <is>
          <t>Quelle: Idealista</t>
        </is>
      </c>
    </row>
    <row r="717">
      <c r="A717" t="n">
        <v>530</v>
      </c>
      <c r="B717" t="inlineStr">
        <is>
          <t>Casa independiente</t>
        </is>
      </c>
      <c r="C717" t="inlineStr">
        <is>
          <t>https://www.idealista.com/inmueble/109921216/</t>
        </is>
      </c>
      <c r="E717" t="n">
        <v>6</v>
      </c>
      <c r="H717" t="n">
        <v>800</v>
      </c>
      <c r="J717" t="inlineStr">
        <is>
          <t>Cala Vinyes, Calvià</t>
        </is>
      </c>
      <c r="K717" t="n">
        <v>31.5</v>
      </c>
      <c r="L717" t="n">
        <v>31</v>
      </c>
      <c r="M717" t="n">
        <v>74.3</v>
      </c>
      <c r="N717" t="n">
        <v>64</v>
      </c>
      <c r="O717" t="n">
        <v>20.4</v>
      </c>
      <c r="P717" t="n">
        <v>25</v>
      </c>
      <c r="Q717" t="n">
        <v>72</v>
      </c>
      <c r="R717" t="n">
        <v>60</v>
      </c>
      <c r="S717" t="n">
        <v>3500000</v>
      </c>
      <c r="T717" t="n">
        <v>4375</v>
      </c>
      <c r="AH717" t="inlineStr">
        <is>
          <t>Quelle: Idealista</t>
        </is>
      </c>
    </row>
    <row r="718">
      <c r="A718" t="n">
        <v>531</v>
      </c>
      <c r="B718" t="inlineStr">
        <is>
          <t>Casa independiente</t>
        </is>
      </c>
      <c r="C718" t="inlineStr">
        <is>
          <t>https://www.idealista.com/inmueble/109921889/</t>
        </is>
      </c>
      <c r="E718" t="n">
        <v>5</v>
      </c>
      <c r="H718" t="n">
        <v>400</v>
      </c>
      <c r="J718" t="inlineStr">
        <is>
          <t>Portals Nous, Calvià</t>
        </is>
      </c>
      <c r="K718" t="n">
        <v>23.8</v>
      </c>
      <c r="L718" t="n">
        <v>23</v>
      </c>
      <c r="M718" t="n">
        <v>66.59999999999999</v>
      </c>
      <c r="N718" t="n">
        <v>56</v>
      </c>
      <c r="O718" t="n">
        <v>21.8</v>
      </c>
      <c r="P718" t="n">
        <v>22</v>
      </c>
      <c r="Q718" t="n">
        <v>64.3</v>
      </c>
      <c r="R718" t="n">
        <v>52</v>
      </c>
      <c r="S718" t="n">
        <v>4600000</v>
      </c>
      <c r="T718" t="n">
        <v>11500</v>
      </c>
      <c r="AH718" t="inlineStr">
        <is>
          <t>Quelle: Idealista</t>
        </is>
      </c>
    </row>
    <row r="719">
      <c r="A719" t="n">
        <v>532</v>
      </c>
      <c r="B719" t="inlineStr">
        <is>
          <t>Casa independiente</t>
        </is>
      </c>
      <c r="C719" t="inlineStr">
        <is>
          <t>https://www.idealista.com/inmueble/109921944/</t>
        </is>
      </c>
      <c r="E719" t="n">
        <v>6</v>
      </c>
      <c r="H719" t="n">
        <v>367</v>
      </c>
      <c r="J719" t="inlineStr">
        <is>
          <t>Santa Ponça, Calvià</t>
        </is>
      </c>
      <c r="K719" t="n">
        <v>31.1</v>
      </c>
      <c r="L719" t="n">
        <v>28</v>
      </c>
      <c r="M719" t="n">
        <v>73.90000000000001</v>
      </c>
      <c r="N719" t="n">
        <v>61</v>
      </c>
      <c r="O719" t="n">
        <v>15.2</v>
      </c>
      <c r="P719" t="n">
        <v>19</v>
      </c>
      <c r="Q719" t="n">
        <v>71.59999999999999</v>
      </c>
      <c r="R719" t="n">
        <v>57</v>
      </c>
      <c r="S719" t="n">
        <v>4495000</v>
      </c>
      <c r="T719" t="n">
        <v>12248</v>
      </c>
      <c r="AH719" t="inlineStr">
        <is>
          <t>Quelle: Idealista</t>
        </is>
      </c>
    </row>
    <row r="720">
      <c r="A720" t="n">
        <v>533</v>
      </c>
      <c r="B720" t="inlineStr">
        <is>
          <t>Chalet adosado en calle Julià Vicenç, 24</t>
        </is>
      </c>
      <c r="C720" t="inlineStr">
        <is>
          <t>https://www.idealista.com/inmueble/109907358/</t>
        </is>
      </c>
      <c r="E720" t="n">
        <v>6</v>
      </c>
      <c r="H720" t="n">
        <v>360</v>
      </c>
      <c r="J720" t="inlineStr">
        <is>
          <t>Bendinat, Calvià</t>
        </is>
      </c>
      <c r="K720" t="n">
        <v>23.1</v>
      </c>
      <c r="L720" t="n">
        <v>22</v>
      </c>
      <c r="M720" t="n">
        <v>65.8</v>
      </c>
      <c r="N720" t="n">
        <v>55</v>
      </c>
      <c r="O720" t="n">
        <v>23.2</v>
      </c>
      <c r="P720" t="n">
        <v>23</v>
      </c>
      <c r="Q720" t="n">
        <v>63.5</v>
      </c>
      <c r="R720" t="n">
        <v>51</v>
      </c>
      <c r="S720" t="n">
        <v>2050000</v>
      </c>
      <c r="T720" t="n">
        <v>5694</v>
      </c>
      <c r="AH720" t="inlineStr">
        <is>
          <t>Quelle: Idealista</t>
        </is>
      </c>
    </row>
    <row r="721">
      <c r="A721" t="n">
        <v>534</v>
      </c>
      <c r="B721" t="inlineStr">
        <is>
          <t>Casa independiente</t>
        </is>
      </c>
      <c r="C721" t="inlineStr">
        <is>
          <t>https://www.idealista.com/inmueble/109921042/</t>
        </is>
      </c>
      <c r="E721" t="n">
        <v>6</v>
      </c>
      <c r="H721" t="n">
        <v>1300</v>
      </c>
      <c r="J721" t="inlineStr">
        <is>
          <t>Peguera, Calvià</t>
        </is>
      </c>
      <c r="K721" t="n">
        <v>35.3</v>
      </c>
      <c r="L721" t="n">
        <v>30</v>
      </c>
      <c r="M721" t="n">
        <v>78</v>
      </c>
      <c r="N721" t="n">
        <v>63</v>
      </c>
      <c r="O721" t="n">
        <v>9.1</v>
      </c>
      <c r="P721" t="n">
        <v>14</v>
      </c>
      <c r="Q721" t="n">
        <v>75.7</v>
      </c>
      <c r="R721" t="n">
        <v>60</v>
      </c>
      <c r="S721" t="n">
        <v>4700000</v>
      </c>
      <c r="T721" t="n">
        <v>3615</v>
      </c>
      <c r="AH721" t="inlineStr">
        <is>
          <t>Quelle: Idealista</t>
        </is>
      </c>
    </row>
    <row r="722">
      <c r="A722" t="n">
        <v>535</v>
      </c>
      <c r="B722" t="inlineStr">
        <is>
          <t>Casa independiente</t>
        </is>
      </c>
      <c r="C722" t="inlineStr">
        <is>
          <t>https://www.idealista.com/inmueble/105732108/</t>
        </is>
      </c>
      <c r="E722" t="n">
        <v>5</v>
      </c>
      <c r="H722" t="n">
        <v>300</v>
      </c>
      <c r="J722" t="inlineStr">
        <is>
          <t>Santa Ponça, Calvià</t>
        </is>
      </c>
      <c r="K722" t="n">
        <v>31.1</v>
      </c>
      <c r="L722" t="n">
        <v>28</v>
      </c>
      <c r="M722" t="n">
        <v>73.90000000000001</v>
      </c>
      <c r="N722" t="n">
        <v>61</v>
      </c>
      <c r="O722" t="n">
        <v>15.2</v>
      </c>
      <c r="P722" t="n">
        <v>19</v>
      </c>
      <c r="Q722" t="n">
        <v>71.59999999999999</v>
      </c>
      <c r="R722" t="n">
        <v>57</v>
      </c>
      <c r="S722" t="n">
        <v>2250000</v>
      </c>
      <c r="T722" t="n">
        <v>7500</v>
      </c>
      <c r="AH722" t="inlineStr">
        <is>
          <t>Quelle: Idealista</t>
        </is>
      </c>
    </row>
    <row r="723">
      <c r="A723" t="n">
        <v>536</v>
      </c>
      <c r="B723" t="inlineStr">
        <is>
          <t>Casa independiente</t>
        </is>
      </c>
      <c r="C723" t="inlineStr">
        <is>
          <t>https://www.idealista.com/inmueble/107389989/</t>
        </is>
      </c>
      <c r="E723" t="n">
        <v>5</v>
      </c>
      <c r="H723" t="n">
        <v>375</v>
      </c>
      <c r="J723" t="inlineStr">
        <is>
          <t>El Toro, Calvià</t>
        </is>
      </c>
      <c r="K723" t="n">
        <v>35.4</v>
      </c>
      <c r="L723" t="n">
        <v>33</v>
      </c>
      <c r="M723" t="n">
        <v>78.09999999999999</v>
      </c>
      <c r="N723" t="n">
        <v>66</v>
      </c>
      <c r="O723" t="n">
        <v>19.5</v>
      </c>
      <c r="P723" t="n">
        <v>24</v>
      </c>
      <c r="Q723" t="n">
        <v>75.8</v>
      </c>
      <c r="R723" t="n">
        <v>63</v>
      </c>
      <c r="S723" t="n">
        <v>2750000</v>
      </c>
      <c r="T723" t="n">
        <v>7333</v>
      </c>
      <c r="AH723" t="inlineStr">
        <is>
          <t>Quelle: Idealista</t>
        </is>
      </c>
    </row>
    <row r="724">
      <c r="A724" t="n">
        <v>537</v>
      </c>
      <c r="B724" t="inlineStr">
        <is>
          <t>Casa independiente en CL Castella</t>
        </is>
      </c>
      <c r="C724" t="inlineStr">
        <is>
          <t>https://www.idealista.com/inmueble/109838091/</t>
        </is>
      </c>
      <c r="E724" t="n">
        <v>5</v>
      </c>
      <c r="H724" t="n">
        <v>694</v>
      </c>
      <c r="J724" t="inlineStr">
        <is>
          <t>Santa Ponça, Calvià</t>
        </is>
      </c>
      <c r="K724" t="n">
        <v>31.1</v>
      </c>
      <c r="L724" t="n">
        <v>28</v>
      </c>
      <c r="M724" t="n">
        <v>73.90000000000001</v>
      </c>
      <c r="N724" t="n">
        <v>61</v>
      </c>
      <c r="O724" t="n">
        <v>15.2</v>
      </c>
      <c r="P724" t="n">
        <v>19</v>
      </c>
      <c r="Q724" t="n">
        <v>71.59999999999999</v>
      </c>
      <c r="R724" t="n">
        <v>57</v>
      </c>
      <c r="S724" t="n">
        <v>4750000</v>
      </c>
      <c r="T724" t="n">
        <v>6844</v>
      </c>
      <c r="AH724" t="inlineStr">
        <is>
          <t>Quelle: Idealista</t>
        </is>
      </c>
    </row>
    <row r="725">
      <c r="A725" t="n">
        <v>538</v>
      </c>
      <c r="B725" t="inlineStr">
        <is>
          <t>Chalet en calle de Sant Rafel</t>
        </is>
      </c>
      <c r="C725" t="inlineStr">
        <is>
          <t>https://www.idealista.com/inmueble/109899397/</t>
        </is>
      </c>
      <c r="E725" t="n">
        <v>5</v>
      </c>
      <c r="H725" t="n">
        <v>284</v>
      </c>
      <c r="J725" t="inlineStr">
        <is>
          <t>Costa d'En Blanes, Calvià</t>
        </is>
      </c>
      <c r="K725" t="n">
        <v>23.3</v>
      </c>
      <c r="L725" t="n">
        <v>21</v>
      </c>
      <c r="M725" t="n">
        <v>66.09999999999999</v>
      </c>
      <c r="N725" t="n">
        <v>54</v>
      </c>
      <c r="O725" t="n">
        <v>21</v>
      </c>
      <c r="P725" t="n">
        <v>21</v>
      </c>
      <c r="Q725" t="n">
        <v>63.8</v>
      </c>
      <c r="R725" t="n">
        <v>51</v>
      </c>
      <c r="S725" t="n">
        <v>3800000</v>
      </c>
      <c r="T725" t="n">
        <v>13380</v>
      </c>
      <c r="AH725" t="inlineStr">
        <is>
          <t>Quelle: Idealista</t>
        </is>
      </c>
    </row>
    <row r="726">
      <c r="A726" t="n">
        <v>539</v>
      </c>
      <c r="B726" t="inlineStr">
        <is>
          <t>Casa independiente</t>
        </is>
      </c>
      <c r="C726" t="inlineStr">
        <is>
          <t>https://www.idealista.com/inmueble/107961069/</t>
        </is>
      </c>
      <c r="E726" t="n">
        <v>6</v>
      </c>
      <c r="H726" t="n">
        <v>456</v>
      </c>
      <c r="J726" t="inlineStr">
        <is>
          <t>Santa Ponça, Calvià</t>
        </is>
      </c>
      <c r="K726" t="n">
        <v>31.1</v>
      </c>
      <c r="L726" t="n">
        <v>28</v>
      </c>
      <c r="M726" t="n">
        <v>73.90000000000001</v>
      </c>
      <c r="N726" t="n">
        <v>61</v>
      </c>
      <c r="O726" t="n">
        <v>15.2</v>
      </c>
      <c r="P726" t="n">
        <v>19</v>
      </c>
      <c r="Q726" t="n">
        <v>71.59999999999999</v>
      </c>
      <c r="R726" t="n">
        <v>57</v>
      </c>
      <c r="S726" t="n">
        <v>3650000</v>
      </c>
      <c r="T726" t="n">
        <v>8004</v>
      </c>
      <c r="AH726" t="inlineStr">
        <is>
          <t>Quelle: Idealista</t>
        </is>
      </c>
    </row>
    <row r="727">
      <c r="A727" t="n">
        <v>540</v>
      </c>
      <c r="B727" t="inlineStr">
        <is>
          <t>Chalet</t>
        </is>
      </c>
      <c r="C727" t="inlineStr">
        <is>
          <t>https://www.idealista.com/inmueble/109873268/</t>
        </is>
      </c>
      <c r="E727" t="n">
        <v>5</v>
      </c>
      <c r="H727" t="n">
        <v>458</v>
      </c>
      <c r="J727" t="inlineStr">
        <is>
          <t>Santa Ponça, Calvià</t>
        </is>
      </c>
      <c r="K727" t="n">
        <v>31.1</v>
      </c>
      <c r="L727" t="n">
        <v>28</v>
      </c>
      <c r="M727" t="n">
        <v>73.90000000000001</v>
      </c>
      <c r="N727" t="n">
        <v>61</v>
      </c>
      <c r="O727" t="n">
        <v>15.2</v>
      </c>
      <c r="P727" t="n">
        <v>19</v>
      </c>
      <c r="Q727" t="n">
        <v>71.59999999999999</v>
      </c>
      <c r="R727" t="n">
        <v>57</v>
      </c>
      <c r="S727" t="n">
        <v>2300000</v>
      </c>
      <c r="T727" t="n">
        <v>5022</v>
      </c>
      <c r="AH727" t="inlineStr">
        <is>
          <t>Quelle: Idealista</t>
        </is>
      </c>
    </row>
    <row r="728">
      <c r="A728" t="n">
        <v>541</v>
      </c>
      <c r="B728" t="inlineStr">
        <is>
          <t>Casa independiente</t>
        </is>
      </c>
      <c r="C728" t="inlineStr">
        <is>
          <t>https://www.idealista.com/inmueble/109870616/</t>
        </is>
      </c>
      <c r="E728" t="n">
        <v>6</v>
      </c>
      <c r="H728" t="n">
        <v>160</v>
      </c>
      <c r="J728" t="inlineStr">
        <is>
          <t>Palmanova, Calvià</t>
        </is>
      </c>
      <c r="K728" t="n">
        <v>25.9</v>
      </c>
      <c r="L728" t="n">
        <v>24</v>
      </c>
      <c r="M728" t="n">
        <v>68.59999999999999</v>
      </c>
      <c r="N728" t="n">
        <v>57</v>
      </c>
      <c r="O728" t="n">
        <v>18.5</v>
      </c>
      <c r="P728" t="n">
        <v>21</v>
      </c>
      <c r="Q728" t="n">
        <v>66.3</v>
      </c>
      <c r="R728" t="n">
        <v>54</v>
      </c>
      <c r="S728" t="n">
        <v>3950000</v>
      </c>
      <c r="T728" t="n">
        <v>24688</v>
      </c>
      <c r="AH728" t="inlineStr">
        <is>
          <t>Quelle: Idealista</t>
        </is>
      </c>
    </row>
    <row r="729">
      <c r="A729" t="n">
        <v>542</v>
      </c>
      <c r="B729" t="inlineStr">
        <is>
          <t>Chalet</t>
        </is>
      </c>
      <c r="C729" t="inlineStr">
        <is>
          <t>https://www.idealista.com/inmueble/109801944/</t>
        </is>
      </c>
      <c r="E729" t="n">
        <v>6</v>
      </c>
      <c r="H729" t="n">
        <v>632</v>
      </c>
      <c r="J729" t="inlineStr">
        <is>
          <t>Santa Ponça, Calvià</t>
        </is>
      </c>
      <c r="K729" t="n">
        <v>31.1</v>
      </c>
      <c r="L729" t="n">
        <v>28</v>
      </c>
      <c r="M729" t="n">
        <v>73.90000000000001</v>
      </c>
      <c r="N729" t="n">
        <v>61</v>
      </c>
      <c r="O729" t="n">
        <v>15.2</v>
      </c>
      <c r="P729" t="n">
        <v>19</v>
      </c>
      <c r="Q729" t="n">
        <v>71.59999999999999</v>
      </c>
      <c r="R729" t="n">
        <v>57</v>
      </c>
      <c r="S729" t="n">
        <v>2600000</v>
      </c>
      <c r="T729" t="n">
        <v>4114</v>
      </c>
      <c r="AH729" t="inlineStr">
        <is>
          <t>Quelle: Idealista</t>
        </is>
      </c>
    </row>
    <row r="730">
      <c r="A730" t="n">
        <v>543</v>
      </c>
      <c r="B730" t="inlineStr">
        <is>
          <t>Chalet</t>
        </is>
      </c>
      <c r="C730" t="inlineStr">
        <is>
          <t>https://www.idealista.com/inmueble/109844706/</t>
        </is>
      </c>
      <c r="E730" t="n">
        <v>5</v>
      </c>
      <c r="H730" t="n">
        <v>283</v>
      </c>
      <c r="J730" t="inlineStr">
        <is>
          <t>Santa Ponça, Calvià</t>
        </is>
      </c>
      <c r="K730" t="n">
        <v>31.1</v>
      </c>
      <c r="L730" t="n">
        <v>28</v>
      </c>
      <c r="M730" t="n">
        <v>73.90000000000001</v>
      </c>
      <c r="N730" t="n">
        <v>61</v>
      </c>
      <c r="O730" t="n">
        <v>15.2</v>
      </c>
      <c r="P730" t="n">
        <v>19</v>
      </c>
      <c r="Q730" t="n">
        <v>71.59999999999999</v>
      </c>
      <c r="R730" t="n">
        <v>57</v>
      </c>
      <c r="S730" t="n">
        <v>3690000</v>
      </c>
      <c r="T730" t="n">
        <v>13039</v>
      </c>
      <c r="AH730" t="inlineStr">
        <is>
          <t>Quelle: Idealista</t>
        </is>
      </c>
    </row>
    <row r="731">
      <c r="A731" t="n">
        <v>544</v>
      </c>
      <c r="B731" t="inlineStr">
        <is>
          <t>Casa independiente en calle de Gaspar M. de Jovellanos</t>
        </is>
      </c>
      <c r="C731" t="inlineStr">
        <is>
          <t>https://www.idealista.com/inmueble/107552770/</t>
        </is>
      </c>
      <c r="E731" t="n">
        <v>5</v>
      </c>
      <c r="H731" t="n">
        <v>330</v>
      </c>
      <c r="J731" t="inlineStr">
        <is>
          <t>Santa Ponça, Calvià</t>
        </is>
      </c>
      <c r="K731" t="n">
        <v>31.1</v>
      </c>
      <c r="L731" t="n">
        <v>28</v>
      </c>
      <c r="M731" t="n">
        <v>73.90000000000001</v>
      </c>
      <c r="N731" t="n">
        <v>61</v>
      </c>
      <c r="O731" t="n">
        <v>15.2</v>
      </c>
      <c r="P731" t="n">
        <v>19</v>
      </c>
      <c r="Q731" t="n">
        <v>71.59999999999999</v>
      </c>
      <c r="R731" t="n">
        <v>57</v>
      </c>
      <c r="S731" t="n">
        <v>2750000</v>
      </c>
      <c r="T731" t="n">
        <v>8333</v>
      </c>
      <c r="AH731" t="inlineStr">
        <is>
          <t>Quelle: Idealista</t>
        </is>
      </c>
    </row>
    <row r="732">
      <c r="A732" t="n">
        <v>545</v>
      </c>
      <c r="B732" t="inlineStr">
        <is>
          <t>Casa independiente en avenida del Golf</t>
        </is>
      </c>
      <c r="C732" t="inlineStr">
        <is>
          <t>https://www.idealista.com/inmueble/107034013/</t>
        </is>
      </c>
      <c r="E732" t="n">
        <v>5</v>
      </c>
      <c r="H732" t="n">
        <v>300</v>
      </c>
      <c r="J732" t="inlineStr">
        <is>
          <t>Santa Ponça, Calvià</t>
        </is>
      </c>
      <c r="K732" t="n">
        <v>31.1</v>
      </c>
      <c r="L732" t="n">
        <v>28</v>
      </c>
      <c r="M732" t="n">
        <v>73.90000000000001</v>
      </c>
      <c r="N732" t="n">
        <v>61</v>
      </c>
      <c r="O732" t="n">
        <v>15.2</v>
      </c>
      <c r="P732" t="n">
        <v>19</v>
      </c>
      <c r="Q732" t="n">
        <v>71.59999999999999</v>
      </c>
      <c r="R732" t="n">
        <v>57</v>
      </c>
      <c r="S732" t="n">
        <v>2500000</v>
      </c>
      <c r="T732" t="n">
        <v>8333</v>
      </c>
      <c r="AH732" t="inlineStr">
        <is>
          <t>Quelle: Idealista</t>
        </is>
      </c>
    </row>
    <row r="733">
      <c r="A733" t="n">
        <v>546</v>
      </c>
      <c r="B733" t="inlineStr">
        <is>
          <t>Casa independiente</t>
        </is>
      </c>
      <c r="C733" t="inlineStr">
        <is>
          <t>https://www.idealista.com/inmueble/107011341/</t>
        </is>
      </c>
      <c r="E733" t="n">
        <v>5</v>
      </c>
      <c r="H733" t="n">
        <v>300</v>
      </c>
      <c r="J733" t="inlineStr">
        <is>
          <t>Santa Ponça, Calvià</t>
        </is>
      </c>
      <c r="K733" t="n">
        <v>31.1</v>
      </c>
      <c r="L733" t="n">
        <v>28</v>
      </c>
      <c r="M733" t="n">
        <v>73.90000000000001</v>
      </c>
      <c r="N733" t="n">
        <v>61</v>
      </c>
      <c r="O733" t="n">
        <v>15.2</v>
      </c>
      <c r="P733" t="n">
        <v>19</v>
      </c>
      <c r="Q733" t="n">
        <v>71.59999999999999</v>
      </c>
      <c r="R733" t="n">
        <v>57</v>
      </c>
      <c r="S733" t="n">
        <v>2750000</v>
      </c>
      <c r="T733" t="n">
        <v>9167</v>
      </c>
      <c r="AH733" t="inlineStr">
        <is>
          <t>Quelle: Idealista</t>
        </is>
      </c>
    </row>
    <row r="734">
      <c r="A734" t="n">
        <v>547</v>
      </c>
      <c r="B734" t="inlineStr">
        <is>
          <t>Casa independiente</t>
        </is>
      </c>
      <c r="C734" t="inlineStr">
        <is>
          <t>https://www.idealista.com/inmueble/109808179/</t>
        </is>
      </c>
      <c r="E734" t="n">
        <v>5</v>
      </c>
      <c r="H734" t="n">
        <v>812</v>
      </c>
      <c r="J734" t="inlineStr">
        <is>
          <t>Sol de Mallorca, Calvià</t>
        </is>
      </c>
      <c r="K734" t="n">
        <v>32.2</v>
      </c>
      <c r="L734" t="n">
        <v>31</v>
      </c>
      <c r="M734" t="n">
        <v>75</v>
      </c>
      <c r="N734" t="n">
        <v>64</v>
      </c>
      <c r="O734" t="n">
        <v>21.2</v>
      </c>
      <c r="P734" t="n">
        <v>25</v>
      </c>
      <c r="Q734" t="n">
        <v>72.7</v>
      </c>
      <c r="R734" t="n">
        <v>60</v>
      </c>
      <c r="S734" t="n">
        <v>5650000</v>
      </c>
      <c r="T734" t="n">
        <v>6958</v>
      </c>
      <c r="AH734" t="inlineStr">
        <is>
          <t>Quelle: Idealista</t>
        </is>
      </c>
    </row>
    <row r="735">
      <c r="A735" t="n">
        <v>548</v>
      </c>
      <c r="B735" t="inlineStr">
        <is>
          <t>Casa independiente</t>
        </is>
      </c>
      <c r="C735" t="inlineStr">
        <is>
          <t>https://www.idealista.com/inmueble/109807384/</t>
        </is>
      </c>
      <c r="E735" t="n">
        <v>5</v>
      </c>
      <c r="H735" t="n">
        <v>899</v>
      </c>
      <c r="J735" t="inlineStr">
        <is>
          <t>Sol de Mallorca, Calvià</t>
        </is>
      </c>
      <c r="K735" t="n">
        <v>32.2</v>
      </c>
      <c r="L735" t="n">
        <v>31</v>
      </c>
      <c r="M735" t="n">
        <v>75</v>
      </c>
      <c r="N735" t="n">
        <v>64</v>
      </c>
      <c r="O735" t="n">
        <v>21.2</v>
      </c>
      <c r="P735" t="n">
        <v>25</v>
      </c>
      <c r="Q735" t="n">
        <v>72.7</v>
      </c>
      <c r="R735" t="n">
        <v>60</v>
      </c>
      <c r="S735" t="n">
        <v>5950000</v>
      </c>
      <c r="T735" t="n">
        <v>6618</v>
      </c>
      <c r="AH735" t="inlineStr">
        <is>
          <t>Quelle: Idealista</t>
        </is>
      </c>
    </row>
    <row r="736">
      <c r="A736" t="n">
        <v>549</v>
      </c>
      <c r="B736" t="inlineStr">
        <is>
          <t>Casa independiente en calle Califòrnia</t>
        </is>
      </c>
      <c r="C736" t="inlineStr">
        <is>
          <t>https://www.idealista.com/inmueble/108709021/</t>
        </is>
      </c>
      <c r="E736" t="n">
        <v>7</v>
      </c>
      <c r="H736" t="n">
        <v>247</v>
      </c>
      <c r="J736" t="inlineStr">
        <is>
          <t>Bendinat, Calvià</t>
        </is>
      </c>
      <c r="K736" t="n">
        <v>23.1</v>
      </c>
      <c r="L736" t="n">
        <v>22</v>
      </c>
      <c r="M736" t="n">
        <v>65.8</v>
      </c>
      <c r="N736" t="n">
        <v>55</v>
      </c>
      <c r="O736" t="n">
        <v>23.2</v>
      </c>
      <c r="P736" t="n">
        <v>23</v>
      </c>
      <c r="Q736" t="n">
        <v>63.5</v>
      </c>
      <c r="R736" t="n">
        <v>51</v>
      </c>
      <c r="S736" t="n">
        <v>2500000</v>
      </c>
      <c r="T736" t="n">
        <v>10121</v>
      </c>
      <c r="AH736" t="inlineStr">
        <is>
          <t>Quelle: Idealista</t>
        </is>
      </c>
    </row>
    <row r="737">
      <c r="A737" t="n">
        <v>550</v>
      </c>
      <c r="B737" t="inlineStr">
        <is>
          <t>Casa independiente</t>
        </is>
      </c>
      <c r="C737" t="inlineStr">
        <is>
          <t>https://www.idealista.com/inmueble/109784489/</t>
        </is>
      </c>
      <c r="E737" t="n">
        <v>5</v>
      </c>
      <c r="H737" t="n">
        <v>456</v>
      </c>
      <c r="J737" t="inlineStr">
        <is>
          <t>Santa Ponça, Calvià</t>
        </is>
      </c>
      <c r="K737" t="n">
        <v>31.1</v>
      </c>
      <c r="L737" t="n">
        <v>28</v>
      </c>
      <c r="M737" t="n">
        <v>73.90000000000001</v>
      </c>
      <c r="N737" t="n">
        <v>61</v>
      </c>
      <c r="O737" t="n">
        <v>15.2</v>
      </c>
      <c r="P737" t="n">
        <v>19</v>
      </c>
      <c r="Q737" t="n">
        <v>71.59999999999999</v>
      </c>
      <c r="R737" t="n">
        <v>57</v>
      </c>
      <c r="S737" t="n">
        <v>3650000</v>
      </c>
      <c r="T737" t="n">
        <v>8004</v>
      </c>
      <c r="AH737" t="inlineStr">
        <is>
          <t>Quelle: Idealista</t>
        </is>
      </c>
    </row>
    <row r="738">
      <c r="A738" t="n">
        <v>551</v>
      </c>
      <c r="B738" t="inlineStr">
        <is>
          <t>Finca rústica</t>
        </is>
      </c>
      <c r="C738" t="inlineStr">
        <is>
          <t>https://www.idealista.com/inmueble/109748367/</t>
        </is>
      </c>
      <c r="E738" t="n">
        <v>5</v>
      </c>
      <c r="H738" t="n">
        <v>400</v>
      </c>
      <c r="J738" t="inlineStr">
        <is>
          <t>Es Capdellà, Calvià</t>
        </is>
      </c>
      <c r="K738" t="n">
        <v>34.8</v>
      </c>
      <c r="L738" t="n">
        <v>33</v>
      </c>
      <c r="M738" t="n">
        <v>77.5</v>
      </c>
      <c r="N738" t="n">
        <v>66</v>
      </c>
      <c r="O738" t="n">
        <v>13.6</v>
      </c>
      <c r="P738" t="n">
        <v>19</v>
      </c>
      <c r="Q738" t="n">
        <v>75.2</v>
      </c>
      <c r="R738" t="n">
        <v>63</v>
      </c>
      <c r="S738" t="n">
        <v>3850000</v>
      </c>
      <c r="T738" t="n">
        <v>9625</v>
      </c>
      <c r="AH738" t="inlineStr">
        <is>
          <t>Quelle: Idealista</t>
        </is>
      </c>
    </row>
    <row r="739">
      <c r="A739" t="n">
        <v>552</v>
      </c>
      <c r="B739" t="inlineStr">
        <is>
          <t>Casa independiente</t>
        </is>
      </c>
      <c r="C739" t="inlineStr">
        <is>
          <t>https://www.idealista.com/inmueble/97283231/</t>
        </is>
      </c>
      <c r="E739" t="n">
        <v>5</v>
      </c>
      <c r="H739" t="n">
        <v>460</v>
      </c>
      <c r="J739" t="inlineStr">
        <is>
          <t>Cala Vinyes, Calvià</t>
        </is>
      </c>
      <c r="K739" t="n">
        <v>31.5</v>
      </c>
      <c r="L739" t="n">
        <v>31</v>
      </c>
      <c r="M739" t="n">
        <v>74.3</v>
      </c>
      <c r="N739" t="n">
        <v>64</v>
      </c>
      <c r="O739" t="n">
        <v>20.4</v>
      </c>
      <c r="P739" t="n">
        <v>25</v>
      </c>
      <c r="Q739" t="n">
        <v>72</v>
      </c>
      <c r="R739" t="n">
        <v>60</v>
      </c>
      <c r="S739" t="n">
        <v>3900000</v>
      </c>
      <c r="T739" t="n">
        <v>8478</v>
      </c>
      <c r="AH739" t="inlineStr">
        <is>
          <t>Quelle: Idealista</t>
        </is>
      </c>
    </row>
    <row r="740">
      <c r="A740" t="n">
        <v>553</v>
      </c>
      <c r="B740" t="inlineStr">
        <is>
          <t>Casa independiente</t>
        </is>
      </c>
      <c r="C740" t="inlineStr">
        <is>
          <t>https://www.idealista.com/inmueble/109713468/</t>
        </is>
      </c>
      <c r="E740" t="n">
        <v>5</v>
      </c>
      <c r="H740" t="n">
        <v>448</v>
      </c>
      <c r="J740" t="inlineStr">
        <is>
          <t>Calvià pueblo, Calvià</t>
        </is>
      </c>
      <c r="K740" t="n">
        <v>31.1</v>
      </c>
      <c r="L740" t="n">
        <v>28</v>
      </c>
      <c r="M740" t="n">
        <v>73.90000000000001</v>
      </c>
      <c r="N740" t="n">
        <v>61</v>
      </c>
      <c r="O740" t="n">
        <v>19.4</v>
      </c>
      <c r="P740" t="n">
        <v>22</v>
      </c>
      <c r="Q740" t="n">
        <v>71.59999999999999</v>
      </c>
      <c r="R740" t="n">
        <v>58</v>
      </c>
      <c r="S740" t="n">
        <v>4600000</v>
      </c>
      <c r="T740" t="n">
        <v>10268</v>
      </c>
      <c r="AH740" t="inlineStr">
        <is>
          <t>Quelle: Idealista</t>
        </is>
      </c>
    </row>
    <row r="741">
      <c r="A741" t="n">
        <v>554</v>
      </c>
      <c r="B741" t="inlineStr">
        <is>
          <t>Casa independiente</t>
        </is>
      </c>
      <c r="C741" t="inlineStr">
        <is>
          <t>https://www.idealista.com/inmueble/108426706/</t>
        </is>
      </c>
      <c r="E741" t="n">
        <v>5</v>
      </c>
      <c r="H741" t="n">
        <v>443</v>
      </c>
      <c r="J741" t="inlineStr">
        <is>
          <t>Costa d'En Blanes, Calvià</t>
        </is>
      </c>
      <c r="K741" t="n">
        <v>23.3</v>
      </c>
      <c r="L741" t="n">
        <v>21</v>
      </c>
      <c r="M741" t="n">
        <v>66.09999999999999</v>
      </c>
      <c r="N741" t="n">
        <v>54</v>
      </c>
      <c r="O741" t="n">
        <v>21</v>
      </c>
      <c r="P741" t="n">
        <v>21</v>
      </c>
      <c r="Q741" t="n">
        <v>63.8</v>
      </c>
      <c r="R741" t="n">
        <v>51</v>
      </c>
      <c r="S741" t="n">
        <v>5400000</v>
      </c>
      <c r="T741" t="n">
        <v>12190</v>
      </c>
      <c r="AH741" t="inlineStr">
        <is>
          <t>Quelle: Idealista</t>
        </is>
      </c>
    </row>
    <row r="742">
      <c r="A742" t="n">
        <v>555</v>
      </c>
      <c r="B742" t="inlineStr">
        <is>
          <t>Chalet</t>
        </is>
      </c>
      <c r="C742" t="inlineStr">
        <is>
          <t>https://www.idealista.com/inmueble/109652739/</t>
        </is>
      </c>
      <c r="E742" t="n">
        <v>5</v>
      </c>
      <c r="H742" t="n">
        <v>280</v>
      </c>
      <c r="J742" t="inlineStr">
        <is>
          <t>Costa d'En Blanes, Calvià</t>
        </is>
      </c>
      <c r="K742" t="n">
        <v>23.3</v>
      </c>
      <c r="L742" t="n">
        <v>21</v>
      </c>
      <c r="M742" t="n">
        <v>66.09999999999999</v>
      </c>
      <c r="N742" t="n">
        <v>54</v>
      </c>
      <c r="O742" t="n">
        <v>21</v>
      </c>
      <c r="P742" t="n">
        <v>21</v>
      </c>
      <c r="Q742" t="n">
        <v>63.8</v>
      </c>
      <c r="R742" t="n">
        <v>51</v>
      </c>
      <c r="S742" t="n">
        <v>5250000</v>
      </c>
      <c r="T742" t="n">
        <v>18750</v>
      </c>
      <c r="AH742" t="inlineStr">
        <is>
          <t>Quelle: Idealista</t>
        </is>
      </c>
    </row>
    <row r="743">
      <c r="A743" t="n">
        <v>556</v>
      </c>
      <c r="B743" t="inlineStr">
        <is>
          <t>Casa independiente</t>
        </is>
      </c>
      <c r="C743" t="inlineStr">
        <is>
          <t>https://www.idealista.com/inmueble/109566182/</t>
        </is>
      </c>
      <c r="E743" t="n">
        <v>6</v>
      </c>
      <c r="H743" t="n">
        <v>288</v>
      </c>
      <c r="J743" t="inlineStr">
        <is>
          <t>Santa Ponça, Calvià</t>
        </is>
      </c>
      <c r="K743" t="n">
        <v>31.1</v>
      </c>
      <c r="L743" t="n">
        <v>28</v>
      </c>
      <c r="M743" t="n">
        <v>73.90000000000001</v>
      </c>
      <c r="N743" t="n">
        <v>61</v>
      </c>
      <c r="O743" t="n">
        <v>15.2</v>
      </c>
      <c r="P743" t="n">
        <v>19</v>
      </c>
      <c r="Q743" t="n">
        <v>71.59999999999999</v>
      </c>
      <c r="R743" t="n">
        <v>57</v>
      </c>
      <c r="S743" t="n">
        <v>2250000</v>
      </c>
      <c r="T743" t="n">
        <v>7812</v>
      </c>
      <c r="AH743" t="inlineStr">
        <is>
          <t>Quelle: Idealista</t>
        </is>
      </c>
    </row>
    <row r="744">
      <c r="A744" t="n">
        <v>557</v>
      </c>
      <c r="B744" t="inlineStr">
        <is>
          <t>Casa independiente</t>
        </is>
      </c>
      <c r="C744" t="inlineStr">
        <is>
          <t>https://www.idealista.com/inmueble/109563623/</t>
        </is>
      </c>
      <c r="E744" t="n">
        <v>5</v>
      </c>
      <c r="H744" t="n">
        <v>497</v>
      </c>
      <c r="J744" t="inlineStr">
        <is>
          <t>Bendinat, Calvià</t>
        </is>
      </c>
      <c r="K744" t="n">
        <v>23.1</v>
      </c>
      <c r="L744" t="n">
        <v>22</v>
      </c>
      <c r="M744" t="n">
        <v>65.8</v>
      </c>
      <c r="N744" t="n">
        <v>55</v>
      </c>
      <c r="O744" t="n">
        <v>23.2</v>
      </c>
      <c r="P744" t="n">
        <v>23</v>
      </c>
      <c r="Q744" t="n">
        <v>63.5</v>
      </c>
      <c r="R744" t="n">
        <v>51</v>
      </c>
      <c r="S744" t="n">
        <v>3950000</v>
      </c>
      <c r="T744" t="n">
        <v>7948</v>
      </c>
      <c r="AH744" t="inlineStr">
        <is>
          <t>Quelle: Idealista</t>
        </is>
      </c>
    </row>
    <row r="745">
      <c r="A745" t="n">
        <v>558</v>
      </c>
      <c r="B745" t="inlineStr">
        <is>
          <t>Casa independiente</t>
        </is>
      </c>
      <c r="C745" t="inlineStr">
        <is>
          <t>https://www.idealista.com/inmueble/109556263/</t>
        </is>
      </c>
      <c r="E745" t="n">
        <v>5</v>
      </c>
      <c r="H745" t="n">
        <v>452</v>
      </c>
      <c r="J745" t="inlineStr">
        <is>
          <t>Santa Ponça, Calvià</t>
        </is>
      </c>
      <c r="K745" t="n">
        <v>31.1</v>
      </c>
      <c r="L745" t="n">
        <v>28</v>
      </c>
      <c r="M745" t="n">
        <v>73.90000000000001</v>
      </c>
      <c r="N745" t="n">
        <v>61</v>
      </c>
      <c r="O745" t="n">
        <v>15.2</v>
      </c>
      <c r="P745" t="n">
        <v>19</v>
      </c>
      <c r="Q745" t="n">
        <v>71.59999999999999</v>
      </c>
      <c r="R745" t="n">
        <v>57</v>
      </c>
      <c r="S745" t="n">
        <v>3595000</v>
      </c>
      <c r="T745" t="n">
        <v>7954</v>
      </c>
      <c r="AH745" t="inlineStr">
        <is>
          <t>Quelle: Idealista</t>
        </is>
      </c>
    </row>
    <row r="746">
      <c r="A746" t="n">
        <v>559</v>
      </c>
      <c r="B746" t="inlineStr">
        <is>
          <t>Casa independiente en calle del Falcó</t>
        </is>
      </c>
      <c r="C746" t="inlineStr">
        <is>
          <t>https://www.idealista.com/inmueble/109464664/</t>
        </is>
      </c>
      <c r="E746" t="n">
        <v>8</v>
      </c>
      <c r="H746" t="n">
        <v>721</v>
      </c>
      <c r="J746" t="inlineStr">
        <is>
          <t>Cas Catala, Calvià</t>
        </is>
      </c>
      <c r="K746" t="n">
        <v>20</v>
      </c>
      <c r="L746" t="n">
        <v>22</v>
      </c>
      <c r="M746" t="n">
        <v>62.8</v>
      </c>
      <c r="N746" t="n">
        <v>55</v>
      </c>
      <c r="O746" t="n">
        <v>23.7</v>
      </c>
      <c r="P746" t="n">
        <v>23</v>
      </c>
      <c r="Q746" t="n">
        <v>60.5</v>
      </c>
      <c r="R746" t="n">
        <v>51</v>
      </c>
      <c r="S746" t="n">
        <v>6450000</v>
      </c>
      <c r="T746" t="n">
        <v>8946</v>
      </c>
      <c r="AH746" t="inlineStr">
        <is>
          <t>Quelle: Idealista</t>
        </is>
      </c>
    </row>
    <row r="747">
      <c r="A747" t="n">
        <v>560</v>
      </c>
      <c r="B747" t="inlineStr">
        <is>
          <t>Casa independiente</t>
        </is>
      </c>
      <c r="C747" t="inlineStr">
        <is>
          <t>https://www.idealista.com/inmueble/109120608/</t>
        </is>
      </c>
      <c r="E747" t="n">
        <v>5</v>
      </c>
      <c r="H747" t="n">
        <v>329</v>
      </c>
      <c r="J747" t="inlineStr">
        <is>
          <t>Santa Ponça, Calvià</t>
        </is>
      </c>
      <c r="K747" t="n">
        <v>31.1</v>
      </c>
      <c r="L747" t="n">
        <v>28</v>
      </c>
      <c r="M747" t="n">
        <v>73.90000000000001</v>
      </c>
      <c r="N747" t="n">
        <v>61</v>
      </c>
      <c r="O747" t="n">
        <v>15.2</v>
      </c>
      <c r="P747" t="n">
        <v>19</v>
      </c>
      <c r="Q747" t="n">
        <v>71.59999999999999</v>
      </c>
      <c r="R747" t="n">
        <v>57</v>
      </c>
      <c r="S747" t="n">
        <v>4200000</v>
      </c>
      <c r="T747" t="n">
        <v>12766</v>
      </c>
      <c r="AH747" t="inlineStr">
        <is>
          <t>Quelle: Idealista</t>
        </is>
      </c>
    </row>
    <row r="748">
      <c r="A748" t="n">
        <v>561</v>
      </c>
      <c r="B748" t="inlineStr">
        <is>
          <t>Casa independiente</t>
        </is>
      </c>
      <c r="C748" t="inlineStr">
        <is>
          <t>https://www.idealista.com/inmueble/109437472/</t>
        </is>
      </c>
      <c r="E748" t="n">
        <v>5</v>
      </c>
      <c r="H748" t="n">
        <v>375</v>
      </c>
      <c r="J748" t="inlineStr">
        <is>
          <t>Santa Ponça, Calvià</t>
        </is>
      </c>
      <c r="K748" t="n">
        <v>31.1</v>
      </c>
      <c r="L748" t="n">
        <v>28</v>
      </c>
      <c r="M748" t="n">
        <v>73.90000000000001</v>
      </c>
      <c r="N748" t="n">
        <v>61</v>
      </c>
      <c r="O748" t="n">
        <v>15.2</v>
      </c>
      <c r="P748" t="n">
        <v>19</v>
      </c>
      <c r="Q748" t="n">
        <v>71.59999999999999</v>
      </c>
      <c r="R748" t="n">
        <v>57</v>
      </c>
      <c r="S748" t="n">
        <v>2750000</v>
      </c>
      <c r="T748" t="n">
        <v>7333</v>
      </c>
      <c r="AH748" t="inlineStr">
        <is>
          <t>Quelle: Idealista</t>
        </is>
      </c>
    </row>
    <row r="749">
      <c r="A749" t="n">
        <v>562</v>
      </c>
      <c r="B749" t="inlineStr">
        <is>
          <t>Casa independiente</t>
        </is>
      </c>
      <c r="C749" t="inlineStr">
        <is>
          <t>https://www.idealista.com/inmueble/105598597/</t>
        </is>
      </c>
      <c r="E749" t="n">
        <v>5</v>
      </c>
      <c r="H749" t="n">
        <v>375</v>
      </c>
      <c r="J749" t="inlineStr">
        <is>
          <t>Santa Ponça, Calvià</t>
        </is>
      </c>
      <c r="K749" t="n">
        <v>31.1</v>
      </c>
      <c r="L749" t="n">
        <v>28</v>
      </c>
      <c r="M749" t="n">
        <v>73.90000000000001</v>
      </c>
      <c r="N749" t="n">
        <v>61</v>
      </c>
      <c r="O749" t="n">
        <v>15.2</v>
      </c>
      <c r="P749" t="n">
        <v>19</v>
      </c>
      <c r="Q749" t="n">
        <v>71.59999999999999</v>
      </c>
      <c r="R749" t="n">
        <v>57</v>
      </c>
      <c r="S749" t="n">
        <v>2750000</v>
      </c>
      <c r="T749" t="n">
        <v>7333</v>
      </c>
      <c r="AH749" t="inlineStr">
        <is>
          <t>Quelle: Idealista</t>
        </is>
      </c>
    </row>
    <row r="750">
      <c r="A750" t="n">
        <v>563</v>
      </c>
      <c r="B750" t="inlineStr">
        <is>
          <t>Casa independiente</t>
        </is>
      </c>
      <c r="C750" t="inlineStr">
        <is>
          <t>https://www.idealista.com/inmueble/109430643/</t>
        </is>
      </c>
      <c r="E750" t="n">
        <v>5</v>
      </c>
      <c r="H750" t="n">
        <v>588</v>
      </c>
      <c r="J750" t="inlineStr">
        <is>
          <t>Es Capdellà, Calvià</t>
        </is>
      </c>
      <c r="K750" t="n">
        <v>34.8</v>
      </c>
      <c r="L750" t="n">
        <v>33</v>
      </c>
      <c r="M750" t="n">
        <v>77.5</v>
      </c>
      <c r="N750" t="n">
        <v>66</v>
      </c>
      <c r="O750" t="n">
        <v>13.6</v>
      </c>
      <c r="P750" t="n">
        <v>19</v>
      </c>
      <c r="Q750" t="n">
        <v>75.2</v>
      </c>
      <c r="R750" t="n">
        <v>63</v>
      </c>
      <c r="S750" t="n">
        <v>2650000</v>
      </c>
      <c r="T750" t="n">
        <v>4507</v>
      </c>
      <c r="AH750" t="inlineStr">
        <is>
          <t>Quelle: Idealista</t>
        </is>
      </c>
    </row>
    <row r="751">
      <c r="A751" t="n">
        <v>564</v>
      </c>
      <c r="B751" t="inlineStr">
        <is>
          <t>Casa rural</t>
        </is>
      </c>
      <c r="C751" t="inlineStr">
        <is>
          <t>https://www.idealista.com/inmueble/109394951/</t>
        </is>
      </c>
      <c r="E751" t="n">
        <v>5</v>
      </c>
      <c r="H751" t="n">
        <v>331</v>
      </c>
      <c r="J751" t="inlineStr">
        <is>
          <t>Calvià pueblo, Calvià</t>
        </is>
      </c>
      <c r="K751" t="n">
        <v>31.1</v>
      </c>
      <c r="L751" t="n">
        <v>28</v>
      </c>
      <c r="M751" t="n">
        <v>73.90000000000001</v>
      </c>
      <c r="N751" t="n">
        <v>61</v>
      </c>
      <c r="O751" t="n">
        <v>19.4</v>
      </c>
      <c r="P751" t="n">
        <v>22</v>
      </c>
      <c r="Q751" t="n">
        <v>71.59999999999999</v>
      </c>
      <c r="R751" t="n">
        <v>58</v>
      </c>
      <c r="S751" t="n">
        <v>2170000</v>
      </c>
      <c r="T751" t="n">
        <v>6556</v>
      </c>
      <c r="AH751" t="inlineStr">
        <is>
          <t>Quelle: Idealista</t>
        </is>
      </c>
    </row>
    <row r="752">
      <c r="A752" t="n">
        <v>565</v>
      </c>
      <c r="B752" t="inlineStr">
        <is>
          <t>Casa independiente</t>
        </is>
      </c>
      <c r="C752" t="inlineStr">
        <is>
          <t>https://www.idealista.com/inmueble/109300571/</t>
        </is>
      </c>
      <c r="E752" t="n">
        <v>5</v>
      </c>
      <c r="H752" t="n">
        <v>478</v>
      </c>
      <c r="J752" t="inlineStr">
        <is>
          <t>Santa Ponça, Calvià</t>
        </is>
      </c>
      <c r="K752" t="n">
        <v>31.1</v>
      </c>
      <c r="L752" t="n">
        <v>28</v>
      </c>
      <c r="M752" t="n">
        <v>73.90000000000001</v>
      </c>
      <c r="N752" t="n">
        <v>61</v>
      </c>
      <c r="O752" t="n">
        <v>15.2</v>
      </c>
      <c r="P752" t="n">
        <v>19</v>
      </c>
      <c r="Q752" t="n">
        <v>71.59999999999999</v>
      </c>
      <c r="R752" t="n">
        <v>57</v>
      </c>
      <c r="S752" t="n">
        <v>5950000</v>
      </c>
      <c r="T752" t="n">
        <v>12448</v>
      </c>
      <c r="AH752" t="inlineStr">
        <is>
          <t>Quelle: Idealista</t>
        </is>
      </c>
    </row>
    <row r="753">
      <c r="A753" t="n">
        <v>566</v>
      </c>
      <c r="B753" t="inlineStr">
        <is>
          <t>Chalet</t>
        </is>
      </c>
      <c r="C753" t="inlineStr">
        <is>
          <t>https://www.idealista.com/inmueble/109287772/</t>
        </is>
      </c>
      <c r="E753" t="n">
        <v>5</v>
      </c>
      <c r="H753" t="n">
        <v>396</v>
      </c>
      <c r="J753" t="inlineStr">
        <is>
          <t>Costa d'En Blanes, Calvià</t>
        </is>
      </c>
      <c r="K753" t="n">
        <v>23.3</v>
      </c>
      <c r="L753" t="n">
        <v>21</v>
      </c>
      <c r="M753" t="n">
        <v>66.09999999999999</v>
      </c>
      <c r="N753" t="n">
        <v>54</v>
      </c>
      <c r="O753" t="n">
        <v>21</v>
      </c>
      <c r="P753" t="n">
        <v>21</v>
      </c>
      <c r="Q753" t="n">
        <v>63.8</v>
      </c>
      <c r="R753" t="n">
        <v>51</v>
      </c>
      <c r="S753" t="n">
        <v>4250000</v>
      </c>
      <c r="T753" t="n">
        <v>10732</v>
      </c>
      <c r="AH753" t="inlineStr">
        <is>
          <t>Quelle: Idealista</t>
        </is>
      </c>
    </row>
    <row r="754">
      <c r="A754" t="n">
        <v>567</v>
      </c>
      <c r="B754" t="inlineStr">
        <is>
          <t>Casa independiente</t>
        </is>
      </c>
      <c r="C754" t="inlineStr">
        <is>
          <t>https://www.idealista.com/inmueble/109282470/</t>
        </is>
      </c>
      <c r="E754" t="n">
        <v>5</v>
      </c>
      <c r="H754" t="n">
        <v>400</v>
      </c>
      <c r="J754" t="inlineStr">
        <is>
          <t>Costa d'En Blanes, Calvià</t>
        </is>
      </c>
      <c r="K754" t="n">
        <v>23.3</v>
      </c>
      <c r="L754" t="n">
        <v>21</v>
      </c>
      <c r="M754" t="n">
        <v>66.09999999999999</v>
      </c>
      <c r="N754" t="n">
        <v>54</v>
      </c>
      <c r="O754" t="n">
        <v>21</v>
      </c>
      <c r="P754" t="n">
        <v>21</v>
      </c>
      <c r="Q754" t="n">
        <v>63.8</v>
      </c>
      <c r="R754" t="n">
        <v>51</v>
      </c>
      <c r="S754" t="n">
        <v>4250000</v>
      </c>
      <c r="T754" t="n">
        <v>10625</v>
      </c>
      <c r="AH754" t="inlineStr">
        <is>
          <t>Quelle: Idealista</t>
        </is>
      </c>
    </row>
    <row r="755">
      <c r="A755" t="n">
        <v>568</v>
      </c>
      <c r="B755" t="inlineStr">
        <is>
          <t>Casa independiente</t>
        </is>
      </c>
      <c r="C755" t="inlineStr">
        <is>
          <t>https://www.idealista.com/inmueble/108540990/</t>
        </is>
      </c>
      <c r="E755" t="n">
        <v>6</v>
      </c>
      <c r="H755" t="n">
        <v>420</v>
      </c>
      <c r="J755" t="inlineStr">
        <is>
          <t>Palmanova, Calvià</t>
        </is>
      </c>
      <c r="K755" t="n">
        <v>25.9</v>
      </c>
      <c r="L755" t="n">
        <v>24</v>
      </c>
      <c r="M755" t="n">
        <v>68.59999999999999</v>
      </c>
      <c r="N755" t="n">
        <v>57</v>
      </c>
      <c r="O755" t="n">
        <v>18.5</v>
      </c>
      <c r="P755" t="n">
        <v>21</v>
      </c>
      <c r="Q755" t="n">
        <v>66.3</v>
      </c>
      <c r="R755" t="n">
        <v>54</v>
      </c>
      <c r="S755" t="n">
        <v>3950000</v>
      </c>
      <c r="T755" t="n">
        <v>9405</v>
      </c>
      <c r="AH755" t="inlineStr">
        <is>
          <t>Quelle: Idealista</t>
        </is>
      </c>
    </row>
    <row r="756">
      <c r="A756" t="n">
        <v>569</v>
      </c>
      <c r="B756" t="inlineStr">
        <is>
          <t>Chalet</t>
        </is>
      </c>
      <c r="C756" t="inlineStr">
        <is>
          <t>https://www.idealista.com/inmueble/109221462/</t>
        </is>
      </c>
      <c r="E756" t="n">
        <v>5</v>
      </c>
      <c r="H756" t="n">
        <v>264</v>
      </c>
      <c r="J756" t="inlineStr">
        <is>
          <t>Peguera, Calvià</t>
        </is>
      </c>
      <c r="K756" t="n">
        <v>35.3</v>
      </c>
      <c r="L756" t="n">
        <v>30</v>
      </c>
      <c r="M756" t="n">
        <v>78</v>
      </c>
      <c r="N756" t="n">
        <v>63</v>
      </c>
      <c r="O756" t="n">
        <v>9.1</v>
      </c>
      <c r="P756" t="n">
        <v>14</v>
      </c>
      <c r="Q756" t="n">
        <v>75.7</v>
      </c>
      <c r="R756" t="n">
        <v>60</v>
      </c>
      <c r="S756" t="n">
        <v>2950000</v>
      </c>
      <c r="T756" t="n">
        <v>11174</v>
      </c>
      <c r="AH756" t="inlineStr">
        <is>
          <t>Quelle: Idealista</t>
        </is>
      </c>
    </row>
    <row r="757">
      <c r="A757" t="n">
        <v>570</v>
      </c>
      <c r="B757" t="inlineStr">
        <is>
          <t>Casa independiente</t>
        </is>
      </c>
      <c r="C757" t="inlineStr">
        <is>
          <t>https://www.idealista.com/inmueble/109205672/</t>
        </is>
      </c>
      <c r="E757" t="n">
        <v>5</v>
      </c>
      <c r="H757" t="n">
        <v>254</v>
      </c>
      <c r="J757" t="inlineStr">
        <is>
          <t>Costa d'En Blanes, Calvià</t>
        </is>
      </c>
      <c r="K757" t="n">
        <v>23.3</v>
      </c>
      <c r="L757" t="n">
        <v>21</v>
      </c>
      <c r="M757" t="n">
        <v>66.09999999999999</v>
      </c>
      <c r="N757" t="n">
        <v>54</v>
      </c>
      <c r="O757" t="n">
        <v>21</v>
      </c>
      <c r="P757" t="n">
        <v>21</v>
      </c>
      <c r="Q757" t="n">
        <v>63.8</v>
      </c>
      <c r="R757" t="n">
        <v>51</v>
      </c>
      <c r="S757" t="n">
        <v>2950000</v>
      </c>
      <c r="T757" t="n">
        <v>11614</v>
      </c>
      <c r="AH757" t="inlineStr">
        <is>
          <t>Quelle: Idealista</t>
        </is>
      </c>
    </row>
    <row r="758">
      <c r="A758" t="n">
        <v>571</v>
      </c>
      <c r="B758" t="inlineStr">
        <is>
          <t>Casa independiente</t>
        </is>
      </c>
      <c r="C758" t="inlineStr">
        <is>
          <t>https://www.idealista.com/inmueble/109202489/</t>
        </is>
      </c>
      <c r="E758" t="n">
        <v>5</v>
      </c>
      <c r="H758" t="n">
        <v>396</v>
      </c>
      <c r="J758" t="inlineStr">
        <is>
          <t>Santa Ponça, Calvià</t>
        </is>
      </c>
      <c r="K758" t="n">
        <v>31.1</v>
      </c>
      <c r="L758" t="n">
        <v>28</v>
      </c>
      <c r="M758" t="n">
        <v>73.90000000000001</v>
      </c>
      <c r="N758" t="n">
        <v>61</v>
      </c>
      <c r="O758" t="n">
        <v>15.2</v>
      </c>
      <c r="P758" t="n">
        <v>19</v>
      </c>
      <c r="Q758" t="n">
        <v>71.59999999999999</v>
      </c>
      <c r="R758" t="n">
        <v>57</v>
      </c>
      <c r="S758" t="n">
        <v>3750000</v>
      </c>
      <c r="T758" t="n">
        <v>9470</v>
      </c>
      <c r="AH758" t="inlineStr">
        <is>
          <t>Quelle: Idealista</t>
        </is>
      </c>
    </row>
    <row r="759">
      <c r="A759" t="n">
        <v>572</v>
      </c>
      <c r="B759" t="inlineStr">
        <is>
          <t>Casa independiente</t>
        </is>
      </c>
      <c r="C759" t="inlineStr">
        <is>
          <t>https://www.idealista.com/inmueble/102736954/</t>
        </is>
      </c>
      <c r="E759" t="n">
        <v>7</v>
      </c>
      <c r="H759" t="n">
        <v>716</v>
      </c>
      <c r="J759" t="inlineStr">
        <is>
          <t>Bendinat, Calvià</t>
        </is>
      </c>
      <c r="K759" t="n">
        <v>23.1</v>
      </c>
      <c r="L759" t="n">
        <v>22</v>
      </c>
      <c r="M759" t="n">
        <v>65.8</v>
      </c>
      <c r="N759" t="n">
        <v>55</v>
      </c>
      <c r="O759" t="n">
        <v>23.2</v>
      </c>
      <c r="P759" t="n">
        <v>23</v>
      </c>
      <c r="Q759" t="n">
        <v>63.5</v>
      </c>
      <c r="R759" t="n">
        <v>51</v>
      </c>
      <c r="S759" t="n">
        <v>4400000</v>
      </c>
      <c r="T759" t="n">
        <v>6145</v>
      </c>
      <c r="AH759" t="inlineStr">
        <is>
          <t>Quelle: Idealista</t>
        </is>
      </c>
    </row>
    <row r="760">
      <c r="A760" t="n">
        <v>573</v>
      </c>
      <c r="B760" t="inlineStr">
        <is>
          <t>Casa independiente</t>
        </is>
      </c>
      <c r="C760" t="inlineStr">
        <is>
          <t>https://www.idealista.com/inmueble/108983576/</t>
        </is>
      </c>
      <c r="E760" t="n">
        <v>5</v>
      </c>
      <c r="H760" t="n">
        <v>464</v>
      </c>
      <c r="J760" t="inlineStr">
        <is>
          <t>Costa de la Calma, Calvià</t>
        </is>
      </c>
      <c r="K760" t="n">
        <v>32.6</v>
      </c>
      <c r="L760" t="n">
        <v>29</v>
      </c>
      <c r="M760" t="n">
        <v>75.40000000000001</v>
      </c>
      <c r="N760" t="n">
        <v>62</v>
      </c>
      <c r="O760" t="n">
        <v>13.7</v>
      </c>
      <c r="P760" t="n">
        <v>18</v>
      </c>
      <c r="Q760" t="n">
        <v>73.09999999999999</v>
      </c>
      <c r="R760" t="n">
        <v>58</v>
      </c>
      <c r="S760" t="n">
        <v>2550000</v>
      </c>
      <c r="T760" t="n">
        <v>5496</v>
      </c>
      <c r="AH760" t="inlineStr">
        <is>
          <t>Quelle: Idealista</t>
        </is>
      </c>
    </row>
    <row r="761">
      <c r="A761" t="n">
        <v>574</v>
      </c>
      <c r="B761" t="inlineStr">
        <is>
          <t>Casa independiente</t>
        </is>
      </c>
      <c r="C761" t="inlineStr">
        <is>
          <t>https://www.idealista.com/inmueble/107260529/</t>
        </is>
      </c>
      <c r="E761" t="n">
        <v>6</v>
      </c>
      <c r="H761" t="n">
        <v>357</v>
      </c>
      <c r="J761" t="inlineStr">
        <is>
          <t>Santa Ponça, Calvià</t>
        </is>
      </c>
      <c r="K761" t="n">
        <v>31.1</v>
      </c>
      <c r="L761" t="n">
        <v>28</v>
      </c>
      <c r="M761" t="n">
        <v>73.90000000000001</v>
      </c>
      <c r="N761" t="n">
        <v>61</v>
      </c>
      <c r="O761" t="n">
        <v>15.2</v>
      </c>
      <c r="P761" t="n">
        <v>19</v>
      </c>
      <c r="Q761" t="n">
        <v>71.59999999999999</v>
      </c>
      <c r="R761" t="n">
        <v>57</v>
      </c>
      <c r="S761" t="n">
        <v>2750000</v>
      </c>
      <c r="T761" t="n">
        <v>7703</v>
      </c>
      <c r="AH761" t="inlineStr">
        <is>
          <t>Quelle: Idealista</t>
        </is>
      </c>
    </row>
    <row r="762">
      <c r="A762" t="n">
        <v>575</v>
      </c>
      <c r="B762" t="inlineStr">
        <is>
          <t>Chalet</t>
        </is>
      </c>
      <c r="C762" t="inlineStr">
        <is>
          <t>https://www.idealista.com/inmueble/109101502/</t>
        </is>
      </c>
      <c r="E762" t="n">
        <v>6</v>
      </c>
      <c r="H762" t="n">
        <v>458</v>
      </c>
      <c r="J762" t="inlineStr">
        <is>
          <t>Portals Nous, Calvià</t>
        </is>
      </c>
      <c r="K762" t="n">
        <v>23.8</v>
      </c>
      <c r="L762" t="n">
        <v>23</v>
      </c>
      <c r="M762" t="n">
        <v>66.59999999999999</v>
      </c>
      <c r="N762" t="n">
        <v>56</v>
      </c>
      <c r="O762" t="n">
        <v>21.8</v>
      </c>
      <c r="P762" t="n">
        <v>22</v>
      </c>
      <c r="Q762" t="n">
        <v>64.3</v>
      </c>
      <c r="R762" t="n">
        <v>52</v>
      </c>
      <c r="S762" t="n">
        <v>5250000</v>
      </c>
      <c r="T762" t="n">
        <v>11463</v>
      </c>
      <c r="AH762" t="inlineStr">
        <is>
          <t>Quelle: Idealista</t>
        </is>
      </c>
    </row>
    <row r="763">
      <c r="A763" t="n">
        <v>576</v>
      </c>
      <c r="B763" t="inlineStr">
        <is>
          <t>Casa independiente</t>
        </is>
      </c>
      <c r="C763" t="inlineStr">
        <is>
          <t>https://www.idealista.com/inmueble/109095107/</t>
        </is>
      </c>
      <c r="E763" t="n">
        <v>5</v>
      </c>
      <c r="H763" t="n">
        <v>756</v>
      </c>
      <c r="J763" t="inlineStr">
        <is>
          <t>Santa Ponça, Calvià</t>
        </is>
      </c>
      <c r="K763" t="n">
        <v>31.1</v>
      </c>
      <c r="L763" t="n">
        <v>28</v>
      </c>
      <c r="M763" t="n">
        <v>73.90000000000001</v>
      </c>
      <c r="N763" t="n">
        <v>61</v>
      </c>
      <c r="O763" t="n">
        <v>15.2</v>
      </c>
      <c r="P763" t="n">
        <v>19</v>
      </c>
      <c r="Q763" t="n">
        <v>71.59999999999999</v>
      </c>
      <c r="R763" t="n">
        <v>57</v>
      </c>
      <c r="S763" t="n">
        <v>3900000</v>
      </c>
      <c r="T763" t="n">
        <v>5159</v>
      </c>
      <c r="AH763" t="inlineStr">
        <is>
          <t>Quelle: Idealista</t>
        </is>
      </c>
    </row>
    <row r="764">
      <c r="A764" t="n">
        <v>577</v>
      </c>
      <c r="B764" t="inlineStr">
        <is>
          <t>Casa independiente</t>
        </is>
      </c>
      <c r="C764" t="inlineStr">
        <is>
          <t>https://www.idealista.com/inmueble/109080456/</t>
        </is>
      </c>
      <c r="E764" t="n">
        <v>5</v>
      </c>
      <c r="H764" t="n">
        <v>620</v>
      </c>
      <c r="J764" t="inlineStr">
        <is>
          <t>Santa Ponça, Calvià</t>
        </is>
      </c>
      <c r="K764" t="n">
        <v>31.1</v>
      </c>
      <c r="L764" t="n">
        <v>28</v>
      </c>
      <c r="M764" t="n">
        <v>73.90000000000001</v>
      </c>
      <c r="N764" t="n">
        <v>61</v>
      </c>
      <c r="O764" t="n">
        <v>15.2</v>
      </c>
      <c r="P764" t="n">
        <v>19</v>
      </c>
      <c r="Q764" t="n">
        <v>71.59999999999999</v>
      </c>
      <c r="R764" t="n">
        <v>57</v>
      </c>
      <c r="S764" t="n">
        <v>2999500</v>
      </c>
      <c r="T764" t="n">
        <v>4838</v>
      </c>
      <c r="AH764" t="inlineStr">
        <is>
          <t>Quelle: Idealista</t>
        </is>
      </c>
    </row>
    <row r="765">
      <c r="A765" t="n">
        <v>578</v>
      </c>
      <c r="B765" t="inlineStr">
        <is>
          <t>Casa independiente</t>
        </is>
      </c>
      <c r="C765" t="inlineStr">
        <is>
          <t>https://www.idealista.com/inmueble/109079741/</t>
        </is>
      </c>
      <c r="E765" t="n">
        <v>5</v>
      </c>
      <c r="H765" t="n">
        <v>450</v>
      </c>
      <c r="J765" t="inlineStr">
        <is>
          <t>Santa Ponça, Calvià</t>
        </is>
      </c>
      <c r="K765" t="n">
        <v>31.1</v>
      </c>
      <c r="L765" t="n">
        <v>28</v>
      </c>
      <c r="M765" t="n">
        <v>73.90000000000001</v>
      </c>
      <c r="N765" t="n">
        <v>61</v>
      </c>
      <c r="O765" t="n">
        <v>15.2</v>
      </c>
      <c r="P765" t="n">
        <v>19</v>
      </c>
      <c r="Q765" t="n">
        <v>71.59999999999999</v>
      </c>
      <c r="R765" t="n">
        <v>57</v>
      </c>
      <c r="S765" t="n">
        <v>4000000</v>
      </c>
      <c r="T765" t="n">
        <v>8889</v>
      </c>
      <c r="AH765" t="inlineStr">
        <is>
          <t>Quelle: Idealista</t>
        </is>
      </c>
    </row>
    <row r="766">
      <c r="A766" t="n">
        <v>579</v>
      </c>
      <c r="B766" t="inlineStr">
        <is>
          <t>Casa independiente en calle Gran Via Puig Sant Salvador</t>
        </is>
      </c>
      <c r="C766" t="inlineStr">
        <is>
          <t>https://www.idealista.com/inmueble/109078139/</t>
        </is>
      </c>
      <c r="E766" t="n">
        <v>6</v>
      </c>
      <c r="H766" t="n">
        <v>580</v>
      </c>
      <c r="J766" t="inlineStr">
        <is>
          <t>Santa Ponça, Calvià</t>
        </is>
      </c>
      <c r="K766" t="n">
        <v>31.1</v>
      </c>
      <c r="L766" t="n">
        <v>28</v>
      </c>
      <c r="M766" t="n">
        <v>73.90000000000001</v>
      </c>
      <c r="N766" t="n">
        <v>61</v>
      </c>
      <c r="O766" t="n">
        <v>15.2</v>
      </c>
      <c r="P766" t="n">
        <v>19</v>
      </c>
      <c r="Q766" t="n">
        <v>71.59999999999999</v>
      </c>
      <c r="R766" t="n">
        <v>57</v>
      </c>
      <c r="S766" t="n">
        <v>4495000</v>
      </c>
      <c r="T766" t="n">
        <v>7750</v>
      </c>
      <c r="AH766" t="inlineStr">
        <is>
          <t>Quelle: Idealista</t>
        </is>
      </c>
    </row>
    <row r="767">
      <c r="A767" t="n">
        <v>580</v>
      </c>
      <c r="B767" t="inlineStr">
        <is>
          <t>Casa independiente en calle Gran Via Illa Tagomago</t>
        </is>
      </c>
      <c r="C767" t="inlineStr">
        <is>
          <t>https://www.idealista.com/inmueble/109077836/</t>
        </is>
      </c>
      <c r="E767" t="n">
        <v>5</v>
      </c>
      <c r="H767" t="n">
        <v>357</v>
      </c>
      <c r="J767" t="inlineStr">
        <is>
          <t>Santa Ponça, Calvià</t>
        </is>
      </c>
      <c r="K767" t="n">
        <v>31.1</v>
      </c>
      <c r="L767" t="n">
        <v>28</v>
      </c>
      <c r="M767" t="n">
        <v>73.90000000000001</v>
      </c>
      <c r="N767" t="n">
        <v>61</v>
      </c>
      <c r="O767" t="n">
        <v>15.2</v>
      </c>
      <c r="P767" t="n">
        <v>19</v>
      </c>
      <c r="Q767" t="n">
        <v>71.59999999999999</v>
      </c>
      <c r="R767" t="n">
        <v>57</v>
      </c>
      <c r="S767" t="n">
        <v>2750000</v>
      </c>
      <c r="T767" t="n">
        <v>7703</v>
      </c>
      <c r="AH767" t="inlineStr">
        <is>
          <t>Quelle: Idealista</t>
        </is>
      </c>
    </row>
    <row r="768">
      <c r="A768" t="n">
        <v>581</v>
      </c>
      <c r="B768" t="inlineStr">
        <is>
          <t>Chalet</t>
        </is>
      </c>
      <c r="C768" t="inlineStr">
        <is>
          <t>https://www.idealista.com/inmueble/109072523/</t>
        </is>
      </c>
      <c r="E768" t="n">
        <v>5</v>
      </c>
      <c r="H768" t="n">
        <v>570</v>
      </c>
      <c r="J768" t="inlineStr">
        <is>
          <t>Costa d'En Blanes, Calvià</t>
        </is>
      </c>
      <c r="K768" t="n">
        <v>23.3</v>
      </c>
      <c r="L768" t="n">
        <v>21</v>
      </c>
      <c r="M768" t="n">
        <v>66.09999999999999</v>
      </c>
      <c r="N768" t="n">
        <v>54</v>
      </c>
      <c r="O768" t="n">
        <v>21</v>
      </c>
      <c r="P768" t="n">
        <v>21</v>
      </c>
      <c r="Q768" t="n">
        <v>63.8</v>
      </c>
      <c r="R768" t="n">
        <v>51</v>
      </c>
      <c r="S768" t="n">
        <v>4850000</v>
      </c>
      <c r="T768" t="n">
        <v>8509</v>
      </c>
      <c r="AH768" t="inlineStr">
        <is>
          <t>Quelle: Idealista</t>
        </is>
      </c>
    </row>
    <row r="769">
      <c r="A769" t="n">
        <v>582</v>
      </c>
      <c r="B769" t="inlineStr">
        <is>
          <t>Casa independiente en calle de la Canera s/n</t>
        </is>
      </c>
      <c r="C769" t="inlineStr">
        <is>
          <t>https://www.idealista.com/inmueble/84324420/</t>
        </is>
      </c>
      <c r="E769" t="n">
        <v>5</v>
      </c>
      <c r="H769" t="n">
        <v>391</v>
      </c>
      <c r="J769" t="inlineStr">
        <is>
          <t>Calvià pueblo, Calvià</t>
        </is>
      </c>
      <c r="K769" t="n">
        <v>31.1</v>
      </c>
      <c r="L769" t="n">
        <v>28</v>
      </c>
      <c r="M769" t="n">
        <v>73.90000000000001</v>
      </c>
      <c r="N769" t="n">
        <v>61</v>
      </c>
      <c r="O769" t="n">
        <v>19.4</v>
      </c>
      <c r="P769" t="n">
        <v>22</v>
      </c>
      <c r="Q769" t="n">
        <v>71.59999999999999</v>
      </c>
      <c r="R769" t="n">
        <v>58</v>
      </c>
      <c r="S769" t="n">
        <v>2170000</v>
      </c>
      <c r="T769" t="n">
        <v>5550</v>
      </c>
      <c r="AH769" t="inlineStr">
        <is>
          <t>Quelle: Idealista</t>
        </is>
      </c>
    </row>
    <row r="770">
      <c r="A770" t="n">
        <v>583</v>
      </c>
      <c r="B770" t="inlineStr">
        <is>
          <t>Casa rural</t>
        </is>
      </c>
      <c r="C770" t="inlineStr">
        <is>
          <t>https://www.idealista.com/inmueble/109007756/</t>
        </is>
      </c>
      <c r="E770" t="n">
        <v>5</v>
      </c>
      <c r="H770" t="n">
        <v>231</v>
      </c>
      <c r="J770" t="inlineStr">
        <is>
          <t>Calvià pueblo, Calvià</t>
        </is>
      </c>
      <c r="K770" t="n">
        <v>31.1</v>
      </c>
      <c r="L770" t="n">
        <v>28</v>
      </c>
      <c r="M770" t="n">
        <v>73.90000000000001</v>
      </c>
      <c r="N770" t="n">
        <v>61</v>
      </c>
      <c r="O770" t="n">
        <v>19.4</v>
      </c>
      <c r="P770" t="n">
        <v>22</v>
      </c>
      <c r="Q770" t="n">
        <v>71.59999999999999</v>
      </c>
      <c r="R770" t="n">
        <v>58</v>
      </c>
      <c r="S770" t="n">
        <v>2170000</v>
      </c>
      <c r="T770" t="n">
        <v>9394</v>
      </c>
      <c r="AH770" t="inlineStr">
        <is>
          <t>Quelle: Idealista</t>
        </is>
      </c>
    </row>
    <row r="771">
      <c r="A771" t="n">
        <v>584</v>
      </c>
      <c r="B771" t="inlineStr">
        <is>
          <t>Casa independiente en calle del Corb</t>
        </is>
      </c>
      <c r="C771" t="inlineStr">
        <is>
          <t>https://www.idealista.com/inmueble/107857461/</t>
        </is>
      </c>
      <c r="E771" t="n">
        <v>5</v>
      </c>
      <c r="H771" t="n">
        <v>362</v>
      </c>
      <c r="J771" t="inlineStr">
        <is>
          <t>Cas Catala, Calvià</t>
        </is>
      </c>
      <c r="K771" t="n">
        <v>20</v>
      </c>
      <c r="L771" t="n">
        <v>22</v>
      </c>
      <c r="M771" t="n">
        <v>62.8</v>
      </c>
      <c r="N771" t="n">
        <v>55</v>
      </c>
      <c r="O771" t="n">
        <v>23.7</v>
      </c>
      <c r="P771" t="n">
        <v>23</v>
      </c>
      <c r="Q771" t="n">
        <v>60.5</v>
      </c>
      <c r="R771" t="n">
        <v>51</v>
      </c>
      <c r="S771" t="n">
        <v>4950000</v>
      </c>
      <c r="T771" t="n">
        <v>13674</v>
      </c>
      <c r="AH771" t="inlineStr">
        <is>
          <t>Quelle: Idealista</t>
        </is>
      </c>
    </row>
    <row r="772">
      <c r="A772" t="n">
        <v>585</v>
      </c>
      <c r="B772" t="inlineStr">
        <is>
          <t>Casa independiente</t>
        </is>
      </c>
      <c r="C772" t="inlineStr">
        <is>
          <t>https://www.idealista.com/inmueble/108965970/</t>
        </is>
      </c>
      <c r="E772" t="n">
        <v>6</v>
      </c>
      <c r="H772" t="n">
        <v>550</v>
      </c>
      <c r="J772" t="inlineStr">
        <is>
          <t>Costa d'En Blanes, Calvià</t>
        </is>
      </c>
      <c r="K772" t="n">
        <v>23.3</v>
      </c>
      <c r="L772" t="n">
        <v>21</v>
      </c>
      <c r="M772" t="n">
        <v>66.09999999999999</v>
      </c>
      <c r="N772" t="n">
        <v>54</v>
      </c>
      <c r="O772" t="n">
        <v>21</v>
      </c>
      <c r="P772" t="n">
        <v>21</v>
      </c>
      <c r="Q772" t="n">
        <v>63.8</v>
      </c>
      <c r="R772" t="n">
        <v>51</v>
      </c>
      <c r="S772" t="n">
        <v>5500000</v>
      </c>
      <c r="T772" t="n">
        <v>10000</v>
      </c>
      <c r="AH772" t="inlineStr">
        <is>
          <t>Quelle: Idealista</t>
        </is>
      </c>
    </row>
    <row r="773">
      <c r="A773" t="n">
        <v>586</v>
      </c>
      <c r="B773" t="inlineStr">
        <is>
          <t>Finca rústica</t>
        </is>
      </c>
      <c r="C773" t="inlineStr">
        <is>
          <t>https://www.idealista.com/inmueble/108964674/</t>
        </is>
      </c>
      <c r="E773" t="n">
        <v>5</v>
      </c>
      <c r="H773" t="n">
        <v>430</v>
      </c>
      <c r="J773" t="inlineStr">
        <is>
          <t>Calvià pueblo, Calvià</t>
        </is>
      </c>
      <c r="K773" t="n">
        <v>31.1</v>
      </c>
      <c r="L773" t="n">
        <v>28</v>
      </c>
      <c r="M773" t="n">
        <v>73.90000000000001</v>
      </c>
      <c r="N773" t="n">
        <v>61</v>
      </c>
      <c r="O773" t="n">
        <v>19.4</v>
      </c>
      <c r="P773" t="n">
        <v>22</v>
      </c>
      <c r="Q773" t="n">
        <v>71.59999999999999</v>
      </c>
      <c r="R773" t="n">
        <v>58</v>
      </c>
      <c r="S773" t="n">
        <v>2170000</v>
      </c>
      <c r="T773" t="n">
        <v>5047</v>
      </c>
      <c r="AH773" t="inlineStr">
        <is>
          <t>Quelle: Idealista</t>
        </is>
      </c>
    </row>
    <row r="774">
      <c r="A774" t="n">
        <v>587</v>
      </c>
      <c r="B774" t="inlineStr">
        <is>
          <t>Casa independiente</t>
        </is>
      </c>
      <c r="C774" t="inlineStr">
        <is>
          <t>https://www.idealista.com/inmueble/101993038/</t>
        </is>
      </c>
      <c r="E774" t="n">
        <v>5</v>
      </c>
      <c r="H774" t="n">
        <v>445</v>
      </c>
      <c r="J774" t="inlineStr">
        <is>
          <t>Santa Ponça, Calvià</t>
        </is>
      </c>
      <c r="K774" t="n">
        <v>31.1</v>
      </c>
      <c r="L774" t="n">
        <v>28</v>
      </c>
      <c r="M774" t="n">
        <v>73.90000000000001</v>
      </c>
      <c r="N774" t="n">
        <v>61</v>
      </c>
      <c r="O774" t="n">
        <v>15.2</v>
      </c>
      <c r="P774" t="n">
        <v>19</v>
      </c>
      <c r="Q774" t="n">
        <v>71.59999999999999</v>
      </c>
      <c r="R774" t="n">
        <v>57</v>
      </c>
      <c r="S774" t="n">
        <v>3450000</v>
      </c>
      <c r="T774" t="n">
        <v>7753</v>
      </c>
      <c r="AH774" t="inlineStr">
        <is>
          <t>Quelle: Idealista</t>
        </is>
      </c>
    </row>
    <row r="775">
      <c r="A775" t="n">
        <v>588</v>
      </c>
      <c r="B775" t="inlineStr">
        <is>
          <t>Casa independiente</t>
        </is>
      </c>
      <c r="C775" t="inlineStr">
        <is>
          <t>https://www.idealista.com/inmueble/108803415/</t>
        </is>
      </c>
      <c r="E775" t="n">
        <v>5</v>
      </c>
      <c r="H775" t="n">
        <v>292</v>
      </c>
      <c r="J775" t="inlineStr">
        <is>
          <t>Costa d'En Blanes, Calvià</t>
        </is>
      </c>
      <c r="K775" t="n">
        <v>23.3</v>
      </c>
      <c r="L775" t="n">
        <v>21</v>
      </c>
      <c r="M775" t="n">
        <v>66.09999999999999</v>
      </c>
      <c r="N775" t="n">
        <v>54</v>
      </c>
      <c r="O775" t="n">
        <v>21</v>
      </c>
      <c r="P775" t="n">
        <v>21</v>
      </c>
      <c r="Q775" t="n">
        <v>63.8</v>
      </c>
      <c r="R775" t="n">
        <v>51</v>
      </c>
      <c r="S775" t="n">
        <v>3400000</v>
      </c>
      <c r="T775" t="n">
        <v>11644</v>
      </c>
      <c r="AH775" t="inlineStr">
        <is>
          <t>Quelle: Idealista</t>
        </is>
      </c>
    </row>
    <row r="776">
      <c r="A776" t="n">
        <v>589</v>
      </c>
      <c r="B776" t="inlineStr">
        <is>
          <t>Casa independiente</t>
        </is>
      </c>
      <c r="C776" t="inlineStr">
        <is>
          <t>https://www.idealista.com/inmueble/108922183/</t>
        </is>
      </c>
      <c r="E776" t="n">
        <v>5</v>
      </c>
      <c r="H776" t="n">
        <v>400</v>
      </c>
      <c r="J776" t="inlineStr">
        <is>
          <t>Bendinat, Calvià</t>
        </is>
      </c>
      <c r="K776" t="n">
        <v>23.1</v>
      </c>
      <c r="L776" t="n">
        <v>22</v>
      </c>
      <c r="M776" t="n">
        <v>65.8</v>
      </c>
      <c r="N776" t="n">
        <v>55</v>
      </c>
      <c r="O776" t="n">
        <v>23.2</v>
      </c>
      <c r="P776" t="n">
        <v>23</v>
      </c>
      <c r="Q776" t="n">
        <v>63.5</v>
      </c>
      <c r="R776" t="n">
        <v>51</v>
      </c>
      <c r="S776" t="n">
        <v>3500000</v>
      </c>
      <c r="T776" t="n">
        <v>8750</v>
      </c>
      <c r="AH776" t="inlineStr">
        <is>
          <t>Quelle: Idealista</t>
        </is>
      </c>
    </row>
    <row r="777">
      <c r="A777" t="n">
        <v>590</v>
      </c>
      <c r="B777" t="inlineStr">
        <is>
          <t>Casa independiente</t>
        </is>
      </c>
      <c r="C777" t="inlineStr">
        <is>
          <t>https://www.idealista.com/inmueble/108913368/</t>
        </is>
      </c>
      <c r="E777" t="n">
        <v>5</v>
      </c>
      <c r="H777" t="n">
        <v>336</v>
      </c>
      <c r="J777" t="inlineStr">
        <is>
          <t>Santa Ponça, Calvià</t>
        </is>
      </c>
      <c r="K777" t="n">
        <v>31.1</v>
      </c>
      <c r="L777" t="n">
        <v>28</v>
      </c>
      <c r="M777" t="n">
        <v>73.90000000000001</v>
      </c>
      <c r="N777" t="n">
        <v>61</v>
      </c>
      <c r="O777" t="n">
        <v>15.2</v>
      </c>
      <c r="P777" t="n">
        <v>19</v>
      </c>
      <c r="Q777" t="n">
        <v>71.59999999999999</v>
      </c>
      <c r="R777" t="n">
        <v>57</v>
      </c>
      <c r="S777" t="n">
        <v>2750000</v>
      </c>
      <c r="T777" t="n">
        <v>8185</v>
      </c>
      <c r="AH777" t="inlineStr">
        <is>
          <t>Quelle: Idealista</t>
        </is>
      </c>
    </row>
    <row r="778">
      <c r="A778" t="n">
        <v>591</v>
      </c>
      <c r="B778" t="inlineStr">
        <is>
          <t>Casa independiente</t>
        </is>
      </c>
      <c r="C778" t="inlineStr">
        <is>
          <t>https://www.idealista.com/inmueble/108876924/</t>
        </is>
      </c>
      <c r="E778" t="n">
        <v>6</v>
      </c>
      <c r="H778" t="n">
        <v>1133</v>
      </c>
      <c r="J778" t="inlineStr">
        <is>
          <t>Santa Ponça, Calvià</t>
        </is>
      </c>
      <c r="K778" t="n">
        <v>31.1</v>
      </c>
      <c r="L778" t="n">
        <v>28</v>
      </c>
      <c r="M778" t="n">
        <v>73.90000000000001</v>
      </c>
      <c r="N778" t="n">
        <v>61</v>
      </c>
      <c r="O778" t="n">
        <v>15.2</v>
      </c>
      <c r="P778" t="n">
        <v>19</v>
      </c>
      <c r="Q778" t="n">
        <v>71.59999999999999</v>
      </c>
      <c r="R778" t="n">
        <v>57</v>
      </c>
      <c r="S778" t="n">
        <v>2600000</v>
      </c>
      <c r="T778" t="n">
        <v>2295</v>
      </c>
      <c r="AH778" t="inlineStr">
        <is>
          <t>Quelle: Idealista</t>
        </is>
      </c>
    </row>
    <row r="779">
      <c r="A779" t="n">
        <v>592</v>
      </c>
      <c r="B779" t="inlineStr">
        <is>
          <t>Casa independiente</t>
        </is>
      </c>
      <c r="C779" t="inlineStr">
        <is>
          <t>https://www.idealista.com/inmueble/108895055/</t>
        </is>
      </c>
      <c r="E779" t="n">
        <v>5</v>
      </c>
      <c r="H779" t="n">
        <v>649</v>
      </c>
      <c r="J779" t="inlineStr">
        <is>
          <t>Portals Nous, Calvià</t>
        </is>
      </c>
      <c r="K779" t="n">
        <v>23.8</v>
      </c>
      <c r="L779" t="n">
        <v>23</v>
      </c>
      <c r="M779" t="n">
        <v>66.59999999999999</v>
      </c>
      <c r="N779" t="n">
        <v>56</v>
      </c>
      <c r="O779" t="n">
        <v>21.8</v>
      </c>
      <c r="P779" t="n">
        <v>22</v>
      </c>
      <c r="Q779" t="n">
        <v>64.3</v>
      </c>
      <c r="R779" t="n">
        <v>52</v>
      </c>
      <c r="S779" t="n">
        <v>2950000</v>
      </c>
      <c r="T779" t="n">
        <v>4545</v>
      </c>
      <c r="AH779" t="inlineStr">
        <is>
          <t>Quelle: Idealista</t>
        </is>
      </c>
    </row>
    <row r="780">
      <c r="A780" t="n">
        <v>593</v>
      </c>
      <c r="B780" t="inlineStr">
        <is>
          <t>Casa independiente en calle Gran Via Illa Tagomago</t>
        </is>
      </c>
      <c r="C780" t="inlineStr">
        <is>
          <t>https://www.idealista.com/inmueble/108886256/</t>
        </is>
      </c>
      <c r="E780" t="n">
        <v>5</v>
      </c>
      <c r="H780" t="n">
        <v>330</v>
      </c>
      <c r="J780" t="inlineStr">
        <is>
          <t>Santa Ponça, Calvià</t>
        </is>
      </c>
      <c r="K780" t="n">
        <v>31.1</v>
      </c>
      <c r="L780" t="n">
        <v>28</v>
      </c>
      <c r="M780" t="n">
        <v>73.90000000000001</v>
      </c>
      <c r="N780" t="n">
        <v>61</v>
      </c>
      <c r="O780" t="n">
        <v>15.2</v>
      </c>
      <c r="P780" t="n">
        <v>19</v>
      </c>
      <c r="Q780" t="n">
        <v>71.59999999999999</v>
      </c>
      <c r="R780" t="n">
        <v>57</v>
      </c>
      <c r="S780" t="n">
        <v>2750000</v>
      </c>
      <c r="T780" t="n">
        <v>8333</v>
      </c>
      <c r="AH780" t="inlineStr">
        <is>
          <t>Quelle: Idealista</t>
        </is>
      </c>
    </row>
    <row r="781">
      <c r="A781" t="n">
        <v>594</v>
      </c>
      <c r="B781" t="inlineStr">
        <is>
          <t>Casa independiente</t>
        </is>
      </c>
      <c r="C781" t="inlineStr">
        <is>
          <t>https://www.idealista.com/inmueble/103201722/</t>
        </is>
      </c>
      <c r="E781" t="n">
        <v>7</v>
      </c>
      <c r="H781" t="n">
        <v>750</v>
      </c>
      <c r="J781" t="inlineStr">
        <is>
          <t>Cala Vinyes, Calvià</t>
        </is>
      </c>
      <c r="K781" t="n">
        <v>31.5</v>
      </c>
      <c r="L781" t="n">
        <v>31</v>
      </c>
      <c r="M781" t="n">
        <v>74.3</v>
      </c>
      <c r="N781" t="n">
        <v>64</v>
      </c>
      <c r="O781" t="n">
        <v>20.4</v>
      </c>
      <c r="P781" t="n">
        <v>25</v>
      </c>
      <c r="Q781" t="n">
        <v>72</v>
      </c>
      <c r="R781" t="n">
        <v>60</v>
      </c>
      <c r="S781" t="n">
        <v>2100000</v>
      </c>
      <c r="T781" t="n">
        <v>2800</v>
      </c>
      <c r="AH781" t="inlineStr">
        <is>
          <t>Quelle: Idealista</t>
        </is>
      </c>
    </row>
    <row r="782">
      <c r="A782" t="n">
        <v>595</v>
      </c>
      <c r="B782" t="inlineStr">
        <is>
          <t>Casa independiente</t>
        </is>
      </c>
      <c r="C782" t="inlineStr">
        <is>
          <t>https://www.idealista.com/inmueble/108874641/</t>
        </is>
      </c>
      <c r="E782" t="n">
        <v>5</v>
      </c>
      <c r="H782" t="n">
        <v>246</v>
      </c>
      <c r="J782" t="inlineStr">
        <is>
          <t>El Toro, Calvià</t>
        </is>
      </c>
      <c r="K782" t="n">
        <v>35.4</v>
      </c>
      <c r="L782" t="n">
        <v>33</v>
      </c>
      <c r="M782" t="n">
        <v>78.09999999999999</v>
      </c>
      <c r="N782" t="n">
        <v>66</v>
      </c>
      <c r="O782" t="n">
        <v>19.5</v>
      </c>
      <c r="P782" t="n">
        <v>24</v>
      </c>
      <c r="Q782" t="n">
        <v>75.8</v>
      </c>
      <c r="R782" t="n">
        <v>63</v>
      </c>
      <c r="S782" t="n">
        <v>2200000</v>
      </c>
      <c r="T782" t="n">
        <v>8943</v>
      </c>
      <c r="AH782" t="inlineStr">
        <is>
          <t>Quelle: Idealista</t>
        </is>
      </c>
    </row>
    <row r="783">
      <c r="A783" t="n">
        <v>596</v>
      </c>
      <c r="B783" t="inlineStr">
        <is>
          <t>Casa independiente</t>
        </is>
      </c>
      <c r="C783" t="inlineStr">
        <is>
          <t>https://www.idealista.com/inmueble/108874519/</t>
        </is>
      </c>
      <c r="E783" t="n">
        <v>9</v>
      </c>
      <c r="H783" t="n">
        <v>607</v>
      </c>
      <c r="J783" t="inlineStr">
        <is>
          <t>Peguera, Calvià</t>
        </is>
      </c>
      <c r="K783" t="n">
        <v>35.3</v>
      </c>
      <c r="L783" t="n">
        <v>30</v>
      </c>
      <c r="M783" t="n">
        <v>78</v>
      </c>
      <c r="N783" t="n">
        <v>63</v>
      </c>
      <c r="O783" t="n">
        <v>9.1</v>
      </c>
      <c r="P783" t="n">
        <v>14</v>
      </c>
      <c r="Q783" t="n">
        <v>75.7</v>
      </c>
      <c r="R783" t="n">
        <v>60</v>
      </c>
      <c r="S783" t="n">
        <v>4200000</v>
      </c>
      <c r="T783" t="n">
        <v>6919</v>
      </c>
      <c r="AH783" t="inlineStr">
        <is>
          <t>Quelle: Idealista</t>
        </is>
      </c>
    </row>
    <row r="784">
      <c r="A784" t="n">
        <v>597</v>
      </c>
      <c r="B784" t="inlineStr">
        <is>
          <t>Casa independiente en calle Gran Via Illa Tagomago</t>
        </is>
      </c>
      <c r="C784" t="inlineStr">
        <is>
          <t>https://www.idealista.com/inmueble/108864018/</t>
        </is>
      </c>
      <c r="E784" t="n">
        <v>5</v>
      </c>
      <c r="H784" t="n">
        <v>375</v>
      </c>
      <c r="J784" t="inlineStr">
        <is>
          <t>Santa Ponça, Calvià</t>
        </is>
      </c>
      <c r="K784" t="n">
        <v>31.1</v>
      </c>
      <c r="L784" t="n">
        <v>28</v>
      </c>
      <c r="M784" t="n">
        <v>73.90000000000001</v>
      </c>
      <c r="N784" t="n">
        <v>61</v>
      </c>
      <c r="O784" t="n">
        <v>15.2</v>
      </c>
      <c r="P784" t="n">
        <v>19</v>
      </c>
      <c r="Q784" t="n">
        <v>71.59999999999999</v>
      </c>
      <c r="R784" t="n">
        <v>57</v>
      </c>
      <c r="S784" t="n">
        <v>2750000</v>
      </c>
      <c r="T784" t="n">
        <v>7333</v>
      </c>
      <c r="AH784" t="inlineStr">
        <is>
          <t>Quelle: Idealista</t>
        </is>
      </c>
    </row>
    <row r="785">
      <c r="A785" t="n">
        <v>598</v>
      </c>
      <c r="B785" t="inlineStr">
        <is>
          <t>Casa independiente en calle Gran Via Illa Tagomago</t>
        </is>
      </c>
      <c r="C785" t="inlineStr">
        <is>
          <t>https://www.idealista.com/inmueble/108858375/</t>
        </is>
      </c>
      <c r="E785" t="n">
        <v>5</v>
      </c>
      <c r="H785" t="n">
        <v>439</v>
      </c>
      <c r="J785" t="inlineStr">
        <is>
          <t>Santa Ponça, Calvià</t>
        </is>
      </c>
      <c r="K785" t="n">
        <v>31.1</v>
      </c>
      <c r="L785" t="n">
        <v>28</v>
      </c>
      <c r="M785" t="n">
        <v>73.90000000000001</v>
      </c>
      <c r="N785" t="n">
        <v>61</v>
      </c>
      <c r="O785" t="n">
        <v>15.2</v>
      </c>
      <c r="P785" t="n">
        <v>19</v>
      </c>
      <c r="Q785" t="n">
        <v>71.59999999999999</v>
      </c>
      <c r="R785" t="n">
        <v>57</v>
      </c>
      <c r="S785" t="n">
        <v>3490000</v>
      </c>
      <c r="T785" t="n">
        <v>7950</v>
      </c>
      <c r="AH785" t="inlineStr">
        <is>
          <t>Quelle: Idealista</t>
        </is>
      </c>
    </row>
    <row r="786">
      <c r="A786" t="n">
        <v>599</v>
      </c>
      <c r="B786" t="inlineStr">
        <is>
          <t>Finca rústica</t>
        </is>
      </c>
      <c r="C786" t="inlineStr">
        <is>
          <t>https://www.idealista.com/inmueble/108836533/</t>
        </is>
      </c>
      <c r="E786" t="n">
        <v>5</v>
      </c>
      <c r="H786" t="n">
        <v>312</v>
      </c>
      <c r="J786" t="inlineStr">
        <is>
          <t>Calvià pueblo, Calvià</t>
        </is>
      </c>
      <c r="K786" t="n">
        <v>31.1</v>
      </c>
      <c r="L786" t="n">
        <v>28</v>
      </c>
      <c r="M786" t="n">
        <v>73.90000000000001</v>
      </c>
      <c r="N786" t="n">
        <v>61</v>
      </c>
      <c r="O786" t="n">
        <v>19.4</v>
      </c>
      <c r="P786" t="n">
        <v>22</v>
      </c>
      <c r="Q786" t="n">
        <v>71.59999999999999</v>
      </c>
      <c r="R786" t="n">
        <v>58</v>
      </c>
      <c r="S786" t="n">
        <v>2170000</v>
      </c>
      <c r="T786" t="n">
        <v>6955</v>
      </c>
      <c r="AH786" t="inlineStr">
        <is>
          <t>Quelle: Idealista</t>
        </is>
      </c>
    </row>
    <row r="787">
      <c r="A787" t="n">
        <v>600</v>
      </c>
      <c r="B787" t="inlineStr">
        <is>
          <t>Casa independiente</t>
        </is>
      </c>
      <c r="C787" t="inlineStr">
        <is>
          <t>https://www.idealista.com/inmueble/108831244/</t>
        </is>
      </c>
      <c r="E787" t="n">
        <v>5</v>
      </c>
      <c r="H787" t="n">
        <v>365</v>
      </c>
      <c r="J787" t="inlineStr">
        <is>
          <t>Santa Ponça, Calvià</t>
        </is>
      </c>
      <c r="K787" t="n">
        <v>31.1</v>
      </c>
      <c r="L787" t="n">
        <v>28</v>
      </c>
      <c r="M787" t="n">
        <v>73.90000000000001</v>
      </c>
      <c r="N787" t="n">
        <v>61</v>
      </c>
      <c r="O787" t="n">
        <v>15.2</v>
      </c>
      <c r="P787" t="n">
        <v>19</v>
      </c>
      <c r="Q787" t="n">
        <v>71.59999999999999</v>
      </c>
      <c r="R787" t="n">
        <v>57</v>
      </c>
      <c r="S787" t="n">
        <v>2750000</v>
      </c>
      <c r="T787" t="n">
        <v>7534</v>
      </c>
      <c r="AH787" t="inlineStr">
        <is>
          <t>Quelle: Idealista</t>
        </is>
      </c>
    </row>
    <row r="788">
      <c r="A788" t="n">
        <v>601</v>
      </c>
      <c r="B788" t="inlineStr">
        <is>
          <t>Casa independiente</t>
        </is>
      </c>
      <c r="C788" t="inlineStr">
        <is>
          <t>https://www.idealista.com/inmueble/108831002/</t>
        </is>
      </c>
      <c r="E788" t="n">
        <v>5</v>
      </c>
      <c r="H788" t="n">
        <v>517</v>
      </c>
      <c r="J788" t="inlineStr">
        <is>
          <t>Sol de Mallorca, Calvià</t>
        </is>
      </c>
      <c r="K788" t="n">
        <v>32.2</v>
      </c>
      <c r="L788" t="n">
        <v>31</v>
      </c>
      <c r="M788" t="n">
        <v>75</v>
      </c>
      <c r="N788" t="n">
        <v>64</v>
      </c>
      <c r="O788" t="n">
        <v>21.2</v>
      </c>
      <c r="P788" t="n">
        <v>25</v>
      </c>
      <c r="Q788" t="n">
        <v>72.7</v>
      </c>
      <c r="R788" t="n">
        <v>60</v>
      </c>
      <c r="S788" t="n">
        <v>4600000</v>
      </c>
      <c r="T788" t="n">
        <v>8897</v>
      </c>
      <c r="AH788" t="inlineStr">
        <is>
          <t>Quelle: Idealista</t>
        </is>
      </c>
    </row>
    <row r="789">
      <c r="A789" t="n">
        <v>602</v>
      </c>
      <c r="B789" t="inlineStr">
        <is>
          <t>Casa independiente</t>
        </is>
      </c>
      <c r="C789" t="inlineStr">
        <is>
          <t>https://www.idealista.com/inmueble/108830782/</t>
        </is>
      </c>
      <c r="E789" t="n">
        <v>6</v>
      </c>
      <c r="H789" t="n">
        <v>280</v>
      </c>
      <c r="J789" t="inlineStr">
        <is>
          <t>Bendinat, Calvià</t>
        </is>
      </c>
      <c r="K789" t="n">
        <v>23.1</v>
      </c>
      <c r="L789" t="n">
        <v>22</v>
      </c>
      <c r="M789" t="n">
        <v>65.8</v>
      </c>
      <c r="N789" t="n">
        <v>55</v>
      </c>
      <c r="O789" t="n">
        <v>23.2</v>
      </c>
      <c r="P789" t="n">
        <v>23</v>
      </c>
      <c r="Q789" t="n">
        <v>63.5</v>
      </c>
      <c r="R789" t="n">
        <v>51</v>
      </c>
      <c r="S789" t="n">
        <v>4200000</v>
      </c>
      <c r="T789" t="n">
        <v>15000</v>
      </c>
      <c r="AH789" t="inlineStr">
        <is>
          <t>Quelle: Idealista</t>
        </is>
      </c>
    </row>
    <row r="790">
      <c r="A790" t="n">
        <v>603</v>
      </c>
      <c r="B790" t="inlineStr">
        <is>
          <t>Casa independiente</t>
        </is>
      </c>
      <c r="C790" t="inlineStr">
        <is>
          <t>https://www.idealista.com/inmueble/108829996/</t>
        </is>
      </c>
      <c r="E790" t="n">
        <v>6</v>
      </c>
      <c r="H790" t="n">
        <v>340</v>
      </c>
      <c r="J790" t="inlineStr">
        <is>
          <t>Cas Catala, Calvià</t>
        </is>
      </c>
      <c r="K790" t="n">
        <v>20</v>
      </c>
      <c r="L790" t="n">
        <v>22</v>
      </c>
      <c r="M790" t="n">
        <v>62.8</v>
      </c>
      <c r="N790" t="n">
        <v>55</v>
      </c>
      <c r="O790" t="n">
        <v>23.7</v>
      </c>
      <c r="P790" t="n">
        <v>23</v>
      </c>
      <c r="Q790" t="n">
        <v>60.5</v>
      </c>
      <c r="R790" t="n">
        <v>51</v>
      </c>
      <c r="S790" t="n">
        <v>4960000</v>
      </c>
      <c r="T790" t="n">
        <v>14588</v>
      </c>
      <c r="AH790" t="inlineStr">
        <is>
          <t>Quelle: Idealista</t>
        </is>
      </c>
    </row>
    <row r="791">
      <c r="A791" t="n">
        <v>604</v>
      </c>
      <c r="B791" t="inlineStr">
        <is>
          <t>Casa independiente en Gran Via Illa de Tagomago</t>
        </is>
      </c>
      <c r="C791" t="inlineStr">
        <is>
          <t>https://www.idealista.com/inmueble/108818827/</t>
        </is>
      </c>
      <c r="E791" t="n">
        <v>5</v>
      </c>
      <c r="H791" t="n">
        <v>450</v>
      </c>
      <c r="J791" t="inlineStr">
        <is>
          <t>Santa Ponça, Calvià</t>
        </is>
      </c>
      <c r="K791" t="n">
        <v>31.1</v>
      </c>
      <c r="L791" t="n">
        <v>28</v>
      </c>
      <c r="M791" t="n">
        <v>73.90000000000001</v>
      </c>
      <c r="N791" t="n">
        <v>61</v>
      </c>
      <c r="O791" t="n">
        <v>15.2</v>
      </c>
      <c r="P791" t="n">
        <v>19</v>
      </c>
      <c r="Q791" t="n">
        <v>71.59999999999999</v>
      </c>
      <c r="R791" t="n">
        <v>57</v>
      </c>
      <c r="S791" t="n">
        <v>2750000</v>
      </c>
      <c r="T791" t="n">
        <v>6111</v>
      </c>
      <c r="AH791" t="inlineStr">
        <is>
          <t>Quelle: Idealista</t>
        </is>
      </c>
    </row>
    <row r="792">
      <c r="A792" t="n">
        <v>605</v>
      </c>
      <c r="B792" t="inlineStr">
        <is>
          <t>Casa independiente</t>
        </is>
      </c>
      <c r="C792" t="inlineStr">
        <is>
          <t>https://www.idealista.com/inmueble/108420706/</t>
        </is>
      </c>
      <c r="E792" t="n">
        <v>5</v>
      </c>
      <c r="H792" t="n">
        <v>272</v>
      </c>
      <c r="J792" t="inlineStr">
        <is>
          <t>Santa Ponça, Calvià</t>
        </is>
      </c>
      <c r="K792" t="n">
        <v>31.1</v>
      </c>
      <c r="L792" t="n">
        <v>28</v>
      </c>
      <c r="M792" t="n">
        <v>73.90000000000001</v>
      </c>
      <c r="N792" t="n">
        <v>61</v>
      </c>
      <c r="O792" t="n">
        <v>15.2</v>
      </c>
      <c r="P792" t="n">
        <v>19</v>
      </c>
      <c r="Q792" t="n">
        <v>71.59999999999999</v>
      </c>
      <c r="R792" t="n">
        <v>57</v>
      </c>
      <c r="S792" t="n">
        <v>3450000</v>
      </c>
      <c r="T792" t="n">
        <v>12684</v>
      </c>
      <c r="AH792" t="inlineStr">
        <is>
          <t>Quelle: Idealista</t>
        </is>
      </c>
    </row>
    <row r="793">
      <c r="A793" t="n">
        <v>606</v>
      </c>
      <c r="B793" t="inlineStr">
        <is>
          <t>Casa independiente</t>
        </is>
      </c>
      <c r="C793" t="inlineStr">
        <is>
          <t>https://www.idealista.com/inmueble/108762981/</t>
        </is>
      </c>
      <c r="E793" t="n">
        <v>5</v>
      </c>
      <c r="H793" t="n">
        <v>258</v>
      </c>
      <c r="J793" t="inlineStr">
        <is>
          <t>Bendinat, Calvià</t>
        </is>
      </c>
      <c r="K793" t="n">
        <v>23.1</v>
      </c>
      <c r="L793" t="n">
        <v>22</v>
      </c>
      <c r="M793" t="n">
        <v>65.8</v>
      </c>
      <c r="N793" t="n">
        <v>55</v>
      </c>
      <c r="O793" t="n">
        <v>23.2</v>
      </c>
      <c r="P793" t="n">
        <v>23</v>
      </c>
      <c r="Q793" t="n">
        <v>63.5</v>
      </c>
      <c r="R793" t="n">
        <v>51</v>
      </c>
      <c r="S793" t="n">
        <v>6500000</v>
      </c>
      <c r="T793" t="n">
        <v>25194</v>
      </c>
      <c r="AH793" t="inlineStr">
        <is>
          <t>Quelle: Idealista</t>
        </is>
      </c>
    </row>
    <row r="794">
      <c r="A794" t="n">
        <v>607</v>
      </c>
      <c r="B794" t="inlineStr">
        <is>
          <t>Casa independiente</t>
        </is>
      </c>
      <c r="C794" t="inlineStr">
        <is>
          <t>https://www.idealista.com/inmueble/108718376/</t>
        </is>
      </c>
      <c r="E794" t="n">
        <v>5</v>
      </c>
      <c r="H794" t="n">
        <v>357</v>
      </c>
      <c r="J794" t="inlineStr">
        <is>
          <t>Santa Ponça, Calvià</t>
        </is>
      </c>
      <c r="K794" t="n">
        <v>31.1</v>
      </c>
      <c r="L794" t="n">
        <v>28</v>
      </c>
      <c r="M794" t="n">
        <v>73.90000000000001</v>
      </c>
      <c r="N794" t="n">
        <v>61</v>
      </c>
      <c r="O794" t="n">
        <v>15.2</v>
      </c>
      <c r="P794" t="n">
        <v>19</v>
      </c>
      <c r="Q794" t="n">
        <v>71.59999999999999</v>
      </c>
      <c r="R794" t="n">
        <v>57</v>
      </c>
      <c r="S794" t="n">
        <v>2750000</v>
      </c>
      <c r="T794" t="n">
        <v>7703</v>
      </c>
      <c r="AH794" t="inlineStr">
        <is>
          <t>Quelle: Idealista</t>
        </is>
      </c>
    </row>
    <row r="795">
      <c r="A795" t="n">
        <v>608</v>
      </c>
      <c r="B795" t="inlineStr">
        <is>
          <t>Casa independiente en carretera Andratx</t>
        </is>
      </c>
      <c r="C795" t="inlineStr">
        <is>
          <t>https://www.idealista.com/inmueble/108597639/</t>
        </is>
      </c>
      <c r="E795" t="n">
        <v>6</v>
      </c>
      <c r="H795" t="n">
        <v>400</v>
      </c>
      <c r="J795" t="inlineStr">
        <is>
          <t>Portals Nous, Calvià</t>
        </is>
      </c>
      <c r="K795" t="n">
        <v>23.8</v>
      </c>
      <c r="L795" t="n">
        <v>23</v>
      </c>
      <c r="M795" t="n">
        <v>66.59999999999999</v>
      </c>
      <c r="N795" t="n">
        <v>56</v>
      </c>
      <c r="O795" t="n">
        <v>21.8</v>
      </c>
      <c r="P795" t="n">
        <v>22</v>
      </c>
      <c r="Q795" t="n">
        <v>64.3</v>
      </c>
      <c r="R795" t="n">
        <v>52</v>
      </c>
      <c r="S795" t="n">
        <v>4950000</v>
      </c>
      <c r="T795" t="n">
        <v>12375</v>
      </c>
      <c r="AH795" t="inlineStr">
        <is>
          <t>Quelle: Idealista</t>
        </is>
      </c>
    </row>
    <row r="796">
      <c r="A796" t="n">
        <v>609</v>
      </c>
      <c r="B796" t="inlineStr">
        <is>
          <t>Casa independiente</t>
        </is>
      </c>
      <c r="C796" t="inlineStr">
        <is>
          <t>https://www.idealista.com/inmueble/108593597/</t>
        </is>
      </c>
      <c r="E796" t="n">
        <v>5</v>
      </c>
      <c r="H796" t="n">
        <v>461</v>
      </c>
      <c r="J796" t="inlineStr">
        <is>
          <t>Santa Ponça, Calvià</t>
        </is>
      </c>
      <c r="K796" t="n">
        <v>31.1</v>
      </c>
      <c r="L796" t="n">
        <v>28</v>
      </c>
      <c r="M796" t="n">
        <v>73.90000000000001</v>
      </c>
      <c r="N796" t="n">
        <v>61</v>
      </c>
      <c r="O796" t="n">
        <v>15.2</v>
      </c>
      <c r="P796" t="n">
        <v>19</v>
      </c>
      <c r="Q796" t="n">
        <v>71.59999999999999</v>
      </c>
      <c r="R796" t="n">
        <v>57</v>
      </c>
      <c r="S796" t="n">
        <v>2800000</v>
      </c>
      <c r="T796" t="n">
        <v>6074</v>
      </c>
      <c r="AH796" t="inlineStr">
        <is>
          <t>Quelle: Idealista</t>
        </is>
      </c>
    </row>
    <row r="797">
      <c r="A797" t="n">
        <v>610</v>
      </c>
      <c r="B797" t="inlineStr">
        <is>
          <t>Casa independiente</t>
        </is>
      </c>
      <c r="C797" t="inlineStr">
        <is>
          <t>https://www.idealista.com/inmueble/108585532/</t>
        </is>
      </c>
      <c r="E797" t="n">
        <v>5</v>
      </c>
      <c r="H797" t="n">
        <v>292</v>
      </c>
      <c r="J797" t="inlineStr">
        <is>
          <t>Costa d'En Blanes, Calvià</t>
        </is>
      </c>
      <c r="K797" t="n">
        <v>23.3</v>
      </c>
      <c r="L797" t="n">
        <v>21</v>
      </c>
      <c r="M797" t="n">
        <v>66.09999999999999</v>
      </c>
      <c r="N797" t="n">
        <v>54</v>
      </c>
      <c r="O797" t="n">
        <v>21</v>
      </c>
      <c r="P797" t="n">
        <v>21</v>
      </c>
      <c r="Q797" t="n">
        <v>63.8</v>
      </c>
      <c r="R797" t="n">
        <v>51</v>
      </c>
      <c r="S797" t="n">
        <v>3400000</v>
      </c>
      <c r="T797" t="n">
        <v>11644</v>
      </c>
      <c r="AH797" t="inlineStr">
        <is>
          <t>Quelle: Idealista</t>
        </is>
      </c>
    </row>
    <row r="798">
      <c r="A798" t="n">
        <v>611</v>
      </c>
      <c r="B798" t="inlineStr">
        <is>
          <t>Casa independiente</t>
        </is>
      </c>
      <c r="C798" t="inlineStr">
        <is>
          <t>https://www.idealista.com/inmueble/108519160/</t>
        </is>
      </c>
      <c r="E798" t="n">
        <v>5</v>
      </c>
      <c r="H798" t="n">
        <v>452</v>
      </c>
      <c r="J798" t="inlineStr">
        <is>
          <t>Costa de la Calma, Calvià</t>
        </is>
      </c>
      <c r="K798" t="n">
        <v>32.6</v>
      </c>
      <c r="L798" t="n">
        <v>29</v>
      </c>
      <c r="M798" t="n">
        <v>75.40000000000001</v>
      </c>
      <c r="N798" t="n">
        <v>62</v>
      </c>
      <c r="O798" t="n">
        <v>13.7</v>
      </c>
      <c r="P798" t="n">
        <v>18</v>
      </c>
      <c r="Q798" t="n">
        <v>73.09999999999999</v>
      </c>
      <c r="R798" t="n">
        <v>58</v>
      </c>
      <c r="S798" t="n">
        <v>3750000</v>
      </c>
      <c r="T798" t="n">
        <v>8296</v>
      </c>
      <c r="AH798" t="inlineStr">
        <is>
          <t>Quelle: Idealista</t>
        </is>
      </c>
    </row>
    <row r="799">
      <c r="A799" t="n">
        <v>612</v>
      </c>
      <c r="B799" t="inlineStr">
        <is>
          <t>Casa independiente</t>
        </is>
      </c>
      <c r="C799" t="inlineStr">
        <is>
          <t>https://www.idealista.com/inmueble/108515756/</t>
        </is>
      </c>
      <c r="E799" t="n">
        <v>6</v>
      </c>
      <c r="H799" t="n">
        <v>537</v>
      </c>
      <c r="J799" t="inlineStr">
        <is>
          <t>Palmanova, Calvià</t>
        </is>
      </c>
      <c r="K799" t="n">
        <v>25.9</v>
      </c>
      <c r="L799" t="n">
        <v>24</v>
      </c>
      <c r="M799" t="n">
        <v>68.59999999999999</v>
      </c>
      <c r="N799" t="n">
        <v>57</v>
      </c>
      <c r="O799" t="n">
        <v>18.5</v>
      </c>
      <c r="P799" t="n">
        <v>21</v>
      </c>
      <c r="Q799" t="n">
        <v>66.3</v>
      </c>
      <c r="R799" t="n">
        <v>54</v>
      </c>
      <c r="S799" t="n">
        <v>3950000</v>
      </c>
      <c r="T799" t="n">
        <v>7356</v>
      </c>
      <c r="AH799" t="inlineStr">
        <is>
          <t>Quelle: Idealista</t>
        </is>
      </c>
    </row>
    <row r="800">
      <c r="A800" t="n">
        <v>613</v>
      </c>
      <c r="B800" t="inlineStr">
        <is>
          <t>Casa independiente</t>
        </is>
      </c>
      <c r="C800" t="inlineStr">
        <is>
          <t>https://www.idealista.com/inmueble/108476289/</t>
        </is>
      </c>
      <c r="E800" t="n">
        <v>5</v>
      </c>
      <c r="H800" t="n">
        <v>438</v>
      </c>
      <c r="J800" t="inlineStr">
        <is>
          <t>Bendinat, Calvià</t>
        </is>
      </c>
      <c r="K800" t="n">
        <v>23.1</v>
      </c>
      <c r="L800" t="n">
        <v>22</v>
      </c>
      <c r="M800" t="n">
        <v>65.8</v>
      </c>
      <c r="N800" t="n">
        <v>55</v>
      </c>
      <c r="O800" t="n">
        <v>23.2</v>
      </c>
      <c r="P800" t="n">
        <v>23</v>
      </c>
      <c r="Q800" t="n">
        <v>63.5</v>
      </c>
      <c r="R800" t="n">
        <v>51</v>
      </c>
      <c r="S800" t="n">
        <v>5950000</v>
      </c>
      <c r="T800" t="n">
        <v>13584</v>
      </c>
      <c r="AH800" t="inlineStr">
        <is>
          <t>Quelle: Idealista</t>
        </is>
      </c>
    </row>
    <row r="801">
      <c r="A801" t="n">
        <v>614</v>
      </c>
      <c r="B801" t="inlineStr">
        <is>
          <t>Casa independiente en calle del Corb</t>
        </is>
      </c>
      <c r="C801" t="inlineStr">
        <is>
          <t>https://www.idealista.com/inmueble/108450840/</t>
        </is>
      </c>
      <c r="E801" t="n">
        <v>6</v>
      </c>
      <c r="H801" t="n">
        <v>471</v>
      </c>
      <c r="J801" t="inlineStr">
        <is>
          <t>Cas Catala, Calvià</t>
        </is>
      </c>
      <c r="K801" t="n">
        <v>20</v>
      </c>
      <c r="L801" t="n">
        <v>22</v>
      </c>
      <c r="M801" t="n">
        <v>62.8</v>
      </c>
      <c r="N801" t="n">
        <v>55</v>
      </c>
      <c r="O801" t="n">
        <v>23.7</v>
      </c>
      <c r="P801" t="n">
        <v>23</v>
      </c>
      <c r="Q801" t="n">
        <v>60.5</v>
      </c>
      <c r="R801" t="n">
        <v>51</v>
      </c>
      <c r="S801" t="n">
        <v>4995000</v>
      </c>
      <c r="T801" t="n">
        <v>10605</v>
      </c>
      <c r="AH801" t="inlineStr">
        <is>
          <t>Quelle: Idealista</t>
        </is>
      </c>
    </row>
    <row r="802">
      <c r="A802" t="n">
        <v>615</v>
      </c>
      <c r="B802" t="inlineStr">
        <is>
          <t>Casa independiente</t>
        </is>
      </c>
      <c r="C802" t="inlineStr">
        <is>
          <t>https://www.idealista.com/inmueble/108427965/</t>
        </is>
      </c>
      <c r="E802" t="n">
        <v>5</v>
      </c>
      <c r="H802" t="n">
        <v>283</v>
      </c>
      <c r="J802" t="inlineStr">
        <is>
          <t>Es Capdellà, Calvià</t>
        </is>
      </c>
      <c r="K802" t="n">
        <v>34.8</v>
      </c>
      <c r="L802" t="n">
        <v>33</v>
      </c>
      <c r="M802" t="n">
        <v>77.5</v>
      </c>
      <c r="N802" t="n">
        <v>66</v>
      </c>
      <c r="O802" t="n">
        <v>13.6</v>
      </c>
      <c r="P802" t="n">
        <v>19</v>
      </c>
      <c r="Q802" t="n">
        <v>75.2</v>
      </c>
      <c r="R802" t="n">
        <v>63</v>
      </c>
      <c r="S802" t="n">
        <v>2195000</v>
      </c>
      <c r="T802" t="n">
        <v>7756</v>
      </c>
      <c r="AH802" t="inlineStr">
        <is>
          <t>Quelle: Idealista</t>
        </is>
      </c>
    </row>
    <row r="803">
      <c r="A803" t="n">
        <v>616</v>
      </c>
      <c r="B803" t="inlineStr">
        <is>
          <t>Chalet en calle Gran Via Illa Tagomago</t>
        </is>
      </c>
      <c r="C803" t="inlineStr">
        <is>
          <t>https://www.idealista.com/inmueble/107625600/</t>
        </is>
      </c>
      <c r="E803" t="n">
        <v>5</v>
      </c>
      <c r="H803" t="n">
        <v>263</v>
      </c>
      <c r="J803" t="inlineStr">
        <is>
          <t>Santa Ponça, Calvià</t>
        </is>
      </c>
      <c r="K803" t="n">
        <v>31.1</v>
      </c>
      <c r="L803" t="n">
        <v>28</v>
      </c>
      <c r="M803" t="n">
        <v>73.90000000000001</v>
      </c>
      <c r="N803" t="n">
        <v>61</v>
      </c>
      <c r="O803" t="n">
        <v>15.2</v>
      </c>
      <c r="P803" t="n">
        <v>19</v>
      </c>
      <c r="Q803" t="n">
        <v>71.59999999999999</v>
      </c>
      <c r="R803" t="n">
        <v>57</v>
      </c>
      <c r="S803" t="n">
        <v>3600000</v>
      </c>
      <c r="T803" t="n">
        <v>13688</v>
      </c>
      <c r="AH803" t="inlineStr">
        <is>
          <t>Quelle: Idealista</t>
        </is>
      </c>
    </row>
    <row r="804">
      <c r="A804" t="n">
        <v>617</v>
      </c>
      <c r="B804" t="inlineStr">
        <is>
          <t>Casa independiente</t>
        </is>
      </c>
      <c r="C804" t="inlineStr">
        <is>
          <t>https://www.idealista.com/inmueble/108350108/</t>
        </is>
      </c>
      <c r="E804" t="n">
        <v>6</v>
      </c>
      <c r="H804" t="n">
        <v>537</v>
      </c>
      <c r="J804" t="inlineStr">
        <is>
          <t>Palmanova, Calvià</t>
        </is>
      </c>
      <c r="K804" t="n">
        <v>25.9</v>
      </c>
      <c r="L804" t="n">
        <v>24</v>
      </c>
      <c r="M804" t="n">
        <v>68.59999999999999</v>
      </c>
      <c r="N804" t="n">
        <v>57</v>
      </c>
      <c r="O804" t="n">
        <v>18.5</v>
      </c>
      <c r="P804" t="n">
        <v>21</v>
      </c>
      <c r="Q804" t="n">
        <v>66.3</v>
      </c>
      <c r="R804" t="n">
        <v>54</v>
      </c>
      <c r="S804" t="n">
        <v>3950000</v>
      </c>
      <c r="T804" t="n">
        <v>7356</v>
      </c>
      <c r="AH804" t="inlineStr">
        <is>
          <t>Quelle: Idealista</t>
        </is>
      </c>
    </row>
    <row r="805">
      <c r="A805" t="n">
        <v>618</v>
      </c>
      <c r="B805" t="inlineStr">
        <is>
          <t>Casa independiente en calle Hams, 16</t>
        </is>
      </c>
      <c r="C805" t="inlineStr">
        <is>
          <t>https://www.idealista.com/inmueble/108304196/</t>
        </is>
      </c>
      <c r="E805" t="n">
        <v>5</v>
      </c>
      <c r="H805" t="n">
        <v>460</v>
      </c>
      <c r="J805" t="inlineStr">
        <is>
          <t>Sol de Mallorca, Calvià</t>
        </is>
      </c>
      <c r="K805" t="n">
        <v>32.2</v>
      </c>
      <c r="L805" t="n">
        <v>31</v>
      </c>
      <c r="M805" t="n">
        <v>75</v>
      </c>
      <c r="N805" t="n">
        <v>64</v>
      </c>
      <c r="O805" t="n">
        <v>21.2</v>
      </c>
      <c r="P805" t="n">
        <v>25</v>
      </c>
      <c r="Q805" t="n">
        <v>72.7</v>
      </c>
      <c r="R805" t="n">
        <v>60</v>
      </c>
      <c r="S805" t="n">
        <v>3900000</v>
      </c>
      <c r="T805" t="n">
        <v>8478</v>
      </c>
      <c r="AH805" t="inlineStr">
        <is>
          <t>Quelle: Idealista</t>
        </is>
      </c>
    </row>
    <row r="806">
      <c r="A806" t="n">
        <v>619</v>
      </c>
      <c r="B806" t="inlineStr">
        <is>
          <t>Chalet</t>
        </is>
      </c>
      <c r="C806" t="inlineStr">
        <is>
          <t>https://www.idealista.com/inmueble/108282505/</t>
        </is>
      </c>
      <c r="E806" t="n">
        <v>5</v>
      </c>
      <c r="H806" t="n">
        <v>494</v>
      </c>
      <c r="J806" t="inlineStr">
        <is>
          <t>El Toro, Calvià</t>
        </is>
      </c>
      <c r="K806" t="n">
        <v>35.4</v>
      </c>
      <c r="L806" t="n">
        <v>33</v>
      </c>
      <c r="M806" t="n">
        <v>78.09999999999999</v>
      </c>
      <c r="N806" t="n">
        <v>66</v>
      </c>
      <c r="O806" t="n">
        <v>19.5</v>
      </c>
      <c r="P806" t="n">
        <v>24</v>
      </c>
      <c r="Q806" t="n">
        <v>75.8</v>
      </c>
      <c r="R806" t="n">
        <v>63</v>
      </c>
      <c r="S806" t="n">
        <v>3950000</v>
      </c>
      <c r="T806" t="n">
        <v>7996</v>
      </c>
      <c r="AH806" t="inlineStr">
        <is>
          <t>Quelle: Idealista</t>
        </is>
      </c>
    </row>
    <row r="807">
      <c r="A807" t="n">
        <v>620</v>
      </c>
      <c r="B807" t="inlineStr">
        <is>
          <t>Casa independiente</t>
        </is>
      </c>
      <c r="C807" t="inlineStr">
        <is>
          <t>https://www.idealista.com/inmueble/108167491/</t>
        </is>
      </c>
      <c r="E807" t="n">
        <v>5</v>
      </c>
      <c r="H807" t="n">
        <v>281</v>
      </c>
      <c r="J807" t="inlineStr">
        <is>
          <t>El Toro, Calvià</t>
        </is>
      </c>
      <c r="K807" t="n">
        <v>35.4</v>
      </c>
      <c r="L807" t="n">
        <v>33</v>
      </c>
      <c r="M807" t="n">
        <v>78.09999999999999</v>
      </c>
      <c r="N807" t="n">
        <v>66</v>
      </c>
      <c r="O807" t="n">
        <v>19.5</v>
      </c>
      <c r="P807" t="n">
        <v>24</v>
      </c>
      <c r="Q807" t="n">
        <v>75.8</v>
      </c>
      <c r="R807" t="n">
        <v>63</v>
      </c>
      <c r="S807" t="n">
        <v>2200000</v>
      </c>
      <c r="T807" t="n">
        <v>7829</v>
      </c>
      <c r="AH807" t="inlineStr">
        <is>
          <t>Quelle: Idealista</t>
        </is>
      </c>
    </row>
    <row r="808">
      <c r="A808" t="n">
        <v>621</v>
      </c>
      <c r="B808" t="inlineStr">
        <is>
          <t>Chalet</t>
        </is>
      </c>
      <c r="C808" t="inlineStr">
        <is>
          <t>https://www.idealista.com/inmueble/108161296/</t>
        </is>
      </c>
      <c r="E808" t="n">
        <v>5</v>
      </c>
      <c r="H808" t="n">
        <v>502</v>
      </c>
      <c r="J808" t="inlineStr">
        <is>
          <t>Sol de Mallorca, Calvià</t>
        </is>
      </c>
      <c r="K808" t="n">
        <v>32.2</v>
      </c>
      <c r="L808" t="n">
        <v>31</v>
      </c>
      <c r="M808" t="n">
        <v>75</v>
      </c>
      <c r="N808" t="n">
        <v>64</v>
      </c>
      <c r="O808" t="n">
        <v>21.2</v>
      </c>
      <c r="P808" t="n">
        <v>25</v>
      </c>
      <c r="Q808" t="n">
        <v>72.7</v>
      </c>
      <c r="R808" t="n">
        <v>60</v>
      </c>
      <c r="S808" t="n">
        <v>4600000</v>
      </c>
      <c r="T808" t="n">
        <v>9163</v>
      </c>
      <c r="AH808" t="inlineStr">
        <is>
          <t>Quelle: Idealista</t>
        </is>
      </c>
    </row>
    <row r="809">
      <c r="A809" t="n">
        <v>622</v>
      </c>
      <c r="B809" t="inlineStr">
        <is>
          <t>Casa independiente</t>
        </is>
      </c>
      <c r="C809" t="inlineStr">
        <is>
          <t>https://www.idealista.com/inmueble/108101398/</t>
        </is>
      </c>
      <c r="E809" t="n">
        <v>5</v>
      </c>
      <c r="H809" t="n">
        <v>439</v>
      </c>
      <c r="J809" t="inlineStr">
        <is>
          <t>Santa Ponça, Calvià</t>
        </is>
      </c>
      <c r="K809" t="n">
        <v>31.1</v>
      </c>
      <c r="L809" t="n">
        <v>28</v>
      </c>
      <c r="M809" t="n">
        <v>73.90000000000001</v>
      </c>
      <c r="N809" t="n">
        <v>61</v>
      </c>
      <c r="O809" t="n">
        <v>15.2</v>
      </c>
      <c r="P809" t="n">
        <v>19</v>
      </c>
      <c r="Q809" t="n">
        <v>71.59999999999999</v>
      </c>
      <c r="R809" t="n">
        <v>57</v>
      </c>
      <c r="S809" t="n">
        <v>3490000</v>
      </c>
      <c r="T809" t="n">
        <v>7950</v>
      </c>
      <c r="AH809" t="inlineStr">
        <is>
          <t>Quelle: Idealista</t>
        </is>
      </c>
    </row>
    <row r="810">
      <c r="A810" t="n">
        <v>623</v>
      </c>
      <c r="B810" t="inlineStr">
        <is>
          <t>Chalet</t>
        </is>
      </c>
      <c r="C810" t="inlineStr">
        <is>
          <t>https://www.idealista.com/inmueble/95515708/</t>
        </is>
      </c>
      <c r="E810" t="n">
        <v>5</v>
      </c>
      <c r="H810" t="n">
        <v>450</v>
      </c>
      <c r="J810" t="inlineStr">
        <is>
          <t>Cala Vinyes, Calvià</t>
        </is>
      </c>
      <c r="K810" t="n">
        <v>31.5</v>
      </c>
      <c r="L810" t="n">
        <v>31</v>
      </c>
      <c r="M810" t="n">
        <v>74.3</v>
      </c>
      <c r="N810" t="n">
        <v>64</v>
      </c>
      <c r="O810" t="n">
        <v>20.4</v>
      </c>
      <c r="P810" t="n">
        <v>25</v>
      </c>
      <c r="Q810" t="n">
        <v>72</v>
      </c>
      <c r="R810" t="n">
        <v>60</v>
      </c>
      <c r="S810" t="n">
        <v>3250000</v>
      </c>
      <c r="T810" t="n">
        <v>7222</v>
      </c>
      <c r="AH810" t="inlineStr">
        <is>
          <t>Quelle: Idealista</t>
        </is>
      </c>
    </row>
    <row r="811">
      <c r="A811" t="n">
        <v>624</v>
      </c>
      <c r="B811" t="inlineStr">
        <is>
          <t>Chalet</t>
        </is>
      </c>
      <c r="C811" t="inlineStr">
        <is>
          <t>https://www.idealista.com/inmueble/108012028/</t>
        </is>
      </c>
      <c r="E811" t="n">
        <v>5</v>
      </c>
      <c r="H811" t="n">
        <v>17243</v>
      </c>
      <c r="J811" t="inlineStr">
        <is>
          <t>Calvià pueblo, Calvià</t>
        </is>
      </c>
      <c r="K811" t="n">
        <v>31.1</v>
      </c>
      <c r="L811" t="n">
        <v>28</v>
      </c>
      <c r="M811" t="n">
        <v>73.90000000000001</v>
      </c>
      <c r="N811" t="n">
        <v>61</v>
      </c>
      <c r="O811" t="n">
        <v>19.4</v>
      </c>
      <c r="P811" t="n">
        <v>22</v>
      </c>
      <c r="Q811" t="n">
        <v>71.59999999999999</v>
      </c>
      <c r="R811" t="n">
        <v>58</v>
      </c>
      <c r="S811" t="n">
        <v>2170000</v>
      </c>
      <c r="T811" t="n">
        <v>126</v>
      </c>
      <c r="AH811" t="inlineStr">
        <is>
          <t>Quelle: Idealista</t>
        </is>
      </c>
    </row>
    <row r="812">
      <c r="A812" t="n">
        <v>625</v>
      </c>
      <c r="B812" t="inlineStr">
        <is>
          <t>Casa independiente</t>
        </is>
      </c>
      <c r="C812" t="inlineStr">
        <is>
          <t>https://www.idealista.com/inmueble/107998969/</t>
        </is>
      </c>
      <c r="E812" t="n">
        <v>5</v>
      </c>
      <c r="H812" t="n">
        <v>244</v>
      </c>
      <c r="J812" t="inlineStr">
        <is>
          <t>Santa Ponça, Calvià</t>
        </is>
      </c>
      <c r="K812" t="n">
        <v>31.1</v>
      </c>
      <c r="L812" t="n">
        <v>28</v>
      </c>
      <c r="M812" t="n">
        <v>73.90000000000001</v>
      </c>
      <c r="N812" t="n">
        <v>61</v>
      </c>
      <c r="O812" t="n">
        <v>15.2</v>
      </c>
      <c r="P812" t="n">
        <v>19</v>
      </c>
      <c r="Q812" t="n">
        <v>71.59999999999999</v>
      </c>
      <c r="R812" t="n">
        <v>57</v>
      </c>
      <c r="S812" t="n">
        <v>3600000</v>
      </c>
      <c r="T812" t="n">
        <v>14754</v>
      </c>
      <c r="AH812" t="inlineStr">
        <is>
          <t>Quelle: Idealista</t>
        </is>
      </c>
    </row>
    <row r="813">
      <c r="A813" t="n">
        <v>626</v>
      </c>
      <c r="B813" t="inlineStr">
        <is>
          <t>Casa independiente</t>
        </is>
      </c>
      <c r="C813" t="inlineStr">
        <is>
          <t>https://www.idealista.com/inmueble/107711495/</t>
        </is>
      </c>
      <c r="E813" t="n">
        <v>7</v>
      </c>
      <c r="H813" t="n">
        <v>715</v>
      </c>
      <c r="J813" t="inlineStr">
        <is>
          <t>Bendinat, Calvià</t>
        </is>
      </c>
      <c r="K813" t="n">
        <v>23.1</v>
      </c>
      <c r="L813" t="n">
        <v>22</v>
      </c>
      <c r="M813" t="n">
        <v>65.8</v>
      </c>
      <c r="N813" t="n">
        <v>55</v>
      </c>
      <c r="O813" t="n">
        <v>23.2</v>
      </c>
      <c r="P813" t="n">
        <v>23</v>
      </c>
      <c r="Q813" t="n">
        <v>63.5</v>
      </c>
      <c r="R813" t="n">
        <v>51</v>
      </c>
      <c r="S813" t="n">
        <v>4400000</v>
      </c>
      <c r="T813" t="n">
        <v>6154</v>
      </c>
      <c r="AH813" t="inlineStr">
        <is>
          <t>Quelle: Idealista</t>
        </is>
      </c>
    </row>
    <row r="814">
      <c r="A814" t="n">
        <v>627</v>
      </c>
      <c r="B814" t="inlineStr">
        <is>
          <t>Casa independiente en calle de l'Àliga</t>
        </is>
      </c>
      <c r="C814" t="inlineStr">
        <is>
          <t>https://www.idealista.com/inmueble/107989846/</t>
        </is>
      </c>
      <c r="E814" t="n">
        <v>6</v>
      </c>
      <c r="H814" t="n">
        <v>350</v>
      </c>
      <c r="J814" t="inlineStr">
        <is>
          <t>Cas Catala, Calvià</t>
        </is>
      </c>
      <c r="K814" t="n">
        <v>20</v>
      </c>
      <c r="L814" t="n">
        <v>22</v>
      </c>
      <c r="M814" t="n">
        <v>62.8</v>
      </c>
      <c r="N814" t="n">
        <v>55</v>
      </c>
      <c r="O814" t="n">
        <v>23.7</v>
      </c>
      <c r="P814" t="n">
        <v>23</v>
      </c>
      <c r="Q814" t="n">
        <v>60.5</v>
      </c>
      <c r="R814" t="n">
        <v>51</v>
      </c>
      <c r="S814" t="n">
        <v>4900000</v>
      </c>
      <c r="T814" t="n">
        <v>14000</v>
      </c>
      <c r="AH814" t="inlineStr">
        <is>
          <t>Quelle: Idealista</t>
        </is>
      </c>
    </row>
    <row r="815">
      <c r="A815" t="n">
        <v>628</v>
      </c>
      <c r="B815" t="inlineStr">
        <is>
          <t>Chalet adosado en calle Gran Via de Montpellier</t>
        </is>
      </c>
      <c r="C815" t="inlineStr">
        <is>
          <t>https://www.idealista.com/inmueble/107939802/</t>
        </is>
      </c>
      <c r="E815" t="n">
        <v>5</v>
      </c>
      <c r="H815" t="n">
        <v>250</v>
      </c>
      <c r="J815" t="inlineStr">
        <is>
          <t>Santa Ponça, Calvià</t>
        </is>
      </c>
      <c r="K815" t="n">
        <v>31.1</v>
      </c>
      <c r="L815" t="n">
        <v>28</v>
      </c>
      <c r="M815" t="n">
        <v>73.90000000000001</v>
      </c>
      <c r="N815" t="n">
        <v>61</v>
      </c>
      <c r="O815" t="n">
        <v>15.2</v>
      </c>
      <c r="P815" t="n">
        <v>19</v>
      </c>
      <c r="Q815" t="n">
        <v>71.59999999999999</v>
      </c>
      <c r="R815" t="n">
        <v>57</v>
      </c>
      <c r="S815" t="n">
        <v>3600000</v>
      </c>
      <c r="T815" t="n">
        <v>14400</v>
      </c>
      <c r="AH815" t="inlineStr">
        <is>
          <t>Quelle: Idealista</t>
        </is>
      </c>
    </row>
    <row r="816">
      <c r="A816" t="n">
        <v>629</v>
      </c>
      <c r="B816" t="inlineStr">
        <is>
          <t>Casa independiente en calle Costa i Llobera</t>
        </is>
      </c>
      <c r="C816" t="inlineStr">
        <is>
          <t>https://www.idealista.com/inmueble/107956605/</t>
        </is>
      </c>
      <c r="E816" t="n">
        <v>5</v>
      </c>
      <c r="H816" t="n">
        <v>278</v>
      </c>
      <c r="J816" t="inlineStr">
        <is>
          <t>Palmanova, Calvià</t>
        </is>
      </c>
      <c r="K816" t="n">
        <v>25.9</v>
      </c>
      <c r="L816" t="n">
        <v>24</v>
      </c>
      <c r="M816" t="n">
        <v>68.59999999999999</v>
      </c>
      <c r="N816" t="n">
        <v>57</v>
      </c>
      <c r="O816" t="n">
        <v>18.5</v>
      </c>
      <c r="P816" t="n">
        <v>21</v>
      </c>
      <c r="Q816" t="n">
        <v>66.3</v>
      </c>
      <c r="R816" t="n">
        <v>54</v>
      </c>
      <c r="S816" t="n">
        <v>2700000</v>
      </c>
      <c r="T816" t="n">
        <v>9712</v>
      </c>
      <c r="AH816" t="inlineStr">
        <is>
          <t>Quelle: Idealista</t>
        </is>
      </c>
    </row>
    <row r="817">
      <c r="A817" t="n">
        <v>630</v>
      </c>
      <c r="B817" t="inlineStr">
        <is>
          <t>Casa independiente</t>
        </is>
      </c>
      <c r="C817" t="inlineStr">
        <is>
          <t>https://www.idealista.com/inmueble/107934816/</t>
        </is>
      </c>
      <c r="E817" t="n">
        <v>6</v>
      </c>
      <c r="H817" t="n">
        <v>408</v>
      </c>
      <c r="J817" t="inlineStr">
        <is>
          <t>Cas Catala, Calvià</t>
        </is>
      </c>
      <c r="K817" t="n">
        <v>20</v>
      </c>
      <c r="L817" t="n">
        <v>22</v>
      </c>
      <c r="M817" t="n">
        <v>62.8</v>
      </c>
      <c r="N817" t="n">
        <v>55</v>
      </c>
      <c r="O817" t="n">
        <v>23.7</v>
      </c>
      <c r="P817" t="n">
        <v>23</v>
      </c>
      <c r="Q817" t="n">
        <v>60.5</v>
      </c>
      <c r="R817" t="n">
        <v>51</v>
      </c>
      <c r="S817" t="n">
        <v>4960000</v>
      </c>
      <c r="T817" t="n">
        <v>12157</v>
      </c>
      <c r="AH817" t="inlineStr">
        <is>
          <t>Quelle: Idealista</t>
        </is>
      </c>
    </row>
    <row r="818">
      <c r="A818" t="n">
        <v>631</v>
      </c>
      <c r="B818" t="inlineStr">
        <is>
          <t>Casa independiente en calle de la Lluna</t>
        </is>
      </c>
      <c r="C818" t="inlineStr">
        <is>
          <t>https://www.idealista.com/inmueble/107930290/</t>
        </is>
      </c>
      <c r="E818" t="n">
        <v>5</v>
      </c>
      <c r="H818" t="n">
        <v>439</v>
      </c>
      <c r="J818" t="inlineStr">
        <is>
          <t>Bendinat, Calvià</t>
        </is>
      </c>
      <c r="K818" t="n">
        <v>23.1</v>
      </c>
      <c r="L818" t="n">
        <v>22</v>
      </c>
      <c r="M818" t="n">
        <v>65.8</v>
      </c>
      <c r="N818" t="n">
        <v>55</v>
      </c>
      <c r="O818" t="n">
        <v>23.2</v>
      </c>
      <c r="P818" t="n">
        <v>23</v>
      </c>
      <c r="Q818" t="n">
        <v>63.5</v>
      </c>
      <c r="R818" t="n">
        <v>51</v>
      </c>
      <c r="S818" t="n">
        <v>3800000</v>
      </c>
      <c r="T818" t="n">
        <v>8656</v>
      </c>
      <c r="AH818" t="inlineStr">
        <is>
          <t>Quelle: Idealista</t>
        </is>
      </c>
    </row>
    <row r="819">
      <c r="A819" t="n">
        <v>632</v>
      </c>
      <c r="B819" t="inlineStr">
        <is>
          <t>Casa independiente</t>
        </is>
      </c>
      <c r="C819" t="inlineStr">
        <is>
          <t>https://www.idealista.com/inmueble/107927793/</t>
        </is>
      </c>
      <c r="E819" t="n">
        <v>5</v>
      </c>
      <c r="H819" t="n">
        <v>357</v>
      </c>
      <c r="J819" t="inlineStr">
        <is>
          <t>Santa Ponça, Calvià</t>
        </is>
      </c>
      <c r="K819" t="n">
        <v>31.1</v>
      </c>
      <c r="L819" t="n">
        <v>28</v>
      </c>
      <c r="M819" t="n">
        <v>73.90000000000001</v>
      </c>
      <c r="N819" t="n">
        <v>61</v>
      </c>
      <c r="O819" t="n">
        <v>15.2</v>
      </c>
      <c r="P819" t="n">
        <v>19</v>
      </c>
      <c r="Q819" t="n">
        <v>71.59999999999999</v>
      </c>
      <c r="R819" t="n">
        <v>57</v>
      </c>
      <c r="S819" t="n">
        <v>2750000</v>
      </c>
      <c r="T819" t="n">
        <v>7703</v>
      </c>
      <c r="AH819" t="inlineStr">
        <is>
          <t>Quelle: Idealista</t>
        </is>
      </c>
    </row>
    <row r="820">
      <c r="A820" t="n">
        <v>633</v>
      </c>
      <c r="B820" t="inlineStr">
        <is>
          <t>Casa independiente en calle Santa Lavinia</t>
        </is>
      </c>
      <c r="C820" t="inlineStr">
        <is>
          <t>https://www.idealista.com/inmueble/107902631/</t>
        </is>
      </c>
      <c r="E820" t="n">
        <v>5</v>
      </c>
      <c r="H820" t="n">
        <v>434</v>
      </c>
      <c r="J820" t="inlineStr">
        <is>
          <t>Costa d'En Blanes, Calvià</t>
        </is>
      </c>
      <c r="K820" t="n">
        <v>23.3</v>
      </c>
      <c r="L820" t="n">
        <v>21</v>
      </c>
      <c r="M820" t="n">
        <v>66.09999999999999</v>
      </c>
      <c r="N820" t="n">
        <v>54</v>
      </c>
      <c r="O820" t="n">
        <v>21</v>
      </c>
      <c r="P820" t="n">
        <v>21</v>
      </c>
      <c r="Q820" t="n">
        <v>63.8</v>
      </c>
      <c r="R820" t="n">
        <v>51</v>
      </c>
      <c r="S820" t="n">
        <v>3495000</v>
      </c>
      <c r="T820" t="n">
        <v>8053</v>
      </c>
      <c r="AH820" t="inlineStr">
        <is>
          <t>Quelle: Idealista</t>
        </is>
      </c>
    </row>
    <row r="821">
      <c r="A821" t="n">
        <v>634</v>
      </c>
      <c r="B821" t="inlineStr">
        <is>
          <t>Casa independiente</t>
        </is>
      </c>
      <c r="C821" t="inlineStr">
        <is>
          <t>https://www.idealista.com/inmueble/107884523/</t>
        </is>
      </c>
      <c r="E821" t="n">
        <v>5</v>
      </c>
      <c r="H821" t="n">
        <v>500</v>
      </c>
      <c r="J821" t="inlineStr">
        <is>
          <t>El Toro, Calvià</t>
        </is>
      </c>
      <c r="K821" t="n">
        <v>35.4</v>
      </c>
      <c r="L821" t="n">
        <v>33</v>
      </c>
      <c r="M821" t="n">
        <v>78.09999999999999</v>
      </c>
      <c r="N821" t="n">
        <v>66</v>
      </c>
      <c r="O821" t="n">
        <v>19.5</v>
      </c>
      <c r="P821" t="n">
        <v>24</v>
      </c>
      <c r="Q821" t="n">
        <v>75.8</v>
      </c>
      <c r="R821" t="n">
        <v>63</v>
      </c>
      <c r="S821" t="n">
        <v>2500000</v>
      </c>
      <c r="T821" t="n">
        <v>5000</v>
      </c>
      <c r="AH821" t="inlineStr">
        <is>
          <t>Quelle: Idealista</t>
        </is>
      </c>
    </row>
    <row r="822">
      <c r="A822" t="n">
        <v>635</v>
      </c>
      <c r="B822" t="inlineStr">
        <is>
          <t>Casa independiente</t>
        </is>
      </c>
      <c r="C822" t="inlineStr">
        <is>
          <t>https://www.idealista.com/inmueble/107855885/</t>
        </is>
      </c>
      <c r="E822" t="n">
        <v>5</v>
      </c>
      <c r="H822" t="n">
        <v>543</v>
      </c>
      <c r="J822" t="inlineStr">
        <is>
          <t>Es Capdellà, Calvià</t>
        </is>
      </c>
      <c r="K822" t="n">
        <v>34.8</v>
      </c>
      <c r="L822" t="n">
        <v>33</v>
      </c>
      <c r="M822" t="n">
        <v>77.5</v>
      </c>
      <c r="N822" t="n">
        <v>66</v>
      </c>
      <c r="O822" t="n">
        <v>13.6</v>
      </c>
      <c r="P822" t="n">
        <v>19</v>
      </c>
      <c r="Q822" t="n">
        <v>75.2</v>
      </c>
      <c r="R822" t="n">
        <v>63</v>
      </c>
      <c r="S822" t="n">
        <v>2100000</v>
      </c>
      <c r="T822" t="n">
        <v>3867</v>
      </c>
      <c r="AH822" t="inlineStr">
        <is>
          <t>Quelle: Idealista</t>
        </is>
      </c>
    </row>
    <row r="823">
      <c r="A823" t="n">
        <v>636</v>
      </c>
      <c r="B823" t="inlineStr">
        <is>
          <t>Casa independiente</t>
        </is>
      </c>
      <c r="C823" t="inlineStr">
        <is>
          <t>https://www.idealista.com/inmueble/107851154/</t>
        </is>
      </c>
      <c r="E823" t="n">
        <v>5</v>
      </c>
      <c r="H823" t="n">
        <v>540</v>
      </c>
      <c r="J823" t="inlineStr">
        <is>
          <t>Santa Ponça, Calvià</t>
        </is>
      </c>
      <c r="K823" t="n">
        <v>31.1</v>
      </c>
      <c r="L823" t="n">
        <v>28</v>
      </c>
      <c r="M823" t="n">
        <v>73.90000000000001</v>
      </c>
      <c r="N823" t="n">
        <v>61</v>
      </c>
      <c r="O823" t="n">
        <v>15.2</v>
      </c>
      <c r="P823" t="n">
        <v>19</v>
      </c>
      <c r="Q823" t="n">
        <v>71.59999999999999</v>
      </c>
      <c r="R823" t="n">
        <v>57</v>
      </c>
      <c r="S823" t="n">
        <v>2790000</v>
      </c>
      <c r="T823" t="n">
        <v>5167</v>
      </c>
      <c r="AH823" t="inlineStr">
        <is>
          <t>Quelle: Idealista</t>
        </is>
      </c>
    </row>
    <row r="824">
      <c r="A824" t="n">
        <v>637</v>
      </c>
      <c r="B824" t="inlineStr">
        <is>
          <t>Casa independiente</t>
        </is>
      </c>
      <c r="C824" t="inlineStr">
        <is>
          <t>https://www.idealista.com/inmueble/107832470/</t>
        </is>
      </c>
      <c r="E824" t="n">
        <v>5</v>
      </c>
      <c r="H824" t="n">
        <v>426</v>
      </c>
      <c r="J824" t="inlineStr">
        <is>
          <t>El Toro, Calvià</t>
        </is>
      </c>
      <c r="K824" t="n">
        <v>35.4</v>
      </c>
      <c r="L824" t="n">
        <v>33</v>
      </c>
      <c r="M824" t="n">
        <v>78.09999999999999</v>
      </c>
      <c r="N824" t="n">
        <v>66</v>
      </c>
      <c r="O824" t="n">
        <v>19.5</v>
      </c>
      <c r="P824" t="n">
        <v>24</v>
      </c>
      <c r="Q824" t="n">
        <v>75.8</v>
      </c>
      <c r="R824" t="n">
        <v>63</v>
      </c>
      <c r="S824" t="n">
        <v>2500000</v>
      </c>
      <c r="T824" t="n">
        <v>5869</v>
      </c>
      <c r="AH824" t="inlineStr">
        <is>
          <t>Quelle: Idealista</t>
        </is>
      </c>
    </row>
    <row r="825">
      <c r="A825" t="n">
        <v>638</v>
      </c>
      <c r="B825" t="inlineStr">
        <is>
          <t>Casa independiente</t>
        </is>
      </c>
      <c r="C825" t="inlineStr">
        <is>
          <t>https://www.idealista.com/inmueble/102359915/</t>
        </is>
      </c>
      <c r="E825" t="n">
        <v>5</v>
      </c>
      <c r="H825" t="n">
        <v>445</v>
      </c>
      <c r="J825" t="inlineStr">
        <is>
          <t>Santa Ponça, Calvià</t>
        </is>
      </c>
      <c r="K825" t="n">
        <v>31.1</v>
      </c>
      <c r="L825" t="n">
        <v>28</v>
      </c>
      <c r="M825" t="n">
        <v>73.90000000000001</v>
      </c>
      <c r="N825" t="n">
        <v>61</v>
      </c>
      <c r="O825" t="n">
        <v>15.2</v>
      </c>
      <c r="P825" t="n">
        <v>19</v>
      </c>
      <c r="Q825" t="n">
        <v>71.59999999999999</v>
      </c>
      <c r="R825" t="n">
        <v>57</v>
      </c>
      <c r="S825" t="n">
        <v>3450000</v>
      </c>
      <c r="T825" t="n">
        <v>7753</v>
      </c>
      <c r="AH825" t="inlineStr">
        <is>
          <t>Quelle: Idealista</t>
        </is>
      </c>
    </row>
    <row r="826">
      <c r="A826" t="n">
        <v>639</v>
      </c>
      <c r="B826" t="inlineStr">
        <is>
          <t>Casa independiente</t>
        </is>
      </c>
      <c r="C826" t="inlineStr">
        <is>
          <t>https://www.idealista.com/inmueble/105301894/</t>
        </is>
      </c>
      <c r="E826" t="n">
        <v>5</v>
      </c>
      <c r="H826" t="n">
        <v>481</v>
      </c>
      <c r="J826" t="inlineStr">
        <is>
          <t>Calvià pueblo, Calvià</t>
        </is>
      </c>
      <c r="K826" t="n">
        <v>31.1</v>
      </c>
      <c r="L826" t="n">
        <v>28</v>
      </c>
      <c r="M826" t="n">
        <v>73.90000000000001</v>
      </c>
      <c r="N826" t="n">
        <v>61</v>
      </c>
      <c r="O826" t="n">
        <v>19.4</v>
      </c>
      <c r="P826" t="n">
        <v>22</v>
      </c>
      <c r="Q826" t="n">
        <v>71.59999999999999</v>
      </c>
      <c r="R826" t="n">
        <v>58</v>
      </c>
      <c r="S826" t="n">
        <v>2170000</v>
      </c>
      <c r="T826" t="n">
        <v>4511</v>
      </c>
      <c r="AH826" t="inlineStr">
        <is>
          <t>Quelle: Idealista</t>
        </is>
      </c>
    </row>
    <row r="827">
      <c r="A827" t="n">
        <v>640</v>
      </c>
      <c r="B827" t="inlineStr">
        <is>
          <t>Casa independiente</t>
        </is>
      </c>
      <c r="C827" t="inlineStr">
        <is>
          <t>https://www.idealista.com/inmueble/104790070/</t>
        </is>
      </c>
      <c r="E827" t="n">
        <v>6</v>
      </c>
      <c r="H827" t="n">
        <v>580</v>
      </c>
      <c r="J827" t="inlineStr">
        <is>
          <t>Santa Ponça, Calvià</t>
        </is>
      </c>
      <c r="K827" t="n">
        <v>31.1</v>
      </c>
      <c r="L827" t="n">
        <v>28</v>
      </c>
      <c r="M827" t="n">
        <v>73.90000000000001</v>
      </c>
      <c r="N827" t="n">
        <v>61</v>
      </c>
      <c r="O827" t="n">
        <v>15.2</v>
      </c>
      <c r="P827" t="n">
        <v>19</v>
      </c>
      <c r="Q827" t="n">
        <v>71.59999999999999</v>
      </c>
      <c r="R827" t="n">
        <v>57</v>
      </c>
      <c r="S827" t="n">
        <v>4495000</v>
      </c>
      <c r="T827" t="n">
        <v>7750</v>
      </c>
      <c r="AH827" t="inlineStr">
        <is>
          <t>Quelle: Idealista</t>
        </is>
      </c>
    </row>
    <row r="828">
      <c r="A828" t="n">
        <v>641</v>
      </c>
      <c r="B828" t="inlineStr">
        <is>
          <t>Casa independiente en calle del Corb, 7</t>
        </is>
      </c>
      <c r="C828" t="inlineStr">
        <is>
          <t>https://www.idealista.com/inmueble/107726654/</t>
        </is>
      </c>
      <c r="E828" t="n">
        <v>5</v>
      </c>
      <c r="H828" t="n">
        <v>362</v>
      </c>
      <c r="J828" t="inlineStr">
        <is>
          <t>Cas Catala, Calvià</t>
        </is>
      </c>
      <c r="K828" t="n">
        <v>20</v>
      </c>
      <c r="L828" t="n">
        <v>22</v>
      </c>
      <c r="M828" t="n">
        <v>62.8</v>
      </c>
      <c r="N828" t="n">
        <v>55</v>
      </c>
      <c r="O828" t="n">
        <v>23.7</v>
      </c>
      <c r="P828" t="n">
        <v>23</v>
      </c>
      <c r="Q828" t="n">
        <v>60.5</v>
      </c>
      <c r="R828" t="n">
        <v>51</v>
      </c>
      <c r="S828" t="n">
        <v>4950000</v>
      </c>
      <c r="T828" t="n">
        <v>13674</v>
      </c>
      <c r="AH828" t="inlineStr">
        <is>
          <t>Quelle: Idealista</t>
        </is>
      </c>
    </row>
    <row r="829">
      <c r="A829" t="n">
        <v>642</v>
      </c>
      <c r="B829" t="inlineStr">
        <is>
          <t>Casa independiente</t>
        </is>
      </c>
      <c r="C829" t="inlineStr">
        <is>
          <t>https://www.idealista.com/inmueble/101854860/</t>
        </is>
      </c>
      <c r="E829" t="n">
        <v>5</v>
      </c>
      <c r="H829" t="n">
        <v>501</v>
      </c>
      <c r="J829" t="inlineStr">
        <is>
          <t>Santa Ponça, Calvià</t>
        </is>
      </c>
      <c r="K829" t="n">
        <v>31.1</v>
      </c>
      <c r="L829" t="n">
        <v>28</v>
      </c>
      <c r="M829" t="n">
        <v>73.90000000000001</v>
      </c>
      <c r="N829" t="n">
        <v>61</v>
      </c>
      <c r="O829" t="n">
        <v>15.2</v>
      </c>
      <c r="P829" t="n">
        <v>19</v>
      </c>
      <c r="Q829" t="n">
        <v>71.59999999999999</v>
      </c>
      <c r="R829" t="n">
        <v>57</v>
      </c>
      <c r="S829" t="n">
        <v>3950000</v>
      </c>
      <c r="T829" t="n">
        <v>7884</v>
      </c>
      <c r="AH829" t="inlineStr">
        <is>
          <t>Quelle: Idealista</t>
        </is>
      </c>
    </row>
    <row r="830">
      <c r="A830" t="n">
        <v>643</v>
      </c>
      <c r="B830" t="inlineStr">
        <is>
          <t>Casa independiente en calle Costa i Llobera</t>
        </is>
      </c>
      <c r="C830" t="inlineStr">
        <is>
          <t>https://www.idealista.com/inmueble/107706537/</t>
        </is>
      </c>
      <c r="E830" t="n">
        <v>5</v>
      </c>
      <c r="H830" t="n">
        <v>278</v>
      </c>
      <c r="J830" t="inlineStr">
        <is>
          <t>Palmanova, Calvià</t>
        </is>
      </c>
      <c r="K830" t="n">
        <v>25.9</v>
      </c>
      <c r="L830" t="n">
        <v>24</v>
      </c>
      <c r="M830" t="n">
        <v>68.59999999999999</v>
      </c>
      <c r="N830" t="n">
        <v>57</v>
      </c>
      <c r="O830" t="n">
        <v>18.5</v>
      </c>
      <c r="P830" t="n">
        <v>21</v>
      </c>
      <c r="Q830" t="n">
        <v>66.3</v>
      </c>
      <c r="R830" t="n">
        <v>54</v>
      </c>
      <c r="S830" t="n">
        <v>2700000</v>
      </c>
      <c r="T830" t="n">
        <v>9712</v>
      </c>
      <c r="AH830" t="inlineStr">
        <is>
          <t>Quelle: Idealista</t>
        </is>
      </c>
    </row>
    <row r="831">
      <c r="A831" t="n">
        <v>644</v>
      </c>
      <c r="B831" t="inlineStr">
        <is>
          <t>Casa independiente</t>
        </is>
      </c>
      <c r="C831" t="inlineStr">
        <is>
          <t>https://www.idealista.com/inmueble/107652347/</t>
        </is>
      </c>
      <c r="E831" t="n">
        <v>6</v>
      </c>
      <c r="H831" t="n">
        <v>420</v>
      </c>
      <c r="J831" t="inlineStr">
        <is>
          <t>El Toro, Calvià</t>
        </is>
      </c>
      <c r="K831" t="n">
        <v>35.4</v>
      </c>
      <c r="L831" t="n">
        <v>33</v>
      </c>
      <c r="M831" t="n">
        <v>78.09999999999999</v>
      </c>
      <c r="N831" t="n">
        <v>66</v>
      </c>
      <c r="O831" t="n">
        <v>19.5</v>
      </c>
      <c r="P831" t="n">
        <v>24</v>
      </c>
      <c r="Q831" t="n">
        <v>75.8</v>
      </c>
      <c r="R831" t="n">
        <v>63</v>
      </c>
      <c r="S831" t="n">
        <v>2150000</v>
      </c>
      <c r="T831" t="n">
        <v>5119</v>
      </c>
      <c r="AH831" t="inlineStr">
        <is>
          <t>Quelle: Idealista</t>
        </is>
      </c>
    </row>
    <row r="832">
      <c r="A832" t="n">
        <v>645</v>
      </c>
      <c r="B832" t="inlineStr">
        <is>
          <t>Casa independiente en calle de Sant Rafel</t>
        </is>
      </c>
      <c r="C832" t="inlineStr">
        <is>
          <t>https://www.idealista.com/inmueble/107629817/</t>
        </is>
      </c>
      <c r="E832" t="n">
        <v>6</v>
      </c>
      <c r="H832" t="n">
        <v>400</v>
      </c>
      <c r="J832" t="inlineStr">
        <is>
          <t>Costa d'En Blanes, Calvià</t>
        </is>
      </c>
      <c r="K832" t="n">
        <v>23.3</v>
      </c>
      <c r="L832" t="n">
        <v>21</v>
      </c>
      <c r="M832" t="n">
        <v>66.09999999999999</v>
      </c>
      <c r="N832" t="n">
        <v>54</v>
      </c>
      <c r="O832" t="n">
        <v>21</v>
      </c>
      <c r="P832" t="n">
        <v>21</v>
      </c>
      <c r="Q832" t="n">
        <v>63.8</v>
      </c>
      <c r="R832" t="n">
        <v>51</v>
      </c>
      <c r="S832" t="n">
        <v>5400000</v>
      </c>
      <c r="T832" t="n">
        <v>13500</v>
      </c>
      <c r="AH832" t="inlineStr">
        <is>
          <t>Quelle: Idealista</t>
        </is>
      </c>
    </row>
    <row r="833">
      <c r="A833" t="n">
        <v>646</v>
      </c>
      <c r="B833" t="inlineStr">
        <is>
          <t>Casa rural</t>
        </is>
      </c>
      <c r="C833" t="inlineStr">
        <is>
          <t>https://www.idealista.com/inmueble/107530285/</t>
        </is>
      </c>
      <c r="E833" t="n">
        <v>5</v>
      </c>
      <c r="H833" t="n">
        <v>360</v>
      </c>
      <c r="J833" t="inlineStr">
        <is>
          <t>Calvià pueblo, Calvià</t>
        </is>
      </c>
      <c r="K833" t="n">
        <v>31.1</v>
      </c>
      <c r="L833" t="n">
        <v>28</v>
      </c>
      <c r="M833" t="n">
        <v>73.90000000000001</v>
      </c>
      <c r="N833" t="n">
        <v>61</v>
      </c>
      <c r="O833" t="n">
        <v>19.4</v>
      </c>
      <c r="P833" t="n">
        <v>22</v>
      </c>
      <c r="Q833" t="n">
        <v>71.59999999999999</v>
      </c>
      <c r="R833" t="n">
        <v>58</v>
      </c>
      <c r="S833" t="n">
        <v>2170000</v>
      </c>
      <c r="T833" t="n">
        <v>6028</v>
      </c>
      <c r="AH833" t="inlineStr">
        <is>
          <t>Quelle: Idealista</t>
        </is>
      </c>
    </row>
    <row r="834">
      <c r="A834" t="n">
        <v>647</v>
      </c>
      <c r="B834" t="inlineStr">
        <is>
          <t>Casa independiente</t>
        </is>
      </c>
      <c r="C834" t="inlineStr">
        <is>
          <t>https://www.idealista.com/inmueble/107492134/</t>
        </is>
      </c>
      <c r="E834" t="n">
        <v>5</v>
      </c>
      <c r="H834" t="n">
        <v>450</v>
      </c>
      <c r="J834" t="inlineStr">
        <is>
          <t>Santa Ponça, Calvià</t>
        </is>
      </c>
      <c r="K834" t="n">
        <v>31.1</v>
      </c>
      <c r="L834" t="n">
        <v>28</v>
      </c>
      <c r="M834" t="n">
        <v>73.90000000000001</v>
      </c>
      <c r="N834" t="n">
        <v>61</v>
      </c>
      <c r="O834" t="n">
        <v>15.2</v>
      </c>
      <c r="P834" t="n">
        <v>19</v>
      </c>
      <c r="Q834" t="n">
        <v>71.59999999999999</v>
      </c>
      <c r="R834" t="n">
        <v>57</v>
      </c>
      <c r="S834" t="n">
        <v>2400000</v>
      </c>
      <c r="T834" t="n">
        <v>5333</v>
      </c>
      <c r="AH834" t="inlineStr">
        <is>
          <t>Quelle: Idealista</t>
        </is>
      </c>
    </row>
    <row r="835">
      <c r="A835" t="n">
        <v>648</v>
      </c>
      <c r="B835" t="inlineStr">
        <is>
          <t>Chalet</t>
        </is>
      </c>
      <c r="C835" t="inlineStr">
        <is>
          <t>https://www.idealista.com/inmueble/107353726/</t>
        </is>
      </c>
      <c r="E835" t="n">
        <v>5</v>
      </c>
      <c r="H835" t="n">
        <v>487</v>
      </c>
      <c r="J835" t="inlineStr">
        <is>
          <t>Santa Ponça, Calvià</t>
        </is>
      </c>
      <c r="K835" t="n">
        <v>31.1</v>
      </c>
      <c r="L835" t="n">
        <v>28</v>
      </c>
      <c r="M835" t="n">
        <v>73.90000000000001</v>
      </c>
      <c r="N835" t="n">
        <v>61</v>
      </c>
      <c r="O835" t="n">
        <v>15.2</v>
      </c>
      <c r="P835" t="n">
        <v>19</v>
      </c>
      <c r="Q835" t="n">
        <v>71.59999999999999</v>
      </c>
      <c r="R835" t="n">
        <v>57</v>
      </c>
      <c r="S835" t="n">
        <v>4250000</v>
      </c>
      <c r="T835" t="n">
        <v>8727</v>
      </c>
      <c r="AH835" t="inlineStr">
        <is>
          <t>Quelle: Idealista</t>
        </is>
      </c>
    </row>
    <row r="836">
      <c r="A836" t="n">
        <v>649</v>
      </c>
      <c r="B836" t="inlineStr">
        <is>
          <t>Casa independiente</t>
        </is>
      </c>
      <c r="C836" t="inlineStr">
        <is>
          <t>https://www.idealista.com/inmueble/107312950/</t>
        </is>
      </c>
      <c r="E836" t="n">
        <v>5</v>
      </c>
      <c r="H836" t="n">
        <v>439</v>
      </c>
      <c r="J836" t="inlineStr">
        <is>
          <t>Bendinat, Calvià</t>
        </is>
      </c>
      <c r="K836" t="n">
        <v>23.1</v>
      </c>
      <c r="L836" t="n">
        <v>22</v>
      </c>
      <c r="M836" t="n">
        <v>65.8</v>
      </c>
      <c r="N836" t="n">
        <v>55</v>
      </c>
      <c r="O836" t="n">
        <v>23.2</v>
      </c>
      <c r="P836" t="n">
        <v>23</v>
      </c>
      <c r="Q836" t="n">
        <v>63.5</v>
      </c>
      <c r="R836" t="n">
        <v>51</v>
      </c>
      <c r="S836" t="n">
        <v>3800000</v>
      </c>
      <c r="T836" t="n">
        <v>8656</v>
      </c>
      <c r="AH836" t="inlineStr">
        <is>
          <t>Quelle: Idealista</t>
        </is>
      </c>
    </row>
    <row r="837">
      <c r="A837" t="n">
        <v>650</v>
      </c>
      <c r="B837" t="inlineStr">
        <is>
          <t>Casa independiente en calle Puig de na Morisca</t>
        </is>
      </c>
      <c r="C837" t="inlineStr">
        <is>
          <t>https://www.idealista.com/inmueble/107235861/</t>
        </is>
      </c>
      <c r="E837" t="n">
        <v>5</v>
      </c>
      <c r="H837" t="n">
        <v>450</v>
      </c>
      <c r="J837" t="inlineStr">
        <is>
          <t>Santa Ponça, Calvià</t>
        </is>
      </c>
      <c r="K837" t="n">
        <v>31.1</v>
      </c>
      <c r="L837" t="n">
        <v>28</v>
      </c>
      <c r="M837" t="n">
        <v>73.90000000000001</v>
      </c>
      <c r="N837" t="n">
        <v>61</v>
      </c>
      <c r="O837" t="n">
        <v>15.2</v>
      </c>
      <c r="P837" t="n">
        <v>19</v>
      </c>
      <c r="Q837" t="n">
        <v>71.59999999999999</v>
      </c>
      <c r="R837" t="n">
        <v>57</v>
      </c>
      <c r="S837" t="n">
        <v>3290000</v>
      </c>
      <c r="T837" t="n">
        <v>7311</v>
      </c>
      <c r="AH837" t="inlineStr">
        <is>
          <t>Quelle: Idealista</t>
        </is>
      </c>
    </row>
    <row r="838">
      <c r="A838" t="n">
        <v>651</v>
      </c>
      <c r="B838" t="inlineStr">
        <is>
          <t>Chalet</t>
        </is>
      </c>
      <c r="C838" t="inlineStr">
        <is>
          <t>https://www.idealista.com/inmueble/107187177/</t>
        </is>
      </c>
      <c r="E838" t="n">
        <v>5</v>
      </c>
      <c r="H838" t="n">
        <v>480</v>
      </c>
      <c r="J838" t="inlineStr">
        <is>
          <t>El Toro, Calvià</t>
        </is>
      </c>
      <c r="K838" t="n">
        <v>35.4</v>
      </c>
      <c r="L838" t="n">
        <v>33</v>
      </c>
      <c r="M838" t="n">
        <v>78.09999999999999</v>
      </c>
      <c r="N838" t="n">
        <v>66</v>
      </c>
      <c r="O838" t="n">
        <v>19.5</v>
      </c>
      <c r="P838" t="n">
        <v>24</v>
      </c>
      <c r="Q838" t="n">
        <v>75.8</v>
      </c>
      <c r="R838" t="n">
        <v>63</v>
      </c>
      <c r="S838" t="n">
        <v>3950000</v>
      </c>
      <c r="T838" t="n">
        <v>8229</v>
      </c>
      <c r="AH838" t="inlineStr">
        <is>
          <t>Quelle: Idealista</t>
        </is>
      </c>
    </row>
    <row r="839">
      <c r="A839" t="n">
        <v>652</v>
      </c>
      <c r="B839" t="inlineStr">
        <is>
          <t>Casa independiente</t>
        </is>
      </c>
      <c r="C839" t="inlineStr">
        <is>
          <t>https://www.idealista.com/inmueble/104840766/</t>
        </is>
      </c>
      <c r="E839" t="n">
        <v>6</v>
      </c>
      <c r="H839" t="n">
        <v>580</v>
      </c>
      <c r="J839" t="inlineStr">
        <is>
          <t>Santa Ponça, Calvià</t>
        </is>
      </c>
      <c r="K839" t="n">
        <v>31.1</v>
      </c>
      <c r="L839" t="n">
        <v>28</v>
      </c>
      <c r="M839" t="n">
        <v>73.90000000000001</v>
      </c>
      <c r="N839" t="n">
        <v>61</v>
      </c>
      <c r="O839" t="n">
        <v>15.2</v>
      </c>
      <c r="P839" t="n">
        <v>19</v>
      </c>
      <c r="Q839" t="n">
        <v>71.59999999999999</v>
      </c>
      <c r="R839" t="n">
        <v>57</v>
      </c>
      <c r="S839" t="n">
        <v>4495000</v>
      </c>
      <c r="T839" t="n">
        <v>7750</v>
      </c>
      <c r="AH839" t="inlineStr">
        <is>
          <t>Quelle: Idealista</t>
        </is>
      </c>
    </row>
    <row r="840">
      <c r="A840" t="n">
        <v>653</v>
      </c>
      <c r="B840" t="inlineStr">
        <is>
          <t>Casa independiente</t>
        </is>
      </c>
      <c r="C840" t="inlineStr">
        <is>
          <t>https://www.idealista.com/inmueble/107151264/</t>
        </is>
      </c>
      <c r="E840" t="n">
        <v>5</v>
      </c>
      <c r="H840" t="n">
        <v>549</v>
      </c>
      <c r="J840" t="inlineStr">
        <is>
          <t>Santa Ponça, Calvià</t>
        </is>
      </c>
      <c r="K840" t="n">
        <v>31.1</v>
      </c>
      <c r="L840" t="n">
        <v>28</v>
      </c>
      <c r="M840" t="n">
        <v>73.90000000000001</v>
      </c>
      <c r="N840" t="n">
        <v>61</v>
      </c>
      <c r="O840" t="n">
        <v>15.2</v>
      </c>
      <c r="P840" t="n">
        <v>19</v>
      </c>
      <c r="Q840" t="n">
        <v>71.59999999999999</v>
      </c>
      <c r="R840" t="n">
        <v>57</v>
      </c>
      <c r="S840" t="n">
        <v>2520000</v>
      </c>
      <c r="T840" t="n">
        <v>4590</v>
      </c>
      <c r="AH840" t="inlineStr">
        <is>
          <t>Quelle: Idealista</t>
        </is>
      </c>
    </row>
    <row r="841">
      <c r="A841" t="n">
        <v>654</v>
      </c>
      <c r="B841" t="inlineStr">
        <is>
          <t>Casa independiente</t>
        </is>
      </c>
      <c r="C841" t="inlineStr">
        <is>
          <t>https://www.idealista.com/inmueble/107145497/</t>
        </is>
      </c>
      <c r="E841" t="n">
        <v>5</v>
      </c>
      <c r="H841" t="n">
        <v>375</v>
      </c>
      <c r="J841" t="inlineStr">
        <is>
          <t>Santa Ponça, Calvià</t>
        </is>
      </c>
      <c r="K841" t="n">
        <v>31.1</v>
      </c>
      <c r="L841" t="n">
        <v>28</v>
      </c>
      <c r="M841" t="n">
        <v>73.90000000000001</v>
      </c>
      <c r="N841" t="n">
        <v>61</v>
      </c>
      <c r="O841" t="n">
        <v>15.2</v>
      </c>
      <c r="P841" t="n">
        <v>19</v>
      </c>
      <c r="Q841" t="n">
        <v>71.59999999999999</v>
      </c>
      <c r="R841" t="n">
        <v>57</v>
      </c>
      <c r="S841" t="n">
        <v>2750000</v>
      </c>
      <c r="T841" t="n">
        <v>7333</v>
      </c>
      <c r="AH841" t="inlineStr">
        <is>
          <t>Quelle: Idealista</t>
        </is>
      </c>
    </row>
    <row r="842">
      <c r="A842" t="n">
        <v>655</v>
      </c>
      <c r="B842" t="inlineStr">
        <is>
          <t>Casa independiente</t>
        </is>
      </c>
      <c r="C842" t="inlineStr">
        <is>
          <t>https://www.idealista.com/inmueble/107106023/</t>
        </is>
      </c>
      <c r="E842" t="n">
        <v>5</v>
      </c>
      <c r="H842" t="n">
        <v>450</v>
      </c>
      <c r="J842" t="inlineStr">
        <is>
          <t>Santa Ponça, Calvià</t>
        </is>
      </c>
      <c r="K842" t="n">
        <v>31.1</v>
      </c>
      <c r="L842" t="n">
        <v>28</v>
      </c>
      <c r="M842" t="n">
        <v>73.90000000000001</v>
      </c>
      <c r="N842" t="n">
        <v>61</v>
      </c>
      <c r="O842" t="n">
        <v>15.2</v>
      </c>
      <c r="P842" t="n">
        <v>19</v>
      </c>
      <c r="Q842" t="n">
        <v>71.59999999999999</v>
      </c>
      <c r="R842" t="n">
        <v>57</v>
      </c>
      <c r="S842" t="n">
        <v>3750000</v>
      </c>
      <c r="T842" t="n">
        <v>8333</v>
      </c>
      <c r="AH842" t="inlineStr">
        <is>
          <t>Quelle: Idealista</t>
        </is>
      </c>
    </row>
    <row r="843">
      <c r="A843" t="n">
        <v>656</v>
      </c>
      <c r="B843" t="inlineStr">
        <is>
          <t>Casa independiente</t>
        </is>
      </c>
      <c r="C843" t="inlineStr">
        <is>
          <t>https://www.idealista.com/inmueble/106023101/</t>
        </is>
      </c>
      <c r="E843" t="n">
        <v>5</v>
      </c>
      <c r="H843" t="n">
        <v>660</v>
      </c>
      <c r="J843" t="inlineStr">
        <is>
          <t>Costa d'En Blanes, Calvià</t>
        </is>
      </c>
      <c r="K843" t="n">
        <v>23.3</v>
      </c>
      <c r="L843" t="n">
        <v>21</v>
      </c>
      <c r="M843" t="n">
        <v>66.09999999999999</v>
      </c>
      <c r="N843" t="n">
        <v>54</v>
      </c>
      <c r="O843" t="n">
        <v>21</v>
      </c>
      <c r="P843" t="n">
        <v>21</v>
      </c>
      <c r="Q843" t="n">
        <v>63.8</v>
      </c>
      <c r="R843" t="n">
        <v>51</v>
      </c>
      <c r="S843" t="n">
        <v>2950000</v>
      </c>
      <c r="T843" t="n">
        <v>4470</v>
      </c>
      <c r="AH843" t="inlineStr">
        <is>
          <t>Quelle: Idealista</t>
        </is>
      </c>
    </row>
    <row r="844">
      <c r="A844" t="n">
        <v>657</v>
      </c>
      <c r="B844" t="inlineStr">
        <is>
          <t>Chalet</t>
        </is>
      </c>
      <c r="C844" t="inlineStr">
        <is>
          <t>https://www.idealista.com/inmueble/106774348/</t>
        </is>
      </c>
      <c r="E844" t="n">
        <v>5</v>
      </c>
      <c r="H844" t="n">
        <v>250</v>
      </c>
      <c r="J844" t="inlineStr">
        <is>
          <t>El Toro, Calvià</t>
        </is>
      </c>
      <c r="K844" t="n">
        <v>35.4</v>
      </c>
      <c r="L844" t="n">
        <v>33</v>
      </c>
      <c r="M844" t="n">
        <v>78.09999999999999</v>
      </c>
      <c r="N844" t="n">
        <v>66</v>
      </c>
      <c r="O844" t="n">
        <v>19.5</v>
      </c>
      <c r="P844" t="n">
        <v>24</v>
      </c>
      <c r="Q844" t="n">
        <v>75.8</v>
      </c>
      <c r="R844" t="n">
        <v>63</v>
      </c>
      <c r="S844" t="n">
        <v>2200000</v>
      </c>
      <c r="T844" t="n">
        <v>8800</v>
      </c>
      <c r="AH844" t="inlineStr">
        <is>
          <t>Quelle: Idealista</t>
        </is>
      </c>
    </row>
    <row r="845">
      <c r="A845" t="n">
        <v>658</v>
      </c>
      <c r="B845" t="inlineStr">
        <is>
          <t>Chalet</t>
        </is>
      </c>
      <c r="C845" t="inlineStr">
        <is>
          <t>https://www.idealista.com/inmueble/106774327/</t>
        </is>
      </c>
      <c r="E845" t="n">
        <v>7</v>
      </c>
      <c r="H845" t="n">
        <v>546</v>
      </c>
      <c r="J845" t="inlineStr">
        <is>
          <t>Bendinat, Calvià</t>
        </is>
      </c>
      <c r="K845" t="n">
        <v>23.1</v>
      </c>
      <c r="L845" t="n">
        <v>22</v>
      </c>
      <c r="M845" t="n">
        <v>65.8</v>
      </c>
      <c r="N845" t="n">
        <v>55</v>
      </c>
      <c r="O845" t="n">
        <v>23.2</v>
      </c>
      <c r="P845" t="n">
        <v>23</v>
      </c>
      <c r="Q845" t="n">
        <v>63.5</v>
      </c>
      <c r="R845" t="n">
        <v>51</v>
      </c>
      <c r="S845" t="n">
        <v>5900000</v>
      </c>
      <c r="T845" t="n">
        <v>10806</v>
      </c>
      <c r="AH845" t="inlineStr">
        <is>
          <t>Quelle: Idealista</t>
        </is>
      </c>
    </row>
    <row r="846">
      <c r="A846" t="n">
        <v>659</v>
      </c>
      <c r="B846" t="inlineStr">
        <is>
          <t>Casa independiente</t>
        </is>
      </c>
      <c r="C846" t="inlineStr">
        <is>
          <t>https://www.idealista.com/inmueble/106723824/</t>
        </is>
      </c>
      <c r="E846" t="n">
        <v>5</v>
      </c>
      <c r="H846" t="n">
        <v>285</v>
      </c>
      <c r="J846" t="inlineStr">
        <is>
          <t>El Toro, Calvià</t>
        </is>
      </c>
      <c r="K846" t="n">
        <v>35.4</v>
      </c>
      <c r="L846" t="n">
        <v>33</v>
      </c>
      <c r="M846" t="n">
        <v>78.09999999999999</v>
      </c>
      <c r="N846" t="n">
        <v>66</v>
      </c>
      <c r="O846" t="n">
        <v>19.5</v>
      </c>
      <c r="P846" t="n">
        <v>24</v>
      </c>
      <c r="Q846" t="n">
        <v>75.8</v>
      </c>
      <c r="R846" t="n">
        <v>63</v>
      </c>
      <c r="S846" t="n">
        <v>2100000</v>
      </c>
      <c r="T846" t="n">
        <v>7368</v>
      </c>
      <c r="AH846" t="inlineStr">
        <is>
          <t>Quelle: Idealista</t>
        </is>
      </c>
    </row>
    <row r="847">
      <c r="A847" t="n">
        <v>660</v>
      </c>
      <c r="B847" t="inlineStr">
        <is>
          <t>Casa independiente</t>
        </is>
      </c>
      <c r="C847" t="inlineStr">
        <is>
          <t>https://www.idealista.com/inmueble/97709273/</t>
        </is>
      </c>
      <c r="E847" t="n">
        <v>5</v>
      </c>
      <c r="H847" t="n">
        <v>461</v>
      </c>
      <c r="J847" t="inlineStr">
        <is>
          <t>Santa Ponça, Calvià</t>
        </is>
      </c>
      <c r="K847" t="n">
        <v>31.1</v>
      </c>
      <c r="L847" t="n">
        <v>28</v>
      </c>
      <c r="M847" t="n">
        <v>73.90000000000001</v>
      </c>
      <c r="N847" t="n">
        <v>61</v>
      </c>
      <c r="O847" t="n">
        <v>15.2</v>
      </c>
      <c r="P847" t="n">
        <v>19</v>
      </c>
      <c r="Q847" t="n">
        <v>71.59999999999999</v>
      </c>
      <c r="R847" t="n">
        <v>57</v>
      </c>
      <c r="S847" t="n">
        <v>3500000</v>
      </c>
      <c r="T847" t="n">
        <v>7592</v>
      </c>
      <c r="AH847" t="inlineStr">
        <is>
          <t>Quelle: Idealista</t>
        </is>
      </c>
    </row>
    <row r="848">
      <c r="A848" t="n">
        <v>661</v>
      </c>
      <c r="B848" t="inlineStr">
        <is>
          <t>Casa independiente</t>
        </is>
      </c>
      <c r="C848" t="inlineStr">
        <is>
          <t>https://www.idealista.com/inmueble/106537446/</t>
        </is>
      </c>
      <c r="E848" t="n">
        <v>5</v>
      </c>
      <c r="H848" t="n">
        <v>203</v>
      </c>
      <c r="J848" t="inlineStr">
        <is>
          <t>Santa Ponça, Calvià</t>
        </is>
      </c>
      <c r="K848" t="n">
        <v>31.1</v>
      </c>
      <c r="L848" t="n">
        <v>28</v>
      </c>
      <c r="M848" t="n">
        <v>73.90000000000001</v>
      </c>
      <c r="N848" t="n">
        <v>61</v>
      </c>
      <c r="O848" t="n">
        <v>15.2</v>
      </c>
      <c r="P848" t="n">
        <v>19</v>
      </c>
      <c r="Q848" t="n">
        <v>71.59999999999999</v>
      </c>
      <c r="R848" t="n">
        <v>57</v>
      </c>
      <c r="S848" t="n">
        <v>3500000</v>
      </c>
      <c r="T848" t="n">
        <v>17241</v>
      </c>
      <c r="AH848" t="inlineStr">
        <is>
          <t>Quelle: Idealista</t>
        </is>
      </c>
    </row>
    <row r="849">
      <c r="A849" t="n">
        <v>662</v>
      </c>
      <c r="B849" t="inlineStr">
        <is>
          <t>Casa independiente</t>
        </is>
      </c>
      <c r="C849" t="inlineStr">
        <is>
          <t>https://www.idealista.com/inmueble/106476349/</t>
        </is>
      </c>
      <c r="E849" t="n">
        <v>5</v>
      </c>
      <c r="H849" t="n">
        <v>480</v>
      </c>
      <c r="J849" t="inlineStr">
        <is>
          <t>Santa Ponça, Calvià</t>
        </is>
      </c>
      <c r="K849" t="n">
        <v>31.1</v>
      </c>
      <c r="L849" t="n">
        <v>28</v>
      </c>
      <c r="M849" t="n">
        <v>73.90000000000001</v>
      </c>
      <c r="N849" t="n">
        <v>61</v>
      </c>
      <c r="O849" t="n">
        <v>15.2</v>
      </c>
      <c r="P849" t="n">
        <v>19</v>
      </c>
      <c r="Q849" t="n">
        <v>71.59999999999999</v>
      </c>
      <c r="R849" t="n">
        <v>57</v>
      </c>
      <c r="S849" t="n">
        <v>2450000</v>
      </c>
      <c r="T849" t="n">
        <v>5104</v>
      </c>
      <c r="AH849" t="inlineStr">
        <is>
          <t>Quelle: Idealista</t>
        </is>
      </c>
    </row>
    <row r="850">
      <c r="A850" t="n">
        <v>663</v>
      </c>
      <c r="B850" t="inlineStr">
        <is>
          <t>Casa independiente</t>
        </is>
      </c>
      <c r="C850" t="inlineStr">
        <is>
          <t>https://www.idealista.com/inmueble/106374981/</t>
        </is>
      </c>
      <c r="E850" t="n">
        <v>5</v>
      </c>
      <c r="H850" t="n">
        <v>812</v>
      </c>
      <c r="J850" t="inlineStr">
        <is>
          <t>Sol de Mallorca, Calvià</t>
        </is>
      </c>
      <c r="K850" t="n">
        <v>32.2</v>
      </c>
      <c r="L850" t="n">
        <v>31</v>
      </c>
      <c r="M850" t="n">
        <v>75</v>
      </c>
      <c r="N850" t="n">
        <v>64</v>
      </c>
      <c r="O850" t="n">
        <v>21.2</v>
      </c>
      <c r="P850" t="n">
        <v>25</v>
      </c>
      <c r="Q850" t="n">
        <v>72.7</v>
      </c>
      <c r="R850" t="n">
        <v>60</v>
      </c>
      <c r="S850" t="n">
        <v>5650000</v>
      </c>
      <c r="T850" t="n">
        <v>6958</v>
      </c>
      <c r="AH850" t="inlineStr">
        <is>
          <t>Quelle: Idealista</t>
        </is>
      </c>
    </row>
    <row r="851">
      <c r="A851" t="n">
        <v>664</v>
      </c>
      <c r="B851" t="inlineStr">
        <is>
          <t>Casa independiente</t>
        </is>
      </c>
      <c r="C851" t="inlineStr">
        <is>
          <t>https://www.idealista.com/inmueble/106374084/</t>
        </is>
      </c>
      <c r="E851" t="n">
        <v>5</v>
      </c>
      <c r="H851" t="n">
        <v>904</v>
      </c>
      <c r="J851" t="inlineStr">
        <is>
          <t>Sol de Mallorca, Calvià</t>
        </is>
      </c>
      <c r="K851" t="n">
        <v>32.2</v>
      </c>
      <c r="L851" t="n">
        <v>31</v>
      </c>
      <c r="M851" t="n">
        <v>75</v>
      </c>
      <c r="N851" t="n">
        <v>64</v>
      </c>
      <c r="O851" t="n">
        <v>21.2</v>
      </c>
      <c r="P851" t="n">
        <v>25</v>
      </c>
      <c r="Q851" t="n">
        <v>72.7</v>
      </c>
      <c r="R851" t="n">
        <v>60</v>
      </c>
      <c r="S851" t="n">
        <v>5950000</v>
      </c>
      <c r="T851" t="n">
        <v>6582</v>
      </c>
      <c r="AH851" t="inlineStr">
        <is>
          <t>Quelle: Idealista</t>
        </is>
      </c>
    </row>
    <row r="852">
      <c r="A852" t="n">
        <v>665</v>
      </c>
      <c r="B852" t="inlineStr">
        <is>
          <t>Casa independiente</t>
        </is>
      </c>
      <c r="C852" t="inlineStr">
        <is>
          <t>https://www.idealista.com/inmueble/106369909/</t>
        </is>
      </c>
      <c r="E852" t="n">
        <v>5</v>
      </c>
      <c r="H852" t="n">
        <v>843</v>
      </c>
      <c r="J852" t="inlineStr">
        <is>
          <t>Santa Ponça, Calvià</t>
        </is>
      </c>
      <c r="K852" t="n">
        <v>31.1</v>
      </c>
      <c r="L852" t="n">
        <v>28</v>
      </c>
      <c r="M852" t="n">
        <v>73.90000000000001</v>
      </c>
      <c r="N852" t="n">
        <v>61</v>
      </c>
      <c r="O852" t="n">
        <v>15.2</v>
      </c>
      <c r="P852" t="n">
        <v>19</v>
      </c>
      <c r="Q852" t="n">
        <v>71.59999999999999</v>
      </c>
      <c r="R852" t="n">
        <v>57</v>
      </c>
      <c r="S852" t="n">
        <v>3600000</v>
      </c>
      <c r="T852" t="n">
        <v>4270</v>
      </c>
      <c r="AH852" t="inlineStr">
        <is>
          <t>Quelle: Idealista</t>
        </is>
      </c>
    </row>
    <row r="853">
      <c r="A853" t="n">
        <v>666</v>
      </c>
      <c r="B853" t="inlineStr">
        <is>
          <t>Casa independiente</t>
        </is>
      </c>
      <c r="C853" t="inlineStr">
        <is>
          <t>https://www.idealista.com/inmueble/106354597/</t>
        </is>
      </c>
      <c r="E853" t="n">
        <v>6</v>
      </c>
      <c r="H853" t="n">
        <v>600</v>
      </c>
      <c r="J853" t="inlineStr">
        <is>
          <t>Bendinat, Calvià</t>
        </is>
      </c>
      <c r="K853" t="n">
        <v>23.1</v>
      </c>
      <c r="L853" t="n">
        <v>22</v>
      </c>
      <c r="M853" t="n">
        <v>65.8</v>
      </c>
      <c r="N853" t="n">
        <v>55</v>
      </c>
      <c r="O853" t="n">
        <v>23.2</v>
      </c>
      <c r="P853" t="n">
        <v>23</v>
      </c>
      <c r="Q853" t="n">
        <v>63.5</v>
      </c>
      <c r="R853" t="n">
        <v>51</v>
      </c>
      <c r="S853" t="n">
        <v>4650000</v>
      </c>
      <c r="T853" t="n">
        <v>7750</v>
      </c>
      <c r="AH853" t="inlineStr">
        <is>
          <t>Quelle: Idealista</t>
        </is>
      </c>
    </row>
    <row r="854">
      <c r="A854" t="n">
        <v>667</v>
      </c>
      <c r="B854" t="inlineStr">
        <is>
          <t>Casa independiente</t>
        </is>
      </c>
      <c r="C854" t="inlineStr">
        <is>
          <t>https://www.idealista.com/inmueble/106071404/</t>
        </is>
      </c>
      <c r="E854" t="n">
        <v>5</v>
      </c>
      <c r="H854" t="n">
        <v>420</v>
      </c>
      <c r="J854" t="inlineStr">
        <is>
          <t>Cala Vinyes, Calvià</t>
        </is>
      </c>
      <c r="K854" t="n">
        <v>31.5</v>
      </c>
      <c r="L854" t="n">
        <v>31</v>
      </c>
      <c r="M854" t="n">
        <v>74.3</v>
      </c>
      <c r="N854" t="n">
        <v>64</v>
      </c>
      <c r="O854" t="n">
        <v>20.4</v>
      </c>
      <c r="P854" t="n">
        <v>25</v>
      </c>
      <c r="Q854" t="n">
        <v>72</v>
      </c>
      <c r="R854" t="n">
        <v>60</v>
      </c>
      <c r="S854" t="n">
        <v>2950000</v>
      </c>
      <c r="T854" t="n">
        <v>7024</v>
      </c>
      <c r="AH854" t="inlineStr">
        <is>
          <t>Quelle: Idealista</t>
        </is>
      </c>
    </row>
    <row r="855">
      <c r="A855" t="n">
        <v>668</v>
      </c>
      <c r="B855" t="inlineStr">
        <is>
          <t>Casa independiente</t>
        </is>
      </c>
      <c r="C855" t="inlineStr">
        <is>
          <t>https://www.idealista.com/inmueble/106098164/</t>
        </is>
      </c>
      <c r="E855" t="n">
        <v>6</v>
      </c>
      <c r="H855" t="n">
        <v>632</v>
      </c>
      <c r="J855" t="inlineStr">
        <is>
          <t>Santa Ponça, Calvià</t>
        </is>
      </c>
      <c r="K855" t="n">
        <v>31.1</v>
      </c>
      <c r="L855" t="n">
        <v>28</v>
      </c>
      <c r="M855" t="n">
        <v>73.90000000000001</v>
      </c>
      <c r="N855" t="n">
        <v>61</v>
      </c>
      <c r="O855" t="n">
        <v>15.2</v>
      </c>
      <c r="P855" t="n">
        <v>19</v>
      </c>
      <c r="Q855" t="n">
        <v>71.59999999999999</v>
      </c>
      <c r="R855" t="n">
        <v>57</v>
      </c>
      <c r="S855" t="n">
        <v>2600000</v>
      </c>
      <c r="T855" t="n">
        <v>4114</v>
      </c>
      <c r="AH855" t="inlineStr">
        <is>
          <t>Quelle: Idealista</t>
        </is>
      </c>
    </row>
    <row r="856">
      <c r="A856" t="n">
        <v>669</v>
      </c>
      <c r="B856" t="inlineStr">
        <is>
          <t>Casa independiente</t>
        </is>
      </c>
      <c r="C856" t="inlineStr">
        <is>
          <t>https://www.idealista.com/inmueble/106090775/</t>
        </is>
      </c>
      <c r="E856" t="n">
        <v>5</v>
      </c>
      <c r="H856" t="n">
        <v>372</v>
      </c>
      <c r="J856" t="inlineStr">
        <is>
          <t>Sol de Mallorca, Calvià</t>
        </is>
      </c>
      <c r="K856" t="n">
        <v>32.2</v>
      </c>
      <c r="L856" t="n">
        <v>31</v>
      </c>
      <c r="M856" t="n">
        <v>75</v>
      </c>
      <c r="N856" t="n">
        <v>64</v>
      </c>
      <c r="O856" t="n">
        <v>21.2</v>
      </c>
      <c r="P856" t="n">
        <v>25</v>
      </c>
      <c r="Q856" t="n">
        <v>72.7</v>
      </c>
      <c r="R856" t="n">
        <v>60</v>
      </c>
      <c r="S856" t="n">
        <v>3800000</v>
      </c>
      <c r="T856" t="n">
        <v>10215</v>
      </c>
      <c r="AH856" t="inlineStr">
        <is>
          <t>Quelle: Idealista</t>
        </is>
      </c>
    </row>
    <row r="857">
      <c r="A857" t="n">
        <v>670</v>
      </c>
      <c r="B857" t="inlineStr">
        <is>
          <t>Chalet</t>
        </is>
      </c>
      <c r="C857" t="inlineStr">
        <is>
          <t>https://www.idealista.com/inmueble/106023503/</t>
        </is>
      </c>
      <c r="E857" t="n">
        <v>6</v>
      </c>
      <c r="H857" t="n">
        <v>580</v>
      </c>
      <c r="J857" t="inlineStr">
        <is>
          <t>Santa Ponça, Calvià</t>
        </is>
      </c>
      <c r="K857" t="n">
        <v>31.1</v>
      </c>
      <c r="L857" t="n">
        <v>28</v>
      </c>
      <c r="M857" t="n">
        <v>73.90000000000001</v>
      </c>
      <c r="N857" t="n">
        <v>61</v>
      </c>
      <c r="O857" t="n">
        <v>15.2</v>
      </c>
      <c r="P857" t="n">
        <v>19</v>
      </c>
      <c r="Q857" t="n">
        <v>71.59999999999999</v>
      </c>
      <c r="R857" t="n">
        <v>57</v>
      </c>
      <c r="S857" t="n">
        <v>4495000</v>
      </c>
      <c r="T857" t="n">
        <v>7750</v>
      </c>
      <c r="AH857" t="inlineStr">
        <is>
          <t>Quelle: Idealista</t>
        </is>
      </c>
    </row>
    <row r="858">
      <c r="A858" t="n">
        <v>671</v>
      </c>
      <c r="B858" t="inlineStr">
        <is>
          <t>Casa independiente en calle de l'Església s/n</t>
        </is>
      </c>
      <c r="C858" t="inlineStr">
        <is>
          <t>https://www.idealista.com/inmueble/105985841/</t>
        </is>
      </c>
      <c r="E858" t="n">
        <v>5</v>
      </c>
      <c r="H858" t="n">
        <v>400</v>
      </c>
      <c r="J858" t="inlineStr">
        <is>
          <t>Es Capdellà, Calvià</t>
        </is>
      </c>
      <c r="K858" t="n">
        <v>34.8</v>
      </c>
      <c r="L858" t="n">
        <v>33</v>
      </c>
      <c r="M858" t="n">
        <v>77.5</v>
      </c>
      <c r="N858" t="n">
        <v>66</v>
      </c>
      <c r="O858" t="n">
        <v>13.6</v>
      </c>
      <c r="P858" t="n">
        <v>19</v>
      </c>
      <c r="Q858" t="n">
        <v>75.2</v>
      </c>
      <c r="R858" t="n">
        <v>63</v>
      </c>
      <c r="S858" t="n">
        <v>3850000</v>
      </c>
      <c r="T858" t="n">
        <v>9625</v>
      </c>
      <c r="AH858" t="inlineStr">
        <is>
          <t>Quelle: Idealista</t>
        </is>
      </c>
    </row>
    <row r="859">
      <c r="A859" t="n">
        <v>672</v>
      </c>
      <c r="B859" t="inlineStr">
        <is>
          <t>Casa independiente</t>
        </is>
      </c>
      <c r="C859" t="inlineStr">
        <is>
          <t>https://www.idealista.com/inmueble/105863687/</t>
        </is>
      </c>
      <c r="E859" t="n">
        <v>5</v>
      </c>
      <c r="H859" t="n">
        <v>501</v>
      </c>
      <c r="J859" t="inlineStr">
        <is>
          <t>Bendinat, Calvià</t>
        </is>
      </c>
      <c r="K859" t="n">
        <v>23.1</v>
      </c>
      <c r="L859" t="n">
        <v>22</v>
      </c>
      <c r="M859" t="n">
        <v>65.8</v>
      </c>
      <c r="N859" t="n">
        <v>55</v>
      </c>
      <c r="O859" t="n">
        <v>23.2</v>
      </c>
      <c r="P859" t="n">
        <v>23</v>
      </c>
      <c r="Q859" t="n">
        <v>63.5</v>
      </c>
      <c r="R859" t="n">
        <v>51</v>
      </c>
      <c r="S859" t="n">
        <v>6500000</v>
      </c>
      <c r="T859" t="n">
        <v>12974</v>
      </c>
      <c r="AH859" t="inlineStr">
        <is>
          <t>Quelle: Idealista</t>
        </is>
      </c>
    </row>
    <row r="860">
      <c r="A860" t="n">
        <v>673</v>
      </c>
      <c r="B860" t="inlineStr">
        <is>
          <t>Casa independiente</t>
        </is>
      </c>
      <c r="C860" t="inlineStr">
        <is>
          <t>https://www.idealista.com/inmueble/104529290/</t>
        </is>
      </c>
      <c r="E860" t="n">
        <v>5</v>
      </c>
      <c r="H860" t="n">
        <v>450</v>
      </c>
      <c r="J860" t="inlineStr">
        <is>
          <t>Cala Vinyes, Calvià</t>
        </is>
      </c>
      <c r="K860" t="n">
        <v>31.5</v>
      </c>
      <c r="L860" t="n">
        <v>31</v>
      </c>
      <c r="M860" t="n">
        <v>74.3</v>
      </c>
      <c r="N860" t="n">
        <v>64</v>
      </c>
      <c r="O860" t="n">
        <v>20.4</v>
      </c>
      <c r="P860" t="n">
        <v>25</v>
      </c>
      <c r="Q860" t="n">
        <v>72</v>
      </c>
      <c r="R860" t="n">
        <v>60</v>
      </c>
      <c r="S860" t="n">
        <v>3450000</v>
      </c>
      <c r="T860" t="n">
        <v>7667</v>
      </c>
      <c r="AH860" t="inlineStr">
        <is>
          <t>Quelle: Idealista</t>
        </is>
      </c>
    </row>
    <row r="861">
      <c r="A861" t="n">
        <v>674</v>
      </c>
      <c r="B861" t="inlineStr">
        <is>
          <t>Casa independiente</t>
        </is>
      </c>
      <c r="C861" t="inlineStr">
        <is>
          <t>https://www.idealista.com/inmueble/105825111/</t>
        </is>
      </c>
      <c r="E861" t="n">
        <v>5</v>
      </c>
      <c r="H861" t="n">
        <v>450</v>
      </c>
      <c r="J861" t="inlineStr">
        <is>
          <t>Costa d'En Blanes, Calvià</t>
        </is>
      </c>
      <c r="K861" t="n">
        <v>23.3</v>
      </c>
      <c r="L861" t="n">
        <v>21</v>
      </c>
      <c r="M861" t="n">
        <v>66.09999999999999</v>
      </c>
      <c r="N861" t="n">
        <v>54</v>
      </c>
      <c r="O861" t="n">
        <v>21</v>
      </c>
      <c r="P861" t="n">
        <v>21</v>
      </c>
      <c r="Q861" t="n">
        <v>63.8</v>
      </c>
      <c r="R861" t="n">
        <v>51</v>
      </c>
      <c r="S861" t="n">
        <v>5400000</v>
      </c>
      <c r="T861" t="n">
        <v>12000</v>
      </c>
      <c r="AH861" t="inlineStr">
        <is>
          <t>Quelle: Idealista</t>
        </is>
      </c>
    </row>
    <row r="862">
      <c r="A862" t="n">
        <v>675</v>
      </c>
      <c r="B862" t="inlineStr">
        <is>
          <t>Casa independiente</t>
        </is>
      </c>
      <c r="C862" t="inlineStr">
        <is>
          <t>https://www.idealista.com/inmueble/98595349/</t>
        </is>
      </c>
      <c r="E862" t="n">
        <v>5</v>
      </c>
      <c r="H862" t="n">
        <v>501</v>
      </c>
      <c r="J862" t="inlineStr">
        <is>
          <t>Bendinat, Calvià</t>
        </is>
      </c>
      <c r="K862" t="n">
        <v>23.1</v>
      </c>
      <c r="L862" t="n">
        <v>22</v>
      </c>
      <c r="M862" t="n">
        <v>65.8</v>
      </c>
      <c r="N862" t="n">
        <v>55</v>
      </c>
      <c r="O862" t="n">
        <v>23.2</v>
      </c>
      <c r="P862" t="n">
        <v>23</v>
      </c>
      <c r="Q862" t="n">
        <v>63.5</v>
      </c>
      <c r="R862" t="n">
        <v>51</v>
      </c>
      <c r="S862" t="n">
        <v>6500000</v>
      </c>
      <c r="T862" t="n">
        <v>12974</v>
      </c>
      <c r="AH862" t="inlineStr">
        <is>
          <t>Quelle: Idealista</t>
        </is>
      </c>
    </row>
    <row r="863">
      <c r="A863" t="n">
        <v>676</v>
      </c>
      <c r="B863" t="inlineStr">
        <is>
          <t>Casa independiente</t>
        </is>
      </c>
      <c r="C863" t="inlineStr">
        <is>
          <t>https://www.idealista.com/inmueble/105668929/</t>
        </is>
      </c>
      <c r="E863" t="n">
        <v>5</v>
      </c>
      <c r="H863" t="n">
        <v>875</v>
      </c>
      <c r="J863" t="inlineStr">
        <is>
          <t>Palmanova, Calvià</t>
        </is>
      </c>
      <c r="K863" t="n">
        <v>25.9</v>
      </c>
      <c r="L863" t="n">
        <v>24</v>
      </c>
      <c r="M863" t="n">
        <v>68.59999999999999</v>
      </c>
      <c r="N863" t="n">
        <v>57</v>
      </c>
      <c r="O863" t="n">
        <v>18.5</v>
      </c>
      <c r="P863" t="n">
        <v>21</v>
      </c>
      <c r="Q863" t="n">
        <v>66.3</v>
      </c>
      <c r="R863" t="n">
        <v>54</v>
      </c>
      <c r="S863" t="n">
        <v>3000000</v>
      </c>
      <c r="T863" t="n">
        <v>3429</v>
      </c>
      <c r="AH863" t="inlineStr">
        <is>
          <t>Quelle: Idealista</t>
        </is>
      </c>
    </row>
    <row r="864">
      <c r="A864" t="n">
        <v>677</v>
      </c>
      <c r="B864" t="inlineStr">
        <is>
          <t>Casa independiente</t>
        </is>
      </c>
      <c r="C864" t="inlineStr">
        <is>
          <t>https://www.idealista.com/inmueble/105508617/</t>
        </is>
      </c>
      <c r="E864" t="n">
        <v>5</v>
      </c>
      <c r="H864" t="n">
        <v>708</v>
      </c>
      <c r="J864" t="inlineStr">
        <is>
          <t>Sol de Mallorca, Calvià</t>
        </is>
      </c>
      <c r="K864" t="n">
        <v>32.2</v>
      </c>
      <c r="L864" t="n">
        <v>31</v>
      </c>
      <c r="M864" t="n">
        <v>75</v>
      </c>
      <c r="N864" t="n">
        <v>64</v>
      </c>
      <c r="O864" t="n">
        <v>21.2</v>
      </c>
      <c r="P864" t="n">
        <v>25</v>
      </c>
      <c r="Q864" t="n">
        <v>72.7</v>
      </c>
      <c r="R864" t="n">
        <v>60</v>
      </c>
      <c r="S864" t="n">
        <v>4300000</v>
      </c>
      <c r="T864" t="n">
        <v>6073</v>
      </c>
      <c r="AH864" t="inlineStr">
        <is>
          <t>Quelle: Idealista</t>
        </is>
      </c>
    </row>
    <row r="865">
      <c r="A865" t="n">
        <v>678</v>
      </c>
      <c r="B865" t="inlineStr">
        <is>
          <t>Casa independiente en calle de la Milana</t>
        </is>
      </c>
      <c r="C865" t="inlineStr">
        <is>
          <t>https://www.idealista.com/inmueble/105496423/</t>
        </is>
      </c>
      <c r="E865" t="n">
        <v>7</v>
      </c>
      <c r="H865" t="n">
        <v>630</v>
      </c>
      <c r="J865" t="inlineStr">
        <is>
          <t>Cas Catala, Calvià</t>
        </is>
      </c>
      <c r="K865" t="n">
        <v>20</v>
      </c>
      <c r="L865" t="n">
        <v>22</v>
      </c>
      <c r="M865" t="n">
        <v>62.8</v>
      </c>
      <c r="N865" t="n">
        <v>55</v>
      </c>
      <c r="O865" t="n">
        <v>23.7</v>
      </c>
      <c r="P865" t="n">
        <v>23</v>
      </c>
      <c r="Q865" t="n">
        <v>60.5</v>
      </c>
      <c r="R865" t="n">
        <v>51</v>
      </c>
      <c r="S865" t="n">
        <v>3500000</v>
      </c>
      <c r="T865" t="n">
        <v>5556</v>
      </c>
      <c r="AH865" t="inlineStr">
        <is>
          <t>Quelle: Idealista</t>
        </is>
      </c>
    </row>
    <row r="866">
      <c r="A866" t="n">
        <v>679</v>
      </c>
      <c r="B866" t="inlineStr">
        <is>
          <t>Casa independiente</t>
        </is>
      </c>
      <c r="C866" t="inlineStr">
        <is>
          <t>https://www.idealista.com/inmueble/105486310/</t>
        </is>
      </c>
      <c r="E866" t="n">
        <v>5</v>
      </c>
      <c r="H866" t="n">
        <v>590</v>
      </c>
      <c r="J866" t="inlineStr">
        <is>
          <t>Sol de Mallorca, Calvià</t>
        </is>
      </c>
      <c r="K866" t="n">
        <v>32.2</v>
      </c>
      <c r="L866" t="n">
        <v>31</v>
      </c>
      <c r="M866" t="n">
        <v>75</v>
      </c>
      <c r="N866" t="n">
        <v>64</v>
      </c>
      <c r="O866" t="n">
        <v>21.2</v>
      </c>
      <c r="P866" t="n">
        <v>25</v>
      </c>
      <c r="Q866" t="n">
        <v>72.7</v>
      </c>
      <c r="R866" t="n">
        <v>60</v>
      </c>
      <c r="S866" t="n">
        <v>4300000</v>
      </c>
      <c r="T866" t="n">
        <v>7288</v>
      </c>
      <c r="AH866" t="inlineStr">
        <is>
          <t>Quelle: Idealista</t>
        </is>
      </c>
    </row>
    <row r="867">
      <c r="A867" t="n">
        <v>680</v>
      </c>
      <c r="B867" t="inlineStr">
        <is>
          <t>Casa independiente</t>
        </is>
      </c>
      <c r="C867" t="inlineStr">
        <is>
          <t>https://www.idealista.com/inmueble/105397980/</t>
        </is>
      </c>
      <c r="E867" t="n">
        <v>5</v>
      </c>
      <c r="H867" t="n">
        <v>907</v>
      </c>
      <c r="J867" t="inlineStr">
        <is>
          <t>Calvià pueblo, Calvià</t>
        </is>
      </c>
      <c r="K867" t="n">
        <v>31.1</v>
      </c>
      <c r="L867" t="n">
        <v>28</v>
      </c>
      <c r="M867" t="n">
        <v>73.90000000000001</v>
      </c>
      <c r="N867" t="n">
        <v>61</v>
      </c>
      <c r="O867" t="n">
        <v>19.4</v>
      </c>
      <c r="P867" t="n">
        <v>22</v>
      </c>
      <c r="Q867" t="n">
        <v>71.59999999999999</v>
      </c>
      <c r="R867" t="n">
        <v>58</v>
      </c>
      <c r="S867" t="n">
        <v>4800000</v>
      </c>
      <c r="T867" t="n">
        <v>5292</v>
      </c>
      <c r="AH867" t="inlineStr">
        <is>
          <t>Quelle: Idealista</t>
        </is>
      </c>
    </row>
    <row r="868">
      <c r="A868" t="n">
        <v>681</v>
      </c>
      <c r="B868" t="inlineStr">
        <is>
          <t>Casa independiente</t>
        </is>
      </c>
      <c r="C868" t="inlineStr">
        <is>
          <t>https://www.idealista.com/inmueble/105277153/</t>
        </is>
      </c>
      <c r="E868" t="n">
        <v>5</v>
      </c>
      <c r="H868" t="n">
        <v>626</v>
      </c>
      <c r="J868" t="inlineStr">
        <is>
          <t>Sol de Mallorca, Calvià</t>
        </is>
      </c>
      <c r="K868" t="n">
        <v>32.2</v>
      </c>
      <c r="L868" t="n">
        <v>31</v>
      </c>
      <c r="M868" t="n">
        <v>75</v>
      </c>
      <c r="N868" t="n">
        <v>64</v>
      </c>
      <c r="O868" t="n">
        <v>21.2</v>
      </c>
      <c r="P868" t="n">
        <v>25</v>
      </c>
      <c r="Q868" t="n">
        <v>72.7</v>
      </c>
      <c r="R868" t="n">
        <v>60</v>
      </c>
      <c r="S868" t="n">
        <v>4950000</v>
      </c>
      <c r="T868" t="n">
        <v>7907</v>
      </c>
      <c r="AH868" t="inlineStr">
        <is>
          <t>Quelle: Idealista</t>
        </is>
      </c>
    </row>
    <row r="869">
      <c r="A869" t="n">
        <v>682</v>
      </c>
      <c r="B869" t="inlineStr">
        <is>
          <t>Casa independiente</t>
        </is>
      </c>
      <c r="C869" t="inlineStr">
        <is>
          <t>https://www.idealista.com/inmueble/105277064/</t>
        </is>
      </c>
      <c r="E869" t="n">
        <v>5</v>
      </c>
      <c r="H869" t="n">
        <v>371</v>
      </c>
      <c r="J869" t="inlineStr">
        <is>
          <t>Costa d'En Blanes, Calvià</t>
        </is>
      </c>
      <c r="K869" t="n">
        <v>23.3</v>
      </c>
      <c r="L869" t="n">
        <v>21</v>
      </c>
      <c r="M869" t="n">
        <v>66.09999999999999</v>
      </c>
      <c r="N869" t="n">
        <v>54</v>
      </c>
      <c r="O869" t="n">
        <v>21</v>
      </c>
      <c r="P869" t="n">
        <v>21</v>
      </c>
      <c r="Q869" t="n">
        <v>63.8</v>
      </c>
      <c r="R869" t="n">
        <v>51</v>
      </c>
      <c r="S869" t="n">
        <v>4800000</v>
      </c>
      <c r="T869" t="n">
        <v>12938</v>
      </c>
      <c r="AH869" t="inlineStr">
        <is>
          <t>Quelle: Idealista</t>
        </is>
      </c>
    </row>
    <row r="870">
      <c r="A870" t="n">
        <v>683</v>
      </c>
      <c r="B870" t="inlineStr">
        <is>
          <t>Chalet</t>
        </is>
      </c>
      <c r="C870" t="inlineStr">
        <is>
          <t>https://www.idealista.com/inmueble/105155513/</t>
        </is>
      </c>
      <c r="E870" t="n">
        <v>5</v>
      </c>
      <c r="H870" t="n">
        <v>1386</v>
      </c>
      <c r="J870" t="inlineStr">
        <is>
          <t>Costa de la Calma, Calvià</t>
        </is>
      </c>
      <c r="K870" t="n">
        <v>32.6</v>
      </c>
      <c r="L870" t="n">
        <v>29</v>
      </c>
      <c r="M870" t="n">
        <v>75.40000000000001</v>
      </c>
      <c r="N870" t="n">
        <v>62</v>
      </c>
      <c r="O870" t="n">
        <v>13.7</v>
      </c>
      <c r="P870" t="n">
        <v>18</v>
      </c>
      <c r="Q870" t="n">
        <v>73.09999999999999</v>
      </c>
      <c r="R870" t="n">
        <v>58</v>
      </c>
      <c r="S870" t="n">
        <v>2900000</v>
      </c>
      <c r="T870" t="n">
        <v>2092</v>
      </c>
      <c r="AH870" t="inlineStr">
        <is>
          <t>Quelle: Idealista</t>
        </is>
      </c>
    </row>
    <row r="871">
      <c r="A871" t="n">
        <v>684</v>
      </c>
      <c r="B871" t="inlineStr">
        <is>
          <t>Casa independiente en calle Puig des Capità</t>
        </is>
      </c>
      <c r="C871" t="inlineStr">
        <is>
          <t>https://www.idealista.com/inmueble/105148931/</t>
        </is>
      </c>
      <c r="E871" t="n">
        <v>5</v>
      </c>
      <c r="H871" t="n">
        <v>350</v>
      </c>
      <c r="J871" t="inlineStr">
        <is>
          <t>Bendinat, Calvià</t>
        </is>
      </c>
      <c r="K871" t="n">
        <v>23.1</v>
      </c>
      <c r="L871" t="n">
        <v>22</v>
      </c>
      <c r="M871" t="n">
        <v>65.8</v>
      </c>
      <c r="N871" t="n">
        <v>55</v>
      </c>
      <c r="O871" t="n">
        <v>23.2</v>
      </c>
      <c r="P871" t="n">
        <v>23</v>
      </c>
      <c r="Q871" t="n">
        <v>63.5</v>
      </c>
      <c r="R871" t="n">
        <v>51</v>
      </c>
      <c r="S871" t="n">
        <v>3800000</v>
      </c>
      <c r="T871" t="n">
        <v>10857</v>
      </c>
      <c r="AH871" t="inlineStr">
        <is>
          <t>Quelle: Idealista</t>
        </is>
      </c>
    </row>
    <row r="872">
      <c r="A872" t="n">
        <v>685</v>
      </c>
      <c r="B872" t="inlineStr">
        <is>
          <t>Casa independiente</t>
        </is>
      </c>
      <c r="C872" t="inlineStr">
        <is>
          <t>https://www.idealista.com/inmueble/105132673/</t>
        </is>
      </c>
      <c r="E872" t="n">
        <v>5</v>
      </c>
      <c r="H872" t="n">
        <v>871</v>
      </c>
      <c r="J872" t="inlineStr">
        <is>
          <t>Santa Ponça, Calvià</t>
        </is>
      </c>
      <c r="K872" t="n">
        <v>31.1</v>
      </c>
      <c r="L872" t="n">
        <v>28</v>
      </c>
      <c r="M872" t="n">
        <v>73.90000000000001</v>
      </c>
      <c r="N872" t="n">
        <v>61</v>
      </c>
      <c r="O872" t="n">
        <v>15.2</v>
      </c>
      <c r="P872" t="n">
        <v>19</v>
      </c>
      <c r="Q872" t="n">
        <v>71.59999999999999</v>
      </c>
      <c r="R872" t="n">
        <v>57</v>
      </c>
      <c r="S872" t="n">
        <v>3200000</v>
      </c>
      <c r="T872" t="n">
        <v>3674</v>
      </c>
      <c r="AH872" t="inlineStr">
        <is>
          <t>Quelle: Idealista</t>
        </is>
      </c>
    </row>
    <row r="873">
      <c r="A873" t="n">
        <v>686</v>
      </c>
      <c r="B873" t="inlineStr">
        <is>
          <t>Casa independiente</t>
        </is>
      </c>
      <c r="C873" t="inlineStr">
        <is>
          <t>https://www.idealista.com/inmueble/105093591/</t>
        </is>
      </c>
      <c r="E873" t="n">
        <v>5</v>
      </c>
      <c r="H873" t="n">
        <v>440</v>
      </c>
      <c r="J873" t="inlineStr">
        <is>
          <t>Bendinat, Calvià</t>
        </is>
      </c>
      <c r="K873" t="n">
        <v>23.1</v>
      </c>
      <c r="L873" t="n">
        <v>22</v>
      </c>
      <c r="M873" t="n">
        <v>65.8</v>
      </c>
      <c r="N873" t="n">
        <v>55</v>
      </c>
      <c r="O873" t="n">
        <v>23.2</v>
      </c>
      <c r="P873" t="n">
        <v>23</v>
      </c>
      <c r="Q873" t="n">
        <v>63.5</v>
      </c>
      <c r="R873" t="n">
        <v>51</v>
      </c>
      <c r="S873" t="n">
        <v>3800000</v>
      </c>
      <c r="T873" t="n">
        <v>8636</v>
      </c>
      <c r="AH873" t="inlineStr">
        <is>
          <t>Quelle: Idealista</t>
        </is>
      </c>
    </row>
    <row r="874">
      <c r="A874" t="n">
        <v>687</v>
      </c>
      <c r="B874" t="inlineStr">
        <is>
          <t>Casa independiente</t>
        </is>
      </c>
      <c r="C874" t="inlineStr">
        <is>
          <t>https://www.idealista.com/inmueble/104963409/</t>
        </is>
      </c>
      <c r="E874" t="n">
        <v>6</v>
      </c>
      <c r="H874" t="n">
        <v>580</v>
      </c>
      <c r="J874" t="inlineStr">
        <is>
          <t>Santa Ponça, Calvià</t>
        </is>
      </c>
      <c r="K874" t="n">
        <v>31.1</v>
      </c>
      <c r="L874" t="n">
        <v>28</v>
      </c>
      <c r="M874" t="n">
        <v>73.90000000000001</v>
      </c>
      <c r="N874" t="n">
        <v>61</v>
      </c>
      <c r="O874" t="n">
        <v>15.2</v>
      </c>
      <c r="P874" t="n">
        <v>19</v>
      </c>
      <c r="Q874" t="n">
        <v>71.59999999999999</v>
      </c>
      <c r="R874" t="n">
        <v>57</v>
      </c>
      <c r="S874" t="n">
        <v>4495000</v>
      </c>
      <c r="T874" t="n">
        <v>7750</v>
      </c>
      <c r="AH874" t="inlineStr">
        <is>
          <t>Quelle: Idealista</t>
        </is>
      </c>
    </row>
    <row r="875">
      <c r="A875" t="n">
        <v>688</v>
      </c>
      <c r="B875" t="inlineStr">
        <is>
          <t>Casa independiente</t>
        </is>
      </c>
      <c r="C875" t="inlineStr">
        <is>
          <t>https://www.idealista.com/inmueble/104558765/</t>
        </is>
      </c>
      <c r="E875" t="n">
        <v>6</v>
      </c>
      <c r="H875" t="n">
        <v>900</v>
      </c>
      <c r="J875" t="inlineStr">
        <is>
          <t>Bendinat, Calvià</t>
        </is>
      </c>
      <c r="K875" t="n">
        <v>23.1</v>
      </c>
      <c r="L875" t="n">
        <v>22</v>
      </c>
      <c r="M875" t="n">
        <v>65.8</v>
      </c>
      <c r="N875" t="n">
        <v>55</v>
      </c>
      <c r="O875" t="n">
        <v>23.2</v>
      </c>
      <c r="P875" t="n">
        <v>23</v>
      </c>
      <c r="Q875" t="n">
        <v>63.5</v>
      </c>
      <c r="R875" t="n">
        <v>51</v>
      </c>
      <c r="S875" t="n">
        <v>4400000</v>
      </c>
      <c r="T875" t="n">
        <v>4889</v>
      </c>
      <c r="AH875" t="inlineStr">
        <is>
          <t>Quelle: Idealista</t>
        </is>
      </c>
    </row>
    <row r="876">
      <c r="A876" t="n">
        <v>689</v>
      </c>
      <c r="B876" t="inlineStr">
        <is>
          <t>Casa independiente</t>
        </is>
      </c>
      <c r="C876" t="inlineStr">
        <is>
          <t>https://www.idealista.com/inmueble/104446789/</t>
        </is>
      </c>
      <c r="E876" t="n">
        <v>5</v>
      </c>
      <c r="H876" t="n">
        <v>450</v>
      </c>
      <c r="J876" t="inlineStr">
        <is>
          <t>Santa Ponça, Calvià</t>
        </is>
      </c>
      <c r="K876" t="n">
        <v>31.1</v>
      </c>
      <c r="L876" t="n">
        <v>28</v>
      </c>
      <c r="M876" t="n">
        <v>73.90000000000001</v>
      </c>
      <c r="N876" t="n">
        <v>61</v>
      </c>
      <c r="O876" t="n">
        <v>15.2</v>
      </c>
      <c r="P876" t="n">
        <v>19</v>
      </c>
      <c r="Q876" t="n">
        <v>71.59999999999999</v>
      </c>
      <c r="R876" t="n">
        <v>57</v>
      </c>
      <c r="S876" t="n">
        <v>5900000</v>
      </c>
      <c r="T876" t="n">
        <v>13111</v>
      </c>
      <c r="AH876" t="inlineStr">
        <is>
          <t>Quelle: Idealista</t>
        </is>
      </c>
    </row>
    <row r="877">
      <c r="A877" t="n">
        <v>690</v>
      </c>
      <c r="B877" t="inlineStr">
        <is>
          <t>Casa independiente</t>
        </is>
      </c>
      <c r="C877" t="inlineStr">
        <is>
          <t>https://www.idealista.com/inmueble/104334856/</t>
        </is>
      </c>
      <c r="E877" t="n">
        <v>5</v>
      </c>
      <c r="H877" t="n">
        <v>518</v>
      </c>
      <c r="J877" t="inlineStr">
        <is>
          <t>Sol de Mallorca, Calvià</t>
        </is>
      </c>
      <c r="K877" t="n">
        <v>32.2</v>
      </c>
      <c r="L877" t="n">
        <v>31</v>
      </c>
      <c r="M877" t="n">
        <v>75</v>
      </c>
      <c r="N877" t="n">
        <v>64</v>
      </c>
      <c r="O877" t="n">
        <v>21.2</v>
      </c>
      <c r="P877" t="n">
        <v>25</v>
      </c>
      <c r="Q877" t="n">
        <v>72.7</v>
      </c>
      <c r="R877" t="n">
        <v>60</v>
      </c>
      <c r="S877" t="n">
        <v>4500000</v>
      </c>
      <c r="T877" t="n">
        <v>8687</v>
      </c>
      <c r="AH877" t="inlineStr">
        <is>
          <t>Quelle: Idealista</t>
        </is>
      </c>
    </row>
    <row r="878">
      <c r="A878" t="n">
        <v>691</v>
      </c>
      <c r="B878" t="inlineStr">
        <is>
          <t>Casa independiente</t>
        </is>
      </c>
      <c r="C878" t="inlineStr">
        <is>
          <t>https://www.idealista.com/inmueble/104166821/</t>
        </is>
      </c>
      <c r="E878" t="n">
        <v>5</v>
      </c>
      <c r="H878" t="n">
        <v>448</v>
      </c>
      <c r="J878" t="inlineStr">
        <is>
          <t>Sol de Mallorca, Calvià</t>
        </is>
      </c>
      <c r="K878" t="n">
        <v>32.2</v>
      </c>
      <c r="L878" t="n">
        <v>31</v>
      </c>
      <c r="M878" t="n">
        <v>75</v>
      </c>
      <c r="N878" t="n">
        <v>64</v>
      </c>
      <c r="O878" t="n">
        <v>21.2</v>
      </c>
      <c r="P878" t="n">
        <v>25</v>
      </c>
      <c r="Q878" t="n">
        <v>72.7</v>
      </c>
      <c r="R878" t="n">
        <v>60</v>
      </c>
      <c r="S878" t="n">
        <v>4600000</v>
      </c>
      <c r="T878" t="n">
        <v>10268</v>
      </c>
      <c r="AH878" t="inlineStr">
        <is>
          <t>Quelle: Idealista</t>
        </is>
      </c>
    </row>
    <row r="879">
      <c r="A879" t="n">
        <v>692</v>
      </c>
      <c r="B879" t="inlineStr">
        <is>
          <t>Casa independiente</t>
        </is>
      </c>
      <c r="C879" t="inlineStr">
        <is>
          <t>https://www.idealista.com/inmueble/104124988/</t>
        </is>
      </c>
      <c r="E879" t="n">
        <v>5</v>
      </c>
      <c r="H879" t="n">
        <v>590</v>
      </c>
      <c r="J879" t="inlineStr">
        <is>
          <t>Sol de Mallorca, Calvià</t>
        </is>
      </c>
      <c r="K879" t="n">
        <v>32.2</v>
      </c>
      <c r="L879" t="n">
        <v>31</v>
      </c>
      <c r="M879" t="n">
        <v>75</v>
      </c>
      <c r="N879" t="n">
        <v>64</v>
      </c>
      <c r="O879" t="n">
        <v>21.2</v>
      </c>
      <c r="P879" t="n">
        <v>25</v>
      </c>
      <c r="Q879" t="n">
        <v>72.7</v>
      </c>
      <c r="R879" t="n">
        <v>60</v>
      </c>
      <c r="S879" t="n">
        <v>4300000</v>
      </c>
      <c r="T879" t="n">
        <v>7288</v>
      </c>
      <c r="AH879" t="inlineStr">
        <is>
          <t>Quelle: Idealista</t>
        </is>
      </c>
    </row>
    <row r="880">
      <c r="A880" t="n">
        <v>693</v>
      </c>
      <c r="B880" t="inlineStr">
        <is>
          <t>Casa independiente</t>
        </is>
      </c>
      <c r="C880" t="inlineStr">
        <is>
          <t>https://www.idealista.com/inmueble/104002168/</t>
        </is>
      </c>
      <c r="E880" t="n">
        <v>7</v>
      </c>
      <c r="H880" t="n">
        <v>570</v>
      </c>
      <c r="J880" t="inlineStr">
        <is>
          <t>Cas Catala, Calvià</t>
        </is>
      </c>
      <c r="K880" t="n">
        <v>20</v>
      </c>
      <c r="L880" t="n">
        <v>22</v>
      </c>
      <c r="M880" t="n">
        <v>62.8</v>
      </c>
      <c r="N880" t="n">
        <v>55</v>
      </c>
      <c r="O880" t="n">
        <v>23.7</v>
      </c>
      <c r="P880" t="n">
        <v>23</v>
      </c>
      <c r="Q880" t="n">
        <v>60.5</v>
      </c>
      <c r="R880" t="n">
        <v>51</v>
      </c>
      <c r="S880" t="n">
        <v>4995000</v>
      </c>
      <c r="T880" t="n">
        <v>8763</v>
      </c>
      <c r="AH880" t="inlineStr">
        <is>
          <t>Quelle: Idealista</t>
        </is>
      </c>
    </row>
    <row r="881">
      <c r="A881" t="n">
        <v>694</v>
      </c>
      <c r="B881" t="inlineStr">
        <is>
          <t>Chalet</t>
        </is>
      </c>
      <c r="C881" t="inlineStr">
        <is>
          <t>https://www.idealista.com/inmueble/103726810/</t>
        </is>
      </c>
      <c r="E881" t="n">
        <v>6</v>
      </c>
      <c r="H881" t="n">
        <v>597</v>
      </c>
      <c r="J881" t="inlineStr">
        <is>
          <t>Santa Ponça, Calvià</t>
        </is>
      </c>
      <c r="K881" t="n">
        <v>31.1</v>
      </c>
      <c r="L881" t="n">
        <v>28</v>
      </c>
      <c r="M881" t="n">
        <v>73.90000000000001</v>
      </c>
      <c r="N881" t="n">
        <v>61</v>
      </c>
      <c r="O881" t="n">
        <v>15.2</v>
      </c>
      <c r="P881" t="n">
        <v>19</v>
      </c>
      <c r="Q881" t="n">
        <v>71.59999999999999</v>
      </c>
      <c r="R881" t="n">
        <v>57</v>
      </c>
      <c r="S881" t="n">
        <v>2600000</v>
      </c>
      <c r="T881" t="n">
        <v>4355</v>
      </c>
      <c r="AH881" t="inlineStr">
        <is>
          <t>Quelle: Idealista</t>
        </is>
      </c>
    </row>
    <row r="882">
      <c r="A882" t="n">
        <v>695</v>
      </c>
      <c r="B882" t="inlineStr">
        <is>
          <t>Casa independiente en Gran vía Puig san salvador</t>
        </is>
      </c>
      <c r="C882" t="inlineStr">
        <is>
          <t>https://www.idealista.com/inmueble/103693271/</t>
        </is>
      </c>
      <c r="E882" t="n">
        <v>5</v>
      </c>
      <c r="H882" t="n">
        <v>400</v>
      </c>
      <c r="J882" t="inlineStr">
        <is>
          <t>Santa Ponça, Calvià</t>
        </is>
      </c>
      <c r="K882" t="n">
        <v>31.1</v>
      </c>
      <c r="L882" t="n">
        <v>28</v>
      </c>
      <c r="M882" t="n">
        <v>73.90000000000001</v>
      </c>
      <c r="N882" t="n">
        <v>61</v>
      </c>
      <c r="O882" t="n">
        <v>15.2</v>
      </c>
      <c r="P882" t="n">
        <v>19</v>
      </c>
      <c r="Q882" t="n">
        <v>71.59999999999999</v>
      </c>
      <c r="R882" t="n">
        <v>57</v>
      </c>
      <c r="S882" t="n">
        <v>2650000</v>
      </c>
      <c r="T882" t="n">
        <v>6625</v>
      </c>
      <c r="AH882" t="inlineStr">
        <is>
          <t>Quelle: Idealista</t>
        </is>
      </c>
    </row>
    <row r="883">
      <c r="A883" t="n">
        <v>696</v>
      </c>
      <c r="B883" t="inlineStr">
        <is>
          <t>Casa independiente</t>
        </is>
      </c>
      <c r="C883" t="inlineStr">
        <is>
          <t>https://www.idealista.com/inmueble/103674290/</t>
        </is>
      </c>
      <c r="E883" t="n">
        <v>5</v>
      </c>
      <c r="H883" t="n">
        <v>800</v>
      </c>
      <c r="J883" t="inlineStr">
        <is>
          <t>Santa Ponça, Calvià</t>
        </is>
      </c>
      <c r="K883" t="n">
        <v>31.1</v>
      </c>
      <c r="L883" t="n">
        <v>28</v>
      </c>
      <c r="M883" t="n">
        <v>73.90000000000001</v>
      </c>
      <c r="N883" t="n">
        <v>61</v>
      </c>
      <c r="O883" t="n">
        <v>15.2</v>
      </c>
      <c r="P883" t="n">
        <v>19</v>
      </c>
      <c r="Q883" t="n">
        <v>71.59999999999999</v>
      </c>
      <c r="R883" t="n">
        <v>57</v>
      </c>
      <c r="S883" t="n">
        <v>2570000</v>
      </c>
      <c r="T883" t="n">
        <v>3212</v>
      </c>
      <c r="AH883" t="inlineStr">
        <is>
          <t>Quelle: Idealista</t>
        </is>
      </c>
    </row>
    <row r="884">
      <c r="A884" t="n">
        <v>697</v>
      </c>
      <c r="B884" t="inlineStr">
        <is>
          <t>Chalet</t>
        </is>
      </c>
      <c r="C884" t="inlineStr">
        <is>
          <t>https://www.idealista.com/inmueble/103607191/</t>
        </is>
      </c>
      <c r="E884" t="n">
        <v>5</v>
      </c>
      <c r="H884" t="n">
        <v>270</v>
      </c>
      <c r="J884" t="inlineStr">
        <is>
          <t>Costa d'En Blanes, Calvià</t>
        </is>
      </c>
      <c r="K884" t="n">
        <v>23.3</v>
      </c>
      <c r="L884" t="n">
        <v>21</v>
      </c>
      <c r="M884" t="n">
        <v>66.09999999999999</v>
      </c>
      <c r="N884" t="n">
        <v>54</v>
      </c>
      <c r="O884" t="n">
        <v>21</v>
      </c>
      <c r="P884" t="n">
        <v>21</v>
      </c>
      <c r="Q884" t="n">
        <v>63.8</v>
      </c>
      <c r="R884" t="n">
        <v>51</v>
      </c>
      <c r="S884" t="n">
        <v>2750000</v>
      </c>
      <c r="T884" t="n">
        <v>10185</v>
      </c>
      <c r="AH884" t="inlineStr">
        <is>
          <t>Quelle: Idealista</t>
        </is>
      </c>
    </row>
    <row r="885">
      <c r="A885" t="n">
        <v>698</v>
      </c>
      <c r="B885" t="inlineStr">
        <is>
          <t>Casa independiente</t>
        </is>
      </c>
      <c r="C885" t="inlineStr">
        <is>
          <t>https://www.idealista.com/inmueble/102950231/</t>
        </is>
      </c>
      <c r="E885" t="n">
        <v>6</v>
      </c>
      <c r="H885" t="n">
        <v>380</v>
      </c>
      <c r="J885" t="inlineStr">
        <is>
          <t>Santa Ponça, Calvià</t>
        </is>
      </c>
      <c r="K885" t="n">
        <v>31.1</v>
      </c>
      <c r="L885" t="n">
        <v>28</v>
      </c>
      <c r="M885" t="n">
        <v>73.90000000000001</v>
      </c>
      <c r="N885" t="n">
        <v>61</v>
      </c>
      <c r="O885" t="n">
        <v>15.2</v>
      </c>
      <c r="P885" t="n">
        <v>19</v>
      </c>
      <c r="Q885" t="n">
        <v>71.59999999999999</v>
      </c>
      <c r="R885" t="n">
        <v>57</v>
      </c>
      <c r="S885" t="n">
        <v>4495000</v>
      </c>
      <c r="T885" t="n">
        <v>11829</v>
      </c>
      <c r="AH885" t="inlineStr">
        <is>
          <t>Quelle: Idealista</t>
        </is>
      </c>
    </row>
    <row r="886">
      <c r="A886" t="n">
        <v>699</v>
      </c>
      <c r="B886" t="inlineStr">
        <is>
          <t>Chalet</t>
        </is>
      </c>
      <c r="C886" t="inlineStr">
        <is>
          <t>https://www.idealista.com/inmueble/102779339/</t>
        </is>
      </c>
      <c r="E886" t="n">
        <v>7</v>
      </c>
      <c r="H886" t="n">
        <v>911</v>
      </c>
      <c r="J886" t="inlineStr">
        <is>
          <t>Bendinat, Calvià</t>
        </is>
      </c>
      <c r="K886" t="n">
        <v>23.1</v>
      </c>
      <c r="L886" t="n">
        <v>22</v>
      </c>
      <c r="M886" t="n">
        <v>65.8</v>
      </c>
      <c r="N886" t="n">
        <v>55</v>
      </c>
      <c r="O886" t="n">
        <v>23.2</v>
      </c>
      <c r="P886" t="n">
        <v>23</v>
      </c>
      <c r="Q886" t="n">
        <v>63.5</v>
      </c>
      <c r="R886" t="n">
        <v>51</v>
      </c>
      <c r="S886" t="n">
        <v>4400000</v>
      </c>
      <c r="T886" t="n">
        <v>4830</v>
      </c>
      <c r="AH886" t="inlineStr">
        <is>
          <t>Quelle: Idealista</t>
        </is>
      </c>
    </row>
    <row r="887">
      <c r="A887" t="n">
        <v>700</v>
      </c>
      <c r="B887" t="inlineStr">
        <is>
          <t>Casa independiente</t>
        </is>
      </c>
      <c r="C887" t="inlineStr">
        <is>
          <t>https://www.idealista.com/inmueble/102298873/</t>
        </is>
      </c>
      <c r="E887" t="n">
        <v>5</v>
      </c>
      <c r="H887" t="n">
        <v>521</v>
      </c>
      <c r="J887" t="inlineStr">
        <is>
          <t>Santa Ponça, Calvià</t>
        </is>
      </c>
      <c r="K887" t="n">
        <v>31.1</v>
      </c>
      <c r="L887" t="n">
        <v>28</v>
      </c>
      <c r="M887" t="n">
        <v>73.90000000000001</v>
      </c>
      <c r="N887" t="n">
        <v>61</v>
      </c>
      <c r="O887" t="n">
        <v>15.2</v>
      </c>
      <c r="P887" t="n">
        <v>19</v>
      </c>
      <c r="Q887" t="n">
        <v>71.59999999999999</v>
      </c>
      <c r="R887" t="n">
        <v>57</v>
      </c>
      <c r="S887" t="n">
        <v>4100000</v>
      </c>
      <c r="T887" t="n">
        <v>7869</v>
      </c>
      <c r="AH887" t="inlineStr">
        <is>
          <t>Quelle: Idealista</t>
        </is>
      </c>
    </row>
    <row r="888">
      <c r="A888" t="n">
        <v>701</v>
      </c>
      <c r="B888" t="inlineStr">
        <is>
          <t>Casa independiente</t>
        </is>
      </c>
      <c r="C888" t="inlineStr">
        <is>
          <t>https://www.idealista.com/inmueble/102700790/</t>
        </is>
      </c>
      <c r="E888" t="n">
        <v>5</v>
      </c>
      <c r="H888" t="n">
        <v>270</v>
      </c>
      <c r="J888" t="inlineStr">
        <is>
          <t>Costa d'En Blanes, Calvià</t>
        </is>
      </c>
      <c r="K888" t="n">
        <v>23.3</v>
      </c>
      <c r="L888" t="n">
        <v>21</v>
      </c>
      <c r="M888" t="n">
        <v>66.09999999999999</v>
      </c>
      <c r="N888" t="n">
        <v>54</v>
      </c>
      <c r="O888" t="n">
        <v>21</v>
      </c>
      <c r="P888" t="n">
        <v>21</v>
      </c>
      <c r="Q888" t="n">
        <v>63.8</v>
      </c>
      <c r="R888" t="n">
        <v>51</v>
      </c>
      <c r="S888" t="n">
        <v>2750000</v>
      </c>
      <c r="T888" t="n">
        <v>10185</v>
      </c>
      <c r="AH888" t="inlineStr">
        <is>
          <t>Quelle: Idealista</t>
        </is>
      </c>
    </row>
    <row r="889">
      <c r="A889" t="n">
        <v>702</v>
      </c>
      <c r="B889" t="inlineStr">
        <is>
          <t>Casa independiente en calle Camèlies</t>
        </is>
      </c>
      <c r="C889" t="inlineStr">
        <is>
          <t>https://www.idealista.com/inmueble/102654643/</t>
        </is>
      </c>
      <c r="E889" t="n">
        <v>7</v>
      </c>
      <c r="H889" t="n">
        <v>600</v>
      </c>
      <c r="J889" t="inlineStr">
        <is>
          <t>Cala Vinyes, Calvià</t>
        </is>
      </c>
      <c r="K889" t="n">
        <v>31.5</v>
      </c>
      <c r="L889" t="n">
        <v>31</v>
      </c>
      <c r="M889" t="n">
        <v>74.3</v>
      </c>
      <c r="N889" t="n">
        <v>64</v>
      </c>
      <c r="O889" t="n">
        <v>20.4</v>
      </c>
      <c r="P889" t="n">
        <v>25</v>
      </c>
      <c r="Q889" t="n">
        <v>72</v>
      </c>
      <c r="R889" t="n">
        <v>60</v>
      </c>
      <c r="S889" t="n">
        <v>2100000</v>
      </c>
      <c r="T889" t="n">
        <v>3500</v>
      </c>
      <c r="AH889" t="inlineStr">
        <is>
          <t>Quelle: Idealista</t>
        </is>
      </c>
    </row>
    <row r="890">
      <c r="A890" t="n">
        <v>703</v>
      </c>
      <c r="B890" t="inlineStr">
        <is>
          <t>Casa independiente</t>
        </is>
      </c>
      <c r="C890" t="inlineStr">
        <is>
          <t>https://www.idealista.com/inmueble/102597487/</t>
        </is>
      </c>
      <c r="E890" t="n">
        <v>5</v>
      </c>
      <c r="H890" t="n">
        <v>750</v>
      </c>
      <c r="J890" t="inlineStr">
        <is>
          <t>Santa Ponça, Calvià</t>
        </is>
      </c>
      <c r="K890" t="n">
        <v>31.1</v>
      </c>
      <c r="L890" t="n">
        <v>28</v>
      </c>
      <c r="M890" t="n">
        <v>73.90000000000001</v>
      </c>
      <c r="N890" t="n">
        <v>61</v>
      </c>
      <c r="O890" t="n">
        <v>15.2</v>
      </c>
      <c r="P890" t="n">
        <v>19</v>
      </c>
      <c r="Q890" t="n">
        <v>71.59999999999999</v>
      </c>
      <c r="R890" t="n">
        <v>57</v>
      </c>
      <c r="S890" t="n">
        <v>2650000</v>
      </c>
      <c r="T890" t="n">
        <v>3533</v>
      </c>
      <c r="AH890" t="inlineStr">
        <is>
          <t>Quelle: Idealista</t>
        </is>
      </c>
    </row>
    <row r="891">
      <c r="A891" t="n">
        <v>704</v>
      </c>
      <c r="B891" t="inlineStr">
        <is>
          <t>Casa independiente</t>
        </is>
      </c>
      <c r="C891" t="inlineStr">
        <is>
          <t>https://www.idealista.com/inmueble/95181721/</t>
        </is>
      </c>
      <c r="E891" t="n">
        <v>5</v>
      </c>
      <c r="H891" t="n">
        <v>631</v>
      </c>
      <c r="J891" t="inlineStr">
        <is>
          <t>Costa d'En Blanes, Calvià</t>
        </is>
      </c>
      <c r="K891" t="n">
        <v>23.3</v>
      </c>
      <c r="L891" t="n">
        <v>21</v>
      </c>
      <c r="M891" t="n">
        <v>66.09999999999999</v>
      </c>
      <c r="N891" t="n">
        <v>54</v>
      </c>
      <c r="O891" t="n">
        <v>21</v>
      </c>
      <c r="P891" t="n">
        <v>21</v>
      </c>
      <c r="Q891" t="n">
        <v>63.8</v>
      </c>
      <c r="R891" t="n">
        <v>51</v>
      </c>
      <c r="S891" t="n">
        <v>2200000</v>
      </c>
      <c r="T891" t="n">
        <v>3487</v>
      </c>
      <c r="AH891" t="inlineStr">
        <is>
          <t>Quelle: Idealista</t>
        </is>
      </c>
    </row>
    <row r="892">
      <c r="A892" t="n">
        <v>705</v>
      </c>
      <c r="B892" t="inlineStr">
        <is>
          <t>Casa independiente</t>
        </is>
      </c>
      <c r="C892" t="inlineStr">
        <is>
          <t>https://www.idealista.com/inmueble/102327574/</t>
        </is>
      </c>
      <c r="E892" t="n">
        <v>6</v>
      </c>
      <c r="H892" t="n">
        <v>580</v>
      </c>
      <c r="J892" t="inlineStr">
        <is>
          <t>Santa Ponça, Calvià</t>
        </is>
      </c>
      <c r="K892" t="n">
        <v>31.1</v>
      </c>
      <c r="L892" t="n">
        <v>28</v>
      </c>
      <c r="M892" t="n">
        <v>73.90000000000001</v>
      </c>
      <c r="N892" t="n">
        <v>61</v>
      </c>
      <c r="O892" t="n">
        <v>15.2</v>
      </c>
      <c r="P892" t="n">
        <v>19</v>
      </c>
      <c r="Q892" t="n">
        <v>71.59999999999999</v>
      </c>
      <c r="R892" t="n">
        <v>57</v>
      </c>
      <c r="S892" t="n">
        <v>4495000</v>
      </c>
      <c r="T892" t="n">
        <v>7750</v>
      </c>
      <c r="AH892" t="inlineStr">
        <is>
          <t>Quelle: Idealista</t>
        </is>
      </c>
    </row>
    <row r="893">
      <c r="A893" t="n">
        <v>706</v>
      </c>
      <c r="B893" t="inlineStr">
        <is>
          <t>Casa independiente en avenida Mar Toro</t>
        </is>
      </c>
      <c r="C893" t="inlineStr">
        <is>
          <t>https://www.idealista.com/inmueble/102293611/</t>
        </is>
      </c>
      <c r="E893" t="n">
        <v>5</v>
      </c>
      <c r="H893" t="n">
        <v>350</v>
      </c>
      <c r="J893" t="inlineStr">
        <is>
          <t>El Toro, Calvià</t>
        </is>
      </c>
      <c r="K893" t="n">
        <v>35.4</v>
      </c>
      <c r="L893" t="n">
        <v>33</v>
      </c>
      <c r="M893" t="n">
        <v>78.09999999999999</v>
      </c>
      <c r="N893" t="n">
        <v>66</v>
      </c>
      <c r="O893" t="n">
        <v>19.5</v>
      </c>
      <c r="P893" t="n">
        <v>24</v>
      </c>
      <c r="Q893" t="n">
        <v>75.8</v>
      </c>
      <c r="R893" t="n">
        <v>63</v>
      </c>
      <c r="S893" t="n">
        <v>3950000</v>
      </c>
      <c r="T893" t="n">
        <v>11286</v>
      </c>
      <c r="AH893" t="inlineStr">
        <is>
          <t>Quelle: Idealista</t>
        </is>
      </c>
    </row>
    <row r="894">
      <c r="A894" t="n">
        <v>707</v>
      </c>
      <c r="B894" t="inlineStr">
        <is>
          <t>Casa independiente</t>
        </is>
      </c>
      <c r="C894" t="inlineStr">
        <is>
          <t>https://www.idealista.com/inmueble/89610649/</t>
        </is>
      </c>
      <c r="E894" t="n">
        <v>5</v>
      </c>
      <c r="H894" t="n">
        <v>450</v>
      </c>
      <c r="J894" t="inlineStr">
        <is>
          <t>Santa Ponça, Calvià</t>
        </is>
      </c>
      <c r="K894" t="n">
        <v>31.1</v>
      </c>
      <c r="L894" t="n">
        <v>28</v>
      </c>
      <c r="M894" t="n">
        <v>73.90000000000001</v>
      </c>
      <c r="N894" t="n">
        <v>61</v>
      </c>
      <c r="O894" t="n">
        <v>15.2</v>
      </c>
      <c r="P894" t="n">
        <v>19</v>
      </c>
      <c r="Q894" t="n">
        <v>71.59999999999999</v>
      </c>
      <c r="R894" t="n">
        <v>57</v>
      </c>
      <c r="S894" t="n">
        <v>2520000</v>
      </c>
      <c r="T894" t="n">
        <v>5600</v>
      </c>
      <c r="AH894" t="inlineStr">
        <is>
          <t>Quelle: Idealista</t>
        </is>
      </c>
    </row>
    <row r="895">
      <c r="A895" t="n">
        <v>708</v>
      </c>
      <c r="B895" t="inlineStr">
        <is>
          <t>Casa independiente</t>
        </is>
      </c>
      <c r="C895" t="inlineStr">
        <is>
          <t>https://www.idealista.com/inmueble/88499331/</t>
        </is>
      </c>
      <c r="E895" t="n">
        <v>5</v>
      </c>
      <c r="H895" t="n">
        <v>320</v>
      </c>
      <c r="J895" t="inlineStr">
        <is>
          <t>Santa Ponça, Calvià</t>
        </is>
      </c>
      <c r="K895" t="n">
        <v>31.1</v>
      </c>
      <c r="L895" t="n">
        <v>28</v>
      </c>
      <c r="M895" t="n">
        <v>73.90000000000001</v>
      </c>
      <c r="N895" t="n">
        <v>61</v>
      </c>
      <c r="O895" t="n">
        <v>15.2</v>
      </c>
      <c r="P895" t="n">
        <v>19</v>
      </c>
      <c r="Q895" t="n">
        <v>71.59999999999999</v>
      </c>
      <c r="R895" t="n">
        <v>57</v>
      </c>
      <c r="S895" t="n">
        <v>2520000</v>
      </c>
      <c r="T895" t="n">
        <v>7875</v>
      </c>
      <c r="AH895" t="inlineStr">
        <is>
          <t>Quelle: Idealista</t>
        </is>
      </c>
    </row>
    <row r="896">
      <c r="A896" t="n">
        <v>709</v>
      </c>
      <c r="B896" t="inlineStr">
        <is>
          <t>Casa independiente</t>
        </is>
      </c>
      <c r="C896" t="inlineStr">
        <is>
          <t>https://www.idealista.com/inmueble/100866869/</t>
        </is>
      </c>
      <c r="E896" t="n">
        <v>5</v>
      </c>
      <c r="H896" t="n">
        <v>403</v>
      </c>
      <c r="J896" t="inlineStr">
        <is>
          <t>Sol de Mallorca, Calvià</t>
        </is>
      </c>
      <c r="K896" t="n">
        <v>32.2</v>
      </c>
      <c r="L896" t="n">
        <v>31</v>
      </c>
      <c r="M896" t="n">
        <v>75</v>
      </c>
      <c r="N896" t="n">
        <v>64</v>
      </c>
      <c r="O896" t="n">
        <v>21.2</v>
      </c>
      <c r="P896" t="n">
        <v>25</v>
      </c>
      <c r="Q896" t="n">
        <v>72.7</v>
      </c>
      <c r="R896" t="n">
        <v>60</v>
      </c>
      <c r="S896" t="n">
        <v>3850000</v>
      </c>
      <c r="T896" t="n">
        <v>9553</v>
      </c>
      <c r="AH896" t="inlineStr">
        <is>
          <t>Quelle: Idealista</t>
        </is>
      </c>
    </row>
    <row r="897">
      <c r="A897" t="n">
        <v>710</v>
      </c>
      <c r="B897" t="inlineStr">
        <is>
          <t>Casa independiente</t>
        </is>
      </c>
      <c r="C897" t="inlineStr">
        <is>
          <t>https://www.idealista.com/inmueble/99471937/</t>
        </is>
      </c>
      <c r="E897" t="n">
        <v>5</v>
      </c>
      <c r="H897" t="n">
        <v>450</v>
      </c>
      <c r="J897" t="inlineStr">
        <is>
          <t>Santa Ponça, Calvià</t>
        </is>
      </c>
      <c r="K897" t="n">
        <v>31.1</v>
      </c>
      <c r="L897" t="n">
        <v>28</v>
      </c>
      <c r="M897" t="n">
        <v>73.90000000000001</v>
      </c>
      <c r="N897" t="n">
        <v>61</v>
      </c>
      <c r="O897" t="n">
        <v>15.2</v>
      </c>
      <c r="P897" t="n">
        <v>19</v>
      </c>
      <c r="Q897" t="n">
        <v>71.59999999999999</v>
      </c>
      <c r="R897" t="n">
        <v>57</v>
      </c>
      <c r="S897" t="n">
        <v>2150000</v>
      </c>
      <c r="T897" t="n">
        <v>4778</v>
      </c>
      <c r="AH897" t="inlineStr">
        <is>
          <t>Quelle: Idealista</t>
        </is>
      </c>
    </row>
    <row r="898">
      <c r="A898" t="n">
        <v>711</v>
      </c>
      <c r="B898" t="inlineStr">
        <is>
          <t>Chalet</t>
        </is>
      </c>
      <c r="C898" t="inlineStr">
        <is>
          <t>https://www.idealista.com/inmueble/99103056/</t>
        </is>
      </c>
      <c r="E898" t="n">
        <v>6</v>
      </c>
      <c r="H898" t="n">
        <v>408</v>
      </c>
      <c r="J898" t="inlineStr">
        <is>
          <t>Santa Ponça, Calvià</t>
        </is>
      </c>
      <c r="K898" t="n">
        <v>31.1</v>
      </c>
      <c r="L898" t="n">
        <v>28</v>
      </c>
      <c r="M898" t="n">
        <v>73.90000000000001</v>
      </c>
      <c r="N898" t="n">
        <v>61</v>
      </c>
      <c r="O898" t="n">
        <v>15.2</v>
      </c>
      <c r="P898" t="n">
        <v>19</v>
      </c>
      <c r="Q898" t="n">
        <v>71.59999999999999</v>
      </c>
      <c r="R898" t="n">
        <v>57</v>
      </c>
      <c r="S898" t="n">
        <v>4495000</v>
      </c>
      <c r="T898" t="n">
        <v>11017</v>
      </c>
      <c r="AH898" t="inlineStr">
        <is>
          <t>Quelle: Idealista</t>
        </is>
      </c>
    </row>
    <row r="899">
      <c r="A899" t="n">
        <v>712</v>
      </c>
      <c r="B899" t="inlineStr">
        <is>
          <t>Casa independiente</t>
        </is>
      </c>
      <c r="C899" t="inlineStr">
        <is>
          <t>https://www.idealista.com/inmueble/97462094/</t>
        </is>
      </c>
      <c r="E899" t="n">
        <v>5</v>
      </c>
      <c r="H899" t="n">
        <v>773</v>
      </c>
      <c r="J899" t="inlineStr">
        <is>
          <t>Santa Ponça, Calvià</t>
        </is>
      </c>
      <c r="K899" t="n">
        <v>31.1</v>
      </c>
      <c r="L899" t="n">
        <v>28</v>
      </c>
      <c r="M899" t="n">
        <v>73.90000000000001</v>
      </c>
      <c r="N899" t="n">
        <v>61</v>
      </c>
      <c r="O899" t="n">
        <v>15.2</v>
      </c>
      <c r="P899" t="n">
        <v>19</v>
      </c>
      <c r="Q899" t="n">
        <v>71.59999999999999</v>
      </c>
      <c r="R899" t="n">
        <v>57</v>
      </c>
      <c r="S899" t="n">
        <v>5500000</v>
      </c>
      <c r="T899" t="n">
        <v>7115</v>
      </c>
      <c r="AH899" t="inlineStr">
        <is>
          <t>Quelle: Idealista</t>
        </is>
      </c>
    </row>
    <row r="900">
      <c r="A900" t="n">
        <v>713</v>
      </c>
      <c r="B900" t="inlineStr">
        <is>
          <t>Casa independiente</t>
        </is>
      </c>
      <c r="C900" t="inlineStr">
        <is>
          <t>https://www.idealista.com/inmueble/97376744/</t>
        </is>
      </c>
      <c r="E900" t="n">
        <v>6</v>
      </c>
      <c r="H900" t="n">
        <v>308</v>
      </c>
      <c r="J900" t="inlineStr">
        <is>
          <t>Palmanova, Calvià</t>
        </is>
      </c>
      <c r="K900" t="n">
        <v>25.9</v>
      </c>
      <c r="L900" t="n">
        <v>24</v>
      </c>
      <c r="M900" t="n">
        <v>68.59999999999999</v>
      </c>
      <c r="N900" t="n">
        <v>57</v>
      </c>
      <c r="O900" t="n">
        <v>18.5</v>
      </c>
      <c r="P900" t="n">
        <v>21</v>
      </c>
      <c r="Q900" t="n">
        <v>66.3</v>
      </c>
      <c r="R900" t="n">
        <v>54</v>
      </c>
      <c r="S900" t="n">
        <v>2055000</v>
      </c>
      <c r="T900" t="n">
        <v>6672</v>
      </c>
      <c r="AH900" t="inlineStr">
        <is>
          <t>Quelle: Idealista</t>
        </is>
      </c>
    </row>
    <row r="901">
      <c r="A901" t="n">
        <v>714</v>
      </c>
      <c r="B901" t="inlineStr">
        <is>
          <t>Casa independiente</t>
        </is>
      </c>
      <c r="C901" t="inlineStr">
        <is>
          <t>https://www.idealista.com/inmueble/97258436/</t>
        </is>
      </c>
      <c r="E901" t="n">
        <v>6</v>
      </c>
      <c r="H901" t="n">
        <v>510</v>
      </c>
      <c r="J901" t="inlineStr">
        <is>
          <t>Santa Ponça, Calvià</t>
        </is>
      </c>
      <c r="K901" t="n">
        <v>31.1</v>
      </c>
      <c r="L901" t="n">
        <v>28</v>
      </c>
      <c r="M901" t="n">
        <v>73.90000000000001</v>
      </c>
      <c r="N901" t="n">
        <v>61</v>
      </c>
      <c r="O901" t="n">
        <v>15.2</v>
      </c>
      <c r="P901" t="n">
        <v>19</v>
      </c>
      <c r="Q901" t="n">
        <v>71.59999999999999</v>
      </c>
      <c r="R901" t="n">
        <v>57</v>
      </c>
      <c r="S901" t="n">
        <v>4500000</v>
      </c>
      <c r="T901" t="n">
        <v>8824</v>
      </c>
      <c r="AH901" t="inlineStr">
        <is>
          <t>Quelle: Idealista</t>
        </is>
      </c>
    </row>
    <row r="902">
      <c r="A902" t="n">
        <v>715</v>
      </c>
      <c r="B902" t="inlineStr">
        <is>
          <t>Casa independiente</t>
        </is>
      </c>
      <c r="C902" t="inlineStr">
        <is>
          <t>https://www.idealista.com/inmueble/92700473/</t>
        </is>
      </c>
      <c r="E902" t="n">
        <v>5</v>
      </c>
      <c r="H902" t="n">
        <v>455</v>
      </c>
      <c r="J902" t="inlineStr">
        <is>
          <t>Santa Ponça, Calvià</t>
        </is>
      </c>
      <c r="K902" t="n">
        <v>31.1</v>
      </c>
      <c r="L902" t="n">
        <v>28</v>
      </c>
      <c r="M902" t="n">
        <v>73.90000000000001</v>
      </c>
      <c r="N902" t="n">
        <v>61</v>
      </c>
      <c r="O902" t="n">
        <v>15.2</v>
      </c>
      <c r="P902" t="n">
        <v>19</v>
      </c>
      <c r="Q902" t="n">
        <v>71.59999999999999</v>
      </c>
      <c r="R902" t="n">
        <v>57</v>
      </c>
      <c r="S902" t="n">
        <v>2520000</v>
      </c>
      <c r="T902" t="n">
        <v>5538</v>
      </c>
      <c r="AH902" t="inlineStr">
        <is>
          <t>Quelle: Idealista</t>
        </is>
      </c>
    </row>
    <row r="903">
      <c r="A903" t="n">
        <v>716</v>
      </c>
      <c r="B903" t="inlineStr">
        <is>
          <t>Casa independiente</t>
        </is>
      </c>
      <c r="C903" t="inlineStr">
        <is>
          <t>https://www.idealista.com/inmueble/85827135/</t>
        </is>
      </c>
      <c r="E903" t="n">
        <v>5</v>
      </c>
      <c r="H903" t="n">
        <v>504</v>
      </c>
      <c r="J903" t="inlineStr">
        <is>
          <t>Calvià pueblo, Calvià</t>
        </is>
      </c>
      <c r="K903" t="n">
        <v>31.1</v>
      </c>
      <c r="L903" t="n">
        <v>28</v>
      </c>
      <c r="M903" t="n">
        <v>73.90000000000001</v>
      </c>
      <c r="N903" t="n">
        <v>61</v>
      </c>
      <c r="O903" t="n">
        <v>19.4</v>
      </c>
      <c r="P903" t="n">
        <v>22</v>
      </c>
      <c r="Q903" t="n">
        <v>71.59999999999999</v>
      </c>
      <c r="R903" t="n">
        <v>58</v>
      </c>
      <c r="S903" t="n">
        <v>2570000</v>
      </c>
      <c r="T903" t="n">
        <v>5099</v>
      </c>
      <c r="AH903" t="inlineStr">
        <is>
          <t>Quelle: Idealista</t>
        </is>
      </c>
    </row>
    <row r="904">
      <c r="A904" t="n">
        <v>717</v>
      </c>
      <c r="B904" t="inlineStr">
        <is>
          <t>Chalet</t>
        </is>
      </c>
      <c r="C904" t="inlineStr">
        <is>
          <t>https://www.idealista.com/inmueble/84665714/</t>
        </is>
      </c>
      <c r="E904" t="n">
        <v>5</v>
      </c>
      <c r="H904" t="n">
        <v>704</v>
      </c>
      <c r="J904" t="inlineStr">
        <is>
          <t>Sol de Mallorca, Calvià</t>
        </is>
      </c>
      <c r="K904" t="n">
        <v>32.2</v>
      </c>
      <c r="L904" t="n">
        <v>31</v>
      </c>
      <c r="M904" t="n">
        <v>75</v>
      </c>
      <c r="N904" t="n">
        <v>64</v>
      </c>
      <c r="O904" t="n">
        <v>21.2</v>
      </c>
      <c r="P904" t="n">
        <v>25</v>
      </c>
      <c r="Q904" t="n">
        <v>72.7</v>
      </c>
      <c r="R904" t="n">
        <v>60</v>
      </c>
      <c r="S904" t="n">
        <v>3450000</v>
      </c>
      <c r="T904" t="n">
        <v>4901</v>
      </c>
      <c r="AH904" t="inlineStr">
        <is>
          <t>Quelle: Idealista</t>
        </is>
      </c>
    </row>
    <row r="905">
      <c r="A905" t="n">
        <v>718</v>
      </c>
      <c r="B905" t="inlineStr">
        <is>
          <t>Casa independiente en calle es Pujol</t>
        </is>
      </c>
      <c r="C905" t="inlineStr">
        <is>
          <t>https://www.idealista.com/inmueble/109368155/</t>
        </is>
      </c>
      <c r="E905" t="n">
        <v>5</v>
      </c>
      <c r="H905" t="n">
        <v>450</v>
      </c>
      <c r="J905" t="inlineStr">
        <is>
          <t>Campanet</t>
        </is>
      </c>
      <c r="K905" t="n">
        <v>46.9</v>
      </c>
      <c r="L905" t="n">
        <v>38</v>
      </c>
      <c r="M905" t="n">
        <v>65</v>
      </c>
      <c r="N905" t="n">
        <v>65</v>
      </c>
      <c r="O905" t="n">
        <v>69.5</v>
      </c>
      <c r="P905" t="n">
        <v>54</v>
      </c>
      <c r="Q905" t="n">
        <v>62.7</v>
      </c>
      <c r="R905" t="n">
        <v>61</v>
      </c>
      <c r="S905" t="n">
        <v>2500000</v>
      </c>
      <c r="T905" t="n">
        <v>5556</v>
      </c>
      <c r="AH905" t="inlineStr">
        <is>
          <t>Quelle: Idealista</t>
        </is>
      </c>
    </row>
    <row r="906">
      <c r="A906" t="n">
        <v>719</v>
      </c>
      <c r="B906" t="inlineStr">
        <is>
          <t>Casa independiente</t>
        </is>
      </c>
      <c r="C906" t="inlineStr">
        <is>
          <t>https://www.idealista.com/inmueble/110463224/</t>
        </is>
      </c>
      <c r="E906" t="n">
        <v>5</v>
      </c>
      <c r="H906" t="n">
        <v>533</v>
      </c>
      <c r="J906" t="inlineStr">
        <is>
          <t>Campos</t>
        </is>
      </c>
      <c r="K906" t="n">
        <v>32.9</v>
      </c>
      <c r="L906" t="n">
        <v>28</v>
      </c>
      <c r="M906" t="n">
        <v>14.6</v>
      </c>
      <c r="N906" t="n">
        <v>18</v>
      </c>
      <c r="O906" t="n">
        <v>71.09999999999999</v>
      </c>
      <c r="P906" t="n">
        <v>56</v>
      </c>
      <c r="Q906" t="n">
        <v>12.3</v>
      </c>
      <c r="R906" t="n">
        <v>14</v>
      </c>
      <c r="S906" t="n">
        <v>3950000</v>
      </c>
      <c r="T906" t="n">
        <v>7411</v>
      </c>
      <c r="AH906" t="inlineStr">
        <is>
          <t>Quelle: Idealista</t>
        </is>
      </c>
    </row>
    <row r="907">
      <c r="A907" t="n">
        <v>720</v>
      </c>
      <c r="B907" t="inlineStr">
        <is>
          <t>Casa rural</t>
        </is>
      </c>
      <c r="C907" t="inlineStr">
        <is>
          <t>https://www.idealista.com/inmueble/110360324/</t>
        </is>
      </c>
      <c r="E907" t="n">
        <v>5</v>
      </c>
      <c r="H907" t="n">
        <v>800</v>
      </c>
      <c r="J907" t="inlineStr">
        <is>
          <t>Campos</t>
        </is>
      </c>
      <c r="K907" t="n">
        <v>32.9</v>
      </c>
      <c r="L907" t="n">
        <v>28</v>
      </c>
      <c r="M907" t="n">
        <v>14.6</v>
      </c>
      <c r="N907" t="n">
        <v>18</v>
      </c>
      <c r="O907" t="n">
        <v>71.09999999999999</v>
      </c>
      <c r="P907" t="n">
        <v>56</v>
      </c>
      <c r="Q907" t="n">
        <v>12.3</v>
      </c>
      <c r="R907" t="n">
        <v>14</v>
      </c>
      <c r="S907" t="n">
        <v>3950000</v>
      </c>
      <c r="T907" t="n">
        <v>4938</v>
      </c>
      <c r="AH907" t="inlineStr">
        <is>
          <t>Quelle: Idealista</t>
        </is>
      </c>
    </row>
    <row r="908">
      <c r="A908" t="n">
        <v>721</v>
      </c>
      <c r="B908" t="inlineStr">
        <is>
          <t>Casa rural</t>
        </is>
      </c>
      <c r="C908" t="inlineStr">
        <is>
          <t>https://www.idealista.com/inmueble/109920712/</t>
        </is>
      </c>
      <c r="E908" t="n">
        <v>9</v>
      </c>
      <c r="H908" t="n">
        <v>952</v>
      </c>
      <c r="J908" t="inlineStr">
        <is>
          <t>Campos</t>
        </is>
      </c>
      <c r="K908" t="n">
        <v>32.9</v>
      </c>
      <c r="L908" t="n">
        <v>28</v>
      </c>
      <c r="M908" t="n">
        <v>14.6</v>
      </c>
      <c r="N908" t="n">
        <v>18</v>
      </c>
      <c r="O908" t="n">
        <v>71.09999999999999</v>
      </c>
      <c r="P908" t="n">
        <v>56</v>
      </c>
      <c r="Q908" t="n">
        <v>12.3</v>
      </c>
      <c r="R908" t="n">
        <v>14</v>
      </c>
      <c r="S908" t="n">
        <v>5225000</v>
      </c>
      <c r="T908" t="n">
        <v>5488</v>
      </c>
      <c r="AH908" t="inlineStr">
        <is>
          <t>Quelle: Idealista</t>
        </is>
      </c>
    </row>
    <row r="909">
      <c r="A909" t="n">
        <v>722</v>
      </c>
      <c r="B909" t="inlineStr">
        <is>
          <t>Finca rústica</t>
        </is>
      </c>
      <c r="C909" t="inlineStr">
        <is>
          <t>https://www.idealista.com/inmueble/109665542/</t>
        </is>
      </c>
      <c r="E909" t="n">
        <v>5</v>
      </c>
      <c r="H909" t="n">
        <v>500</v>
      </c>
      <c r="J909" t="inlineStr">
        <is>
          <t>Campos</t>
        </is>
      </c>
      <c r="K909" t="n">
        <v>32.9</v>
      </c>
      <c r="L909" t="n">
        <v>28</v>
      </c>
      <c r="M909" t="n">
        <v>14.6</v>
      </c>
      <c r="N909" t="n">
        <v>18</v>
      </c>
      <c r="O909" t="n">
        <v>71.09999999999999</v>
      </c>
      <c r="P909" t="n">
        <v>56</v>
      </c>
      <c r="Q909" t="n">
        <v>12.3</v>
      </c>
      <c r="R909" t="n">
        <v>14</v>
      </c>
      <c r="S909" t="n">
        <v>3150000</v>
      </c>
      <c r="T909" t="n">
        <v>6300</v>
      </c>
      <c r="AH909" t="inlineStr">
        <is>
          <t>Quelle: Idealista</t>
        </is>
      </c>
    </row>
    <row r="910">
      <c r="A910" t="n">
        <v>723</v>
      </c>
      <c r="B910" t="inlineStr">
        <is>
          <t>Finca rústica</t>
        </is>
      </c>
      <c r="C910" t="inlineStr">
        <is>
          <t>https://www.idealista.com/inmueble/109394700/</t>
        </is>
      </c>
      <c r="E910" t="n">
        <v>5</v>
      </c>
      <c r="H910" t="n">
        <v>509</v>
      </c>
      <c r="J910" t="inlineStr">
        <is>
          <t>Campos</t>
        </is>
      </c>
      <c r="K910" t="n">
        <v>32.9</v>
      </c>
      <c r="L910" t="n">
        <v>28</v>
      </c>
      <c r="M910" t="n">
        <v>14.6</v>
      </c>
      <c r="N910" t="n">
        <v>18</v>
      </c>
      <c r="O910" t="n">
        <v>71.09999999999999</v>
      </c>
      <c r="P910" t="n">
        <v>56</v>
      </c>
      <c r="Q910" t="n">
        <v>12.3</v>
      </c>
      <c r="R910" t="n">
        <v>14</v>
      </c>
      <c r="S910" t="n">
        <v>3950000</v>
      </c>
      <c r="T910" t="n">
        <v>7760</v>
      </c>
      <c r="AH910" t="inlineStr">
        <is>
          <t>Quelle: Idealista</t>
        </is>
      </c>
    </row>
    <row r="911">
      <c r="A911" t="n">
        <v>724</v>
      </c>
      <c r="B911" t="inlineStr">
        <is>
          <t>Casa rural</t>
        </is>
      </c>
      <c r="C911" t="inlineStr">
        <is>
          <t>https://www.idealista.com/inmueble/109394263/</t>
        </is>
      </c>
      <c r="E911" t="n">
        <v>5</v>
      </c>
      <c r="H911" t="n">
        <v>389</v>
      </c>
      <c r="J911" t="inlineStr">
        <is>
          <t>Campos</t>
        </is>
      </c>
      <c r="K911" t="n">
        <v>32.9</v>
      </c>
      <c r="L911" t="n">
        <v>28</v>
      </c>
      <c r="M911" t="n">
        <v>14.6</v>
      </c>
      <c r="N911" t="n">
        <v>18</v>
      </c>
      <c r="O911" t="n">
        <v>71.09999999999999</v>
      </c>
      <c r="P911" t="n">
        <v>56</v>
      </c>
      <c r="Q911" t="n">
        <v>12.3</v>
      </c>
      <c r="R911" t="n">
        <v>14</v>
      </c>
      <c r="S911" t="n">
        <v>2350000</v>
      </c>
      <c r="T911" t="n">
        <v>6041</v>
      </c>
      <c r="AH911" t="inlineStr">
        <is>
          <t>Quelle: Idealista</t>
        </is>
      </c>
    </row>
    <row r="912">
      <c r="A912" t="n">
        <v>725</v>
      </c>
      <c r="B912" t="inlineStr">
        <is>
          <t>Finca rústica</t>
        </is>
      </c>
      <c r="C912" t="inlineStr">
        <is>
          <t>https://www.idealista.com/inmueble/109379164/</t>
        </is>
      </c>
      <c r="E912" t="n">
        <v>5</v>
      </c>
      <c r="H912" t="n">
        <v>175</v>
      </c>
      <c r="J912" t="inlineStr">
        <is>
          <t>Campos</t>
        </is>
      </c>
      <c r="K912" t="n">
        <v>32.9</v>
      </c>
      <c r="L912" t="n">
        <v>28</v>
      </c>
      <c r="M912" t="n">
        <v>14.6</v>
      </c>
      <c r="N912" t="n">
        <v>18</v>
      </c>
      <c r="O912" t="n">
        <v>71.09999999999999</v>
      </c>
      <c r="P912" t="n">
        <v>56</v>
      </c>
      <c r="Q912" t="n">
        <v>12.3</v>
      </c>
      <c r="R912" t="n">
        <v>14</v>
      </c>
      <c r="S912" t="n">
        <v>2350000</v>
      </c>
      <c r="T912" t="n">
        <v>13429</v>
      </c>
      <c r="AH912" t="inlineStr">
        <is>
          <t>Quelle: Idealista</t>
        </is>
      </c>
    </row>
    <row r="913">
      <c r="A913" t="n">
        <v>726</v>
      </c>
      <c r="B913" t="inlineStr">
        <is>
          <t>Finca rústica</t>
        </is>
      </c>
      <c r="C913" t="inlineStr">
        <is>
          <t>https://www.idealista.com/inmueble/109366007/</t>
        </is>
      </c>
      <c r="E913" t="n">
        <v>6</v>
      </c>
      <c r="H913" t="n">
        <v>436</v>
      </c>
      <c r="J913" t="inlineStr">
        <is>
          <t>Campos</t>
        </is>
      </c>
      <c r="K913" t="n">
        <v>32.9</v>
      </c>
      <c r="L913" t="n">
        <v>28</v>
      </c>
      <c r="M913" t="n">
        <v>14.6</v>
      </c>
      <c r="N913" t="n">
        <v>18</v>
      </c>
      <c r="O913" t="n">
        <v>71.09999999999999</v>
      </c>
      <c r="P913" t="n">
        <v>56</v>
      </c>
      <c r="Q913" t="n">
        <v>12.3</v>
      </c>
      <c r="R913" t="n">
        <v>14</v>
      </c>
      <c r="S913" t="n">
        <v>3650000</v>
      </c>
      <c r="T913" t="n">
        <v>8372</v>
      </c>
      <c r="AH913" t="inlineStr">
        <is>
          <t>Quelle: Idealista</t>
        </is>
      </c>
    </row>
    <row r="914">
      <c r="A914" t="n">
        <v>727</v>
      </c>
      <c r="B914" t="inlineStr">
        <is>
          <t>Finca rústica</t>
        </is>
      </c>
      <c r="C914" t="inlineStr">
        <is>
          <t>https://www.idealista.com/inmueble/109341836/</t>
        </is>
      </c>
      <c r="E914" t="n">
        <v>5</v>
      </c>
      <c r="H914" t="n">
        <v>265</v>
      </c>
      <c r="J914" t="inlineStr">
        <is>
          <t>Campos</t>
        </is>
      </c>
      <c r="K914" t="n">
        <v>32.9</v>
      </c>
      <c r="L914" t="n">
        <v>28</v>
      </c>
      <c r="M914" t="n">
        <v>14.6</v>
      </c>
      <c r="N914" t="n">
        <v>18</v>
      </c>
      <c r="O914" t="n">
        <v>71.09999999999999</v>
      </c>
      <c r="P914" t="n">
        <v>56</v>
      </c>
      <c r="Q914" t="n">
        <v>12.3</v>
      </c>
      <c r="R914" t="n">
        <v>14</v>
      </c>
      <c r="S914" t="n">
        <v>2350000</v>
      </c>
      <c r="T914" t="n">
        <v>8868</v>
      </c>
      <c r="AH914" t="inlineStr">
        <is>
          <t>Quelle: Idealista</t>
        </is>
      </c>
    </row>
    <row r="915">
      <c r="A915" t="n">
        <v>728</v>
      </c>
      <c r="B915" t="inlineStr">
        <is>
          <t>Finca rústica</t>
        </is>
      </c>
      <c r="C915" t="inlineStr">
        <is>
          <t>https://www.idealista.com/inmueble/109327042/</t>
        </is>
      </c>
      <c r="E915" t="n">
        <v>5</v>
      </c>
      <c r="H915" t="n">
        <v>339</v>
      </c>
      <c r="J915" t="inlineStr">
        <is>
          <t>Campos</t>
        </is>
      </c>
      <c r="K915" t="n">
        <v>32.9</v>
      </c>
      <c r="L915" t="n">
        <v>28</v>
      </c>
      <c r="M915" t="n">
        <v>14.6</v>
      </c>
      <c r="N915" t="n">
        <v>18</v>
      </c>
      <c r="O915" t="n">
        <v>71.09999999999999</v>
      </c>
      <c r="P915" t="n">
        <v>56</v>
      </c>
      <c r="Q915" t="n">
        <v>12.3</v>
      </c>
      <c r="R915" t="n">
        <v>14</v>
      </c>
      <c r="S915" t="n">
        <v>2150000</v>
      </c>
      <c r="T915" t="n">
        <v>6342</v>
      </c>
      <c r="AH915" t="inlineStr">
        <is>
          <t>Quelle: Idealista</t>
        </is>
      </c>
    </row>
    <row r="916">
      <c r="A916" t="n">
        <v>729</v>
      </c>
      <c r="B916" t="inlineStr">
        <is>
          <t>Finca rústica</t>
        </is>
      </c>
      <c r="C916" t="inlineStr">
        <is>
          <t>https://www.idealista.com/inmueble/109262857/</t>
        </is>
      </c>
      <c r="E916" t="n">
        <v>7</v>
      </c>
      <c r="H916" t="n">
        <v>656</v>
      </c>
      <c r="J916" t="inlineStr">
        <is>
          <t>Campos</t>
        </is>
      </c>
      <c r="K916" t="n">
        <v>32.9</v>
      </c>
      <c r="L916" t="n">
        <v>28</v>
      </c>
      <c r="M916" t="n">
        <v>14.6</v>
      </c>
      <c r="N916" t="n">
        <v>18</v>
      </c>
      <c r="O916" t="n">
        <v>71.09999999999999</v>
      </c>
      <c r="P916" t="n">
        <v>56</v>
      </c>
      <c r="Q916" t="n">
        <v>12.3</v>
      </c>
      <c r="R916" t="n">
        <v>14</v>
      </c>
      <c r="S916" t="n">
        <v>2990000</v>
      </c>
      <c r="T916" t="n">
        <v>4558</v>
      </c>
      <c r="AH916" t="inlineStr">
        <is>
          <t>Quelle: Idealista</t>
        </is>
      </c>
    </row>
    <row r="917">
      <c r="A917" t="n">
        <v>730</v>
      </c>
      <c r="B917" t="inlineStr">
        <is>
          <t>Casa rural</t>
        </is>
      </c>
      <c r="C917" t="inlineStr">
        <is>
          <t>https://www.idealista.com/inmueble/106027607/</t>
        </is>
      </c>
      <c r="E917" t="n">
        <v>5</v>
      </c>
      <c r="H917" t="n">
        <v>509</v>
      </c>
      <c r="J917" t="inlineStr">
        <is>
          <t>Campos</t>
        </is>
      </c>
      <c r="K917" t="n">
        <v>32.9</v>
      </c>
      <c r="L917" t="n">
        <v>28</v>
      </c>
      <c r="M917" t="n">
        <v>14.6</v>
      </c>
      <c r="N917" t="n">
        <v>18</v>
      </c>
      <c r="O917" t="n">
        <v>71.09999999999999</v>
      </c>
      <c r="P917" t="n">
        <v>56</v>
      </c>
      <c r="Q917" t="n">
        <v>12.3</v>
      </c>
      <c r="R917" t="n">
        <v>14</v>
      </c>
      <c r="S917" t="n">
        <v>3950000</v>
      </c>
      <c r="T917" t="n">
        <v>7760</v>
      </c>
      <c r="AH917" t="inlineStr">
        <is>
          <t>Quelle: Idealista</t>
        </is>
      </c>
    </row>
    <row r="918">
      <c r="A918" t="n">
        <v>731</v>
      </c>
      <c r="B918" t="inlineStr">
        <is>
          <t>Casa rural</t>
        </is>
      </c>
      <c r="C918" t="inlineStr">
        <is>
          <t>https://www.idealista.com/inmueble/109161985/</t>
        </is>
      </c>
      <c r="E918" t="n">
        <v>5</v>
      </c>
      <c r="H918" t="n">
        <v>601</v>
      </c>
      <c r="J918" t="inlineStr">
        <is>
          <t>Campos</t>
        </is>
      </c>
      <c r="K918" t="n">
        <v>32.9</v>
      </c>
      <c r="L918" t="n">
        <v>28</v>
      </c>
      <c r="M918" t="n">
        <v>14.6</v>
      </c>
      <c r="N918" t="n">
        <v>18</v>
      </c>
      <c r="O918" t="n">
        <v>71.09999999999999</v>
      </c>
      <c r="P918" t="n">
        <v>56</v>
      </c>
      <c r="Q918" t="n">
        <v>12.3</v>
      </c>
      <c r="R918" t="n">
        <v>14</v>
      </c>
      <c r="S918" t="n">
        <v>6200000</v>
      </c>
      <c r="T918" t="n">
        <v>10316</v>
      </c>
      <c r="AH918" t="inlineStr">
        <is>
          <t>Quelle: Idealista</t>
        </is>
      </c>
    </row>
    <row r="919">
      <c r="A919" t="n">
        <v>732</v>
      </c>
      <c r="B919" t="inlineStr">
        <is>
          <t>Finca rústica</t>
        </is>
      </c>
      <c r="C919" t="inlineStr">
        <is>
          <t>https://www.idealista.com/inmueble/108970397/</t>
        </is>
      </c>
      <c r="E919" t="n">
        <v>7</v>
      </c>
      <c r="H919" t="n">
        <v>636</v>
      </c>
      <c r="J919" t="inlineStr">
        <is>
          <t>Campos</t>
        </is>
      </c>
      <c r="K919" t="n">
        <v>32.9</v>
      </c>
      <c r="L919" t="n">
        <v>28</v>
      </c>
      <c r="M919" t="n">
        <v>14.6</v>
      </c>
      <c r="N919" t="n">
        <v>18</v>
      </c>
      <c r="O919" t="n">
        <v>71.09999999999999</v>
      </c>
      <c r="P919" t="n">
        <v>56</v>
      </c>
      <c r="Q919" t="n">
        <v>12.3</v>
      </c>
      <c r="R919" t="n">
        <v>14</v>
      </c>
      <c r="S919" t="n">
        <v>3950000</v>
      </c>
      <c r="T919" t="n">
        <v>6211</v>
      </c>
      <c r="AH919" t="inlineStr">
        <is>
          <t>Quelle: Idealista</t>
        </is>
      </c>
    </row>
    <row r="920">
      <c r="A920" t="n">
        <v>733</v>
      </c>
      <c r="B920" t="inlineStr">
        <is>
          <t>Finca rústica</t>
        </is>
      </c>
      <c r="C920" t="inlineStr">
        <is>
          <t>https://www.idealista.com/inmueble/108808310/</t>
        </is>
      </c>
      <c r="E920" t="n">
        <v>6</v>
      </c>
      <c r="H920" t="n">
        <v>476</v>
      </c>
      <c r="J920" t="inlineStr">
        <is>
          <t>Campos</t>
        </is>
      </c>
      <c r="K920" t="n">
        <v>32.9</v>
      </c>
      <c r="L920" t="n">
        <v>28</v>
      </c>
      <c r="M920" t="n">
        <v>14.6</v>
      </c>
      <c r="N920" t="n">
        <v>18</v>
      </c>
      <c r="O920" t="n">
        <v>71.09999999999999</v>
      </c>
      <c r="P920" t="n">
        <v>56</v>
      </c>
      <c r="Q920" t="n">
        <v>12.3</v>
      </c>
      <c r="R920" t="n">
        <v>14</v>
      </c>
      <c r="S920" t="n">
        <v>5225000</v>
      </c>
      <c r="T920" t="n">
        <v>10977</v>
      </c>
      <c r="AH920" t="inlineStr">
        <is>
          <t>Quelle: Idealista</t>
        </is>
      </c>
    </row>
    <row r="921">
      <c r="A921" t="n">
        <v>734</v>
      </c>
      <c r="B921" t="inlineStr">
        <is>
          <t>Casa rural</t>
        </is>
      </c>
      <c r="C921" t="inlineStr">
        <is>
          <t>https://www.idealista.com/inmueble/108750433/</t>
        </is>
      </c>
      <c r="E921" t="n">
        <v>7</v>
      </c>
      <c r="H921" t="n">
        <v>780</v>
      </c>
      <c r="J921" t="inlineStr">
        <is>
          <t>Campos</t>
        </is>
      </c>
      <c r="K921" t="n">
        <v>32.9</v>
      </c>
      <c r="L921" t="n">
        <v>28</v>
      </c>
      <c r="M921" t="n">
        <v>14.6</v>
      </c>
      <c r="N921" t="n">
        <v>18</v>
      </c>
      <c r="O921" t="n">
        <v>71.09999999999999</v>
      </c>
      <c r="P921" t="n">
        <v>56</v>
      </c>
      <c r="Q921" t="n">
        <v>12.3</v>
      </c>
      <c r="R921" t="n">
        <v>14</v>
      </c>
      <c r="S921" t="n">
        <v>3500000</v>
      </c>
      <c r="T921" t="n">
        <v>4487</v>
      </c>
      <c r="AH921" t="inlineStr">
        <is>
          <t>Quelle: Idealista</t>
        </is>
      </c>
    </row>
    <row r="922">
      <c r="A922" t="n">
        <v>735</v>
      </c>
      <c r="B922" t="inlineStr">
        <is>
          <t>Casa rural</t>
        </is>
      </c>
      <c r="C922" t="inlineStr">
        <is>
          <t>https://www.idealista.com/inmueble/108652118/</t>
        </is>
      </c>
      <c r="E922" t="n">
        <v>5</v>
      </c>
      <c r="H922" t="n">
        <v>550</v>
      </c>
      <c r="J922" t="inlineStr">
        <is>
          <t>Campos</t>
        </is>
      </c>
      <c r="K922" t="n">
        <v>32.9</v>
      </c>
      <c r="L922" t="n">
        <v>28</v>
      </c>
      <c r="M922" t="n">
        <v>14.6</v>
      </c>
      <c r="N922" t="n">
        <v>18</v>
      </c>
      <c r="O922" t="n">
        <v>71.09999999999999</v>
      </c>
      <c r="P922" t="n">
        <v>56</v>
      </c>
      <c r="Q922" t="n">
        <v>12.3</v>
      </c>
      <c r="R922" t="n">
        <v>14</v>
      </c>
      <c r="S922" t="n">
        <v>2150000</v>
      </c>
      <c r="T922" t="n">
        <v>3909</v>
      </c>
      <c r="AH922" t="inlineStr">
        <is>
          <t>Quelle: Idealista</t>
        </is>
      </c>
    </row>
    <row r="923">
      <c r="A923" t="n">
        <v>736</v>
      </c>
      <c r="B923" t="inlineStr">
        <is>
          <t>Casa independiente en Campos s/n</t>
        </is>
      </c>
      <c r="C923" t="inlineStr">
        <is>
          <t>https://www.idealista.com/inmueble/108583622/</t>
        </is>
      </c>
      <c r="E923" t="n">
        <v>5</v>
      </c>
      <c r="H923" t="n">
        <v>281</v>
      </c>
      <c r="J923" t="inlineStr">
        <is>
          <t>Campos</t>
        </is>
      </c>
      <c r="K923" t="n">
        <v>32.9</v>
      </c>
      <c r="L923" t="n">
        <v>28</v>
      </c>
      <c r="M923" t="n">
        <v>14.6</v>
      </c>
      <c r="N923" t="n">
        <v>18</v>
      </c>
      <c r="O923" t="n">
        <v>71.09999999999999</v>
      </c>
      <c r="P923" t="n">
        <v>56</v>
      </c>
      <c r="Q923" t="n">
        <v>12.3</v>
      </c>
      <c r="R923" t="n">
        <v>14</v>
      </c>
      <c r="S923" t="n">
        <v>2490000</v>
      </c>
      <c r="T923" t="n">
        <v>8861</v>
      </c>
      <c r="AH923" t="inlineStr">
        <is>
          <t>Quelle: Idealista</t>
        </is>
      </c>
    </row>
    <row r="924">
      <c r="A924" t="n">
        <v>737</v>
      </c>
      <c r="B924" t="inlineStr">
        <is>
          <t>Casa independiente</t>
        </is>
      </c>
      <c r="C924" t="inlineStr">
        <is>
          <t>https://www.idealista.com/inmueble/108557365/</t>
        </is>
      </c>
      <c r="E924" t="n">
        <v>6</v>
      </c>
      <c r="H924" t="n">
        <v>458</v>
      </c>
      <c r="J924" t="inlineStr">
        <is>
          <t>Campos</t>
        </is>
      </c>
      <c r="K924" t="n">
        <v>32.9</v>
      </c>
      <c r="L924" t="n">
        <v>28</v>
      </c>
      <c r="M924" t="n">
        <v>14.6</v>
      </c>
      <c r="N924" t="n">
        <v>18</v>
      </c>
      <c r="O924" t="n">
        <v>71.09999999999999</v>
      </c>
      <c r="P924" t="n">
        <v>56</v>
      </c>
      <c r="Q924" t="n">
        <v>12.3</v>
      </c>
      <c r="R924" t="n">
        <v>14</v>
      </c>
      <c r="S924" t="n">
        <v>2490000</v>
      </c>
      <c r="T924" t="n">
        <v>5437</v>
      </c>
      <c r="AH924" t="inlineStr">
        <is>
          <t>Quelle: Idealista</t>
        </is>
      </c>
    </row>
    <row r="925">
      <c r="A925" t="n">
        <v>738</v>
      </c>
      <c r="B925" t="inlineStr">
        <is>
          <t>Finca rústica</t>
        </is>
      </c>
      <c r="C925" t="inlineStr">
        <is>
          <t>https://www.idealista.com/inmueble/106868398/</t>
        </is>
      </c>
      <c r="E925" t="n">
        <v>5</v>
      </c>
      <c r="H925" t="n">
        <v>500</v>
      </c>
      <c r="J925" t="inlineStr">
        <is>
          <t>Campos</t>
        </is>
      </c>
      <c r="K925" t="n">
        <v>32.9</v>
      </c>
      <c r="L925" t="n">
        <v>28</v>
      </c>
      <c r="M925" t="n">
        <v>14.6</v>
      </c>
      <c r="N925" t="n">
        <v>18</v>
      </c>
      <c r="O925" t="n">
        <v>71.09999999999999</v>
      </c>
      <c r="P925" t="n">
        <v>56</v>
      </c>
      <c r="Q925" t="n">
        <v>12.3</v>
      </c>
      <c r="R925" t="n">
        <v>14</v>
      </c>
      <c r="S925" t="n">
        <v>3150000</v>
      </c>
      <c r="T925" t="n">
        <v>6300</v>
      </c>
      <c r="AH925" t="inlineStr">
        <is>
          <t>Quelle: Idealista</t>
        </is>
      </c>
    </row>
    <row r="926">
      <c r="A926" t="n">
        <v>739</v>
      </c>
      <c r="B926" t="inlineStr">
        <is>
          <t>Finca rústica</t>
        </is>
      </c>
      <c r="C926" t="inlineStr">
        <is>
          <t>https://www.idealista.com/inmueble/108535801/</t>
        </is>
      </c>
      <c r="E926" t="n">
        <v>5</v>
      </c>
      <c r="H926" t="n">
        <v>280</v>
      </c>
      <c r="J926" t="inlineStr">
        <is>
          <t>Campos</t>
        </is>
      </c>
      <c r="K926" t="n">
        <v>32.9</v>
      </c>
      <c r="L926" t="n">
        <v>28</v>
      </c>
      <c r="M926" t="n">
        <v>14.6</v>
      </c>
      <c r="N926" t="n">
        <v>18</v>
      </c>
      <c r="O926" t="n">
        <v>71.09999999999999</v>
      </c>
      <c r="P926" t="n">
        <v>56</v>
      </c>
      <c r="Q926" t="n">
        <v>12.3</v>
      </c>
      <c r="R926" t="n">
        <v>14</v>
      </c>
      <c r="S926" t="n">
        <v>2490000</v>
      </c>
      <c r="T926" t="n">
        <v>8893</v>
      </c>
      <c r="AH926" t="inlineStr">
        <is>
          <t>Quelle: Idealista</t>
        </is>
      </c>
    </row>
    <row r="927">
      <c r="A927" t="n">
        <v>740</v>
      </c>
      <c r="B927" t="inlineStr">
        <is>
          <t>Finca rústica en calle de Julià Ballester</t>
        </is>
      </c>
      <c r="C927" t="inlineStr">
        <is>
          <t>https://www.idealista.com/inmueble/108529852/</t>
        </is>
      </c>
      <c r="E927" t="n">
        <v>5</v>
      </c>
      <c r="H927" t="n">
        <v>493</v>
      </c>
      <c r="J927" t="inlineStr">
        <is>
          <t>Campos</t>
        </is>
      </c>
      <c r="K927" t="n">
        <v>32.9</v>
      </c>
      <c r="L927" t="n">
        <v>28</v>
      </c>
      <c r="M927" t="n">
        <v>14.6</v>
      </c>
      <c r="N927" t="n">
        <v>18</v>
      </c>
      <c r="O927" t="n">
        <v>71.09999999999999</v>
      </c>
      <c r="P927" t="n">
        <v>56</v>
      </c>
      <c r="Q927" t="n">
        <v>12.3</v>
      </c>
      <c r="R927" t="n">
        <v>14</v>
      </c>
      <c r="S927" t="n">
        <v>2100000</v>
      </c>
      <c r="T927" t="n">
        <v>4260</v>
      </c>
      <c r="AH927" t="inlineStr">
        <is>
          <t>Quelle: Idealista</t>
        </is>
      </c>
    </row>
    <row r="928">
      <c r="A928" t="n">
        <v>741</v>
      </c>
      <c r="B928" t="inlineStr">
        <is>
          <t>Finca rústica</t>
        </is>
      </c>
      <c r="C928" t="inlineStr">
        <is>
          <t>https://www.idealista.com/inmueble/108452638/</t>
        </is>
      </c>
      <c r="E928" t="n">
        <v>5</v>
      </c>
      <c r="H928" t="n">
        <v>493</v>
      </c>
      <c r="J928" t="inlineStr">
        <is>
          <t>Campos</t>
        </is>
      </c>
      <c r="K928" t="n">
        <v>32.9</v>
      </c>
      <c r="L928" t="n">
        <v>28</v>
      </c>
      <c r="M928" t="n">
        <v>14.6</v>
      </c>
      <c r="N928" t="n">
        <v>18</v>
      </c>
      <c r="O928" t="n">
        <v>71.09999999999999</v>
      </c>
      <c r="P928" t="n">
        <v>56</v>
      </c>
      <c r="Q928" t="n">
        <v>12.3</v>
      </c>
      <c r="R928" t="n">
        <v>14</v>
      </c>
      <c r="S928" t="n">
        <v>2100000</v>
      </c>
      <c r="T928" t="n">
        <v>4260</v>
      </c>
      <c r="AH928" t="inlineStr">
        <is>
          <t>Quelle: Idealista</t>
        </is>
      </c>
    </row>
    <row r="929">
      <c r="A929" t="n">
        <v>742</v>
      </c>
      <c r="B929" t="inlineStr">
        <is>
          <t>Casa independiente en calle de sa Ràpita</t>
        </is>
      </c>
      <c r="C929" t="inlineStr">
        <is>
          <t>https://www.idealista.com/inmueble/108122346/</t>
        </is>
      </c>
      <c r="E929" t="n">
        <v>6</v>
      </c>
      <c r="H929" t="n">
        <v>322</v>
      </c>
      <c r="J929" t="inlineStr">
        <is>
          <t>Campos</t>
        </is>
      </c>
      <c r="K929" t="n">
        <v>32.9</v>
      </c>
      <c r="L929" t="n">
        <v>28</v>
      </c>
      <c r="M929" t="n">
        <v>14.6</v>
      </c>
      <c r="N929" t="n">
        <v>18</v>
      </c>
      <c r="O929" t="n">
        <v>71.09999999999999</v>
      </c>
      <c r="P929" t="n">
        <v>56</v>
      </c>
      <c r="Q929" t="n">
        <v>12.3</v>
      </c>
      <c r="R929" t="n">
        <v>14</v>
      </c>
      <c r="S929" t="n">
        <v>2850000</v>
      </c>
      <c r="T929" t="n">
        <v>8851</v>
      </c>
      <c r="AH929" t="inlineStr">
        <is>
          <t>Quelle: Idealista</t>
        </is>
      </c>
    </row>
    <row r="930">
      <c r="A930" t="n">
        <v>743</v>
      </c>
      <c r="B930" t="inlineStr">
        <is>
          <t>Finca rústica</t>
        </is>
      </c>
      <c r="C930" t="inlineStr">
        <is>
          <t>https://www.idealista.com/inmueble/108037901/</t>
        </is>
      </c>
      <c r="E930" t="n">
        <v>5</v>
      </c>
      <c r="H930" t="n">
        <v>820</v>
      </c>
      <c r="J930" t="inlineStr">
        <is>
          <t>Campos</t>
        </is>
      </c>
      <c r="K930" t="n">
        <v>32.9</v>
      </c>
      <c r="L930" t="n">
        <v>28</v>
      </c>
      <c r="M930" t="n">
        <v>14.6</v>
      </c>
      <c r="N930" t="n">
        <v>18</v>
      </c>
      <c r="O930" t="n">
        <v>71.09999999999999</v>
      </c>
      <c r="P930" t="n">
        <v>56</v>
      </c>
      <c r="Q930" t="n">
        <v>12.3</v>
      </c>
      <c r="R930" t="n">
        <v>14</v>
      </c>
      <c r="S930" t="n">
        <v>3950000</v>
      </c>
      <c r="T930" t="n">
        <v>4817</v>
      </c>
      <c r="AH930" t="inlineStr">
        <is>
          <t>Quelle: Idealista</t>
        </is>
      </c>
    </row>
    <row r="931">
      <c r="A931" t="n">
        <v>744</v>
      </c>
      <c r="B931" t="inlineStr">
        <is>
          <t>Casa rural en calle de Porreres</t>
        </is>
      </c>
      <c r="C931" t="inlineStr">
        <is>
          <t>https://www.idealista.com/inmueble/106898295/</t>
        </is>
      </c>
      <c r="E931" t="n">
        <v>5</v>
      </c>
      <c r="H931" t="n">
        <v>500</v>
      </c>
      <c r="J931" t="inlineStr">
        <is>
          <t>Campos</t>
        </is>
      </c>
      <c r="K931" t="n">
        <v>32.9</v>
      </c>
      <c r="L931" t="n">
        <v>28</v>
      </c>
      <c r="M931" t="n">
        <v>14.6</v>
      </c>
      <c r="N931" t="n">
        <v>18</v>
      </c>
      <c r="O931" t="n">
        <v>71.09999999999999</v>
      </c>
      <c r="P931" t="n">
        <v>56</v>
      </c>
      <c r="Q931" t="n">
        <v>12.3</v>
      </c>
      <c r="R931" t="n">
        <v>14</v>
      </c>
      <c r="S931" t="n">
        <v>3150000</v>
      </c>
      <c r="T931" t="n">
        <v>6300</v>
      </c>
      <c r="AH931" t="inlineStr">
        <is>
          <t>Quelle: Idealista</t>
        </is>
      </c>
    </row>
    <row r="932">
      <c r="A932" t="n">
        <v>745</v>
      </c>
      <c r="B932" t="inlineStr">
        <is>
          <t>Casa rural</t>
        </is>
      </c>
      <c r="C932" t="inlineStr">
        <is>
          <t>https://www.idealista.com/inmueble/107991747/</t>
        </is>
      </c>
      <c r="E932" t="n">
        <v>5</v>
      </c>
      <c r="H932" t="n">
        <v>600</v>
      </c>
      <c r="J932" t="inlineStr">
        <is>
          <t>Campos</t>
        </is>
      </c>
      <c r="K932" t="n">
        <v>32.9</v>
      </c>
      <c r="L932" t="n">
        <v>28</v>
      </c>
      <c r="M932" t="n">
        <v>14.6</v>
      </c>
      <c r="N932" t="n">
        <v>18</v>
      </c>
      <c r="O932" t="n">
        <v>71.09999999999999</v>
      </c>
      <c r="P932" t="n">
        <v>56</v>
      </c>
      <c r="Q932" t="n">
        <v>12.3</v>
      </c>
      <c r="R932" t="n">
        <v>14</v>
      </c>
      <c r="S932" t="n">
        <v>6200000</v>
      </c>
      <c r="T932" t="n">
        <v>10333</v>
      </c>
      <c r="AH932" t="inlineStr">
        <is>
          <t>Quelle: Idealista</t>
        </is>
      </c>
    </row>
    <row r="933">
      <c r="A933" t="n">
        <v>746</v>
      </c>
      <c r="B933" t="inlineStr">
        <is>
          <t>Casa independiente en Diseminado Son Garcies</t>
        </is>
      </c>
      <c r="C933" t="inlineStr">
        <is>
          <t>https://www.idealista.com/inmueble/107693076/</t>
        </is>
      </c>
      <c r="E933" t="n">
        <v>5</v>
      </c>
      <c r="H933" t="n">
        <v>511</v>
      </c>
      <c r="J933" t="inlineStr">
        <is>
          <t>Campos</t>
        </is>
      </c>
      <c r="K933" t="n">
        <v>32.9</v>
      </c>
      <c r="L933" t="n">
        <v>28</v>
      </c>
      <c r="M933" t="n">
        <v>14.6</v>
      </c>
      <c r="N933" t="n">
        <v>18</v>
      </c>
      <c r="O933" t="n">
        <v>71.09999999999999</v>
      </c>
      <c r="P933" t="n">
        <v>56</v>
      </c>
      <c r="Q933" t="n">
        <v>12.3</v>
      </c>
      <c r="R933" t="n">
        <v>14</v>
      </c>
      <c r="S933" t="n">
        <v>3150000</v>
      </c>
      <c r="T933" t="n">
        <v>6164</v>
      </c>
      <c r="AH933" t="inlineStr">
        <is>
          <t>Quelle: Idealista</t>
        </is>
      </c>
    </row>
    <row r="934">
      <c r="A934" t="n">
        <v>747</v>
      </c>
      <c r="B934" t="inlineStr">
        <is>
          <t>Casa rural</t>
        </is>
      </c>
      <c r="C934" t="inlineStr">
        <is>
          <t>https://www.idealista.com/inmueble/104744742/</t>
        </is>
      </c>
      <c r="E934" t="n">
        <v>5</v>
      </c>
      <c r="H934" t="n">
        <v>280</v>
      </c>
      <c r="J934" t="inlineStr">
        <is>
          <t>Campos</t>
        </is>
      </c>
      <c r="K934" t="n">
        <v>32.9</v>
      </c>
      <c r="L934" t="n">
        <v>28</v>
      </c>
      <c r="M934" t="n">
        <v>14.6</v>
      </c>
      <c r="N934" t="n">
        <v>18</v>
      </c>
      <c r="O934" t="n">
        <v>71.09999999999999</v>
      </c>
      <c r="P934" t="n">
        <v>56</v>
      </c>
      <c r="Q934" t="n">
        <v>12.3</v>
      </c>
      <c r="R934" t="n">
        <v>14</v>
      </c>
      <c r="S934" t="n">
        <v>2490000</v>
      </c>
      <c r="T934" t="n">
        <v>8893</v>
      </c>
      <c r="AH934" t="inlineStr">
        <is>
          <t>Quelle: Idealista</t>
        </is>
      </c>
    </row>
    <row r="935">
      <c r="A935" t="n">
        <v>748</v>
      </c>
      <c r="B935" t="inlineStr">
        <is>
          <t>Masía</t>
        </is>
      </c>
      <c r="C935" t="inlineStr">
        <is>
          <t>https://www.idealista.com/inmueble/107225393/</t>
        </is>
      </c>
      <c r="E935" t="n">
        <v>5</v>
      </c>
      <c r="H935" t="n">
        <v>885</v>
      </c>
      <c r="J935" t="inlineStr">
        <is>
          <t>Campos</t>
        </is>
      </c>
      <c r="K935" t="n">
        <v>32.9</v>
      </c>
      <c r="L935" t="n">
        <v>28</v>
      </c>
      <c r="M935" t="n">
        <v>14.6</v>
      </c>
      <c r="N935" t="n">
        <v>18</v>
      </c>
      <c r="O935" t="n">
        <v>71.09999999999999</v>
      </c>
      <c r="P935" t="n">
        <v>56</v>
      </c>
      <c r="Q935" t="n">
        <v>12.3</v>
      </c>
      <c r="R935" t="n">
        <v>14</v>
      </c>
      <c r="S935" t="n">
        <v>2300000</v>
      </c>
      <c r="T935" t="n">
        <v>2599</v>
      </c>
      <c r="AH935" t="inlineStr">
        <is>
          <t>Quelle: Idealista</t>
        </is>
      </c>
    </row>
    <row r="936">
      <c r="A936" t="n">
        <v>749</v>
      </c>
      <c r="B936" t="inlineStr">
        <is>
          <t>Casa rural</t>
        </is>
      </c>
      <c r="C936" t="inlineStr">
        <is>
          <t>https://www.idealista.com/inmueble/107077759/</t>
        </is>
      </c>
      <c r="E936" t="n">
        <v>5</v>
      </c>
      <c r="H936" t="n">
        <v>307</v>
      </c>
      <c r="J936" t="inlineStr">
        <is>
          <t>Campos</t>
        </is>
      </c>
      <c r="K936" t="n">
        <v>32.9</v>
      </c>
      <c r="L936" t="n">
        <v>28</v>
      </c>
      <c r="M936" t="n">
        <v>14.6</v>
      </c>
      <c r="N936" t="n">
        <v>18</v>
      </c>
      <c r="O936" t="n">
        <v>71.09999999999999</v>
      </c>
      <c r="P936" t="n">
        <v>56</v>
      </c>
      <c r="Q936" t="n">
        <v>12.3</v>
      </c>
      <c r="R936" t="n">
        <v>14</v>
      </c>
      <c r="S936" t="n">
        <v>2490000</v>
      </c>
      <c r="T936" t="n">
        <v>8111</v>
      </c>
      <c r="AH936" t="inlineStr">
        <is>
          <t>Quelle: Idealista</t>
        </is>
      </c>
    </row>
    <row r="937">
      <c r="A937" t="n">
        <v>750</v>
      </c>
      <c r="B937" t="inlineStr">
        <is>
          <t>Finca rústica</t>
        </is>
      </c>
      <c r="C937" t="inlineStr">
        <is>
          <t>https://www.idealista.com/inmueble/106884933/</t>
        </is>
      </c>
      <c r="E937" t="n">
        <v>5</v>
      </c>
      <c r="H937" t="n">
        <v>500</v>
      </c>
      <c r="J937" t="inlineStr">
        <is>
          <t>Campos</t>
        </is>
      </c>
      <c r="K937" t="n">
        <v>32.9</v>
      </c>
      <c r="L937" t="n">
        <v>28</v>
      </c>
      <c r="M937" t="n">
        <v>14.6</v>
      </c>
      <c r="N937" t="n">
        <v>18</v>
      </c>
      <c r="O937" t="n">
        <v>71.09999999999999</v>
      </c>
      <c r="P937" t="n">
        <v>56</v>
      </c>
      <c r="Q937" t="n">
        <v>12.3</v>
      </c>
      <c r="R937" t="n">
        <v>14</v>
      </c>
      <c r="S937" t="n">
        <v>3150000</v>
      </c>
      <c r="T937" t="n">
        <v>6300</v>
      </c>
      <c r="AH937" t="inlineStr">
        <is>
          <t>Quelle: Idealista</t>
        </is>
      </c>
    </row>
    <row r="938">
      <c r="A938" t="n">
        <v>751</v>
      </c>
      <c r="B938" t="inlineStr">
        <is>
          <t>Finca rústica</t>
        </is>
      </c>
      <c r="C938" t="inlineStr">
        <is>
          <t>https://www.idealista.com/inmueble/105409148/</t>
        </is>
      </c>
      <c r="E938" t="n">
        <v>5</v>
      </c>
      <c r="H938" t="n">
        <v>500</v>
      </c>
      <c r="J938" t="inlineStr">
        <is>
          <t>Campos</t>
        </is>
      </c>
      <c r="K938" t="n">
        <v>32.9</v>
      </c>
      <c r="L938" t="n">
        <v>28</v>
      </c>
      <c r="M938" t="n">
        <v>14.6</v>
      </c>
      <c r="N938" t="n">
        <v>18</v>
      </c>
      <c r="O938" t="n">
        <v>71.09999999999999</v>
      </c>
      <c r="P938" t="n">
        <v>56</v>
      </c>
      <c r="Q938" t="n">
        <v>12.3</v>
      </c>
      <c r="R938" t="n">
        <v>14</v>
      </c>
      <c r="S938" t="n">
        <v>3200000</v>
      </c>
      <c r="T938" t="n">
        <v>6400</v>
      </c>
      <c r="AH938" t="inlineStr">
        <is>
          <t>Quelle: Idealista</t>
        </is>
      </c>
    </row>
    <row r="939">
      <c r="A939" t="n">
        <v>752</v>
      </c>
      <c r="B939" t="inlineStr">
        <is>
          <t>Masía en 39.4528240, 3.0205438</t>
        </is>
      </c>
      <c r="C939" t="inlineStr">
        <is>
          <t>https://www.idealista.com/inmueble/104442317/</t>
        </is>
      </c>
      <c r="E939" t="n">
        <v>5</v>
      </c>
      <c r="H939" t="n">
        <v>500</v>
      </c>
      <c r="J939" t="inlineStr">
        <is>
          <t>Campos</t>
        </is>
      </c>
      <c r="K939" t="n">
        <v>32.9</v>
      </c>
      <c r="L939" t="n">
        <v>28</v>
      </c>
      <c r="M939" t="n">
        <v>14.6</v>
      </c>
      <c r="N939" t="n">
        <v>18</v>
      </c>
      <c r="O939" t="n">
        <v>71.09999999999999</v>
      </c>
      <c r="P939" t="n">
        <v>56</v>
      </c>
      <c r="Q939" t="n">
        <v>12.3</v>
      </c>
      <c r="R939" t="n">
        <v>14</v>
      </c>
      <c r="S939" t="n">
        <v>2900000</v>
      </c>
      <c r="T939" t="n">
        <v>5800</v>
      </c>
      <c r="AH939" t="inlineStr">
        <is>
          <t>Quelle: Idealista</t>
        </is>
      </c>
    </row>
    <row r="940">
      <c r="A940" t="n">
        <v>753</v>
      </c>
      <c r="B940" t="inlineStr">
        <is>
          <t>Finca rústica en calle de sa rápita</t>
        </is>
      </c>
      <c r="C940" t="inlineStr">
        <is>
          <t>https://www.idealista.com/inmueble/102670859/</t>
        </is>
      </c>
      <c r="E940" t="n">
        <v>6</v>
      </c>
      <c r="H940" t="n">
        <v>322</v>
      </c>
      <c r="J940" t="inlineStr">
        <is>
          <t>Campos</t>
        </is>
      </c>
      <c r="K940" t="n">
        <v>32.9</v>
      </c>
      <c r="L940" t="n">
        <v>28</v>
      </c>
      <c r="M940" t="n">
        <v>14.6</v>
      </c>
      <c r="N940" t="n">
        <v>18</v>
      </c>
      <c r="O940" t="n">
        <v>71.09999999999999</v>
      </c>
      <c r="P940" t="n">
        <v>56</v>
      </c>
      <c r="Q940" t="n">
        <v>12.3</v>
      </c>
      <c r="R940" t="n">
        <v>14</v>
      </c>
      <c r="S940" t="n">
        <v>2850000</v>
      </c>
      <c r="T940" t="n">
        <v>8851</v>
      </c>
      <c r="AH940" t="inlineStr">
        <is>
          <t>Quelle: Idealista</t>
        </is>
      </c>
    </row>
    <row r="941">
      <c r="A941" t="n">
        <v>754</v>
      </c>
      <c r="B941" t="inlineStr">
        <is>
          <t>Chalet</t>
        </is>
      </c>
      <c r="C941" t="inlineStr">
        <is>
          <t>https://www.idealista.com/inmueble/100301836/</t>
        </is>
      </c>
      <c r="E941" t="n">
        <v>5</v>
      </c>
      <c r="H941" t="n">
        <v>500</v>
      </c>
      <c r="J941" t="inlineStr">
        <is>
          <t>Campos</t>
        </is>
      </c>
      <c r="K941" t="n">
        <v>32.9</v>
      </c>
      <c r="L941" t="n">
        <v>28</v>
      </c>
      <c r="M941" t="n">
        <v>14.6</v>
      </c>
      <c r="N941" t="n">
        <v>18</v>
      </c>
      <c r="O941" t="n">
        <v>71.09999999999999</v>
      </c>
      <c r="P941" t="n">
        <v>56</v>
      </c>
      <c r="Q941" t="n">
        <v>12.3</v>
      </c>
      <c r="R941" t="n">
        <v>14</v>
      </c>
      <c r="S941" t="n">
        <v>3200000</v>
      </c>
      <c r="T941" t="n">
        <v>6400</v>
      </c>
      <c r="AH941" t="inlineStr">
        <is>
          <t>Quelle: Idealista</t>
        </is>
      </c>
    </row>
    <row r="942">
      <c r="A942" t="n">
        <v>755</v>
      </c>
      <c r="B942" t="inlineStr">
        <is>
          <t>Casa rural</t>
        </is>
      </c>
      <c r="C942" t="inlineStr">
        <is>
          <t>https://www.idealista.com/inmueble/93416698/</t>
        </is>
      </c>
      <c r="E942" t="n">
        <v>8</v>
      </c>
      <c r="H942" t="n">
        <v>4185</v>
      </c>
      <c r="J942" t="inlineStr">
        <is>
          <t>Campos</t>
        </is>
      </c>
      <c r="K942" t="n">
        <v>32.9</v>
      </c>
      <c r="L942" t="n">
        <v>28</v>
      </c>
      <c r="M942" t="n">
        <v>14.6</v>
      </c>
      <c r="N942" t="n">
        <v>18</v>
      </c>
      <c r="O942" t="n">
        <v>71.09999999999999</v>
      </c>
      <c r="P942" t="n">
        <v>56</v>
      </c>
      <c r="Q942" t="n">
        <v>12.3</v>
      </c>
      <c r="R942" t="n">
        <v>14</v>
      </c>
      <c r="S942" t="n">
        <v>6500000</v>
      </c>
      <c r="T942" t="n">
        <v>1553</v>
      </c>
      <c r="AH942" t="inlineStr">
        <is>
          <t>Quelle: Idealista</t>
        </is>
      </c>
    </row>
    <row r="943">
      <c r="A943" t="n">
        <v>756</v>
      </c>
      <c r="B943" t="inlineStr">
        <is>
          <t>Masía</t>
        </is>
      </c>
      <c r="C943" t="inlineStr">
        <is>
          <t>https://www.idealista.com/inmueble/98751279/</t>
        </is>
      </c>
      <c r="E943" t="n">
        <v>5</v>
      </c>
      <c r="H943" t="n">
        <v>500</v>
      </c>
      <c r="J943" t="inlineStr">
        <is>
          <t>Campos</t>
        </is>
      </c>
      <c r="K943" t="n">
        <v>32.9</v>
      </c>
      <c r="L943" t="n">
        <v>28</v>
      </c>
      <c r="M943" t="n">
        <v>14.6</v>
      </c>
      <c r="N943" t="n">
        <v>18</v>
      </c>
      <c r="O943" t="n">
        <v>71.09999999999999</v>
      </c>
      <c r="P943" t="n">
        <v>56</v>
      </c>
      <c r="Q943" t="n">
        <v>12.3</v>
      </c>
      <c r="R943" t="n">
        <v>14</v>
      </c>
      <c r="S943" t="n">
        <v>3150000</v>
      </c>
      <c r="T943" t="n">
        <v>6300</v>
      </c>
      <c r="AH943" t="inlineStr">
        <is>
          <t>Quelle: Idealista</t>
        </is>
      </c>
    </row>
    <row r="944">
      <c r="A944" t="n">
        <v>757</v>
      </c>
      <c r="B944" t="inlineStr">
        <is>
          <t>Finca rústica</t>
        </is>
      </c>
      <c r="C944" t="inlineStr">
        <is>
          <t>https://www.idealista.com/inmueble/92869675/</t>
        </is>
      </c>
      <c r="E944" t="n">
        <v>9</v>
      </c>
      <c r="H944" t="n">
        <v>952</v>
      </c>
      <c r="J944" t="inlineStr">
        <is>
          <t>Campos</t>
        </is>
      </c>
      <c r="K944" t="n">
        <v>32.9</v>
      </c>
      <c r="L944" t="n">
        <v>28</v>
      </c>
      <c r="M944" t="n">
        <v>14.6</v>
      </c>
      <c r="N944" t="n">
        <v>18</v>
      </c>
      <c r="O944" t="n">
        <v>71.09999999999999</v>
      </c>
      <c r="P944" t="n">
        <v>56</v>
      </c>
      <c r="Q944" t="n">
        <v>12.3</v>
      </c>
      <c r="R944" t="n">
        <v>14</v>
      </c>
      <c r="S944" t="n">
        <v>5500000</v>
      </c>
      <c r="T944" t="n">
        <v>5777</v>
      </c>
      <c r="AH944" t="inlineStr">
        <is>
          <t>Quelle: Idealista</t>
        </is>
      </c>
    </row>
    <row r="945">
      <c r="A945" t="n">
        <v>758</v>
      </c>
      <c r="B945" t="inlineStr">
        <is>
          <t>Casa rural</t>
        </is>
      </c>
      <c r="C945" t="inlineStr">
        <is>
          <t>https://www.idealista.com/inmueble/81539590/</t>
        </is>
      </c>
      <c r="E945" t="n">
        <v>6</v>
      </c>
      <c r="H945" t="n">
        <v>356</v>
      </c>
      <c r="J945" t="inlineStr">
        <is>
          <t>Campos</t>
        </is>
      </c>
      <c r="K945" t="n">
        <v>32.9</v>
      </c>
      <c r="L945" t="n">
        <v>28</v>
      </c>
      <c r="M945" t="n">
        <v>14.6</v>
      </c>
      <c r="N945" t="n">
        <v>18</v>
      </c>
      <c r="O945" t="n">
        <v>71.09999999999999</v>
      </c>
      <c r="P945" t="n">
        <v>56</v>
      </c>
      <c r="Q945" t="n">
        <v>12.3</v>
      </c>
      <c r="R945" t="n">
        <v>14</v>
      </c>
      <c r="S945" t="n">
        <v>2850000</v>
      </c>
      <c r="T945" t="n">
        <v>8006</v>
      </c>
      <c r="AH945" t="inlineStr">
        <is>
          <t>Quelle: Idealista</t>
        </is>
      </c>
    </row>
    <row r="946">
      <c r="A946" t="n">
        <v>759</v>
      </c>
      <c r="B946" t="inlineStr">
        <is>
          <t>Finca rústica</t>
        </is>
      </c>
      <c r="C946" t="inlineStr">
        <is>
          <t>https://www.idealista.com/inmueble/31872573/</t>
        </is>
      </c>
      <c r="E946" t="n">
        <v>7</v>
      </c>
      <c r="H946" t="n">
        <v>811</v>
      </c>
      <c r="J946" t="inlineStr">
        <is>
          <t>Campos</t>
        </is>
      </c>
      <c r="K946" t="n">
        <v>32.9</v>
      </c>
      <c r="L946" t="n">
        <v>28</v>
      </c>
      <c r="M946" t="n">
        <v>14.6</v>
      </c>
      <c r="N946" t="n">
        <v>18</v>
      </c>
      <c r="O946" t="n">
        <v>71.09999999999999</v>
      </c>
      <c r="P946" t="n">
        <v>56</v>
      </c>
      <c r="Q946" t="n">
        <v>12.3</v>
      </c>
      <c r="R946" t="n">
        <v>14</v>
      </c>
      <c r="S946" t="n">
        <v>2520000</v>
      </c>
      <c r="T946" t="n">
        <v>3107</v>
      </c>
      <c r="AH946" t="inlineStr">
        <is>
          <t>Quelle: Idealista</t>
        </is>
      </c>
    </row>
    <row r="947">
      <c r="A947" t="n">
        <v>760</v>
      </c>
      <c r="B947" t="inlineStr">
        <is>
          <t>Casa independiente</t>
        </is>
      </c>
      <c r="C947" t="inlineStr">
        <is>
          <t>https://www.idealista.com/inmueble/109918576/</t>
        </is>
      </c>
      <c r="E947" t="n">
        <v>5</v>
      </c>
      <c r="H947" t="n">
        <v>347</v>
      </c>
      <c r="J947" t="inlineStr">
        <is>
          <t>Cala Ratjada, Capdepera</t>
        </is>
      </c>
      <c r="K947" t="n">
        <v>74.40000000000001</v>
      </c>
      <c r="L947" t="n">
        <v>63</v>
      </c>
      <c r="M947" t="n">
        <v>69.8</v>
      </c>
      <c r="N947" t="n">
        <v>66</v>
      </c>
      <c r="O947" t="n">
        <v>108.6</v>
      </c>
      <c r="P947" t="n">
        <v>88</v>
      </c>
      <c r="Q947" t="n">
        <v>67.5</v>
      </c>
      <c r="R947" t="n">
        <v>63</v>
      </c>
      <c r="S947" t="n">
        <v>2600000</v>
      </c>
      <c r="T947" t="n">
        <v>7493</v>
      </c>
      <c r="AH947" t="inlineStr">
        <is>
          <t>Quelle: Idealista</t>
        </is>
      </c>
    </row>
    <row r="948">
      <c r="A948" t="n">
        <v>761</v>
      </c>
      <c r="B948" t="inlineStr">
        <is>
          <t>Casa independiente</t>
        </is>
      </c>
      <c r="C948" t="inlineStr">
        <is>
          <t>https://www.idealista.com/inmueble/106376673/</t>
        </is>
      </c>
      <c r="E948" t="n">
        <v>5</v>
      </c>
      <c r="H948" t="n">
        <v>631</v>
      </c>
      <c r="J948" t="inlineStr">
        <is>
          <t>Sa Font de sa Cala, Capdepera</t>
        </is>
      </c>
      <c r="K948" t="n">
        <v>77.7</v>
      </c>
      <c r="L948" t="n">
        <v>69</v>
      </c>
      <c r="M948" t="n">
        <v>73</v>
      </c>
      <c r="N948" t="n">
        <v>72</v>
      </c>
      <c r="O948" t="n">
        <v>111.9</v>
      </c>
      <c r="P948" t="n">
        <v>93</v>
      </c>
      <c r="Q948" t="n">
        <v>70.7</v>
      </c>
      <c r="R948" t="n">
        <v>68</v>
      </c>
      <c r="S948" t="n">
        <v>2190000</v>
      </c>
      <c r="T948" t="n">
        <v>3471</v>
      </c>
      <c r="AH948" t="inlineStr">
        <is>
          <t>Quelle: Idealista</t>
        </is>
      </c>
    </row>
    <row r="949">
      <c r="A949" t="n">
        <v>762</v>
      </c>
      <c r="B949" t="inlineStr">
        <is>
          <t>Casa independiente</t>
        </is>
      </c>
      <c r="C949" t="inlineStr">
        <is>
          <t>https://www.idealista.com/inmueble/104501981/</t>
        </is>
      </c>
      <c r="E949" t="n">
        <v>5</v>
      </c>
      <c r="H949" t="n">
        <v>1156</v>
      </c>
      <c r="J949" t="inlineStr">
        <is>
          <t>Cala Ratjada, Capdepera</t>
        </is>
      </c>
      <c r="K949" t="n">
        <v>74.40000000000001</v>
      </c>
      <c r="L949" t="n">
        <v>63</v>
      </c>
      <c r="M949" t="n">
        <v>69.8</v>
      </c>
      <c r="N949" t="n">
        <v>66</v>
      </c>
      <c r="O949" t="n">
        <v>108.6</v>
      </c>
      <c r="P949" t="n">
        <v>88</v>
      </c>
      <c r="Q949" t="n">
        <v>67.5</v>
      </c>
      <c r="R949" t="n">
        <v>63</v>
      </c>
      <c r="S949" t="n">
        <v>2600000</v>
      </c>
      <c r="T949" t="n">
        <v>2249</v>
      </c>
      <c r="AH949" t="inlineStr">
        <is>
          <t>Quelle: Idealista</t>
        </is>
      </c>
    </row>
    <row r="950">
      <c r="A950" t="n">
        <v>763</v>
      </c>
      <c r="B950" t="inlineStr">
        <is>
          <t>Casa rural</t>
        </is>
      </c>
      <c r="C950" t="inlineStr">
        <is>
          <t>https://www.idealista.com/inmueble/109673863/</t>
        </is>
      </c>
      <c r="E950" t="n">
        <v>6</v>
      </c>
      <c r="H950" t="n">
        <v>485</v>
      </c>
      <c r="J950" t="inlineStr">
        <is>
          <t>Canyamel, Capdepera</t>
        </is>
      </c>
      <c r="K950" t="n">
        <v>74.7</v>
      </c>
      <c r="L950" t="n">
        <v>65</v>
      </c>
      <c r="M950" t="n">
        <v>70.09999999999999</v>
      </c>
      <c r="N950" t="n">
        <v>68</v>
      </c>
      <c r="O950" t="n">
        <v>108.9</v>
      </c>
      <c r="P950" t="n">
        <v>90</v>
      </c>
      <c r="Q950" t="n">
        <v>67.8</v>
      </c>
      <c r="R950" t="n">
        <v>65</v>
      </c>
      <c r="S950" t="n">
        <v>2200000</v>
      </c>
      <c r="T950" t="n">
        <v>4536</v>
      </c>
      <c r="AH950" t="inlineStr">
        <is>
          <t>Quelle: Idealista</t>
        </is>
      </c>
    </row>
    <row r="951">
      <c r="A951" t="n">
        <v>764</v>
      </c>
      <c r="B951" t="inlineStr">
        <is>
          <t>Chalet</t>
        </is>
      </c>
      <c r="C951" t="inlineStr">
        <is>
          <t>https://www.idealista.com/inmueble/109336702/</t>
        </is>
      </c>
      <c r="E951" t="n">
        <v>5</v>
      </c>
      <c r="H951" t="n">
        <v>299</v>
      </c>
      <c r="J951" t="inlineStr">
        <is>
          <t>Sa Font de sa Cala, Capdepera</t>
        </is>
      </c>
      <c r="K951" t="n">
        <v>77.7</v>
      </c>
      <c r="L951" t="n">
        <v>69</v>
      </c>
      <c r="M951" t="n">
        <v>73</v>
      </c>
      <c r="N951" t="n">
        <v>72</v>
      </c>
      <c r="O951" t="n">
        <v>111.9</v>
      </c>
      <c r="P951" t="n">
        <v>93</v>
      </c>
      <c r="Q951" t="n">
        <v>70.7</v>
      </c>
      <c r="R951" t="n">
        <v>68</v>
      </c>
      <c r="S951" t="n">
        <v>2250000</v>
      </c>
      <c r="T951" t="n">
        <v>7525</v>
      </c>
      <c r="AH951" t="inlineStr">
        <is>
          <t>Quelle: Idealista</t>
        </is>
      </c>
    </row>
    <row r="952">
      <c r="A952" t="n">
        <v>765</v>
      </c>
      <c r="B952" t="inlineStr">
        <is>
          <t>Casa independiente</t>
        </is>
      </c>
      <c r="C952" t="inlineStr">
        <is>
          <t>https://www.idealista.com/inmueble/109475664/</t>
        </is>
      </c>
      <c r="E952" t="n">
        <v>8</v>
      </c>
      <c r="H952" t="n">
        <v>760</v>
      </c>
      <c r="J952" t="inlineStr">
        <is>
          <t>Cala Ratjada, Capdepera</t>
        </is>
      </c>
      <c r="K952" t="n">
        <v>74.40000000000001</v>
      </c>
      <c r="L952" t="n">
        <v>63</v>
      </c>
      <c r="M952" t="n">
        <v>69.8</v>
      </c>
      <c r="N952" t="n">
        <v>66</v>
      </c>
      <c r="O952" t="n">
        <v>108.6</v>
      </c>
      <c r="P952" t="n">
        <v>88</v>
      </c>
      <c r="Q952" t="n">
        <v>67.5</v>
      </c>
      <c r="R952" t="n">
        <v>63</v>
      </c>
      <c r="S952" t="n">
        <v>2495000</v>
      </c>
      <c r="T952" t="n">
        <v>3283</v>
      </c>
      <c r="AH952" t="inlineStr">
        <is>
          <t>Quelle: Idealista</t>
        </is>
      </c>
    </row>
    <row r="953">
      <c r="A953" t="n">
        <v>766</v>
      </c>
      <c r="B953" t="inlineStr">
        <is>
          <t>Finca rústica</t>
        </is>
      </c>
      <c r="C953" t="inlineStr">
        <is>
          <t>https://www.idealista.com/inmueble/108748686/</t>
        </is>
      </c>
      <c r="E953" t="n">
        <v>5</v>
      </c>
      <c r="H953" t="n">
        <v>600</v>
      </c>
      <c r="J953" t="inlineStr">
        <is>
          <t>Capdepera</t>
        </is>
      </c>
      <c r="K953" t="n">
        <v>74.40000000000001</v>
      </c>
      <c r="L953" t="n">
        <v>63</v>
      </c>
      <c r="M953" t="n">
        <v>69.8</v>
      </c>
      <c r="N953" t="n">
        <v>66</v>
      </c>
      <c r="O953" t="n">
        <v>108.6</v>
      </c>
      <c r="P953" t="n">
        <v>88</v>
      </c>
      <c r="Q953" t="n">
        <v>67.5</v>
      </c>
      <c r="R953" t="n">
        <v>63</v>
      </c>
      <c r="S953" t="n">
        <v>2950000</v>
      </c>
      <c r="T953" t="n">
        <v>4917</v>
      </c>
      <c r="AH953" t="inlineStr">
        <is>
          <t>Quelle: Idealista</t>
        </is>
      </c>
    </row>
    <row r="954">
      <c r="A954" t="n">
        <v>767</v>
      </c>
      <c r="B954" t="inlineStr">
        <is>
          <t>Casa independiente</t>
        </is>
      </c>
      <c r="C954" t="inlineStr">
        <is>
          <t>https://www.idealista.com/inmueble/108748689/</t>
        </is>
      </c>
      <c r="E954" t="n">
        <v>6</v>
      </c>
      <c r="H954" t="n">
        <v>727</v>
      </c>
      <c r="J954" t="inlineStr">
        <is>
          <t>Capdepera</t>
        </is>
      </c>
      <c r="K954" t="n">
        <v>74.40000000000001</v>
      </c>
      <c r="L954" t="n">
        <v>63</v>
      </c>
      <c r="M954" t="n">
        <v>69.8</v>
      </c>
      <c r="N954" t="n">
        <v>66</v>
      </c>
      <c r="O954" t="n">
        <v>108.6</v>
      </c>
      <c r="P954" t="n">
        <v>88</v>
      </c>
      <c r="Q954" t="n">
        <v>67.5</v>
      </c>
      <c r="R954" t="n">
        <v>63</v>
      </c>
      <c r="S954" t="n">
        <v>2390000</v>
      </c>
      <c r="T954" t="n">
        <v>3287</v>
      </c>
      <c r="AH954" t="inlineStr">
        <is>
          <t>Quelle: Idealista</t>
        </is>
      </c>
    </row>
    <row r="955">
      <c r="A955" t="n">
        <v>768</v>
      </c>
      <c r="B955" t="inlineStr">
        <is>
          <t>Casa independiente</t>
        </is>
      </c>
      <c r="C955" t="inlineStr">
        <is>
          <t>https://www.idealista.com/inmueble/106346656/</t>
        </is>
      </c>
      <c r="E955" t="n">
        <v>5</v>
      </c>
      <c r="H955" t="n">
        <v>469</v>
      </c>
      <c r="J955" t="inlineStr">
        <is>
          <t>Canyamel, Capdepera</t>
        </is>
      </c>
      <c r="K955" t="n">
        <v>74.7</v>
      </c>
      <c r="L955" t="n">
        <v>65</v>
      </c>
      <c r="M955" t="n">
        <v>70.09999999999999</v>
      </c>
      <c r="N955" t="n">
        <v>68</v>
      </c>
      <c r="O955" t="n">
        <v>108.9</v>
      </c>
      <c r="P955" t="n">
        <v>90</v>
      </c>
      <c r="Q955" t="n">
        <v>67.8</v>
      </c>
      <c r="R955" t="n">
        <v>65</v>
      </c>
      <c r="S955" t="n">
        <v>2800000</v>
      </c>
      <c r="T955" t="n">
        <v>5970</v>
      </c>
      <c r="AH955" t="inlineStr">
        <is>
          <t>Quelle: Idealista</t>
        </is>
      </c>
    </row>
    <row r="956">
      <c r="A956" t="n">
        <v>769</v>
      </c>
      <c r="B956" t="inlineStr">
        <is>
          <t>Casa independiente</t>
        </is>
      </c>
      <c r="C956" t="inlineStr">
        <is>
          <t>https://www.idealista.com/inmueble/109075325/</t>
        </is>
      </c>
      <c r="E956" t="n">
        <v>6</v>
      </c>
      <c r="H956" t="n">
        <v>600</v>
      </c>
      <c r="J956" t="inlineStr">
        <is>
          <t>Sa Font de sa Cala, Capdepera</t>
        </is>
      </c>
      <c r="K956" t="n">
        <v>77.7</v>
      </c>
      <c r="L956" t="n">
        <v>69</v>
      </c>
      <c r="M956" t="n">
        <v>73</v>
      </c>
      <c r="N956" t="n">
        <v>72</v>
      </c>
      <c r="O956" t="n">
        <v>111.9</v>
      </c>
      <c r="P956" t="n">
        <v>93</v>
      </c>
      <c r="Q956" t="n">
        <v>70.7</v>
      </c>
      <c r="R956" t="n">
        <v>68</v>
      </c>
      <c r="S956" t="n">
        <v>4495000</v>
      </c>
      <c r="T956" t="n">
        <v>7492</v>
      </c>
      <c r="AH956" t="inlineStr">
        <is>
          <t>Quelle: Idealista</t>
        </is>
      </c>
    </row>
    <row r="957">
      <c r="A957" t="n">
        <v>770</v>
      </c>
      <c r="B957" t="inlineStr">
        <is>
          <t>Casa independiente</t>
        </is>
      </c>
      <c r="C957" t="inlineStr">
        <is>
          <t>https://www.idealista.com/inmueble/101860393/</t>
        </is>
      </c>
      <c r="E957" t="n">
        <v>5</v>
      </c>
      <c r="H957" t="n">
        <v>1155</v>
      </c>
      <c r="J957" t="inlineStr">
        <is>
          <t>Cala Ratjada, Capdepera</t>
        </is>
      </c>
      <c r="K957" t="n">
        <v>74.40000000000001</v>
      </c>
      <c r="L957" t="n">
        <v>63</v>
      </c>
      <c r="M957" t="n">
        <v>69.8</v>
      </c>
      <c r="N957" t="n">
        <v>66</v>
      </c>
      <c r="O957" t="n">
        <v>108.6</v>
      </c>
      <c r="P957" t="n">
        <v>88</v>
      </c>
      <c r="Q957" t="n">
        <v>67.5</v>
      </c>
      <c r="R957" t="n">
        <v>63</v>
      </c>
      <c r="S957" t="n">
        <v>2600000</v>
      </c>
      <c r="T957" t="n">
        <v>2251</v>
      </c>
      <c r="AH957" t="inlineStr">
        <is>
          <t>Quelle: Idealista</t>
        </is>
      </c>
    </row>
    <row r="958">
      <c r="A958" t="n">
        <v>771</v>
      </c>
      <c r="B958" t="inlineStr">
        <is>
          <t>Casa independiente</t>
        </is>
      </c>
      <c r="C958" t="inlineStr">
        <is>
          <t>https://www.idealista.com/inmueble/108749086/</t>
        </is>
      </c>
      <c r="E958" t="n">
        <v>7</v>
      </c>
      <c r="H958" t="n">
        <v>557</v>
      </c>
      <c r="J958" t="inlineStr">
        <is>
          <t>Cala Ratjada, Capdepera</t>
        </is>
      </c>
      <c r="K958" t="n">
        <v>74.40000000000001</v>
      </c>
      <c r="L958" t="n">
        <v>63</v>
      </c>
      <c r="M958" t="n">
        <v>69.8</v>
      </c>
      <c r="N958" t="n">
        <v>66</v>
      </c>
      <c r="O958" t="n">
        <v>108.6</v>
      </c>
      <c r="P958" t="n">
        <v>88</v>
      </c>
      <c r="Q958" t="n">
        <v>67.5</v>
      </c>
      <c r="R958" t="n">
        <v>63</v>
      </c>
      <c r="S958" t="n">
        <v>2495000</v>
      </c>
      <c r="T958" t="n">
        <v>4479</v>
      </c>
      <c r="AH958" t="inlineStr">
        <is>
          <t>Quelle: Idealista</t>
        </is>
      </c>
    </row>
    <row r="959">
      <c r="A959" t="n">
        <v>772</v>
      </c>
      <c r="B959" t="inlineStr">
        <is>
          <t>Finca rústica</t>
        </is>
      </c>
      <c r="C959" t="inlineStr">
        <is>
          <t>https://www.idealista.com/inmueble/108724482/</t>
        </is>
      </c>
      <c r="E959" t="n">
        <v>6</v>
      </c>
      <c r="H959" t="n">
        <v>469</v>
      </c>
      <c r="J959" t="inlineStr">
        <is>
          <t>Canyamel, Capdepera</t>
        </is>
      </c>
      <c r="K959" t="n">
        <v>74.7</v>
      </c>
      <c r="L959" t="n">
        <v>65</v>
      </c>
      <c r="M959" t="n">
        <v>70.09999999999999</v>
      </c>
      <c r="N959" t="n">
        <v>68</v>
      </c>
      <c r="O959" t="n">
        <v>108.9</v>
      </c>
      <c r="P959" t="n">
        <v>90</v>
      </c>
      <c r="Q959" t="n">
        <v>67.8</v>
      </c>
      <c r="R959" t="n">
        <v>65</v>
      </c>
      <c r="S959" t="n">
        <v>2200000</v>
      </c>
      <c r="T959" t="n">
        <v>4691</v>
      </c>
      <c r="AH959" t="inlineStr">
        <is>
          <t>Quelle: Idealista</t>
        </is>
      </c>
    </row>
    <row r="960">
      <c r="A960" t="n">
        <v>773</v>
      </c>
      <c r="B960" t="inlineStr">
        <is>
          <t>Casa independiente</t>
        </is>
      </c>
      <c r="C960" t="inlineStr">
        <is>
          <t>https://www.idealista.com/inmueble/105692669/</t>
        </is>
      </c>
      <c r="E960" t="n">
        <v>6</v>
      </c>
      <c r="H960" t="n">
        <v>280</v>
      </c>
      <c r="J960" t="inlineStr">
        <is>
          <t>Cala Mesquida, Capdepera</t>
        </is>
      </c>
      <c r="K960" t="n">
        <v>79.40000000000001</v>
      </c>
      <c r="L960" t="n">
        <v>68</v>
      </c>
      <c r="M960" t="n">
        <v>74.7</v>
      </c>
      <c r="N960" t="n">
        <v>71</v>
      </c>
      <c r="O960" t="n">
        <v>113.6</v>
      </c>
      <c r="P960" t="n">
        <v>93</v>
      </c>
      <c r="Q960" t="n">
        <v>72.40000000000001</v>
      </c>
      <c r="R960" t="n">
        <v>68</v>
      </c>
      <c r="S960" t="n">
        <v>2050000</v>
      </c>
      <c r="T960" t="n">
        <v>7321</v>
      </c>
      <c r="AH960" t="inlineStr">
        <is>
          <t>Quelle: Idealista</t>
        </is>
      </c>
    </row>
    <row r="961">
      <c r="A961" t="n">
        <v>774</v>
      </c>
      <c r="B961" t="inlineStr">
        <is>
          <t>Casa independiente</t>
        </is>
      </c>
      <c r="C961" t="inlineStr">
        <is>
          <t>https://www.idealista.com/inmueble/106040006/</t>
        </is>
      </c>
      <c r="E961" t="n">
        <v>5</v>
      </c>
      <c r="H961" t="n">
        <v>340</v>
      </c>
      <c r="J961" t="inlineStr">
        <is>
          <t>Cala Ratjada, Capdepera</t>
        </is>
      </c>
      <c r="K961" t="n">
        <v>74.40000000000001</v>
      </c>
      <c r="L961" t="n">
        <v>63</v>
      </c>
      <c r="M961" t="n">
        <v>69.8</v>
      </c>
      <c r="N961" t="n">
        <v>66</v>
      </c>
      <c r="O961" t="n">
        <v>108.6</v>
      </c>
      <c r="P961" t="n">
        <v>88</v>
      </c>
      <c r="Q961" t="n">
        <v>67.5</v>
      </c>
      <c r="R961" t="n">
        <v>63</v>
      </c>
      <c r="S961" t="n">
        <v>3900000</v>
      </c>
      <c r="T961" t="n">
        <v>11471</v>
      </c>
      <c r="AH961" t="inlineStr">
        <is>
          <t>Quelle: Idealista</t>
        </is>
      </c>
    </row>
    <row r="962">
      <c r="A962" t="n">
        <v>775</v>
      </c>
      <c r="B962" t="inlineStr">
        <is>
          <t>Finca rústica</t>
        </is>
      </c>
      <c r="C962" t="inlineStr">
        <is>
          <t>https://www.idealista.com/inmueble/105509418/</t>
        </is>
      </c>
      <c r="E962" t="n">
        <v>6</v>
      </c>
      <c r="H962" t="n">
        <v>450</v>
      </c>
      <c r="J962" t="inlineStr">
        <is>
          <t>Canyamel, Capdepera</t>
        </is>
      </c>
      <c r="K962" t="n">
        <v>74.7</v>
      </c>
      <c r="L962" t="n">
        <v>65</v>
      </c>
      <c r="M962" t="n">
        <v>70.09999999999999</v>
      </c>
      <c r="N962" t="n">
        <v>68</v>
      </c>
      <c r="O962" t="n">
        <v>108.9</v>
      </c>
      <c r="P962" t="n">
        <v>90</v>
      </c>
      <c r="Q962" t="n">
        <v>67.8</v>
      </c>
      <c r="R962" t="n">
        <v>65</v>
      </c>
      <c r="S962" t="n">
        <v>2200000</v>
      </c>
      <c r="T962" t="n">
        <v>4889</v>
      </c>
      <c r="AH962" t="inlineStr">
        <is>
          <t>Quelle: Idealista</t>
        </is>
      </c>
    </row>
    <row r="963">
      <c r="A963" t="n">
        <v>776</v>
      </c>
      <c r="B963" t="inlineStr">
        <is>
          <t>Torre en Polígono 4, 205</t>
        </is>
      </c>
      <c r="C963" t="inlineStr">
        <is>
          <t>https://www.idealista.com/inmueble/102090262/</t>
        </is>
      </c>
      <c r="E963" t="n">
        <v>7</v>
      </c>
      <c r="H963" t="n">
        <v>1055</v>
      </c>
      <c r="J963" t="inlineStr">
        <is>
          <t>Canyamel, Capdepera</t>
        </is>
      </c>
      <c r="K963" t="n">
        <v>74.7</v>
      </c>
      <c r="L963" t="n">
        <v>65</v>
      </c>
      <c r="M963" t="n">
        <v>70.09999999999999</v>
      </c>
      <c r="N963" t="n">
        <v>68</v>
      </c>
      <c r="O963" t="n">
        <v>108.9</v>
      </c>
      <c r="P963" t="n">
        <v>90</v>
      </c>
      <c r="Q963" t="n">
        <v>67.8</v>
      </c>
      <c r="R963" t="n">
        <v>65</v>
      </c>
      <c r="S963" t="n">
        <v>5350000</v>
      </c>
      <c r="T963" t="n">
        <v>5071</v>
      </c>
      <c r="AH963" t="inlineStr">
        <is>
          <t>Quelle: Idealista</t>
        </is>
      </c>
    </row>
    <row r="964">
      <c r="A964" t="n">
        <v>777</v>
      </c>
      <c r="B964" t="inlineStr">
        <is>
          <t>Casa independiente</t>
        </is>
      </c>
      <c r="C964" t="inlineStr">
        <is>
          <t>https://www.idealista.com/inmueble/106136571/</t>
        </is>
      </c>
      <c r="E964" t="n">
        <v>5</v>
      </c>
      <c r="H964" t="n">
        <v>753</v>
      </c>
      <c r="J964" t="inlineStr">
        <is>
          <t>Capdepera</t>
        </is>
      </c>
      <c r="K964" t="n">
        <v>74.40000000000001</v>
      </c>
      <c r="L964" t="n">
        <v>63</v>
      </c>
      <c r="M964" t="n">
        <v>69.8</v>
      </c>
      <c r="N964" t="n">
        <v>66</v>
      </c>
      <c r="O964" t="n">
        <v>108.6</v>
      </c>
      <c r="P964" t="n">
        <v>88</v>
      </c>
      <c r="Q964" t="n">
        <v>67.5</v>
      </c>
      <c r="R964" t="n">
        <v>63</v>
      </c>
      <c r="S964" t="n">
        <v>5300000</v>
      </c>
      <c r="T964" t="n">
        <v>7039</v>
      </c>
      <c r="AH964" t="inlineStr">
        <is>
          <t>Quelle: Idealista</t>
        </is>
      </c>
    </row>
    <row r="965">
      <c r="A965" t="n">
        <v>778</v>
      </c>
      <c r="B965" t="inlineStr">
        <is>
          <t>Casa independiente</t>
        </is>
      </c>
      <c r="C965" t="inlineStr">
        <is>
          <t>https://www.idealista.com/inmueble/105247599/</t>
        </is>
      </c>
      <c r="E965" t="n">
        <v>5</v>
      </c>
      <c r="H965" t="n">
        <v>360</v>
      </c>
      <c r="J965" t="inlineStr">
        <is>
          <t>Sa Font de sa Cala, Capdepera</t>
        </is>
      </c>
      <c r="K965" t="n">
        <v>77.7</v>
      </c>
      <c r="L965" t="n">
        <v>69</v>
      </c>
      <c r="M965" t="n">
        <v>73</v>
      </c>
      <c r="N965" t="n">
        <v>72</v>
      </c>
      <c r="O965" t="n">
        <v>111.9</v>
      </c>
      <c r="P965" t="n">
        <v>93</v>
      </c>
      <c r="Q965" t="n">
        <v>70.7</v>
      </c>
      <c r="R965" t="n">
        <v>68</v>
      </c>
      <c r="S965" t="n">
        <v>2190000</v>
      </c>
      <c r="T965" t="n">
        <v>6083</v>
      </c>
      <c r="AH965" t="inlineStr">
        <is>
          <t>Quelle: Idealista</t>
        </is>
      </c>
    </row>
    <row r="966">
      <c r="A966" t="n">
        <v>779</v>
      </c>
      <c r="B966" t="inlineStr">
        <is>
          <t>Casa rural</t>
        </is>
      </c>
      <c r="C966" t="inlineStr">
        <is>
          <t>https://www.idealista.com/inmueble/104151444/</t>
        </is>
      </c>
      <c r="E966" t="n">
        <v>6</v>
      </c>
      <c r="H966" t="n">
        <v>469</v>
      </c>
      <c r="J966" t="inlineStr">
        <is>
          <t>Canyamel, Capdepera</t>
        </is>
      </c>
      <c r="K966" t="n">
        <v>74.7</v>
      </c>
      <c r="L966" t="n">
        <v>65</v>
      </c>
      <c r="M966" t="n">
        <v>70.09999999999999</v>
      </c>
      <c r="N966" t="n">
        <v>68</v>
      </c>
      <c r="O966" t="n">
        <v>108.9</v>
      </c>
      <c r="P966" t="n">
        <v>90</v>
      </c>
      <c r="Q966" t="n">
        <v>67.8</v>
      </c>
      <c r="R966" t="n">
        <v>65</v>
      </c>
      <c r="S966" t="n">
        <v>2200000</v>
      </c>
      <c r="T966" t="n">
        <v>4691</v>
      </c>
      <c r="AH966" t="inlineStr">
        <is>
          <t>Quelle: Idealista</t>
        </is>
      </c>
    </row>
    <row r="967">
      <c r="A967" t="n">
        <v>780</v>
      </c>
      <c r="B967" t="inlineStr">
        <is>
          <t>Casa rural</t>
        </is>
      </c>
      <c r="C967" t="inlineStr">
        <is>
          <t>https://www.idealista.com/inmueble/104108513/</t>
        </is>
      </c>
      <c r="E967" t="n">
        <v>5</v>
      </c>
      <c r="H967" t="n">
        <v>386</v>
      </c>
      <c r="J967" t="inlineStr">
        <is>
          <t>Capdepera</t>
        </is>
      </c>
      <c r="K967" t="n">
        <v>74.40000000000001</v>
      </c>
      <c r="L967" t="n">
        <v>63</v>
      </c>
      <c r="M967" t="n">
        <v>69.8</v>
      </c>
      <c r="N967" t="n">
        <v>66</v>
      </c>
      <c r="O967" t="n">
        <v>108.6</v>
      </c>
      <c r="P967" t="n">
        <v>88</v>
      </c>
      <c r="Q967" t="n">
        <v>67.5</v>
      </c>
      <c r="R967" t="n">
        <v>63</v>
      </c>
      <c r="S967" t="n">
        <v>2980000</v>
      </c>
      <c r="T967" t="n">
        <v>7720</v>
      </c>
      <c r="AH967" t="inlineStr">
        <is>
          <t>Quelle: Idealista</t>
        </is>
      </c>
    </row>
    <row r="968">
      <c r="A968" t="n">
        <v>781</v>
      </c>
      <c r="B968" t="inlineStr">
        <is>
          <t>Casa independiente</t>
        </is>
      </c>
      <c r="C968" t="inlineStr">
        <is>
          <t>https://www.idealista.com/inmueble/103702738/</t>
        </is>
      </c>
      <c r="E968" t="n">
        <v>8</v>
      </c>
      <c r="H968" t="n">
        <v>747</v>
      </c>
      <c r="J968" t="inlineStr">
        <is>
          <t>Sa Font de sa Cala, Capdepera</t>
        </is>
      </c>
      <c r="K968" t="n">
        <v>77.7</v>
      </c>
      <c r="L968" t="n">
        <v>69</v>
      </c>
      <c r="M968" t="n">
        <v>73</v>
      </c>
      <c r="N968" t="n">
        <v>72</v>
      </c>
      <c r="O968" t="n">
        <v>111.9</v>
      </c>
      <c r="P968" t="n">
        <v>93</v>
      </c>
      <c r="Q968" t="n">
        <v>70.7</v>
      </c>
      <c r="R968" t="n">
        <v>68</v>
      </c>
      <c r="S968" t="n">
        <v>2950000</v>
      </c>
      <c r="T968" t="n">
        <v>3949</v>
      </c>
      <c r="AH968" t="inlineStr">
        <is>
          <t>Quelle: Idealista</t>
        </is>
      </c>
    </row>
    <row r="969">
      <c r="A969" t="n">
        <v>782</v>
      </c>
      <c r="B969" t="inlineStr">
        <is>
          <t>Casa rural en s'Heretat Pol. 13 s/n</t>
        </is>
      </c>
      <c r="C969" t="inlineStr">
        <is>
          <t>https://www.idealista.com/inmueble/103568364/</t>
        </is>
      </c>
      <c r="E969" t="n">
        <v>6</v>
      </c>
      <c r="H969" t="n">
        <v>563</v>
      </c>
      <c r="J969" t="inlineStr">
        <is>
          <t>Canyamel, Capdepera</t>
        </is>
      </c>
      <c r="K969" t="n">
        <v>74.7</v>
      </c>
      <c r="L969" t="n">
        <v>65</v>
      </c>
      <c r="M969" t="n">
        <v>70.09999999999999</v>
      </c>
      <c r="N969" t="n">
        <v>68</v>
      </c>
      <c r="O969" t="n">
        <v>108.9</v>
      </c>
      <c r="P969" t="n">
        <v>90</v>
      </c>
      <c r="Q969" t="n">
        <v>67.8</v>
      </c>
      <c r="R969" t="n">
        <v>65</v>
      </c>
      <c r="S969" t="n">
        <v>2200000</v>
      </c>
      <c r="T969" t="n">
        <v>3908</v>
      </c>
      <c r="AH969" t="inlineStr">
        <is>
          <t>Quelle: Idealista</t>
        </is>
      </c>
    </row>
    <row r="970">
      <c r="A970" t="n">
        <v>783</v>
      </c>
      <c r="B970" t="inlineStr">
        <is>
          <t>Chalet</t>
        </is>
      </c>
      <c r="C970" t="inlineStr">
        <is>
          <t>https://www.idealista.com/inmueble/109765091/</t>
        </is>
      </c>
      <c r="E970" t="n">
        <v>5</v>
      </c>
      <c r="H970" t="n">
        <v>587</v>
      </c>
      <c r="J970" t="inlineStr">
        <is>
          <t>Consell</t>
        </is>
      </c>
      <c r="K970" t="n">
        <v>30</v>
      </c>
      <c r="L970" t="n">
        <v>26</v>
      </c>
      <c r="M970" t="n">
        <v>72.8</v>
      </c>
      <c r="N970" t="n">
        <v>59</v>
      </c>
      <c r="O970" t="n">
        <v>52.6</v>
      </c>
      <c r="P970" t="n">
        <v>42</v>
      </c>
      <c r="Q970" t="n">
        <v>70.5</v>
      </c>
      <c r="R970" t="n">
        <v>55</v>
      </c>
      <c r="S970" t="n">
        <v>2460000</v>
      </c>
      <c r="T970" t="n">
        <v>4191</v>
      </c>
      <c r="AH970" t="inlineStr">
        <is>
          <t>Quelle: Idealista</t>
        </is>
      </c>
    </row>
    <row r="971">
      <c r="A971" t="n">
        <v>784</v>
      </c>
      <c r="B971" t="inlineStr">
        <is>
          <t>Casa independiente</t>
        </is>
      </c>
      <c r="C971" t="inlineStr">
        <is>
          <t>https://www.idealista.com/inmueble/109664311/</t>
        </is>
      </c>
      <c r="E971" t="n">
        <v>5</v>
      </c>
      <c r="H971" t="n">
        <v>580</v>
      </c>
      <c r="J971" t="inlineStr">
        <is>
          <t>Consell</t>
        </is>
      </c>
      <c r="K971" t="n">
        <v>30</v>
      </c>
      <c r="L971" t="n">
        <v>26</v>
      </c>
      <c r="M971" t="n">
        <v>72.8</v>
      </c>
      <c r="N971" t="n">
        <v>59</v>
      </c>
      <c r="O971" t="n">
        <v>52.6</v>
      </c>
      <c r="P971" t="n">
        <v>42</v>
      </c>
      <c r="Q971" t="n">
        <v>70.5</v>
      </c>
      <c r="R971" t="n">
        <v>55</v>
      </c>
      <c r="S971" t="n">
        <v>5500000</v>
      </c>
      <c r="T971" t="n">
        <v>9483</v>
      </c>
      <c r="AH971" t="inlineStr">
        <is>
          <t>Quelle: Idealista</t>
        </is>
      </c>
    </row>
    <row r="972">
      <c r="A972" t="n">
        <v>785</v>
      </c>
      <c r="B972" t="inlineStr">
        <is>
          <t>Casa independiente</t>
        </is>
      </c>
      <c r="C972" t="inlineStr">
        <is>
          <t>https://www.idealista.com/inmueble/110310255/</t>
        </is>
      </c>
      <c r="E972" t="n">
        <v>5</v>
      </c>
      <c r="H972" t="n">
        <v>509</v>
      </c>
      <c r="J972" t="inlineStr">
        <is>
          <t>Costa de los Pinos</t>
        </is>
      </c>
      <c r="K972" t="n">
        <v>69.2</v>
      </c>
      <c r="L972" t="n">
        <v>59</v>
      </c>
      <c r="M972" t="n">
        <v>64.5</v>
      </c>
      <c r="N972" t="n">
        <v>62</v>
      </c>
      <c r="O972" t="n">
        <v>103.4</v>
      </c>
      <c r="P972" t="n">
        <v>84</v>
      </c>
      <c r="Q972" t="n">
        <v>62.2</v>
      </c>
      <c r="R972" t="n">
        <v>59</v>
      </c>
      <c r="S972" t="n">
        <v>2400000</v>
      </c>
      <c r="T972" t="n">
        <v>4715</v>
      </c>
      <c r="AH972" t="inlineStr">
        <is>
          <t>Quelle: Idealista</t>
        </is>
      </c>
    </row>
    <row r="973">
      <c r="A973" t="n">
        <v>786</v>
      </c>
      <c r="B973" t="inlineStr">
        <is>
          <t>Chalet en calle dels Brucs</t>
        </is>
      </c>
      <c r="C973" t="inlineStr">
        <is>
          <t>https://www.idealista.com/inmueble/110284226/</t>
        </is>
      </c>
      <c r="E973" t="n">
        <v>5</v>
      </c>
      <c r="H973" t="n">
        <v>454</v>
      </c>
      <c r="J973" t="inlineStr">
        <is>
          <t>Costa de los Pinos</t>
        </is>
      </c>
      <c r="K973" t="n">
        <v>69.2</v>
      </c>
      <c r="L973" t="n">
        <v>59</v>
      </c>
      <c r="M973" t="n">
        <v>64.5</v>
      </c>
      <c r="N973" t="n">
        <v>62</v>
      </c>
      <c r="O973" t="n">
        <v>103.4</v>
      </c>
      <c r="P973" t="n">
        <v>84</v>
      </c>
      <c r="Q973" t="n">
        <v>62.2</v>
      </c>
      <c r="R973" t="n">
        <v>59</v>
      </c>
      <c r="S973" t="n">
        <v>2750000</v>
      </c>
      <c r="T973" t="n">
        <v>6057</v>
      </c>
      <c r="AH973" t="inlineStr">
        <is>
          <t>Quelle: Idealista</t>
        </is>
      </c>
    </row>
    <row r="974">
      <c r="A974" t="n">
        <v>787</v>
      </c>
      <c r="B974" t="inlineStr">
        <is>
          <t>Casa independiente</t>
        </is>
      </c>
      <c r="C974" t="inlineStr">
        <is>
          <t>https://www.idealista.com/inmueble/108798898/</t>
        </is>
      </c>
      <c r="E974" t="n">
        <v>5</v>
      </c>
      <c r="H974" t="n">
        <v>466</v>
      </c>
      <c r="J974" t="inlineStr">
        <is>
          <t>Costa de los Pinos</t>
        </is>
      </c>
      <c r="K974" t="n">
        <v>69.2</v>
      </c>
      <c r="L974" t="n">
        <v>59</v>
      </c>
      <c r="M974" t="n">
        <v>64.5</v>
      </c>
      <c r="N974" t="n">
        <v>62</v>
      </c>
      <c r="O974" t="n">
        <v>103.4</v>
      </c>
      <c r="P974" t="n">
        <v>84</v>
      </c>
      <c r="Q974" t="n">
        <v>62.2</v>
      </c>
      <c r="R974" t="n">
        <v>59</v>
      </c>
      <c r="S974" t="n">
        <v>2400000</v>
      </c>
      <c r="T974" t="n">
        <v>5150</v>
      </c>
      <c r="AH974" t="inlineStr">
        <is>
          <t>Quelle: Idealista</t>
        </is>
      </c>
    </row>
    <row r="975">
      <c r="A975" t="n">
        <v>788</v>
      </c>
      <c r="B975" t="inlineStr">
        <is>
          <t>Casa independiente</t>
        </is>
      </c>
      <c r="C975" t="inlineStr">
        <is>
          <t>https://www.idealista.com/inmueble/109482864/</t>
        </is>
      </c>
      <c r="E975" t="n">
        <v>5</v>
      </c>
      <c r="H975" t="n">
        <v>330</v>
      </c>
      <c r="J975" t="inlineStr">
        <is>
          <t>Costa de los Pinos</t>
        </is>
      </c>
      <c r="K975" t="n">
        <v>69.2</v>
      </c>
      <c r="L975" t="n">
        <v>59</v>
      </c>
      <c r="M975" t="n">
        <v>64.5</v>
      </c>
      <c r="N975" t="n">
        <v>62</v>
      </c>
      <c r="O975" t="n">
        <v>103.4</v>
      </c>
      <c r="P975" t="n">
        <v>84</v>
      </c>
      <c r="Q975" t="n">
        <v>62.2</v>
      </c>
      <c r="R975" t="n">
        <v>59</v>
      </c>
      <c r="S975" t="n">
        <v>2980000</v>
      </c>
      <c r="T975" t="n">
        <v>9030</v>
      </c>
      <c r="AH975" t="inlineStr">
        <is>
          <t>Quelle: Idealista</t>
        </is>
      </c>
    </row>
    <row r="976">
      <c r="A976" t="n">
        <v>789</v>
      </c>
      <c r="B976" t="inlineStr">
        <is>
          <t>Casa independiente</t>
        </is>
      </c>
      <c r="C976" t="inlineStr">
        <is>
          <t>https://www.idealista.com/inmueble/109475986/</t>
        </is>
      </c>
      <c r="E976" t="n">
        <v>8</v>
      </c>
      <c r="H976" t="n">
        <v>662</v>
      </c>
      <c r="J976" t="inlineStr">
        <is>
          <t>Costa de los Pinos</t>
        </is>
      </c>
      <c r="K976" t="n">
        <v>69.2</v>
      </c>
      <c r="L976" t="n">
        <v>59</v>
      </c>
      <c r="M976" t="n">
        <v>64.5</v>
      </c>
      <c r="N976" t="n">
        <v>62</v>
      </c>
      <c r="O976" t="n">
        <v>103.4</v>
      </c>
      <c r="P976" t="n">
        <v>84</v>
      </c>
      <c r="Q976" t="n">
        <v>62.2</v>
      </c>
      <c r="R976" t="n">
        <v>59</v>
      </c>
      <c r="S976" t="n">
        <v>3980000</v>
      </c>
      <c r="T976" t="n">
        <v>6012</v>
      </c>
      <c r="AH976" t="inlineStr">
        <is>
          <t>Quelle: Idealista</t>
        </is>
      </c>
    </row>
    <row r="977">
      <c r="A977" t="n">
        <v>790</v>
      </c>
      <c r="B977" t="inlineStr">
        <is>
          <t>Casa independiente</t>
        </is>
      </c>
      <c r="C977" t="inlineStr">
        <is>
          <t>https://www.idealista.com/inmueble/108563572/</t>
        </is>
      </c>
      <c r="E977" t="n">
        <v>5</v>
      </c>
      <c r="H977" t="n">
        <v>330</v>
      </c>
      <c r="J977" t="inlineStr">
        <is>
          <t>Costa de los Pinos</t>
        </is>
      </c>
      <c r="K977" t="n">
        <v>69.2</v>
      </c>
      <c r="L977" t="n">
        <v>59</v>
      </c>
      <c r="M977" t="n">
        <v>64.5</v>
      </c>
      <c r="N977" t="n">
        <v>62</v>
      </c>
      <c r="O977" t="n">
        <v>103.4</v>
      </c>
      <c r="P977" t="n">
        <v>84</v>
      </c>
      <c r="Q977" t="n">
        <v>62.2</v>
      </c>
      <c r="R977" t="n">
        <v>59</v>
      </c>
      <c r="S977" t="n">
        <v>2980000</v>
      </c>
      <c r="T977" t="n">
        <v>9030</v>
      </c>
      <c r="AH977" t="inlineStr">
        <is>
          <t>Quelle: Idealista</t>
        </is>
      </c>
    </row>
    <row r="978">
      <c r="A978" t="n">
        <v>791</v>
      </c>
      <c r="B978" t="inlineStr">
        <is>
          <t>Casa independiente en avenida del Pinar</t>
        </is>
      </c>
      <c r="C978" t="inlineStr">
        <is>
          <t>https://www.idealista.com/inmueble/102311222/</t>
        </is>
      </c>
      <c r="E978" t="n">
        <v>8</v>
      </c>
      <c r="H978" t="n">
        <v>600</v>
      </c>
      <c r="J978" t="inlineStr">
        <is>
          <t>Costa de los Pinos</t>
        </is>
      </c>
      <c r="K978" t="n">
        <v>69.2</v>
      </c>
      <c r="L978" t="n">
        <v>59</v>
      </c>
      <c r="M978" t="n">
        <v>64.5</v>
      </c>
      <c r="N978" t="n">
        <v>62</v>
      </c>
      <c r="O978" t="n">
        <v>103.4</v>
      </c>
      <c r="P978" t="n">
        <v>84</v>
      </c>
      <c r="Q978" t="n">
        <v>62.2</v>
      </c>
      <c r="R978" t="n">
        <v>59</v>
      </c>
      <c r="S978" t="n">
        <v>3890000</v>
      </c>
      <c r="T978" t="n">
        <v>6483</v>
      </c>
      <c r="AH978" t="inlineStr">
        <is>
          <t>Quelle: Idealista</t>
        </is>
      </c>
    </row>
    <row r="979">
      <c r="A979" t="n">
        <v>792</v>
      </c>
      <c r="B979" t="inlineStr">
        <is>
          <t>Casa independiente en calle del Romaní</t>
        </is>
      </c>
      <c r="C979" t="inlineStr">
        <is>
          <t>https://www.idealista.com/inmueble/105101441/</t>
        </is>
      </c>
      <c r="E979" t="n">
        <v>5</v>
      </c>
      <c r="H979" t="n">
        <v>465</v>
      </c>
      <c r="J979" t="inlineStr">
        <is>
          <t>Costa de los Pinos</t>
        </is>
      </c>
      <c r="K979" t="n">
        <v>69.2</v>
      </c>
      <c r="L979" t="n">
        <v>59</v>
      </c>
      <c r="M979" t="n">
        <v>64.5</v>
      </c>
      <c r="N979" t="n">
        <v>62</v>
      </c>
      <c r="O979" t="n">
        <v>103.4</v>
      </c>
      <c r="P979" t="n">
        <v>84</v>
      </c>
      <c r="Q979" t="n">
        <v>62.2</v>
      </c>
      <c r="R979" t="n">
        <v>59</v>
      </c>
      <c r="S979" t="n">
        <v>3500000</v>
      </c>
      <c r="T979" t="n">
        <v>7527</v>
      </c>
      <c r="AH979" t="inlineStr">
        <is>
          <t>Quelle: Idealista</t>
        </is>
      </c>
    </row>
    <row r="980">
      <c r="A980" t="n">
        <v>793</v>
      </c>
      <c r="B980" t="inlineStr">
        <is>
          <t>Casa independiente</t>
        </is>
      </c>
      <c r="C980" t="inlineStr">
        <is>
          <t>https://www.idealista.com/inmueble/100991766/</t>
        </is>
      </c>
      <c r="E980" t="n">
        <v>6</v>
      </c>
      <c r="H980" t="n">
        <v>606</v>
      </c>
      <c r="J980" t="inlineStr">
        <is>
          <t>Costa de los Pinos</t>
        </is>
      </c>
      <c r="K980" t="n">
        <v>69.2</v>
      </c>
      <c r="L980" t="n">
        <v>59</v>
      </c>
      <c r="M980" t="n">
        <v>64.5</v>
      </c>
      <c r="N980" t="n">
        <v>62</v>
      </c>
      <c r="O980" t="n">
        <v>103.4</v>
      </c>
      <c r="P980" t="n">
        <v>84</v>
      </c>
      <c r="Q980" t="n">
        <v>62.2</v>
      </c>
      <c r="R980" t="n">
        <v>59</v>
      </c>
      <c r="S980" t="n">
        <v>3980000</v>
      </c>
      <c r="T980" t="n">
        <v>6568</v>
      </c>
      <c r="AH980" t="inlineStr">
        <is>
          <t>Quelle: Idealista</t>
        </is>
      </c>
    </row>
    <row r="981">
      <c r="A981" t="n">
        <v>794</v>
      </c>
      <c r="B981" t="inlineStr">
        <is>
          <t>Casa rural</t>
        </is>
      </c>
      <c r="C981" t="inlineStr">
        <is>
          <t>https://www.idealista.com/inmueble/104838723/</t>
        </is>
      </c>
      <c r="E981" t="n">
        <v>10</v>
      </c>
      <c r="H981" t="n">
        <v>600</v>
      </c>
      <c r="J981" t="inlineStr">
        <is>
          <t>Costitx</t>
        </is>
      </c>
      <c r="K981" t="n">
        <v>32.8</v>
      </c>
      <c r="L981" t="n">
        <v>36</v>
      </c>
      <c r="M981" t="n">
        <v>50.6</v>
      </c>
      <c r="N981" t="n">
        <v>51</v>
      </c>
      <c r="O981" t="n">
        <v>68.5</v>
      </c>
      <c r="P981" t="n">
        <v>53</v>
      </c>
      <c r="Q981" t="n">
        <v>48.3</v>
      </c>
      <c r="R981" t="n">
        <v>48</v>
      </c>
      <c r="S981" t="n">
        <v>2980000</v>
      </c>
      <c r="T981" t="n">
        <v>4967</v>
      </c>
      <c r="AH981" t="inlineStr">
        <is>
          <t>Quelle: Idealista</t>
        </is>
      </c>
    </row>
    <row r="982">
      <c r="A982" t="n">
        <v>795</v>
      </c>
      <c r="B982" t="inlineStr">
        <is>
          <t>Casa rural en Poligono 2</t>
        </is>
      </c>
      <c r="C982" t="inlineStr">
        <is>
          <t>https://www.idealista.com/inmueble/95826820/</t>
        </is>
      </c>
      <c r="E982" t="n">
        <v>6</v>
      </c>
      <c r="H982" t="n">
        <v>300</v>
      </c>
      <c r="J982" t="inlineStr">
        <is>
          <t>Deià</t>
        </is>
      </c>
      <c r="K982" t="n">
        <v>37.1</v>
      </c>
      <c r="L982" t="n">
        <v>45</v>
      </c>
      <c r="M982" t="n">
        <v>79.90000000000001</v>
      </c>
      <c r="N982" t="n">
        <v>78</v>
      </c>
      <c r="O982" t="n">
        <v>55.4</v>
      </c>
      <c r="P982" t="n">
        <v>57</v>
      </c>
      <c r="Q982" t="n">
        <v>77.5</v>
      </c>
      <c r="R982" t="n">
        <v>74</v>
      </c>
      <c r="S982" t="n">
        <v>3000000</v>
      </c>
      <c r="T982" t="n">
        <v>10000</v>
      </c>
      <c r="AH982" t="inlineStr">
        <is>
          <t>Quelle: Idealista</t>
        </is>
      </c>
    </row>
    <row r="983">
      <c r="A983" t="n">
        <v>796</v>
      </c>
      <c r="B983" t="inlineStr">
        <is>
          <t>Finca rústica</t>
        </is>
      </c>
      <c r="C983" t="inlineStr">
        <is>
          <t>https://www.idealista.com/inmueble/105578342/</t>
        </is>
      </c>
      <c r="E983" t="n">
        <v>6</v>
      </c>
      <c r="H983" t="n">
        <v>6560</v>
      </c>
      <c r="J983" t="inlineStr">
        <is>
          <t>Deià</t>
        </is>
      </c>
      <c r="K983" t="n">
        <v>37.1</v>
      </c>
      <c r="L983" t="n">
        <v>45</v>
      </c>
      <c r="M983" t="n">
        <v>79.90000000000001</v>
      </c>
      <c r="N983" t="n">
        <v>78</v>
      </c>
      <c r="O983" t="n">
        <v>55.4</v>
      </c>
      <c r="P983" t="n">
        <v>57</v>
      </c>
      <c r="Q983" t="n">
        <v>77.5</v>
      </c>
      <c r="R983" t="n">
        <v>74</v>
      </c>
      <c r="S983" t="n">
        <v>2000000</v>
      </c>
      <c r="T983" t="n">
        <v>305</v>
      </c>
      <c r="AH983" t="inlineStr">
        <is>
          <t>Quelle: Idealista</t>
        </is>
      </c>
    </row>
    <row r="984">
      <c r="A984" t="n">
        <v>797</v>
      </c>
      <c r="B984" t="inlineStr">
        <is>
          <t>Casa rural</t>
        </is>
      </c>
      <c r="C984" t="inlineStr">
        <is>
          <t>https://www.idealista.com/inmueble/107898718/</t>
        </is>
      </c>
      <c r="E984" t="n">
        <v>6</v>
      </c>
      <c r="H984" t="n">
        <v>619</v>
      </c>
      <c r="J984" t="inlineStr">
        <is>
          <t>Deià</t>
        </is>
      </c>
      <c r="K984" t="n">
        <v>37.1</v>
      </c>
      <c r="L984" t="n">
        <v>45</v>
      </c>
      <c r="M984" t="n">
        <v>79.90000000000001</v>
      </c>
      <c r="N984" t="n">
        <v>78</v>
      </c>
      <c r="O984" t="n">
        <v>55.4</v>
      </c>
      <c r="P984" t="n">
        <v>57</v>
      </c>
      <c r="Q984" t="n">
        <v>77.5</v>
      </c>
      <c r="R984" t="n">
        <v>74</v>
      </c>
      <c r="S984" t="n">
        <v>3900000</v>
      </c>
      <c r="T984" t="n">
        <v>6300</v>
      </c>
      <c r="AH984" t="inlineStr">
        <is>
          <t>Quelle: Idealista</t>
        </is>
      </c>
    </row>
    <row r="985">
      <c r="A985" t="n">
        <v>798</v>
      </c>
      <c r="B985" t="inlineStr">
        <is>
          <t>Casa independiente</t>
        </is>
      </c>
      <c r="C985" t="inlineStr">
        <is>
          <t>https://www.idealista.com/inmueble/99807736/</t>
        </is>
      </c>
      <c r="E985" t="n">
        <v>5</v>
      </c>
      <c r="H985" t="n">
        <v>305</v>
      </c>
      <c r="J985" t="inlineStr">
        <is>
          <t>Deià</t>
        </is>
      </c>
      <c r="K985" t="n">
        <v>37.1</v>
      </c>
      <c r="L985" t="n">
        <v>45</v>
      </c>
      <c r="M985" t="n">
        <v>79.90000000000001</v>
      </c>
      <c r="N985" t="n">
        <v>78</v>
      </c>
      <c r="O985" t="n">
        <v>55.4</v>
      </c>
      <c r="P985" t="n">
        <v>57</v>
      </c>
      <c r="Q985" t="n">
        <v>77.5</v>
      </c>
      <c r="R985" t="n">
        <v>74</v>
      </c>
      <c r="S985" t="n">
        <v>3000000</v>
      </c>
      <c r="T985" t="n">
        <v>9836</v>
      </c>
      <c r="AH985" t="inlineStr">
        <is>
          <t>Quelle: Idealista</t>
        </is>
      </c>
    </row>
    <row r="986">
      <c r="A986" t="n">
        <v>799</v>
      </c>
      <c r="B986" t="inlineStr">
        <is>
          <t>Masía en son coll s/n</t>
        </is>
      </c>
      <c r="C986" t="inlineStr">
        <is>
          <t>https://www.idealista.com/inmueble/107598077/</t>
        </is>
      </c>
      <c r="E986" t="n">
        <v>7</v>
      </c>
      <c r="H986" t="n">
        <v>683</v>
      </c>
      <c r="J986" t="inlineStr">
        <is>
          <t>Deià</t>
        </is>
      </c>
      <c r="K986" t="n">
        <v>37.1</v>
      </c>
      <c r="L986" t="n">
        <v>45</v>
      </c>
      <c r="M986" t="n">
        <v>79.90000000000001</v>
      </c>
      <c r="N986" t="n">
        <v>78</v>
      </c>
      <c r="O986" t="n">
        <v>55.4</v>
      </c>
      <c r="P986" t="n">
        <v>57</v>
      </c>
      <c r="Q986" t="n">
        <v>77.5</v>
      </c>
      <c r="R986" t="n">
        <v>74</v>
      </c>
      <c r="S986" t="n">
        <v>3900000</v>
      </c>
      <c r="T986" t="n">
        <v>5710</v>
      </c>
      <c r="AH986" t="inlineStr">
        <is>
          <t>Quelle: Idealista</t>
        </is>
      </c>
    </row>
    <row r="987">
      <c r="A987" t="n">
        <v>800</v>
      </c>
      <c r="B987" t="inlineStr">
        <is>
          <t>Finca rústica</t>
        </is>
      </c>
      <c r="C987" t="inlineStr">
        <is>
          <t>https://www.idealista.com/inmueble/101896062/</t>
        </is>
      </c>
      <c r="E987" t="n">
        <v>6</v>
      </c>
      <c r="H987" t="n">
        <v>305</v>
      </c>
      <c r="J987" t="inlineStr">
        <is>
          <t>Deià</t>
        </is>
      </c>
      <c r="K987" t="n">
        <v>37.1</v>
      </c>
      <c r="L987" t="n">
        <v>45</v>
      </c>
      <c r="M987" t="n">
        <v>79.90000000000001</v>
      </c>
      <c r="N987" t="n">
        <v>78</v>
      </c>
      <c r="O987" t="n">
        <v>55.4</v>
      </c>
      <c r="P987" t="n">
        <v>57</v>
      </c>
      <c r="Q987" t="n">
        <v>77.5</v>
      </c>
      <c r="R987" t="n">
        <v>74</v>
      </c>
      <c r="S987" t="n">
        <v>3000000</v>
      </c>
      <c r="T987" t="n">
        <v>9836</v>
      </c>
      <c r="AH987" t="inlineStr">
        <is>
          <t>Quelle: Idealista</t>
        </is>
      </c>
    </row>
    <row r="988">
      <c r="A988" t="n">
        <v>801</v>
      </c>
      <c r="B988" t="inlineStr">
        <is>
          <t>Finca rústica</t>
        </is>
      </c>
      <c r="C988" t="inlineStr">
        <is>
          <t>https://www.idealista.com/inmueble/100817550/</t>
        </is>
      </c>
      <c r="E988" t="n">
        <v>6</v>
      </c>
      <c r="H988" t="n">
        <v>281</v>
      </c>
      <c r="J988" t="inlineStr">
        <is>
          <t>Deià</t>
        </is>
      </c>
      <c r="K988" t="n">
        <v>37.1</v>
      </c>
      <c r="L988" t="n">
        <v>45</v>
      </c>
      <c r="M988" t="n">
        <v>79.90000000000001</v>
      </c>
      <c r="N988" t="n">
        <v>78</v>
      </c>
      <c r="O988" t="n">
        <v>55.4</v>
      </c>
      <c r="P988" t="n">
        <v>57</v>
      </c>
      <c r="Q988" t="n">
        <v>77.5</v>
      </c>
      <c r="R988" t="n">
        <v>74</v>
      </c>
      <c r="S988" t="n">
        <v>3711750</v>
      </c>
      <c r="T988" t="n">
        <v>13209</v>
      </c>
      <c r="AH988" t="inlineStr">
        <is>
          <t>Quelle: Idealista</t>
        </is>
      </c>
    </row>
    <row r="989">
      <c r="A989" t="n">
        <v>802</v>
      </c>
      <c r="B989" t="inlineStr">
        <is>
          <t>Chalet</t>
        </is>
      </c>
      <c r="C989" t="inlineStr">
        <is>
          <t>https://www.idealista.com/inmueble/99319466/</t>
        </is>
      </c>
      <c r="E989" t="n">
        <v>6</v>
      </c>
      <c r="H989" t="n">
        <v>343</v>
      </c>
      <c r="J989" t="inlineStr">
        <is>
          <t>Deià</t>
        </is>
      </c>
      <c r="K989" t="n">
        <v>37.1</v>
      </c>
      <c r="L989" t="n">
        <v>45</v>
      </c>
      <c r="M989" t="n">
        <v>79.90000000000001</v>
      </c>
      <c r="N989" t="n">
        <v>78</v>
      </c>
      <c r="O989" t="n">
        <v>55.4</v>
      </c>
      <c r="P989" t="n">
        <v>57</v>
      </c>
      <c r="Q989" t="n">
        <v>77.5</v>
      </c>
      <c r="R989" t="n">
        <v>74</v>
      </c>
      <c r="S989" t="n">
        <v>3711750</v>
      </c>
      <c r="T989" t="n">
        <v>10821</v>
      </c>
      <c r="AH989" t="inlineStr">
        <is>
          <t>Quelle: Idealista</t>
        </is>
      </c>
    </row>
    <row r="990">
      <c r="A990" t="n">
        <v>803</v>
      </c>
      <c r="B990" t="inlineStr">
        <is>
          <t>Finca rústica</t>
        </is>
      </c>
      <c r="C990" t="inlineStr">
        <is>
          <t>https://www.idealista.com/inmueble/108858225/</t>
        </is>
      </c>
      <c r="E990" t="n">
        <v>7</v>
      </c>
      <c r="H990" t="n">
        <v>710</v>
      </c>
      <c r="J990" t="inlineStr">
        <is>
          <t>Escorca</t>
        </is>
      </c>
      <c r="K990" t="n">
        <v>57.6</v>
      </c>
      <c r="L990" t="n">
        <v>61</v>
      </c>
      <c r="M990" t="n">
        <v>75.7</v>
      </c>
      <c r="N990" t="n">
        <v>87</v>
      </c>
      <c r="O990" t="n">
        <v>80.2</v>
      </c>
      <c r="P990" t="n">
        <v>77</v>
      </c>
      <c r="Q990" t="n">
        <v>73.40000000000001</v>
      </c>
      <c r="R990" t="n">
        <v>83</v>
      </c>
      <c r="S990" t="n">
        <v>4800000</v>
      </c>
      <c r="T990" t="n">
        <v>6761</v>
      </c>
      <c r="AH990" t="inlineStr">
        <is>
          <t>Quelle: Idealista</t>
        </is>
      </c>
    </row>
    <row r="991">
      <c r="A991" t="n">
        <v>804</v>
      </c>
      <c r="B991" t="inlineStr">
        <is>
          <t>Masía en Poligono 7 s/n</t>
        </is>
      </c>
      <c r="C991" t="inlineStr">
        <is>
          <t>https://www.idealista.com/inmueble/108854255/</t>
        </is>
      </c>
      <c r="E991" t="n">
        <v>8</v>
      </c>
      <c r="H991" t="n">
        <v>1500</v>
      </c>
      <c r="J991" t="inlineStr">
        <is>
          <t>Escorca</t>
        </is>
      </c>
      <c r="K991" t="n">
        <v>57.6</v>
      </c>
      <c r="L991" t="n">
        <v>61</v>
      </c>
      <c r="M991" t="n">
        <v>75.7</v>
      </c>
      <c r="N991" t="n">
        <v>87</v>
      </c>
      <c r="O991" t="n">
        <v>80.2</v>
      </c>
      <c r="P991" t="n">
        <v>77</v>
      </c>
      <c r="Q991" t="n">
        <v>73.40000000000001</v>
      </c>
      <c r="R991" t="n">
        <v>83</v>
      </c>
      <c r="S991" t="n">
        <v>6500000</v>
      </c>
      <c r="T991" t="n">
        <v>4333</v>
      </c>
      <c r="AH991" t="inlineStr">
        <is>
          <t>Quelle: Idealista</t>
        </is>
      </c>
    </row>
    <row r="992">
      <c r="A992" t="n">
        <v>805</v>
      </c>
      <c r="B992" t="inlineStr">
        <is>
          <t>Chalet</t>
        </is>
      </c>
      <c r="C992" t="inlineStr">
        <is>
          <t>https://www.idealista.com/inmueble/107919877/</t>
        </is>
      </c>
      <c r="E992" t="n">
        <v>12</v>
      </c>
      <c r="H992" t="n">
        <v>1743</v>
      </c>
      <c r="J992" t="inlineStr">
        <is>
          <t>Escorca</t>
        </is>
      </c>
      <c r="K992" t="n">
        <v>57.6</v>
      </c>
      <c r="L992" t="n">
        <v>61</v>
      </c>
      <c r="M992" t="n">
        <v>75.7</v>
      </c>
      <c r="N992" t="n">
        <v>87</v>
      </c>
      <c r="O992" t="n">
        <v>80.2</v>
      </c>
      <c r="P992" t="n">
        <v>77</v>
      </c>
      <c r="Q992" t="n">
        <v>73.40000000000001</v>
      </c>
      <c r="R992" t="n">
        <v>83</v>
      </c>
      <c r="S992" t="n">
        <v>6500000</v>
      </c>
      <c r="T992" t="n">
        <v>3729</v>
      </c>
      <c r="AH992" t="inlineStr">
        <is>
          <t>Quelle: Idealista</t>
        </is>
      </c>
    </row>
    <row r="993">
      <c r="A993" t="n">
        <v>806</v>
      </c>
      <c r="B993" t="inlineStr">
        <is>
          <t>Chalet</t>
        </is>
      </c>
      <c r="C993" t="inlineStr">
        <is>
          <t>https://www.idealista.com/inmueble/107919760/</t>
        </is>
      </c>
      <c r="E993" t="n">
        <v>10</v>
      </c>
      <c r="H993" t="n">
        <v>1772</v>
      </c>
      <c r="J993" t="inlineStr">
        <is>
          <t>Escorca</t>
        </is>
      </c>
      <c r="K993" t="n">
        <v>57.6</v>
      </c>
      <c r="L993" t="n">
        <v>61</v>
      </c>
      <c r="M993" t="n">
        <v>75.7</v>
      </c>
      <c r="N993" t="n">
        <v>87</v>
      </c>
      <c r="O993" t="n">
        <v>80.2</v>
      </c>
      <c r="P993" t="n">
        <v>77</v>
      </c>
      <c r="Q993" t="n">
        <v>73.40000000000001</v>
      </c>
      <c r="R993" t="n">
        <v>83</v>
      </c>
      <c r="S993" t="n">
        <v>6000000</v>
      </c>
      <c r="T993" t="n">
        <v>3386</v>
      </c>
      <c r="AH993" t="inlineStr">
        <is>
          <t>Quelle: Idealista</t>
        </is>
      </c>
    </row>
    <row r="994">
      <c r="A994" t="n">
        <v>807</v>
      </c>
      <c r="B994" t="inlineStr">
        <is>
          <t>Finca rústica</t>
        </is>
      </c>
      <c r="C994" t="inlineStr">
        <is>
          <t>https://www.idealista.com/inmueble/105371258/</t>
        </is>
      </c>
      <c r="E994" t="n">
        <v>8</v>
      </c>
      <c r="H994" t="n">
        <v>736</v>
      </c>
      <c r="J994" t="inlineStr">
        <is>
          <t>Escorca</t>
        </is>
      </c>
      <c r="K994" t="n">
        <v>57.6</v>
      </c>
      <c r="L994" t="n">
        <v>61</v>
      </c>
      <c r="M994" t="n">
        <v>75.7</v>
      </c>
      <c r="N994" t="n">
        <v>87</v>
      </c>
      <c r="O994" t="n">
        <v>80.2</v>
      </c>
      <c r="P994" t="n">
        <v>77</v>
      </c>
      <c r="Q994" t="n">
        <v>73.40000000000001</v>
      </c>
      <c r="R994" t="n">
        <v>83</v>
      </c>
      <c r="S994" t="n">
        <v>5400000</v>
      </c>
      <c r="T994" t="n">
        <v>7337</v>
      </c>
      <c r="AH994" t="inlineStr">
        <is>
          <t>Quelle: Idealista</t>
        </is>
      </c>
    </row>
    <row r="995">
      <c r="A995" t="n">
        <v>808</v>
      </c>
      <c r="B995" t="inlineStr">
        <is>
          <t>Casa rural</t>
        </is>
      </c>
      <c r="C995" t="inlineStr">
        <is>
          <t>https://www.idealista.com/inmueble/105152479/</t>
        </is>
      </c>
      <c r="E995" t="n">
        <v>7</v>
      </c>
      <c r="H995" t="n">
        <v>736</v>
      </c>
      <c r="J995" t="inlineStr">
        <is>
          <t>Escorca</t>
        </is>
      </c>
      <c r="K995" t="n">
        <v>57.6</v>
      </c>
      <c r="L995" t="n">
        <v>61</v>
      </c>
      <c r="M995" t="n">
        <v>75.7</v>
      </c>
      <c r="N995" t="n">
        <v>87</v>
      </c>
      <c r="O995" t="n">
        <v>80.2</v>
      </c>
      <c r="P995" t="n">
        <v>77</v>
      </c>
      <c r="Q995" t="n">
        <v>73.40000000000001</v>
      </c>
      <c r="R995" t="n">
        <v>83</v>
      </c>
      <c r="S995" t="n">
        <v>4800000</v>
      </c>
      <c r="T995" t="n">
        <v>6522</v>
      </c>
      <c r="AH995" t="inlineStr">
        <is>
          <t>Quelle: Idealista</t>
        </is>
      </c>
    </row>
    <row r="996">
      <c r="A996" t="n">
        <v>809</v>
      </c>
      <c r="B996" t="inlineStr">
        <is>
          <t>Finca rústica</t>
        </is>
      </c>
      <c r="C996" t="inlineStr">
        <is>
          <t>https://www.idealista.com/inmueble/102810111/</t>
        </is>
      </c>
      <c r="E996" t="n">
        <v>13</v>
      </c>
      <c r="H996" t="n">
        <v>736</v>
      </c>
      <c r="J996" t="inlineStr">
        <is>
          <t>Escorca</t>
        </is>
      </c>
      <c r="K996" t="n">
        <v>57.6</v>
      </c>
      <c r="L996" t="n">
        <v>61</v>
      </c>
      <c r="M996" t="n">
        <v>75.7</v>
      </c>
      <c r="N996" t="n">
        <v>87</v>
      </c>
      <c r="O996" t="n">
        <v>80.2</v>
      </c>
      <c r="P996" t="n">
        <v>77</v>
      </c>
      <c r="Q996" t="n">
        <v>73.40000000000001</v>
      </c>
      <c r="R996" t="n">
        <v>83</v>
      </c>
      <c r="S996" t="n">
        <v>5500000</v>
      </c>
      <c r="T996" t="n">
        <v>7473</v>
      </c>
      <c r="AH996" t="inlineStr">
        <is>
          <t>Quelle: Idealista</t>
        </is>
      </c>
    </row>
    <row r="997">
      <c r="A997" t="n">
        <v>810</v>
      </c>
      <c r="B997" t="inlineStr">
        <is>
          <t>Casa independiente</t>
        </is>
      </c>
      <c r="C997" t="inlineStr">
        <is>
          <t>https://www.idealista.com/inmueble/101945468/</t>
        </is>
      </c>
      <c r="E997" t="n">
        <v>8</v>
      </c>
      <c r="H997" t="n">
        <v>1574</v>
      </c>
      <c r="J997" t="inlineStr">
        <is>
          <t>Escorca</t>
        </is>
      </c>
      <c r="K997" t="n">
        <v>57.6</v>
      </c>
      <c r="L997" t="n">
        <v>61</v>
      </c>
      <c r="M997" t="n">
        <v>75.7</v>
      </c>
      <c r="N997" t="n">
        <v>87</v>
      </c>
      <c r="O997" t="n">
        <v>80.2</v>
      </c>
      <c r="P997" t="n">
        <v>77</v>
      </c>
      <c r="Q997" t="n">
        <v>73.40000000000001</v>
      </c>
      <c r="R997" t="n">
        <v>83</v>
      </c>
      <c r="S997" t="n">
        <v>6500000</v>
      </c>
      <c r="T997" t="n">
        <v>4130</v>
      </c>
      <c r="AH997" t="inlineStr">
        <is>
          <t>Quelle: Idealista</t>
        </is>
      </c>
    </row>
    <row r="998">
      <c r="A998" t="n">
        <v>811</v>
      </c>
      <c r="B998" t="inlineStr">
        <is>
          <t>Casa rural</t>
        </is>
      </c>
      <c r="C998" t="inlineStr">
        <is>
          <t>https://www.idealista.com/inmueble/93414903/</t>
        </is>
      </c>
      <c r="E998" t="n">
        <v>7</v>
      </c>
      <c r="H998" t="n">
        <v>600</v>
      </c>
      <c r="J998" t="inlineStr">
        <is>
          <t>Escorca</t>
        </is>
      </c>
      <c r="K998" t="n">
        <v>57.6</v>
      </c>
      <c r="L998" t="n">
        <v>61</v>
      </c>
      <c r="M998" t="n">
        <v>75.7</v>
      </c>
      <c r="N998" t="n">
        <v>87</v>
      </c>
      <c r="O998" t="n">
        <v>80.2</v>
      </c>
      <c r="P998" t="n">
        <v>77</v>
      </c>
      <c r="Q998" t="n">
        <v>73.40000000000001</v>
      </c>
      <c r="R998" t="n">
        <v>83</v>
      </c>
      <c r="S998" t="n">
        <v>5400000</v>
      </c>
      <c r="T998" t="n">
        <v>9000</v>
      </c>
      <c r="AH998" t="inlineStr">
        <is>
          <t>Quelle: Idealista</t>
        </is>
      </c>
    </row>
    <row r="999">
      <c r="A999" t="n">
        <v>812</v>
      </c>
      <c r="B999" t="inlineStr">
        <is>
          <t>Casa rural</t>
        </is>
      </c>
      <c r="C999" t="inlineStr">
        <is>
          <t>https://www.idealista.com/inmueble/93417651/</t>
        </is>
      </c>
      <c r="E999" t="n">
        <v>11</v>
      </c>
      <c r="H999" t="n">
        <v>1772</v>
      </c>
      <c r="J999" t="inlineStr">
        <is>
          <t>Escorca</t>
        </is>
      </c>
      <c r="K999" t="n">
        <v>57.6</v>
      </c>
      <c r="L999" t="n">
        <v>61</v>
      </c>
      <c r="M999" t="n">
        <v>75.7</v>
      </c>
      <c r="N999" t="n">
        <v>87</v>
      </c>
      <c r="O999" t="n">
        <v>80.2</v>
      </c>
      <c r="P999" t="n">
        <v>77</v>
      </c>
      <c r="Q999" t="n">
        <v>73.40000000000001</v>
      </c>
      <c r="R999" t="n">
        <v>83</v>
      </c>
      <c r="S999" t="n">
        <v>6000000</v>
      </c>
      <c r="T999" t="n">
        <v>3386</v>
      </c>
      <c r="AH999" t="inlineStr">
        <is>
          <t>Quelle: Idealista</t>
        </is>
      </c>
    </row>
    <row r="1000">
      <c r="A1000" t="n">
        <v>813</v>
      </c>
      <c r="B1000" t="inlineStr">
        <is>
          <t>Chalet</t>
        </is>
      </c>
      <c r="C1000" t="inlineStr">
        <is>
          <t>https://www.idealista.com/inmueble/98108474/</t>
        </is>
      </c>
      <c r="E1000" t="n">
        <v>10</v>
      </c>
      <c r="H1000" t="n">
        <v>760</v>
      </c>
      <c r="J1000" t="inlineStr">
        <is>
          <t>Escorca</t>
        </is>
      </c>
      <c r="K1000" t="n">
        <v>57.6</v>
      </c>
      <c r="L1000" t="n">
        <v>61</v>
      </c>
      <c r="M1000" t="n">
        <v>75.7</v>
      </c>
      <c r="N1000" t="n">
        <v>87</v>
      </c>
      <c r="O1000" t="n">
        <v>80.2</v>
      </c>
      <c r="P1000" t="n">
        <v>77</v>
      </c>
      <c r="Q1000" t="n">
        <v>73.40000000000001</v>
      </c>
      <c r="R1000" t="n">
        <v>83</v>
      </c>
      <c r="S1000" t="n">
        <v>5400000</v>
      </c>
      <c r="T1000" t="n">
        <v>7105</v>
      </c>
      <c r="AH1000" t="inlineStr">
        <is>
          <t>Quelle: Idealista</t>
        </is>
      </c>
    </row>
    <row r="1001">
      <c r="A1001" t="n">
        <v>814</v>
      </c>
      <c r="B1001" t="inlineStr">
        <is>
          <t>Chalet</t>
        </is>
      </c>
      <c r="C1001" t="inlineStr">
        <is>
          <t>https://www.idealista.com/inmueble/97960996/</t>
        </is>
      </c>
      <c r="E1001" t="n">
        <v>12</v>
      </c>
      <c r="H1001" t="n">
        <v>1826</v>
      </c>
      <c r="J1001" t="inlineStr">
        <is>
          <t>Escorca</t>
        </is>
      </c>
      <c r="K1001" t="n">
        <v>57.6</v>
      </c>
      <c r="L1001" t="n">
        <v>61</v>
      </c>
      <c r="M1001" t="n">
        <v>75.7</v>
      </c>
      <c r="N1001" t="n">
        <v>87</v>
      </c>
      <c r="O1001" t="n">
        <v>80.2</v>
      </c>
      <c r="P1001" t="n">
        <v>77</v>
      </c>
      <c r="Q1001" t="n">
        <v>73.40000000000001</v>
      </c>
      <c r="R1001" t="n">
        <v>83</v>
      </c>
      <c r="S1001" t="n">
        <v>6000000</v>
      </c>
      <c r="T1001" t="n">
        <v>3286</v>
      </c>
      <c r="AH1001" t="inlineStr">
        <is>
          <t>Quelle: Idealista</t>
        </is>
      </c>
    </row>
    <row r="1002">
      <c r="A1002" t="n">
        <v>815</v>
      </c>
      <c r="B1002" t="inlineStr">
        <is>
          <t>Casa rural</t>
        </is>
      </c>
      <c r="C1002" t="inlineStr">
        <is>
          <t>https://www.idealista.com/inmueble/87394498/</t>
        </is>
      </c>
      <c r="E1002" t="n">
        <v>5</v>
      </c>
      <c r="H1002" t="n">
        <v>855</v>
      </c>
      <c r="J1002" t="inlineStr">
        <is>
          <t>Escorca</t>
        </is>
      </c>
      <c r="K1002" t="n">
        <v>57.6</v>
      </c>
      <c r="L1002" t="n">
        <v>61</v>
      </c>
      <c r="M1002" t="n">
        <v>75.7</v>
      </c>
      <c r="N1002" t="n">
        <v>87</v>
      </c>
      <c r="O1002" t="n">
        <v>80.2</v>
      </c>
      <c r="P1002" t="n">
        <v>77</v>
      </c>
      <c r="Q1002" t="n">
        <v>73.40000000000001</v>
      </c>
      <c r="R1002" t="n">
        <v>83</v>
      </c>
      <c r="S1002" t="n">
        <v>6000000</v>
      </c>
      <c r="T1002" t="n">
        <v>7018</v>
      </c>
      <c r="AH1002" t="inlineStr">
        <is>
          <t>Quelle: Idealista</t>
        </is>
      </c>
    </row>
    <row r="1003">
      <c r="A1003" t="n">
        <v>816</v>
      </c>
      <c r="B1003" t="inlineStr">
        <is>
          <t>Finca rústica</t>
        </is>
      </c>
      <c r="C1003" t="inlineStr">
        <is>
          <t>https://www.idealista.com/inmueble/90928350/</t>
        </is>
      </c>
      <c r="E1003" t="n">
        <v>12</v>
      </c>
      <c r="H1003" t="n">
        <v>1522</v>
      </c>
      <c r="J1003" t="inlineStr">
        <is>
          <t>Escorca</t>
        </is>
      </c>
      <c r="K1003" t="n">
        <v>57.6</v>
      </c>
      <c r="L1003" t="n">
        <v>61</v>
      </c>
      <c r="M1003" t="n">
        <v>75.7</v>
      </c>
      <c r="N1003" t="n">
        <v>87</v>
      </c>
      <c r="O1003" t="n">
        <v>80.2</v>
      </c>
      <c r="P1003" t="n">
        <v>77</v>
      </c>
      <c r="Q1003" t="n">
        <v>73.40000000000001</v>
      </c>
      <c r="R1003" t="n">
        <v>83</v>
      </c>
      <c r="S1003" t="n">
        <v>6000000</v>
      </c>
      <c r="T1003" t="n">
        <v>3942</v>
      </c>
      <c r="AH1003" t="inlineStr">
        <is>
          <t>Quelle: Idealista</t>
        </is>
      </c>
    </row>
    <row r="1004">
      <c r="A1004" t="n">
        <v>817</v>
      </c>
      <c r="B1004" t="inlineStr">
        <is>
          <t>Finca rústica</t>
        </is>
      </c>
      <c r="C1004" t="inlineStr">
        <is>
          <t>https://www.idealista.com/inmueble/110388678/</t>
        </is>
      </c>
      <c r="E1004" t="n">
        <v>6</v>
      </c>
      <c r="H1004" t="n">
        <v>500</v>
      </c>
      <c r="J1004" t="inlineStr">
        <is>
          <t>Esporles</t>
        </is>
      </c>
      <c r="K1004" t="n">
        <v>24.9</v>
      </c>
      <c r="L1004" t="n">
        <v>27</v>
      </c>
      <c r="M1004" t="n">
        <v>67.59999999999999</v>
      </c>
      <c r="N1004" t="n">
        <v>60</v>
      </c>
      <c r="O1004" t="n">
        <v>43.2</v>
      </c>
      <c r="P1004" t="n">
        <v>40</v>
      </c>
      <c r="Q1004" t="n">
        <v>65.3</v>
      </c>
      <c r="R1004" t="n">
        <v>57</v>
      </c>
      <c r="S1004" t="n">
        <v>5500000</v>
      </c>
      <c r="T1004" t="n">
        <v>11000</v>
      </c>
      <c r="AH1004" t="inlineStr">
        <is>
          <t>Quelle: Idealista</t>
        </is>
      </c>
    </row>
    <row r="1005">
      <c r="A1005" t="n">
        <v>818</v>
      </c>
      <c r="B1005" t="inlineStr">
        <is>
          <t>Casa rural</t>
        </is>
      </c>
      <c r="C1005" t="inlineStr">
        <is>
          <t>https://www.idealista.com/inmueble/110151462/</t>
        </is>
      </c>
      <c r="E1005" t="n">
        <v>6</v>
      </c>
      <c r="H1005" t="n">
        <v>313</v>
      </c>
      <c r="J1005" t="inlineStr">
        <is>
          <t>Esporles</t>
        </is>
      </c>
      <c r="K1005" t="n">
        <v>24.9</v>
      </c>
      <c r="L1005" t="n">
        <v>27</v>
      </c>
      <c r="M1005" t="n">
        <v>67.59999999999999</v>
      </c>
      <c r="N1005" t="n">
        <v>60</v>
      </c>
      <c r="O1005" t="n">
        <v>43.2</v>
      </c>
      <c r="P1005" t="n">
        <v>40</v>
      </c>
      <c r="Q1005" t="n">
        <v>65.3</v>
      </c>
      <c r="R1005" t="n">
        <v>57</v>
      </c>
      <c r="S1005" t="n">
        <v>3000000</v>
      </c>
      <c r="T1005" t="n">
        <v>9585</v>
      </c>
      <c r="AH1005" t="inlineStr">
        <is>
          <t>Quelle: Idealista</t>
        </is>
      </c>
    </row>
    <row r="1006">
      <c r="A1006" t="n">
        <v>819</v>
      </c>
      <c r="B1006" t="inlineStr">
        <is>
          <t>Casa independiente</t>
        </is>
      </c>
      <c r="C1006" t="inlineStr">
        <is>
          <t>https://www.idealista.com/inmueble/109856054/</t>
        </is>
      </c>
      <c r="E1006" t="n">
        <v>5</v>
      </c>
      <c r="H1006" t="n">
        <v>451</v>
      </c>
      <c r="J1006" t="inlineStr">
        <is>
          <t>Esporles</t>
        </is>
      </c>
      <c r="K1006" t="n">
        <v>24.9</v>
      </c>
      <c r="L1006" t="n">
        <v>27</v>
      </c>
      <c r="M1006" t="n">
        <v>67.59999999999999</v>
      </c>
      <c r="N1006" t="n">
        <v>60</v>
      </c>
      <c r="O1006" t="n">
        <v>43.2</v>
      </c>
      <c r="P1006" t="n">
        <v>40</v>
      </c>
      <c r="Q1006" t="n">
        <v>65.3</v>
      </c>
      <c r="R1006" t="n">
        <v>57</v>
      </c>
      <c r="S1006" t="n">
        <v>3185000</v>
      </c>
      <c r="T1006" t="n">
        <v>7062</v>
      </c>
      <c r="AH1006" t="inlineStr">
        <is>
          <t>Quelle: Idealista</t>
        </is>
      </c>
    </row>
    <row r="1007">
      <c r="A1007" t="n">
        <v>820</v>
      </c>
      <c r="B1007" t="inlineStr">
        <is>
          <t>Casa independiente</t>
        </is>
      </c>
      <c r="C1007" t="inlineStr">
        <is>
          <t>https://www.idealista.com/inmueble/108386137/</t>
        </is>
      </c>
      <c r="E1007" t="n">
        <v>6</v>
      </c>
      <c r="H1007" t="n">
        <v>641</v>
      </c>
      <c r="J1007" t="inlineStr">
        <is>
          <t>Esporles</t>
        </is>
      </c>
      <c r="K1007" t="n">
        <v>24.9</v>
      </c>
      <c r="L1007" t="n">
        <v>27</v>
      </c>
      <c r="M1007" t="n">
        <v>67.59999999999999</v>
      </c>
      <c r="N1007" t="n">
        <v>60</v>
      </c>
      <c r="O1007" t="n">
        <v>43.2</v>
      </c>
      <c r="P1007" t="n">
        <v>40</v>
      </c>
      <c r="Q1007" t="n">
        <v>65.3</v>
      </c>
      <c r="R1007" t="n">
        <v>57</v>
      </c>
      <c r="S1007" t="n">
        <v>2800000</v>
      </c>
      <c r="T1007" t="n">
        <v>4368</v>
      </c>
      <c r="AH1007" t="inlineStr">
        <is>
          <t>Quelle: Idealista</t>
        </is>
      </c>
    </row>
    <row r="1008">
      <c r="A1008" t="n">
        <v>821</v>
      </c>
      <c r="B1008" t="inlineStr">
        <is>
          <t>Casa rural</t>
        </is>
      </c>
      <c r="C1008" t="inlineStr">
        <is>
          <t>https://www.idealista.com/inmueble/102228768/</t>
        </is>
      </c>
      <c r="E1008" t="n">
        <v>6</v>
      </c>
      <c r="H1008" t="n">
        <v>313</v>
      </c>
      <c r="J1008" t="inlineStr">
        <is>
          <t>Esporles</t>
        </is>
      </c>
      <c r="K1008" t="n">
        <v>24.9</v>
      </c>
      <c r="L1008" t="n">
        <v>27</v>
      </c>
      <c r="M1008" t="n">
        <v>67.59999999999999</v>
      </c>
      <c r="N1008" t="n">
        <v>60</v>
      </c>
      <c r="O1008" t="n">
        <v>43.2</v>
      </c>
      <c r="P1008" t="n">
        <v>40</v>
      </c>
      <c r="Q1008" t="n">
        <v>65.3</v>
      </c>
      <c r="R1008" t="n">
        <v>57</v>
      </c>
      <c r="S1008" t="n">
        <v>3000000</v>
      </c>
      <c r="T1008" t="n">
        <v>9585</v>
      </c>
      <c r="AH1008" t="inlineStr">
        <is>
          <t>Quelle: Idealista</t>
        </is>
      </c>
    </row>
    <row r="1009">
      <c r="A1009" t="n">
        <v>822</v>
      </c>
      <c r="B1009" t="inlineStr">
        <is>
          <t>Masía en Diseminado Pol 3, 427</t>
        </is>
      </c>
      <c r="C1009" t="inlineStr">
        <is>
          <t>https://www.idealista.com/inmueble/104624063/</t>
        </is>
      </c>
      <c r="E1009" t="n">
        <v>7</v>
      </c>
      <c r="H1009" t="n">
        <v>495</v>
      </c>
      <c r="J1009" t="inlineStr">
        <is>
          <t>Esporles</t>
        </is>
      </c>
      <c r="K1009" t="n">
        <v>24.9</v>
      </c>
      <c r="L1009" t="n">
        <v>27</v>
      </c>
      <c r="M1009" t="n">
        <v>67.59999999999999</v>
      </c>
      <c r="N1009" t="n">
        <v>60</v>
      </c>
      <c r="O1009" t="n">
        <v>43.2</v>
      </c>
      <c r="P1009" t="n">
        <v>40</v>
      </c>
      <c r="Q1009" t="n">
        <v>65.3</v>
      </c>
      <c r="R1009" t="n">
        <v>57</v>
      </c>
      <c r="S1009" t="n">
        <v>6500000</v>
      </c>
      <c r="T1009" t="n">
        <v>13131</v>
      </c>
      <c r="AH1009" t="inlineStr">
        <is>
          <t>Quelle: Idealista</t>
        </is>
      </c>
    </row>
    <row r="1010">
      <c r="A1010" t="n">
        <v>823</v>
      </c>
      <c r="B1010" t="inlineStr">
        <is>
          <t>Casa rural</t>
        </is>
      </c>
      <c r="C1010" t="inlineStr">
        <is>
          <t>https://www.idealista.com/inmueble/104113593/</t>
        </is>
      </c>
      <c r="E1010" t="n">
        <v>6</v>
      </c>
      <c r="H1010" t="n">
        <v>322</v>
      </c>
      <c r="J1010" t="inlineStr">
        <is>
          <t>Esporles</t>
        </is>
      </c>
      <c r="K1010" t="n">
        <v>24.9</v>
      </c>
      <c r="L1010" t="n">
        <v>27</v>
      </c>
      <c r="M1010" t="n">
        <v>67.59999999999999</v>
      </c>
      <c r="N1010" t="n">
        <v>60</v>
      </c>
      <c r="O1010" t="n">
        <v>43.2</v>
      </c>
      <c r="P1010" t="n">
        <v>40</v>
      </c>
      <c r="Q1010" t="n">
        <v>65.3</v>
      </c>
      <c r="R1010" t="n">
        <v>57</v>
      </c>
      <c r="S1010" t="n">
        <v>3000000</v>
      </c>
      <c r="T1010" t="n">
        <v>9317</v>
      </c>
      <c r="AH1010" t="inlineStr">
        <is>
          <t>Quelle: Idealista</t>
        </is>
      </c>
    </row>
    <row r="1011">
      <c r="A1011" t="n">
        <v>824</v>
      </c>
      <c r="B1011" t="inlineStr">
        <is>
          <t>Casa independiente</t>
        </is>
      </c>
      <c r="C1011" t="inlineStr">
        <is>
          <t>https://www.idealista.com/inmueble/109642854/</t>
        </is>
      </c>
      <c r="E1011" t="n">
        <v>8</v>
      </c>
      <c r="H1011" t="n">
        <v>511</v>
      </c>
      <c r="J1011" t="inlineStr">
        <is>
          <t>Estellencs</t>
        </is>
      </c>
      <c r="K1011" t="n">
        <v>42.7</v>
      </c>
      <c r="L1011" t="n">
        <v>58</v>
      </c>
      <c r="M1011" t="n">
        <v>85.5</v>
      </c>
      <c r="N1011" t="n">
        <v>91</v>
      </c>
      <c r="O1011" t="n">
        <v>19.9</v>
      </c>
      <c r="P1011" t="n">
        <v>32</v>
      </c>
      <c r="Q1011" t="n">
        <v>83.2</v>
      </c>
      <c r="R1011" t="n">
        <v>87</v>
      </c>
      <c r="S1011" t="n">
        <v>2600000</v>
      </c>
      <c r="T1011" t="n">
        <v>5088</v>
      </c>
      <c r="AH1011" t="inlineStr">
        <is>
          <t>Quelle: Idealista</t>
        </is>
      </c>
    </row>
    <row r="1012">
      <c r="A1012" t="n">
        <v>825</v>
      </c>
      <c r="B1012" t="inlineStr">
        <is>
          <t>Casa independiente</t>
        </is>
      </c>
      <c r="C1012" t="inlineStr">
        <is>
          <t>https://www.idealista.com/inmueble/107287846/</t>
        </is>
      </c>
      <c r="E1012" t="n">
        <v>7</v>
      </c>
      <c r="H1012" t="n">
        <v>484</v>
      </c>
      <c r="J1012" t="inlineStr">
        <is>
          <t>Estellencs</t>
        </is>
      </c>
      <c r="K1012" t="n">
        <v>42.7</v>
      </c>
      <c r="L1012" t="n">
        <v>58</v>
      </c>
      <c r="M1012" t="n">
        <v>85.5</v>
      </c>
      <c r="N1012" t="n">
        <v>91</v>
      </c>
      <c r="O1012" t="n">
        <v>19.9</v>
      </c>
      <c r="P1012" t="n">
        <v>32</v>
      </c>
      <c r="Q1012" t="n">
        <v>83.2</v>
      </c>
      <c r="R1012" t="n">
        <v>87</v>
      </c>
      <c r="S1012" t="n">
        <v>3500000</v>
      </c>
      <c r="T1012" t="n">
        <v>7231</v>
      </c>
      <c r="AH1012" t="inlineStr">
        <is>
          <t>Quelle: Idealista</t>
        </is>
      </c>
    </row>
    <row r="1013">
      <c r="A1013" t="n">
        <v>826</v>
      </c>
      <c r="B1013" t="inlineStr">
        <is>
          <t>Finca rústica</t>
        </is>
      </c>
      <c r="C1013" t="inlineStr">
        <is>
          <t>https://www.idealista.com/inmueble/107031319/</t>
        </is>
      </c>
      <c r="E1013" t="n">
        <v>8</v>
      </c>
      <c r="H1013" t="n">
        <v>511</v>
      </c>
      <c r="J1013" t="inlineStr">
        <is>
          <t>Estellencs</t>
        </is>
      </c>
      <c r="K1013" t="n">
        <v>42.7</v>
      </c>
      <c r="L1013" t="n">
        <v>58</v>
      </c>
      <c r="M1013" t="n">
        <v>85.5</v>
      </c>
      <c r="N1013" t="n">
        <v>91</v>
      </c>
      <c r="O1013" t="n">
        <v>19.9</v>
      </c>
      <c r="P1013" t="n">
        <v>32</v>
      </c>
      <c r="Q1013" t="n">
        <v>83.2</v>
      </c>
      <c r="R1013" t="n">
        <v>87</v>
      </c>
      <c r="S1013" t="n">
        <v>2600000</v>
      </c>
      <c r="T1013" t="n">
        <v>5088</v>
      </c>
      <c r="AH1013" t="inlineStr">
        <is>
          <t>Quelle: Idealista</t>
        </is>
      </c>
    </row>
    <row r="1014">
      <c r="A1014" t="n">
        <v>827</v>
      </c>
      <c r="B1014" t="inlineStr">
        <is>
          <t>Casa independiente</t>
        </is>
      </c>
      <c r="C1014" t="inlineStr">
        <is>
          <t>https://www.idealista.com/inmueble/105696164/</t>
        </is>
      </c>
      <c r="E1014" t="n">
        <v>7</v>
      </c>
      <c r="H1014" t="n">
        <v>2460</v>
      </c>
      <c r="J1014" t="inlineStr">
        <is>
          <t>Estellencs</t>
        </is>
      </c>
      <c r="K1014" t="n">
        <v>42.7</v>
      </c>
      <c r="L1014" t="n">
        <v>58</v>
      </c>
      <c r="M1014" t="n">
        <v>85.5</v>
      </c>
      <c r="N1014" t="n">
        <v>91</v>
      </c>
      <c r="O1014" t="n">
        <v>19.9</v>
      </c>
      <c r="P1014" t="n">
        <v>32</v>
      </c>
      <c r="Q1014" t="n">
        <v>83.2</v>
      </c>
      <c r="R1014" t="n">
        <v>87</v>
      </c>
      <c r="S1014" t="n">
        <v>3500000</v>
      </c>
      <c r="T1014" t="n">
        <v>1423</v>
      </c>
      <c r="AH1014" t="inlineStr">
        <is>
          <t>Quelle: Idealista</t>
        </is>
      </c>
    </row>
    <row r="1015">
      <c r="A1015" t="n">
        <v>828</v>
      </c>
      <c r="B1015" t="inlineStr">
        <is>
          <t>Casa independiente</t>
        </is>
      </c>
      <c r="C1015" t="inlineStr">
        <is>
          <t>https://www.idealista.com/inmueble/105599755/</t>
        </is>
      </c>
      <c r="E1015" t="n">
        <v>8</v>
      </c>
      <c r="H1015" t="n">
        <v>511</v>
      </c>
      <c r="J1015" t="inlineStr">
        <is>
          <t>Estellencs</t>
        </is>
      </c>
      <c r="K1015" t="n">
        <v>42.7</v>
      </c>
      <c r="L1015" t="n">
        <v>58</v>
      </c>
      <c r="M1015" t="n">
        <v>85.5</v>
      </c>
      <c r="N1015" t="n">
        <v>91</v>
      </c>
      <c r="O1015" t="n">
        <v>19.9</v>
      </c>
      <c r="P1015" t="n">
        <v>32</v>
      </c>
      <c r="Q1015" t="n">
        <v>83.2</v>
      </c>
      <c r="R1015" t="n">
        <v>87</v>
      </c>
      <c r="S1015" t="n">
        <v>2500000</v>
      </c>
      <c r="T1015" t="n">
        <v>4892</v>
      </c>
      <c r="AH1015" t="inlineStr">
        <is>
          <t>Quelle: Idealista</t>
        </is>
      </c>
    </row>
    <row r="1016">
      <c r="A1016" t="n">
        <v>829</v>
      </c>
      <c r="B1016" t="inlineStr">
        <is>
          <t>Casa de pueblo</t>
        </is>
      </c>
      <c r="C1016" t="inlineStr">
        <is>
          <t>https://www.idealista.com/inmueble/105992851/</t>
        </is>
      </c>
      <c r="E1016" t="n">
        <v>8</v>
      </c>
      <c r="H1016" t="n">
        <v>511</v>
      </c>
      <c r="J1016" t="inlineStr">
        <is>
          <t>Estellencs</t>
        </is>
      </c>
      <c r="K1016" t="n">
        <v>42.7</v>
      </c>
      <c r="L1016" t="n">
        <v>58</v>
      </c>
      <c r="M1016" t="n">
        <v>85.5</v>
      </c>
      <c r="N1016" t="n">
        <v>91</v>
      </c>
      <c r="O1016" t="n">
        <v>19.9</v>
      </c>
      <c r="P1016" t="n">
        <v>32</v>
      </c>
      <c r="Q1016" t="n">
        <v>83.2</v>
      </c>
      <c r="R1016" t="n">
        <v>87</v>
      </c>
      <c r="S1016" t="n">
        <v>2600000</v>
      </c>
      <c r="T1016" t="n">
        <v>5088</v>
      </c>
      <c r="AH1016" t="inlineStr">
        <is>
          <t>Quelle: Idealista</t>
        </is>
      </c>
    </row>
    <row r="1017">
      <c r="A1017" t="n">
        <v>830</v>
      </c>
      <c r="B1017" t="inlineStr">
        <is>
          <t>Casa rural</t>
        </is>
      </c>
      <c r="C1017" t="inlineStr">
        <is>
          <t>https://www.idealista.com/inmueble/100517987/</t>
        </is>
      </c>
      <c r="E1017" t="n">
        <v>7</v>
      </c>
      <c r="H1017" t="n">
        <v>550</v>
      </c>
      <c r="J1017" t="inlineStr">
        <is>
          <t>Estellencs</t>
        </is>
      </c>
      <c r="K1017" t="n">
        <v>42.7</v>
      </c>
      <c r="L1017" t="n">
        <v>58</v>
      </c>
      <c r="M1017" t="n">
        <v>85.5</v>
      </c>
      <c r="N1017" t="n">
        <v>91</v>
      </c>
      <c r="O1017" t="n">
        <v>19.9</v>
      </c>
      <c r="P1017" t="n">
        <v>32</v>
      </c>
      <c r="Q1017" t="n">
        <v>83.2</v>
      </c>
      <c r="R1017" t="n">
        <v>87</v>
      </c>
      <c r="S1017" t="n">
        <v>3500000</v>
      </c>
      <c r="T1017" t="n">
        <v>6364</v>
      </c>
      <c r="AH1017" t="inlineStr">
        <is>
          <t>Quelle: Idealista</t>
        </is>
      </c>
    </row>
    <row r="1018">
      <c r="A1018" t="n">
        <v>831</v>
      </c>
      <c r="B1018" t="inlineStr">
        <is>
          <t>Casa independiente</t>
        </is>
      </c>
      <c r="C1018" t="inlineStr">
        <is>
          <t>https://www.idealista.com/inmueble/95756470/</t>
        </is>
      </c>
      <c r="E1018" t="n">
        <v>7</v>
      </c>
      <c r="H1018" t="n">
        <v>643</v>
      </c>
      <c r="J1018" t="inlineStr">
        <is>
          <t>Estellencs</t>
        </is>
      </c>
      <c r="K1018" t="n">
        <v>42.7</v>
      </c>
      <c r="L1018" t="n">
        <v>58</v>
      </c>
      <c r="M1018" t="n">
        <v>85.5</v>
      </c>
      <c r="N1018" t="n">
        <v>91</v>
      </c>
      <c r="O1018" t="n">
        <v>19.9</v>
      </c>
      <c r="P1018" t="n">
        <v>32</v>
      </c>
      <c r="Q1018" t="n">
        <v>83.2</v>
      </c>
      <c r="R1018" t="n">
        <v>87</v>
      </c>
      <c r="S1018" t="n">
        <v>3500000</v>
      </c>
      <c r="T1018" t="n">
        <v>5443</v>
      </c>
      <c r="AH1018" t="inlineStr">
        <is>
          <t>Quelle: Idealista</t>
        </is>
      </c>
    </row>
    <row r="1019">
      <c r="A1019" t="n">
        <v>832</v>
      </c>
      <c r="B1019" t="inlineStr">
        <is>
          <t>Finca rústica</t>
        </is>
      </c>
      <c r="C1019" t="inlineStr">
        <is>
          <t>https://www.idealista.com/inmueble/109616919/</t>
        </is>
      </c>
      <c r="E1019" t="n">
        <v>5</v>
      </c>
      <c r="H1019" t="n">
        <v>595</v>
      </c>
      <c r="J1019" t="inlineStr">
        <is>
          <t>S'Horta - Cas Concos des Cavaller, Felanitx</t>
        </is>
      </c>
      <c r="K1019" t="n">
        <v>43.4</v>
      </c>
      <c r="L1019" t="n">
        <v>42</v>
      </c>
      <c r="M1019" t="n">
        <v>14.6</v>
      </c>
      <c r="N1019" t="n">
        <v>21</v>
      </c>
      <c r="O1019" t="n">
        <v>81.59999999999999</v>
      </c>
      <c r="P1019" t="n">
        <v>69</v>
      </c>
      <c r="Q1019" t="n">
        <v>15.9</v>
      </c>
      <c r="R1019" t="n">
        <v>25</v>
      </c>
      <c r="S1019" t="n">
        <v>4500000</v>
      </c>
      <c r="T1019" t="n">
        <v>7563</v>
      </c>
      <c r="AH1019" t="inlineStr">
        <is>
          <t>Quelle: Idealista</t>
        </is>
      </c>
    </row>
    <row r="1020">
      <c r="A1020" t="n">
        <v>833</v>
      </c>
      <c r="B1020" t="inlineStr">
        <is>
          <t>Casa independiente</t>
        </is>
      </c>
      <c r="C1020" t="inlineStr">
        <is>
          <t>https://www.idealista.com/inmueble/110290089/</t>
        </is>
      </c>
      <c r="E1020" t="n">
        <v>5</v>
      </c>
      <c r="H1020" t="n">
        <v>663</v>
      </c>
      <c r="J1020" t="inlineStr">
        <is>
          <t>Felanitx centro, Felanitx</t>
        </is>
      </c>
      <c r="K1020" t="n">
        <v>45</v>
      </c>
      <c r="L1020" t="n">
        <v>40</v>
      </c>
      <c r="M1020" t="n">
        <v>26.8</v>
      </c>
      <c r="N1020" t="n">
        <v>30</v>
      </c>
      <c r="O1020" t="n">
        <v>83.2</v>
      </c>
      <c r="P1020" t="n">
        <v>68</v>
      </c>
      <c r="Q1020" t="n">
        <v>24.5</v>
      </c>
      <c r="R1020" t="n">
        <v>26</v>
      </c>
      <c r="S1020" t="n">
        <v>3999000</v>
      </c>
      <c r="T1020" t="n">
        <v>6032</v>
      </c>
      <c r="AH1020" t="inlineStr">
        <is>
          <t>Quelle: Idealista</t>
        </is>
      </c>
    </row>
    <row r="1021">
      <c r="A1021" t="n">
        <v>834</v>
      </c>
      <c r="B1021" t="inlineStr">
        <is>
          <t>Casa independiente en volta 3 s/n</t>
        </is>
      </c>
      <c r="C1021" t="inlineStr">
        <is>
          <t>https://www.idealista.com/inmueble/110204764/</t>
        </is>
      </c>
      <c r="E1021" t="n">
        <v>7</v>
      </c>
      <c r="H1021" t="n">
        <v>250</v>
      </c>
      <c r="J1021" t="inlineStr">
        <is>
          <t>Felanitx centro, Felanitx</t>
        </is>
      </c>
      <c r="K1021" t="n">
        <v>45</v>
      </c>
      <c r="L1021" t="n">
        <v>40</v>
      </c>
      <c r="M1021" t="n">
        <v>26.8</v>
      </c>
      <c r="N1021" t="n">
        <v>30</v>
      </c>
      <c r="O1021" t="n">
        <v>83.2</v>
      </c>
      <c r="P1021" t="n">
        <v>68</v>
      </c>
      <c r="Q1021" t="n">
        <v>24.5</v>
      </c>
      <c r="R1021" t="n">
        <v>26</v>
      </c>
      <c r="S1021" t="n">
        <v>3250000</v>
      </c>
      <c r="T1021" t="n">
        <v>13000</v>
      </c>
      <c r="AH1021" t="inlineStr">
        <is>
          <t>Quelle: Idealista</t>
        </is>
      </c>
    </row>
    <row r="1022">
      <c r="A1022" t="n">
        <v>835</v>
      </c>
      <c r="B1022" t="inlineStr">
        <is>
          <t>Casa rural</t>
        </is>
      </c>
      <c r="C1022" t="inlineStr">
        <is>
          <t>https://www.idealista.com/inmueble/110179511/</t>
        </is>
      </c>
      <c r="E1022" t="n">
        <v>7</v>
      </c>
      <c r="H1022" t="n">
        <v>350</v>
      </c>
      <c r="J1022" t="inlineStr">
        <is>
          <t>Felanitx centro, Felanitx</t>
        </is>
      </c>
      <c r="K1022" t="n">
        <v>45</v>
      </c>
      <c r="L1022" t="n">
        <v>40</v>
      </c>
      <c r="M1022" t="n">
        <v>26.8</v>
      </c>
      <c r="N1022" t="n">
        <v>30</v>
      </c>
      <c r="O1022" t="n">
        <v>83.2</v>
      </c>
      <c r="P1022" t="n">
        <v>68</v>
      </c>
      <c r="Q1022" t="n">
        <v>24.5</v>
      </c>
      <c r="R1022" t="n">
        <v>26</v>
      </c>
      <c r="S1022" t="n">
        <v>3250000</v>
      </c>
      <c r="T1022" t="n">
        <v>9286</v>
      </c>
      <c r="AH1022" t="inlineStr">
        <is>
          <t>Quelle: Idealista</t>
        </is>
      </c>
    </row>
    <row r="1023">
      <c r="A1023" t="n">
        <v>836</v>
      </c>
      <c r="B1023" t="inlineStr">
        <is>
          <t>Casa independiente</t>
        </is>
      </c>
      <c r="C1023" t="inlineStr">
        <is>
          <t>https://www.idealista.com/inmueble/105574383/</t>
        </is>
      </c>
      <c r="E1023" t="n">
        <v>5</v>
      </c>
      <c r="H1023" t="n">
        <v>374</v>
      </c>
      <c r="J1023" t="inlineStr">
        <is>
          <t>Felanitx centro, Felanitx</t>
        </is>
      </c>
      <c r="K1023" t="n">
        <v>45</v>
      </c>
      <c r="L1023" t="n">
        <v>40</v>
      </c>
      <c r="M1023" t="n">
        <v>26.8</v>
      </c>
      <c r="N1023" t="n">
        <v>30</v>
      </c>
      <c r="O1023" t="n">
        <v>83.2</v>
      </c>
      <c r="P1023" t="n">
        <v>68</v>
      </c>
      <c r="Q1023" t="n">
        <v>24.5</v>
      </c>
      <c r="R1023" t="n">
        <v>26</v>
      </c>
      <c r="S1023" t="n">
        <v>2390000</v>
      </c>
      <c r="T1023" t="n">
        <v>6390</v>
      </c>
      <c r="AH1023" t="inlineStr">
        <is>
          <t>Quelle: Idealista</t>
        </is>
      </c>
    </row>
    <row r="1024">
      <c r="A1024" t="n">
        <v>837</v>
      </c>
      <c r="B1024" t="inlineStr">
        <is>
          <t>Finca rústica en Parcela 512</t>
        </is>
      </c>
      <c r="C1024" t="inlineStr">
        <is>
          <t>https://www.idealista.com/inmueble/110114053/</t>
        </is>
      </c>
      <c r="E1024" t="n">
        <v>5</v>
      </c>
      <c r="H1024" t="n">
        <v>595</v>
      </c>
      <c r="J1024" t="inlineStr">
        <is>
          <t>Felanitx centro, Felanitx</t>
        </is>
      </c>
      <c r="K1024" t="n">
        <v>45</v>
      </c>
      <c r="L1024" t="n">
        <v>40</v>
      </c>
      <c r="M1024" t="n">
        <v>26.8</v>
      </c>
      <c r="N1024" t="n">
        <v>30</v>
      </c>
      <c r="O1024" t="n">
        <v>83.2</v>
      </c>
      <c r="P1024" t="n">
        <v>68</v>
      </c>
      <c r="Q1024" t="n">
        <v>24.5</v>
      </c>
      <c r="R1024" t="n">
        <v>26</v>
      </c>
      <c r="S1024" t="n">
        <v>4500000</v>
      </c>
      <c r="T1024" t="n">
        <v>7563</v>
      </c>
      <c r="AH1024" t="inlineStr">
        <is>
          <t>Quelle: Idealista</t>
        </is>
      </c>
    </row>
    <row r="1025">
      <c r="A1025" t="n">
        <v>838</v>
      </c>
      <c r="B1025" t="inlineStr">
        <is>
          <t>Finca rústica</t>
        </is>
      </c>
      <c r="C1025" t="inlineStr">
        <is>
          <t>https://www.idealista.com/inmueble/110071177/</t>
        </is>
      </c>
      <c r="E1025" t="n">
        <v>7</v>
      </c>
      <c r="H1025" t="n">
        <v>680</v>
      </c>
      <c r="J1025" t="inlineStr">
        <is>
          <t>Felanitx centro, Felanitx</t>
        </is>
      </c>
      <c r="K1025" t="n">
        <v>45</v>
      </c>
      <c r="L1025" t="n">
        <v>40</v>
      </c>
      <c r="M1025" t="n">
        <v>26.8</v>
      </c>
      <c r="N1025" t="n">
        <v>30</v>
      </c>
      <c r="O1025" t="n">
        <v>83.2</v>
      </c>
      <c r="P1025" t="n">
        <v>68</v>
      </c>
      <c r="Q1025" t="n">
        <v>24.5</v>
      </c>
      <c r="R1025" t="n">
        <v>26</v>
      </c>
      <c r="S1025" t="n">
        <v>3250000</v>
      </c>
      <c r="T1025" t="n">
        <v>4779</v>
      </c>
      <c r="AH1025" t="inlineStr">
        <is>
          <t>Quelle: Idealista</t>
        </is>
      </c>
    </row>
    <row r="1026">
      <c r="A1026" t="n">
        <v>839</v>
      </c>
      <c r="B1026" t="inlineStr">
        <is>
          <t>Finca rústica en via Sense Nom</t>
        </is>
      </c>
      <c r="C1026" t="inlineStr">
        <is>
          <t>https://www.idealista.com/inmueble/110060940/</t>
        </is>
      </c>
      <c r="E1026" t="n">
        <v>5</v>
      </c>
      <c r="H1026" t="n">
        <v>716</v>
      </c>
      <c r="J1026" t="inlineStr">
        <is>
          <t>Felanitx centro, Felanitx</t>
        </is>
      </c>
      <c r="K1026" t="n">
        <v>45</v>
      </c>
      <c r="L1026" t="n">
        <v>40</v>
      </c>
      <c r="M1026" t="n">
        <v>26.8</v>
      </c>
      <c r="N1026" t="n">
        <v>30</v>
      </c>
      <c r="O1026" t="n">
        <v>83.2</v>
      </c>
      <c r="P1026" t="n">
        <v>68</v>
      </c>
      <c r="Q1026" t="n">
        <v>24.5</v>
      </c>
      <c r="R1026" t="n">
        <v>26</v>
      </c>
      <c r="S1026" t="n">
        <v>3100000</v>
      </c>
      <c r="T1026" t="n">
        <v>4330</v>
      </c>
      <c r="AH1026" t="inlineStr">
        <is>
          <t>Quelle: Idealista</t>
        </is>
      </c>
    </row>
    <row r="1027">
      <c r="A1027" t="n">
        <v>840</v>
      </c>
      <c r="B1027" t="inlineStr">
        <is>
          <t>Finca rústica</t>
        </is>
      </c>
      <c r="C1027" t="inlineStr">
        <is>
          <t>https://www.idealista.com/inmueble/110035932/</t>
        </is>
      </c>
      <c r="E1027" t="n">
        <v>6</v>
      </c>
      <c r="H1027" t="n">
        <v>1158</v>
      </c>
      <c r="J1027" t="inlineStr">
        <is>
          <t>S'Horta - Cas Concos des Cavaller, Felanitx</t>
        </is>
      </c>
      <c r="K1027" t="n">
        <v>43.4</v>
      </c>
      <c r="L1027" t="n">
        <v>42</v>
      </c>
      <c r="M1027" t="n">
        <v>14.6</v>
      </c>
      <c r="N1027" t="n">
        <v>21</v>
      </c>
      <c r="O1027" t="n">
        <v>81.59999999999999</v>
      </c>
      <c r="P1027" t="n">
        <v>69</v>
      </c>
      <c r="Q1027" t="n">
        <v>15.9</v>
      </c>
      <c r="R1027" t="n">
        <v>25</v>
      </c>
      <c r="S1027" t="n">
        <v>5650000</v>
      </c>
      <c r="T1027" t="n">
        <v>4879</v>
      </c>
      <c r="AH1027" t="inlineStr">
        <is>
          <t>Quelle: Idealista</t>
        </is>
      </c>
    </row>
    <row r="1028">
      <c r="A1028" t="n">
        <v>841</v>
      </c>
      <c r="B1028" t="inlineStr">
        <is>
          <t>Finca rústica</t>
        </is>
      </c>
      <c r="C1028" t="inlineStr">
        <is>
          <t>https://www.idealista.com/inmueble/110016573/</t>
        </is>
      </c>
      <c r="E1028" t="n">
        <v>5</v>
      </c>
      <c r="H1028" t="n">
        <v>716</v>
      </c>
      <c r="J1028" t="inlineStr">
        <is>
          <t>Felanitx centro, Felanitx</t>
        </is>
      </c>
      <c r="K1028" t="n">
        <v>45</v>
      </c>
      <c r="L1028" t="n">
        <v>40</v>
      </c>
      <c r="M1028" t="n">
        <v>26.8</v>
      </c>
      <c r="N1028" t="n">
        <v>30</v>
      </c>
      <c r="O1028" t="n">
        <v>83.2</v>
      </c>
      <c r="P1028" t="n">
        <v>68</v>
      </c>
      <c r="Q1028" t="n">
        <v>24.5</v>
      </c>
      <c r="R1028" t="n">
        <v>26</v>
      </c>
      <c r="S1028" t="n">
        <v>3100000</v>
      </c>
      <c r="T1028" t="n">
        <v>4330</v>
      </c>
      <c r="AH1028" t="inlineStr">
        <is>
          <t>Quelle: Idealista</t>
        </is>
      </c>
    </row>
    <row r="1029">
      <c r="A1029" t="n">
        <v>842</v>
      </c>
      <c r="B1029" t="inlineStr">
        <is>
          <t>Casa independiente</t>
        </is>
      </c>
      <c r="C1029" t="inlineStr">
        <is>
          <t>https://www.idealista.com/inmueble/110013113/</t>
        </is>
      </c>
      <c r="E1029" t="n">
        <v>5</v>
      </c>
      <c r="H1029" t="n">
        <v>240</v>
      </c>
      <c r="J1029" t="inlineStr">
        <is>
          <t>Cala Ferrera - Cala Serena, Felanitx</t>
        </is>
      </c>
      <c r="K1029" t="n">
        <v>58.4</v>
      </c>
      <c r="L1029" t="n">
        <v>56</v>
      </c>
      <c r="M1029" t="n">
        <v>21.9</v>
      </c>
      <c r="N1029" t="n">
        <v>32</v>
      </c>
      <c r="O1029" t="n">
        <v>96.59999999999999</v>
      </c>
      <c r="P1029" t="n">
        <v>84</v>
      </c>
      <c r="Q1029" t="n">
        <v>23.3</v>
      </c>
      <c r="R1029" t="n">
        <v>34</v>
      </c>
      <c r="S1029" t="n">
        <v>2000000</v>
      </c>
      <c r="T1029" t="n">
        <v>8333</v>
      </c>
      <c r="AH1029" t="inlineStr">
        <is>
          <t>Quelle: Idealista</t>
        </is>
      </c>
    </row>
    <row r="1030">
      <c r="A1030" t="n">
        <v>843</v>
      </c>
      <c r="B1030" t="inlineStr">
        <is>
          <t>Chalet en calle de Santanyí</t>
        </is>
      </c>
      <c r="C1030" t="inlineStr">
        <is>
          <t>https://www.idealista.com/inmueble/109964454/</t>
        </is>
      </c>
      <c r="E1030" t="n">
        <v>6</v>
      </c>
      <c r="H1030" t="n">
        <v>450</v>
      </c>
      <c r="J1030" t="inlineStr">
        <is>
          <t>Felanitx centro, Felanitx</t>
        </is>
      </c>
      <c r="K1030" t="n">
        <v>45</v>
      </c>
      <c r="L1030" t="n">
        <v>40</v>
      </c>
      <c r="M1030" t="n">
        <v>26.8</v>
      </c>
      <c r="N1030" t="n">
        <v>30</v>
      </c>
      <c r="O1030" t="n">
        <v>83.2</v>
      </c>
      <c r="P1030" t="n">
        <v>68</v>
      </c>
      <c r="Q1030" t="n">
        <v>24.5</v>
      </c>
      <c r="R1030" t="n">
        <v>26</v>
      </c>
      <c r="S1030" t="n">
        <v>5650000</v>
      </c>
      <c r="T1030" t="n">
        <v>12556</v>
      </c>
      <c r="AH1030" t="inlineStr">
        <is>
          <t>Quelle: Idealista</t>
        </is>
      </c>
    </row>
    <row r="1031">
      <c r="A1031" t="n">
        <v>844</v>
      </c>
      <c r="B1031" t="inlineStr">
        <is>
          <t>Casa independiente</t>
        </is>
      </c>
      <c r="C1031" t="inlineStr">
        <is>
          <t>https://www.idealista.com/inmueble/109910251/</t>
        </is>
      </c>
      <c r="E1031" t="n">
        <v>5</v>
      </c>
      <c r="H1031" t="n">
        <v>360</v>
      </c>
      <c r="J1031" t="inlineStr">
        <is>
          <t>Portocolom, Felanitx</t>
        </is>
      </c>
      <c r="K1031" t="n">
        <v>58.9</v>
      </c>
      <c r="L1031" t="n">
        <v>53</v>
      </c>
      <c r="M1031" t="n">
        <v>24.7</v>
      </c>
      <c r="N1031" t="n">
        <v>34</v>
      </c>
      <c r="O1031" t="n">
        <v>97.09999999999999</v>
      </c>
      <c r="P1031" t="n">
        <v>80</v>
      </c>
      <c r="Q1031" t="n">
        <v>26.2</v>
      </c>
      <c r="R1031" t="n">
        <v>36</v>
      </c>
      <c r="S1031" t="n">
        <v>4400000</v>
      </c>
      <c r="T1031" t="n">
        <v>12222</v>
      </c>
      <c r="AH1031" t="inlineStr">
        <is>
          <t>Quelle: Idealista</t>
        </is>
      </c>
    </row>
    <row r="1032">
      <c r="A1032" t="n">
        <v>845</v>
      </c>
      <c r="B1032" t="inlineStr">
        <is>
          <t>Casa rural</t>
        </is>
      </c>
      <c r="C1032" t="inlineStr">
        <is>
          <t>https://www.idealista.com/inmueble/109554431/</t>
        </is>
      </c>
      <c r="E1032" t="n">
        <v>7</v>
      </c>
      <c r="H1032" t="n">
        <v>350</v>
      </c>
      <c r="J1032" t="inlineStr">
        <is>
          <t>Felanitx centro, Felanitx</t>
        </is>
      </c>
      <c r="K1032" t="n">
        <v>45</v>
      </c>
      <c r="L1032" t="n">
        <v>40</v>
      </c>
      <c r="M1032" t="n">
        <v>26.8</v>
      </c>
      <c r="N1032" t="n">
        <v>30</v>
      </c>
      <c r="O1032" t="n">
        <v>83.2</v>
      </c>
      <c r="P1032" t="n">
        <v>68</v>
      </c>
      <c r="Q1032" t="n">
        <v>24.5</v>
      </c>
      <c r="R1032" t="n">
        <v>26</v>
      </c>
      <c r="S1032" t="n">
        <v>3250000</v>
      </c>
      <c r="T1032" t="n">
        <v>9286</v>
      </c>
      <c r="AH1032" t="inlineStr">
        <is>
          <t>Quelle: Idealista</t>
        </is>
      </c>
    </row>
    <row r="1033">
      <c r="A1033" t="n">
        <v>846</v>
      </c>
      <c r="B1033" t="inlineStr">
        <is>
          <t>Casa independiente en Diseminado Sexta Volta, 6311</t>
        </is>
      </c>
      <c r="C1033" t="inlineStr">
        <is>
          <t>https://www.idealista.com/inmueble/109526846/</t>
        </is>
      </c>
      <c r="E1033" t="n">
        <v>5</v>
      </c>
      <c r="H1033" t="n">
        <v>505</v>
      </c>
      <c r="J1033" t="inlineStr">
        <is>
          <t>Portocolom, Felanitx</t>
        </is>
      </c>
      <c r="K1033" t="n">
        <v>58.9</v>
      </c>
      <c r="L1033" t="n">
        <v>53</v>
      </c>
      <c r="M1033" t="n">
        <v>24.7</v>
      </c>
      <c r="N1033" t="n">
        <v>34</v>
      </c>
      <c r="O1033" t="n">
        <v>97.09999999999999</v>
      </c>
      <c r="P1033" t="n">
        <v>80</v>
      </c>
      <c r="Q1033" t="n">
        <v>26.2</v>
      </c>
      <c r="R1033" t="n">
        <v>36</v>
      </c>
      <c r="S1033" t="n">
        <v>3950000</v>
      </c>
      <c r="T1033" t="n">
        <v>7822</v>
      </c>
      <c r="AH1033" t="inlineStr">
        <is>
          <t>Quelle: Idealista</t>
        </is>
      </c>
    </row>
    <row r="1034">
      <c r="A1034" t="n">
        <v>847</v>
      </c>
      <c r="B1034" t="inlineStr">
        <is>
          <t>Finca rústica en via Sense Nom</t>
        </is>
      </c>
      <c r="C1034" t="inlineStr">
        <is>
          <t>https://www.idealista.com/inmueble/109504576/</t>
        </is>
      </c>
      <c r="E1034" t="n">
        <v>5</v>
      </c>
      <c r="H1034" t="n">
        <v>630</v>
      </c>
      <c r="J1034" t="inlineStr">
        <is>
          <t>Felanitx centro, Felanitx</t>
        </is>
      </c>
      <c r="K1034" t="n">
        <v>45</v>
      </c>
      <c r="L1034" t="n">
        <v>40</v>
      </c>
      <c r="M1034" t="n">
        <v>26.8</v>
      </c>
      <c r="N1034" t="n">
        <v>30</v>
      </c>
      <c r="O1034" t="n">
        <v>83.2</v>
      </c>
      <c r="P1034" t="n">
        <v>68</v>
      </c>
      <c r="Q1034" t="n">
        <v>24.5</v>
      </c>
      <c r="R1034" t="n">
        <v>26</v>
      </c>
      <c r="S1034" t="n">
        <v>3500000</v>
      </c>
      <c r="T1034" t="n">
        <v>5556</v>
      </c>
      <c r="AH1034" t="inlineStr">
        <is>
          <t>Quelle: Idealista</t>
        </is>
      </c>
    </row>
    <row r="1035">
      <c r="A1035" t="n">
        <v>848</v>
      </c>
      <c r="B1035" t="inlineStr">
        <is>
          <t>Chalet en Lugar Volta 5</t>
        </is>
      </c>
      <c r="C1035" t="inlineStr">
        <is>
          <t>https://www.idealista.com/inmueble/109431551/</t>
        </is>
      </c>
      <c r="E1035" t="n">
        <v>5</v>
      </c>
      <c r="H1035" t="n">
        <v>453</v>
      </c>
      <c r="J1035" t="inlineStr">
        <is>
          <t>S'Horta - Cas Concos des Cavaller, Felanitx</t>
        </is>
      </c>
      <c r="K1035" t="n">
        <v>43.4</v>
      </c>
      <c r="L1035" t="n">
        <v>42</v>
      </c>
      <c r="M1035" t="n">
        <v>14.6</v>
      </c>
      <c r="N1035" t="n">
        <v>21</v>
      </c>
      <c r="O1035" t="n">
        <v>81.59999999999999</v>
      </c>
      <c r="P1035" t="n">
        <v>69</v>
      </c>
      <c r="Q1035" t="n">
        <v>15.9</v>
      </c>
      <c r="R1035" t="n">
        <v>25</v>
      </c>
      <c r="S1035" t="n">
        <v>4750000</v>
      </c>
      <c r="T1035" t="n">
        <v>10486</v>
      </c>
      <c r="AH1035" t="inlineStr">
        <is>
          <t>Quelle: Idealista</t>
        </is>
      </c>
    </row>
    <row r="1036">
      <c r="A1036" t="n">
        <v>849</v>
      </c>
      <c r="B1036" t="inlineStr">
        <is>
          <t>Finca rústica</t>
        </is>
      </c>
      <c r="C1036" t="inlineStr">
        <is>
          <t>https://www.idealista.com/inmueble/109393236/</t>
        </is>
      </c>
      <c r="E1036" t="n">
        <v>5</v>
      </c>
      <c r="H1036" t="n">
        <v>499</v>
      </c>
      <c r="J1036" t="inlineStr">
        <is>
          <t>Portocolom, Felanitx</t>
        </is>
      </c>
      <c r="K1036" t="n">
        <v>58.9</v>
      </c>
      <c r="L1036" t="n">
        <v>53</v>
      </c>
      <c r="M1036" t="n">
        <v>24.7</v>
      </c>
      <c r="N1036" t="n">
        <v>34</v>
      </c>
      <c r="O1036" t="n">
        <v>97.09999999999999</v>
      </c>
      <c r="P1036" t="n">
        <v>80</v>
      </c>
      <c r="Q1036" t="n">
        <v>26.2</v>
      </c>
      <c r="R1036" t="n">
        <v>36</v>
      </c>
      <c r="S1036" t="n">
        <v>3950000</v>
      </c>
      <c r="T1036" t="n">
        <v>7916</v>
      </c>
      <c r="AH1036" t="inlineStr">
        <is>
          <t>Quelle: Idealista</t>
        </is>
      </c>
    </row>
    <row r="1037">
      <c r="A1037" t="n">
        <v>850</v>
      </c>
      <c r="B1037" t="inlineStr">
        <is>
          <t>Casa rural</t>
        </is>
      </c>
      <c r="C1037" t="inlineStr">
        <is>
          <t>https://www.idealista.com/inmueble/109377634/</t>
        </is>
      </c>
      <c r="E1037" t="n">
        <v>5</v>
      </c>
      <c r="H1037" t="n">
        <v>595</v>
      </c>
      <c r="J1037" t="inlineStr">
        <is>
          <t>S'Horta - Cas Concos des Cavaller, Felanitx</t>
        </is>
      </c>
      <c r="K1037" t="n">
        <v>43.4</v>
      </c>
      <c r="L1037" t="n">
        <v>42</v>
      </c>
      <c r="M1037" t="n">
        <v>14.6</v>
      </c>
      <c r="N1037" t="n">
        <v>21</v>
      </c>
      <c r="O1037" t="n">
        <v>81.59999999999999</v>
      </c>
      <c r="P1037" t="n">
        <v>69</v>
      </c>
      <c r="Q1037" t="n">
        <v>15.9</v>
      </c>
      <c r="R1037" t="n">
        <v>25</v>
      </c>
      <c r="S1037" t="n">
        <v>4500000</v>
      </c>
      <c r="T1037" t="n">
        <v>7563</v>
      </c>
      <c r="AH1037" t="inlineStr">
        <is>
          <t>Quelle: Idealista</t>
        </is>
      </c>
    </row>
    <row r="1038">
      <c r="A1038" t="n">
        <v>851</v>
      </c>
      <c r="B1038" t="inlineStr">
        <is>
          <t>Casa independiente</t>
        </is>
      </c>
      <c r="C1038" t="inlineStr">
        <is>
          <t>https://www.idealista.com/inmueble/109334384/</t>
        </is>
      </c>
      <c r="E1038" t="n">
        <v>6</v>
      </c>
      <c r="H1038" t="n">
        <v>602</v>
      </c>
      <c r="J1038" t="inlineStr">
        <is>
          <t>Felanitx centro, Felanitx</t>
        </is>
      </c>
      <c r="K1038" t="n">
        <v>45</v>
      </c>
      <c r="L1038" t="n">
        <v>40</v>
      </c>
      <c r="M1038" t="n">
        <v>26.8</v>
      </c>
      <c r="N1038" t="n">
        <v>30</v>
      </c>
      <c r="O1038" t="n">
        <v>83.2</v>
      </c>
      <c r="P1038" t="n">
        <v>68</v>
      </c>
      <c r="Q1038" t="n">
        <v>24.5</v>
      </c>
      <c r="R1038" t="n">
        <v>26</v>
      </c>
      <c r="S1038" t="n">
        <v>3700000</v>
      </c>
      <c r="T1038" t="n">
        <v>6146</v>
      </c>
      <c r="AH1038" t="inlineStr">
        <is>
          <t>Quelle: Idealista</t>
        </is>
      </c>
    </row>
    <row r="1039">
      <c r="A1039" t="n">
        <v>852</v>
      </c>
      <c r="B1039" t="inlineStr">
        <is>
          <t>Casa independiente</t>
        </is>
      </c>
      <c r="C1039" t="inlineStr">
        <is>
          <t>https://www.idealista.com/inmueble/109262748/</t>
        </is>
      </c>
      <c r="E1039" t="n">
        <v>7</v>
      </c>
      <c r="H1039" t="n">
        <v>427</v>
      </c>
      <c r="J1039" t="inlineStr">
        <is>
          <t>Portocolom, Felanitx</t>
        </is>
      </c>
      <c r="K1039" t="n">
        <v>58.9</v>
      </c>
      <c r="L1039" t="n">
        <v>53</v>
      </c>
      <c r="M1039" t="n">
        <v>24.7</v>
      </c>
      <c r="N1039" t="n">
        <v>34</v>
      </c>
      <c r="O1039" t="n">
        <v>97.09999999999999</v>
      </c>
      <c r="P1039" t="n">
        <v>80</v>
      </c>
      <c r="Q1039" t="n">
        <v>26.2</v>
      </c>
      <c r="R1039" t="n">
        <v>36</v>
      </c>
      <c r="S1039" t="n">
        <v>3200000</v>
      </c>
      <c r="T1039" t="n">
        <v>7494</v>
      </c>
      <c r="AH1039" t="inlineStr">
        <is>
          <t>Quelle: Idealista</t>
        </is>
      </c>
    </row>
    <row r="1040">
      <c r="A1040" t="n">
        <v>853</v>
      </c>
      <c r="B1040" t="inlineStr">
        <is>
          <t>Casa independiente en Cr Far Pc, 23</t>
        </is>
      </c>
      <c r="C1040" t="inlineStr">
        <is>
          <t>https://www.idealista.com/inmueble/109253068/</t>
        </is>
      </c>
      <c r="E1040" t="n">
        <v>8</v>
      </c>
      <c r="H1040" t="n">
        <v>275</v>
      </c>
      <c r="J1040" t="inlineStr">
        <is>
          <t>Portocolom, Felanitx</t>
        </is>
      </c>
      <c r="K1040" t="n">
        <v>58.9</v>
      </c>
      <c r="L1040" t="n">
        <v>53</v>
      </c>
      <c r="M1040" t="n">
        <v>24.7</v>
      </c>
      <c r="N1040" t="n">
        <v>34</v>
      </c>
      <c r="O1040" t="n">
        <v>97.09999999999999</v>
      </c>
      <c r="P1040" t="n">
        <v>80</v>
      </c>
      <c r="Q1040" t="n">
        <v>26.2</v>
      </c>
      <c r="R1040" t="n">
        <v>36</v>
      </c>
      <c r="S1040" t="n">
        <v>3400000</v>
      </c>
      <c r="T1040" t="n">
        <v>12364</v>
      </c>
      <c r="AH1040" t="inlineStr">
        <is>
          <t>Quelle: Idealista</t>
        </is>
      </c>
    </row>
    <row r="1041">
      <c r="A1041" t="n">
        <v>854</v>
      </c>
      <c r="B1041" t="inlineStr">
        <is>
          <t>Finca rústica</t>
        </is>
      </c>
      <c r="C1041" t="inlineStr">
        <is>
          <t>https://www.idealista.com/inmueble/109250818/</t>
        </is>
      </c>
      <c r="E1041" t="n">
        <v>5</v>
      </c>
      <c r="H1041" t="n">
        <v>498</v>
      </c>
      <c r="J1041" t="inlineStr">
        <is>
          <t>Felanitx centro, Felanitx</t>
        </is>
      </c>
      <c r="K1041" t="n">
        <v>45</v>
      </c>
      <c r="L1041" t="n">
        <v>40</v>
      </c>
      <c r="M1041" t="n">
        <v>26.8</v>
      </c>
      <c r="N1041" t="n">
        <v>30</v>
      </c>
      <c r="O1041" t="n">
        <v>83.2</v>
      </c>
      <c r="P1041" t="n">
        <v>68</v>
      </c>
      <c r="Q1041" t="n">
        <v>24.5</v>
      </c>
      <c r="R1041" t="n">
        <v>26</v>
      </c>
      <c r="S1041" t="n">
        <v>3500000</v>
      </c>
      <c r="T1041" t="n">
        <v>7028</v>
      </c>
      <c r="AH1041" t="inlineStr">
        <is>
          <t>Quelle: Idealista</t>
        </is>
      </c>
    </row>
    <row r="1042">
      <c r="A1042" t="n">
        <v>855</v>
      </c>
      <c r="B1042" t="inlineStr">
        <is>
          <t>Masía</t>
        </is>
      </c>
      <c r="C1042" t="inlineStr">
        <is>
          <t>https://www.idealista.com/inmueble/109147670/</t>
        </is>
      </c>
      <c r="E1042" t="n">
        <v>7</v>
      </c>
      <c r="H1042" t="n">
        <v>450</v>
      </c>
      <c r="J1042" t="inlineStr">
        <is>
          <t>Portocolom, Felanitx</t>
        </is>
      </c>
      <c r="K1042" t="n">
        <v>58.9</v>
      </c>
      <c r="L1042" t="n">
        <v>53</v>
      </c>
      <c r="M1042" t="n">
        <v>24.7</v>
      </c>
      <c r="N1042" t="n">
        <v>34</v>
      </c>
      <c r="O1042" t="n">
        <v>97.09999999999999</v>
      </c>
      <c r="P1042" t="n">
        <v>80</v>
      </c>
      <c r="Q1042" t="n">
        <v>26.2</v>
      </c>
      <c r="R1042" t="n">
        <v>36</v>
      </c>
      <c r="S1042" t="n">
        <v>5400000</v>
      </c>
      <c r="T1042" t="n">
        <v>12000</v>
      </c>
      <c r="AH1042" t="inlineStr">
        <is>
          <t>Quelle: Idealista</t>
        </is>
      </c>
    </row>
    <row r="1043">
      <c r="A1043" t="n">
        <v>856</v>
      </c>
      <c r="B1043" t="inlineStr">
        <is>
          <t>Casa independiente en camino de cala sa Nau</t>
        </is>
      </c>
      <c r="C1043" t="inlineStr">
        <is>
          <t>https://www.idealista.com/inmueble/108146963/</t>
        </is>
      </c>
      <c r="E1043" t="n">
        <v>7</v>
      </c>
      <c r="H1043" t="n">
        <v>485</v>
      </c>
      <c r="J1043" t="inlineStr">
        <is>
          <t>Cala Ferrera - Cala Serena, Felanitx</t>
        </is>
      </c>
      <c r="K1043" t="n">
        <v>58.4</v>
      </c>
      <c r="L1043" t="n">
        <v>56</v>
      </c>
      <c r="M1043" t="n">
        <v>21.9</v>
      </c>
      <c r="N1043" t="n">
        <v>32</v>
      </c>
      <c r="O1043" t="n">
        <v>96.59999999999999</v>
      </c>
      <c r="P1043" t="n">
        <v>84</v>
      </c>
      <c r="Q1043" t="n">
        <v>23.3</v>
      </c>
      <c r="R1043" t="n">
        <v>34</v>
      </c>
      <c r="S1043" t="n">
        <v>6500000</v>
      </c>
      <c r="T1043" t="n">
        <v>13402</v>
      </c>
      <c r="AH1043" t="inlineStr">
        <is>
          <t>Quelle: Idealista</t>
        </is>
      </c>
    </row>
    <row r="1044">
      <c r="A1044" t="n">
        <v>857</v>
      </c>
      <c r="B1044" t="inlineStr">
        <is>
          <t>Finca rústica</t>
        </is>
      </c>
      <c r="C1044" t="inlineStr">
        <is>
          <t>https://www.idealista.com/inmueble/108826339/</t>
        </is>
      </c>
      <c r="E1044" t="n">
        <v>6</v>
      </c>
      <c r="H1044" t="n">
        <v>520</v>
      </c>
      <c r="J1044" t="inlineStr">
        <is>
          <t>Portocolom, Felanitx</t>
        </is>
      </c>
      <c r="K1044" t="n">
        <v>58.9</v>
      </c>
      <c r="L1044" t="n">
        <v>53</v>
      </c>
      <c r="M1044" t="n">
        <v>24.7</v>
      </c>
      <c r="N1044" t="n">
        <v>34</v>
      </c>
      <c r="O1044" t="n">
        <v>97.09999999999999</v>
      </c>
      <c r="P1044" t="n">
        <v>80</v>
      </c>
      <c r="Q1044" t="n">
        <v>26.2</v>
      </c>
      <c r="R1044" t="n">
        <v>36</v>
      </c>
      <c r="S1044" t="n">
        <v>5400000</v>
      </c>
      <c r="T1044" t="n">
        <v>10385</v>
      </c>
      <c r="AH1044" t="inlineStr">
        <is>
          <t>Quelle: Idealista</t>
        </is>
      </c>
    </row>
    <row r="1045">
      <c r="A1045" t="n">
        <v>858</v>
      </c>
      <c r="B1045" t="inlineStr">
        <is>
          <t>Casa rural en Diseminado Sexta Volta</t>
        </is>
      </c>
      <c r="C1045" t="inlineStr">
        <is>
          <t>https://www.idealista.com/inmueble/105032882/</t>
        </is>
      </c>
      <c r="E1045" t="n">
        <v>7</v>
      </c>
      <c r="H1045" t="n">
        <v>420</v>
      </c>
      <c r="J1045" t="inlineStr">
        <is>
          <t>S'Horta - Cas Concos des Cavaller, Felanitx</t>
        </is>
      </c>
      <c r="K1045" t="n">
        <v>43.4</v>
      </c>
      <c r="L1045" t="n">
        <v>42</v>
      </c>
      <c r="M1045" t="n">
        <v>14.6</v>
      </c>
      <c r="N1045" t="n">
        <v>21</v>
      </c>
      <c r="O1045" t="n">
        <v>81.59999999999999</v>
      </c>
      <c r="P1045" t="n">
        <v>69</v>
      </c>
      <c r="Q1045" t="n">
        <v>15.9</v>
      </c>
      <c r="R1045" t="n">
        <v>25</v>
      </c>
      <c r="S1045" t="n">
        <v>2080000</v>
      </c>
      <c r="T1045" t="n">
        <v>4952</v>
      </c>
      <c r="AH1045" t="inlineStr">
        <is>
          <t>Quelle: Idealista</t>
        </is>
      </c>
    </row>
    <row r="1046">
      <c r="A1046" t="n">
        <v>859</v>
      </c>
      <c r="B1046" t="inlineStr">
        <is>
          <t>Casa rural en Diseminado Sexta Volta</t>
        </is>
      </c>
      <c r="C1046" t="inlineStr">
        <is>
          <t>https://www.idealista.com/inmueble/105118883/</t>
        </is>
      </c>
      <c r="E1046" t="n">
        <v>6</v>
      </c>
      <c r="H1046" t="n">
        <v>800</v>
      </c>
      <c r="J1046" t="inlineStr">
        <is>
          <t>Portocolom, Felanitx</t>
        </is>
      </c>
      <c r="K1046" t="n">
        <v>58.9</v>
      </c>
      <c r="L1046" t="n">
        <v>53</v>
      </c>
      <c r="M1046" t="n">
        <v>24.7</v>
      </c>
      <c r="N1046" t="n">
        <v>34</v>
      </c>
      <c r="O1046" t="n">
        <v>97.09999999999999</v>
      </c>
      <c r="P1046" t="n">
        <v>80</v>
      </c>
      <c r="Q1046" t="n">
        <v>26.2</v>
      </c>
      <c r="R1046" t="n">
        <v>36</v>
      </c>
      <c r="S1046" t="n">
        <v>3500000</v>
      </c>
      <c r="T1046" t="n">
        <v>4375</v>
      </c>
      <c r="AH1046" t="inlineStr">
        <is>
          <t>Quelle: Idealista</t>
        </is>
      </c>
    </row>
    <row r="1047">
      <c r="A1047" t="n">
        <v>860</v>
      </c>
      <c r="B1047" t="inlineStr">
        <is>
          <t>Casa independiente</t>
        </is>
      </c>
      <c r="C1047" t="inlineStr">
        <is>
          <t>https://www.idealista.com/inmueble/108705874/</t>
        </is>
      </c>
      <c r="E1047" t="n">
        <v>6</v>
      </c>
      <c r="H1047" t="n">
        <v>1096</v>
      </c>
      <c r="J1047" t="inlineStr">
        <is>
          <t>Felanitx centro, Felanitx</t>
        </is>
      </c>
      <c r="K1047" t="n">
        <v>45</v>
      </c>
      <c r="L1047" t="n">
        <v>40</v>
      </c>
      <c r="M1047" t="n">
        <v>26.8</v>
      </c>
      <c r="N1047" t="n">
        <v>30</v>
      </c>
      <c r="O1047" t="n">
        <v>83.2</v>
      </c>
      <c r="P1047" t="n">
        <v>68</v>
      </c>
      <c r="Q1047" t="n">
        <v>24.5</v>
      </c>
      <c r="R1047" t="n">
        <v>26</v>
      </c>
      <c r="S1047" t="n">
        <v>5650000</v>
      </c>
      <c r="T1047" t="n">
        <v>5155</v>
      </c>
      <c r="AH1047" t="inlineStr">
        <is>
          <t>Quelle: Idealista</t>
        </is>
      </c>
    </row>
    <row r="1048">
      <c r="A1048" t="n">
        <v>861</v>
      </c>
      <c r="B1048" t="inlineStr">
        <is>
          <t>Casa independiente</t>
        </is>
      </c>
      <c r="C1048" t="inlineStr">
        <is>
          <t>https://www.idealista.com/inmueble/108687248/</t>
        </is>
      </c>
      <c r="E1048" t="n">
        <v>16</v>
      </c>
      <c r="H1048" t="n">
        <v>1100</v>
      </c>
      <c r="J1048" t="inlineStr">
        <is>
          <t>Cala Ferrera - Cala Serena, Felanitx</t>
        </is>
      </c>
      <c r="K1048" t="n">
        <v>58.4</v>
      </c>
      <c r="L1048" t="n">
        <v>56</v>
      </c>
      <c r="M1048" t="n">
        <v>21.9</v>
      </c>
      <c r="N1048" t="n">
        <v>32</v>
      </c>
      <c r="O1048" t="n">
        <v>96.59999999999999</v>
      </c>
      <c r="P1048" t="n">
        <v>84</v>
      </c>
      <c r="Q1048" t="n">
        <v>23.3</v>
      </c>
      <c r="R1048" t="n">
        <v>34</v>
      </c>
      <c r="S1048" t="n">
        <v>2500000</v>
      </c>
      <c r="T1048" t="n">
        <v>2273</v>
      </c>
      <c r="AH1048" t="inlineStr">
        <is>
          <t>Quelle: Idealista</t>
        </is>
      </c>
    </row>
    <row r="1049">
      <c r="A1049" t="n">
        <v>862</v>
      </c>
      <c r="B1049" t="inlineStr">
        <is>
          <t>Finca rústica en Cas Concos</t>
        </is>
      </c>
      <c r="C1049" t="inlineStr">
        <is>
          <t>https://www.idealista.com/inmueble/108685265/</t>
        </is>
      </c>
      <c r="E1049" t="n">
        <v>6</v>
      </c>
      <c r="H1049" t="n">
        <v>1158</v>
      </c>
      <c r="J1049" t="inlineStr">
        <is>
          <t>S'Horta - Cas Concos des Cavaller, Felanitx</t>
        </is>
      </c>
      <c r="K1049" t="n">
        <v>43.4</v>
      </c>
      <c r="L1049" t="n">
        <v>42</v>
      </c>
      <c r="M1049" t="n">
        <v>14.6</v>
      </c>
      <c r="N1049" t="n">
        <v>21</v>
      </c>
      <c r="O1049" t="n">
        <v>81.59999999999999</v>
      </c>
      <c r="P1049" t="n">
        <v>69</v>
      </c>
      <c r="Q1049" t="n">
        <v>15.9</v>
      </c>
      <c r="R1049" t="n">
        <v>25</v>
      </c>
      <c r="S1049" t="n">
        <v>5650000</v>
      </c>
      <c r="T1049" t="n">
        <v>4879</v>
      </c>
      <c r="AH1049" t="inlineStr">
        <is>
          <t>Quelle: Idealista</t>
        </is>
      </c>
    </row>
    <row r="1050">
      <c r="A1050" t="n">
        <v>863</v>
      </c>
      <c r="B1050" t="inlineStr">
        <is>
          <t>Finca rústica</t>
        </is>
      </c>
      <c r="C1050" t="inlineStr">
        <is>
          <t>https://www.idealista.com/inmueble/108425779/</t>
        </is>
      </c>
      <c r="E1050" t="n">
        <v>7</v>
      </c>
      <c r="H1050" t="n">
        <v>1081</v>
      </c>
      <c r="J1050" t="inlineStr">
        <is>
          <t>S'Horta - Cas Concos des Cavaller, Felanitx</t>
        </is>
      </c>
      <c r="K1050" t="n">
        <v>43.4</v>
      </c>
      <c r="L1050" t="n">
        <v>42</v>
      </c>
      <c r="M1050" t="n">
        <v>14.6</v>
      </c>
      <c r="N1050" t="n">
        <v>21</v>
      </c>
      <c r="O1050" t="n">
        <v>81.59999999999999</v>
      </c>
      <c r="P1050" t="n">
        <v>69</v>
      </c>
      <c r="Q1050" t="n">
        <v>15.9</v>
      </c>
      <c r="R1050" t="n">
        <v>25</v>
      </c>
      <c r="S1050" t="n">
        <v>6500000</v>
      </c>
      <c r="T1050" t="n">
        <v>6013</v>
      </c>
      <c r="AH1050" t="inlineStr">
        <is>
          <t>Quelle: Idealista</t>
        </is>
      </c>
    </row>
    <row r="1051">
      <c r="A1051" t="n">
        <v>864</v>
      </c>
      <c r="B1051" t="inlineStr">
        <is>
          <t>Finca rústica</t>
        </is>
      </c>
      <c r="C1051" t="inlineStr">
        <is>
          <t>https://www.idealista.com/inmueble/107871077/</t>
        </is>
      </c>
      <c r="E1051" t="n">
        <v>16</v>
      </c>
      <c r="H1051" t="n">
        <v>33841</v>
      </c>
      <c r="J1051" t="inlineStr">
        <is>
          <t>Felanitx centro, Felanitx</t>
        </is>
      </c>
      <c r="K1051" t="n">
        <v>45</v>
      </c>
      <c r="L1051" t="n">
        <v>40</v>
      </c>
      <c r="M1051" t="n">
        <v>26.8</v>
      </c>
      <c r="N1051" t="n">
        <v>30</v>
      </c>
      <c r="O1051" t="n">
        <v>83.2</v>
      </c>
      <c r="P1051" t="n">
        <v>68</v>
      </c>
      <c r="Q1051" t="n">
        <v>24.5</v>
      </c>
      <c r="R1051" t="n">
        <v>26</v>
      </c>
      <c r="S1051" t="n">
        <v>3710000</v>
      </c>
      <c r="T1051" t="n">
        <v>110</v>
      </c>
      <c r="AH1051" t="inlineStr">
        <is>
          <t>Quelle: Idealista</t>
        </is>
      </c>
    </row>
    <row r="1052">
      <c r="A1052" t="n">
        <v>865</v>
      </c>
      <c r="B1052" t="inlineStr">
        <is>
          <t>Finca rústica en calle Alou</t>
        </is>
      </c>
      <c r="C1052" t="inlineStr">
        <is>
          <t>https://www.idealista.com/inmueble/108172109/</t>
        </is>
      </c>
      <c r="E1052" t="n">
        <v>6</v>
      </c>
      <c r="H1052" t="n">
        <v>480</v>
      </c>
      <c r="J1052" t="inlineStr">
        <is>
          <t>Felanitx centro, Felanitx</t>
        </is>
      </c>
      <c r="K1052" t="n">
        <v>45</v>
      </c>
      <c r="L1052" t="n">
        <v>40</v>
      </c>
      <c r="M1052" t="n">
        <v>26.8</v>
      </c>
      <c r="N1052" t="n">
        <v>30</v>
      </c>
      <c r="O1052" t="n">
        <v>83.2</v>
      </c>
      <c r="P1052" t="n">
        <v>68</v>
      </c>
      <c r="Q1052" t="n">
        <v>24.5</v>
      </c>
      <c r="R1052" t="n">
        <v>26</v>
      </c>
      <c r="S1052" t="n">
        <v>3950000</v>
      </c>
      <c r="T1052" t="n">
        <v>8229</v>
      </c>
      <c r="AH1052" t="inlineStr">
        <is>
          <t>Quelle: Idealista</t>
        </is>
      </c>
    </row>
    <row r="1053">
      <c r="A1053" t="n">
        <v>866</v>
      </c>
      <c r="B1053" t="inlineStr">
        <is>
          <t>Finca rústica en via Sense Nom</t>
        </is>
      </c>
      <c r="C1053" t="inlineStr">
        <is>
          <t>https://www.idealista.com/inmueble/105974118/</t>
        </is>
      </c>
      <c r="E1053" t="n">
        <v>6</v>
      </c>
      <c r="H1053" t="n">
        <v>1158</v>
      </c>
      <c r="J1053" t="inlineStr">
        <is>
          <t>S'Horta - Cas Concos des Cavaller, Felanitx</t>
        </is>
      </c>
      <c r="K1053" t="n">
        <v>43.4</v>
      </c>
      <c r="L1053" t="n">
        <v>42</v>
      </c>
      <c r="M1053" t="n">
        <v>14.6</v>
      </c>
      <c r="N1053" t="n">
        <v>21</v>
      </c>
      <c r="O1053" t="n">
        <v>81.59999999999999</v>
      </c>
      <c r="P1053" t="n">
        <v>69</v>
      </c>
      <c r="Q1053" t="n">
        <v>15.9</v>
      </c>
      <c r="R1053" t="n">
        <v>25</v>
      </c>
      <c r="S1053" t="n">
        <v>5650000</v>
      </c>
      <c r="T1053" t="n">
        <v>4879</v>
      </c>
      <c r="AH1053" t="inlineStr">
        <is>
          <t>Quelle: Idealista</t>
        </is>
      </c>
    </row>
    <row r="1054">
      <c r="A1054" t="n">
        <v>867</v>
      </c>
      <c r="B1054" t="inlineStr">
        <is>
          <t>Finca rústica</t>
        </is>
      </c>
      <c r="C1054" t="inlineStr">
        <is>
          <t>https://www.idealista.com/inmueble/107865887/</t>
        </is>
      </c>
      <c r="E1054" t="n">
        <v>5</v>
      </c>
      <c r="H1054" t="n">
        <v>536</v>
      </c>
      <c r="J1054" t="inlineStr">
        <is>
          <t>Felanitx centro, Felanitx</t>
        </is>
      </c>
      <c r="K1054" t="n">
        <v>45</v>
      </c>
      <c r="L1054" t="n">
        <v>40</v>
      </c>
      <c r="M1054" t="n">
        <v>26.8</v>
      </c>
      <c r="N1054" t="n">
        <v>30</v>
      </c>
      <c r="O1054" t="n">
        <v>83.2</v>
      </c>
      <c r="P1054" t="n">
        <v>68</v>
      </c>
      <c r="Q1054" t="n">
        <v>24.5</v>
      </c>
      <c r="R1054" t="n">
        <v>26</v>
      </c>
      <c r="S1054" t="n">
        <v>2360000</v>
      </c>
      <c r="T1054" t="n">
        <v>4403</v>
      </c>
      <c r="AH1054" t="inlineStr">
        <is>
          <t>Quelle: Idealista</t>
        </is>
      </c>
    </row>
    <row r="1055">
      <c r="A1055" t="n">
        <v>868</v>
      </c>
      <c r="B1055" t="inlineStr">
        <is>
          <t>Casa independiente</t>
        </is>
      </c>
      <c r="C1055" t="inlineStr">
        <is>
          <t>https://www.idealista.com/inmueble/107728637/</t>
        </is>
      </c>
      <c r="E1055" t="n">
        <v>7</v>
      </c>
      <c r="H1055" t="n">
        <v>631</v>
      </c>
      <c r="J1055" t="inlineStr">
        <is>
          <t>Portocolom, Felanitx</t>
        </is>
      </c>
      <c r="K1055" t="n">
        <v>58.9</v>
      </c>
      <c r="L1055" t="n">
        <v>53</v>
      </c>
      <c r="M1055" t="n">
        <v>24.7</v>
      </c>
      <c r="N1055" t="n">
        <v>34</v>
      </c>
      <c r="O1055" t="n">
        <v>97.09999999999999</v>
      </c>
      <c r="P1055" t="n">
        <v>80</v>
      </c>
      <c r="Q1055" t="n">
        <v>26.2</v>
      </c>
      <c r="R1055" t="n">
        <v>36</v>
      </c>
      <c r="S1055" t="n">
        <v>3200000</v>
      </c>
      <c r="T1055" t="n">
        <v>5071</v>
      </c>
      <c r="AH1055" t="inlineStr">
        <is>
          <t>Quelle: Idealista</t>
        </is>
      </c>
    </row>
    <row r="1056">
      <c r="A1056" t="n">
        <v>869</v>
      </c>
      <c r="B1056" t="inlineStr">
        <is>
          <t>Finca rústica en calle de Magallanes</t>
        </is>
      </c>
      <c r="C1056" t="inlineStr">
        <is>
          <t>https://www.idealista.com/inmueble/107315390/</t>
        </is>
      </c>
      <c r="E1056" t="n">
        <v>6</v>
      </c>
      <c r="H1056" t="n">
        <v>520</v>
      </c>
      <c r="J1056" t="inlineStr">
        <is>
          <t>Portocolom, Felanitx</t>
        </is>
      </c>
      <c r="K1056" t="n">
        <v>58.9</v>
      </c>
      <c r="L1056" t="n">
        <v>53</v>
      </c>
      <c r="M1056" t="n">
        <v>24.7</v>
      </c>
      <c r="N1056" t="n">
        <v>34</v>
      </c>
      <c r="O1056" t="n">
        <v>97.09999999999999</v>
      </c>
      <c r="P1056" t="n">
        <v>80</v>
      </c>
      <c r="Q1056" t="n">
        <v>26.2</v>
      </c>
      <c r="R1056" t="n">
        <v>36</v>
      </c>
      <c r="S1056" t="n">
        <v>5400000</v>
      </c>
      <c r="T1056" t="n">
        <v>10385</v>
      </c>
      <c r="AH1056" t="inlineStr">
        <is>
          <t>Quelle: Idealista</t>
        </is>
      </c>
    </row>
    <row r="1057">
      <c r="A1057" t="n">
        <v>870</v>
      </c>
      <c r="B1057" t="inlineStr">
        <is>
          <t>Casa independiente</t>
        </is>
      </c>
      <c r="C1057" t="inlineStr">
        <is>
          <t>https://www.idealista.com/inmueble/107568585/</t>
        </is>
      </c>
      <c r="E1057" t="n">
        <v>5</v>
      </c>
      <c r="H1057" t="n">
        <v>663</v>
      </c>
      <c r="J1057" t="inlineStr">
        <is>
          <t>S'Horta - Cas Concos des Cavaller, Felanitx</t>
        </is>
      </c>
      <c r="K1057" t="n">
        <v>43.4</v>
      </c>
      <c r="L1057" t="n">
        <v>42</v>
      </c>
      <c r="M1057" t="n">
        <v>14.6</v>
      </c>
      <c r="N1057" t="n">
        <v>21</v>
      </c>
      <c r="O1057" t="n">
        <v>81.59999999999999</v>
      </c>
      <c r="P1057" t="n">
        <v>69</v>
      </c>
      <c r="Q1057" t="n">
        <v>15.9</v>
      </c>
      <c r="R1057" t="n">
        <v>25</v>
      </c>
      <c r="S1057" t="n">
        <v>3999000</v>
      </c>
      <c r="T1057" t="n">
        <v>6032</v>
      </c>
      <c r="AH1057" t="inlineStr">
        <is>
          <t>Quelle: Idealista</t>
        </is>
      </c>
    </row>
    <row r="1058">
      <c r="A1058" t="n">
        <v>871</v>
      </c>
      <c r="B1058" t="inlineStr">
        <is>
          <t>Finca rústica</t>
        </is>
      </c>
      <c r="C1058" t="inlineStr">
        <is>
          <t>https://www.idealista.com/inmueble/107567934/</t>
        </is>
      </c>
      <c r="E1058" t="n">
        <v>6</v>
      </c>
      <c r="H1058" t="n">
        <v>1158</v>
      </c>
      <c r="J1058" t="inlineStr">
        <is>
          <t>S'Horta - Cas Concos des Cavaller, Felanitx</t>
        </is>
      </c>
      <c r="K1058" t="n">
        <v>43.4</v>
      </c>
      <c r="L1058" t="n">
        <v>42</v>
      </c>
      <c r="M1058" t="n">
        <v>14.6</v>
      </c>
      <c r="N1058" t="n">
        <v>21</v>
      </c>
      <c r="O1058" t="n">
        <v>81.59999999999999</v>
      </c>
      <c r="P1058" t="n">
        <v>69</v>
      </c>
      <c r="Q1058" t="n">
        <v>15.9</v>
      </c>
      <c r="R1058" t="n">
        <v>25</v>
      </c>
      <c r="S1058" t="n">
        <v>5650000</v>
      </c>
      <c r="T1058" t="n">
        <v>4879</v>
      </c>
      <c r="AH1058" t="inlineStr">
        <is>
          <t>Quelle: Idealista</t>
        </is>
      </c>
    </row>
    <row r="1059">
      <c r="A1059" t="n">
        <v>872</v>
      </c>
      <c r="B1059" t="inlineStr">
        <is>
          <t>Casa independiente</t>
        </is>
      </c>
      <c r="C1059" t="inlineStr">
        <is>
          <t>https://www.idealista.com/inmueble/107528269/</t>
        </is>
      </c>
      <c r="E1059" t="n">
        <v>5</v>
      </c>
      <c r="H1059" t="n">
        <v>663</v>
      </c>
      <c r="J1059" t="inlineStr">
        <is>
          <t>S'Horta - Cas Concos des Cavaller, Felanitx</t>
        </is>
      </c>
      <c r="K1059" t="n">
        <v>43.4</v>
      </c>
      <c r="L1059" t="n">
        <v>42</v>
      </c>
      <c r="M1059" t="n">
        <v>14.6</v>
      </c>
      <c r="N1059" t="n">
        <v>21</v>
      </c>
      <c r="O1059" t="n">
        <v>81.59999999999999</v>
      </c>
      <c r="P1059" t="n">
        <v>69</v>
      </c>
      <c r="Q1059" t="n">
        <v>15.9</v>
      </c>
      <c r="R1059" t="n">
        <v>25</v>
      </c>
      <c r="S1059" t="n">
        <v>3999000</v>
      </c>
      <c r="T1059" t="n">
        <v>6032</v>
      </c>
      <c r="AH1059" t="inlineStr">
        <is>
          <t>Quelle: Idealista</t>
        </is>
      </c>
    </row>
    <row r="1060">
      <c r="A1060" t="n">
        <v>873</v>
      </c>
      <c r="B1060" t="inlineStr">
        <is>
          <t>Casa independiente en avenida Tamarells</t>
        </is>
      </c>
      <c r="C1060" t="inlineStr">
        <is>
          <t>https://www.idealista.com/inmueble/107011791/</t>
        </is>
      </c>
      <c r="E1060" t="n">
        <v>6</v>
      </c>
      <c r="H1060" t="n">
        <v>244</v>
      </c>
      <c r="J1060" t="inlineStr">
        <is>
          <t>Portocolom, Felanitx</t>
        </is>
      </c>
      <c r="K1060" t="n">
        <v>58.9</v>
      </c>
      <c r="L1060" t="n">
        <v>53</v>
      </c>
      <c r="M1060" t="n">
        <v>24.7</v>
      </c>
      <c r="N1060" t="n">
        <v>34</v>
      </c>
      <c r="O1060" t="n">
        <v>97.09999999999999</v>
      </c>
      <c r="P1060" t="n">
        <v>80</v>
      </c>
      <c r="Q1060" t="n">
        <v>26.2</v>
      </c>
      <c r="R1060" t="n">
        <v>36</v>
      </c>
      <c r="S1060" t="n">
        <v>2600000</v>
      </c>
      <c r="T1060" t="n">
        <v>10656</v>
      </c>
      <c r="AH1060" t="inlineStr">
        <is>
          <t>Quelle: Idealista</t>
        </is>
      </c>
    </row>
    <row r="1061">
      <c r="A1061" t="n">
        <v>874</v>
      </c>
      <c r="B1061" t="inlineStr">
        <is>
          <t>Finca rústica en Diseminado Primera Volta</t>
        </is>
      </c>
      <c r="C1061" t="inlineStr">
        <is>
          <t>https://www.idealista.com/inmueble/103949789/</t>
        </is>
      </c>
      <c r="E1061" t="n">
        <v>12</v>
      </c>
      <c r="H1061" t="n">
        <v>1800</v>
      </c>
      <c r="J1061" t="inlineStr">
        <is>
          <t>Felanitx centro, Felanitx</t>
        </is>
      </c>
      <c r="K1061" t="n">
        <v>45</v>
      </c>
      <c r="L1061" t="n">
        <v>40</v>
      </c>
      <c r="M1061" t="n">
        <v>26.8</v>
      </c>
      <c r="N1061" t="n">
        <v>30</v>
      </c>
      <c r="O1061" t="n">
        <v>83.2</v>
      </c>
      <c r="P1061" t="n">
        <v>68</v>
      </c>
      <c r="Q1061" t="n">
        <v>24.5</v>
      </c>
      <c r="R1061" t="n">
        <v>26</v>
      </c>
      <c r="S1061" t="n">
        <v>3500000</v>
      </c>
      <c r="T1061" t="n">
        <v>1944</v>
      </c>
      <c r="AH1061" t="inlineStr">
        <is>
          <t>Quelle: Idealista</t>
        </is>
      </c>
    </row>
    <row r="1062">
      <c r="A1062" t="n">
        <v>875</v>
      </c>
      <c r="B1062" t="inlineStr">
        <is>
          <t>Casa independiente</t>
        </is>
      </c>
      <c r="C1062" t="inlineStr">
        <is>
          <t>https://www.idealista.com/inmueble/106784074/</t>
        </is>
      </c>
      <c r="E1062" t="n">
        <v>5</v>
      </c>
      <c r="H1062" t="n">
        <v>356</v>
      </c>
      <c r="J1062" t="inlineStr">
        <is>
          <t>S'Horta - Cas Concos des Cavaller, Felanitx</t>
        </is>
      </c>
      <c r="K1062" t="n">
        <v>43.4</v>
      </c>
      <c r="L1062" t="n">
        <v>42</v>
      </c>
      <c r="M1062" t="n">
        <v>14.6</v>
      </c>
      <c r="N1062" t="n">
        <v>21</v>
      </c>
      <c r="O1062" t="n">
        <v>81.59999999999999</v>
      </c>
      <c r="P1062" t="n">
        <v>69</v>
      </c>
      <c r="Q1062" t="n">
        <v>15.9</v>
      </c>
      <c r="R1062" t="n">
        <v>25</v>
      </c>
      <c r="S1062" t="n">
        <v>2300000</v>
      </c>
      <c r="T1062" t="n">
        <v>6461</v>
      </c>
      <c r="AH1062" t="inlineStr">
        <is>
          <t>Quelle: Idealista</t>
        </is>
      </c>
    </row>
    <row r="1063">
      <c r="A1063" t="n">
        <v>876</v>
      </c>
      <c r="B1063" t="inlineStr">
        <is>
          <t>Finca rústica en rr s/n</t>
        </is>
      </c>
      <c r="C1063" t="inlineStr">
        <is>
          <t>https://www.idealista.com/inmueble/106748074/</t>
        </is>
      </c>
      <c r="E1063" t="n">
        <v>12</v>
      </c>
      <c r="H1063" t="n">
        <v>550</v>
      </c>
      <c r="J1063" t="inlineStr">
        <is>
          <t>Felanitx centro, Felanitx</t>
        </is>
      </c>
      <c r="K1063" t="n">
        <v>45</v>
      </c>
      <c r="L1063" t="n">
        <v>40</v>
      </c>
      <c r="M1063" t="n">
        <v>26.8</v>
      </c>
      <c r="N1063" t="n">
        <v>30</v>
      </c>
      <c r="O1063" t="n">
        <v>83.2</v>
      </c>
      <c r="P1063" t="n">
        <v>68</v>
      </c>
      <c r="Q1063" t="n">
        <v>24.5</v>
      </c>
      <c r="R1063" t="n">
        <v>26</v>
      </c>
      <c r="S1063" t="n">
        <v>2650000</v>
      </c>
      <c r="T1063" t="n">
        <v>4818</v>
      </c>
      <c r="AH1063" t="inlineStr">
        <is>
          <t>Quelle: Idealista</t>
        </is>
      </c>
    </row>
    <row r="1064">
      <c r="A1064" t="n">
        <v>877</v>
      </c>
      <c r="B1064" t="inlineStr">
        <is>
          <t>Casa independiente en avenida Tamarells</t>
        </is>
      </c>
      <c r="C1064" t="inlineStr">
        <is>
          <t>https://www.idealista.com/inmueble/106725405/</t>
        </is>
      </c>
      <c r="E1064" t="n">
        <v>7</v>
      </c>
      <c r="H1064" t="n">
        <v>307</v>
      </c>
      <c r="J1064" t="inlineStr">
        <is>
          <t>Portocolom, Felanitx</t>
        </is>
      </c>
      <c r="K1064" t="n">
        <v>58.9</v>
      </c>
      <c r="L1064" t="n">
        <v>53</v>
      </c>
      <c r="M1064" t="n">
        <v>24.7</v>
      </c>
      <c r="N1064" t="n">
        <v>34</v>
      </c>
      <c r="O1064" t="n">
        <v>97.09999999999999</v>
      </c>
      <c r="P1064" t="n">
        <v>80</v>
      </c>
      <c r="Q1064" t="n">
        <v>26.2</v>
      </c>
      <c r="R1064" t="n">
        <v>36</v>
      </c>
      <c r="S1064" t="n">
        <v>2600000</v>
      </c>
      <c r="T1064" t="n">
        <v>8469</v>
      </c>
      <c r="AH1064" t="inlineStr">
        <is>
          <t>Quelle: Idealista</t>
        </is>
      </c>
    </row>
    <row r="1065">
      <c r="A1065" t="n">
        <v>878</v>
      </c>
      <c r="B1065" t="inlineStr">
        <is>
          <t>Finca rústica</t>
        </is>
      </c>
      <c r="C1065" t="inlineStr">
        <is>
          <t>https://www.idealista.com/inmueble/106079058/</t>
        </is>
      </c>
      <c r="E1065" t="n">
        <v>6</v>
      </c>
      <c r="H1065" t="n">
        <v>520</v>
      </c>
      <c r="J1065" t="inlineStr">
        <is>
          <t>Felanitx centro, Felanitx</t>
        </is>
      </c>
      <c r="K1065" t="n">
        <v>45</v>
      </c>
      <c r="L1065" t="n">
        <v>40</v>
      </c>
      <c r="M1065" t="n">
        <v>26.8</v>
      </c>
      <c r="N1065" t="n">
        <v>30</v>
      </c>
      <c r="O1065" t="n">
        <v>83.2</v>
      </c>
      <c r="P1065" t="n">
        <v>68</v>
      </c>
      <c r="Q1065" t="n">
        <v>24.5</v>
      </c>
      <c r="R1065" t="n">
        <v>26</v>
      </c>
      <c r="S1065" t="n">
        <v>3950000</v>
      </c>
      <c r="T1065" t="n">
        <v>7596</v>
      </c>
      <c r="AH1065" t="inlineStr">
        <is>
          <t>Quelle: Idealista</t>
        </is>
      </c>
    </row>
    <row r="1066">
      <c r="A1066" t="n">
        <v>879</v>
      </c>
      <c r="B1066" t="inlineStr">
        <is>
          <t>Finca rústica en calle Diseminado Poligono 9</t>
        </is>
      </c>
      <c r="C1066" t="inlineStr">
        <is>
          <t>https://www.idealista.com/inmueble/105556665/</t>
        </is>
      </c>
      <c r="E1066" t="n">
        <v>6</v>
      </c>
      <c r="H1066" t="n">
        <v>760</v>
      </c>
      <c r="J1066" t="inlineStr">
        <is>
          <t>S'Horta - Cas Concos des Cavaller, Felanitx</t>
        </is>
      </c>
      <c r="K1066" t="n">
        <v>43.4</v>
      </c>
      <c r="L1066" t="n">
        <v>42</v>
      </c>
      <c r="M1066" t="n">
        <v>14.6</v>
      </c>
      <c r="N1066" t="n">
        <v>21</v>
      </c>
      <c r="O1066" t="n">
        <v>81.59999999999999</v>
      </c>
      <c r="P1066" t="n">
        <v>69</v>
      </c>
      <c r="Q1066" t="n">
        <v>15.9</v>
      </c>
      <c r="R1066" t="n">
        <v>25</v>
      </c>
      <c r="S1066" t="n">
        <v>3299000</v>
      </c>
      <c r="T1066" t="n">
        <v>4341</v>
      </c>
      <c r="AH1066" t="inlineStr">
        <is>
          <t>Quelle: Idealista</t>
        </is>
      </c>
    </row>
    <row r="1067">
      <c r="A1067" t="n">
        <v>880</v>
      </c>
      <c r="B1067" t="inlineStr">
        <is>
          <t>Casa independiente</t>
        </is>
      </c>
      <c r="C1067" t="inlineStr">
        <is>
          <t>https://www.idealista.com/inmueble/105713033/</t>
        </is>
      </c>
      <c r="E1067" t="n">
        <v>7</v>
      </c>
      <c r="H1067" t="n">
        <v>326</v>
      </c>
      <c r="J1067" t="inlineStr">
        <is>
          <t>Portocolom, Felanitx</t>
        </is>
      </c>
      <c r="K1067" t="n">
        <v>58.9</v>
      </c>
      <c r="L1067" t="n">
        <v>53</v>
      </c>
      <c r="M1067" t="n">
        <v>24.7</v>
      </c>
      <c r="N1067" t="n">
        <v>34</v>
      </c>
      <c r="O1067" t="n">
        <v>97.09999999999999</v>
      </c>
      <c r="P1067" t="n">
        <v>80</v>
      </c>
      <c r="Q1067" t="n">
        <v>26.2</v>
      </c>
      <c r="R1067" t="n">
        <v>36</v>
      </c>
      <c r="S1067" t="n">
        <v>2200000</v>
      </c>
      <c r="T1067" t="n">
        <v>6748</v>
      </c>
      <c r="AH1067" t="inlineStr">
        <is>
          <t>Quelle: Idealista</t>
        </is>
      </c>
    </row>
    <row r="1068">
      <c r="A1068" t="n">
        <v>881</v>
      </c>
      <c r="B1068" t="inlineStr">
        <is>
          <t>Casa rural en Pol 45</t>
        </is>
      </c>
      <c r="C1068" t="inlineStr">
        <is>
          <t>https://www.idealista.com/inmueble/104900705/</t>
        </is>
      </c>
      <c r="E1068" t="n">
        <v>7</v>
      </c>
      <c r="H1068" t="n">
        <v>1116</v>
      </c>
      <c r="J1068" t="inlineStr">
        <is>
          <t>Felanitx centro, Felanitx</t>
        </is>
      </c>
      <c r="K1068" t="n">
        <v>45</v>
      </c>
      <c r="L1068" t="n">
        <v>40</v>
      </c>
      <c r="M1068" t="n">
        <v>26.8</v>
      </c>
      <c r="N1068" t="n">
        <v>30</v>
      </c>
      <c r="O1068" t="n">
        <v>83.2</v>
      </c>
      <c r="P1068" t="n">
        <v>68</v>
      </c>
      <c r="Q1068" t="n">
        <v>24.5</v>
      </c>
      <c r="R1068" t="n">
        <v>26</v>
      </c>
      <c r="S1068" t="n">
        <v>2000000</v>
      </c>
      <c r="T1068" t="n">
        <v>1792</v>
      </c>
      <c r="AH1068" t="inlineStr">
        <is>
          <t>Quelle: Idealista</t>
        </is>
      </c>
    </row>
    <row r="1069">
      <c r="A1069" t="n">
        <v>882</v>
      </c>
      <c r="B1069" t="inlineStr">
        <is>
          <t>Casa independiente en avenida Tamarells, 3</t>
        </is>
      </c>
      <c r="C1069" t="inlineStr">
        <is>
          <t>https://www.idealista.com/inmueble/104537281/</t>
        </is>
      </c>
      <c r="E1069" t="n">
        <v>6</v>
      </c>
      <c r="H1069" t="n">
        <v>249</v>
      </c>
      <c r="J1069" t="inlineStr">
        <is>
          <t>Portocolom, Felanitx</t>
        </is>
      </c>
      <c r="K1069" t="n">
        <v>58.9</v>
      </c>
      <c r="L1069" t="n">
        <v>53</v>
      </c>
      <c r="M1069" t="n">
        <v>24.7</v>
      </c>
      <c r="N1069" t="n">
        <v>34</v>
      </c>
      <c r="O1069" t="n">
        <v>97.09999999999999</v>
      </c>
      <c r="P1069" t="n">
        <v>80</v>
      </c>
      <c r="Q1069" t="n">
        <v>26.2</v>
      </c>
      <c r="R1069" t="n">
        <v>36</v>
      </c>
      <c r="S1069" t="n">
        <v>2600000</v>
      </c>
      <c r="T1069" t="n">
        <v>10442</v>
      </c>
      <c r="AH1069" t="inlineStr">
        <is>
          <t>Quelle: Idealista</t>
        </is>
      </c>
    </row>
    <row r="1070">
      <c r="A1070" t="n">
        <v>883</v>
      </c>
      <c r="B1070" t="inlineStr">
        <is>
          <t>Casa independiente</t>
        </is>
      </c>
      <c r="C1070" t="inlineStr">
        <is>
          <t>https://www.idealista.com/inmueble/103780526/</t>
        </is>
      </c>
      <c r="E1070" t="n">
        <v>5</v>
      </c>
      <c r="H1070" t="n">
        <v>425</v>
      </c>
      <c r="J1070" t="inlineStr">
        <is>
          <t>S'Horta - Cas Concos des Cavaller, Felanitx</t>
        </is>
      </c>
      <c r="K1070" t="n">
        <v>43.4</v>
      </c>
      <c r="L1070" t="n">
        <v>42</v>
      </c>
      <c r="M1070" t="n">
        <v>14.6</v>
      </c>
      <c r="N1070" t="n">
        <v>21</v>
      </c>
      <c r="O1070" t="n">
        <v>81.59999999999999</v>
      </c>
      <c r="P1070" t="n">
        <v>69</v>
      </c>
      <c r="Q1070" t="n">
        <v>15.9</v>
      </c>
      <c r="R1070" t="n">
        <v>25</v>
      </c>
      <c r="S1070" t="n">
        <v>3500000</v>
      </c>
      <c r="T1070" t="n">
        <v>8235</v>
      </c>
      <c r="AH1070" t="inlineStr">
        <is>
          <t>Quelle: Idealista</t>
        </is>
      </c>
    </row>
    <row r="1071">
      <c r="A1071" t="n">
        <v>884</v>
      </c>
      <c r="B1071" t="inlineStr">
        <is>
          <t>Finca rústica en Polígono Son Cifre de Baix, 2</t>
        </is>
      </c>
      <c r="C1071" t="inlineStr">
        <is>
          <t>https://www.idealista.com/inmueble/103581869/</t>
        </is>
      </c>
      <c r="E1071" t="n">
        <v>10</v>
      </c>
      <c r="H1071" t="n">
        <v>600</v>
      </c>
      <c r="J1071" t="inlineStr">
        <is>
          <t>Felanitx centro, Felanitx</t>
        </is>
      </c>
      <c r="K1071" t="n">
        <v>45</v>
      </c>
      <c r="L1071" t="n">
        <v>40</v>
      </c>
      <c r="M1071" t="n">
        <v>26.8</v>
      </c>
      <c r="N1071" t="n">
        <v>30</v>
      </c>
      <c r="O1071" t="n">
        <v>83.2</v>
      </c>
      <c r="P1071" t="n">
        <v>68</v>
      </c>
      <c r="Q1071" t="n">
        <v>24.5</v>
      </c>
      <c r="R1071" t="n">
        <v>26</v>
      </c>
      <c r="S1071" t="n">
        <v>2950000</v>
      </c>
      <c r="T1071" t="n">
        <v>4917</v>
      </c>
      <c r="AH1071" t="inlineStr">
        <is>
          <t>Quelle: Idealista</t>
        </is>
      </c>
    </row>
    <row r="1072">
      <c r="A1072" t="n">
        <v>885</v>
      </c>
      <c r="B1072" t="inlineStr">
        <is>
          <t>Torre en calle de Fartaritx s/n</t>
        </is>
      </c>
      <c r="C1072" t="inlineStr">
        <is>
          <t>https://www.idealista.com/inmueble/103455426/</t>
        </is>
      </c>
      <c r="E1072" t="n">
        <v>5</v>
      </c>
      <c r="H1072" t="n">
        <v>408</v>
      </c>
      <c r="J1072" t="inlineStr">
        <is>
          <t>Felanitx centro, Felanitx</t>
        </is>
      </c>
      <c r="K1072" t="n">
        <v>45</v>
      </c>
      <c r="L1072" t="n">
        <v>40</v>
      </c>
      <c r="M1072" t="n">
        <v>26.8</v>
      </c>
      <c r="N1072" t="n">
        <v>30</v>
      </c>
      <c r="O1072" t="n">
        <v>83.2</v>
      </c>
      <c r="P1072" t="n">
        <v>68</v>
      </c>
      <c r="Q1072" t="n">
        <v>24.5</v>
      </c>
      <c r="R1072" t="n">
        <v>26</v>
      </c>
      <c r="S1072" t="n">
        <v>2300000</v>
      </c>
      <c r="T1072" t="n">
        <v>5637</v>
      </c>
      <c r="AH1072" t="inlineStr">
        <is>
          <t>Quelle: Idealista</t>
        </is>
      </c>
    </row>
    <row r="1073">
      <c r="A1073" t="n">
        <v>886</v>
      </c>
      <c r="B1073" t="inlineStr">
        <is>
          <t>Finca rústica</t>
        </is>
      </c>
      <c r="C1073" t="inlineStr">
        <is>
          <t>https://www.idealista.com/inmueble/103062559/</t>
        </is>
      </c>
      <c r="E1073" t="n">
        <v>6</v>
      </c>
      <c r="H1073" t="n">
        <v>1096</v>
      </c>
      <c r="J1073" t="inlineStr">
        <is>
          <t>S'Horta - Cas Concos des Cavaller, Felanitx</t>
        </is>
      </c>
      <c r="K1073" t="n">
        <v>43.4</v>
      </c>
      <c r="L1073" t="n">
        <v>42</v>
      </c>
      <c r="M1073" t="n">
        <v>14.6</v>
      </c>
      <c r="N1073" t="n">
        <v>21</v>
      </c>
      <c r="O1073" t="n">
        <v>81.59999999999999</v>
      </c>
      <c r="P1073" t="n">
        <v>69</v>
      </c>
      <c r="Q1073" t="n">
        <v>15.9</v>
      </c>
      <c r="R1073" t="n">
        <v>25</v>
      </c>
      <c r="S1073" t="n">
        <v>5650000</v>
      </c>
      <c r="T1073" t="n">
        <v>5155</v>
      </c>
      <c r="AH1073" t="inlineStr">
        <is>
          <t>Quelle: Idealista</t>
        </is>
      </c>
    </row>
    <row r="1074">
      <c r="A1074" t="n">
        <v>887</v>
      </c>
      <c r="B1074" t="inlineStr">
        <is>
          <t>Casa rural en Diseminado Diseminados Var, 161</t>
        </is>
      </c>
      <c r="C1074" t="inlineStr">
        <is>
          <t>https://www.idealista.com/inmueble/102734885/</t>
        </is>
      </c>
      <c r="E1074" t="n">
        <v>6</v>
      </c>
      <c r="H1074" t="n">
        <v>1096</v>
      </c>
      <c r="J1074" t="inlineStr">
        <is>
          <t>S'Horta - Cas Concos des Cavaller, Felanitx</t>
        </is>
      </c>
      <c r="K1074" t="n">
        <v>43.4</v>
      </c>
      <c r="L1074" t="n">
        <v>42</v>
      </c>
      <c r="M1074" t="n">
        <v>14.6</v>
      </c>
      <c r="N1074" t="n">
        <v>21</v>
      </c>
      <c r="O1074" t="n">
        <v>81.59999999999999</v>
      </c>
      <c r="P1074" t="n">
        <v>69</v>
      </c>
      <c r="Q1074" t="n">
        <v>15.9</v>
      </c>
      <c r="R1074" t="n">
        <v>25</v>
      </c>
      <c r="S1074" t="n">
        <v>5650000</v>
      </c>
      <c r="T1074" t="n">
        <v>5155</v>
      </c>
      <c r="AH1074" t="inlineStr">
        <is>
          <t>Quelle: Idealista</t>
        </is>
      </c>
    </row>
    <row r="1075">
      <c r="A1075" t="n">
        <v>888</v>
      </c>
      <c r="B1075" t="inlineStr">
        <is>
          <t>Finca rústica</t>
        </is>
      </c>
      <c r="C1075" t="inlineStr">
        <is>
          <t>https://www.idealista.com/inmueble/99942869/</t>
        </is>
      </c>
      <c r="E1075" t="n">
        <v>5</v>
      </c>
      <c r="H1075" t="n">
        <v>250</v>
      </c>
      <c r="J1075" t="inlineStr">
        <is>
          <t>Portocolom, Felanitx</t>
        </is>
      </c>
      <c r="K1075" t="n">
        <v>58.9</v>
      </c>
      <c r="L1075" t="n">
        <v>53</v>
      </c>
      <c r="M1075" t="n">
        <v>24.7</v>
      </c>
      <c r="N1075" t="n">
        <v>34</v>
      </c>
      <c r="O1075" t="n">
        <v>97.09999999999999</v>
      </c>
      <c r="P1075" t="n">
        <v>80</v>
      </c>
      <c r="Q1075" t="n">
        <v>26.2</v>
      </c>
      <c r="R1075" t="n">
        <v>36</v>
      </c>
      <c r="S1075" t="n">
        <v>2121000</v>
      </c>
      <c r="T1075" t="n">
        <v>8484</v>
      </c>
      <c r="AH1075" t="inlineStr">
        <is>
          <t>Quelle: Idealista</t>
        </is>
      </c>
    </row>
    <row r="1076">
      <c r="A1076" t="n">
        <v>889</v>
      </c>
      <c r="B1076" t="inlineStr">
        <is>
          <t>Casa independiente en calle del Tancat de sa Torre, 13</t>
        </is>
      </c>
      <c r="C1076" t="inlineStr">
        <is>
          <t>https://www.idealista.com/inmueble/99749603/</t>
        </is>
      </c>
      <c r="E1076" t="n">
        <v>7</v>
      </c>
      <c r="H1076" t="n">
        <v>682</v>
      </c>
      <c r="J1076" t="inlineStr">
        <is>
          <t>Portocolom, Felanitx</t>
        </is>
      </c>
      <c r="K1076" t="n">
        <v>58.9</v>
      </c>
      <c r="L1076" t="n">
        <v>53</v>
      </c>
      <c r="M1076" t="n">
        <v>24.7</v>
      </c>
      <c r="N1076" t="n">
        <v>34</v>
      </c>
      <c r="O1076" t="n">
        <v>97.09999999999999</v>
      </c>
      <c r="P1076" t="n">
        <v>80</v>
      </c>
      <c r="Q1076" t="n">
        <v>26.2</v>
      </c>
      <c r="R1076" t="n">
        <v>36</v>
      </c>
      <c r="S1076" t="n">
        <v>3200000</v>
      </c>
      <c r="T1076" t="n">
        <v>4692</v>
      </c>
      <c r="AH1076" t="inlineStr">
        <is>
          <t>Quelle: Idealista</t>
        </is>
      </c>
    </row>
    <row r="1077">
      <c r="A1077" t="n">
        <v>890</v>
      </c>
      <c r="B1077" t="inlineStr">
        <is>
          <t>Casa independiente en carretera de Fornalutx</t>
        </is>
      </c>
      <c r="C1077" t="inlineStr">
        <is>
          <t>https://www.idealista.com/inmueble/96618114/</t>
        </is>
      </c>
      <c r="E1077" t="n">
        <v>8</v>
      </c>
      <c r="H1077" t="n">
        <v>1560</v>
      </c>
      <c r="J1077" t="inlineStr">
        <is>
          <t>Fornalutx</t>
        </is>
      </c>
      <c r="K1077" t="n">
        <v>38.9</v>
      </c>
      <c r="L1077" t="n">
        <v>46</v>
      </c>
      <c r="M1077" t="n">
        <v>81.59999999999999</v>
      </c>
      <c r="N1077" t="n">
        <v>79</v>
      </c>
      <c r="O1077" t="n">
        <v>58.5</v>
      </c>
      <c r="P1077" t="n">
        <v>60</v>
      </c>
      <c r="Q1077" t="n">
        <v>79.3</v>
      </c>
      <c r="R1077" t="n">
        <v>76</v>
      </c>
      <c r="S1077" t="n">
        <v>2700000</v>
      </c>
      <c r="T1077" t="n">
        <v>1731</v>
      </c>
      <c r="AH1077" t="inlineStr">
        <is>
          <t>Quelle: Idealista</t>
        </is>
      </c>
    </row>
    <row r="1078">
      <c r="A1078" t="n">
        <v>891</v>
      </c>
      <c r="B1078" t="inlineStr">
        <is>
          <t>Chalet</t>
        </is>
      </c>
      <c r="C1078" t="inlineStr">
        <is>
          <t>https://www.idealista.com/inmueble/92917521/</t>
        </is>
      </c>
      <c r="E1078" t="n">
        <v>8</v>
      </c>
      <c r="H1078" t="n">
        <v>1560</v>
      </c>
      <c r="J1078" t="inlineStr">
        <is>
          <t>Fornalutx</t>
        </is>
      </c>
      <c r="K1078" t="n">
        <v>38.9</v>
      </c>
      <c r="L1078" t="n">
        <v>46</v>
      </c>
      <c r="M1078" t="n">
        <v>81.59999999999999</v>
      </c>
      <c r="N1078" t="n">
        <v>79</v>
      </c>
      <c r="O1078" t="n">
        <v>58.5</v>
      </c>
      <c r="P1078" t="n">
        <v>60</v>
      </c>
      <c r="Q1078" t="n">
        <v>79.3</v>
      </c>
      <c r="R1078" t="n">
        <v>76</v>
      </c>
      <c r="S1078" t="n">
        <v>2700000</v>
      </c>
      <c r="T1078" t="n">
        <v>1731</v>
      </c>
      <c r="AH1078" t="inlineStr">
        <is>
          <t>Quelle: Idealista</t>
        </is>
      </c>
    </row>
    <row r="1079">
      <c r="A1079" t="n">
        <v>892</v>
      </c>
      <c r="B1079" t="inlineStr">
        <is>
          <t>Chalet pareado en calle Metge Mayol</t>
        </is>
      </c>
      <c r="C1079" t="inlineStr">
        <is>
          <t>https://www.idealista.com/inmueble/107034794/</t>
        </is>
      </c>
      <c r="E1079" t="n">
        <v>7</v>
      </c>
      <c r="H1079" t="n">
        <v>1500</v>
      </c>
      <c r="J1079" t="inlineStr">
        <is>
          <t>Fornalutx</t>
        </is>
      </c>
      <c r="K1079" t="n">
        <v>38.9</v>
      </c>
      <c r="L1079" t="n">
        <v>46</v>
      </c>
      <c r="M1079" t="n">
        <v>81.59999999999999</v>
      </c>
      <c r="N1079" t="n">
        <v>79</v>
      </c>
      <c r="O1079" t="n">
        <v>58.5</v>
      </c>
      <c r="P1079" t="n">
        <v>60</v>
      </c>
      <c r="Q1079" t="n">
        <v>79.3</v>
      </c>
      <c r="R1079" t="n">
        <v>76</v>
      </c>
      <c r="S1079" t="n">
        <v>3200000</v>
      </c>
      <c r="T1079" t="n">
        <v>2133</v>
      </c>
      <c r="AH1079" t="inlineStr">
        <is>
          <t>Quelle: Idealista</t>
        </is>
      </c>
    </row>
    <row r="1080">
      <c r="A1080" t="n">
        <v>893</v>
      </c>
      <c r="B1080" t="inlineStr">
        <is>
          <t>Chalet adosado</t>
        </is>
      </c>
      <c r="C1080" t="inlineStr">
        <is>
          <t>https://www.idealista.com/inmueble/108292640/</t>
        </is>
      </c>
      <c r="E1080" t="n">
        <v>8</v>
      </c>
      <c r="H1080" t="n">
        <v>1562</v>
      </c>
      <c r="J1080" t="inlineStr">
        <is>
          <t>Fornalutx</t>
        </is>
      </c>
      <c r="K1080" t="n">
        <v>38.9</v>
      </c>
      <c r="L1080" t="n">
        <v>46</v>
      </c>
      <c r="M1080" t="n">
        <v>81.59999999999999</v>
      </c>
      <c r="N1080" t="n">
        <v>79</v>
      </c>
      <c r="O1080" t="n">
        <v>58.5</v>
      </c>
      <c r="P1080" t="n">
        <v>60</v>
      </c>
      <c r="Q1080" t="n">
        <v>79.3</v>
      </c>
      <c r="R1080" t="n">
        <v>76</v>
      </c>
      <c r="S1080" t="n">
        <v>2700000</v>
      </c>
      <c r="T1080" t="n">
        <v>1729</v>
      </c>
      <c r="AH1080" t="inlineStr">
        <is>
          <t>Quelle: Idealista</t>
        </is>
      </c>
    </row>
    <row r="1081">
      <c r="A1081" t="n">
        <v>894</v>
      </c>
      <c r="B1081" t="inlineStr">
        <is>
          <t>Casa rural</t>
        </is>
      </c>
      <c r="C1081" t="inlineStr">
        <is>
          <t>https://www.idealista.com/inmueble/107073942/</t>
        </is>
      </c>
      <c r="E1081" t="n">
        <v>8</v>
      </c>
      <c r="H1081" t="n">
        <v>1562</v>
      </c>
      <c r="J1081" t="inlineStr">
        <is>
          <t>Fornalutx</t>
        </is>
      </c>
      <c r="K1081" t="n">
        <v>38.9</v>
      </c>
      <c r="L1081" t="n">
        <v>46</v>
      </c>
      <c r="M1081" t="n">
        <v>81.59999999999999</v>
      </c>
      <c r="N1081" t="n">
        <v>79</v>
      </c>
      <c r="O1081" t="n">
        <v>58.5</v>
      </c>
      <c r="P1081" t="n">
        <v>60</v>
      </c>
      <c r="Q1081" t="n">
        <v>79.3</v>
      </c>
      <c r="R1081" t="n">
        <v>76</v>
      </c>
      <c r="S1081" t="n">
        <v>3620000</v>
      </c>
      <c r="T1081" t="n">
        <v>2318</v>
      </c>
      <c r="AH1081" t="inlineStr">
        <is>
          <t>Quelle: Idealista</t>
        </is>
      </c>
    </row>
    <row r="1082">
      <c r="A1082" t="n">
        <v>895</v>
      </c>
      <c r="B1082" t="inlineStr">
        <is>
          <t>Casa de pueblo en camino de Fornalutx s/n</t>
        </is>
      </c>
      <c r="C1082" t="inlineStr">
        <is>
          <t>https://www.idealista.com/inmueble/105530666/</t>
        </is>
      </c>
      <c r="E1082" t="n">
        <v>10</v>
      </c>
      <c r="H1082" t="n">
        <v>1562</v>
      </c>
      <c r="J1082" t="inlineStr">
        <is>
          <t>Fornalutx</t>
        </is>
      </c>
      <c r="K1082" t="n">
        <v>38.9</v>
      </c>
      <c r="L1082" t="n">
        <v>46</v>
      </c>
      <c r="M1082" t="n">
        <v>81.59999999999999</v>
      </c>
      <c r="N1082" t="n">
        <v>79</v>
      </c>
      <c r="O1082" t="n">
        <v>58.5</v>
      </c>
      <c r="P1082" t="n">
        <v>60</v>
      </c>
      <c r="Q1082" t="n">
        <v>79.3</v>
      </c>
      <c r="R1082" t="n">
        <v>76</v>
      </c>
      <c r="S1082" t="n">
        <v>3200000</v>
      </c>
      <c r="T1082" t="n">
        <v>2049</v>
      </c>
      <c r="AH1082" t="inlineStr">
        <is>
          <t>Quelle: Idealista</t>
        </is>
      </c>
    </row>
    <row r="1083">
      <c r="A1083" t="n">
        <v>896</v>
      </c>
      <c r="B1083" t="inlineStr">
        <is>
          <t>Palacio</t>
        </is>
      </c>
      <c r="C1083" t="inlineStr">
        <is>
          <t>https://www.idealista.com/inmueble/104113594/</t>
        </is>
      </c>
      <c r="E1083" t="n">
        <v>10</v>
      </c>
      <c r="H1083" t="n">
        <v>1562</v>
      </c>
      <c r="J1083" t="inlineStr">
        <is>
          <t>Fornalutx</t>
        </is>
      </c>
      <c r="K1083" t="n">
        <v>38.9</v>
      </c>
      <c r="L1083" t="n">
        <v>46</v>
      </c>
      <c r="M1083" t="n">
        <v>81.59999999999999</v>
      </c>
      <c r="N1083" t="n">
        <v>79</v>
      </c>
      <c r="O1083" t="n">
        <v>58.5</v>
      </c>
      <c r="P1083" t="n">
        <v>60</v>
      </c>
      <c r="Q1083" t="n">
        <v>79.3</v>
      </c>
      <c r="R1083" t="n">
        <v>76</v>
      </c>
      <c r="S1083" t="n">
        <v>3200000</v>
      </c>
      <c r="T1083" t="n">
        <v>2049</v>
      </c>
      <c r="AH1083" t="inlineStr">
        <is>
          <t>Quelle: Idealista</t>
        </is>
      </c>
    </row>
    <row r="1084">
      <c r="A1084" t="n">
        <v>897</v>
      </c>
      <c r="B1084" t="inlineStr">
        <is>
          <t>Casa independiente</t>
        </is>
      </c>
      <c r="C1084" t="inlineStr">
        <is>
          <t>https://www.idealista.com/inmueble/99837675/</t>
        </is>
      </c>
      <c r="E1084" t="n">
        <v>8</v>
      </c>
      <c r="H1084" t="n">
        <v>1562</v>
      </c>
      <c r="J1084" t="inlineStr">
        <is>
          <t>Fornalutx</t>
        </is>
      </c>
      <c r="K1084" t="n">
        <v>38.9</v>
      </c>
      <c r="L1084" t="n">
        <v>46</v>
      </c>
      <c r="M1084" t="n">
        <v>81.59999999999999</v>
      </c>
      <c r="N1084" t="n">
        <v>79</v>
      </c>
      <c r="O1084" t="n">
        <v>58.5</v>
      </c>
      <c r="P1084" t="n">
        <v>60</v>
      </c>
      <c r="Q1084" t="n">
        <v>79.3</v>
      </c>
      <c r="R1084" t="n">
        <v>76</v>
      </c>
      <c r="S1084" t="n">
        <v>3200000</v>
      </c>
      <c r="T1084" t="n">
        <v>2049</v>
      </c>
      <c r="AH1084" t="inlineStr">
        <is>
          <t>Quelle: Idealista</t>
        </is>
      </c>
    </row>
    <row r="1085">
      <c r="A1085" t="n">
        <v>898</v>
      </c>
      <c r="B1085" t="inlineStr">
        <is>
          <t>Casa independiente en calle Metge Mayol</t>
        </is>
      </c>
      <c r="C1085" t="inlineStr">
        <is>
          <t>https://www.idealista.com/inmueble/104535395/</t>
        </is>
      </c>
      <c r="E1085" t="n">
        <v>8</v>
      </c>
      <c r="H1085" t="n">
        <v>1562</v>
      </c>
      <c r="J1085" t="inlineStr">
        <is>
          <t>Fornalutx</t>
        </is>
      </c>
      <c r="K1085" t="n">
        <v>38.9</v>
      </c>
      <c r="L1085" t="n">
        <v>46</v>
      </c>
      <c r="M1085" t="n">
        <v>81.59999999999999</v>
      </c>
      <c r="N1085" t="n">
        <v>79</v>
      </c>
      <c r="O1085" t="n">
        <v>58.5</v>
      </c>
      <c r="P1085" t="n">
        <v>60</v>
      </c>
      <c r="Q1085" t="n">
        <v>79.3</v>
      </c>
      <c r="R1085" t="n">
        <v>76</v>
      </c>
      <c r="S1085" t="n">
        <v>2700000</v>
      </c>
      <c r="T1085" t="n">
        <v>1729</v>
      </c>
      <c r="AH1085" t="inlineStr">
        <is>
          <t>Quelle: Idealista</t>
        </is>
      </c>
    </row>
    <row r="1086">
      <c r="A1086" t="n">
        <v>899</v>
      </c>
      <c r="B1086" t="inlineStr">
        <is>
          <t>Casa independiente</t>
        </is>
      </c>
      <c r="C1086" t="inlineStr">
        <is>
          <t>https://www.idealista.com/inmueble/99092428/</t>
        </is>
      </c>
      <c r="E1086" t="n">
        <v>8</v>
      </c>
      <c r="H1086" t="n">
        <v>1500</v>
      </c>
      <c r="J1086" t="inlineStr">
        <is>
          <t>Fornalutx</t>
        </is>
      </c>
      <c r="K1086" t="n">
        <v>38.9</v>
      </c>
      <c r="L1086" t="n">
        <v>46</v>
      </c>
      <c r="M1086" t="n">
        <v>81.59999999999999</v>
      </c>
      <c r="N1086" t="n">
        <v>79</v>
      </c>
      <c r="O1086" t="n">
        <v>58.5</v>
      </c>
      <c r="P1086" t="n">
        <v>60</v>
      </c>
      <c r="Q1086" t="n">
        <v>79.3</v>
      </c>
      <c r="R1086" t="n">
        <v>76</v>
      </c>
      <c r="S1086" t="n">
        <v>2700000</v>
      </c>
      <c r="T1086" t="n">
        <v>1800</v>
      </c>
      <c r="AH1086" t="inlineStr">
        <is>
          <t>Quelle: Idealista</t>
        </is>
      </c>
    </row>
    <row r="1087">
      <c r="A1087" t="n">
        <v>900</v>
      </c>
      <c r="B1087" t="inlineStr">
        <is>
          <t>Casa rural</t>
        </is>
      </c>
      <c r="C1087" t="inlineStr">
        <is>
          <t>https://www.idealista.com/inmueble/110436045/</t>
        </is>
      </c>
      <c r="E1087" t="n">
        <v>8</v>
      </c>
      <c r="H1087" t="n">
        <v>741</v>
      </c>
      <c r="J1087" t="inlineStr">
        <is>
          <t>Cristo Rey - Parque Europa, Inca</t>
        </is>
      </c>
      <c r="K1087" t="n">
        <v>37.5</v>
      </c>
      <c r="L1087" t="n">
        <v>29</v>
      </c>
      <c r="M1087" t="n">
        <v>55.6</v>
      </c>
      <c r="N1087" t="n">
        <v>55</v>
      </c>
      <c r="O1087" t="n">
        <v>60.1</v>
      </c>
      <c r="P1087" t="n">
        <v>45</v>
      </c>
      <c r="Q1087" t="n">
        <v>53.3</v>
      </c>
      <c r="R1087" t="n">
        <v>51</v>
      </c>
      <c r="S1087" t="n">
        <v>3950000</v>
      </c>
      <c r="T1087" t="n">
        <v>5331</v>
      </c>
      <c r="AH1087" t="inlineStr">
        <is>
          <t>Quelle: Idealista</t>
        </is>
      </c>
    </row>
    <row r="1088">
      <c r="A1088" t="n">
        <v>901</v>
      </c>
      <c r="B1088" t="inlineStr">
        <is>
          <t>Casa rural</t>
        </is>
      </c>
      <c r="C1088" t="inlineStr">
        <is>
          <t>https://www.idealista.com/inmueble/110353892/</t>
        </is>
      </c>
      <c r="E1088" t="n">
        <v>8</v>
      </c>
      <c r="H1088" t="n">
        <v>740</v>
      </c>
      <c r="J1088" t="inlineStr">
        <is>
          <t>Centro, Inca</t>
        </is>
      </c>
      <c r="K1088" t="n">
        <v>37.5</v>
      </c>
      <c r="L1088" t="n">
        <v>29</v>
      </c>
      <c r="M1088" t="n">
        <v>55.6</v>
      </c>
      <c r="N1088" t="n">
        <v>55</v>
      </c>
      <c r="O1088" t="n">
        <v>60.1</v>
      </c>
      <c r="P1088" t="n">
        <v>45</v>
      </c>
      <c r="Q1088" t="n">
        <v>53.3</v>
      </c>
      <c r="R1088" t="n">
        <v>51</v>
      </c>
      <c r="S1088" t="n">
        <v>3950000</v>
      </c>
      <c r="T1088" t="n">
        <v>5338</v>
      </c>
      <c r="AH1088" t="inlineStr">
        <is>
          <t>Quelle: Idealista</t>
        </is>
      </c>
    </row>
    <row r="1089">
      <c r="A1089" t="n">
        <v>902</v>
      </c>
      <c r="B1089" t="inlineStr">
        <is>
          <t>Finca rústica</t>
        </is>
      </c>
      <c r="C1089" t="inlineStr">
        <is>
          <t>https://www.idealista.com/inmueble/110096836/</t>
        </is>
      </c>
      <c r="E1089" t="n">
        <v>8</v>
      </c>
      <c r="H1089" t="n">
        <v>740</v>
      </c>
      <c r="J1089" t="inlineStr">
        <is>
          <t>Son Amonda - Reis Catòlics, Inca</t>
        </is>
      </c>
      <c r="K1089" t="n">
        <v>38.7</v>
      </c>
      <c r="L1089" t="n">
        <v>33</v>
      </c>
      <c r="M1089" t="n">
        <v>56.8</v>
      </c>
      <c r="N1089" t="n">
        <v>59</v>
      </c>
      <c r="O1089" t="n">
        <v>61.3</v>
      </c>
      <c r="P1089" t="n">
        <v>49</v>
      </c>
      <c r="Q1089" t="n">
        <v>54.5</v>
      </c>
      <c r="R1089" t="n">
        <v>55</v>
      </c>
      <c r="S1089" t="n">
        <v>3950000</v>
      </c>
      <c r="T1089" t="n">
        <v>5338</v>
      </c>
      <c r="AH1089" t="inlineStr">
        <is>
          <t>Quelle: Idealista</t>
        </is>
      </c>
    </row>
    <row r="1090">
      <c r="A1090" t="n">
        <v>903</v>
      </c>
      <c r="B1090" t="inlineStr">
        <is>
          <t>Finca rústica</t>
        </is>
      </c>
      <c r="C1090" t="inlineStr">
        <is>
          <t>https://www.idealista.com/inmueble/106549690/</t>
        </is>
      </c>
      <c r="E1090" t="n">
        <v>5</v>
      </c>
      <c r="H1090" t="n">
        <v>500</v>
      </c>
      <c r="J1090" t="inlineStr">
        <is>
          <t>Zona periurbana, Inca</t>
        </is>
      </c>
      <c r="K1090" t="n">
        <v>37.5</v>
      </c>
      <c r="L1090" t="n">
        <v>29</v>
      </c>
      <c r="M1090" t="n">
        <v>55.6</v>
      </c>
      <c r="N1090" t="n">
        <v>55</v>
      </c>
      <c r="O1090" t="n">
        <v>60.1</v>
      </c>
      <c r="P1090" t="n">
        <v>45</v>
      </c>
      <c r="Q1090" t="n">
        <v>53.3</v>
      </c>
      <c r="R1090" t="n">
        <v>51</v>
      </c>
      <c r="S1090" t="n">
        <v>3975000</v>
      </c>
      <c r="T1090" t="n">
        <v>7950</v>
      </c>
      <c r="AH1090" t="inlineStr">
        <is>
          <t>Quelle: Idealista</t>
        </is>
      </c>
    </row>
    <row r="1091">
      <c r="A1091" t="n">
        <v>904</v>
      </c>
      <c r="B1091" t="inlineStr">
        <is>
          <t>Finca rústica</t>
        </is>
      </c>
      <c r="C1091" t="inlineStr">
        <is>
          <t>https://www.idealista.com/inmueble/109391282/</t>
        </is>
      </c>
      <c r="E1091" t="n">
        <v>5</v>
      </c>
      <c r="H1091" t="n">
        <v>2654</v>
      </c>
      <c r="J1091" t="inlineStr">
        <is>
          <t>Zona periurbana, Inca</t>
        </is>
      </c>
      <c r="K1091" t="n">
        <v>37.5</v>
      </c>
      <c r="L1091" t="n">
        <v>29</v>
      </c>
      <c r="M1091" t="n">
        <v>55.6</v>
      </c>
      <c r="N1091" t="n">
        <v>55</v>
      </c>
      <c r="O1091" t="n">
        <v>60.1</v>
      </c>
      <c r="P1091" t="n">
        <v>45</v>
      </c>
      <c r="Q1091" t="n">
        <v>53.3</v>
      </c>
      <c r="R1091" t="n">
        <v>51</v>
      </c>
      <c r="S1091" t="n">
        <v>2950000</v>
      </c>
      <c r="T1091" t="n">
        <v>1112</v>
      </c>
      <c r="AH1091" t="inlineStr">
        <is>
          <t>Quelle: Idealista</t>
        </is>
      </c>
    </row>
    <row r="1092">
      <c r="A1092" t="n">
        <v>905</v>
      </c>
      <c r="B1092" t="inlineStr">
        <is>
          <t>Finca rústica</t>
        </is>
      </c>
      <c r="C1092" t="inlineStr">
        <is>
          <t>https://www.idealista.com/inmueble/106348961/</t>
        </is>
      </c>
      <c r="E1092" t="n">
        <v>8</v>
      </c>
      <c r="H1092" t="n">
        <v>706</v>
      </c>
      <c r="J1092" t="inlineStr">
        <is>
          <t>Son Amonda - Reis Catòlics, Inca</t>
        </is>
      </c>
      <c r="K1092" t="n">
        <v>38.7</v>
      </c>
      <c r="L1092" t="n">
        <v>33</v>
      </c>
      <c r="M1092" t="n">
        <v>56.8</v>
      </c>
      <c r="N1092" t="n">
        <v>59</v>
      </c>
      <c r="O1092" t="n">
        <v>61.3</v>
      </c>
      <c r="P1092" t="n">
        <v>49</v>
      </c>
      <c r="Q1092" t="n">
        <v>54.5</v>
      </c>
      <c r="R1092" t="n">
        <v>55</v>
      </c>
      <c r="S1092" t="n">
        <v>3500000</v>
      </c>
      <c r="T1092" t="n">
        <v>4958</v>
      </c>
      <c r="AH1092" t="inlineStr">
        <is>
          <t>Quelle: Idealista</t>
        </is>
      </c>
    </row>
    <row r="1093">
      <c r="A1093" t="n">
        <v>906</v>
      </c>
      <c r="B1093" t="inlineStr">
        <is>
          <t>Finca rústica</t>
        </is>
      </c>
      <c r="C1093" t="inlineStr">
        <is>
          <t>https://www.idealista.com/inmueble/108578199/</t>
        </is>
      </c>
      <c r="E1093" t="n">
        <v>5</v>
      </c>
      <c r="H1093" t="n">
        <v>805</v>
      </c>
      <c r="J1093" t="inlineStr">
        <is>
          <t>Zona periurbana, Inca</t>
        </is>
      </c>
      <c r="K1093" t="n">
        <v>37.5</v>
      </c>
      <c r="L1093" t="n">
        <v>29</v>
      </c>
      <c r="M1093" t="n">
        <v>55.6</v>
      </c>
      <c r="N1093" t="n">
        <v>55</v>
      </c>
      <c r="O1093" t="n">
        <v>60.1</v>
      </c>
      <c r="P1093" t="n">
        <v>45</v>
      </c>
      <c r="Q1093" t="n">
        <v>53.3</v>
      </c>
      <c r="R1093" t="n">
        <v>51</v>
      </c>
      <c r="S1093" t="n">
        <v>5100000</v>
      </c>
      <c r="T1093" t="n">
        <v>6335</v>
      </c>
      <c r="AH1093" t="inlineStr">
        <is>
          <t>Quelle: Idealista</t>
        </is>
      </c>
    </row>
    <row r="1094">
      <c r="A1094" t="n">
        <v>907</v>
      </c>
      <c r="B1094" t="inlineStr">
        <is>
          <t>Casa rural</t>
        </is>
      </c>
      <c r="C1094" t="inlineStr">
        <is>
          <t>https://www.idealista.com/inmueble/109200794/</t>
        </is>
      </c>
      <c r="E1094" t="n">
        <v>8</v>
      </c>
      <c r="H1094" t="n">
        <v>475</v>
      </c>
      <c r="J1094" t="inlineStr">
        <is>
          <t>Zona periurbana, Inca</t>
        </is>
      </c>
      <c r="K1094" t="n">
        <v>37.5</v>
      </c>
      <c r="L1094" t="n">
        <v>29</v>
      </c>
      <c r="M1094" t="n">
        <v>55.6</v>
      </c>
      <c r="N1094" t="n">
        <v>55</v>
      </c>
      <c r="O1094" t="n">
        <v>60.1</v>
      </c>
      <c r="P1094" t="n">
        <v>45</v>
      </c>
      <c r="Q1094" t="n">
        <v>53.3</v>
      </c>
      <c r="R1094" t="n">
        <v>51</v>
      </c>
      <c r="S1094" t="n">
        <v>3400000</v>
      </c>
      <c r="T1094" t="n">
        <v>7158</v>
      </c>
      <c r="AH1094" t="inlineStr">
        <is>
          <t>Quelle: Idealista</t>
        </is>
      </c>
    </row>
    <row r="1095">
      <c r="A1095" t="n">
        <v>908</v>
      </c>
      <c r="B1095" t="inlineStr">
        <is>
          <t>Casa rural en Poligono 7</t>
        </is>
      </c>
      <c r="C1095" t="inlineStr">
        <is>
          <t>https://www.idealista.com/inmueble/108928723/</t>
        </is>
      </c>
      <c r="E1095" t="n">
        <v>8</v>
      </c>
      <c r="H1095" t="n">
        <v>376</v>
      </c>
      <c r="J1095" t="inlineStr">
        <is>
          <t>Zona periurbana, Inca</t>
        </is>
      </c>
      <c r="K1095" t="n">
        <v>37.5</v>
      </c>
      <c r="L1095" t="n">
        <v>29</v>
      </c>
      <c r="M1095" t="n">
        <v>55.6</v>
      </c>
      <c r="N1095" t="n">
        <v>55</v>
      </c>
      <c r="O1095" t="n">
        <v>60.1</v>
      </c>
      <c r="P1095" t="n">
        <v>45</v>
      </c>
      <c r="Q1095" t="n">
        <v>53.3</v>
      </c>
      <c r="R1095" t="n">
        <v>51</v>
      </c>
      <c r="S1095" t="n">
        <v>3900000</v>
      </c>
      <c r="T1095" t="n">
        <v>10372</v>
      </c>
      <c r="AH1095" t="inlineStr">
        <is>
          <t>Quelle: Idealista</t>
        </is>
      </c>
    </row>
    <row r="1096">
      <c r="A1096" t="n">
        <v>909</v>
      </c>
      <c r="B1096" t="inlineStr">
        <is>
          <t>Finca rústica</t>
        </is>
      </c>
      <c r="C1096" t="inlineStr">
        <is>
          <t>https://www.idealista.com/inmueble/108914046/</t>
        </is>
      </c>
      <c r="E1096" t="n">
        <v>8</v>
      </c>
      <c r="H1096" t="n">
        <v>475</v>
      </c>
      <c r="J1096" t="inlineStr">
        <is>
          <t>Zona periurbana, Inca</t>
        </is>
      </c>
      <c r="K1096" t="n">
        <v>37.5</v>
      </c>
      <c r="L1096" t="n">
        <v>29</v>
      </c>
      <c r="M1096" t="n">
        <v>55.6</v>
      </c>
      <c r="N1096" t="n">
        <v>55</v>
      </c>
      <c r="O1096" t="n">
        <v>60.1</v>
      </c>
      <c r="P1096" t="n">
        <v>45</v>
      </c>
      <c r="Q1096" t="n">
        <v>53.3</v>
      </c>
      <c r="R1096" t="n">
        <v>51</v>
      </c>
      <c r="S1096" t="n">
        <v>3400000</v>
      </c>
      <c r="T1096" t="n">
        <v>7158</v>
      </c>
      <c r="AH1096" t="inlineStr">
        <is>
          <t>Quelle: Idealista</t>
        </is>
      </c>
    </row>
    <row r="1097">
      <c r="A1097" t="n">
        <v>910</v>
      </c>
      <c r="B1097" t="inlineStr">
        <is>
          <t>Casa rural</t>
        </is>
      </c>
      <c r="C1097" t="inlineStr">
        <is>
          <t>https://www.idealista.com/inmueble/108905958/</t>
        </is>
      </c>
      <c r="E1097" t="n">
        <v>8</v>
      </c>
      <c r="H1097" t="n">
        <v>472</v>
      </c>
      <c r="J1097" t="inlineStr">
        <is>
          <t>Zona periurbana, Inca</t>
        </is>
      </c>
      <c r="K1097" t="n">
        <v>37.5</v>
      </c>
      <c r="L1097" t="n">
        <v>29</v>
      </c>
      <c r="M1097" t="n">
        <v>55.6</v>
      </c>
      <c r="N1097" t="n">
        <v>55</v>
      </c>
      <c r="O1097" t="n">
        <v>60.1</v>
      </c>
      <c r="P1097" t="n">
        <v>45</v>
      </c>
      <c r="Q1097" t="n">
        <v>53.3</v>
      </c>
      <c r="R1097" t="n">
        <v>51</v>
      </c>
      <c r="S1097" t="n">
        <v>3900000</v>
      </c>
      <c r="T1097" t="n">
        <v>8263</v>
      </c>
      <c r="AH1097" t="inlineStr">
        <is>
          <t>Quelle: Idealista</t>
        </is>
      </c>
    </row>
    <row r="1098">
      <c r="A1098" t="n">
        <v>911</v>
      </c>
      <c r="B1098" t="inlineStr">
        <is>
          <t>Casa independiente</t>
        </is>
      </c>
      <c r="C1098" t="inlineStr">
        <is>
          <t>https://www.idealista.com/inmueble/108458230/</t>
        </is>
      </c>
      <c r="E1098" t="n">
        <v>6</v>
      </c>
      <c r="H1098" t="n">
        <v>700</v>
      </c>
      <c r="J1098" t="inlineStr">
        <is>
          <t>Son Amonda - Reis Catòlics, Inca</t>
        </is>
      </c>
      <c r="K1098" t="n">
        <v>38.7</v>
      </c>
      <c r="L1098" t="n">
        <v>33</v>
      </c>
      <c r="M1098" t="n">
        <v>56.8</v>
      </c>
      <c r="N1098" t="n">
        <v>59</v>
      </c>
      <c r="O1098" t="n">
        <v>61.3</v>
      </c>
      <c r="P1098" t="n">
        <v>49</v>
      </c>
      <c r="Q1098" t="n">
        <v>54.5</v>
      </c>
      <c r="R1098" t="n">
        <v>55</v>
      </c>
      <c r="S1098" t="n">
        <v>2200000</v>
      </c>
      <c r="T1098" t="n">
        <v>3143</v>
      </c>
      <c r="AH1098" t="inlineStr">
        <is>
          <t>Quelle: Idealista</t>
        </is>
      </c>
    </row>
    <row r="1099">
      <c r="A1099" t="n">
        <v>912</v>
      </c>
      <c r="B1099" t="inlineStr">
        <is>
          <t>Finca rústica</t>
        </is>
      </c>
      <c r="C1099" t="inlineStr">
        <is>
          <t>https://www.idealista.com/inmueble/106984034/</t>
        </is>
      </c>
      <c r="E1099" t="n">
        <v>5</v>
      </c>
      <c r="H1099" t="n">
        <v>789</v>
      </c>
      <c r="J1099" t="inlineStr">
        <is>
          <t>Zona periurbana, Inca</t>
        </is>
      </c>
      <c r="K1099" t="n">
        <v>37.5</v>
      </c>
      <c r="L1099" t="n">
        <v>29</v>
      </c>
      <c r="M1099" t="n">
        <v>55.6</v>
      </c>
      <c r="N1099" t="n">
        <v>55</v>
      </c>
      <c r="O1099" t="n">
        <v>60.1</v>
      </c>
      <c r="P1099" t="n">
        <v>45</v>
      </c>
      <c r="Q1099" t="n">
        <v>53.3</v>
      </c>
      <c r="R1099" t="n">
        <v>51</v>
      </c>
      <c r="S1099" t="n">
        <v>2250000</v>
      </c>
      <c r="T1099" t="n">
        <v>2852</v>
      </c>
      <c r="AH1099" t="inlineStr">
        <is>
          <t>Quelle: Idealista</t>
        </is>
      </c>
    </row>
    <row r="1100">
      <c r="A1100" t="n">
        <v>913</v>
      </c>
      <c r="B1100" t="inlineStr">
        <is>
          <t>Finca rústica</t>
        </is>
      </c>
      <c r="C1100" t="inlineStr">
        <is>
          <t>https://www.idealista.com/inmueble/108106396/</t>
        </is>
      </c>
      <c r="E1100" t="n">
        <v>5</v>
      </c>
      <c r="H1100" t="n">
        <v>451</v>
      </c>
      <c r="J1100" t="inlineStr">
        <is>
          <t>Zona periurbana, Inca</t>
        </is>
      </c>
      <c r="K1100" t="n">
        <v>37.5</v>
      </c>
      <c r="L1100" t="n">
        <v>29</v>
      </c>
      <c r="M1100" t="n">
        <v>55.6</v>
      </c>
      <c r="N1100" t="n">
        <v>55</v>
      </c>
      <c r="O1100" t="n">
        <v>60.1</v>
      </c>
      <c r="P1100" t="n">
        <v>45</v>
      </c>
      <c r="Q1100" t="n">
        <v>53.3</v>
      </c>
      <c r="R1100" t="n">
        <v>51</v>
      </c>
      <c r="S1100" t="n">
        <v>2300000</v>
      </c>
      <c r="T1100" t="n">
        <v>5100</v>
      </c>
      <c r="AH1100" t="inlineStr">
        <is>
          <t>Quelle: Idealista</t>
        </is>
      </c>
    </row>
    <row r="1101">
      <c r="A1101" t="n">
        <v>914</v>
      </c>
      <c r="B1101" t="inlineStr">
        <is>
          <t>Casa rural</t>
        </is>
      </c>
      <c r="C1101" t="inlineStr">
        <is>
          <t>https://www.idealista.com/inmueble/102228752/</t>
        </is>
      </c>
      <c r="E1101" t="n">
        <v>7</v>
      </c>
      <c r="H1101" t="n">
        <v>3200</v>
      </c>
      <c r="J1101" t="inlineStr">
        <is>
          <t>Centro, Inca</t>
        </is>
      </c>
      <c r="K1101" t="n">
        <v>37.5</v>
      </c>
      <c r="L1101" t="n">
        <v>29</v>
      </c>
      <c r="M1101" t="n">
        <v>55.6</v>
      </c>
      <c r="N1101" t="n">
        <v>55</v>
      </c>
      <c r="O1101" t="n">
        <v>60.1</v>
      </c>
      <c r="P1101" t="n">
        <v>45</v>
      </c>
      <c r="Q1101" t="n">
        <v>53.3</v>
      </c>
      <c r="R1101" t="n">
        <v>51</v>
      </c>
      <c r="S1101" t="n">
        <v>5900000</v>
      </c>
      <c r="T1101" t="n">
        <v>1844</v>
      </c>
      <c r="AH1101" t="inlineStr">
        <is>
          <t>Quelle: Idealista</t>
        </is>
      </c>
    </row>
    <row r="1102">
      <c r="A1102" t="n">
        <v>915</v>
      </c>
      <c r="B1102" t="inlineStr">
        <is>
          <t>Casa rural</t>
        </is>
      </c>
      <c r="C1102" t="inlineStr">
        <is>
          <t>https://www.idealista.com/inmueble/102229026/</t>
        </is>
      </c>
      <c r="E1102" t="n">
        <v>9</v>
      </c>
      <c r="H1102" t="n">
        <v>2887</v>
      </c>
      <c r="J1102" t="inlineStr">
        <is>
          <t>Gran Via de Colom, Inca</t>
        </is>
      </c>
      <c r="K1102" t="n">
        <v>36.9</v>
      </c>
      <c r="L1102" t="n">
        <v>31</v>
      </c>
      <c r="M1102" t="n">
        <v>56.1</v>
      </c>
      <c r="N1102" t="n">
        <v>57</v>
      </c>
      <c r="O1102" t="n">
        <v>59.5</v>
      </c>
      <c r="P1102" t="n">
        <v>47</v>
      </c>
      <c r="Q1102" t="n">
        <v>53.8</v>
      </c>
      <c r="R1102" t="n">
        <v>54</v>
      </c>
      <c r="S1102" t="n">
        <v>2950000</v>
      </c>
      <c r="T1102" t="n">
        <v>1022</v>
      </c>
      <c r="AH1102" t="inlineStr">
        <is>
          <t>Quelle: Idealista</t>
        </is>
      </c>
    </row>
    <row r="1103">
      <c r="A1103" t="n">
        <v>916</v>
      </c>
      <c r="B1103" t="inlineStr">
        <is>
          <t>Chalet en calle del Rei</t>
        </is>
      </c>
      <c r="C1103" t="inlineStr">
        <is>
          <t>https://www.idealista.com/inmueble/107416376/</t>
        </is>
      </c>
      <c r="E1103" t="n">
        <v>9</v>
      </c>
      <c r="H1103" t="n">
        <v>2887</v>
      </c>
      <c r="J1103" t="inlineStr">
        <is>
          <t>Centro, Inca</t>
        </is>
      </c>
      <c r="K1103" t="n">
        <v>37.5</v>
      </c>
      <c r="L1103" t="n">
        <v>29</v>
      </c>
      <c r="M1103" t="n">
        <v>55.6</v>
      </c>
      <c r="N1103" t="n">
        <v>55</v>
      </c>
      <c r="O1103" t="n">
        <v>60.1</v>
      </c>
      <c r="P1103" t="n">
        <v>45</v>
      </c>
      <c r="Q1103" t="n">
        <v>53.3</v>
      </c>
      <c r="R1103" t="n">
        <v>51</v>
      </c>
      <c r="S1103" t="n">
        <v>2950000</v>
      </c>
      <c r="T1103" t="n">
        <v>1022</v>
      </c>
      <c r="AH1103" t="inlineStr">
        <is>
          <t>Quelle: Idealista</t>
        </is>
      </c>
    </row>
    <row r="1104">
      <c r="A1104" t="n">
        <v>917</v>
      </c>
      <c r="B1104" t="inlineStr">
        <is>
          <t>Finca rústica en calle de Sant Miquel</t>
        </is>
      </c>
      <c r="C1104" t="inlineStr">
        <is>
          <t>https://www.idealista.com/inmueble/107141075/</t>
        </is>
      </c>
      <c r="E1104" t="n">
        <v>5</v>
      </c>
      <c r="H1104" t="n">
        <v>789</v>
      </c>
      <c r="J1104" t="inlineStr">
        <is>
          <t>Centro, Inca</t>
        </is>
      </c>
      <c r="K1104" t="n">
        <v>37.5</v>
      </c>
      <c r="L1104" t="n">
        <v>29</v>
      </c>
      <c r="M1104" t="n">
        <v>55.6</v>
      </c>
      <c r="N1104" t="n">
        <v>55</v>
      </c>
      <c r="O1104" t="n">
        <v>60.1</v>
      </c>
      <c r="P1104" t="n">
        <v>45</v>
      </c>
      <c r="Q1104" t="n">
        <v>53.3</v>
      </c>
      <c r="R1104" t="n">
        <v>51</v>
      </c>
      <c r="S1104" t="n">
        <v>2250000</v>
      </c>
      <c r="T1104" t="n">
        <v>2852</v>
      </c>
      <c r="AH1104" t="inlineStr">
        <is>
          <t>Quelle: Idealista</t>
        </is>
      </c>
    </row>
    <row r="1105">
      <c r="A1105" t="n">
        <v>918</v>
      </c>
      <c r="B1105" t="inlineStr">
        <is>
          <t>Casa rural</t>
        </is>
      </c>
      <c r="C1105" t="inlineStr">
        <is>
          <t>https://www.idealista.com/inmueble/95122367/</t>
        </is>
      </c>
      <c r="E1105" t="n">
        <v>5</v>
      </c>
      <c r="H1105" t="n">
        <v>2416</v>
      </c>
      <c r="J1105" t="inlineStr">
        <is>
          <t>Zona periurbana, Inca</t>
        </is>
      </c>
      <c r="K1105" t="n">
        <v>37.5</v>
      </c>
      <c r="L1105" t="n">
        <v>29</v>
      </c>
      <c r="M1105" t="n">
        <v>55.6</v>
      </c>
      <c r="N1105" t="n">
        <v>55</v>
      </c>
      <c r="O1105" t="n">
        <v>60.1</v>
      </c>
      <c r="P1105" t="n">
        <v>45</v>
      </c>
      <c r="Q1105" t="n">
        <v>53.3</v>
      </c>
      <c r="R1105" t="n">
        <v>51</v>
      </c>
      <c r="S1105" t="n">
        <v>5900000</v>
      </c>
      <c r="T1105" t="n">
        <v>2442</v>
      </c>
      <c r="AH1105" t="inlineStr">
        <is>
          <t>Quelle: Idealista</t>
        </is>
      </c>
    </row>
    <row r="1106">
      <c r="A1106" t="n">
        <v>919</v>
      </c>
      <c r="B1106" t="inlineStr">
        <is>
          <t>Casa independiente</t>
        </is>
      </c>
      <c r="C1106" t="inlineStr">
        <is>
          <t>https://www.idealista.com/inmueble/106249474/</t>
        </is>
      </c>
      <c r="E1106" t="n">
        <v>6</v>
      </c>
      <c r="H1106" t="n">
        <v>700</v>
      </c>
      <c r="J1106" t="inlineStr">
        <is>
          <t>Son Amonda - Reis Catòlics, Inca</t>
        </is>
      </c>
      <c r="K1106" t="n">
        <v>38.7</v>
      </c>
      <c r="L1106" t="n">
        <v>33</v>
      </c>
      <c r="M1106" t="n">
        <v>56.8</v>
      </c>
      <c r="N1106" t="n">
        <v>59</v>
      </c>
      <c r="O1106" t="n">
        <v>61.3</v>
      </c>
      <c r="P1106" t="n">
        <v>49</v>
      </c>
      <c r="Q1106" t="n">
        <v>54.5</v>
      </c>
      <c r="R1106" t="n">
        <v>55</v>
      </c>
      <c r="S1106" t="n">
        <v>2200000</v>
      </c>
      <c r="T1106" t="n">
        <v>3143</v>
      </c>
      <c r="AH1106" t="inlineStr">
        <is>
          <t>Quelle: Idealista</t>
        </is>
      </c>
    </row>
    <row r="1107">
      <c r="A1107" t="n">
        <v>920</v>
      </c>
      <c r="B1107" t="inlineStr">
        <is>
          <t>Finca rústica en Barrio Diseminados, 438</t>
        </is>
      </c>
      <c r="C1107" t="inlineStr">
        <is>
          <t>https://www.idealista.com/inmueble/89772338/</t>
        </is>
      </c>
      <c r="E1107" t="n">
        <v>5</v>
      </c>
      <c r="H1107" t="n">
        <v>700</v>
      </c>
      <c r="J1107" t="inlineStr">
        <is>
          <t>Zona periurbana, Inca</t>
        </is>
      </c>
      <c r="K1107" t="n">
        <v>37.5</v>
      </c>
      <c r="L1107" t="n">
        <v>29</v>
      </c>
      <c r="M1107" t="n">
        <v>55.6</v>
      </c>
      <c r="N1107" t="n">
        <v>55</v>
      </c>
      <c r="O1107" t="n">
        <v>60.1</v>
      </c>
      <c r="P1107" t="n">
        <v>45</v>
      </c>
      <c r="Q1107" t="n">
        <v>53.3</v>
      </c>
      <c r="R1107" t="n">
        <v>51</v>
      </c>
      <c r="S1107" t="n">
        <v>2250000</v>
      </c>
      <c r="T1107" t="n">
        <v>3214</v>
      </c>
      <c r="AH1107" t="inlineStr">
        <is>
          <t>Quelle: Idealista</t>
        </is>
      </c>
    </row>
    <row r="1108">
      <c r="A1108" t="n">
        <v>921</v>
      </c>
      <c r="B1108" t="inlineStr">
        <is>
          <t>Casa independiente</t>
        </is>
      </c>
      <c r="C1108" t="inlineStr">
        <is>
          <t>https://www.idealista.com/inmueble/29168751/</t>
        </is>
      </c>
      <c r="E1108" t="n">
        <v>6</v>
      </c>
      <c r="H1108" t="n">
        <v>789</v>
      </c>
      <c r="J1108" t="inlineStr">
        <is>
          <t>Zona periurbana, Inca</t>
        </is>
      </c>
      <c r="K1108" t="n">
        <v>37.5</v>
      </c>
      <c r="L1108" t="n">
        <v>29</v>
      </c>
      <c r="M1108" t="n">
        <v>55.6</v>
      </c>
      <c r="N1108" t="n">
        <v>55</v>
      </c>
      <c r="O1108" t="n">
        <v>60.1</v>
      </c>
      <c r="P1108" t="n">
        <v>45</v>
      </c>
      <c r="Q1108" t="n">
        <v>53.3</v>
      </c>
      <c r="R1108" t="n">
        <v>51</v>
      </c>
      <c r="S1108" t="n">
        <v>2227000</v>
      </c>
      <c r="T1108" t="n">
        <v>2823</v>
      </c>
      <c r="AH1108" t="inlineStr">
        <is>
          <t>Quelle: Idealista</t>
        </is>
      </c>
    </row>
    <row r="1109">
      <c r="A1109" t="n">
        <v>922</v>
      </c>
      <c r="B1109" t="inlineStr">
        <is>
          <t>Casa independiente</t>
        </is>
      </c>
      <c r="C1109" t="inlineStr">
        <is>
          <t>https://www.idealista.com/inmueble/100405927/</t>
        </is>
      </c>
      <c r="E1109" t="n">
        <v>6</v>
      </c>
      <c r="H1109" t="n">
        <v>820</v>
      </c>
      <c r="J1109" t="inlineStr">
        <is>
          <t>Son Amonda - Reis Catòlics, Inca</t>
        </is>
      </c>
      <c r="K1109" t="n">
        <v>38.7</v>
      </c>
      <c r="L1109" t="n">
        <v>33</v>
      </c>
      <c r="M1109" t="n">
        <v>56.8</v>
      </c>
      <c r="N1109" t="n">
        <v>59</v>
      </c>
      <c r="O1109" t="n">
        <v>61.3</v>
      </c>
      <c r="P1109" t="n">
        <v>49</v>
      </c>
      <c r="Q1109" t="n">
        <v>54.5</v>
      </c>
      <c r="R1109" t="n">
        <v>55</v>
      </c>
      <c r="S1109" t="n">
        <v>3500000</v>
      </c>
      <c r="T1109" t="n">
        <v>4268</v>
      </c>
      <c r="AH1109" t="inlineStr">
        <is>
          <t>Quelle: Idealista</t>
        </is>
      </c>
    </row>
    <row r="1110">
      <c r="A1110" t="n">
        <v>923</v>
      </c>
      <c r="B1110" t="inlineStr">
        <is>
          <t>Casa rural</t>
        </is>
      </c>
      <c r="C1110" t="inlineStr">
        <is>
          <t>https://www.idealista.com/inmueble/93416664/</t>
        </is>
      </c>
      <c r="E1110" t="n">
        <v>9</v>
      </c>
      <c r="H1110" t="n">
        <v>1000</v>
      </c>
      <c r="J1110" t="inlineStr">
        <is>
          <t>Zona periurbana, Inca</t>
        </is>
      </c>
      <c r="K1110" t="n">
        <v>37.5</v>
      </c>
      <c r="L1110" t="n">
        <v>29</v>
      </c>
      <c r="M1110" t="n">
        <v>55.6</v>
      </c>
      <c r="N1110" t="n">
        <v>55</v>
      </c>
      <c r="O1110" t="n">
        <v>60.1</v>
      </c>
      <c r="P1110" t="n">
        <v>45</v>
      </c>
      <c r="Q1110" t="n">
        <v>53.3</v>
      </c>
      <c r="R1110" t="n">
        <v>51</v>
      </c>
      <c r="S1110" t="n">
        <v>5500000</v>
      </c>
      <c r="T1110" t="n">
        <v>5500</v>
      </c>
      <c r="AH1110" t="inlineStr">
        <is>
          <t>Quelle: Idealista</t>
        </is>
      </c>
    </row>
    <row r="1111">
      <c r="A1111" t="n">
        <v>924</v>
      </c>
      <c r="B1111" t="inlineStr">
        <is>
          <t>Finca rústica</t>
        </is>
      </c>
      <c r="C1111" t="inlineStr">
        <is>
          <t>https://www.idealista.com/inmueble/95972324/</t>
        </is>
      </c>
      <c r="E1111" t="n">
        <v>5</v>
      </c>
      <c r="H1111" t="n">
        <v>2416</v>
      </c>
      <c r="J1111" t="inlineStr">
        <is>
          <t>Zona periurbana, Inca</t>
        </is>
      </c>
      <c r="K1111" t="n">
        <v>37.5</v>
      </c>
      <c r="L1111" t="n">
        <v>29</v>
      </c>
      <c r="M1111" t="n">
        <v>55.6</v>
      </c>
      <c r="N1111" t="n">
        <v>55</v>
      </c>
      <c r="O1111" t="n">
        <v>60.1</v>
      </c>
      <c r="P1111" t="n">
        <v>45</v>
      </c>
      <c r="Q1111" t="n">
        <v>53.3</v>
      </c>
      <c r="R1111" t="n">
        <v>51</v>
      </c>
      <c r="S1111" t="n">
        <v>5900000</v>
      </c>
      <c r="T1111" t="n">
        <v>2442</v>
      </c>
      <c r="AH1111" t="inlineStr">
        <is>
          <t>Quelle: Idealista</t>
        </is>
      </c>
    </row>
    <row r="1112">
      <c r="A1112" t="n">
        <v>925</v>
      </c>
      <c r="B1112" t="inlineStr">
        <is>
          <t>Finca rústica</t>
        </is>
      </c>
      <c r="C1112" t="inlineStr">
        <is>
          <t>https://www.idealista.com/inmueble/38427219/</t>
        </is>
      </c>
      <c r="E1112" t="n">
        <v>6</v>
      </c>
      <c r="H1112" t="n">
        <v>310</v>
      </c>
      <c r="J1112" t="inlineStr">
        <is>
          <t>Zona periurbana, Inca</t>
        </is>
      </c>
      <c r="K1112" t="n">
        <v>37.5</v>
      </c>
      <c r="L1112" t="n">
        <v>29</v>
      </c>
      <c r="M1112" t="n">
        <v>55.6</v>
      </c>
      <c r="N1112" t="n">
        <v>55</v>
      </c>
      <c r="O1112" t="n">
        <v>60.1</v>
      </c>
      <c r="P1112" t="n">
        <v>45</v>
      </c>
      <c r="Q1112" t="n">
        <v>53.3</v>
      </c>
      <c r="R1112" t="n">
        <v>51</v>
      </c>
      <c r="S1112" t="n">
        <v>2500000</v>
      </c>
      <c r="T1112" t="n">
        <v>8065</v>
      </c>
      <c r="AH1112" t="inlineStr">
        <is>
          <t>Quelle: Idealista</t>
        </is>
      </c>
    </row>
    <row r="1113">
      <c r="A1113" t="n">
        <v>926</v>
      </c>
      <c r="B1113" t="inlineStr">
        <is>
          <t>Chalet en calle de ses Parres</t>
        </is>
      </c>
      <c r="C1113" t="inlineStr">
        <is>
          <t>https://www.idealista.com/inmueble/110293859/</t>
        </is>
      </c>
      <c r="E1113" t="n">
        <v>7</v>
      </c>
      <c r="H1113" t="n">
        <v>700</v>
      </c>
      <c r="J1113" t="inlineStr">
        <is>
          <t>Lloret de Vista Alegre</t>
        </is>
      </c>
      <c r="K1113" t="n">
        <v>33.2</v>
      </c>
      <c r="L1113" t="n">
        <v>36</v>
      </c>
      <c r="M1113" t="n">
        <v>47.7</v>
      </c>
      <c r="N1113" t="n">
        <v>51</v>
      </c>
      <c r="O1113" t="n">
        <v>65</v>
      </c>
      <c r="P1113" t="n">
        <v>57</v>
      </c>
      <c r="Q1113" t="n">
        <v>45.4</v>
      </c>
      <c r="R1113" t="n">
        <v>47</v>
      </c>
      <c r="S1113" t="n">
        <v>2650000</v>
      </c>
      <c r="T1113" t="n">
        <v>3786</v>
      </c>
      <c r="AH1113" t="inlineStr">
        <is>
          <t>Quelle: Idealista</t>
        </is>
      </c>
    </row>
    <row r="1114">
      <c r="A1114" t="n">
        <v>927</v>
      </c>
      <c r="B1114" t="inlineStr">
        <is>
          <t>Finca rústica</t>
        </is>
      </c>
      <c r="C1114" t="inlineStr">
        <is>
          <t>https://www.idealista.com/inmueble/95964432/</t>
        </is>
      </c>
      <c r="E1114" t="n">
        <v>7</v>
      </c>
      <c r="H1114" t="n">
        <v>900</v>
      </c>
      <c r="J1114" t="inlineStr">
        <is>
          <t>Lloret de Vista Alegre</t>
        </is>
      </c>
      <c r="K1114" t="n">
        <v>33.2</v>
      </c>
      <c r="L1114" t="n">
        <v>36</v>
      </c>
      <c r="M1114" t="n">
        <v>47.7</v>
      </c>
      <c r="N1114" t="n">
        <v>51</v>
      </c>
      <c r="O1114" t="n">
        <v>65</v>
      </c>
      <c r="P1114" t="n">
        <v>57</v>
      </c>
      <c r="Q1114" t="n">
        <v>45.4</v>
      </c>
      <c r="R1114" t="n">
        <v>47</v>
      </c>
      <c r="S1114" t="n">
        <v>3800000</v>
      </c>
      <c r="T1114" t="n">
        <v>4222</v>
      </c>
      <c r="AH1114" t="inlineStr">
        <is>
          <t>Quelle: Idealista</t>
        </is>
      </c>
    </row>
    <row r="1115">
      <c r="A1115" t="n">
        <v>928</v>
      </c>
      <c r="B1115" t="inlineStr">
        <is>
          <t>Casa independiente</t>
        </is>
      </c>
      <c r="C1115" t="inlineStr">
        <is>
          <t>https://www.idealista.com/inmueble/109543012/</t>
        </is>
      </c>
      <c r="E1115" t="n">
        <v>7</v>
      </c>
      <c r="H1115" t="n">
        <v>1092</v>
      </c>
      <c r="J1115" t="inlineStr">
        <is>
          <t>Lloret de Vista Alegre</t>
        </is>
      </c>
      <c r="K1115" t="n">
        <v>33.2</v>
      </c>
      <c r="L1115" t="n">
        <v>36</v>
      </c>
      <c r="M1115" t="n">
        <v>47.7</v>
      </c>
      <c r="N1115" t="n">
        <v>51</v>
      </c>
      <c r="O1115" t="n">
        <v>65</v>
      </c>
      <c r="P1115" t="n">
        <v>57</v>
      </c>
      <c r="Q1115" t="n">
        <v>45.4</v>
      </c>
      <c r="R1115" t="n">
        <v>47</v>
      </c>
      <c r="S1115" t="n">
        <v>3800000</v>
      </c>
      <c r="T1115" t="n">
        <v>3480</v>
      </c>
      <c r="AH1115" t="inlineStr">
        <is>
          <t>Quelle: Idealista</t>
        </is>
      </c>
    </row>
    <row r="1116">
      <c r="A1116" t="n">
        <v>929</v>
      </c>
      <c r="B1116" t="inlineStr">
        <is>
          <t>Finca rústica</t>
        </is>
      </c>
      <c r="C1116" t="inlineStr">
        <is>
          <t>https://www.idealista.com/inmueble/106130613/</t>
        </is>
      </c>
      <c r="E1116" t="n">
        <v>6</v>
      </c>
      <c r="H1116" t="n">
        <v>861</v>
      </c>
      <c r="J1116" t="inlineStr">
        <is>
          <t>Lloret de Vista Alegre</t>
        </is>
      </c>
      <c r="K1116" t="n">
        <v>33.2</v>
      </c>
      <c r="L1116" t="n">
        <v>36</v>
      </c>
      <c r="M1116" t="n">
        <v>47.7</v>
      </c>
      <c r="N1116" t="n">
        <v>51</v>
      </c>
      <c r="O1116" t="n">
        <v>65</v>
      </c>
      <c r="P1116" t="n">
        <v>57</v>
      </c>
      <c r="Q1116" t="n">
        <v>45.4</v>
      </c>
      <c r="R1116" t="n">
        <v>47</v>
      </c>
      <c r="S1116" t="n">
        <v>2650000</v>
      </c>
      <c r="T1116" t="n">
        <v>3078</v>
      </c>
      <c r="AH1116" t="inlineStr">
        <is>
          <t>Quelle: Idealista</t>
        </is>
      </c>
    </row>
    <row r="1117">
      <c r="A1117" t="n">
        <v>930</v>
      </c>
      <c r="B1117" t="inlineStr">
        <is>
          <t>Finca rústica</t>
        </is>
      </c>
      <c r="C1117" t="inlineStr">
        <is>
          <t>https://www.idealista.com/inmueble/108858240/</t>
        </is>
      </c>
      <c r="E1117" t="n">
        <v>7</v>
      </c>
      <c r="H1117" t="n">
        <v>834</v>
      </c>
      <c r="J1117" t="inlineStr">
        <is>
          <t>Lloret de Vista Alegre</t>
        </is>
      </c>
      <c r="K1117" t="n">
        <v>33.2</v>
      </c>
      <c r="L1117" t="n">
        <v>36</v>
      </c>
      <c r="M1117" t="n">
        <v>47.7</v>
      </c>
      <c r="N1117" t="n">
        <v>51</v>
      </c>
      <c r="O1117" t="n">
        <v>65</v>
      </c>
      <c r="P1117" t="n">
        <v>57</v>
      </c>
      <c r="Q1117" t="n">
        <v>45.4</v>
      </c>
      <c r="R1117" t="n">
        <v>47</v>
      </c>
      <c r="S1117" t="n">
        <v>3800000</v>
      </c>
      <c r="T1117" t="n">
        <v>4556</v>
      </c>
      <c r="AH1117" t="inlineStr">
        <is>
          <t>Quelle: Idealista</t>
        </is>
      </c>
    </row>
    <row r="1118">
      <c r="A1118" t="n">
        <v>931</v>
      </c>
      <c r="B1118" t="inlineStr">
        <is>
          <t>Finca rústica en camino de Son Gelabert, 205</t>
        </is>
      </c>
      <c r="C1118" t="inlineStr">
        <is>
          <t>https://www.idealista.com/inmueble/108293019/</t>
        </is>
      </c>
      <c r="E1118" t="n">
        <v>8</v>
      </c>
      <c r="H1118" t="n">
        <v>2500</v>
      </c>
      <c r="J1118" t="inlineStr">
        <is>
          <t>Lloret de Vista Alegre</t>
        </is>
      </c>
      <c r="K1118" t="n">
        <v>33.2</v>
      </c>
      <c r="L1118" t="n">
        <v>36</v>
      </c>
      <c r="M1118" t="n">
        <v>47.7</v>
      </c>
      <c r="N1118" t="n">
        <v>51</v>
      </c>
      <c r="O1118" t="n">
        <v>65</v>
      </c>
      <c r="P1118" t="n">
        <v>57</v>
      </c>
      <c r="Q1118" t="n">
        <v>45.4</v>
      </c>
      <c r="R1118" t="n">
        <v>47</v>
      </c>
      <c r="S1118" t="n">
        <v>2928337</v>
      </c>
      <c r="T1118" t="n">
        <v>1171</v>
      </c>
      <c r="AH1118" t="inlineStr">
        <is>
          <t>Quelle: Idealista</t>
        </is>
      </c>
    </row>
    <row r="1119">
      <c r="A1119" t="n">
        <v>932</v>
      </c>
      <c r="B1119" t="inlineStr">
        <is>
          <t>Casa rural</t>
        </is>
      </c>
      <c r="C1119" t="inlineStr">
        <is>
          <t>https://www.idealista.com/inmueble/108238237/</t>
        </is>
      </c>
      <c r="E1119" t="n">
        <v>7</v>
      </c>
      <c r="H1119" t="n">
        <v>800</v>
      </c>
      <c r="J1119" t="inlineStr">
        <is>
          <t>Lloret de Vista Alegre</t>
        </is>
      </c>
      <c r="K1119" t="n">
        <v>33.2</v>
      </c>
      <c r="L1119" t="n">
        <v>36</v>
      </c>
      <c r="M1119" t="n">
        <v>47.7</v>
      </c>
      <c r="N1119" t="n">
        <v>51</v>
      </c>
      <c r="O1119" t="n">
        <v>65</v>
      </c>
      <c r="P1119" t="n">
        <v>57</v>
      </c>
      <c r="Q1119" t="n">
        <v>45.4</v>
      </c>
      <c r="R1119" t="n">
        <v>47</v>
      </c>
      <c r="S1119" t="n">
        <v>3800000</v>
      </c>
      <c r="T1119" t="n">
        <v>4750</v>
      </c>
      <c r="AH1119" t="inlineStr">
        <is>
          <t>Quelle: Idealista</t>
        </is>
      </c>
    </row>
    <row r="1120">
      <c r="A1120" t="n">
        <v>933</v>
      </c>
      <c r="B1120" t="inlineStr">
        <is>
          <t>Casa rural</t>
        </is>
      </c>
      <c r="C1120" t="inlineStr">
        <is>
          <t>https://www.idealista.com/inmueble/102227289/</t>
        </is>
      </c>
      <c r="E1120" t="n">
        <v>7</v>
      </c>
      <c r="H1120" t="n">
        <v>800</v>
      </c>
      <c r="J1120" t="inlineStr">
        <is>
          <t>Lloret de Vista Alegre</t>
        </is>
      </c>
      <c r="K1120" t="n">
        <v>33.2</v>
      </c>
      <c r="L1120" t="n">
        <v>36</v>
      </c>
      <c r="M1120" t="n">
        <v>47.7</v>
      </c>
      <c r="N1120" t="n">
        <v>51</v>
      </c>
      <c r="O1120" t="n">
        <v>65</v>
      </c>
      <c r="P1120" t="n">
        <v>57</v>
      </c>
      <c r="Q1120" t="n">
        <v>45.4</v>
      </c>
      <c r="R1120" t="n">
        <v>47</v>
      </c>
      <c r="S1120" t="n">
        <v>2650000</v>
      </c>
      <c r="T1120" t="n">
        <v>3312</v>
      </c>
      <c r="AH1120" t="inlineStr">
        <is>
          <t>Quelle: Idealista</t>
        </is>
      </c>
    </row>
    <row r="1121">
      <c r="A1121" t="n">
        <v>934</v>
      </c>
      <c r="B1121" t="inlineStr">
        <is>
          <t>Casa independiente en Ma-3130</t>
        </is>
      </c>
      <c r="C1121" t="inlineStr">
        <is>
          <t>https://www.idealista.com/inmueble/107412691/</t>
        </is>
      </c>
      <c r="E1121" t="n">
        <v>5</v>
      </c>
      <c r="H1121" t="n">
        <v>458</v>
      </c>
      <c r="J1121" t="inlineStr">
        <is>
          <t>Lloret de Vista Alegre</t>
        </is>
      </c>
      <c r="K1121" t="n">
        <v>33.2</v>
      </c>
      <c r="L1121" t="n">
        <v>36</v>
      </c>
      <c r="M1121" t="n">
        <v>47.7</v>
      </c>
      <c r="N1121" t="n">
        <v>51</v>
      </c>
      <c r="O1121" t="n">
        <v>65</v>
      </c>
      <c r="P1121" t="n">
        <v>57</v>
      </c>
      <c r="Q1121" t="n">
        <v>45.4</v>
      </c>
      <c r="R1121" t="n">
        <v>47</v>
      </c>
      <c r="S1121" t="n">
        <v>3250000</v>
      </c>
      <c r="T1121" t="n">
        <v>7096</v>
      </c>
      <c r="AH1121" t="inlineStr">
        <is>
          <t>Quelle: Idealista</t>
        </is>
      </c>
    </row>
    <row r="1122">
      <c r="A1122" t="n">
        <v>935</v>
      </c>
      <c r="B1122" t="inlineStr">
        <is>
          <t>Casa rural</t>
        </is>
      </c>
      <c r="C1122" t="inlineStr">
        <is>
          <t>https://www.idealista.com/inmueble/107326307/</t>
        </is>
      </c>
      <c r="E1122" t="n">
        <v>5</v>
      </c>
      <c r="H1122" t="n">
        <v>335</v>
      </c>
      <c r="J1122" t="inlineStr">
        <is>
          <t>Lloret de Vista Alegre</t>
        </is>
      </c>
      <c r="K1122" t="n">
        <v>33.2</v>
      </c>
      <c r="L1122" t="n">
        <v>36</v>
      </c>
      <c r="M1122" t="n">
        <v>47.7</v>
      </c>
      <c r="N1122" t="n">
        <v>51</v>
      </c>
      <c r="O1122" t="n">
        <v>65</v>
      </c>
      <c r="P1122" t="n">
        <v>57</v>
      </c>
      <c r="Q1122" t="n">
        <v>45.4</v>
      </c>
      <c r="R1122" t="n">
        <v>47</v>
      </c>
      <c r="S1122" t="n">
        <v>2070000</v>
      </c>
      <c r="T1122" t="n">
        <v>6179</v>
      </c>
      <c r="AH1122" t="inlineStr">
        <is>
          <t>Quelle: Idealista</t>
        </is>
      </c>
    </row>
    <row r="1123">
      <c r="A1123" t="n">
        <v>936</v>
      </c>
      <c r="B1123" t="inlineStr">
        <is>
          <t>Finca rústica</t>
        </is>
      </c>
      <c r="C1123" t="inlineStr">
        <is>
          <t>https://www.idealista.com/inmueble/106130449/</t>
        </is>
      </c>
      <c r="E1123" t="n">
        <v>7</v>
      </c>
      <c r="H1123" t="n">
        <v>1125</v>
      </c>
      <c r="J1123" t="inlineStr">
        <is>
          <t>Lloret de Vista Alegre</t>
        </is>
      </c>
      <c r="K1123" t="n">
        <v>33.2</v>
      </c>
      <c r="L1123" t="n">
        <v>36</v>
      </c>
      <c r="M1123" t="n">
        <v>47.7</v>
      </c>
      <c r="N1123" t="n">
        <v>51</v>
      </c>
      <c r="O1123" t="n">
        <v>65</v>
      </c>
      <c r="P1123" t="n">
        <v>57</v>
      </c>
      <c r="Q1123" t="n">
        <v>45.4</v>
      </c>
      <c r="R1123" t="n">
        <v>47</v>
      </c>
      <c r="S1123" t="n">
        <v>3800000</v>
      </c>
      <c r="T1123" t="n">
        <v>3378</v>
      </c>
      <c r="AH1123" t="inlineStr">
        <is>
          <t>Quelle: Idealista</t>
        </is>
      </c>
    </row>
    <row r="1124">
      <c r="A1124" t="n">
        <v>937</v>
      </c>
      <c r="B1124" t="inlineStr">
        <is>
          <t>Casa rural</t>
        </is>
      </c>
      <c r="C1124" t="inlineStr">
        <is>
          <t>https://www.idealista.com/inmueble/106024359/</t>
        </is>
      </c>
      <c r="E1124" t="n">
        <v>10</v>
      </c>
      <c r="H1124" t="n">
        <v>1743</v>
      </c>
      <c r="J1124" t="inlineStr">
        <is>
          <t>Lloret de Vista Alegre</t>
        </is>
      </c>
      <c r="K1124" t="n">
        <v>33.2</v>
      </c>
      <c r="L1124" t="n">
        <v>36</v>
      </c>
      <c r="M1124" t="n">
        <v>47.7</v>
      </c>
      <c r="N1124" t="n">
        <v>51</v>
      </c>
      <c r="O1124" t="n">
        <v>65</v>
      </c>
      <c r="P1124" t="n">
        <v>57</v>
      </c>
      <c r="Q1124" t="n">
        <v>45.4</v>
      </c>
      <c r="R1124" t="n">
        <v>47</v>
      </c>
      <c r="S1124" t="n">
        <v>2708748</v>
      </c>
      <c r="T1124" t="n">
        <v>1554</v>
      </c>
      <c r="AH1124" t="inlineStr">
        <is>
          <t>Quelle: Idealista</t>
        </is>
      </c>
    </row>
    <row r="1125">
      <c r="A1125" t="n">
        <v>938</v>
      </c>
      <c r="B1125" t="inlineStr">
        <is>
          <t>Chalet en paseo de Josep Nicolau</t>
        </is>
      </c>
      <c r="C1125" t="inlineStr">
        <is>
          <t>https://www.idealista.com/inmueble/105722626/</t>
        </is>
      </c>
      <c r="E1125" t="n">
        <v>7</v>
      </c>
      <c r="H1125" t="n">
        <v>1300</v>
      </c>
      <c r="J1125" t="inlineStr">
        <is>
          <t>Lloret de Vista Alegre</t>
        </is>
      </c>
      <c r="K1125" t="n">
        <v>33.2</v>
      </c>
      <c r="L1125" t="n">
        <v>36</v>
      </c>
      <c r="M1125" t="n">
        <v>47.7</v>
      </c>
      <c r="N1125" t="n">
        <v>51</v>
      </c>
      <c r="O1125" t="n">
        <v>65</v>
      </c>
      <c r="P1125" t="n">
        <v>57</v>
      </c>
      <c r="Q1125" t="n">
        <v>45.4</v>
      </c>
      <c r="R1125" t="n">
        <v>47</v>
      </c>
      <c r="S1125" t="n">
        <v>3800000</v>
      </c>
      <c r="T1125" t="n">
        <v>2923</v>
      </c>
      <c r="AH1125" t="inlineStr">
        <is>
          <t>Quelle: Idealista</t>
        </is>
      </c>
    </row>
    <row r="1126">
      <c r="A1126" t="n">
        <v>939</v>
      </c>
      <c r="B1126" t="inlineStr">
        <is>
          <t>Casa rural</t>
        </is>
      </c>
      <c r="C1126" t="inlineStr">
        <is>
          <t>https://www.idealista.com/inmueble/105385332/</t>
        </is>
      </c>
      <c r="E1126" t="n">
        <v>7</v>
      </c>
      <c r="H1126" t="n">
        <v>800</v>
      </c>
      <c r="J1126" t="inlineStr">
        <is>
          <t>Lloret de Vista Alegre</t>
        </is>
      </c>
      <c r="K1126" t="n">
        <v>33.2</v>
      </c>
      <c r="L1126" t="n">
        <v>36</v>
      </c>
      <c r="M1126" t="n">
        <v>47.7</v>
      </c>
      <c r="N1126" t="n">
        <v>51</v>
      </c>
      <c r="O1126" t="n">
        <v>65</v>
      </c>
      <c r="P1126" t="n">
        <v>57</v>
      </c>
      <c r="Q1126" t="n">
        <v>45.4</v>
      </c>
      <c r="R1126" t="n">
        <v>47</v>
      </c>
      <c r="S1126" t="n">
        <v>2650000</v>
      </c>
      <c r="T1126" t="n">
        <v>3312</v>
      </c>
      <c r="AH1126" t="inlineStr">
        <is>
          <t>Quelle: Idealista</t>
        </is>
      </c>
    </row>
    <row r="1127">
      <c r="A1127" t="n">
        <v>940</v>
      </c>
      <c r="B1127" t="inlineStr">
        <is>
          <t>Finca rústica</t>
        </is>
      </c>
      <c r="C1127" t="inlineStr">
        <is>
          <t>https://www.idealista.com/inmueble/105204605/</t>
        </is>
      </c>
      <c r="E1127" t="n">
        <v>10</v>
      </c>
      <c r="H1127" t="n">
        <v>920</v>
      </c>
      <c r="J1127" t="inlineStr">
        <is>
          <t>Lloret de Vista Alegre</t>
        </is>
      </c>
      <c r="K1127" t="n">
        <v>33.2</v>
      </c>
      <c r="L1127" t="n">
        <v>36</v>
      </c>
      <c r="M1127" t="n">
        <v>47.7</v>
      </c>
      <c r="N1127" t="n">
        <v>51</v>
      </c>
      <c r="O1127" t="n">
        <v>65</v>
      </c>
      <c r="P1127" t="n">
        <v>57</v>
      </c>
      <c r="Q1127" t="n">
        <v>45.4</v>
      </c>
      <c r="R1127" t="n">
        <v>47</v>
      </c>
      <c r="S1127" t="n">
        <v>2708750</v>
      </c>
      <c r="T1127" t="n">
        <v>2944</v>
      </c>
      <c r="AH1127" t="inlineStr">
        <is>
          <t>Quelle: Idealista</t>
        </is>
      </c>
    </row>
    <row r="1128">
      <c r="A1128" t="n">
        <v>941</v>
      </c>
      <c r="B1128" t="inlineStr">
        <is>
          <t>Cortijo</t>
        </is>
      </c>
      <c r="C1128" t="inlineStr">
        <is>
          <t>https://www.idealista.com/inmueble/102832278/</t>
        </is>
      </c>
      <c r="E1128" t="n">
        <v>7</v>
      </c>
      <c r="H1128" t="n">
        <v>1092</v>
      </c>
      <c r="J1128" t="inlineStr">
        <is>
          <t>Lloret de Vista Alegre</t>
        </is>
      </c>
      <c r="K1128" t="n">
        <v>33.2</v>
      </c>
      <c r="L1128" t="n">
        <v>36</v>
      </c>
      <c r="M1128" t="n">
        <v>47.7</v>
      </c>
      <c r="N1128" t="n">
        <v>51</v>
      </c>
      <c r="O1128" t="n">
        <v>65</v>
      </c>
      <c r="P1128" t="n">
        <v>57</v>
      </c>
      <c r="Q1128" t="n">
        <v>45.4</v>
      </c>
      <c r="R1128" t="n">
        <v>47</v>
      </c>
      <c r="S1128" t="n">
        <v>3800000</v>
      </c>
      <c r="T1128" t="n">
        <v>3480</v>
      </c>
      <c r="AH1128" t="inlineStr">
        <is>
          <t>Quelle: Idealista</t>
        </is>
      </c>
    </row>
    <row r="1129">
      <c r="A1129" t="n">
        <v>942</v>
      </c>
      <c r="B1129" t="inlineStr">
        <is>
          <t>Finca rústica en Poligono 5</t>
        </is>
      </c>
      <c r="C1129" t="inlineStr">
        <is>
          <t>https://www.idealista.com/inmueble/103620156/</t>
        </is>
      </c>
      <c r="E1129" t="n">
        <v>10</v>
      </c>
      <c r="H1129" t="n">
        <v>1743</v>
      </c>
      <c r="J1129" t="inlineStr">
        <is>
          <t>Lloret de Vista Alegre</t>
        </is>
      </c>
      <c r="K1129" t="n">
        <v>33.2</v>
      </c>
      <c r="L1129" t="n">
        <v>36</v>
      </c>
      <c r="M1129" t="n">
        <v>47.7</v>
      </c>
      <c r="N1129" t="n">
        <v>51</v>
      </c>
      <c r="O1129" t="n">
        <v>65</v>
      </c>
      <c r="P1129" t="n">
        <v>57</v>
      </c>
      <c r="Q1129" t="n">
        <v>45.4</v>
      </c>
      <c r="R1129" t="n">
        <v>47</v>
      </c>
      <c r="S1129" t="n">
        <v>2709000</v>
      </c>
      <c r="T1129" t="n">
        <v>1554</v>
      </c>
      <c r="AH1129" t="inlineStr">
        <is>
          <t>Quelle: Idealista</t>
        </is>
      </c>
    </row>
    <row r="1130">
      <c r="A1130" t="n">
        <v>943</v>
      </c>
      <c r="B1130" t="inlineStr">
        <is>
          <t>Casa independiente en camino de Son Gelabert</t>
        </is>
      </c>
      <c r="C1130" t="inlineStr">
        <is>
          <t>https://www.idealista.com/inmueble/97948474/</t>
        </is>
      </c>
      <c r="E1130" t="n">
        <v>8</v>
      </c>
      <c r="H1130" t="n">
        <v>1200</v>
      </c>
      <c r="J1130" t="inlineStr">
        <is>
          <t>Lloret de Vista Alegre</t>
        </is>
      </c>
      <c r="K1130" t="n">
        <v>33.2</v>
      </c>
      <c r="L1130" t="n">
        <v>36</v>
      </c>
      <c r="M1130" t="n">
        <v>47.7</v>
      </c>
      <c r="N1130" t="n">
        <v>51</v>
      </c>
      <c r="O1130" t="n">
        <v>65</v>
      </c>
      <c r="P1130" t="n">
        <v>57</v>
      </c>
      <c r="Q1130" t="n">
        <v>45.4</v>
      </c>
      <c r="R1130" t="n">
        <v>47</v>
      </c>
      <c r="S1130" t="n">
        <v>3800000</v>
      </c>
      <c r="T1130" t="n">
        <v>3167</v>
      </c>
      <c r="AH1130" t="inlineStr">
        <is>
          <t>Quelle: Idealista</t>
        </is>
      </c>
    </row>
    <row r="1131">
      <c r="A1131" t="n">
        <v>944</v>
      </c>
      <c r="B1131" t="inlineStr">
        <is>
          <t>Casa independiente en camino de Son Gelabert</t>
        </is>
      </c>
      <c r="C1131" t="inlineStr">
        <is>
          <t>https://www.idealista.com/inmueble/98269373/</t>
        </is>
      </c>
      <c r="E1131" t="n">
        <v>6</v>
      </c>
      <c r="H1131" t="n">
        <v>1000</v>
      </c>
      <c r="J1131" t="inlineStr">
        <is>
          <t>Lloret de Vista Alegre</t>
        </is>
      </c>
      <c r="K1131" t="n">
        <v>33.2</v>
      </c>
      <c r="L1131" t="n">
        <v>36</v>
      </c>
      <c r="M1131" t="n">
        <v>47.7</v>
      </c>
      <c r="N1131" t="n">
        <v>51</v>
      </c>
      <c r="O1131" t="n">
        <v>65</v>
      </c>
      <c r="P1131" t="n">
        <v>57</v>
      </c>
      <c r="Q1131" t="n">
        <v>45.4</v>
      </c>
      <c r="R1131" t="n">
        <v>47</v>
      </c>
      <c r="S1131" t="n">
        <v>3800000</v>
      </c>
      <c r="T1131" t="n">
        <v>3800</v>
      </c>
      <c r="AH1131" t="inlineStr">
        <is>
          <t>Quelle: Idealista</t>
        </is>
      </c>
    </row>
    <row r="1132">
      <c r="A1132" t="n">
        <v>945</v>
      </c>
      <c r="B1132" t="inlineStr">
        <is>
          <t>Casa rural en Ds Poligono</t>
        </is>
      </c>
      <c r="C1132" t="inlineStr">
        <is>
          <t>https://www.idealista.com/inmueble/99243743/</t>
        </is>
      </c>
      <c r="E1132" t="n">
        <v>9</v>
      </c>
      <c r="H1132" t="n">
        <v>900</v>
      </c>
      <c r="J1132" t="inlineStr">
        <is>
          <t>Lloret de Vista Alegre</t>
        </is>
      </c>
      <c r="K1132" t="n">
        <v>33.2</v>
      </c>
      <c r="L1132" t="n">
        <v>36</v>
      </c>
      <c r="M1132" t="n">
        <v>47.7</v>
      </c>
      <c r="N1132" t="n">
        <v>51</v>
      </c>
      <c r="O1132" t="n">
        <v>65</v>
      </c>
      <c r="P1132" t="n">
        <v>57</v>
      </c>
      <c r="Q1132" t="n">
        <v>45.4</v>
      </c>
      <c r="R1132" t="n">
        <v>47</v>
      </c>
      <c r="S1132" t="n">
        <v>3800000</v>
      </c>
      <c r="T1132" t="n">
        <v>4222</v>
      </c>
      <c r="AH1132" t="inlineStr">
        <is>
          <t>Quelle: Idealista</t>
        </is>
      </c>
    </row>
    <row r="1133">
      <c r="A1133" t="n">
        <v>946</v>
      </c>
      <c r="B1133" t="inlineStr">
        <is>
          <t>Finca rústica</t>
        </is>
      </c>
      <c r="C1133" t="inlineStr">
        <is>
          <t>https://www.idealista.com/inmueble/97761902/</t>
        </is>
      </c>
      <c r="E1133" t="n">
        <v>7</v>
      </c>
      <c r="H1133" t="n">
        <v>900</v>
      </c>
      <c r="J1133" t="inlineStr">
        <is>
          <t>Lloret de Vista Alegre</t>
        </is>
      </c>
      <c r="K1133" t="n">
        <v>33.2</v>
      </c>
      <c r="L1133" t="n">
        <v>36</v>
      </c>
      <c r="M1133" t="n">
        <v>47.7</v>
      </c>
      <c r="N1133" t="n">
        <v>51</v>
      </c>
      <c r="O1133" t="n">
        <v>65</v>
      </c>
      <c r="P1133" t="n">
        <v>57</v>
      </c>
      <c r="Q1133" t="n">
        <v>45.4</v>
      </c>
      <c r="R1133" t="n">
        <v>47</v>
      </c>
      <c r="S1133" t="n">
        <v>3800000</v>
      </c>
      <c r="T1133" t="n">
        <v>4222</v>
      </c>
      <c r="AH1133" t="inlineStr">
        <is>
          <t>Quelle: Idealista</t>
        </is>
      </c>
    </row>
    <row r="1134">
      <c r="A1134" t="n">
        <v>947</v>
      </c>
      <c r="B1134" t="inlineStr">
        <is>
          <t>Casa rural</t>
        </is>
      </c>
      <c r="C1134" t="inlineStr">
        <is>
          <t>https://www.idealista.com/inmueble/96848746/</t>
        </is>
      </c>
      <c r="E1134" t="n">
        <v>10</v>
      </c>
      <c r="H1134" t="n">
        <v>1800</v>
      </c>
      <c r="J1134" t="inlineStr">
        <is>
          <t>Lloret de Vista Alegre</t>
        </is>
      </c>
      <c r="K1134" t="n">
        <v>33.2</v>
      </c>
      <c r="L1134" t="n">
        <v>36</v>
      </c>
      <c r="M1134" t="n">
        <v>47.7</v>
      </c>
      <c r="N1134" t="n">
        <v>51</v>
      </c>
      <c r="O1134" t="n">
        <v>65</v>
      </c>
      <c r="P1134" t="n">
        <v>57</v>
      </c>
      <c r="Q1134" t="n">
        <v>45.4</v>
      </c>
      <c r="R1134" t="n">
        <v>47</v>
      </c>
      <c r="S1134" t="n">
        <v>2710000</v>
      </c>
      <c r="T1134" t="n">
        <v>1506</v>
      </c>
      <c r="AH1134" t="inlineStr">
        <is>
          <t>Quelle: Idealista</t>
        </is>
      </c>
    </row>
    <row r="1135">
      <c r="A1135" t="n">
        <v>948</v>
      </c>
      <c r="B1135" t="inlineStr">
        <is>
          <t>Casa rural en calle de ses Parres</t>
        </is>
      </c>
      <c r="C1135" t="inlineStr">
        <is>
          <t>https://www.idealista.com/inmueble/89844651/</t>
        </is>
      </c>
      <c r="E1135" t="n">
        <v>10</v>
      </c>
      <c r="H1135" t="n">
        <v>1743</v>
      </c>
      <c r="J1135" t="inlineStr">
        <is>
          <t>Lloret de Vista Alegre</t>
        </is>
      </c>
      <c r="K1135" t="n">
        <v>33.2</v>
      </c>
      <c r="L1135" t="n">
        <v>36</v>
      </c>
      <c r="M1135" t="n">
        <v>47.7</v>
      </c>
      <c r="N1135" t="n">
        <v>51</v>
      </c>
      <c r="O1135" t="n">
        <v>65</v>
      </c>
      <c r="P1135" t="n">
        <v>57</v>
      </c>
      <c r="Q1135" t="n">
        <v>45.4</v>
      </c>
      <c r="R1135" t="n">
        <v>47</v>
      </c>
      <c r="S1135" t="n">
        <v>2708748</v>
      </c>
      <c r="T1135" t="n">
        <v>1554</v>
      </c>
      <c r="AH1135" t="inlineStr">
        <is>
          <t>Quelle: Idealista</t>
        </is>
      </c>
    </row>
    <row r="1136">
      <c r="A1136" t="n">
        <v>949</v>
      </c>
      <c r="B1136" t="inlineStr">
        <is>
          <t>Finca rústica</t>
        </is>
      </c>
      <c r="C1136" t="inlineStr">
        <is>
          <t>https://www.idealista.com/inmueble/96653610/</t>
        </is>
      </c>
      <c r="E1136" t="n">
        <v>9</v>
      </c>
      <c r="H1136" t="n">
        <v>899</v>
      </c>
      <c r="J1136" t="inlineStr">
        <is>
          <t>Lloret de Vista Alegre</t>
        </is>
      </c>
      <c r="K1136" t="n">
        <v>33.2</v>
      </c>
      <c r="L1136" t="n">
        <v>36</v>
      </c>
      <c r="M1136" t="n">
        <v>47.7</v>
      </c>
      <c r="N1136" t="n">
        <v>51</v>
      </c>
      <c r="O1136" t="n">
        <v>65</v>
      </c>
      <c r="P1136" t="n">
        <v>57</v>
      </c>
      <c r="Q1136" t="n">
        <v>45.4</v>
      </c>
      <c r="R1136" t="n">
        <v>47</v>
      </c>
      <c r="S1136" t="n">
        <v>3800000</v>
      </c>
      <c r="T1136" t="n">
        <v>4227</v>
      </c>
      <c r="AH1136" t="inlineStr">
        <is>
          <t>Quelle: Idealista</t>
        </is>
      </c>
    </row>
    <row r="1137">
      <c r="A1137" t="n">
        <v>950</v>
      </c>
      <c r="B1137" t="inlineStr">
        <is>
          <t>Finca rústica en Polígono 1</t>
        </is>
      </c>
      <c r="C1137" t="inlineStr">
        <is>
          <t>https://www.idealista.com/inmueble/96185999/</t>
        </is>
      </c>
      <c r="E1137" t="n">
        <v>7</v>
      </c>
      <c r="H1137" t="n">
        <v>900</v>
      </c>
      <c r="J1137" t="inlineStr">
        <is>
          <t>Lloret de Vista Alegre</t>
        </is>
      </c>
      <c r="K1137" t="n">
        <v>33.2</v>
      </c>
      <c r="L1137" t="n">
        <v>36</v>
      </c>
      <c r="M1137" t="n">
        <v>47.7</v>
      </c>
      <c r="N1137" t="n">
        <v>51</v>
      </c>
      <c r="O1137" t="n">
        <v>65</v>
      </c>
      <c r="P1137" t="n">
        <v>57</v>
      </c>
      <c r="Q1137" t="n">
        <v>45.4</v>
      </c>
      <c r="R1137" t="n">
        <v>47</v>
      </c>
      <c r="S1137" t="n">
        <v>3800000</v>
      </c>
      <c r="T1137" t="n">
        <v>4222</v>
      </c>
      <c r="AH1137" t="inlineStr">
        <is>
          <t>Quelle: Idealista</t>
        </is>
      </c>
    </row>
    <row r="1138">
      <c r="A1138" t="n">
        <v>951</v>
      </c>
      <c r="B1138" t="inlineStr">
        <is>
          <t>Finca rústica</t>
        </is>
      </c>
      <c r="C1138" t="inlineStr">
        <is>
          <t>https://www.idealista.com/inmueble/95981862/</t>
        </is>
      </c>
      <c r="E1138" t="n">
        <v>10</v>
      </c>
      <c r="H1138" t="n">
        <v>920</v>
      </c>
      <c r="J1138" t="inlineStr">
        <is>
          <t>Lloret de Vista Alegre</t>
        </is>
      </c>
      <c r="K1138" t="n">
        <v>33.2</v>
      </c>
      <c r="L1138" t="n">
        <v>36</v>
      </c>
      <c r="M1138" t="n">
        <v>47.7</v>
      </c>
      <c r="N1138" t="n">
        <v>51</v>
      </c>
      <c r="O1138" t="n">
        <v>65</v>
      </c>
      <c r="P1138" t="n">
        <v>57</v>
      </c>
      <c r="Q1138" t="n">
        <v>45.4</v>
      </c>
      <c r="R1138" t="n">
        <v>47</v>
      </c>
      <c r="S1138" t="n">
        <v>2708748</v>
      </c>
      <c r="T1138" t="n">
        <v>2944</v>
      </c>
      <c r="AH1138" t="inlineStr">
        <is>
          <t>Quelle: Idealista</t>
        </is>
      </c>
    </row>
    <row r="1139">
      <c r="A1139" t="n">
        <v>952</v>
      </c>
      <c r="B1139" t="inlineStr">
        <is>
          <t>Finca rústica</t>
        </is>
      </c>
      <c r="C1139" t="inlineStr">
        <is>
          <t>https://www.idealista.com/inmueble/95914891/</t>
        </is>
      </c>
      <c r="E1139" t="n">
        <v>7</v>
      </c>
      <c r="H1139" t="n">
        <v>1743</v>
      </c>
      <c r="J1139" t="inlineStr">
        <is>
          <t>Lloret de Vista Alegre</t>
        </is>
      </c>
      <c r="K1139" t="n">
        <v>33.2</v>
      </c>
      <c r="L1139" t="n">
        <v>36</v>
      </c>
      <c r="M1139" t="n">
        <v>47.7</v>
      </c>
      <c r="N1139" t="n">
        <v>51</v>
      </c>
      <c r="O1139" t="n">
        <v>65</v>
      </c>
      <c r="P1139" t="n">
        <v>57</v>
      </c>
      <c r="Q1139" t="n">
        <v>45.4</v>
      </c>
      <c r="R1139" t="n">
        <v>47</v>
      </c>
      <c r="S1139" t="n">
        <v>2708748</v>
      </c>
      <c r="T1139" t="n">
        <v>1554</v>
      </c>
      <c r="AH1139" t="inlineStr">
        <is>
          <t>Quelle: Idealista</t>
        </is>
      </c>
    </row>
    <row r="1140">
      <c r="A1140" t="n">
        <v>953</v>
      </c>
      <c r="B1140" t="inlineStr">
        <is>
          <t>Casa independiente</t>
        </is>
      </c>
      <c r="C1140" t="inlineStr">
        <is>
          <t>https://www.idealista.com/inmueble/94887247/</t>
        </is>
      </c>
      <c r="E1140" t="n">
        <v>7</v>
      </c>
      <c r="H1140" t="n">
        <v>800</v>
      </c>
      <c r="J1140" t="inlineStr">
        <is>
          <t>Lloret de Vista Alegre</t>
        </is>
      </c>
      <c r="K1140" t="n">
        <v>33.2</v>
      </c>
      <c r="L1140" t="n">
        <v>36</v>
      </c>
      <c r="M1140" t="n">
        <v>47.7</v>
      </c>
      <c r="N1140" t="n">
        <v>51</v>
      </c>
      <c r="O1140" t="n">
        <v>65</v>
      </c>
      <c r="P1140" t="n">
        <v>57</v>
      </c>
      <c r="Q1140" t="n">
        <v>45.4</v>
      </c>
      <c r="R1140" t="n">
        <v>47</v>
      </c>
      <c r="S1140" t="n">
        <v>3800000</v>
      </c>
      <c r="T1140" t="n">
        <v>4750</v>
      </c>
      <c r="AH1140" t="inlineStr">
        <is>
          <t>Quelle: Idealista</t>
        </is>
      </c>
    </row>
    <row r="1141">
      <c r="A1141" t="n">
        <v>954</v>
      </c>
      <c r="B1141" t="inlineStr">
        <is>
          <t>Casa rural</t>
        </is>
      </c>
      <c r="C1141" t="inlineStr">
        <is>
          <t>https://www.idealista.com/inmueble/94749517/</t>
        </is>
      </c>
      <c r="E1141" t="n">
        <v>7</v>
      </c>
      <c r="H1141" t="n">
        <v>600</v>
      </c>
      <c r="J1141" t="inlineStr">
        <is>
          <t>Lloret de Vista Alegre</t>
        </is>
      </c>
      <c r="K1141" t="n">
        <v>33.2</v>
      </c>
      <c r="L1141" t="n">
        <v>36</v>
      </c>
      <c r="M1141" t="n">
        <v>47.7</v>
      </c>
      <c r="N1141" t="n">
        <v>51</v>
      </c>
      <c r="O1141" t="n">
        <v>65</v>
      </c>
      <c r="P1141" t="n">
        <v>57</v>
      </c>
      <c r="Q1141" t="n">
        <v>45.4</v>
      </c>
      <c r="R1141" t="n">
        <v>47</v>
      </c>
      <c r="S1141" t="n">
        <v>3800000</v>
      </c>
      <c r="T1141" t="n">
        <v>6333</v>
      </c>
      <c r="AH1141" t="inlineStr">
        <is>
          <t>Quelle: Idealista</t>
        </is>
      </c>
    </row>
    <row r="1142">
      <c r="A1142" t="n">
        <v>955</v>
      </c>
      <c r="B1142" t="inlineStr">
        <is>
          <t>Finca rústica</t>
        </is>
      </c>
      <c r="C1142" t="inlineStr">
        <is>
          <t>https://www.idealista.com/inmueble/94536595/</t>
        </is>
      </c>
      <c r="E1142" t="n">
        <v>7</v>
      </c>
      <c r="H1142" t="n">
        <v>330</v>
      </c>
      <c r="J1142" t="inlineStr">
        <is>
          <t>Lloret de Vista Alegre</t>
        </is>
      </c>
      <c r="K1142" t="n">
        <v>33.2</v>
      </c>
      <c r="L1142" t="n">
        <v>36</v>
      </c>
      <c r="M1142" t="n">
        <v>47.7</v>
      </c>
      <c r="N1142" t="n">
        <v>51</v>
      </c>
      <c r="O1142" t="n">
        <v>65</v>
      </c>
      <c r="P1142" t="n">
        <v>57</v>
      </c>
      <c r="Q1142" t="n">
        <v>45.4</v>
      </c>
      <c r="R1142" t="n">
        <v>47</v>
      </c>
      <c r="S1142" t="n">
        <v>3800000</v>
      </c>
      <c r="T1142" t="n">
        <v>11515</v>
      </c>
      <c r="AH1142" t="inlineStr">
        <is>
          <t>Quelle: Idealista</t>
        </is>
      </c>
    </row>
    <row r="1143">
      <c r="A1143" t="n">
        <v>956</v>
      </c>
      <c r="B1143" t="inlineStr">
        <is>
          <t>Finca rústica en Lloret, 1</t>
        </is>
      </c>
      <c r="C1143" t="inlineStr">
        <is>
          <t>https://www.idealista.com/inmueble/93939799/</t>
        </is>
      </c>
      <c r="E1143" t="n">
        <v>7</v>
      </c>
      <c r="H1143" t="n">
        <v>1743</v>
      </c>
      <c r="J1143" t="inlineStr">
        <is>
          <t>Lloret de Vista Alegre</t>
        </is>
      </c>
      <c r="K1143" t="n">
        <v>33.2</v>
      </c>
      <c r="L1143" t="n">
        <v>36</v>
      </c>
      <c r="M1143" t="n">
        <v>47.7</v>
      </c>
      <c r="N1143" t="n">
        <v>51</v>
      </c>
      <c r="O1143" t="n">
        <v>65</v>
      </c>
      <c r="P1143" t="n">
        <v>57</v>
      </c>
      <c r="Q1143" t="n">
        <v>45.4</v>
      </c>
      <c r="R1143" t="n">
        <v>47</v>
      </c>
      <c r="S1143" t="n">
        <v>2708000</v>
      </c>
      <c r="T1143" t="n">
        <v>1554</v>
      </c>
      <c r="AH1143" t="inlineStr">
        <is>
          <t>Quelle: Idealista</t>
        </is>
      </c>
    </row>
    <row r="1144">
      <c r="A1144" t="n">
        <v>957</v>
      </c>
      <c r="B1144" t="inlineStr">
        <is>
          <t>Casa rural en carretera de Sineu</t>
        </is>
      </c>
      <c r="C1144" t="inlineStr">
        <is>
          <t>https://www.idealista.com/inmueble/89844677/</t>
        </is>
      </c>
      <c r="E1144" t="n">
        <v>7</v>
      </c>
      <c r="H1144" t="n">
        <v>1743</v>
      </c>
      <c r="J1144" t="inlineStr">
        <is>
          <t>Lloret de Vista Alegre</t>
        </is>
      </c>
      <c r="K1144" t="n">
        <v>33.2</v>
      </c>
      <c r="L1144" t="n">
        <v>36</v>
      </c>
      <c r="M1144" t="n">
        <v>47.7</v>
      </c>
      <c r="N1144" t="n">
        <v>51</v>
      </c>
      <c r="O1144" t="n">
        <v>65</v>
      </c>
      <c r="P1144" t="n">
        <v>57</v>
      </c>
      <c r="Q1144" t="n">
        <v>45.4</v>
      </c>
      <c r="R1144" t="n">
        <v>47</v>
      </c>
      <c r="S1144" t="n">
        <v>2708748</v>
      </c>
      <c r="T1144" t="n">
        <v>1554</v>
      </c>
      <c r="AH1144" t="inlineStr">
        <is>
          <t>Quelle: Idealista</t>
        </is>
      </c>
    </row>
    <row r="1145">
      <c r="A1145" t="n">
        <v>958</v>
      </c>
      <c r="B1145" t="inlineStr">
        <is>
          <t>Casa rural</t>
        </is>
      </c>
      <c r="C1145" t="inlineStr">
        <is>
          <t>https://www.idealista.com/inmueble/108044632/</t>
        </is>
      </c>
      <c r="E1145" t="n">
        <v>5</v>
      </c>
      <c r="H1145" t="n">
        <v>430</v>
      </c>
      <c r="J1145" t="inlineStr">
        <is>
          <t>Llubi</t>
        </is>
      </c>
      <c r="K1145" t="n">
        <v>46.1</v>
      </c>
      <c r="L1145" t="n">
        <v>38</v>
      </c>
      <c r="M1145" t="n">
        <v>50.9</v>
      </c>
      <c r="N1145" t="n">
        <v>54</v>
      </c>
      <c r="O1145" t="n">
        <v>68.7</v>
      </c>
      <c r="P1145" t="n">
        <v>54</v>
      </c>
      <c r="Q1145" t="n">
        <v>48.6</v>
      </c>
      <c r="R1145" t="n">
        <v>50</v>
      </c>
      <c r="S1145" t="n">
        <v>2300000</v>
      </c>
      <c r="T1145" t="n">
        <v>5349</v>
      </c>
      <c r="AH1145" t="inlineStr">
        <is>
          <t>Quelle: Idealista</t>
        </is>
      </c>
    </row>
    <row r="1146">
      <c r="A1146" t="n">
        <v>959</v>
      </c>
      <c r="B1146" t="inlineStr">
        <is>
          <t>Finca rústica</t>
        </is>
      </c>
      <c r="C1146" t="inlineStr">
        <is>
          <t>https://www.idealista.com/inmueble/102376218/</t>
        </is>
      </c>
      <c r="E1146" t="n">
        <v>18</v>
      </c>
      <c r="H1146" t="n">
        <v>1452</v>
      </c>
      <c r="J1146" t="inlineStr">
        <is>
          <t>Llubi</t>
        </is>
      </c>
      <c r="K1146" t="n">
        <v>46.1</v>
      </c>
      <c r="L1146" t="n">
        <v>38</v>
      </c>
      <c r="M1146" t="n">
        <v>50.9</v>
      </c>
      <c r="N1146" t="n">
        <v>54</v>
      </c>
      <c r="O1146" t="n">
        <v>68.7</v>
      </c>
      <c r="P1146" t="n">
        <v>54</v>
      </c>
      <c r="Q1146" t="n">
        <v>48.6</v>
      </c>
      <c r="R1146" t="n">
        <v>50</v>
      </c>
      <c r="S1146" t="n">
        <v>2000000</v>
      </c>
      <c r="T1146" t="n">
        <v>1377</v>
      </c>
      <c r="AH1146" t="inlineStr">
        <is>
          <t>Quelle: Idealista</t>
        </is>
      </c>
    </row>
    <row r="1147">
      <c r="A1147" t="n">
        <v>960</v>
      </c>
      <c r="B1147" t="inlineStr">
        <is>
          <t>Casa rural</t>
        </is>
      </c>
      <c r="C1147" t="inlineStr">
        <is>
          <t>https://www.idealista.com/inmueble/95180507/</t>
        </is>
      </c>
      <c r="E1147" t="n">
        <v>5</v>
      </c>
      <c r="H1147" t="n">
        <v>1146</v>
      </c>
      <c r="J1147" t="inlineStr">
        <is>
          <t>Llubi</t>
        </is>
      </c>
      <c r="K1147" t="n">
        <v>46.1</v>
      </c>
      <c r="L1147" t="n">
        <v>38</v>
      </c>
      <c r="M1147" t="n">
        <v>50.9</v>
      </c>
      <c r="N1147" t="n">
        <v>54</v>
      </c>
      <c r="O1147" t="n">
        <v>68.7</v>
      </c>
      <c r="P1147" t="n">
        <v>54</v>
      </c>
      <c r="Q1147" t="n">
        <v>48.6</v>
      </c>
      <c r="R1147" t="n">
        <v>50</v>
      </c>
      <c r="S1147" t="n">
        <v>2500000</v>
      </c>
      <c r="T1147" t="n">
        <v>2182</v>
      </c>
      <c r="AH1147" t="inlineStr">
        <is>
          <t>Quelle: Idealista</t>
        </is>
      </c>
    </row>
    <row r="1148">
      <c r="A1148" t="n">
        <v>961</v>
      </c>
      <c r="B1148" t="inlineStr">
        <is>
          <t>Finca rústica</t>
        </is>
      </c>
      <c r="C1148" t="inlineStr">
        <is>
          <t>https://www.idealista.com/inmueble/110360450/</t>
        </is>
      </c>
      <c r="E1148" t="n">
        <v>5</v>
      </c>
      <c r="H1148" t="n">
        <v>374</v>
      </c>
      <c r="J1148" t="inlineStr">
        <is>
          <t>Llucmajor Interior, Llucmajor</t>
        </is>
      </c>
      <c r="K1148" t="n">
        <v>22</v>
      </c>
      <c r="L1148" t="n">
        <v>21</v>
      </c>
      <c r="M1148" t="n">
        <v>28.2</v>
      </c>
      <c r="N1148" t="n">
        <v>33</v>
      </c>
      <c r="O1148" t="n">
        <v>60.2</v>
      </c>
      <c r="P1148" t="n">
        <v>48</v>
      </c>
      <c r="Q1148" t="n">
        <v>25.9</v>
      </c>
      <c r="R1148" t="n">
        <v>29</v>
      </c>
      <c r="S1148" t="n">
        <v>3700000</v>
      </c>
      <c r="T1148" t="n">
        <v>9893</v>
      </c>
      <c r="AH1148" t="inlineStr">
        <is>
          <t>Quelle: Idealista</t>
        </is>
      </c>
    </row>
    <row r="1149">
      <c r="A1149" t="n">
        <v>962</v>
      </c>
      <c r="B1149" t="inlineStr">
        <is>
          <t>Casa independiente en calle de Hércules, 30</t>
        </is>
      </c>
      <c r="C1149" t="inlineStr">
        <is>
          <t>https://www.idealista.com/inmueble/108640946/</t>
        </is>
      </c>
      <c r="E1149" t="n">
        <v>5</v>
      </c>
      <c r="H1149" t="n">
        <v>423</v>
      </c>
      <c r="J1149" t="inlineStr">
        <is>
          <t>Badia Blava-Badia Gran-Tolleric, Llucmajor</t>
        </is>
      </c>
      <c r="K1149" t="n">
        <v>19.6</v>
      </c>
      <c r="L1149" t="n">
        <v>21</v>
      </c>
      <c r="M1149" t="n">
        <v>38.8</v>
      </c>
      <c r="N1149" t="n">
        <v>38</v>
      </c>
      <c r="O1149" t="n">
        <v>57.8</v>
      </c>
      <c r="P1149" t="n">
        <v>48</v>
      </c>
      <c r="Q1149" t="n">
        <v>36.5</v>
      </c>
      <c r="R1149" t="n">
        <v>35</v>
      </c>
      <c r="S1149" t="n">
        <v>3875000</v>
      </c>
      <c r="T1149" t="n">
        <v>9161</v>
      </c>
      <c r="AH1149" t="inlineStr">
        <is>
          <t>Quelle: Idealista</t>
        </is>
      </c>
    </row>
    <row r="1150">
      <c r="A1150" t="n">
        <v>963</v>
      </c>
      <c r="B1150" t="inlineStr">
        <is>
          <t>Finca rústica</t>
        </is>
      </c>
      <c r="C1150" t="inlineStr">
        <is>
          <t>https://www.idealista.com/inmueble/110372808/</t>
        </is>
      </c>
      <c r="E1150" t="n">
        <v>6</v>
      </c>
      <c r="H1150" t="n">
        <v>443</v>
      </c>
      <c r="J1150" t="inlineStr">
        <is>
          <t>Llucmajor Interior, Llucmajor</t>
        </is>
      </c>
      <c r="K1150" t="n">
        <v>22</v>
      </c>
      <c r="L1150" t="n">
        <v>21</v>
      </c>
      <c r="M1150" t="n">
        <v>28.2</v>
      </c>
      <c r="N1150" t="n">
        <v>33</v>
      </c>
      <c r="O1150" t="n">
        <v>60.2</v>
      </c>
      <c r="P1150" t="n">
        <v>48</v>
      </c>
      <c r="Q1150" t="n">
        <v>25.9</v>
      </c>
      <c r="R1150" t="n">
        <v>29</v>
      </c>
      <c r="S1150" t="n">
        <v>2400000</v>
      </c>
      <c r="T1150" t="n">
        <v>5418</v>
      </c>
      <c r="AH1150" t="inlineStr">
        <is>
          <t>Quelle: Idealista</t>
        </is>
      </c>
    </row>
    <row r="1151">
      <c r="A1151" t="n">
        <v>964</v>
      </c>
      <c r="B1151" t="inlineStr">
        <is>
          <t>Casa independiente</t>
        </is>
      </c>
      <c r="C1151" t="inlineStr">
        <is>
          <t>https://www.idealista.com/inmueble/110354052/</t>
        </is>
      </c>
      <c r="E1151" t="n">
        <v>5</v>
      </c>
      <c r="H1151" t="n">
        <v>400</v>
      </c>
      <c r="J1151" t="inlineStr">
        <is>
          <t>Son Verí, Llucmajor</t>
        </is>
      </c>
      <c r="K1151" t="n">
        <v>11.5</v>
      </c>
      <c r="L1151" t="n">
        <v>14</v>
      </c>
      <c r="M1151" t="n">
        <v>41.8</v>
      </c>
      <c r="N1151" t="n">
        <v>40</v>
      </c>
      <c r="O1151" t="n">
        <v>49.7</v>
      </c>
      <c r="P1151" t="n">
        <v>42</v>
      </c>
      <c r="Q1151" t="n">
        <v>39.5</v>
      </c>
      <c r="R1151" t="n">
        <v>36</v>
      </c>
      <c r="S1151" t="n">
        <v>2250000</v>
      </c>
      <c r="T1151" t="n">
        <v>5625</v>
      </c>
      <c r="AH1151" t="inlineStr">
        <is>
          <t>Quelle: Idealista</t>
        </is>
      </c>
    </row>
    <row r="1152">
      <c r="A1152" t="n">
        <v>965</v>
      </c>
      <c r="B1152" t="inlineStr">
        <is>
          <t>Chalet en paseo Alfons XIII</t>
        </is>
      </c>
      <c r="C1152" t="inlineStr">
        <is>
          <t>https://www.idealista.com/inmueble/110317001/</t>
        </is>
      </c>
      <c r="E1152" t="n">
        <v>6</v>
      </c>
      <c r="H1152" t="n">
        <v>982</v>
      </c>
      <c r="J1152" t="inlineStr">
        <is>
          <t>Son Verí, Llucmajor</t>
        </is>
      </c>
      <c r="K1152" t="n">
        <v>11.5</v>
      </c>
      <c r="L1152" t="n">
        <v>14</v>
      </c>
      <c r="M1152" t="n">
        <v>41.8</v>
      </c>
      <c r="N1152" t="n">
        <v>40</v>
      </c>
      <c r="O1152" t="n">
        <v>49.7</v>
      </c>
      <c r="P1152" t="n">
        <v>42</v>
      </c>
      <c r="Q1152" t="n">
        <v>39.5</v>
      </c>
      <c r="R1152" t="n">
        <v>36</v>
      </c>
      <c r="S1152" t="n">
        <v>5500000</v>
      </c>
      <c r="T1152" t="n">
        <v>5601</v>
      </c>
      <c r="AH1152" t="inlineStr">
        <is>
          <t>Quelle: Idealista</t>
        </is>
      </c>
    </row>
    <row r="1153">
      <c r="A1153" t="n">
        <v>966</v>
      </c>
      <c r="B1153" t="inlineStr">
        <is>
          <t>Finca rústica en camino Vell de Cala Pi, 87</t>
        </is>
      </c>
      <c r="C1153" t="inlineStr">
        <is>
          <t>https://www.idealista.com/inmueble/110180398/</t>
        </is>
      </c>
      <c r="E1153" t="n">
        <v>5</v>
      </c>
      <c r="H1153" t="n">
        <v>600</v>
      </c>
      <c r="J1153" t="inlineStr">
        <is>
          <t>Llucmajor Interior, Llucmajor</t>
        </is>
      </c>
      <c r="K1153" t="n">
        <v>22</v>
      </c>
      <c r="L1153" t="n">
        <v>21</v>
      </c>
      <c r="M1153" t="n">
        <v>28.2</v>
      </c>
      <c r="N1153" t="n">
        <v>33</v>
      </c>
      <c r="O1153" t="n">
        <v>60.2</v>
      </c>
      <c r="P1153" t="n">
        <v>48</v>
      </c>
      <c r="Q1153" t="n">
        <v>25.9</v>
      </c>
      <c r="R1153" t="n">
        <v>29</v>
      </c>
      <c r="S1153" t="n">
        <v>2950000</v>
      </c>
      <c r="T1153" t="n">
        <v>4917</v>
      </c>
      <c r="AH1153" t="inlineStr">
        <is>
          <t>Quelle: Idealista</t>
        </is>
      </c>
    </row>
    <row r="1154">
      <c r="A1154" t="n">
        <v>967</v>
      </c>
      <c r="B1154" t="inlineStr">
        <is>
          <t>Casa rural</t>
        </is>
      </c>
      <c r="C1154" t="inlineStr">
        <is>
          <t>https://www.idealista.com/inmueble/108253081/</t>
        </is>
      </c>
      <c r="E1154" t="n">
        <v>5</v>
      </c>
      <c r="H1154" t="n">
        <v>450</v>
      </c>
      <c r="J1154" t="inlineStr">
        <is>
          <t>Llucmajor Interior, Llucmajor</t>
        </is>
      </c>
      <c r="K1154" t="n">
        <v>22</v>
      </c>
      <c r="L1154" t="n">
        <v>21</v>
      </c>
      <c r="M1154" t="n">
        <v>28.2</v>
      </c>
      <c r="N1154" t="n">
        <v>33</v>
      </c>
      <c r="O1154" t="n">
        <v>60.2</v>
      </c>
      <c r="P1154" t="n">
        <v>48</v>
      </c>
      <c r="Q1154" t="n">
        <v>25.9</v>
      </c>
      <c r="R1154" t="n">
        <v>29</v>
      </c>
      <c r="S1154" t="n">
        <v>2600000</v>
      </c>
      <c r="T1154" t="n">
        <v>5778</v>
      </c>
      <c r="AH1154" t="inlineStr">
        <is>
          <t>Quelle: Idealista</t>
        </is>
      </c>
    </row>
    <row r="1155">
      <c r="A1155" t="n">
        <v>968</v>
      </c>
      <c r="B1155" t="inlineStr">
        <is>
          <t>Casa independiente en calle de l'Acàcia, 20</t>
        </is>
      </c>
      <c r="C1155" t="inlineStr">
        <is>
          <t>https://www.idealista.com/inmueble/110050136/</t>
        </is>
      </c>
      <c r="E1155" t="n">
        <v>5</v>
      </c>
      <c r="H1155" t="n">
        <v>285</v>
      </c>
      <c r="J1155" t="inlineStr">
        <is>
          <t>Son Verí, Llucmajor</t>
        </is>
      </c>
      <c r="K1155" t="n">
        <v>11.5</v>
      </c>
      <c r="L1155" t="n">
        <v>14</v>
      </c>
      <c r="M1155" t="n">
        <v>41.8</v>
      </c>
      <c r="N1155" t="n">
        <v>40</v>
      </c>
      <c r="O1155" t="n">
        <v>49.7</v>
      </c>
      <c r="P1155" t="n">
        <v>42</v>
      </c>
      <c r="Q1155" t="n">
        <v>39.5</v>
      </c>
      <c r="R1155" t="n">
        <v>36</v>
      </c>
      <c r="S1155" t="n">
        <v>2250000</v>
      </c>
      <c r="T1155" t="n">
        <v>7895</v>
      </c>
      <c r="AH1155" t="inlineStr">
        <is>
          <t>Quelle: Idealista</t>
        </is>
      </c>
    </row>
    <row r="1156">
      <c r="A1156" t="n">
        <v>969</v>
      </c>
      <c r="B1156" t="inlineStr">
        <is>
          <t>Finca rústica</t>
        </is>
      </c>
      <c r="C1156" t="inlineStr">
        <is>
          <t>https://www.idealista.com/inmueble/109908062/</t>
        </is>
      </c>
      <c r="E1156" t="n">
        <v>5</v>
      </c>
      <c r="H1156" t="n">
        <v>270</v>
      </c>
      <c r="J1156" t="inlineStr">
        <is>
          <t>Llucmajor Interior, Llucmajor</t>
        </is>
      </c>
      <c r="K1156" t="n">
        <v>22</v>
      </c>
      <c r="L1156" t="n">
        <v>21</v>
      </c>
      <c r="M1156" t="n">
        <v>28.2</v>
      </c>
      <c r="N1156" t="n">
        <v>33</v>
      </c>
      <c r="O1156" t="n">
        <v>60.2</v>
      </c>
      <c r="P1156" t="n">
        <v>48</v>
      </c>
      <c r="Q1156" t="n">
        <v>25.9</v>
      </c>
      <c r="R1156" t="n">
        <v>29</v>
      </c>
      <c r="S1156" t="n">
        <v>2250000</v>
      </c>
      <c r="T1156" t="n">
        <v>8333</v>
      </c>
      <c r="AH1156" t="inlineStr">
        <is>
          <t>Quelle: Idealista</t>
        </is>
      </c>
    </row>
    <row r="1157">
      <c r="A1157" t="n">
        <v>970</v>
      </c>
      <c r="B1157" t="inlineStr">
        <is>
          <t>Casa independiente en calle del Xòric</t>
        </is>
      </c>
      <c r="C1157" t="inlineStr">
        <is>
          <t>https://www.idealista.com/inmueble/109862839/</t>
        </is>
      </c>
      <c r="E1157" t="n">
        <v>5</v>
      </c>
      <c r="H1157" t="n">
        <v>456</v>
      </c>
      <c r="J1157" t="inlineStr">
        <is>
          <t>Maioris-Puig de Ros, Llucmajor</t>
        </is>
      </c>
      <c r="K1157" t="n">
        <v>15.1</v>
      </c>
      <c r="L1157" t="n">
        <v>18</v>
      </c>
      <c r="M1157" t="n">
        <v>42.9</v>
      </c>
      <c r="N1157" t="n">
        <v>42</v>
      </c>
      <c r="O1157" t="n">
        <v>53.3</v>
      </c>
      <c r="P1157" t="n">
        <v>45</v>
      </c>
      <c r="Q1157" t="n">
        <v>40.6</v>
      </c>
      <c r="R1157" t="n">
        <v>38</v>
      </c>
      <c r="S1157" t="n">
        <v>4900000</v>
      </c>
      <c r="T1157" t="n">
        <v>10746</v>
      </c>
      <c r="AH1157" t="inlineStr">
        <is>
          <t>Quelle: Idealista</t>
        </is>
      </c>
    </row>
    <row r="1158">
      <c r="A1158" t="n">
        <v>971</v>
      </c>
      <c r="B1158" t="inlineStr">
        <is>
          <t>Finca rústica</t>
        </is>
      </c>
      <c r="C1158" t="inlineStr">
        <is>
          <t>https://www.idealista.com/inmueble/109870037/</t>
        </is>
      </c>
      <c r="E1158" t="n">
        <v>5</v>
      </c>
      <c r="H1158" t="n">
        <v>300</v>
      </c>
      <c r="J1158" t="inlineStr">
        <is>
          <t>Llucmajor Interior, Llucmajor</t>
        </is>
      </c>
      <c r="K1158" t="n">
        <v>22</v>
      </c>
      <c r="L1158" t="n">
        <v>21</v>
      </c>
      <c r="M1158" t="n">
        <v>28.2</v>
      </c>
      <c r="N1158" t="n">
        <v>33</v>
      </c>
      <c r="O1158" t="n">
        <v>60.2</v>
      </c>
      <c r="P1158" t="n">
        <v>48</v>
      </c>
      <c r="Q1158" t="n">
        <v>25.9</v>
      </c>
      <c r="R1158" t="n">
        <v>29</v>
      </c>
      <c r="S1158" t="n">
        <v>2000000</v>
      </c>
      <c r="T1158" t="n">
        <v>6667</v>
      </c>
      <c r="AH1158" t="inlineStr">
        <is>
          <t>Quelle: Idealista</t>
        </is>
      </c>
    </row>
    <row r="1159">
      <c r="A1159" t="n">
        <v>972</v>
      </c>
      <c r="B1159" t="inlineStr">
        <is>
          <t>Casa independiente</t>
        </is>
      </c>
      <c r="C1159" t="inlineStr">
        <is>
          <t>https://www.idealista.com/inmueble/109774584/</t>
        </is>
      </c>
      <c r="E1159" t="n">
        <v>5</v>
      </c>
      <c r="H1159" t="n">
        <v>342</v>
      </c>
      <c r="J1159" t="inlineStr">
        <is>
          <t>Badia Blava-Badia Gran-Tolleric, Llucmajor</t>
        </is>
      </c>
      <c r="K1159" t="n">
        <v>19.6</v>
      </c>
      <c r="L1159" t="n">
        <v>21</v>
      </c>
      <c r="M1159" t="n">
        <v>38.8</v>
      </c>
      <c r="N1159" t="n">
        <v>38</v>
      </c>
      <c r="O1159" t="n">
        <v>57.8</v>
      </c>
      <c r="P1159" t="n">
        <v>48</v>
      </c>
      <c r="Q1159" t="n">
        <v>36.5</v>
      </c>
      <c r="R1159" t="n">
        <v>35</v>
      </c>
      <c r="S1159" t="n">
        <v>3875000</v>
      </c>
      <c r="T1159" t="n">
        <v>11330</v>
      </c>
      <c r="AH1159" t="inlineStr">
        <is>
          <t>Quelle: Idealista</t>
        </is>
      </c>
    </row>
    <row r="1160">
      <c r="A1160" t="n">
        <v>973</v>
      </c>
      <c r="B1160" t="inlineStr">
        <is>
          <t>Casa independiente</t>
        </is>
      </c>
      <c r="C1160" t="inlineStr">
        <is>
          <t>https://www.idealista.com/inmueble/109720581/</t>
        </is>
      </c>
      <c r="E1160" t="n">
        <v>5</v>
      </c>
      <c r="H1160" t="n">
        <v>481</v>
      </c>
      <c r="J1160" t="inlineStr">
        <is>
          <t>Cala Pi-Vallgornera, Llucmajor</t>
        </is>
      </c>
      <c r="K1160" t="n">
        <v>37.4</v>
      </c>
      <c r="L1160" t="n">
        <v>33</v>
      </c>
      <c r="M1160" t="n">
        <v>25.7</v>
      </c>
      <c r="N1160" t="n">
        <v>29</v>
      </c>
      <c r="O1160" t="n">
        <v>75.5</v>
      </c>
      <c r="P1160" t="n">
        <v>60</v>
      </c>
      <c r="Q1160" t="n">
        <v>23.4</v>
      </c>
      <c r="R1160" t="n">
        <v>25</v>
      </c>
      <c r="S1160" t="n">
        <v>2460000</v>
      </c>
      <c r="T1160" t="n">
        <v>5114</v>
      </c>
      <c r="AH1160" t="inlineStr">
        <is>
          <t>Quelle: Idealista</t>
        </is>
      </c>
    </row>
    <row r="1161">
      <c r="A1161" t="n">
        <v>974</v>
      </c>
      <c r="B1161" t="inlineStr">
        <is>
          <t>Casa rural</t>
        </is>
      </c>
      <c r="C1161" t="inlineStr">
        <is>
          <t>https://www.idealista.com/inmueble/109711085/</t>
        </is>
      </c>
      <c r="E1161" t="n">
        <v>9</v>
      </c>
      <c r="H1161" t="n">
        <v>1350</v>
      </c>
      <c r="J1161" t="inlineStr">
        <is>
          <t>Llucmajor Interior, Llucmajor</t>
        </is>
      </c>
      <c r="K1161" t="n">
        <v>22</v>
      </c>
      <c r="L1161" t="n">
        <v>21</v>
      </c>
      <c r="M1161" t="n">
        <v>28.2</v>
      </c>
      <c r="N1161" t="n">
        <v>33</v>
      </c>
      <c r="O1161" t="n">
        <v>60.2</v>
      </c>
      <c r="P1161" t="n">
        <v>48</v>
      </c>
      <c r="Q1161" t="n">
        <v>25.9</v>
      </c>
      <c r="R1161" t="n">
        <v>29</v>
      </c>
      <c r="S1161" t="n">
        <v>4500000</v>
      </c>
      <c r="T1161" t="n">
        <v>3333</v>
      </c>
      <c r="AH1161" t="inlineStr">
        <is>
          <t>Quelle: Idealista</t>
        </is>
      </c>
    </row>
    <row r="1162">
      <c r="A1162" t="n">
        <v>975</v>
      </c>
      <c r="B1162" t="inlineStr">
        <is>
          <t>Finca rústica en Diseminado Sector 4</t>
        </is>
      </c>
      <c r="C1162" t="inlineStr">
        <is>
          <t>https://www.idealista.com/inmueble/97152110/</t>
        </is>
      </c>
      <c r="E1162" t="n">
        <v>12</v>
      </c>
      <c r="H1162" t="n">
        <v>2622</v>
      </c>
      <c r="J1162" t="inlineStr">
        <is>
          <t>Cala Pi-Vallgornera, Llucmajor</t>
        </is>
      </c>
      <c r="K1162" t="n">
        <v>37.4</v>
      </c>
      <c r="L1162" t="n">
        <v>33</v>
      </c>
      <c r="M1162" t="n">
        <v>25.7</v>
      </c>
      <c r="N1162" t="n">
        <v>29</v>
      </c>
      <c r="O1162" t="n">
        <v>75.5</v>
      </c>
      <c r="P1162" t="n">
        <v>60</v>
      </c>
      <c r="Q1162" t="n">
        <v>23.4</v>
      </c>
      <c r="R1162" t="n">
        <v>25</v>
      </c>
      <c r="S1162" t="n">
        <v>3800000</v>
      </c>
      <c r="T1162" t="n">
        <v>1449</v>
      </c>
      <c r="AH1162" t="inlineStr">
        <is>
          <t>Quelle: Idealista</t>
        </is>
      </c>
    </row>
    <row r="1163">
      <c r="A1163" t="n">
        <v>976</v>
      </c>
      <c r="B1163" t="inlineStr">
        <is>
          <t>Casa independiente</t>
        </is>
      </c>
      <c r="C1163" t="inlineStr">
        <is>
          <t>https://www.idealista.com/inmueble/109701522/</t>
        </is>
      </c>
      <c r="E1163" t="n">
        <v>5</v>
      </c>
      <c r="H1163" t="n">
        <v>583</v>
      </c>
      <c r="J1163" t="inlineStr">
        <is>
          <t>Sa Torre, Llucmajor</t>
        </is>
      </c>
      <c r="K1163" t="n">
        <v>17</v>
      </c>
      <c r="L1163" t="n">
        <v>19</v>
      </c>
      <c r="M1163" t="n">
        <v>41.9</v>
      </c>
      <c r="N1163" t="n">
        <v>41</v>
      </c>
      <c r="O1163" t="n">
        <v>55.2</v>
      </c>
      <c r="P1163" t="n">
        <v>47</v>
      </c>
      <c r="Q1163" t="n">
        <v>39.6</v>
      </c>
      <c r="R1163" t="n">
        <v>38</v>
      </c>
      <c r="S1163" t="n">
        <v>3000000</v>
      </c>
      <c r="T1163" t="n">
        <v>5146</v>
      </c>
      <c r="AH1163" t="inlineStr">
        <is>
          <t>Quelle: Idealista</t>
        </is>
      </c>
    </row>
    <row r="1164">
      <c r="A1164" t="n">
        <v>977</v>
      </c>
      <c r="B1164" t="inlineStr">
        <is>
          <t>Casa independiente</t>
        </is>
      </c>
      <c r="C1164" t="inlineStr">
        <is>
          <t>https://www.idealista.com/inmueble/109334219/</t>
        </is>
      </c>
      <c r="E1164" t="n">
        <v>5</v>
      </c>
      <c r="H1164" t="n">
        <v>503</v>
      </c>
      <c r="J1164" t="inlineStr">
        <is>
          <t>Badia Blava-Badia Gran-Tolleric, Llucmajor</t>
        </is>
      </c>
      <c r="K1164" t="n">
        <v>19.6</v>
      </c>
      <c r="L1164" t="n">
        <v>21</v>
      </c>
      <c r="M1164" t="n">
        <v>38.8</v>
      </c>
      <c r="N1164" t="n">
        <v>38</v>
      </c>
      <c r="O1164" t="n">
        <v>57.8</v>
      </c>
      <c r="P1164" t="n">
        <v>48</v>
      </c>
      <c r="Q1164" t="n">
        <v>36.5</v>
      </c>
      <c r="R1164" t="n">
        <v>35</v>
      </c>
      <c r="S1164" t="n">
        <v>3250000</v>
      </c>
      <c r="T1164" t="n">
        <v>6461</v>
      </c>
      <c r="AH1164" t="inlineStr">
        <is>
          <t>Quelle: Idealista</t>
        </is>
      </c>
    </row>
    <row r="1165">
      <c r="A1165" t="n">
        <v>978</v>
      </c>
      <c r="B1165" t="inlineStr">
        <is>
          <t>Finca rústica</t>
        </is>
      </c>
      <c r="C1165" t="inlineStr">
        <is>
          <t>https://www.idealista.com/inmueble/105621228/</t>
        </is>
      </c>
      <c r="E1165" t="n">
        <v>5</v>
      </c>
      <c r="H1165" t="n">
        <v>370</v>
      </c>
      <c r="J1165" t="inlineStr">
        <is>
          <t>Llucmajor Interior, Llucmajor</t>
        </is>
      </c>
      <c r="K1165" t="n">
        <v>22</v>
      </c>
      <c r="L1165" t="n">
        <v>21</v>
      </c>
      <c r="M1165" t="n">
        <v>28.2</v>
      </c>
      <c r="N1165" t="n">
        <v>33</v>
      </c>
      <c r="O1165" t="n">
        <v>60.2</v>
      </c>
      <c r="P1165" t="n">
        <v>48</v>
      </c>
      <c r="Q1165" t="n">
        <v>25.9</v>
      </c>
      <c r="R1165" t="n">
        <v>29</v>
      </c>
      <c r="S1165" t="n">
        <v>2375000</v>
      </c>
      <c r="T1165" t="n">
        <v>6419</v>
      </c>
      <c r="AH1165" t="inlineStr">
        <is>
          <t>Quelle: Idealista</t>
        </is>
      </c>
    </row>
    <row r="1166">
      <c r="A1166" t="n">
        <v>979</v>
      </c>
      <c r="B1166" t="inlineStr">
        <is>
          <t>Finca rústica</t>
        </is>
      </c>
      <c r="C1166" t="inlineStr">
        <is>
          <t>https://www.idealista.com/inmueble/106082318/</t>
        </is>
      </c>
      <c r="E1166" t="n">
        <v>8</v>
      </c>
      <c r="H1166" t="n">
        <v>2535</v>
      </c>
      <c r="J1166" t="inlineStr">
        <is>
          <t>Cala Pi-Vallgornera, Llucmajor</t>
        </is>
      </c>
      <c r="K1166" t="n">
        <v>37.4</v>
      </c>
      <c r="L1166" t="n">
        <v>33</v>
      </c>
      <c r="M1166" t="n">
        <v>25.7</v>
      </c>
      <c r="N1166" t="n">
        <v>29</v>
      </c>
      <c r="O1166" t="n">
        <v>75.5</v>
      </c>
      <c r="P1166" t="n">
        <v>60</v>
      </c>
      <c r="Q1166" t="n">
        <v>23.4</v>
      </c>
      <c r="R1166" t="n">
        <v>25</v>
      </c>
      <c r="S1166" t="n">
        <v>3800000</v>
      </c>
      <c r="T1166" t="n">
        <v>1499</v>
      </c>
      <c r="AH1166" t="inlineStr">
        <is>
          <t>Quelle: Idealista</t>
        </is>
      </c>
    </row>
    <row r="1167">
      <c r="A1167" t="n">
        <v>980</v>
      </c>
      <c r="B1167" t="inlineStr">
        <is>
          <t>Casa independiente</t>
        </is>
      </c>
      <c r="C1167" t="inlineStr">
        <is>
          <t>https://www.idealista.com/inmueble/106541288/</t>
        </is>
      </c>
      <c r="E1167" t="n">
        <v>5</v>
      </c>
      <c r="H1167" t="n">
        <v>388</v>
      </c>
      <c r="J1167" t="inlineStr">
        <is>
          <t>Badia Blava-Badia Gran-Tolleric, Llucmajor</t>
        </is>
      </c>
      <c r="K1167" t="n">
        <v>19.6</v>
      </c>
      <c r="L1167" t="n">
        <v>21</v>
      </c>
      <c r="M1167" t="n">
        <v>38.8</v>
      </c>
      <c r="N1167" t="n">
        <v>38</v>
      </c>
      <c r="O1167" t="n">
        <v>57.8</v>
      </c>
      <c r="P1167" t="n">
        <v>48</v>
      </c>
      <c r="Q1167" t="n">
        <v>36.5</v>
      </c>
      <c r="R1167" t="n">
        <v>35</v>
      </c>
      <c r="S1167" t="n">
        <v>2980000</v>
      </c>
      <c r="T1167" t="n">
        <v>7680</v>
      </c>
      <c r="AH1167" t="inlineStr">
        <is>
          <t>Quelle: Idealista</t>
        </is>
      </c>
    </row>
    <row r="1168">
      <c r="A1168" t="n">
        <v>981</v>
      </c>
      <c r="B1168" t="inlineStr">
        <is>
          <t>Casa independiente</t>
        </is>
      </c>
      <c r="C1168" t="inlineStr">
        <is>
          <t>https://www.idealista.com/inmueble/106608521/</t>
        </is>
      </c>
      <c r="E1168" t="n">
        <v>5</v>
      </c>
      <c r="H1168" t="n">
        <v>555</v>
      </c>
      <c r="J1168" t="inlineStr">
        <is>
          <t>Llucmajor Interior, Llucmajor</t>
        </is>
      </c>
      <c r="K1168" t="n">
        <v>22</v>
      </c>
      <c r="L1168" t="n">
        <v>21</v>
      </c>
      <c r="M1168" t="n">
        <v>28.2</v>
      </c>
      <c r="N1168" t="n">
        <v>33</v>
      </c>
      <c r="O1168" t="n">
        <v>60.2</v>
      </c>
      <c r="P1168" t="n">
        <v>48</v>
      </c>
      <c r="Q1168" t="n">
        <v>25.9</v>
      </c>
      <c r="R1168" t="n">
        <v>29</v>
      </c>
      <c r="S1168" t="n">
        <v>2000000</v>
      </c>
      <c r="T1168" t="n">
        <v>3604</v>
      </c>
      <c r="AH1168" t="inlineStr">
        <is>
          <t>Quelle: Idealista</t>
        </is>
      </c>
    </row>
    <row r="1169">
      <c r="A1169" t="n">
        <v>982</v>
      </c>
      <c r="B1169" t="inlineStr">
        <is>
          <t>Finca rústica</t>
        </is>
      </c>
      <c r="C1169" t="inlineStr">
        <is>
          <t>https://www.idealista.com/inmueble/107797571/</t>
        </is>
      </c>
      <c r="E1169" t="n">
        <v>5</v>
      </c>
      <c r="H1169" t="n">
        <v>431</v>
      </c>
      <c r="J1169" t="inlineStr">
        <is>
          <t>Llucmajor Interior, Llucmajor</t>
        </is>
      </c>
      <c r="K1169" t="n">
        <v>22</v>
      </c>
      <c r="L1169" t="n">
        <v>21</v>
      </c>
      <c r="M1169" t="n">
        <v>28.2</v>
      </c>
      <c r="N1169" t="n">
        <v>33</v>
      </c>
      <c r="O1169" t="n">
        <v>60.2</v>
      </c>
      <c r="P1169" t="n">
        <v>48</v>
      </c>
      <c r="Q1169" t="n">
        <v>25.9</v>
      </c>
      <c r="R1169" t="n">
        <v>29</v>
      </c>
      <c r="S1169" t="n">
        <v>2590000</v>
      </c>
      <c r="T1169" t="n">
        <v>6009</v>
      </c>
      <c r="AH1169" t="inlineStr">
        <is>
          <t>Quelle: Idealista</t>
        </is>
      </c>
    </row>
    <row r="1170">
      <c r="A1170" t="n">
        <v>983</v>
      </c>
      <c r="B1170" t="inlineStr">
        <is>
          <t>Casa independiente</t>
        </is>
      </c>
      <c r="C1170" t="inlineStr">
        <is>
          <t>https://www.idealista.com/inmueble/108494696/</t>
        </is>
      </c>
      <c r="E1170" t="n">
        <v>5</v>
      </c>
      <c r="H1170" t="n">
        <v>355</v>
      </c>
      <c r="J1170" t="inlineStr">
        <is>
          <t>Cala Pi-Vallgornera, Llucmajor</t>
        </is>
      </c>
      <c r="K1170" t="n">
        <v>37.4</v>
      </c>
      <c r="L1170" t="n">
        <v>33</v>
      </c>
      <c r="M1170" t="n">
        <v>25.7</v>
      </c>
      <c r="N1170" t="n">
        <v>29</v>
      </c>
      <c r="O1170" t="n">
        <v>75.5</v>
      </c>
      <c r="P1170" t="n">
        <v>60</v>
      </c>
      <c r="Q1170" t="n">
        <v>23.4</v>
      </c>
      <c r="R1170" t="n">
        <v>25</v>
      </c>
      <c r="S1170" t="n">
        <v>2460000</v>
      </c>
      <c r="T1170" t="n">
        <v>6930</v>
      </c>
      <c r="AH1170" t="inlineStr">
        <is>
          <t>Quelle: Idealista</t>
        </is>
      </c>
    </row>
    <row r="1171">
      <c r="A1171" t="n">
        <v>984</v>
      </c>
      <c r="B1171" t="inlineStr">
        <is>
          <t>Casa independiente</t>
        </is>
      </c>
      <c r="C1171" t="inlineStr">
        <is>
          <t>https://www.idealista.com/inmueble/108968923/</t>
        </is>
      </c>
      <c r="E1171" t="n">
        <v>6</v>
      </c>
      <c r="H1171" t="n">
        <v>711</v>
      </c>
      <c r="J1171" t="inlineStr">
        <is>
          <t>Ses Palmeres, Llucmajor</t>
        </is>
      </c>
      <c r="K1171" t="n">
        <v>13</v>
      </c>
      <c r="L1171" t="n">
        <v>15</v>
      </c>
      <c r="M1171" t="n">
        <v>43.3</v>
      </c>
      <c r="N1171" t="n">
        <v>40</v>
      </c>
      <c r="O1171" t="n">
        <v>51.2</v>
      </c>
      <c r="P1171" t="n">
        <v>42</v>
      </c>
      <c r="Q1171" t="n">
        <v>41</v>
      </c>
      <c r="R1171" t="n">
        <v>37</v>
      </c>
      <c r="S1171" t="n">
        <v>2250000</v>
      </c>
      <c r="T1171" t="n">
        <v>3165</v>
      </c>
      <c r="AH1171" t="inlineStr">
        <is>
          <t>Quelle: Idealista</t>
        </is>
      </c>
    </row>
    <row r="1172">
      <c r="A1172" t="n">
        <v>985</v>
      </c>
      <c r="B1172" t="inlineStr">
        <is>
          <t>Casa rural</t>
        </is>
      </c>
      <c r="C1172" t="inlineStr">
        <is>
          <t>https://www.idealista.com/inmueble/104435170/</t>
        </is>
      </c>
      <c r="E1172" t="n">
        <v>10</v>
      </c>
      <c r="H1172" t="n">
        <v>604</v>
      </c>
      <c r="J1172" t="inlineStr">
        <is>
          <t>Llucmajor Interior, Llucmajor</t>
        </is>
      </c>
      <c r="K1172" t="n">
        <v>22</v>
      </c>
      <c r="L1172" t="n">
        <v>21</v>
      </c>
      <c r="M1172" t="n">
        <v>28.2</v>
      </c>
      <c r="N1172" t="n">
        <v>33</v>
      </c>
      <c r="O1172" t="n">
        <v>60.2</v>
      </c>
      <c r="P1172" t="n">
        <v>48</v>
      </c>
      <c r="Q1172" t="n">
        <v>25.9</v>
      </c>
      <c r="R1172" t="n">
        <v>29</v>
      </c>
      <c r="S1172" t="n">
        <v>3400000</v>
      </c>
      <c r="T1172" t="n">
        <v>5629</v>
      </c>
      <c r="AH1172" t="inlineStr">
        <is>
          <t>Quelle: Idealista</t>
        </is>
      </c>
    </row>
    <row r="1173">
      <c r="A1173" t="n">
        <v>986</v>
      </c>
      <c r="B1173" t="inlineStr">
        <is>
          <t>Finca rústica</t>
        </is>
      </c>
      <c r="C1173" t="inlineStr">
        <is>
          <t>https://www.idealista.com/inmueble/109221464/</t>
        </is>
      </c>
      <c r="E1173" t="n">
        <v>6</v>
      </c>
      <c r="H1173" t="n">
        <v>448</v>
      </c>
      <c r="J1173" t="inlineStr">
        <is>
          <t>Llucmajor Interior, Llucmajor</t>
        </is>
      </c>
      <c r="K1173" t="n">
        <v>22</v>
      </c>
      <c r="L1173" t="n">
        <v>21</v>
      </c>
      <c r="M1173" t="n">
        <v>28.2</v>
      </c>
      <c r="N1173" t="n">
        <v>33</v>
      </c>
      <c r="O1173" t="n">
        <v>60.2</v>
      </c>
      <c r="P1173" t="n">
        <v>48</v>
      </c>
      <c r="Q1173" t="n">
        <v>25.9</v>
      </c>
      <c r="R1173" t="n">
        <v>29</v>
      </c>
      <c r="S1173" t="n">
        <v>2400000</v>
      </c>
      <c r="T1173" t="n">
        <v>5357</v>
      </c>
      <c r="AH1173" t="inlineStr">
        <is>
          <t>Quelle: Idealista</t>
        </is>
      </c>
    </row>
    <row r="1174">
      <c r="A1174" t="n">
        <v>987</v>
      </c>
      <c r="B1174" t="inlineStr">
        <is>
          <t>Casa independiente en calle d'Orió s/n</t>
        </is>
      </c>
      <c r="C1174" t="inlineStr">
        <is>
          <t>https://www.idealista.com/inmueble/109220320/</t>
        </is>
      </c>
      <c r="E1174" t="n">
        <v>5</v>
      </c>
      <c r="H1174" t="n">
        <v>503</v>
      </c>
      <c r="J1174" t="inlineStr">
        <is>
          <t>Badia Blava-Badia Gran-Tolleric, Llucmajor</t>
        </is>
      </c>
      <c r="K1174" t="n">
        <v>19.6</v>
      </c>
      <c r="L1174" t="n">
        <v>21</v>
      </c>
      <c r="M1174" t="n">
        <v>38.8</v>
      </c>
      <c r="N1174" t="n">
        <v>38</v>
      </c>
      <c r="O1174" t="n">
        <v>57.8</v>
      </c>
      <c r="P1174" t="n">
        <v>48</v>
      </c>
      <c r="Q1174" t="n">
        <v>36.5</v>
      </c>
      <c r="R1174" t="n">
        <v>35</v>
      </c>
      <c r="S1174" t="n">
        <v>3250000</v>
      </c>
      <c r="T1174" t="n">
        <v>6461</v>
      </c>
      <c r="AH1174" t="inlineStr">
        <is>
          <t>Quelle: Idealista</t>
        </is>
      </c>
    </row>
    <row r="1175">
      <c r="A1175" t="n">
        <v>988</v>
      </c>
      <c r="B1175" t="inlineStr">
        <is>
          <t>Finca rústica</t>
        </is>
      </c>
      <c r="C1175" t="inlineStr">
        <is>
          <t>https://www.idealista.com/inmueble/106346625/</t>
        </is>
      </c>
      <c r="E1175" t="n">
        <v>5</v>
      </c>
      <c r="H1175" t="n">
        <v>500</v>
      </c>
      <c r="J1175" t="inlineStr">
        <is>
          <t>Llucmajor Interior, Llucmajor</t>
        </is>
      </c>
      <c r="K1175" t="n">
        <v>22</v>
      </c>
      <c r="L1175" t="n">
        <v>21</v>
      </c>
      <c r="M1175" t="n">
        <v>28.2</v>
      </c>
      <c r="N1175" t="n">
        <v>33</v>
      </c>
      <c r="O1175" t="n">
        <v>60.2</v>
      </c>
      <c r="P1175" t="n">
        <v>48</v>
      </c>
      <c r="Q1175" t="n">
        <v>25.9</v>
      </c>
      <c r="R1175" t="n">
        <v>29</v>
      </c>
      <c r="S1175" t="n">
        <v>2375000</v>
      </c>
      <c r="T1175" t="n">
        <v>4750</v>
      </c>
      <c r="AH1175" t="inlineStr">
        <is>
          <t>Quelle: Idealista</t>
        </is>
      </c>
    </row>
    <row r="1176">
      <c r="A1176" t="n">
        <v>989</v>
      </c>
      <c r="B1176" t="inlineStr">
        <is>
          <t>Casa independiente</t>
        </is>
      </c>
      <c r="C1176" t="inlineStr">
        <is>
          <t>https://www.idealista.com/inmueble/109105468/</t>
        </is>
      </c>
      <c r="E1176" t="n">
        <v>5</v>
      </c>
      <c r="H1176" t="n">
        <v>583</v>
      </c>
      <c r="J1176" t="inlineStr">
        <is>
          <t>Sa Torre, Llucmajor</t>
        </is>
      </c>
      <c r="K1176" t="n">
        <v>17</v>
      </c>
      <c r="L1176" t="n">
        <v>19</v>
      </c>
      <c r="M1176" t="n">
        <v>41.9</v>
      </c>
      <c r="N1176" t="n">
        <v>41</v>
      </c>
      <c r="O1176" t="n">
        <v>55.2</v>
      </c>
      <c r="P1176" t="n">
        <v>47</v>
      </c>
      <c r="Q1176" t="n">
        <v>39.6</v>
      </c>
      <c r="R1176" t="n">
        <v>38</v>
      </c>
      <c r="S1176" t="n">
        <v>3000000</v>
      </c>
      <c r="T1176" t="n">
        <v>5146</v>
      </c>
      <c r="AH1176" t="inlineStr">
        <is>
          <t>Quelle: Idealista</t>
        </is>
      </c>
    </row>
    <row r="1177">
      <c r="A1177" t="n">
        <v>990</v>
      </c>
      <c r="B1177" t="inlineStr">
        <is>
          <t>Finca rústica</t>
        </is>
      </c>
      <c r="C1177" t="inlineStr">
        <is>
          <t>https://www.idealista.com/inmueble/109094218/</t>
        </is>
      </c>
      <c r="E1177" t="n">
        <v>9</v>
      </c>
      <c r="H1177" t="n">
        <v>1340</v>
      </c>
      <c r="J1177" t="inlineStr">
        <is>
          <t>Llucmajor Interior, Llucmajor</t>
        </is>
      </c>
      <c r="K1177" t="n">
        <v>22</v>
      </c>
      <c r="L1177" t="n">
        <v>21</v>
      </c>
      <c r="M1177" t="n">
        <v>28.2</v>
      </c>
      <c r="N1177" t="n">
        <v>33</v>
      </c>
      <c r="O1177" t="n">
        <v>60.2</v>
      </c>
      <c r="P1177" t="n">
        <v>48</v>
      </c>
      <c r="Q1177" t="n">
        <v>25.9</v>
      </c>
      <c r="R1177" t="n">
        <v>29</v>
      </c>
      <c r="S1177" t="n">
        <v>4500000</v>
      </c>
      <c r="T1177" t="n">
        <v>3358</v>
      </c>
      <c r="AH1177" t="inlineStr">
        <is>
          <t>Quelle: Idealista</t>
        </is>
      </c>
    </row>
    <row r="1178">
      <c r="A1178" t="n">
        <v>991</v>
      </c>
      <c r="B1178" t="inlineStr">
        <is>
          <t>Casa independiente en avenida son Noguera, 4</t>
        </is>
      </c>
      <c r="C1178" t="inlineStr">
        <is>
          <t>https://www.idealista.com/inmueble/109075105/</t>
        </is>
      </c>
      <c r="E1178" t="n">
        <v>5</v>
      </c>
      <c r="H1178" t="n">
        <v>398</v>
      </c>
      <c r="J1178" t="inlineStr">
        <is>
          <t>Llucmajor Interior, Llucmajor</t>
        </is>
      </c>
      <c r="K1178" t="n">
        <v>22</v>
      </c>
      <c r="L1178" t="n">
        <v>21</v>
      </c>
      <c r="M1178" t="n">
        <v>28.2</v>
      </c>
      <c r="N1178" t="n">
        <v>33</v>
      </c>
      <c r="O1178" t="n">
        <v>60.2</v>
      </c>
      <c r="P1178" t="n">
        <v>48</v>
      </c>
      <c r="Q1178" t="n">
        <v>25.9</v>
      </c>
      <c r="R1178" t="n">
        <v>29</v>
      </c>
      <c r="S1178" t="n">
        <v>2200000</v>
      </c>
      <c r="T1178" t="n">
        <v>5528</v>
      </c>
      <c r="AH1178" t="inlineStr">
        <is>
          <t>Quelle: Idealista</t>
        </is>
      </c>
    </row>
    <row r="1179">
      <c r="A1179" t="n">
        <v>992</v>
      </c>
      <c r="B1179" t="inlineStr">
        <is>
          <t>Finca rústica</t>
        </is>
      </c>
      <c r="C1179" t="inlineStr">
        <is>
          <t>https://www.idealista.com/inmueble/109059899/</t>
        </is>
      </c>
      <c r="E1179" t="n">
        <v>5</v>
      </c>
      <c r="H1179" t="n">
        <v>414</v>
      </c>
      <c r="J1179" t="inlineStr">
        <is>
          <t>Llucmajor Interior, Llucmajor</t>
        </is>
      </c>
      <c r="K1179" t="n">
        <v>22</v>
      </c>
      <c r="L1179" t="n">
        <v>21</v>
      </c>
      <c r="M1179" t="n">
        <v>28.2</v>
      </c>
      <c r="N1179" t="n">
        <v>33</v>
      </c>
      <c r="O1179" t="n">
        <v>60.2</v>
      </c>
      <c r="P1179" t="n">
        <v>48</v>
      </c>
      <c r="Q1179" t="n">
        <v>25.9</v>
      </c>
      <c r="R1179" t="n">
        <v>29</v>
      </c>
      <c r="S1179" t="n">
        <v>2200000</v>
      </c>
      <c r="T1179" t="n">
        <v>5314</v>
      </c>
      <c r="AH1179" t="inlineStr">
        <is>
          <t>Quelle: Idealista</t>
        </is>
      </c>
    </row>
    <row r="1180">
      <c r="A1180" t="n">
        <v>993</v>
      </c>
      <c r="B1180" t="inlineStr">
        <is>
          <t>Casa independiente</t>
        </is>
      </c>
      <c r="C1180" t="inlineStr">
        <is>
          <t>https://www.idealista.com/inmueble/107772084/</t>
        </is>
      </c>
      <c r="E1180" t="n">
        <v>5</v>
      </c>
      <c r="H1180" t="n">
        <v>400</v>
      </c>
      <c r="J1180" t="inlineStr">
        <is>
          <t>Llucmajor Interior, Llucmajor</t>
        </is>
      </c>
      <c r="K1180" t="n">
        <v>22</v>
      </c>
      <c r="L1180" t="n">
        <v>21</v>
      </c>
      <c r="M1180" t="n">
        <v>28.2</v>
      </c>
      <c r="N1180" t="n">
        <v>33</v>
      </c>
      <c r="O1180" t="n">
        <v>60.2</v>
      </c>
      <c r="P1180" t="n">
        <v>48</v>
      </c>
      <c r="Q1180" t="n">
        <v>25.9</v>
      </c>
      <c r="R1180" t="n">
        <v>29</v>
      </c>
      <c r="S1180" t="n">
        <v>2595000</v>
      </c>
      <c r="T1180" t="n">
        <v>6488</v>
      </c>
      <c r="AH1180" t="inlineStr">
        <is>
          <t>Quelle: Idealista</t>
        </is>
      </c>
    </row>
    <row r="1181">
      <c r="A1181" t="n">
        <v>994</v>
      </c>
      <c r="B1181" t="inlineStr">
        <is>
          <t>Casa rural</t>
        </is>
      </c>
      <c r="C1181" t="inlineStr">
        <is>
          <t>https://www.idealista.com/inmueble/109052555/</t>
        </is>
      </c>
      <c r="E1181" t="n">
        <v>5</v>
      </c>
      <c r="H1181" t="n">
        <v>433</v>
      </c>
      <c r="J1181" t="inlineStr">
        <is>
          <t>Llucmajor Interior, Llucmajor</t>
        </is>
      </c>
      <c r="K1181" t="n">
        <v>22</v>
      </c>
      <c r="L1181" t="n">
        <v>21</v>
      </c>
      <c r="M1181" t="n">
        <v>28.2</v>
      </c>
      <c r="N1181" t="n">
        <v>33</v>
      </c>
      <c r="O1181" t="n">
        <v>60.2</v>
      </c>
      <c r="P1181" t="n">
        <v>48</v>
      </c>
      <c r="Q1181" t="n">
        <v>25.9</v>
      </c>
      <c r="R1181" t="n">
        <v>29</v>
      </c>
      <c r="S1181" t="n">
        <v>2595000</v>
      </c>
      <c r="T1181" t="n">
        <v>5993</v>
      </c>
      <c r="AH1181" t="inlineStr">
        <is>
          <t>Quelle: Idealista</t>
        </is>
      </c>
    </row>
    <row r="1182">
      <c r="A1182" t="n">
        <v>995</v>
      </c>
      <c r="B1182" t="inlineStr">
        <is>
          <t>Casa independiente en calle de Cristòfor Colom, 62</t>
        </is>
      </c>
      <c r="C1182" t="inlineStr">
        <is>
          <t>https://www.idealista.com/inmueble/109049025/</t>
        </is>
      </c>
      <c r="E1182" t="n">
        <v>5</v>
      </c>
      <c r="H1182" t="n">
        <v>342</v>
      </c>
      <c r="J1182" t="inlineStr">
        <is>
          <t>Badia Blava-Badia Gran-Tolleric, Llucmajor</t>
        </is>
      </c>
      <c r="K1182" t="n">
        <v>19.6</v>
      </c>
      <c r="L1182" t="n">
        <v>21</v>
      </c>
      <c r="M1182" t="n">
        <v>38.8</v>
      </c>
      <c r="N1182" t="n">
        <v>38</v>
      </c>
      <c r="O1182" t="n">
        <v>57.8</v>
      </c>
      <c r="P1182" t="n">
        <v>48</v>
      </c>
      <c r="Q1182" t="n">
        <v>36.5</v>
      </c>
      <c r="R1182" t="n">
        <v>35</v>
      </c>
      <c r="S1182" t="n">
        <v>5500000</v>
      </c>
      <c r="T1182" t="n">
        <v>16082</v>
      </c>
      <c r="AH1182" t="inlineStr">
        <is>
          <t>Quelle: Idealista</t>
        </is>
      </c>
    </row>
    <row r="1183">
      <c r="A1183" t="n">
        <v>996</v>
      </c>
      <c r="B1183" t="inlineStr">
        <is>
          <t>Chalet</t>
        </is>
      </c>
      <c r="C1183" t="inlineStr">
        <is>
          <t>https://www.idealista.com/inmueble/108961898/</t>
        </is>
      </c>
      <c r="E1183" t="n">
        <v>5</v>
      </c>
      <c r="H1183" t="n">
        <v>414</v>
      </c>
      <c r="J1183" t="inlineStr">
        <is>
          <t>Llucmajor Interior, Llucmajor</t>
        </is>
      </c>
      <c r="K1183" t="n">
        <v>22</v>
      </c>
      <c r="L1183" t="n">
        <v>21</v>
      </c>
      <c r="M1183" t="n">
        <v>28.2</v>
      </c>
      <c r="N1183" t="n">
        <v>33</v>
      </c>
      <c r="O1183" t="n">
        <v>60.2</v>
      </c>
      <c r="P1183" t="n">
        <v>48</v>
      </c>
      <c r="Q1183" t="n">
        <v>25.9</v>
      </c>
      <c r="R1183" t="n">
        <v>29</v>
      </c>
      <c r="S1183" t="n">
        <v>2200000</v>
      </c>
      <c r="T1183" t="n">
        <v>5314</v>
      </c>
      <c r="AH1183" t="inlineStr">
        <is>
          <t>Quelle: Idealista</t>
        </is>
      </c>
    </row>
    <row r="1184">
      <c r="A1184" t="n">
        <v>997</v>
      </c>
      <c r="B1184" t="inlineStr">
        <is>
          <t>Casa independiente en camino de Can Cifre</t>
        </is>
      </c>
      <c r="C1184" t="inlineStr">
        <is>
          <t>https://www.idealista.com/inmueble/108853540/</t>
        </is>
      </c>
      <c r="E1184" t="n">
        <v>5</v>
      </c>
      <c r="H1184" t="n">
        <v>655</v>
      </c>
      <c r="J1184" t="inlineStr">
        <is>
          <t>Llucmajor Interior, Llucmajor</t>
        </is>
      </c>
      <c r="K1184" t="n">
        <v>22</v>
      </c>
      <c r="L1184" t="n">
        <v>21</v>
      </c>
      <c r="M1184" t="n">
        <v>28.2</v>
      </c>
      <c r="N1184" t="n">
        <v>33</v>
      </c>
      <c r="O1184" t="n">
        <v>60.2</v>
      </c>
      <c r="P1184" t="n">
        <v>48</v>
      </c>
      <c r="Q1184" t="n">
        <v>25.9</v>
      </c>
      <c r="R1184" t="n">
        <v>29</v>
      </c>
      <c r="S1184" t="n">
        <v>2200000</v>
      </c>
      <c r="T1184" t="n">
        <v>3359</v>
      </c>
      <c r="AH1184" t="inlineStr">
        <is>
          <t>Quelle: Idealista</t>
        </is>
      </c>
    </row>
    <row r="1185">
      <c r="A1185" t="n">
        <v>998</v>
      </c>
      <c r="B1185" t="inlineStr">
        <is>
          <t>Casa independiente</t>
        </is>
      </c>
      <c r="C1185" t="inlineStr">
        <is>
          <t>https://www.idealista.com/inmueble/108909665/</t>
        </is>
      </c>
      <c r="E1185" t="n">
        <v>5</v>
      </c>
      <c r="H1185" t="n">
        <v>521</v>
      </c>
      <c r="J1185" t="inlineStr">
        <is>
          <t>Ses Palmeres, Llucmajor</t>
        </is>
      </c>
      <c r="K1185" t="n">
        <v>13</v>
      </c>
      <c r="L1185" t="n">
        <v>15</v>
      </c>
      <c r="M1185" t="n">
        <v>43.3</v>
      </c>
      <c r="N1185" t="n">
        <v>40</v>
      </c>
      <c r="O1185" t="n">
        <v>51.2</v>
      </c>
      <c r="P1185" t="n">
        <v>42</v>
      </c>
      <c r="Q1185" t="n">
        <v>41</v>
      </c>
      <c r="R1185" t="n">
        <v>37</v>
      </c>
      <c r="S1185" t="n">
        <v>2250000</v>
      </c>
      <c r="T1185" t="n">
        <v>4319</v>
      </c>
      <c r="AH1185" t="inlineStr">
        <is>
          <t>Quelle: Idealista</t>
        </is>
      </c>
    </row>
    <row r="1186">
      <c r="A1186" t="n">
        <v>999</v>
      </c>
      <c r="B1186" t="inlineStr">
        <is>
          <t>Casa independiente</t>
        </is>
      </c>
      <c r="C1186" t="inlineStr">
        <is>
          <t>https://www.idealista.com/inmueble/108858428/</t>
        </is>
      </c>
      <c r="E1186" t="n">
        <v>8</v>
      </c>
      <c r="H1186" t="n">
        <v>381</v>
      </c>
      <c r="J1186" t="inlineStr">
        <is>
          <t>S'Arenal, Llucmajor</t>
        </is>
      </c>
      <c r="K1186" t="n">
        <v>9.699999999999999</v>
      </c>
      <c r="L1186" t="n">
        <v>13</v>
      </c>
      <c r="M1186" t="n">
        <v>39.9</v>
      </c>
      <c r="N1186" t="n">
        <v>38</v>
      </c>
      <c r="O1186" t="n">
        <v>47.9</v>
      </c>
      <c r="P1186" t="n">
        <v>40</v>
      </c>
      <c r="Q1186" t="n">
        <v>37.6</v>
      </c>
      <c r="R1186" t="n">
        <v>35</v>
      </c>
      <c r="S1186" t="n">
        <v>2250000</v>
      </c>
      <c r="T1186" t="n">
        <v>5906</v>
      </c>
      <c r="AH1186" t="inlineStr">
        <is>
          <t>Quelle: Idealista</t>
        </is>
      </c>
    </row>
    <row r="1187">
      <c r="A1187" t="n">
        <v>1000</v>
      </c>
      <c r="B1187" t="inlineStr">
        <is>
          <t>Finca rústica en camino de Son Rubí o Son Perdiuet, 3</t>
        </is>
      </c>
      <c r="C1187" t="inlineStr">
        <is>
          <t>https://www.idealista.com/inmueble/108839862/</t>
        </is>
      </c>
      <c r="E1187" t="n">
        <v>5</v>
      </c>
      <c r="H1187" t="n">
        <v>398</v>
      </c>
      <c r="J1187" t="inlineStr">
        <is>
          <t>Llucmajor Interior, Llucmajor</t>
        </is>
      </c>
      <c r="K1187" t="n">
        <v>22</v>
      </c>
      <c r="L1187" t="n">
        <v>21</v>
      </c>
      <c r="M1187" t="n">
        <v>28.2</v>
      </c>
      <c r="N1187" t="n">
        <v>33</v>
      </c>
      <c r="O1187" t="n">
        <v>60.2</v>
      </c>
      <c r="P1187" t="n">
        <v>48</v>
      </c>
      <c r="Q1187" t="n">
        <v>25.9</v>
      </c>
      <c r="R1187" t="n">
        <v>29</v>
      </c>
      <c r="S1187" t="n">
        <v>2200000</v>
      </c>
      <c r="T1187" t="n">
        <v>5528</v>
      </c>
      <c r="AH1187" t="inlineStr">
        <is>
          <t>Quelle: Idealista</t>
        </is>
      </c>
    </row>
    <row r="1188">
      <c r="A1188" t="n">
        <v>1001</v>
      </c>
      <c r="B1188" t="inlineStr">
        <is>
          <t>Finca rústica en via Sense Nom</t>
        </is>
      </c>
      <c r="C1188" t="inlineStr">
        <is>
          <t>https://www.idealista.com/inmueble/91044935/</t>
        </is>
      </c>
      <c r="E1188" t="n">
        <v>9</v>
      </c>
      <c r="H1188" t="n">
        <v>1350</v>
      </c>
      <c r="J1188" t="inlineStr">
        <is>
          <t>Llucmajor Interior, Llucmajor</t>
        </is>
      </c>
      <c r="K1188" t="n">
        <v>22</v>
      </c>
      <c r="L1188" t="n">
        <v>21</v>
      </c>
      <c r="M1188" t="n">
        <v>28.2</v>
      </c>
      <c r="N1188" t="n">
        <v>33</v>
      </c>
      <c r="O1188" t="n">
        <v>60.2</v>
      </c>
      <c r="P1188" t="n">
        <v>48</v>
      </c>
      <c r="Q1188" t="n">
        <v>25.9</v>
      </c>
      <c r="R1188" t="n">
        <v>29</v>
      </c>
      <c r="S1188" t="n">
        <v>4500000</v>
      </c>
      <c r="T1188" t="n">
        <v>3333</v>
      </c>
      <c r="AH1188" t="inlineStr">
        <is>
          <t>Quelle: Idealista</t>
        </is>
      </c>
    </row>
    <row r="1189">
      <c r="A1189" t="n">
        <v>1002</v>
      </c>
      <c r="B1189" t="inlineStr">
        <is>
          <t>Finca rústica</t>
        </is>
      </c>
      <c r="C1189" t="inlineStr">
        <is>
          <t>https://www.idealista.com/inmueble/106359529/</t>
        </is>
      </c>
      <c r="E1189" t="n">
        <v>5</v>
      </c>
      <c r="H1189" t="n">
        <v>660</v>
      </c>
      <c r="J1189" t="inlineStr">
        <is>
          <t>Llucmajor Interior, Llucmajor</t>
        </is>
      </c>
      <c r="K1189" t="n">
        <v>22</v>
      </c>
      <c r="L1189" t="n">
        <v>21</v>
      </c>
      <c r="M1189" t="n">
        <v>28.2</v>
      </c>
      <c r="N1189" t="n">
        <v>33</v>
      </c>
      <c r="O1189" t="n">
        <v>60.2</v>
      </c>
      <c r="P1189" t="n">
        <v>48</v>
      </c>
      <c r="Q1189" t="n">
        <v>25.9</v>
      </c>
      <c r="R1189" t="n">
        <v>29</v>
      </c>
      <c r="S1189" t="n">
        <v>2200000</v>
      </c>
      <c r="T1189" t="n">
        <v>3333</v>
      </c>
      <c r="AH1189" t="inlineStr">
        <is>
          <t>Quelle: Idealista</t>
        </is>
      </c>
    </row>
    <row r="1190">
      <c r="A1190" t="n">
        <v>1003</v>
      </c>
      <c r="B1190" t="inlineStr">
        <is>
          <t>Casa independiente</t>
        </is>
      </c>
      <c r="C1190" t="inlineStr">
        <is>
          <t>https://www.idealista.com/inmueble/108808511/</t>
        </is>
      </c>
      <c r="E1190" t="n">
        <v>5</v>
      </c>
      <c r="H1190" t="n">
        <v>506</v>
      </c>
      <c r="J1190" t="inlineStr">
        <is>
          <t>Cala Blava-Bellavista, Llucmajor</t>
        </is>
      </c>
      <c r="K1190" t="n">
        <v>12</v>
      </c>
      <c r="L1190" t="n">
        <v>15</v>
      </c>
      <c r="M1190" t="n">
        <v>42.2</v>
      </c>
      <c r="N1190" t="n">
        <v>40</v>
      </c>
      <c r="O1190" t="n">
        <v>50.2</v>
      </c>
      <c r="P1190" t="n">
        <v>42</v>
      </c>
      <c r="Q1190" t="n">
        <v>39.9</v>
      </c>
      <c r="R1190" t="n">
        <v>37</v>
      </c>
      <c r="S1190" t="n">
        <v>3200000</v>
      </c>
      <c r="T1190" t="n">
        <v>6324</v>
      </c>
      <c r="AH1190" t="inlineStr">
        <is>
          <t>Quelle: Idealista</t>
        </is>
      </c>
    </row>
    <row r="1191">
      <c r="A1191" t="n">
        <v>1004</v>
      </c>
      <c r="B1191" t="inlineStr">
        <is>
          <t>Finca rústica</t>
        </is>
      </c>
      <c r="C1191" t="inlineStr">
        <is>
          <t>https://www.idealista.com/inmueble/108766341/</t>
        </is>
      </c>
      <c r="E1191" t="n">
        <v>5</v>
      </c>
      <c r="H1191" t="n">
        <v>583</v>
      </c>
      <c r="J1191" t="inlineStr">
        <is>
          <t>Llucmajor Interior, Llucmajor</t>
        </is>
      </c>
      <c r="K1191" t="n">
        <v>22</v>
      </c>
      <c r="L1191" t="n">
        <v>21</v>
      </c>
      <c r="M1191" t="n">
        <v>28.2</v>
      </c>
      <c r="N1191" t="n">
        <v>33</v>
      </c>
      <c r="O1191" t="n">
        <v>60.2</v>
      </c>
      <c r="P1191" t="n">
        <v>48</v>
      </c>
      <c r="Q1191" t="n">
        <v>25.9</v>
      </c>
      <c r="R1191" t="n">
        <v>29</v>
      </c>
      <c r="S1191" t="n">
        <v>2200000</v>
      </c>
      <c r="T1191" t="n">
        <v>3774</v>
      </c>
      <c r="AH1191" t="inlineStr">
        <is>
          <t>Quelle: Idealista</t>
        </is>
      </c>
    </row>
    <row r="1192">
      <c r="A1192" t="n">
        <v>1005</v>
      </c>
      <c r="B1192" t="inlineStr">
        <is>
          <t>Casa independiente</t>
        </is>
      </c>
      <c r="C1192" t="inlineStr">
        <is>
          <t>https://www.idealista.com/inmueble/108685222/</t>
        </is>
      </c>
      <c r="E1192" t="n">
        <v>5</v>
      </c>
      <c r="H1192" t="n">
        <v>518</v>
      </c>
      <c r="J1192" t="inlineStr">
        <is>
          <t>Llucmajor Interior, Llucmajor</t>
        </is>
      </c>
      <c r="K1192" t="n">
        <v>22</v>
      </c>
      <c r="L1192" t="n">
        <v>21</v>
      </c>
      <c r="M1192" t="n">
        <v>28.2</v>
      </c>
      <c r="N1192" t="n">
        <v>33</v>
      </c>
      <c r="O1192" t="n">
        <v>60.2</v>
      </c>
      <c r="P1192" t="n">
        <v>48</v>
      </c>
      <c r="Q1192" t="n">
        <v>25.9</v>
      </c>
      <c r="R1192" t="n">
        <v>29</v>
      </c>
      <c r="S1192" t="n">
        <v>3000000</v>
      </c>
      <c r="T1192" t="n">
        <v>5792</v>
      </c>
      <c r="AH1192" t="inlineStr">
        <is>
          <t>Quelle: Idealista</t>
        </is>
      </c>
    </row>
    <row r="1193">
      <c r="A1193" t="n">
        <v>1006</v>
      </c>
      <c r="B1193" t="inlineStr">
        <is>
          <t>Casa rural</t>
        </is>
      </c>
      <c r="C1193" t="inlineStr">
        <is>
          <t>https://www.idealista.com/inmueble/108434339/</t>
        </is>
      </c>
      <c r="E1193" t="n">
        <v>9</v>
      </c>
      <c r="H1193" t="n">
        <v>430</v>
      </c>
      <c r="J1193" t="inlineStr">
        <is>
          <t>Llucmajor Interior, Llucmajor</t>
        </is>
      </c>
      <c r="K1193" t="n">
        <v>22</v>
      </c>
      <c r="L1193" t="n">
        <v>21</v>
      </c>
      <c r="M1193" t="n">
        <v>28.2</v>
      </c>
      <c r="N1193" t="n">
        <v>33</v>
      </c>
      <c r="O1193" t="n">
        <v>60.2</v>
      </c>
      <c r="P1193" t="n">
        <v>48</v>
      </c>
      <c r="Q1193" t="n">
        <v>25.9</v>
      </c>
      <c r="R1193" t="n">
        <v>29</v>
      </c>
      <c r="S1193" t="n">
        <v>3900000</v>
      </c>
      <c r="T1193" t="n">
        <v>9070</v>
      </c>
      <c r="AH1193" t="inlineStr">
        <is>
          <t>Quelle: Idealista</t>
        </is>
      </c>
    </row>
    <row r="1194">
      <c r="A1194" t="n">
        <v>1007</v>
      </c>
      <c r="B1194" t="inlineStr">
        <is>
          <t>Caserón en camino De Sa Torre, 1</t>
        </is>
      </c>
      <c r="C1194" t="inlineStr">
        <is>
          <t>https://www.idealista.com/inmueble/108305314/</t>
        </is>
      </c>
      <c r="E1194" t="n">
        <v>8</v>
      </c>
      <c r="H1194" t="n">
        <v>2400</v>
      </c>
      <c r="J1194" t="inlineStr">
        <is>
          <t>Llucmajor Interior, Llucmajor</t>
        </is>
      </c>
      <c r="K1194" t="n">
        <v>22</v>
      </c>
      <c r="L1194" t="n">
        <v>21</v>
      </c>
      <c r="M1194" t="n">
        <v>28.2</v>
      </c>
      <c r="N1194" t="n">
        <v>33</v>
      </c>
      <c r="O1194" t="n">
        <v>60.2</v>
      </c>
      <c r="P1194" t="n">
        <v>48</v>
      </c>
      <c r="Q1194" t="n">
        <v>25.9</v>
      </c>
      <c r="R1194" t="n">
        <v>29</v>
      </c>
      <c r="S1194" t="n">
        <v>5000000</v>
      </c>
      <c r="T1194" t="n">
        <v>2083</v>
      </c>
      <c r="AH1194" t="inlineStr">
        <is>
          <t>Quelle: Idealista</t>
        </is>
      </c>
    </row>
    <row r="1195">
      <c r="A1195" t="n">
        <v>1008</v>
      </c>
      <c r="B1195" t="inlineStr">
        <is>
          <t>Finca rústica</t>
        </is>
      </c>
      <c r="C1195" t="inlineStr">
        <is>
          <t>https://www.idealista.com/inmueble/108275094/</t>
        </is>
      </c>
      <c r="E1195" t="n">
        <v>9</v>
      </c>
      <c r="H1195" t="n">
        <v>1300</v>
      </c>
      <c r="J1195" t="inlineStr">
        <is>
          <t>Llucmajor Interior, Llucmajor</t>
        </is>
      </c>
      <c r="K1195" t="n">
        <v>22</v>
      </c>
      <c r="L1195" t="n">
        <v>21</v>
      </c>
      <c r="M1195" t="n">
        <v>28.2</v>
      </c>
      <c r="N1195" t="n">
        <v>33</v>
      </c>
      <c r="O1195" t="n">
        <v>60.2</v>
      </c>
      <c r="P1195" t="n">
        <v>48</v>
      </c>
      <c r="Q1195" t="n">
        <v>25.9</v>
      </c>
      <c r="R1195" t="n">
        <v>29</v>
      </c>
      <c r="S1195" t="n">
        <v>4500000</v>
      </c>
      <c r="T1195" t="n">
        <v>3462</v>
      </c>
      <c r="AH1195" t="inlineStr">
        <is>
          <t>Quelle: Idealista</t>
        </is>
      </c>
    </row>
    <row r="1196">
      <c r="A1196" t="n">
        <v>1009</v>
      </c>
      <c r="B1196" t="inlineStr">
        <is>
          <t>Casa independiente en Badia blava badia</t>
        </is>
      </c>
      <c r="C1196" t="inlineStr">
        <is>
          <t>https://www.idealista.com/inmueble/108221202/</t>
        </is>
      </c>
      <c r="E1196" t="n">
        <v>5</v>
      </c>
      <c r="H1196" t="n">
        <v>333</v>
      </c>
      <c r="J1196" t="inlineStr">
        <is>
          <t>Badia Blava-Badia Gran-Tolleric, Llucmajor</t>
        </is>
      </c>
      <c r="K1196" t="n">
        <v>19.6</v>
      </c>
      <c r="L1196" t="n">
        <v>21</v>
      </c>
      <c r="M1196" t="n">
        <v>38.8</v>
      </c>
      <c r="N1196" t="n">
        <v>38</v>
      </c>
      <c r="O1196" t="n">
        <v>57.8</v>
      </c>
      <c r="P1196" t="n">
        <v>48</v>
      </c>
      <c r="Q1196" t="n">
        <v>36.5</v>
      </c>
      <c r="R1196" t="n">
        <v>35</v>
      </c>
      <c r="S1196" t="n">
        <v>3875000</v>
      </c>
      <c r="T1196" t="n">
        <v>11637</v>
      </c>
      <c r="AH1196" t="inlineStr">
        <is>
          <t>Quelle: Idealista</t>
        </is>
      </c>
    </row>
    <row r="1197">
      <c r="A1197" t="n">
        <v>1010</v>
      </c>
      <c r="B1197" t="inlineStr">
        <is>
          <t>Casa independiente en major, 1</t>
        </is>
      </c>
      <c r="C1197" t="inlineStr">
        <is>
          <t>https://www.idealista.com/inmueble/108169082/</t>
        </is>
      </c>
      <c r="E1197" t="n">
        <v>5</v>
      </c>
      <c r="H1197" t="n">
        <v>850</v>
      </c>
      <c r="J1197" t="inlineStr">
        <is>
          <t>Son Verí, Llucmajor</t>
        </is>
      </c>
      <c r="K1197" t="n">
        <v>11.5</v>
      </c>
      <c r="L1197" t="n">
        <v>14</v>
      </c>
      <c r="M1197" t="n">
        <v>41.8</v>
      </c>
      <c r="N1197" t="n">
        <v>40</v>
      </c>
      <c r="O1197" t="n">
        <v>49.7</v>
      </c>
      <c r="P1197" t="n">
        <v>42</v>
      </c>
      <c r="Q1197" t="n">
        <v>39.5</v>
      </c>
      <c r="R1197" t="n">
        <v>36</v>
      </c>
      <c r="S1197" t="n">
        <v>4800000</v>
      </c>
      <c r="T1197" t="n">
        <v>5647</v>
      </c>
      <c r="AH1197" t="inlineStr">
        <is>
          <t>Quelle: Idealista</t>
        </is>
      </c>
    </row>
    <row r="1198">
      <c r="A1198" t="n">
        <v>1011</v>
      </c>
      <c r="B1198" t="inlineStr">
        <is>
          <t>Casa independiente</t>
        </is>
      </c>
      <c r="C1198" t="inlineStr">
        <is>
          <t>https://www.idealista.com/inmueble/108091226/</t>
        </is>
      </c>
      <c r="E1198" t="n">
        <v>5</v>
      </c>
      <c r="H1198" t="n">
        <v>438</v>
      </c>
      <c r="J1198" t="inlineStr">
        <is>
          <t>Badia Blava-Badia Gran-Tolleric, Llucmajor</t>
        </is>
      </c>
      <c r="K1198" t="n">
        <v>19.6</v>
      </c>
      <c r="L1198" t="n">
        <v>21</v>
      </c>
      <c r="M1198" t="n">
        <v>38.8</v>
      </c>
      <c r="N1198" t="n">
        <v>38</v>
      </c>
      <c r="O1198" t="n">
        <v>57.8</v>
      </c>
      <c r="P1198" t="n">
        <v>48</v>
      </c>
      <c r="Q1198" t="n">
        <v>36.5</v>
      </c>
      <c r="R1198" t="n">
        <v>35</v>
      </c>
      <c r="S1198" t="n">
        <v>2980000</v>
      </c>
      <c r="T1198" t="n">
        <v>6804</v>
      </c>
      <c r="AH1198" t="inlineStr">
        <is>
          <t>Quelle: Idealista</t>
        </is>
      </c>
    </row>
    <row r="1199">
      <c r="A1199" t="n">
        <v>1012</v>
      </c>
      <c r="B1199" t="inlineStr">
        <is>
          <t>Finca rústica</t>
        </is>
      </c>
      <c r="C1199" t="inlineStr">
        <is>
          <t>https://www.idealista.com/inmueble/92150172/</t>
        </is>
      </c>
      <c r="E1199" t="n">
        <v>5</v>
      </c>
      <c r="H1199" t="n">
        <v>450</v>
      </c>
      <c r="J1199" t="inlineStr">
        <is>
          <t>Llucmajor Interior, Llucmajor</t>
        </is>
      </c>
      <c r="K1199" t="n">
        <v>22</v>
      </c>
      <c r="L1199" t="n">
        <v>21</v>
      </c>
      <c r="M1199" t="n">
        <v>28.2</v>
      </c>
      <c r="N1199" t="n">
        <v>33</v>
      </c>
      <c r="O1199" t="n">
        <v>60.2</v>
      </c>
      <c r="P1199" t="n">
        <v>48</v>
      </c>
      <c r="Q1199" t="n">
        <v>25.9</v>
      </c>
      <c r="R1199" t="n">
        <v>29</v>
      </c>
      <c r="S1199" t="n">
        <v>2590000</v>
      </c>
      <c r="T1199" t="n">
        <v>5756</v>
      </c>
      <c r="AH1199" t="inlineStr">
        <is>
          <t>Quelle: Idealista</t>
        </is>
      </c>
    </row>
    <row r="1200">
      <c r="A1200" t="n">
        <v>1013</v>
      </c>
      <c r="B1200" t="inlineStr">
        <is>
          <t>Casa rural</t>
        </is>
      </c>
      <c r="C1200" t="inlineStr">
        <is>
          <t>https://www.idealista.com/inmueble/105741542/</t>
        </is>
      </c>
      <c r="E1200" t="n">
        <v>9</v>
      </c>
      <c r="H1200" t="n">
        <v>1300</v>
      </c>
      <c r="J1200" t="inlineStr">
        <is>
          <t>Llucmajor Interior, Llucmajor</t>
        </is>
      </c>
      <c r="K1200" t="n">
        <v>22</v>
      </c>
      <c r="L1200" t="n">
        <v>21</v>
      </c>
      <c r="M1200" t="n">
        <v>28.2</v>
      </c>
      <c r="N1200" t="n">
        <v>33</v>
      </c>
      <c r="O1200" t="n">
        <v>60.2</v>
      </c>
      <c r="P1200" t="n">
        <v>48</v>
      </c>
      <c r="Q1200" t="n">
        <v>25.9</v>
      </c>
      <c r="R1200" t="n">
        <v>29</v>
      </c>
      <c r="S1200" t="n">
        <v>5000000</v>
      </c>
      <c r="T1200" t="n">
        <v>3846</v>
      </c>
      <c r="AH1200" t="inlineStr">
        <is>
          <t>Quelle: Idealista</t>
        </is>
      </c>
    </row>
    <row r="1201">
      <c r="A1201" t="n">
        <v>1014</v>
      </c>
      <c r="B1201" t="inlineStr">
        <is>
          <t>Casa independiente</t>
        </is>
      </c>
      <c r="C1201" t="inlineStr">
        <is>
          <t>https://www.idealista.com/inmueble/107153504/</t>
        </is>
      </c>
      <c r="E1201" t="n">
        <v>5</v>
      </c>
      <c r="H1201" t="n">
        <v>438</v>
      </c>
      <c r="J1201" t="inlineStr">
        <is>
          <t>Badia Blava-Badia Gran-Tolleric, Llucmajor</t>
        </is>
      </c>
      <c r="K1201" t="n">
        <v>19.6</v>
      </c>
      <c r="L1201" t="n">
        <v>21</v>
      </c>
      <c r="M1201" t="n">
        <v>38.8</v>
      </c>
      <c r="N1201" t="n">
        <v>38</v>
      </c>
      <c r="O1201" t="n">
        <v>57.8</v>
      </c>
      <c r="P1201" t="n">
        <v>48</v>
      </c>
      <c r="Q1201" t="n">
        <v>36.5</v>
      </c>
      <c r="R1201" t="n">
        <v>35</v>
      </c>
      <c r="S1201" t="n">
        <v>2980000</v>
      </c>
      <c r="T1201" t="n">
        <v>6804</v>
      </c>
      <c r="AH1201" t="inlineStr">
        <is>
          <t>Quelle: Idealista</t>
        </is>
      </c>
    </row>
    <row r="1202">
      <c r="A1202" t="n">
        <v>1015</v>
      </c>
      <c r="B1202" t="inlineStr">
        <is>
          <t>Casa independiente</t>
        </is>
      </c>
      <c r="C1202" t="inlineStr">
        <is>
          <t>https://www.idealista.com/inmueble/106094004/</t>
        </is>
      </c>
      <c r="E1202" t="n">
        <v>5</v>
      </c>
      <c r="H1202" t="n">
        <v>1064</v>
      </c>
      <c r="J1202" t="inlineStr">
        <is>
          <t>Llucmajor Interior, Llucmajor</t>
        </is>
      </c>
      <c r="K1202" t="n">
        <v>22</v>
      </c>
      <c r="L1202" t="n">
        <v>21</v>
      </c>
      <c r="M1202" t="n">
        <v>28.2</v>
      </c>
      <c r="N1202" t="n">
        <v>33</v>
      </c>
      <c r="O1202" t="n">
        <v>60.2</v>
      </c>
      <c r="P1202" t="n">
        <v>48</v>
      </c>
      <c r="Q1202" t="n">
        <v>25.9</v>
      </c>
      <c r="R1202" t="n">
        <v>29</v>
      </c>
      <c r="S1202" t="n">
        <v>2495000</v>
      </c>
      <c r="T1202" t="n">
        <v>2345</v>
      </c>
      <c r="AH1202" t="inlineStr">
        <is>
          <t>Quelle: Idealista</t>
        </is>
      </c>
    </row>
    <row r="1203">
      <c r="A1203" t="n">
        <v>1016</v>
      </c>
      <c r="B1203" t="inlineStr">
        <is>
          <t>Casa independiente en calle d'Orió</t>
        </is>
      </c>
      <c r="C1203" t="inlineStr">
        <is>
          <t>https://www.idealista.com/inmueble/106409436/</t>
        </is>
      </c>
      <c r="E1203" t="n">
        <v>5</v>
      </c>
      <c r="H1203" t="n">
        <v>565</v>
      </c>
      <c r="J1203" t="inlineStr">
        <is>
          <t>Badia Blava-Badia Gran-Tolleric, Llucmajor</t>
        </is>
      </c>
      <c r="K1203" t="n">
        <v>19.6</v>
      </c>
      <c r="L1203" t="n">
        <v>21</v>
      </c>
      <c r="M1203" t="n">
        <v>38.8</v>
      </c>
      <c r="N1203" t="n">
        <v>38</v>
      </c>
      <c r="O1203" t="n">
        <v>57.8</v>
      </c>
      <c r="P1203" t="n">
        <v>48</v>
      </c>
      <c r="Q1203" t="n">
        <v>36.5</v>
      </c>
      <c r="R1203" t="n">
        <v>35</v>
      </c>
      <c r="S1203" t="n">
        <v>2980000</v>
      </c>
      <c r="T1203" t="n">
        <v>5274</v>
      </c>
      <c r="AH1203" t="inlineStr">
        <is>
          <t>Quelle: Idealista</t>
        </is>
      </c>
    </row>
    <row r="1204">
      <c r="A1204" t="n">
        <v>1017</v>
      </c>
      <c r="B1204" t="inlineStr">
        <is>
          <t>Casa independiente en calle Ondategui</t>
        </is>
      </c>
      <c r="C1204" t="inlineStr">
        <is>
          <t>https://www.idealista.com/inmueble/106530522/</t>
        </is>
      </c>
      <c r="E1204" t="n">
        <v>5</v>
      </c>
      <c r="H1204" t="n">
        <v>555</v>
      </c>
      <c r="J1204" t="inlineStr">
        <is>
          <t>Cala Blava-Bellavista, Llucmajor</t>
        </is>
      </c>
      <c r="K1204" t="n">
        <v>12</v>
      </c>
      <c r="L1204" t="n">
        <v>15</v>
      </c>
      <c r="M1204" t="n">
        <v>42.2</v>
      </c>
      <c r="N1204" t="n">
        <v>40</v>
      </c>
      <c r="O1204" t="n">
        <v>50.2</v>
      </c>
      <c r="P1204" t="n">
        <v>42</v>
      </c>
      <c r="Q1204" t="n">
        <v>39.9</v>
      </c>
      <c r="R1204" t="n">
        <v>37</v>
      </c>
      <c r="S1204" t="n">
        <v>3300000</v>
      </c>
      <c r="T1204" t="n">
        <v>5946</v>
      </c>
      <c r="AH1204" t="inlineStr">
        <is>
          <t>Quelle: Idealista</t>
        </is>
      </c>
    </row>
    <row r="1205">
      <c r="A1205" t="n">
        <v>1018</v>
      </c>
      <c r="B1205" t="inlineStr">
        <is>
          <t>Chalet</t>
        </is>
      </c>
      <c r="C1205" t="inlineStr">
        <is>
          <t>https://www.idealista.com/inmueble/106523992/</t>
        </is>
      </c>
      <c r="E1205" t="n">
        <v>8</v>
      </c>
      <c r="H1205" t="n">
        <v>555</v>
      </c>
      <c r="J1205" t="inlineStr">
        <is>
          <t>Llucmajor Interior, Llucmajor</t>
        </is>
      </c>
      <c r="K1205" t="n">
        <v>22</v>
      </c>
      <c r="L1205" t="n">
        <v>21</v>
      </c>
      <c r="M1205" t="n">
        <v>28.2</v>
      </c>
      <c r="N1205" t="n">
        <v>33</v>
      </c>
      <c r="O1205" t="n">
        <v>60.2</v>
      </c>
      <c r="P1205" t="n">
        <v>48</v>
      </c>
      <c r="Q1205" t="n">
        <v>25.9</v>
      </c>
      <c r="R1205" t="n">
        <v>29</v>
      </c>
      <c r="S1205" t="n">
        <v>2000000</v>
      </c>
      <c r="T1205" t="n">
        <v>3604</v>
      </c>
      <c r="AH1205" t="inlineStr">
        <is>
          <t>Quelle: Idealista</t>
        </is>
      </c>
    </row>
    <row r="1206">
      <c r="A1206" t="n">
        <v>1019</v>
      </c>
      <c r="B1206" t="inlineStr">
        <is>
          <t>Casa independiente</t>
        </is>
      </c>
      <c r="C1206" t="inlineStr">
        <is>
          <t>https://www.idealista.com/inmueble/95347149/</t>
        </is>
      </c>
      <c r="E1206" t="n">
        <v>5</v>
      </c>
      <c r="H1206" t="n">
        <v>850</v>
      </c>
      <c r="J1206" t="inlineStr">
        <is>
          <t>Llucmajor Interior, Llucmajor</t>
        </is>
      </c>
      <c r="K1206" t="n">
        <v>22</v>
      </c>
      <c r="L1206" t="n">
        <v>21</v>
      </c>
      <c r="M1206" t="n">
        <v>28.2</v>
      </c>
      <c r="N1206" t="n">
        <v>33</v>
      </c>
      <c r="O1206" t="n">
        <v>60.2</v>
      </c>
      <c r="P1206" t="n">
        <v>48</v>
      </c>
      <c r="Q1206" t="n">
        <v>25.9</v>
      </c>
      <c r="R1206" t="n">
        <v>29</v>
      </c>
      <c r="S1206" t="n">
        <v>5500000</v>
      </c>
      <c r="T1206" t="n">
        <v>6471</v>
      </c>
      <c r="AH1206" t="inlineStr">
        <is>
          <t>Quelle: Idealista</t>
        </is>
      </c>
    </row>
    <row r="1207">
      <c r="A1207" t="n">
        <v>1020</v>
      </c>
      <c r="B1207" t="inlineStr">
        <is>
          <t>Casa independiente en calle d'Orió</t>
        </is>
      </c>
      <c r="C1207" t="inlineStr">
        <is>
          <t>https://www.idealista.com/inmueble/106300018/</t>
        </is>
      </c>
      <c r="E1207" t="n">
        <v>5</v>
      </c>
      <c r="H1207" t="n">
        <v>550</v>
      </c>
      <c r="J1207" t="inlineStr">
        <is>
          <t>Badia Blava-Badia Gran-Tolleric, Llucmajor</t>
        </is>
      </c>
      <c r="K1207" t="n">
        <v>19.6</v>
      </c>
      <c r="L1207" t="n">
        <v>21</v>
      </c>
      <c r="M1207" t="n">
        <v>38.8</v>
      </c>
      <c r="N1207" t="n">
        <v>38</v>
      </c>
      <c r="O1207" t="n">
        <v>57.8</v>
      </c>
      <c r="P1207" t="n">
        <v>48</v>
      </c>
      <c r="Q1207" t="n">
        <v>36.5</v>
      </c>
      <c r="R1207" t="n">
        <v>35</v>
      </c>
      <c r="S1207" t="n">
        <v>3250000</v>
      </c>
      <c r="T1207" t="n">
        <v>5909</v>
      </c>
      <c r="AH1207" t="inlineStr">
        <is>
          <t>Quelle: Idealista</t>
        </is>
      </c>
    </row>
    <row r="1208">
      <c r="A1208" t="n">
        <v>1021</v>
      </c>
      <c r="B1208" t="inlineStr">
        <is>
          <t>Casa independiente</t>
        </is>
      </c>
      <c r="C1208" t="inlineStr">
        <is>
          <t>https://www.idealista.com/inmueble/106096942/</t>
        </is>
      </c>
      <c r="E1208" t="n">
        <v>5</v>
      </c>
      <c r="H1208" t="n">
        <v>432</v>
      </c>
      <c r="J1208" t="inlineStr">
        <is>
          <t>Badia Blava-Badia Gran-Tolleric, Llucmajor</t>
        </is>
      </c>
      <c r="K1208" t="n">
        <v>19.6</v>
      </c>
      <c r="L1208" t="n">
        <v>21</v>
      </c>
      <c r="M1208" t="n">
        <v>38.8</v>
      </c>
      <c r="N1208" t="n">
        <v>38</v>
      </c>
      <c r="O1208" t="n">
        <v>57.8</v>
      </c>
      <c r="P1208" t="n">
        <v>48</v>
      </c>
      <c r="Q1208" t="n">
        <v>36.5</v>
      </c>
      <c r="R1208" t="n">
        <v>35</v>
      </c>
      <c r="S1208" t="n">
        <v>3450000</v>
      </c>
      <c r="T1208" t="n">
        <v>7986</v>
      </c>
      <c r="AH1208" t="inlineStr">
        <is>
          <t>Quelle: Idealista</t>
        </is>
      </c>
    </row>
    <row r="1209">
      <c r="A1209" t="n">
        <v>1022</v>
      </c>
      <c r="B1209" t="inlineStr">
        <is>
          <t>Casa rural</t>
        </is>
      </c>
      <c r="C1209" t="inlineStr">
        <is>
          <t>https://www.idealista.com/inmueble/106014158/</t>
        </is>
      </c>
      <c r="E1209" t="n">
        <v>9</v>
      </c>
      <c r="H1209" t="n">
        <v>1350</v>
      </c>
      <c r="J1209" t="inlineStr">
        <is>
          <t>Llucmajor Interior, Llucmajor</t>
        </is>
      </c>
      <c r="K1209" t="n">
        <v>22</v>
      </c>
      <c r="L1209" t="n">
        <v>21</v>
      </c>
      <c r="M1209" t="n">
        <v>28.2</v>
      </c>
      <c r="N1209" t="n">
        <v>33</v>
      </c>
      <c r="O1209" t="n">
        <v>60.2</v>
      </c>
      <c r="P1209" t="n">
        <v>48</v>
      </c>
      <c r="Q1209" t="n">
        <v>25.9</v>
      </c>
      <c r="R1209" t="n">
        <v>29</v>
      </c>
      <c r="S1209" t="n">
        <v>4500000</v>
      </c>
      <c r="T1209" t="n">
        <v>3333</v>
      </c>
      <c r="AH1209" t="inlineStr">
        <is>
          <t>Quelle: Idealista</t>
        </is>
      </c>
    </row>
    <row r="1210">
      <c r="A1210" t="n">
        <v>1023</v>
      </c>
      <c r="B1210" t="inlineStr">
        <is>
          <t>Finca rústica</t>
        </is>
      </c>
      <c r="C1210" t="inlineStr">
        <is>
          <t>https://www.idealista.com/inmueble/105668938/</t>
        </is>
      </c>
      <c r="E1210" t="n">
        <v>5</v>
      </c>
      <c r="H1210" t="n">
        <v>600</v>
      </c>
      <c r="J1210" t="inlineStr">
        <is>
          <t>Llucmajor Interior, Llucmajor</t>
        </is>
      </c>
      <c r="K1210" t="n">
        <v>22</v>
      </c>
      <c r="L1210" t="n">
        <v>21</v>
      </c>
      <c r="M1210" t="n">
        <v>28.2</v>
      </c>
      <c r="N1210" t="n">
        <v>33</v>
      </c>
      <c r="O1210" t="n">
        <v>60.2</v>
      </c>
      <c r="P1210" t="n">
        <v>48</v>
      </c>
      <c r="Q1210" t="n">
        <v>25.9</v>
      </c>
      <c r="R1210" t="n">
        <v>29</v>
      </c>
      <c r="S1210" t="n">
        <v>2200000</v>
      </c>
      <c r="T1210" t="n">
        <v>3667</v>
      </c>
      <c r="AH1210" t="inlineStr">
        <is>
          <t>Quelle: Idealista</t>
        </is>
      </c>
    </row>
    <row r="1211">
      <c r="A1211" t="n">
        <v>1024</v>
      </c>
      <c r="B1211" t="inlineStr">
        <is>
          <t>Casa rural</t>
        </is>
      </c>
      <c r="C1211" t="inlineStr">
        <is>
          <t>https://www.idealista.com/inmueble/105576774/</t>
        </is>
      </c>
      <c r="E1211" t="n">
        <v>5</v>
      </c>
      <c r="H1211" t="n">
        <v>370</v>
      </c>
      <c r="J1211" t="inlineStr">
        <is>
          <t>Llucmajor Interior, Llucmajor</t>
        </is>
      </c>
      <c r="K1211" t="n">
        <v>22</v>
      </c>
      <c r="L1211" t="n">
        <v>21</v>
      </c>
      <c r="M1211" t="n">
        <v>28.2</v>
      </c>
      <c r="N1211" t="n">
        <v>33</v>
      </c>
      <c r="O1211" t="n">
        <v>60.2</v>
      </c>
      <c r="P1211" t="n">
        <v>48</v>
      </c>
      <c r="Q1211" t="n">
        <v>25.9</v>
      </c>
      <c r="R1211" t="n">
        <v>29</v>
      </c>
      <c r="S1211" t="n">
        <v>2375000</v>
      </c>
      <c r="T1211" t="n">
        <v>6419</v>
      </c>
      <c r="AH1211" t="inlineStr">
        <is>
          <t>Quelle: Idealista</t>
        </is>
      </c>
    </row>
    <row r="1212">
      <c r="A1212" t="n">
        <v>1025</v>
      </c>
      <c r="B1212" t="inlineStr">
        <is>
          <t>Chalet</t>
        </is>
      </c>
      <c r="C1212" t="inlineStr">
        <is>
          <t>https://www.idealista.com/inmueble/105204481/</t>
        </is>
      </c>
      <c r="E1212" t="n">
        <v>5</v>
      </c>
      <c r="H1212" t="n">
        <v>555</v>
      </c>
      <c r="J1212" t="inlineStr">
        <is>
          <t>Cala Blava-Bellavista, Llucmajor</t>
        </is>
      </c>
      <c r="K1212" t="n">
        <v>12</v>
      </c>
      <c r="L1212" t="n">
        <v>15</v>
      </c>
      <c r="M1212" t="n">
        <v>42.2</v>
      </c>
      <c r="N1212" t="n">
        <v>40</v>
      </c>
      <c r="O1212" t="n">
        <v>50.2</v>
      </c>
      <c r="P1212" t="n">
        <v>42</v>
      </c>
      <c r="Q1212" t="n">
        <v>39.9</v>
      </c>
      <c r="R1212" t="n">
        <v>37</v>
      </c>
      <c r="S1212" t="n">
        <v>3300000</v>
      </c>
      <c r="T1212" t="n">
        <v>5946</v>
      </c>
      <c r="AH1212" t="inlineStr">
        <is>
          <t>Quelle: Idealista</t>
        </is>
      </c>
    </row>
    <row r="1213">
      <c r="A1213" t="n">
        <v>1026</v>
      </c>
      <c r="B1213" t="inlineStr">
        <is>
          <t>Casa rural en camino Vell de Cala Pi</t>
        </is>
      </c>
      <c r="C1213" t="inlineStr">
        <is>
          <t>https://www.idealista.com/inmueble/105110115/</t>
        </is>
      </c>
      <c r="E1213" t="n">
        <v>10</v>
      </c>
      <c r="H1213" t="n">
        <v>604</v>
      </c>
      <c r="J1213" t="inlineStr">
        <is>
          <t>Llucmajor Interior, Llucmajor</t>
        </is>
      </c>
      <c r="K1213" t="n">
        <v>22</v>
      </c>
      <c r="L1213" t="n">
        <v>21</v>
      </c>
      <c r="M1213" t="n">
        <v>28.2</v>
      </c>
      <c r="N1213" t="n">
        <v>33</v>
      </c>
      <c r="O1213" t="n">
        <v>60.2</v>
      </c>
      <c r="P1213" t="n">
        <v>48</v>
      </c>
      <c r="Q1213" t="n">
        <v>25.9</v>
      </c>
      <c r="R1213" t="n">
        <v>29</v>
      </c>
      <c r="S1213" t="n">
        <v>3400000</v>
      </c>
      <c r="T1213" t="n">
        <v>5629</v>
      </c>
      <c r="AH1213" t="inlineStr">
        <is>
          <t>Quelle: Idealista</t>
        </is>
      </c>
    </row>
    <row r="1214">
      <c r="A1214" t="n">
        <v>1027</v>
      </c>
      <c r="B1214" t="inlineStr">
        <is>
          <t>Finca rústica en Diseminado Sector 2</t>
        </is>
      </c>
      <c r="C1214" t="inlineStr">
        <is>
          <t>https://www.idealista.com/inmueble/105042091/</t>
        </is>
      </c>
      <c r="E1214" t="n">
        <v>5</v>
      </c>
      <c r="H1214" t="n">
        <v>475</v>
      </c>
      <c r="J1214" t="inlineStr">
        <is>
          <t>Llucmajor Interior, Llucmajor</t>
        </is>
      </c>
      <c r="K1214" t="n">
        <v>22</v>
      </c>
      <c r="L1214" t="n">
        <v>21</v>
      </c>
      <c r="M1214" t="n">
        <v>28.2</v>
      </c>
      <c r="N1214" t="n">
        <v>33</v>
      </c>
      <c r="O1214" t="n">
        <v>60.2</v>
      </c>
      <c r="P1214" t="n">
        <v>48</v>
      </c>
      <c r="Q1214" t="n">
        <v>25.9</v>
      </c>
      <c r="R1214" t="n">
        <v>29</v>
      </c>
      <c r="S1214" t="n">
        <v>3500000</v>
      </c>
      <c r="T1214" t="n">
        <v>7368</v>
      </c>
      <c r="AH1214" t="inlineStr">
        <is>
          <t>Quelle: Idealista</t>
        </is>
      </c>
    </row>
    <row r="1215">
      <c r="A1215" t="n">
        <v>1028</v>
      </c>
      <c r="B1215" t="inlineStr">
        <is>
          <t>Chalet</t>
        </is>
      </c>
      <c r="C1215" t="inlineStr">
        <is>
          <t>https://www.idealista.com/inmueble/104679266/</t>
        </is>
      </c>
      <c r="E1215" t="n">
        <v>6</v>
      </c>
      <c r="H1215" t="n">
        <v>300</v>
      </c>
      <c r="J1215" t="inlineStr">
        <is>
          <t>Ses Palmeres, Llucmajor</t>
        </is>
      </c>
      <c r="K1215" t="n">
        <v>13</v>
      </c>
      <c r="L1215" t="n">
        <v>15</v>
      </c>
      <c r="M1215" t="n">
        <v>43.3</v>
      </c>
      <c r="N1215" t="n">
        <v>40</v>
      </c>
      <c r="O1215" t="n">
        <v>51.2</v>
      </c>
      <c r="P1215" t="n">
        <v>42</v>
      </c>
      <c r="Q1215" t="n">
        <v>41</v>
      </c>
      <c r="R1215" t="n">
        <v>37</v>
      </c>
      <c r="S1215" t="n">
        <v>5000000</v>
      </c>
      <c r="T1215" t="n">
        <v>16667</v>
      </c>
      <c r="AH1215" t="inlineStr">
        <is>
          <t>Quelle: Idealista</t>
        </is>
      </c>
    </row>
    <row r="1216">
      <c r="A1216" t="n">
        <v>1029</v>
      </c>
      <c r="B1216" t="inlineStr">
        <is>
          <t>Casa independiente</t>
        </is>
      </c>
      <c r="C1216" t="inlineStr">
        <is>
          <t>https://www.idealista.com/inmueble/104375638/</t>
        </is>
      </c>
      <c r="E1216" t="n">
        <v>5</v>
      </c>
      <c r="H1216" t="n">
        <v>250</v>
      </c>
      <c r="J1216" t="inlineStr">
        <is>
          <t>Cala Pi-Vallgornera, Llucmajor</t>
        </is>
      </c>
      <c r="K1216" t="n">
        <v>37.4</v>
      </c>
      <c r="L1216" t="n">
        <v>33</v>
      </c>
      <c r="M1216" t="n">
        <v>25.7</v>
      </c>
      <c r="N1216" t="n">
        <v>29</v>
      </c>
      <c r="O1216" t="n">
        <v>75.5</v>
      </c>
      <c r="P1216" t="n">
        <v>60</v>
      </c>
      <c r="Q1216" t="n">
        <v>23.4</v>
      </c>
      <c r="R1216" t="n">
        <v>25</v>
      </c>
      <c r="S1216" t="n">
        <v>2500000</v>
      </c>
      <c r="T1216" t="n">
        <v>10000</v>
      </c>
      <c r="AH1216" t="inlineStr">
        <is>
          <t>Quelle: Idealista</t>
        </is>
      </c>
    </row>
    <row r="1217">
      <c r="A1217" t="n">
        <v>1030</v>
      </c>
      <c r="B1217" t="inlineStr">
        <is>
          <t>Chalet</t>
        </is>
      </c>
      <c r="C1217" t="inlineStr">
        <is>
          <t>https://www.idealista.com/inmueble/103314990/</t>
        </is>
      </c>
      <c r="E1217" t="n">
        <v>5</v>
      </c>
      <c r="H1217" t="n">
        <v>575</v>
      </c>
      <c r="J1217" t="inlineStr">
        <is>
          <t>Badia Blava-Badia Gran-Tolleric, Llucmajor</t>
        </is>
      </c>
      <c r="K1217" t="n">
        <v>19.6</v>
      </c>
      <c r="L1217" t="n">
        <v>21</v>
      </c>
      <c r="M1217" t="n">
        <v>38.8</v>
      </c>
      <c r="N1217" t="n">
        <v>38</v>
      </c>
      <c r="O1217" t="n">
        <v>57.8</v>
      </c>
      <c r="P1217" t="n">
        <v>48</v>
      </c>
      <c r="Q1217" t="n">
        <v>36.5</v>
      </c>
      <c r="R1217" t="n">
        <v>35</v>
      </c>
      <c r="S1217" t="n">
        <v>3250000</v>
      </c>
      <c r="T1217" t="n">
        <v>5652</v>
      </c>
      <c r="AH1217" t="inlineStr">
        <is>
          <t>Quelle: Idealista</t>
        </is>
      </c>
    </row>
    <row r="1218">
      <c r="A1218" t="n">
        <v>1031</v>
      </c>
      <c r="B1218" t="inlineStr">
        <is>
          <t>Finca rústica</t>
        </is>
      </c>
      <c r="C1218" t="inlineStr">
        <is>
          <t>https://www.idealista.com/inmueble/103293851/</t>
        </is>
      </c>
      <c r="E1218" t="n">
        <v>5</v>
      </c>
      <c r="H1218" t="n">
        <v>421</v>
      </c>
      <c r="J1218" t="inlineStr">
        <is>
          <t>Llucmajor Interior, Llucmajor</t>
        </is>
      </c>
      <c r="K1218" t="n">
        <v>22</v>
      </c>
      <c r="L1218" t="n">
        <v>21</v>
      </c>
      <c r="M1218" t="n">
        <v>28.2</v>
      </c>
      <c r="N1218" t="n">
        <v>33</v>
      </c>
      <c r="O1218" t="n">
        <v>60.2</v>
      </c>
      <c r="P1218" t="n">
        <v>48</v>
      </c>
      <c r="Q1218" t="n">
        <v>25.9</v>
      </c>
      <c r="R1218" t="n">
        <v>29</v>
      </c>
      <c r="S1218" t="n">
        <v>3900000</v>
      </c>
      <c r="T1218" t="n">
        <v>9264</v>
      </c>
      <c r="AH1218" t="inlineStr">
        <is>
          <t>Quelle: Idealista</t>
        </is>
      </c>
    </row>
    <row r="1219">
      <c r="A1219" t="n">
        <v>1032</v>
      </c>
      <c r="B1219" t="inlineStr">
        <is>
          <t>Masía</t>
        </is>
      </c>
      <c r="C1219" t="inlineStr">
        <is>
          <t>https://www.idealista.com/inmueble/96732915/</t>
        </is>
      </c>
      <c r="E1219" t="n">
        <v>5</v>
      </c>
      <c r="H1219" t="n">
        <v>755</v>
      </c>
      <c r="J1219" t="inlineStr">
        <is>
          <t>Llucmajor Interior, Llucmajor</t>
        </is>
      </c>
      <c r="K1219" t="n">
        <v>22</v>
      </c>
      <c r="L1219" t="n">
        <v>21</v>
      </c>
      <c r="M1219" t="n">
        <v>28.2</v>
      </c>
      <c r="N1219" t="n">
        <v>33</v>
      </c>
      <c r="O1219" t="n">
        <v>60.2</v>
      </c>
      <c r="P1219" t="n">
        <v>48</v>
      </c>
      <c r="Q1219" t="n">
        <v>25.9</v>
      </c>
      <c r="R1219" t="n">
        <v>29</v>
      </c>
      <c r="S1219" t="n">
        <v>2995000</v>
      </c>
      <c r="T1219" t="n">
        <v>3967</v>
      </c>
      <c r="AH1219" t="inlineStr">
        <is>
          <t>Quelle: Idealista</t>
        </is>
      </c>
    </row>
    <row r="1220">
      <c r="A1220" t="n">
        <v>1033</v>
      </c>
      <c r="B1220" t="inlineStr">
        <is>
          <t>Casa independiente</t>
        </is>
      </c>
      <c r="C1220" t="inlineStr">
        <is>
          <t>https://www.idealista.com/inmueble/88492605/</t>
        </is>
      </c>
      <c r="E1220" t="n">
        <v>5</v>
      </c>
      <c r="H1220" t="n">
        <v>563</v>
      </c>
      <c r="J1220" t="inlineStr">
        <is>
          <t>Sa Torre, Llucmajor</t>
        </is>
      </c>
      <c r="K1220" t="n">
        <v>17</v>
      </c>
      <c r="L1220" t="n">
        <v>19</v>
      </c>
      <c r="M1220" t="n">
        <v>41.9</v>
      </c>
      <c r="N1220" t="n">
        <v>41</v>
      </c>
      <c r="O1220" t="n">
        <v>55.2</v>
      </c>
      <c r="P1220" t="n">
        <v>47</v>
      </c>
      <c r="Q1220" t="n">
        <v>39.6</v>
      </c>
      <c r="R1220" t="n">
        <v>38</v>
      </c>
      <c r="S1220" t="n">
        <v>3000000</v>
      </c>
      <c r="T1220" t="n">
        <v>5329</v>
      </c>
      <c r="AH1220" t="inlineStr">
        <is>
          <t>Quelle: Idealista</t>
        </is>
      </c>
    </row>
    <row r="1221">
      <c r="A1221" t="n">
        <v>1034</v>
      </c>
      <c r="B1221" t="inlineStr">
        <is>
          <t>Casa rural</t>
        </is>
      </c>
      <c r="C1221" t="inlineStr">
        <is>
          <t>https://www.idealista.com/inmueble/102870248/</t>
        </is>
      </c>
      <c r="E1221" t="n">
        <v>5</v>
      </c>
      <c r="H1221" t="n">
        <v>445</v>
      </c>
      <c r="J1221" t="inlineStr">
        <is>
          <t>Llucmajor Interior, Llucmajor</t>
        </is>
      </c>
      <c r="K1221" t="n">
        <v>22</v>
      </c>
      <c r="L1221" t="n">
        <v>21</v>
      </c>
      <c r="M1221" t="n">
        <v>28.2</v>
      </c>
      <c r="N1221" t="n">
        <v>33</v>
      </c>
      <c r="O1221" t="n">
        <v>60.2</v>
      </c>
      <c r="P1221" t="n">
        <v>48</v>
      </c>
      <c r="Q1221" t="n">
        <v>25.9</v>
      </c>
      <c r="R1221" t="n">
        <v>29</v>
      </c>
      <c r="S1221" t="n">
        <v>2200000</v>
      </c>
      <c r="T1221" t="n">
        <v>4944</v>
      </c>
      <c r="AH1221" t="inlineStr">
        <is>
          <t>Quelle: Idealista</t>
        </is>
      </c>
    </row>
    <row r="1222">
      <c r="A1222" t="n">
        <v>1035</v>
      </c>
      <c r="B1222" t="inlineStr">
        <is>
          <t>Casa independiente en calle de Sant Mateu s/n</t>
        </is>
      </c>
      <c r="C1222" t="inlineStr">
        <is>
          <t>https://www.idealista.com/inmueble/101430545/</t>
        </is>
      </c>
      <c r="E1222" t="n">
        <v>5</v>
      </c>
      <c r="H1222" t="n">
        <v>583</v>
      </c>
      <c r="J1222" t="inlineStr">
        <is>
          <t>Sa Torre, Llucmajor</t>
        </is>
      </c>
      <c r="K1222" t="n">
        <v>17</v>
      </c>
      <c r="L1222" t="n">
        <v>19</v>
      </c>
      <c r="M1222" t="n">
        <v>41.9</v>
      </c>
      <c r="N1222" t="n">
        <v>41</v>
      </c>
      <c r="O1222" t="n">
        <v>55.2</v>
      </c>
      <c r="P1222" t="n">
        <v>47</v>
      </c>
      <c r="Q1222" t="n">
        <v>39.6</v>
      </c>
      <c r="R1222" t="n">
        <v>38</v>
      </c>
      <c r="S1222" t="n">
        <v>3000000</v>
      </c>
      <c r="T1222" t="n">
        <v>5146</v>
      </c>
      <c r="AH1222" t="inlineStr">
        <is>
          <t>Quelle: Idealista</t>
        </is>
      </c>
    </row>
    <row r="1223">
      <c r="A1223" t="n">
        <v>1036</v>
      </c>
      <c r="B1223" t="inlineStr">
        <is>
          <t>Finca rústica</t>
        </is>
      </c>
      <c r="C1223" t="inlineStr">
        <is>
          <t>https://www.idealista.com/inmueble/101462385/</t>
        </is>
      </c>
      <c r="E1223" t="n">
        <v>9</v>
      </c>
      <c r="H1223" t="n">
        <v>652</v>
      </c>
      <c r="J1223" t="inlineStr">
        <is>
          <t>Llucmajor Interior, Llucmajor</t>
        </is>
      </c>
      <c r="K1223" t="n">
        <v>22</v>
      </c>
      <c r="L1223" t="n">
        <v>21</v>
      </c>
      <c r="M1223" t="n">
        <v>28.2</v>
      </c>
      <c r="N1223" t="n">
        <v>33</v>
      </c>
      <c r="O1223" t="n">
        <v>60.2</v>
      </c>
      <c r="P1223" t="n">
        <v>48</v>
      </c>
      <c r="Q1223" t="n">
        <v>25.9</v>
      </c>
      <c r="R1223" t="n">
        <v>29</v>
      </c>
      <c r="S1223" t="n">
        <v>5250000</v>
      </c>
      <c r="T1223" t="n">
        <v>8052</v>
      </c>
      <c r="AH1223" t="inlineStr">
        <is>
          <t>Quelle: Idealista</t>
        </is>
      </c>
    </row>
    <row r="1224">
      <c r="A1224" t="n">
        <v>1037</v>
      </c>
      <c r="B1224" t="inlineStr">
        <is>
          <t>Casa independiente</t>
        </is>
      </c>
      <c r="C1224" t="inlineStr">
        <is>
          <t>https://www.idealista.com/inmueble/98598636/</t>
        </is>
      </c>
      <c r="E1224" t="n">
        <v>5</v>
      </c>
      <c r="H1224" t="n">
        <v>354</v>
      </c>
      <c r="J1224" t="inlineStr">
        <is>
          <t>Sa Torre, Llucmajor</t>
        </is>
      </c>
      <c r="K1224" t="n">
        <v>17</v>
      </c>
      <c r="L1224" t="n">
        <v>19</v>
      </c>
      <c r="M1224" t="n">
        <v>41.9</v>
      </c>
      <c r="N1224" t="n">
        <v>41</v>
      </c>
      <c r="O1224" t="n">
        <v>55.2</v>
      </c>
      <c r="P1224" t="n">
        <v>47</v>
      </c>
      <c r="Q1224" t="n">
        <v>39.6</v>
      </c>
      <c r="R1224" t="n">
        <v>38</v>
      </c>
      <c r="S1224" t="n">
        <v>2400000</v>
      </c>
      <c r="T1224" t="n">
        <v>6780</v>
      </c>
      <c r="AH1224" t="inlineStr">
        <is>
          <t>Quelle: Idealista</t>
        </is>
      </c>
    </row>
    <row r="1225">
      <c r="A1225" t="n">
        <v>1038</v>
      </c>
      <c r="B1225" t="inlineStr">
        <is>
          <t>Casa independiente</t>
        </is>
      </c>
      <c r="C1225" t="inlineStr">
        <is>
          <t>https://www.idealista.com/inmueble/98154035/</t>
        </is>
      </c>
      <c r="E1225" t="n">
        <v>7</v>
      </c>
      <c r="H1225" t="n">
        <v>559</v>
      </c>
      <c r="J1225" t="inlineStr">
        <is>
          <t>Son Verí, Llucmajor</t>
        </is>
      </c>
      <c r="K1225" t="n">
        <v>11.5</v>
      </c>
      <c r="L1225" t="n">
        <v>14</v>
      </c>
      <c r="M1225" t="n">
        <v>41.8</v>
      </c>
      <c r="N1225" t="n">
        <v>40</v>
      </c>
      <c r="O1225" t="n">
        <v>49.7</v>
      </c>
      <c r="P1225" t="n">
        <v>42</v>
      </c>
      <c r="Q1225" t="n">
        <v>39.5</v>
      </c>
      <c r="R1225" t="n">
        <v>36</v>
      </c>
      <c r="S1225" t="n">
        <v>3200000</v>
      </c>
      <c r="T1225" t="n">
        <v>5725</v>
      </c>
      <c r="AH1225" t="inlineStr">
        <is>
          <t>Quelle: Idealista</t>
        </is>
      </c>
    </row>
    <row r="1226">
      <c r="A1226" t="n">
        <v>1039</v>
      </c>
      <c r="B1226" t="inlineStr">
        <is>
          <t>Finca rústica</t>
        </is>
      </c>
      <c r="C1226" t="inlineStr">
        <is>
          <t>https://www.idealista.com/inmueble/94475645/</t>
        </is>
      </c>
      <c r="E1226" t="n">
        <v>12</v>
      </c>
      <c r="H1226" t="n">
        <v>2535</v>
      </c>
      <c r="J1226" t="inlineStr">
        <is>
          <t>Cala Pi-Vallgornera, Llucmajor</t>
        </is>
      </c>
      <c r="K1226" t="n">
        <v>37.4</v>
      </c>
      <c r="L1226" t="n">
        <v>33</v>
      </c>
      <c r="M1226" t="n">
        <v>25.7</v>
      </c>
      <c r="N1226" t="n">
        <v>29</v>
      </c>
      <c r="O1226" t="n">
        <v>75.5</v>
      </c>
      <c r="P1226" t="n">
        <v>60</v>
      </c>
      <c r="Q1226" t="n">
        <v>23.4</v>
      </c>
      <c r="R1226" t="n">
        <v>25</v>
      </c>
      <c r="S1226" t="n">
        <v>3800000</v>
      </c>
      <c r="T1226" t="n">
        <v>1499</v>
      </c>
      <c r="AH1226" t="inlineStr">
        <is>
          <t>Quelle: Idealista</t>
        </is>
      </c>
    </row>
    <row r="1227">
      <c r="A1227" t="n">
        <v>1040</v>
      </c>
      <c r="B1227" t="inlineStr">
        <is>
          <t>Casa rural</t>
        </is>
      </c>
      <c r="C1227" t="inlineStr">
        <is>
          <t>https://www.idealista.com/inmueble/40054694/</t>
        </is>
      </c>
      <c r="E1227" t="n">
        <v>5</v>
      </c>
      <c r="H1227" t="n">
        <v>3100</v>
      </c>
      <c r="J1227" t="inlineStr">
        <is>
          <t>Sa Torre, Llucmajor</t>
        </is>
      </c>
      <c r="K1227" t="n">
        <v>17</v>
      </c>
      <c r="L1227" t="n">
        <v>19</v>
      </c>
      <c r="M1227" t="n">
        <v>41.9</v>
      </c>
      <c r="N1227" t="n">
        <v>41</v>
      </c>
      <c r="O1227" t="n">
        <v>55.2</v>
      </c>
      <c r="P1227" t="n">
        <v>47</v>
      </c>
      <c r="Q1227" t="n">
        <v>39.6</v>
      </c>
      <c r="R1227" t="n">
        <v>38</v>
      </c>
      <c r="S1227" t="n">
        <v>5300000</v>
      </c>
      <c r="T1227" t="n">
        <v>1710</v>
      </c>
      <c r="AH1227" t="inlineStr">
        <is>
          <t>Quelle: Idealista</t>
        </is>
      </c>
    </row>
    <row r="1228">
      <c r="A1228" t="n">
        <v>1041</v>
      </c>
      <c r="B1228" t="inlineStr">
        <is>
          <t>Chalet</t>
        </is>
      </c>
      <c r="C1228" t="inlineStr">
        <is>
          <t>https://www.idealista.com/inmueble/87303830/</t>
        </is>
      </c>
      <c r="E1228" t="n">
        <v>5</v>
      </c>
      <c r="H1228" t="n">
        <v>573</v>
      </c>
      <c r="J1228" t="inlineStr">
        <is>
          <t>Sa Torre, Llucmajor</t>
        </is>
      </c>
      <c r="K1228" t="n">
        <v>17</v>
      </c>
      <c r="L1228" t="n">
        <v>19</v>
      </c>
      <c r="M1228" t="n">
        <v>41.9</v>
      </c>
      <c r="N1228" t="n">
        <v>41</v>
      </c>
      <c r="O1228" t="n">
        <v>55.2</v>
      </c>
      <c r="P1228" t="n">
        <v>47</v>
      </c>
      <c r="Q1228" t="n">
        <v>39.6</v>
      </c>
      <c r="R1228" t="n">
        <v>38</v>
      </c>
      <c r="S1228" t="n">
        <v>3000000</v>
      </c>
      <c r="T1228" t="n">
        <v>5236</v>
      </c>
      <c r="AH1228" t="inlineStr">
        <is>
          <t>Quelle: Idealista</t>
        </is>
      </c>
    </row>
    <row r="1229">
      <c r="A1229" t="n">
        <v>1042</v>
      </c>
      <c r="B1229" t="inlineStr">
        <is>
          <t>Casa independiente</t>
        </is>
      </c>
      <c r="C1229" t="inlineStr">
        <is>
          <t>https://www.idealista.com/inmueble/87024037/</t>
        </is>
      </c>
      <c r="E1229" t="n">
        <v>5</v>
      </c>
      <c r="H1229" t="n">
        <v>583</v>
      </c>
      <c r="J1229" t="inlineStr">
        <is>
          <t>Sa Torre, Llucmajor</t>
        </is>
      </c>
      <c r="K1229" t="n">
        <v>17</v>
      </c>
      <c r="L1229" t="n">
        <v>19</v>
      </c>
      <c r="M1229" t="n">
        <v>41.9</v>
      </c>
      <c r="N1229" t="n">
        <v>41</v>
      </c>
      <c r="O1229" t="n">
        <v>55.2</v>
      </c>
      <c r="P1229" t="n">
        <v>47</v>
      </c>
      <c r="Q1229" t="n">
        <v>39.6</v>
      </c>
      <c r="R1229" t="n">
        <v>38</v>
      </c>
      <c r="S1229" t="n">
        <v>3000000</v>
      </c>
      <c r="T1229" t="n">
        <v>5146</v>
      </c>
      <c r="AH1229" t="inlineStr">
        <is>
          <t>Quelle: Idealista</t>
        </is>
      </c>
    </row>
    <row r="1230">
      <c r="A1230" t="n">
        <v>1043</v>
      </c>
      <c r="B1230" t="inlineStr">
        <is>
          <t>Casa independiente</t>
        </is>
      </c>
      <c r="C1230" t="inlineStr">
        <is>
          <t>https://www.idealista.com/inmueble/38091963/</t>
        </is>
      </c>
      <c r="E1230" t="n">
        <v>5</v>
      </c>
      <c r="H1230" t="n">
        <v>506</v>
      </c>
      <c r="J1230" t="inlineStr">
        <is>
          <t>Cala Blava-Bellavista, Llucmajor</t>
        </is>
      </c>
      <c r="K1230" t="n">
        <v>12</v>
      </c>
      <c r="L1230" t="n">
        <v>15</v>
      </c>
      <c r="M1230" t="n">
        <v>42.2</v>
      </c>
      <c r="N1230" t="n">
        <v>40</v>
      </c>
      <c r="O1230" t="n">
        <v>50.2</v>
      </c>
      <c r="P1230" t="n">
        <v>42</v>
      </c>
      <c r="Q1230" t="n">
        <v>39.9</v>
      </c>
      <c r="R1230" t="n">
        <v>37</v>
      </c>
      <c r="S1230" t="n">
        <v>3200000</v>
      </c>
      <c r="T1230" t="n">
        <v>6324</v>
      </c>
      <c r="AH1230" t="inlineStr">
        <is>
          <t>Quelle: Idealista</t>
        </is>
      </c>
    </row>
    <row r="1231">
      <c r="A1231" t="n">
        <v>1044</v>
      </c>
      <c r="B1231" t="inlineStr">
        <is>
          <t>Casa rural</t>
        </is>
      </c>
      <c r="C1231" t="inlineStr">
        <is>
          <t>https://www.idealista.com/inmueble/108192634/</t>
        </is>
      </c>
      <c r="E1231" t="n">
        <v>7</v>
      </c>
      <c r="H1231" t="n">
        <v>408</v>
      </c>
      <c r="J1231" t="inlineStr">
        <is>
          <t>Porto Cristo, Manacor</t>
        </is>
      </c>
      <c r="K1231" t="n">
        <v>61.2</v>
      </c>
      <c r="L1231" t="n">
        <v>56</v>
      </c>
      <c r="M1231" t="n">
        <v>41.2</v>
      </c>
      <c r="N1231" t="n">
        <v>51</v>
      </c>
      <c r="O1231" t="n">
        <v>95.40000000000001</v>
      </c>
      <c r="P1231" t="n">
        <v>80</v>
      </c>
      <c r="Q1231" t="n">
        <v>48.6</v>
      </c>
      <c r="R1231" t="n">
        <v>49</v>
      </c>
      <c r="S1231" t="n">
        <v>3100000</v>
      </c>
      <c r="T1231" t="n">
        <v>7598</v>
      </c>
      <c r="AH1231" t="inlineStr">
        <is>
          <t>Quelle: Idealista</t>
        </is>
      </c>
    </row>
    <row r="1232">
      <c r="A1232" t="n">
        <v>1045</v>
      </c>
      <c r="B1232" t="inlineStr">
        <is>
          <t>Casa rural</t>
        </is>
      </c>
      <c r="C1232" t="inlineStr">
        <is>
          <t>https://www.idealista.com/inmueble/110375616/</t>
        </is>
      </c>
      <c r="E1232" t="n">
        <v>5</v>
      </c>
      <c r="H1232" t="n">
        <v>17300</v>
      </c>
      <c r="J1232" t="inlineStr">
        <is>
          <t>Manacor Centro, Manacor</t>
        </is>
      </c>
      <c r="K1232" t="n">
        <v>50.5</v>
      </c>
      <c r="L1232" t="n">
        <v>47</v>
      </c>
      <c r="M1232" t="n">
        <v>40.1</v>
      </c>
      <c r="N1232" t="n">
        <v>43</v>
      </c>
      <c r="O1232" t="n">
        <v>84.7</v>
      </c>
      <c r="P1232" t="n">
        <v>71</v>
      </c>
      <c r="Q1232" t="n">
        <v>37.8</v>
      </c>
      <c r="R1232" t="n">
        <v>40</v>
      </c>
      <c r="S1232" t="n">
        <v>2300000</v>
      </c>
      <c r="T1232" t="n">
        <v>133</v>
      </c>
      <c r="AH1232" t="inlineStr">
        <is>
          <t>Quelle: Idealista</t>
        </is>
      </c>
    </row>
    <row r="1233">
      <c r="A1233" t="n">
        <v>1046</v>
      </c>
      <c r="B1233" t="inlineStr">
        <is>
          <t>Finca rústica</t>
        </is>
      </c>
      <c r="C1233" t="inlineStr">
        <is>
          <t>https://www.idealista.com/inmueble/110342558/</t>
        </is>
      </c>
      <c r="E1233" t="n">
        <v>5</v>
      </c>
      <c r="H1233" t="n">
        <v>17318</v>
      </c>
      <c r="J1233" t="inlineStr">
        <is>
          <t>Manacor Centro, Manacor</t>
        </is>
      </c>
      <c r="K1233" t="n">
        <v>50.5</v>
      </c>
      <c r="L1233" t="n">
        <v>47</v>
      </c>
      <c r="M1233" t="n">
        <v>40.1</v>
      </c>
      <c r="N1233" t="n">
        <v>43</v>
      </c>
      <c r="O1233" t="n">
        <v>84.7</v>
      </c>
      <c r="P1233" t="n">
        <v>71</v>
      </c>
      <c r="Q1233" t="n">
        <v>37.8</v>
      </c>
      <c r="R1233" t="n">
        <v>40</v>
      </c>
      <c r="S1233" t="n">
        <v>2300000</v>
      </c>
      <c r="T1233" t="n">
        <v>133</v>
      </c>
      <c r="AH1233" t="inlineStr">
        <is>
          <t>Quelle: Idealista</t>
        </is>
      </c>
    </row>
    <row r="1234">
      <c r="A1234" t="n">
        <v>1047</v>
      </c>
      <c r="B1234" t="inlineStr">
        <is>
          <t>Casa rural en Poligono Poligon, 22</t>
        </is>
      </c>
      <c r="C1234" t="inlineStr">
        <is>
          <t>https://www.idealista.com/inmueble/110308186/</t>
        </is>
      </c>
      <c r="E1234" t="n">
        <v>12</v>
      </c>
      <c r="H1234" t="n">
        <v>9443</v>
      </c>
      <c r="J1234" t="inlineStr">
        <is>
          <t>Manacor Centro, Manacor</t>
        </is>
      </c>
      <c r="K1234" t="n">
        <v>50.5</v>
      </c>
      <c r="L1234" t="n">
        <v>47</v>
      </c>
      <c r="M1234" t="n">
        <v>40.1</v>
      </c>
      <c r="N1234" t="n">
        <v>43</v>
      </c>
      <c r="O1234" t="n">
        <v>84.7</v>
      </c>
      <c r="P1234" t="n">
        <v>71</v>
      </c>
      <c r="Q1234" t="n">
        <v>37.8</v>
      </c>
      <c r="R1234" t="n">
        <v>40</v>
      </c>
      <c r="S1234" t="n">
        <v>3850000</v>
      </c>
      <c r="T1234" t="n">
        <v>408</v>
      </c>
      <c r="AH1234" t="inlineStr">
        <is>
          <t>Quelle: Idealista</t>
        </is>
      </c>
    </row>
    <row r="1235">
      <c r="A1235" t="n">
        <v>1048</v>
      </c>
      <c r="B1235" t="inlineStr">
        <is>
          <t>Casa independiente</t>
        </is>
      </c>
      <c r="C1235" t="inlineStr">
        <is>
          <t>https://www.idealista.com/inmueble/110217940/</t>
        </is>
      </c>
      <c r="E1235" t="n">
        <v>6</v>
      </c>
      <c r="H1235" t="n">
        <v>455</v>
      </c>
      <c r="J1235" t="inlineStr">
        <is>
          <t>Cala Murada, Manacor</t>
        </is>
      </c>
      <c r="K1235" t="n">
        <v>59.7</v>
      </c>
      <c r="L1235" t="n">
        <v>55</v>
      </c>
      <c r="M1235" t="n">
        <v>29.7</v>
      </c>
      <c r="N1235" t="n">
        <v>40</v>
      </c>
      <c r="O1235" t="n">
        <v>97.90000000000001</v>
      </c>
      <c r="P1235" t="n">
        <v>82</v>
      </c>
      <c r="Q1235" t="n">
        <v>39.1</v>
      </c>
      <c r="R1235" t="n">
        <v>41</v>
      </c>
      <c r="S1235" t="n">
        <v>4200000</v>
      </c>
      <c r="T1235" t="n">
        <v>9231</v>
      </c>
      <c r="AH1235" t="inlineStr">
        <is>
          <t>Quelle: Idealista</t>
        </is>
      </c>
    </row>
    <row r="1236">
      <c r="A1236" t="n">
        <v>1049</v>
      </c>
      <c r="B1236" t="inlineStr">
        <is>
          <t>Finca rústica en Poligono Poligon 18, 262</t>
        </is>
      </c>
      <c r="C1236" t="inlineStr">
        <is>
          <t>https://www.idealista.com/inmueble/110235226/</t>
        </is>
      </c>
      <c r="E1236" t="n">
        <v>6</v>
      </c>
      <c r="H1236" t="n">
        <v>350</v>
      </c>
      <c r="J1236" t="inlineStr">
        <is>
          <t>Manacor Centro, Manacor</t>
        </is>
      </c>
      <c r="K1236" t="n">
        <v>50.5</v>
      </c>
      <c r="L1236" t="n">
        <v>47</v>
      </c>
      <c r="M1236" t="n">
        <v>40.1</v>
      </c>
      <c r="N1236" t="n">
        <v>43</v>
      </c>
      <c r="O1236" t="n">
        <v>84.7</v>
      </c>
      <c r="P1236" t="n">
        <v>71</v>
      </c>
      <c r="Q1236" t="n">
        <v>37.8</v>
      </c>
      <c r="R1236" t="n">
        <v>40</v>
      </c>
      <c r="S1236" t="n">
        <v>3350000</v>
      </c>
      <c r="T1236" t="n">
        <v>9571</v>
      </c>
      <c r="AH1236" t="inlineStr">
        <is>
          <t>Quelle: Idealista</t>
        </is>
      </c>
    </row>
    <row r="1237">
      <c r="A1237" t="n">
        <v>1050</v>
      </c>
      <c r="B1237" t="inlineStr">
        <is>
          <t>Casa independiente</t>
        </is>
      </c>
      <c r="C1237" t="inlineStr">
        <is>
          <t>https://www.idealista.com/inmueble/110190592/</t>
        </is>
      </c>
      <c r="E1237" t="n">
        <v>6</v>
      </c>
      <c r="H1237" t="n">
        <v>455</v>
      </c>
      <c r="J1237" t="inlineStr">
        <is>
          <t>Cala Murada, Manacor</t>
        </is>
      </c>
      <c r="K1237" t="n">
        <v>59.7</v>
      </c>
      <c r="L1237" t="n">
        <v>55</v>
      </c>
      <c r="M1237" t="n">
        <v>29.7</v>
      </c>
      <c r="N1237" t="n">
        <v>40</v>
      </c>
      <c r="O1237" t="n">
        <v>97.90000000000001</v>
      </c>
      <c r="P1237" t="n">
        <v>82</v>
      </c>
      <c r="Q1237" t="n">
        <v>39.1</v>
      </c>
      <c r="R1237" t="n">
        <v>41</v>
      </c>
      <c r="S1237" t="n">
        <v>4200000</v>
      </c>
      <c r="T1237" t="n">
        <v>9231</v>
      </c>
      <c r="AH1237" t="inlineStr">
        <is>
          <t>Quelle: Idealista</t>
        </is>
      </c>
    </row>
    <row r="1238">
      <c r="A1238" t="n">
        <v>1051</v>
      </c>
      <c r="B1238" t="inlineStr">
        <is>
          <t>Chalet en calle de sa Vilanova</t>
        </is>
      </c>
      <c r="C1238" t="inlineStr">
        <is>
          <t>https://www.idealista.com/inmueble/110159262/</t>
        </is>
      </c>
      <c r="E1238" t="n">
        <v>6</v>
      </c>
      <c r="H1238" t="n">
        <v>1000</v>
      </c>
      <c r="J1238" t="inlineStr">
        <is>
          <t>Manacor Centro, Manacor</t>
        </is>
      </c>
      <c r="K1238" t="n">
        <v>50.5</v>
      </c>
      <c r="L1238" t="n">
        <v>47</v>
      </c>
      <c r="M1238" t="n">
        <v>40.1</v>
      </c>
      <c r="N1238" t="n">
        <v>43</v>
      </c>
      <c r="O1238" t="n">
        <v>84.7</v>
      </c>
      <c r="P1238" t="n">
        <v>71</v>
      </c>
      <c r="Q1238" t="n">
        <v>37.8</v>
      </c>
      <c r="R1238" t="n">
        <v>40</v>
      </c>
      <c r="S1238" t="n">
        <v>2600000</v>
      </c>
      <c r="T1238" t="n">
        <v>2600</v>
      </c>
      <c r="AH1238" t="inlineStr">
        <is>
          <t>Quelle: Idealista</t>
        </is>
      </c>
    </row>
    <row r="1239">
      <c r="A1239" t="n">
        <v>1052</v>
      </c>
      <c r="B1239" t="inlineStr">
        <is>
          <t>Finca rústica</t>
        </is>
      </c>
      <c r="C1239" t="inlineStr">
        <is>
          <t>https://www.idealista.com/inmueble/110150851/</t>
        </is>
      </c>
      <c r="E1239" t="n">
        <v>6</v>
      </c>
      <c r="H1239" t="n">
        <v>378</v>
      </c>
      <c r="J1239" t="inlineStr">
        <is>
          <t>Manacor Centro, Manacor</t>
        </is>
      </c>
      <c r="K1239" t="n">
        <v>50.5</v>
      </c>
      <c r="L1239" t="n">
        <v>47</v>
      </c>
      <c r="M1239" t="n">
        <v>40.1</v>
      </c>
      <c r="N1239" t="n">
        <v>43</v>
      </c>
      <c r="O1239" t="n">
        <v>84.7</v>
      </c>
      <c r="P1239" t="n">
        <v>71</v>
      </c>
      <c r="Q1239" t="n">
        <v>37.8</v>
      </c>
      <c r="R1239" t="n">
        <v>40</v>
      </c>
      <c r="S1239" t="n">
        <v>2200000</v>
      </c>
      <c r="T1239" t="n">
        <v>5820</v>
      </c>
      <c r="AH1239" t="inlineStr">
        <is>
          <t>Quelle: Idealista</t>
        </is>
      </c>
    </row>
    <row r="1240">
      <c r="A1240" t="n">
        <v>1053</v>
      </c>
      <c r="B1240" t="inlineStr">
        <is>
          <t>Finca rústica</t>
        </is>
      </c>
      <c r="C1240" t="inlineStr">
        <is>
          <t>https://www.idealista.com/inmueble/110001442/</t>
        </is>
      </c>
      <c r="E1240" t="n">
        <v>10</v>
      </c>
      <c r="H1240" t="n">
        <v>550</v>
      </c>
      <c r="J1240" t="inlineStr">
        <is>
          <t>Manacor Centro, Manacor</t>
        </is>
      </c>
      <c r="K1240" t="n">
        <v>50.5</v>
      </c>
      <c r="L1240" t="n">
        <v>47</v>
      </c>
      <c r="M1240" t="n">
        <v>40.1</v>
      </c>
      <c r="N1240" t="n">
        <v>43</v>
      </c>
      <c r="O1240" t="n">
        <v>84.7</v>
      </c>
      <c r="P1240" t="n">
        <v>71</v>
      </c>
      <c r="Q1240" t="n">
        <v>37.8</v>
      </c>
      <c r="R1240" t="n">
        <v>40</v>
      </c>
      <c r="S1240" t="n">
        <v>2500000</v>
      </c>
      <c r="T1240" t="n">
        <v>4545</v>
      </c>
      <c r="AH1240" t="inlineStr">
        <is>
          <t>Quelle: Idealista</t>
        </is>
      </c>
    </row>
    <row r="1241">
      <c r="A1241" t="n">
        <v>1054</v>
      </c>
      <c r="B1241" t="inlineStr">
        <is>
          <t>Finca rústica</t>
        </is>
      </c>
      <c r="C1241" t="inlineStr">
        <is>
          <t>https://www.idealista.com/inmueble/109962160/</t>
        </is>
      </c>
      <c r="E1241" t="n">
        <v>6</v>
      </c>
      <c r="H1241" t="n">
        <v>760</v>
      </c>
      <c r="J1241" t="inlineStr">
        <is>
          <t>Porto Cristo, Manacor</t>
        </is>
      </c>
      <c r="K1241" t="n">
        <v>61.2</v>
      </c>
      <c r="L1241" t="n">
        <v>56</v>
      </c>
      <c r="M1241" t="n">
        <v>41.2</v>
      </c>
      <c r="N1241" t="n">
        <v>51</v>
      </c>
      <c r="O1241" t="n">
        <v>95.40000000000001</v>
      </c>
      <c r="P1241" t="n">
        <v>80</v>
      </c>
      <c r="Q1241" t="n">
        <v>48.6</v>
      </c>
      <c r="R1241" t="n">
        <v>49</v>
      </c>
      <c r="S1241" t="n">
        <v>2000000</v>
      </c>
      <c r="T1241" t="n">
        <v>2632</v>
      </c>
      <c r="AH1241" t="inlineStr">
        <is>
          <t>Quelle: Idealista</t>
        </is>
      </c>
    </row>
    <row r="1242">
      <c r="A1242" t="n">
        <v>1055</v>
      </c>
      <c r="B1242" t="inlineStr">
        <is>
          <t>Finca rústica</t>
        </is>
      </c>
      <c r="C1242" t="inlineStr">
        <is>
          <t>https://www.idealista.com/inmueble/106346702/</t>
        </is>
      </c>
      <c r="E1242" t="n">
        <v>5</v>
      </c>
      <c r="H1242" t="n">
        <v>913</v>
      </c>
      <c r="J1242" t="inlineStr">
        <is>
          <t>Manacor Centro, Manacor</t>
        </is>
      </c>
      <c r="K1242" t="n">
        <v>50.5</v>
      </c>
      <c r="L1242" t="n">
        <v>47</v>
      </c>
      <c r="M1242" t="n">
        <v>40.1</v>
      </c>
      <c r="N1242" t="n">
        <v>43</v>
      </c>
      <c r="O1242" t="n">
        <v>84.7</v>
      </c>
      <c r="P1242" t="n">
        <v>71</v>
      </c>
      <c r="Q1242" t="n">
        <v>37.8</v>
      </c>
      <c r="R1242" t="n">
        <v>40</v>
      </c>
      <c r="S1242" t="n">
        <v>3890000</v>
      </c>
      <c r="T1242" t="n">
        <v>4261</v>
      </c>
      <c r="AH1242" t="inlineStr">
        <is>
          <t>Quelle: Idealista</t>
        </is>
      </c>
    </row>
    <row r="1243">
      <c r="A1243" t="n">
        <v>1056</v>
      </c>
      <c r="B1243" t="inlineStr">
        <is>
          <t>Finca rústica</t>
        </is>
      </c>
      <c r="C1243" t="inlineStr">
        <is>
          <t>https://www.idealista.com/inmueble/95811021/</t>
        </is>
      </c>
      <c r="E1243" t="n">
        <v>5</v>
      </c>
      <c r="H1243" t="n">
        <v>440</v>
      </c>
      <c r="J1243" t="inlineStr">
        <is>
          <t>Manacor Centro, Manacor</t>
        </is>
      </c>
      <c r="K1243" t="n">
        <v>50.5</v>
      </c>
      <c r="L1243" t="n">
        <v>47</v>
      </c>
      <c r="M1243" t="n">
        <v>40.1</v>
      </c>
      <c r="N1243" t="n">
        <v>43</v>
      </c>
      <c r="O1243" t="n">
        <v>84.7</v>
      </c>
      <c r="P1243" t="n">
        <v>71</v>
      </c>
      <c r="Q1243" t="n">
        <v>37.8</v>
      </c>
      <c r="R1243" t="n">
        <v>40</v>
      </c>
      <c r="S1243" t="n">
        <v>2600000</v>
      </c>
      <c r="T1243" t="n">
        <v>5909</v>
      </c>
      <c r="AH1243" t="inlineStr">
        <is>
          <t>Quelle: Idealista</t>
        </is>
      </c>
    </row>
    <row r="1244">
      <c r="A1244" t="n">
        <v>1057</v>
      </c>
      <c r="B1244" t="inlineStr">
        <is>
          <t>Finca rústica</t>
        </is>
      </c>
      <c r="C1244" t="inlineStr">
        <is>
          <t>https://www.idealista.com/inmueble/109818785/</t>
        </is>
      </c>
      <c r="E1244" t="n">
        <v>6</v>
      </c>
      <c r="H1244" t="n">
        <v>985</v>
      </c>
      <c r="J1244" t="inlineStr">
        <is>
          <t>Manacor Centro, Manacor</t>
        </is>
      </c>
      <c r="K1244" t="n">
        <v>50.5</v>
      </c>
      <c r="L1244" t="n">
        <v>47</v>
      </c>
      <c r="M1244" t="n">
        <v>40.1</v>
      </c>
      <c r="N1244" t="n">
        <v>43</v>
      </c>
      <c r="O1244" t="n">
        <v>84.7</v>
      </c>
      <c r="P1244" t="n">
        <v>71</v>
      </c>
      <c r="Q1244" t="n">
        <v>37.8</v>
      </c>
      <c r="R1244" t="n">
        <v>40</v>
      </c>
      <c r="S1244" t="n">
        <v>3300000</v>
      </c>
      <c r="T1244" t="n">
        <v>3350</v>
      </c>
      <c r="AH1244" t="inlineStr">
        <is>
          <t>Quelle: Idealista</t>
        </is>
      </c>
    </row>
    <row r="1245">
      <c r="A1245" t="n">
        <v>1058</v>
      </c>
      <c r="B1245" t="inlineStr">
        <is>
          <t>Casa independiente en camino de Son Tovell</t>
        </is>
      </c>
      <c r="C1245" t="inlineStr">
        <is>
          <t>https://www.idealista.com/inmueble/101864069/</t>
        </is>
      </c>
      <c r="E1245" t="n">
        <v>6</v>
      </c>
      <c r="H1245" t="n">
        <v>564</v>
      </c>
      <c r="J1245" t="inlineStr">
        <is>
          <t>Manacor Centro, Manacor</t>
        </is>
      </c>
      <c r="K1245" t="n">
        <v>50.5</v>
      </c>
      <c r="L1245" t="n">
        <v>47</v>
      </c>
      <c r="M1245" t="n">
        <v>40.1</v>
      </c>
      <c r="N1245" t="n">
        <v>43</v>
      </c>
      <c r="O1245" t="n">
        <v>84.7</v>
      </c>
      <c r="P1245" t="n">
        <v>71</v>
      </c>
      <c r="Q1245" t="n">
        <v>37.8</v>
      </c>
      <c r="R1245" t="n">
        <v>40</v>
      </c>
      <c r="S1245" t="n">
        <v>2950000</v>
      </c>
      <c r="T1245" t="n">
        <v>5230</v>
      </c>
      <c r="AH1245" t="inlineStr">
        <is>
          <t>Quelle: Idealista</t>
        </is>
      </c>
    </row>
    <row r="1246">
      <c r="A1246" t="n">
        <v>1059</v>
      </c>
      <c r="B1246" t="inlineStr">
        <is>
          <t>Casa rural</t>
        </is>
      </c>
      <c r="C1246" t="inlineStr">
        <is>
          <t>https://www.idealista.com/inmueble/109503313/</t>
        </is>
      </c>
      <c r="E1246" t="n">
        <v>6</v>
      </c>
      <c r="H1246" t="n">
        <v>455</v>
      </c>
      <c r="J1246" t="inlineStr">
        <is>
          <t>Manacor Centro, Manacor</t>
        </is>
      </c>
      <c r="K1246" t="n">
        <v>50.5</v>
      </c>
      <c r="L1246" t="n">
        <v>47</v>
      </c>
      <c r="M1246" t="n">
        <v>40.1</v>
      </c>
      <c r="N1246" t="n">
        <v>43</v>
      </c>
      <c r="O1246" t="n">
        <v>84.7</v>
      </c>
      <c r="P1246" t="n">
        <v>71</v>
      </c>
      <c r="Q1246" t="n">
        <v>37.8</v>
      </c>
      <c r="R1246" t="n">
        <v>40</v>
      </c>
      <c r="S1246" t="n">
        <v>2950000</v>
      </c>
      <c r="T1246" t="n">
        <v>6484</v>
      </c>
      <c r="AH1246" t="inlineStr">
        <is>
          <t>Quelle: Idealista</t>
        </is>
      </c>
    </row>
    <row r="1247">
      <c r="A1247" t="n">
        <v>1060</v>
      </c>
      <c r="B1247" t="inlineStr">
        <is>
          <t>Finca rústica</t>
        </is>
      </c>
      <c r="C1247" t="inlineStr">
        <is>
          <t>https://www.idealista.com/inmueble/109475883/</t>
        </is>
      </c>
      <c r="E1247" t="n">
        <v>10</v>
      </c>
      <c r="H1247" t="n">
        <v>1149</v>
      </c>
      <c r="J1247" t="inlineStr">
        <is>
          <t>Manacor Centro, Manacor</t>
        </is>
      </c>
      <c r="K1247" t="n">
        <v>50.5</v>
      </c>
      <c r="L1247" t="n">
        <v>47</v>
      </c>
      <c r="M1247" t="n">
        <v>40.1</v>
      </c>
      <c r="N1247" t="n">
        <v>43</v>
      </c>
      <c r="O1247" t="n">
        <v>84.7</v>
      </c>
      <c r="P1247" t="n">
        <v>71</v>
      </c>
      <c r="Q1247" t="n">
        <v>37.8</v>
      </c>
      <c r="R1247" t="n">
        <v>40</v>
      </c>
      <c r="S1247" t="n">
        <v>2950000</v>
      </c>
      <c r="T1247" t="n">
        <v>2567</v>
      </c>
      <c r="AH1247" t="inlineStr">
        <is>
          <t>Quelle: Idealista</t>
        </is>
      </c>
    </row>
    <row r="1248">
      <c r="A1248" t="n">
        <v>1061</v>
      </c>
      <c r="B1248" t="inlineStr">
        <is>
          <t>Finca rústica en Poligono 15</t>
        </is>
      </c>
      <c r="C1248" t="inlineStr">
        <is>
          <t>https://www.idealista.com/inmueble/109418629/</t>
        </is>
      </c>
      <c r="E1248" t="n">
        <v>6</v>
      </c>
      <c r="H1248" t="n">
        <v>584</v>
      </c>
      <c r="J1248" t="inlineStr">
        <is>
          <t>Porto Cristo, Manacor</t>
        </is>
      </c>
      <c r="K1248" t="n">
        <v>61.2</v>
      </c>
      <c r="L1248" t="n">
        <v>56</v>
      </c>
      <c r="M1248" t="n">
        <v>41.2</v>
      </c>
      <c r="N1248" t="n">
        <v>51</v>
      </c>
      <c r="O1248" t="n">
        <v>95.40000000000001</v>
      </c>
      <c r="P1248" t="n">
        <v>80</v>
      </c>
      <c r="Q1248" t="n">
        <v>48.6</v>
      </c>
      <c r="R1248" t="n">
        <v>49</v>
      </c>
      <c r="S1248" t="n">
        <v>4875000</v>
      </c>
      <c r="T1248" t="n">
        <v>8348</v>
      </c>
      <c r="AH1248" t="inlineStr">
        <is>
          <t>Quelle: Idealista</t>
        </is>
      </c>
    </row>
    <row r="1249">
      <c r="A1249" t="n">
        <v>1062</v>
      </c>
      <c r="B1249" t="inlineStr">
        <is>
          <t>Finca rústica</t>
        </is>
      </c>
      <c r="C1249" t="inlineStr">
        <is>
          <t>https://www.idealista.com/inmueble/109324572/</t>
        </is>
      </c>
      <c r="E1249" t="n">
        <v>5</v>
      </c>
      <c r="H1249" t="n">
        <v>591</v>
      </c>
      <c r="J1249" t="inlineStr">
        <is>
          <t>Manacor Centro, Manacor</t>
        </is>
      </c>
      <c r="K1249" t="n">
        <v>50.5</v>
      </c>
      <c r="L1249" t="n">
        <v>47</v>
      </c>
      <c r="M1249" t="n">
        <v>40.1</v>
      </c>
      <c r="N1249" t="n">
        <v>43</v>
      </c>
      <c r="O1249" t="n">
        <v>84.7</v>
      </c>
      <c r="P1249" t="n">
        <v>71</v>
      </c>
      <c r="Q1249" t="n">
        <v>37.8</v>
      </c>
      <c r="R1249" t="n">
        <v>40</v>
      </c>
      <c r="S1249" t="n">
        <v>2950000</v>
      </c>
      <c r="T1249" t="n">
        <v>4992</v>
      </c>
      <c r="AH1249" t="inlineStr">
        <is>
          <t>Quelle: Idealista</t>
        </is>
      </c>
    </row>
    <row r="1250">
      <c r="A1250" t="n">
        <v>1063</v>
      </c>
      <c r="B1250" t="inlineStr">
        <is>
          <t>Casa rural en camino de Sa Marineta</t>
        </is>
      </c>
      <c r="C1250" t="inlineStr">
        <is>
          <t>https://www.idealista.com/inmueble/109305549/</t>
        </is>
      </c>
      <c r="E1250" t="n">
        <v>5</v>
      </c>
      <c r="H1250" t="n">
        <v>610</v>
      </c>
      <c r="J1250" t="inlineStr">
        <is>
          <t>Manacor Centro, Manacor</t>
        </is>
      </c>
      <c r="K1250" t="n">
        <v>50.5</v>
      </c>
      <c r="L1250" t="n">
        <v>47</v>
      </c>
      <c r="M1250" t="n">
        <v>40.1</v>
      </c>
      <c r="N1250" t="n">
        <v>43</v>
      </c>
      <c r="O1250" t="n">
        <v>84.7</v>
      </c>
      <c r="P1250" t="n">
        <v>71</v>
      </c>
      <c r="Q1250" t="n">
        <v>37.8</v>
      </c>
      <c r="R1250" t="n">
        <v>40</v>
      </c>
      <c r="S1250" t="n">
        <v>2725000</v>
      </c>
      <c r="T1250" t="n">
        <v>4467</v>
      </c>
      <c r="AH1250" t="inlineStr">
        <is>
          <t>Quelle: Idealista</t>
        </is>
      </c>
    </row>
    <row r="1251">
      <c r="A1251" t="n">
        <v>1064</v>
      </c>
      <c r="B1251" t="inlineStr">
        <is>
          <t>Casa independiente</t>
        </is>
      </c>
      <c r="C1251" t="inlineStr">
        <is>
          <t>https://www.idealista.com/inmueble/109253533/</t>
        </is>
      </c>
      <c r="E1251" t="n">
        <v>6</v>
      </c>
      <c r="H1251" t="n">
        <v>455</v>
      </c>
      <c r="J1251" t="inlineStr">
        <is>
          <t>Cala Murada, Manacor</t>
        </is>
      </c>
      <c r="K1251" t="n">
        <v>59.7</v>
      </c>
      <c r="L1251" t="n">
        <v>55</v>
      </c>
      <c r="M1251" t="n">
        <v>29.7</v>
      </c>
      <c r="N1251" t="n">
        <v>40</v>
      </c>
      <c r="O1251" t="n">
        <v>97.90000000000001</v>
      </c>
      <c r="P1251" t="n">
        <v>82</v>
      </c>
      <c r="Q1251" t="n">
        <v>39.1</v>
      </c>
      <c r="R1251" t="n">
        <v>41</v>
      </c>
      <c r="S1251" t="n">
        <v>4200000</v>
      </c>
      <c r="T1251" t="n">
        <v>9231</v>
      </c>
      <c r="AH1251" t="inlineStr">
        <is>
          <t>Quelle: Idealista</t>
        </is>
      </c>
    </row>
    <row r="1252">
      <c r="A1252" t="n">
        <v>1065</v>
      </c>
      <c r="B1252" t="inlineStr">
        <is>
          <t>Finca rústica</t>
        </is>
      </c>
      <c r="C1252" t="inlineStr">
        <is>
          <t>https://www.idealista.com/inmueble/106789328/</t>
        </is>
      </c>
      <c r="E1252" t="n">
        <v>9</v>
      </c>
      <c r="H1252" t="n">
        <v>430</v>
      </c>
      <c r="J1252" t="inlineStr">
        <is>
          <t>Porto Cristo, Manacor</t>
        </is>
      </c>
      <c r="K1252" t="n">
        <v>61.2</v>
      </c>
      <c r="L1252" t="n">
        <v>56</v>
      </c>
      <c r="M1252" t="n">
        <v>41.2</v>
      </c>
      <c r="N1252" t="n">
        <v>51</v>
      </c>
      <c r="O1252" t="n">
        <v>95.40000000000001</v>
      </c>
      <c r="P1252" t="n">
        <v>80</v>
      </c>
      <c r="Q1252" t="n">
        <v>48.6</v>
      </c>
      <c r="R1252" t="n">
        <v>49</v>
      </c>
      <c r="S1252" t="n">
        <v>3900000</v>
      </c>
      <c r="T1252" t="n">
        <v>9070</v>
      </c>
      <c r="AH1252" t="inlineStr">
        <is>
          <t>Quelle: Idealista</t>
        </is>
      </c>
    </row>
    <row r="1253">
      <c r="A1253" t="n">
        <v>1066</v>
      </c>
      <c r="B1253" t="inlineStr">
        <is>
          <t>Finca rústica</t>
        </is>
      </c>
      <c r="C1253" t="inlineStr">
        <is>
          <t>https://www.idealista.com/inmueble/108748737/</t>
        </is>
      </c>
      <c r="E1253" t="n">
        <v>5</v>
      </c>
      <c r="H1253" t="n">
        <v>500</v>
      </c>
      <c r="J1253" t="inlineStr">
        <is>
          <t>Manacor Centro, Manacor</t>
        </is>
      </c>
      <c r="K1253" t="n">
        <v>50.5</v>
      </c>
      <c r="L1253" t="n">
        <v>47</v>
      </c>
      <c r="M1253" t="n">
        <v>40.1</v>
      </c>
      <c r="N1253" t="n">
        <v>43</v>
      </c>
      <c r="O1253" t="n">
        <v>84.7</v>
      </c>
      <c r="P1253" t="n">
        <v>71</v>
      </c>
      <c r="Q1253" t="n">
        <v>37.8</v>
      </c>
      <c r="R1253" t="n">
        <v>40</v>
      </c>
      <c r="S1253" t="n">
        <v>3975000</v>
      </c>
      <c r="T1253" t="n">
        <v>7950</v>
      </c>
      <c r="AH1253" t="inlineStr">
        <is>
          <t>Quelle: Idealista</t>
        </is>
      </c>
    </row>
    <row r="1254">
      <c r="A1254" t="n">
        <v>1067</v>
      </c>
      <c r="B1254" t="inlineStr">
        <is>
          <t>Casa rural en Poligono Poligon 25, 1254</t>
        </is>
      </c>
      <c r="C1254" t="inlineStr">
        <is>
          <t>https://www.idealista.com/inmueble/108861998/</t>
        </is>
      </c>
      <c r="E1254" t="n">
        <v>10</v>
      </c>
      <c r="H1254" t="n">
        <v>2000</v>
      </c>
      <c r="J1254" t="inlineStr">
        <is>
          <t>Manacor Centro, Manacor</t>
        </is>
      </c>
      <c r="K1254" t="n">
        <v>50.5</v>
      </c>
      <c r="L1254" t="n">
        <v>47</v>
      </c>
      <c r="M1254" t="n">
        <v>40.1</v>
      </c>
      <c r="N1254" t="n">
        <v>43</v>
      </c>
      <c r="O1254" t="n">
        <v>84.7</v>
      </c>
      <c r="P1254" t="n">
        <v>71</v>
      </c>
      <c r="Q1254" t="n">
        <v>37.8</v>
      </c>
      <c r="R1254" t="n">
        <v>40</v>
      </c>
      <c r="S1254" t="n">
        <v>2250000</v>
      </c>
      <c r="T1254" t="n">
        <v>1125</v>
      </c>
      <c r="AH1254" t="inlineStr">
        <is>
          <t>Quelle: Idealista</t>
        </is>
      </c>
    </row>
    <row r="1255">
      <c r="A1255" t="n">
        <v>1068</v>
      </c>
      <c r="B1255" t="inlineStr">
        <is>
          <t>Finca rústica</t>
        </is>
      </c>
      <c r="C1255" t="inlineStr">
        <is>
          <t>https://www.idealista.com/inmueble/108795602/</t>
        </is>
      </c>
      <c r="E1255" t="n">
        <v>5</v>
      </c>
      <c r="H1255" t="n">
        <v>425</v>
      </c>
      <c r="J1255" t="inlineStr">
        <is>
          <t>Manacor Centro, Manacor</t>
        </is>
      </c>
      <c r="K1255" t="n">
        <v>50.5</v>
      </c>
      <c r="L1255" t="n">
        <v>47</v>
      </c>
      <c r="M1255" t="n">
        <v>40.1</v>
      </c>
      <c r="N1255" t="n">
        <v>43</v>
      </c>
      <c r="O1255" t="n">
        <v>84.7</v>
      </c>
      <c r="P1255" t="n">
        <v>71</v>
      </c>
      <c r="Q1255" t="n">
        <v>37.8</v>
      </c>
      <c r="R1255" t="n">
        <v>40</v>
      </c>
      <c r="S1255" t="n">
        <v>3890000</v>
      </c>
      <c r="T1255" t="n">
        <v>9153</v>
      </c>
      <c r="AH1255" t="inlineStr">
        <is>
          <t>Quelle: Idealista</t>
        </is>
      </c>
    </row>
    <row r="1256">
      <c r="A1256" t="n">
        <v>1069</v>
      </c>
      <c r="B1256" t="inlineStr">
        <is>
          <t>Finca rústica</t>
        </is>
      </c>
      <c r="C1256" t="inlineStr">
        <is>
          <t>https://www.idealista.com/inmueble/106467536/</t>
        </is>
      </c>
      <c r="E1256" t="n">
        <v>27</v>
      </c>
      <c r="H1256" t="n">
        <v>2027</v>
      </c>
      <c r="J1256" t="inlineStr">
        <is>
          <t>Manacor Centro, Manacor</t>
        </is>
      </c>
      <c r="K1256" t="n">
        <v>50.5</v>
      </c>
      <c r="L1256" t="n">
        <v>47</v>
      </c>
      <c r="M1256" t="n">
        <v>40.1</v>
      </c>
      <c r="N1256" t="n">
        <v>43</v>
      </c>
      <c r="O1256" t="n">
        <v>84.7</v>
      </c>
      <c r="P1256" t="n">
        <v>71</v>
      </c>
      <c r="Q1256" t="n">
        <v>37.8</v>
      </c>
      <c r="R1256" t="n">
        <v>40</v>
      </c>
      <c r="S1256" t="n">
        <v>4200000</v>
      </c>
      <c r="T1256" t="n">
        <v>2072</v>
      </c>
      <c r="AH1256" t="inlineStr">
        <is>
          <t>Quelle: Idealista</t>
        </is>
      </c>
    </row>
    <row r="1257">
      <c r="A1257" t="n">
        <v>1070</v>
      </c>
      <c r="B1257" t="inlineStr">
        <is>
          <t>Finca rústica en Poligono Poligon 29</t>
        </is>
      </c>
      <c r="C1257" t="inlineStr">
        <is>
          <t>https://www.idealista.com/inmueble/108764679/</t>
        </is>
      </c>
      <c r="E1257" t="n">
        <v>5</v>
      </c>
      <c r="H1257" t="n">
        <v>256</v>
      </c>
      <c r="J1257" t="inlineStr">
        <is>
          <t>Manacor Centro, Manacor</t>
        </is>
      </c>
      <c r="K1257" t="n">
        <v>50.5</v>
      </c>
      <c r="L1257" t="n">
        <v>47</v>
      </c>
      <c r="M1257" t="n">
        <v>40.1</v>
      </c>
      <c r="N1257" t="n">
        <v>43</v>
      </c>
      <c r="O1257" t="n">
        <v>84.7</v>
      </c>
      <c r="P1257" t="n">
        <v>71</v>
      </c>
      <c r="Q1257" t="n">
        <v>37.8</v>
      </c>
      <c r="R1257" t="n">
        <v>40</v>
      </c>
      <c r="S1257" t="n">
        <v>2150000</v>
      </c>
      <c r="T1257" t="n">
        <v>8398</v>
      </c>
      <c r="AH1257" t="inlineStr">
        <is>
          <t>Quelle: Idealista</t>
        </is>
      </c>
    </row>
    <row r="1258">
      <c r="A1258" t="n">
        <v>1071</v>
      </c>
      <c r="B1258" t="inlineStr">
        <is>
          <t>Casa rural</t>
        </is>
      </c>
      <c r="C1258" t="inlineStr">
        <is>
          <t>https://www.idealista.com/inmueble/108422989/</t>
        </is>
      </c>
      <c r="E1258" t="n">
        <v>5</v>
      </c>
      <c r="H1258" t="n">
        <v>500</v>
      </c>
      <c r="J1258" t="inlineStr">
        <is>
          <t>Manacor Centro, Manacor</t>
        </is>
      </c>
      <c r="K1258" t="n">
        <v>50.5</v>
      </c>
      <c r="L1258" t="n">
        <v>47</v>
      </c>
      <c r="M1258" t="n">
        <v>40.1</v>
      </c>
      <c r="N1258" t="n">
        <v>43</v>
      </c>
      <c r="O1258" t="n">
        <v>84.7</v>
      </c>
      <c r="P1258" t="n">
        <v>71</v>
      </c>
      <c r="Q1258" t="n">
        <v>37.8</v>
      </c>
      <c r="R1258" t="n">
        <v>40</v>
      </c>
      <c r="S1258" t="n">
        <v>3975000</v>
      </c>
      <c r="T1258" t="n">
        <v>7950</v>
      </c>
      <c r="AH1258" t="inlineStr">
        <is>
          <t>Quelle: Idealista</t>
        </is>
      </c>
    </row>
    <row r="1259">
      <c r="A1259" t="n">
        <v>1072</v>
      </c>
      <c r="B1259" t="inlineStr">
        <is>
          <t>Chalet adosado en Poligono Poligon, 22</t>
        </is>
      </c>
      <c r="C1259" t="inlineStr">
        <is>
          <t>https://www.idealista.com/inmueble/108676726/</t>
        </is>
      </c>
      <c r="E1259" t="n">
        <v>5</v>
      </c>
      <c r="H1259" t="n">
        <v>250</v>
      </c>
      <c r="J1259" t="inlineStr">
        <is>
          <t>Manacor Centro, Manacor</t>
        </is>
      </c>
      <c r="K1259" t="n">
        <v>50.5</v>
      </c>
      <c r="L1259" t="n">
        <v>47</v>
      </c>
      <c r="M1259" t="n">
        <v>40.1</v>
      </c>
      <c r="N1259" t="n">
        <v>43</v>
      </c>
      <c r="O1259" t="n">
        <v>84.7</v>
      </c>
      <c r="P1259" t="n">
        <v>71</v>
      </c>
      <c r="Q1259" t="n">
        <v>37.8</v>
      </c>
      <c r="R1259" t="n">
        <v>40</v>
      </c>
      <c r="S1259" t="n">
        <v>2500000</v>
      </c>
      <c r="T1259" t="n">
        <v>10000</v>
      </c>
      <c r="AH1259" t="inlineStr">
        <is>
          <t>Quelle: Idealista</t>
        </is>
      </c>
    </row>
    <row r="1260">
      <c r="A1260" t="n">
        <v>1073</v>
      </c>
      <c r="B1260" t="inlineStr">
        <is>
          <t>Casa independiente</t>
        </is>
      </c>
      <c r="C1260" t="inlineStr">
        <is>
          <t>https://www.idealista.com/inmueble/104161319/</t>
        </is>
      </c>
      <c r="E1260" t="n">
        <v>5</v>
      </c>
      <c r="H1260" t="n">
        <v>1135</v>
      </c>
      <c r="J1260" t="inlineStr">
        <is>
          <t>Manacor Centro, Manacor</t>
        </is>
      </c>
      <c r="K1260" t="n">
        <v>50.5</v>
      </c>
      <c r="L1260" t="n">
        <v>47</v>
      </c>
      <c r="M1260" t="n">
        <v>40.1</v>
      </c>
      <c r="N1260" t="n">
        <v>43</v>
      </c>
      <c r="O1260" t="n">
        <v>84.7</v>
      </c>
      <c r="P1260" t="n">
        <v>71</v>
      </c>
      <c r="Q1260" t="n">
        <v>37.8</v>
      </c>
      <c r="R1260" t="n">
        <v>40</v>
      </c>
      <c r="S1260" t="n">
        <v>2200000</v>
      </c>
      <c r="T1260" t="n">
        <v>1938</v>
      </c>
      <c r="AH1260" t="inlineStr">
        <is>
          <t>Quelle: Idealista</t>
        </is>
      </c>
    </row>
    <row r="1261">
      <c r="A1261" t="n">
        <v>1074</v>
      </c>
      <c r="B1261" t="inlineStr">
        <is>
          <t>Casa rural en Polígono 17</t>
        </is>
      </c>
      <c r="C1261" t="inlineStr">
        <is>
          <t>https://www.idealista.com/inmueble/108519270/</t>
        </is>
      </c>
      <c r="E1261" t="n">
        <v>6</v>
      </c>
      <c r="H1261" t="n">
        <v>540</v>
      </c>
      <c r="J1261" t="inlineStr">
        <is>
          <t>Porto Cristo, Manacor</t>
        </is>
      </c>
      <c r="K1261" t="n">
        <v>61.2</v>
      </c>
      <c r="L1261" t="n">
        <v>56</v>
      </c>
      <c r="M1261" t="n">
        <v>41.2</v>
      </c>
      <c r="N1261" t="n">
        <v>51</v>
      </c>
      <c r="O1261" t="n">
        <v>95.40000000000001</v>
      </c>
      <c r="P1261" t="n">
        <v>80</v>
      </c>
      <c r="Q1261" t="n">
        <v>48.6</v>
      </c>
      <c r="R1261" t="n">
        <v>49</v>
      </c>
      <c r="S1261" t="n">
        <v>3100000</v>
      </c>
      <c r="T1261" t="n">
        <v>5741</v>
      </c>
      <c r="AH1261" t="inlineStr">
        <is>
          <t>Quelle: Idealista</t>
        </is>
      </c>
    </row>
    <row r="1262">
      <c r="A1262" t="n">
        <v>1075</v>
      </c>
      <c r="B1262" t="inlineStr">
        <is>
          <t>Casa rural</t>
        </is>
      </c>
      <c r="C1262" t="inlineStr">
        <is>
          <t>https://www.idealista.com/inmueble/99861654/</t>
        </is>
      </c>
      <c r="E1262" t="n">
        <v>8</v>
      </c>
      <c r="H1262" t="n">
        <v>617</v>
      </c>
      <c r="J1262" t="inlineStr">
        <is>
          <t>Manacor Centro, Manacor</t>
        </is>
      </c>
      <c r="K1262" t="n">
        <v>50.5</v>
      </c>
      <c r="L1262" t="n">
        <v>47</v>
      </c>
      <c r="M1262" t="n">
        <v>40.1</v>
      </c>
      <c r="N1262" t="n">
        <v>43</v>
      </c>
      <c r="O1262" t="n">
        <v>84.7</v>
      </c>
      <c r="P1262" t="n">
        <v>71</v>
      </c>
      <c r="Q1262" t="n">
        <v>37.8</v>
      </c>
      <c r="R1262" t="n">
        <v>40</v>
      </c>
      <c r="S1262" t="n">
        <v>4000000</v>
      </c>
      <c r="T1262" t="n">
        <v>6483</v>
      </c>
      <c r="AH1262" t="inlineStr">
        <is>
          <t>Quelle: Idealista</t>
        </is>
      </c>
    </row>
    <row r="1263">
      <c r="A1263" t="n">
        <v>1076</v>
      </c>
      <c r="B1263" t="inlineStr">
        <is>
          <t>Casa rural</t>
        </is>
      </c>
      <c r="C1263" t="inlineStr">
        <is>
          <t>https://www.idealista.com/inmueble/102228616/</t>
        </is>
      </c>
      <c r="E1263" t="n">
        <v>10</v>
      </c>
      <c r="H1263" t="n">
        <v>1149</v>
      </c>
      <c r="J1263" t="inlineStr">
        <is>
          <t>Manacor Centro, Manacor</t>
        </is>
      </c>
      <c r="K1263" t="n">
        <v>50.5</v>
      </c>
      <c r="L1263" t="n">
        <v>47</v>
      </c>
      <c r="M1263" t="n">
        <v>40.1</v>
      </c>
      <c r="N1263" t="n">
        <v>43</v>
      </c>
      <c r="O1263" t="n">
        <v>84.7</v>
      </c>
      <c r="P1263" t="n">
        <v>71</v>
      </c>
      <c r="Q1263" t="n">
        <v>37.8</v>
      </c>
      <c r="R1263" t="n">
        <v>40</v>
      </c>
      <c r="S1263" t="n">
        <v>2300000</v>
      </c>
      <c r="T1263" t="n">
        <v>2002</v>
      </c>
      <c r="AH1263" t="inlineStr">
        <is>
          <t>Quelle: Idealista</t>
        </is>
      </c>
    </row>
    <row r="1264">
      <c r="A1264" t="n">
        <v>1077</v>
      </c>
      <c r="B1264" t="inlineStr">
        <is>
          <t>Casa independiente en calle de sa Punteta, 62</t>
        </is>
      </c>
      <c r="C1264" t="inlineStr">
        <is>
          <t>https://www.idealista.com/inmueble/105005874/</t>
        </is>
      </c>
      <c r="E1264" t="n">
        <v>5</v>
      </c>
      <c r="H1264" t="n">
        <v>330</v>
      </c>
      <c r="J1264" t="inlineStr">
        <is>
          <t>Porto Cristo, Manacor</t>
        </is>
      </c>
      <c r="K1264" t="n">
        <v>61.2</v>
      </c>
      <c r="L1264" t="n">
        <v>56</v>
      </c>
      <c r="M1264" t="n">
        <v>41.2</v>
      </c>
      <c r="N1264" t="n">
        <v>51</v>
      </c>
      <c r="O1264" t="n">
        <v>95.40000000000001</v>
      </c>
      <c r="P1264" t="n">
        <v>80</v>
      </c>
      <c r="Q1264" t="n">
        <v>48.6</v>
      </c>
      <c r="R1264" t="n">
        <v>49</v>
      </c>
      <c r="S1264" t="n">
        <v>5225000</v>
      </c>
      <c r="T1264" t="n">
        <v>15833</v>
      </c>
      <c r="AH1264" t="inlineStr">
        <is>
          <t>Quelle: Idealista</t>
        </is>
      </c>
    </row>
    <row r="1265">
      <c r="A1265" t="n">
        <v>1078</v>
      </c>
      <c r="B1265" t="inlineStr">
        <is>
          <t>Casa rural en Poligono Poligon 29</t>
        </is>
      </c>
      <c r="C1265" t="inlineStr">
        <is>
          <t>https://www.idealista.com/inmueble/104496516/</t>
        </is>
      </c>
      <c r="E1265" t="n">
        <v>5</v>
      </c>
      <c r="H1265" t="n">
        <v>450</v>
      </c>
      <c r="J1265" t="inlineStr">
        <is>
          <t>Manacor Centro, Manacor</t>
        </is>
      </c>
      <c r="K1265" t="n">
        <v>50.5</v>
      </c>
      <c r="L1265" t="n">
        <v>47</v>
      </c>
      <c r="M1265" t="n">
        <v>40.1</v>
      </c>
      <c r="N1265" t="n">
        <v>43</v>
      </c>
      <c r="O1265" t="n">
        <v>84.7</v>
      </c>
      <c r="P1265" t="n">
        <v>71</v>
      </c>
      <c r="Q1265" t="n">
        <v>37.8</v>
      </c>
      <c r="R1265" t="n">
        <v>40</v>
      </c>
      <c r="S1265" t="n">
        <v>2150000</v>
      </c>
      <c r="T1265" t="n">
        <v>4778</v>
      </c>
      <c r="AH1265" t="inlineStr">
        <is>
          <t>Quelle: Idealista</t>
        </is>
      </c>
    </row>
    <row r="1266">
      <c r="A1266" t="n">
        <v>1079</v>
      </c>
      <c r="B1266" t="inlineStr">
        <is>
          <t>Casa independiente</t>
        </is>
      </c>
      <c r="C1266" t="inlineStr">
        <is>
          <t>https://www.idealista.com/inmueble/107355936/</t>
        </is>
      </c>
      <c r="E1266" t="n">
        <v>6</v>
      </c>
      <c r="H1266" t="n">
        <v>420</v>
      </c>
      <c r="J1266" t="inlineStr">
        <is>
          <t>Cala Murada, Manacor</t>
        </is>
      </c>
      <c r="K1266" t="n">
        <v>59.7</v>
      </c>
      <c r="L1266" t="n">
        <v>55</v>
      </c>
      <c r="M1266" t="n">
        <v>29.7</v>
      </c>
      <c r="N1266" t="n">
        <v>40</v>
      </c>
      <c r="O1266" t="n">
        <v>97.90000000000001</v>
      </c>
      <c r="P1266" t="n">
        <v>82</v>
      </c>
      <c r="Q1266" t="n">
        <v>39.1</v>
      </c>
      <c r="R1266" t="n">
        <v>41</v>
      </c>
      <c r="S1266" t="n">
        <v>2790000</v>
      </c>
      <c r="T1266" t="n">
        <v>6643</v>
      </c>
      <c r="AH1266" t="inlineStr">
        <is>
          <t>Quelle: Idealista</t>
        </is>
      </c>
    </row>
    <row r="1267">
      <c r="A1267" t="n">
        <v>1080</v>
      </c>
      <c r="B1267" t="inlineStr">
        <is>
          <t>Casa independiente</t>
        </is>
      </c>
      <c r="C1267" t="inlineStr">
        <is>
          <t>https://www.idealista.com/inmueble/107355081/</t>
        </is>
      </c>
      <c r="E1267" t="n">
        <v>7</v>
      </c>
      <c r="H1267" t="n">
        <v>578</v>
      </c>
      <c r="J1267" t="inlineStr">
        <is>
          <t>Cales de Mallorca, Manacor</t>
        </is>
      </c>
      <c r="K1267" t="n">
        <v>50</v>
      </c>
      <c r="L1267" t="n">
        <v>45</v>
      </c>
      <c r="M1267" t="n">
        <v>39.6</v>
      </c>
      <c r="N1267" t="n">
        <v>42</v>
      </c>
      <c r="O1267" t="n">
        <v>84.2</v>
      </c>
      <c r="P1267" t="n">
        <v>70</v>
      </c>
      <c r="Q1267" t="n">
        <v>37.3</v>
      </c>
      <c r="R1267" t="n">
        <v>38</v>
      </c>
      <c r="S1267" t="n">
        <v>3150000</v>
      </c>
      <c r="T1267" t="n">
        <v>5450</v>
      </c>
      <c r="AH1267" t="inlineStr">
        <is>
          <t>Quelle: Idealista</t>
        </is>
      </c>
    </row>
    <row r="1268">
      <c r="A1268" t="n">
        <v>1081</v>
      </c>
      <c r="B1268" t="inlineStr">
        <is>
          <t>Casa independiente</t>
        </is>
      </c>
      <c r="C1268" t="inlineStr">
        <is>
          <t>https://www.idealista.com/inmueble/107354228/</t>
        </is>
      </c>
      <c r="E1268" t="n">
        <v>5</v>
      </c>
      <c r="H1268" t="n">
        <v>502</v>
      </c>
      <c r="J1268" t="inlineStr">
        <is>
          <t>Manacor Centro, Manacor</t>
        </is>
      </c>
      <c r="K1268" t="n">
        <v>50.5</v>
      </c>
      <c r="L1268" t="n">
        <v>47</v>
      </c>
      <c r="M1268" t="n">
        <v>40.1</v>
      </c>
      <c r="N1268" t="n">
        <v>43</v>
      </c>
      <c r="O1268" t="n">
        <v>84.7</v>
      </c>
      <c r="P1268" t="n">
        <v>71</v>
      </c>
      <c r="Q1268" t="n">
        <v>37.8</v>
      </c>
      <c r="R1268" t="n">
        <v>40</v>
      </c>
      <c r="S1268" t="n">
        <v>3200000</v>
      </c>
      <c r="T1268" t="n">
        <v>6375</v>
      </c>
      <c r="AH1268" t="inlineStr">
        <is>
          <t>Quelle: Idealista</t>
        </is>
      </c>
    </row>
    <row r="1269">
      <c r="A1269" t="n">
        <v>1082</v>
      </c>
      <c r="B1269" t="inlineStr">
        <is>
          <t>Casa rural</t>
        </is>
      </c>
      <c r="C1269" t="inlineStr">
        <is>
          <t>https://www.idealista.com/inmueble/102499513/</t>
        </is>
      </c>
      <c r="E1269" t="n">
        <v>6</v>
      </c>
      <c r="H1269" t="n">
        <v>813</v>
      </c>
      <c r="J1269" t="inlineStr">
        <is>
          <t>Manacor Centro, Manacor</t>
        </is>
      </c>
      <c r="K1269" t="n">
        <v>50.5</v>
      </c>
      <c r="L1269" t="n">
        <v>47</v>
      </c>
      <c r="M1269" t="n">
        <v>40.1</v>
      </c>
      <c r="N1269" t="n">
        <v>43</v>
      </c>
      <c r="O1269" t="n">
        <v>84.7</v>
      </c>
      <c r="P1269" t="n">
        <v>71</v>
      </c>
      <c r="Q1269" t="n">
        <v>37.8</v>
      </c>
      <c r="R1269" t="n">
        <v>40</v>
      </c>
      <c r="S1269" t="n">
        <v>4150000</v>
      </c>
      <c r="T1269" t="n">
        <v>5105</v>
      </c>
      <c r="AH1269" t="inlineStr">
        <is>
          <t>Quelle: Idealista</t>
        </is>
      </c>
    </row>
    <row r="1270">
      <c r="A1270" t="n">
        <v>1083</v>
      </c>
      <c r="B1270" t="inlineStr">
        <is>
          <t>Casa rural</t>
        </is>
      </c>
      <c r="C1270" t="inlineStr">
        <is>
          <t>https://www.idealista.com/inmueble/105759750/</t>
        </is>
      </c>
      <c r="E1270" t="n">
        <v>16</v>
      </c>
      <c r="H1270" t="n">
        <v>1400</v>
      </c>
      <c r="J1270" t="inlineStr">
        <is>
          <t>Manacor Centro, Manacor</t>
        </is>
      </c>
      <c r="K1270" t="n">
        <v>50.5</v>
      </c>
      <c r="L1270" t="n">
        <v>47</v>
      </c>
      <c r="M1270" t="n">
        <v>40.1</v>
      </c>
      <c r="N1270" t="n">
        <v>43</v>
      </c>
      <c r="O1270" t="n">
        <v>84.7</v>
      </c>
      <c r="P1270" t="n">
        <v>71</v>
      </c>
      <c r="Q1270" t="n">
        <v>37.8</v>
      </c>
      <c r="R1270" t="n">
        <v>40</v>
      </c>
      <c r="S1270" t="n">
        <v>4995000</v>
      </c>
      <c r="T1270" t="n">
        <v>3568</v>
      </c>
      <c r="AH1270" t="inlineStr">
        <is>
          <t>Quelle: Idealista</t>
        </is>
      </c>
    </row>
    <row r="1271">
      <c r="A1271" t="n">
        <v>1084</v>
      </c>
      <c r="B1271" t="inlineStr">
        <is>
          <t>Finca rústica en Poligono Poligon 27, 20</t>
        </is>
      </c>
      <c r="C1271" t="inlineStr">
        <is>
          <t>https://www.idealista.com/inmueble/105614302/</t>
        </is>
      </c>
      <c r="E1271" t="n">
        <v>6</v>
      </c>
      <c r="H1271" t="n">
        <v>633</v>
      </c>
      <c r="J1271" t="inlineStr">
        <is>
          <t>Manacor Centro, Manacor</t>
        </is>
      </c>
      <c r="K1271" t="n">
        <v>50.5</v>
      </c>
      <c r="L1271" t="n">
        <v>47</v>
      </c>
      <c r="M1271" t="n">
        <v>40.1</v>
      </c>
      <c r="N1271" t="n">
        <v>43</v>
      </c>
      <c r="O1271" t="n">
        <v>84.7</v>
      </c>
      <c r="P1271" t="n">
        <v>71</v>
      </c>
      <c r="Q1271" t="n">
        <v>37.8</v>
      </c>
      <c r="R1271" t="n">
        <v>40</v>
      </c>
      <c r="S1271" t="n">
        <v>2770000</v>
      </c>
      <c r="T1271" t="n">
        <v>4376</v>
      </c>
      <c r="AH1271" t="inlineStr">
        <is>
          <t>Quelle: Idealista</t>
        </is>
      </c>
    </row>
    <row r="1272">
      <c r="A1272" t="n">
        <v>1085</v>
      </c>
      <c r="B1272" t="inlineStr">
        <is>
          <t>Finca rústica en Passatge de son Fortesa</t>
        </is>
      </c>
      <c r="C1272" t="inlineStr">
        <is>
          <t>https://www.idealista.com/inmueble/97636031/</t>
        </is>
      </c>
      <c r="E1272" t="n">
        <v>10</v>
      </c>
      <c r="H1272" t="n">
        <v>384</v>
      </c>
      <c r="J1272" t="inlineStr">
        <is>
          <t>Manacor Centro, Manacor</t>
        </is>
      </c>
      <c r="K1272" t="n">
        <v>50.5</v>
      </c>
      <c r="L1272" t="n">
        <v>47</v>
      </c>
      <c r="M1272" t="n">
        <v>40.1</v>
      </c>
      <c r="N1272" t="n">
        <v>43</v>
      </c>
      <c r="O1272" t="n">
        <v>84.7</v>
      </c>
      <c r="P1272" t="n">
        <v>71</v>
      </c>
      <c r="Q1272" t="n">
        <v>37.8</v>
      </c>
      <c r="R1272" t="n">
        <v>40</v>
      </c>
      <c r="S1272" t="n">
        <v>3390000</v>
      </c>
      <c r="T1272" t="n">
        <v>8828</v>
      </c>
      <c r="AH1272" t="inlineStr">
        <is>
          <t>Quelle: Idealista</t>
        </is>
      </c>
    </row>
    <row r="1273">
      <c r="A1273" t="n">
        <v>1086</v>
      </c>
      <c r="B1273" t="inlineStr">
        <is>
          <t>Casa independiente</t>
        </is>
      </c>
      <c r="C1273" t="inlineStr">
        <is>
          <t>https://www.idealista.com/inmueble/93282402/</t>
        </is>
      </c>
      <c r="E1273" t="n">
        <v>25</v>
      </c>
      <c r="H1273" t="n">
        <v>3215</v>
      </c>
      <c r="J1273" t="inlineStr">
        <is>
          <t>Manacor Centro, Manacor</t>
        </is>
      </c>
      <c r="K1273" t="n">
        <v>50.5</v>
      </c>
      <c r="L1273" t="n">
        <v>47</v>
      </c>
      <c r="M1273" t="n">
        <v>40.1</v>
      </c>
      <c r="N1273" t="n">
        <v>43</v>
      </c>
      <c r="O1273" t="n">
        <v>84.7</v>
      </c>
      <c r="P1273" t="n">
        <v>71</v>
      </c>
      <c r="Q1273" t="n">
        <v>37.8</v>
      </c>
      <c r="R1273" t="n">
        <v>40</v>
      </c>
      <c r="S1273" t="n">
        <v>6400000</v>
      </c>
      <c r="T1273" t="n">
        <v>1991</v>
      </c>
      <c r="AH1273" t="inlineStr">
        <is>
          <t>Quelle: Idealista</t>
        </is>
      </c>
    </row>
    <row r="1274">
      <c r="A1274" t="n">
        <v>1087</v>
      </c>
      <c r="B1274" t="inlineStr">
        <is>
          <t>Finca rústica en S`espinagar</t>
        </is>
      </c>
      <c r="C1274" t="inlineStr">
        <is>
          <t>https://www.idealista.com/inmueble/105143028/</t>
        </is>
      </c>
      <c r="E1274" t="n">
        <v>5</v>
      </c>
      <c r="H1274" t="n">
        <v>550</v>
      </c>
      <c r="J1274" t="inlineStr">
        <is>
          <t>Cales de Mallorca, Manacor</t>
        </is>
      </c>
      <c r="K1274" t="n">
        <v>50</v>
      </c>
      <c r="L1274" t="n">
        <v>45</v>
      </c>
      <c r="M1274" t="n">
        <v>39.6</v>
      </c>
      <c r="N1274" t="n">
        <v>42</v>
      </c>
      <c r="O1274" t="n">
        <v>84.2</v>
      </c>
      <c r="P1274" t="n">
        <v>70</v>
      </c>
      <c r="Q1274" t="n">
        <v>37.3</v>
      </c>
      <c r="R1274" t="n">
        <v>38</v>
      </c>
      <c r="S1274" t="n">
        <v>3890000</v>
      </c>
      <c r="T1274" t="n">
        <v>7073</v>
      </c>
      <c r="AH1274" t="inlineStr">
        <is>
          <t>Quelle: Idealista</t>
        </is>
      </c>
    </row>
    <row r="1275">
      <c r="A1275" t="n">
        <v>1088</v>
      </c>
      <c r="B1275" t="inlineStr">
        <is>
          <t>Casa independiente en Traumlage / 2. Meereslinie</t>
        </is>
      </c>
      <c r="C1275" t="inlineStr">
        <is>
          <t>https://www.idealista.com/inmueble/104246896/</t>
        </is>
      </c>
      <c r="E1275" t="n">
        <v>6</v>
      </c>
      <c r="H1275" t="n">
        <v>420</v>
      </c>
      <c r="J1275" t="inlineStr">
        <is>
          <t>Cala Murada, Manacor</t>
        </is>
      </c>
      <c r="K1275" t="n">
        <v>59.7</v>
      </c>
      <c r="L1275" t="n">
        <v>55</v>
      </c>
      <c r="M1275" t="n">
        <v>29.7</v>
      </c>
      <c r="N1275" t="n">
        <v>40</v>
      </c>
      <c r="O1275" t="n">
        <v>97.90000000000001</v>
      </c>
      <c r="P1275" t="n">
        <v>82</v>
      </c>
      <c r="Q1275" t="n">
        <v>39.1</v>
      </c>
      <c r="R1275" t="n">
        <v>41</v>
      </c>
      <c r="S1275" t="n">
        <v>2790000</v>
      </c>
      <c r="T1275" t="n">
        <v>6643</v>
      </c>
      <c r="AH1275" t="inlineStr">
        <is>
          <t>Quelle: Idealista</t>
        </is>
      </c>
    </row>
    <row r="1276">
      <c r="A1276" t="n">
        <v>1089</v>
      </c>
      <c r="B1276" t="inlineStr">
        <is>
          <t>Casa rural en Pol 2 Par 6</t>
        </is>
      </c>
      <c r="C1276" t="inlineStr">
        <is>
          <t>https://www.idealista.com/inmueble/104021438/</t>
        </is>
      </c>
      <c r="E1276" t="n">
        <v>10</v>
      </c>
      <c r="H1276" t="n">
        <v>480</v>
      </c>
      <c r="J1276" t="inlineStr">
        <is>
          <t>Manacor Centro, Manacor</t>
        </is>
      </c>
      <c r="K1276" t="n">
        <v>50.5</v>
      </c>
      <c r="L1276" t="n">
        <v>47</v>
      </c>
      <c r="M1276" t="n">
        <v>40.1</v>
      </c>
      <c r="N1276" t="n">
        <v>43</v>
      </c>
      <c r="O1276" t="n">
        <v>84.7</v>
      </c>
      <c r="P1276" t="n">
        <v>71</v>
      </c>
      <c r="Q1276" t="n">
        <v>37.8</v>
      </c>
      <c r="R1276" t="n">
        <v>40</v>
      </c>
      <c r="S1276" t="n">
        <v>2900000</v>
      </c>
      <c r="T1276" t="n">
        <v>6042</v>
      </c>
      <c r="AH1276" t="inlineStr">
        <is>
          <t>Quelle: Idealista</t>
        </is>
      </c>
    </row>
    <row r="1277">
      <c r="A1277" t="n">
        <v>1090</v>
      </c>
      <c r="B1277" t="inlineStr">
        <is>
          <t>Casa independiente</t>
        </is>
      </c>
      <c r="C1277" t="inlineStr">
        <is>
          <t>https://www.idealista.com/inmueble/103944561/</t>
        </is>
      </c>
      <c r="E1277" t="n">
        <v>7</v>
      </c>
      <c r="H1277" t="n">
        <v>591</v>
      </c>
      <c r="J1277" t="inlineStr">
        <is>
          <t>Porto Cristo, Manacor</t>
        </is>
      </c>
      <c r="K1277" t="n">
        <v>61.2</v>
      </c>
      <c r="L1277" t="n">
        <v>56</v>
      </c>
      <c r="M1277" t="n">
        <v>41.2</v>
      </c>
      <c r="N1277" t="n">
        <v>51</v>
      </c>
      <c r="O1277" t="n">
        <v>95.40000000000001</v>
      </c>
      <c r="P1277" t="n">
        <v>80</v>
      </c>
      <c r="Q1277" t="n">
        <v>48.6</v>
      </c>
      <c r="R1277" t="n">
        <v>49</v>
      </c>
      <c r="S1277" t="n">
        <v>6295000</v>
      </c>
      <c r="T1277" t="n">
        <v>10651</v>
      </c>
      <c r="AH1277" t="inlineStr">
        <is>
          <t>Quelle: Idealista</t>
        </is>
      </c>
    </row>
    <row r="1278">
      <c r="A1278" t="n">
        <v>1091</v>
      </c>
      <c r="B1278" t="inlineStr">
        <is>
          <t>Casa rural</t>
        </is>
      </c>
      <c r="C1278" t="inlineStr">
        <is>
          <t>https://www.idealista.com/inmueble/103333751/</t>
        </is>
      </c>
      <c r="E1278" t="n">
        <v>5</v>
      </c>
      <c r="H1278" t="n">
        <v>568</v>
      </c>
      <c r="J1278" t="inlineStr">
        <is>
          <t>Manacor Centro, Manacor</t>
        </is>
      </c>
      <c r="K1278" t="n">
        <v>50.5</v>
      </c>
      <c r="L1278" t="n">
        <v>47</v>
      </c>
      <c r="M1278" t="n">
        <v>40.1</v>
      </c>
      <c r="N1278" t="n">
        <v>43</v>
      </c>
      <c r="O1278" t="n">
        <v>84.7</v>
      </c>
      <c r="P1278" t="n">
        <v>71</v>
      </c>
      <c r="Q1278" t="n">
        <v>37.8</v>
      </c>
      <c r="R1278" t="n">
        <v>40</v>
      </c>
      <c r="S1278" t="n">
        <v>3900000</v>
      </c>
      <c r="T1278" t="n">
        <v>6866</v>
      </c>
      <c r="AH1278" t="inlineStr">
        <is>
          <t>Quelle: Idealista</t>
        </is>
      </c>
    </row>
    <row r="1279">
      <c r="A1279" t="n">
        <v>1092</v>
      </c>
      <c r="B1279" t="inlineStr">
        <is>
          <t>Casa rural</t>
        </is>
      </c>
      <c r="C1279" t="inlineStr">
        <is>
          <t>https://www.idealista.com/inmueble/103585893/</t>
        </is>
      </c>
      <c r="E1279" t="n">
        <v>5</v>
      </c>
      <c r="H1279" t="n">
        <v>526</v>
      </c>
      <c r="J1279" t="inlineStr">
        <is>
          <t>Manacor Centro, Manacor</t>
        </is>
      </c>
      <c r="K1279" t="n">
        <v>50.5</v>
      </c>
      <c r="L1279" t="n">
        <v>47</v>
      </c>
      <c r="M1279" t="n">
        <v>40.1</v>
      </c>
      <c r="N1279" t="n">
        <v>43</v>
      </c>
      <c r="O1279" t="n">
        <v>84.7</v>
      </c>
      <c r="P1279" t="n">
        <v>71</v>
      </c>
      <c r="Q1279" t="n">
        <v>37.8</v>
      </c>
      <c r="R1279" t="n">
        <v>40</v>
      </c>
      <c r="S1279" t="n">
        <v>2180000</v>
      </c>
      <c r="T1279" t="n">
        <v>4144</v>
      </c>
      <c r="AH1279" t="inlineStr">
        <is>
          <t>Quelle: Idealista</t>
        </is>
      </c>
    </row>
    <row r="1280">
      <c r="A1280" t="n">
        <v>1093</v>
      </c>
      <c r="B1280" t="inlineStr">
        <is>
          <t>Casa rural en camino Centro</t>
        </is>
      </c>
      <c r="C1280" t="inlineStr">
        <is>
          <t>https://www.idealista.com/inmueble/103501767/</t>
        </is>
      </c>
      <c r="E1280" t="n">
        <v>6</v>
      </c>
      <c r="H1280" t="n">
        <v>450</v>
      </c>
      <c r="J1280" t="inlineStr">
        <is>
          <t>Manacor Centro, Manacor</t>
        </is>
      </c>
      <c r="K1280" t="n">
        <v>50.5</v>
      </c>
      <c r="L1280" t="n">
        <v>47</v>
      </c>
      <c r="M1280" t="n">
        <v>40.1</v>
      </c>
      <c r="N1280" t="n">
        <v>43</v>
      </c>
      <c r="O1280" t="n">
        <v>84.7</v>
      </c>
      <c r="P1280" t="n">
        <v>71</v>
      </c>
      <c r="Q1280" t="n">
        <v>37.8</v>
      </c>
      <c r="R1280" t="n">
        <v>40</v>
      </c>
      <c r="S1280" t="n">
        <v>2200000</v>
      </c>
      <c r="T1280" t="n">
        <v>4889</v>
      </c>
      <c r="AH1280" t="inlineStr">
        <is>
          <t>Quelle: Idealista</t>
        </is>
      </c>
    </row>
    <row r="1281">
      <c r="A1281" t="n">
        <v>1094</v>
      </c>
      <c r="B1281" t="inlineStr">
        <is>
          <t>Casa independiente</t>
        </is>
      </c>
      <c r="C1281" t="inlineStr">
        <is>
          <t>https://www.idealista.com/inmueble/103076426/</t>
        </is>
      </c>
      <c r="E1281" t="n">
        <v>5</v>
      </c>
      <c r="H1281" t="n">
        <v>913</v>
      </c>
      <c r="J1281" t="inlineStr">
        <is>
          <t>Manacor Centro, Manacor</t>
        </is>
      </c>
      <c r="K1281" t="n">
        <v>50.5</v>
      </c>
      <c r="L1281" t="n">
        <v>47</v>
      </c>
      <c r="M1281" t="n">
        <v>40.1</v>
      </c>
      <c r="N1281" t="n">
        <v>43</v>
      </c>
      <c r="O1281" t="n">
        <v>84.7</v>
      </c>
      <c r="P1281" t="n">
        <v>71</v>
      </c>
      <c r="Q1281" t="n">
        <v>37.8</v>
      </c>
      <c r="R1281" t="n">
        <v>40</v>
      </c>
      <c r="S1281" t="n">
        <v>3890000</v>
      </c>
      <c r="T1281" t="n">
        <v>4261</v>
      </c>
      <c r="AH1281" t="inlineStr">
        <is>
          <t>Quelle: Idealista</t>
        </is>
      </c>
    </row>
    <row r="1282">
      <c r="A1282" t="n">
        <v>1095</v>
      </c>
      <c r="B1282" t="inlineStr">
        <is>
          <t>Finca rústica en calle Alegria , de l'</t>
        </is>
      </c>
      <c r="C1282" t="inlineStr">
        <is>
          <t>https://www.idealista.com/inmueble/102629065/</t>
        </is>
      </c>
      <c r="E1282" t="n">
        <v>5</v>
      </c>
      <c r="H1282" t="n">
        <v>230</v>
      </c>
      <c r="J1282" t="inlineStr">
        <is>
          <t>Manacor Centro, Manacor</t>
        </is>
      </c>
      <c r="K1282" t="n">
        <v>50.5</v>
      </c>
      <c r="L1282" t="n">
        <v>47</v>
      </c>
      <c r="M1282" t="n">
        <v>40.1</v>
      </c>
      <c r="N1282" t="n">
        <v>43</v>
      </c>
      <c r="O1282" t="n">
        <v>84.7</v>
      </c>
      <c r="P1282" t="n">
        <v>71</v>
      </c>
      <c r="Q1282" t="n">
        <v>37.8</v>
      </c>
      <c r="R1282" t="n">
        <v>40</v>
      </c>
      <c r="S1282" t="n">
        <v>3180000</v>
      </c>
      <c r="T1282" t="n">
        <v>13826</v>
      </c>
      <c r="AH1282" t="inlineStr">
        <is>
          <t>Quelle: Idealista</t>
        </is>
      </c>
    </row>
    <row r="1283">
      <c r="A1283" t="n">
        <v>1096</v>
      </c>
      <c r="B1283" t="inlineStr">
        <is>
          <t>Casa rural</t>
        </is>
      </c>
      <c r="C1283" t="inlineStr">
        <is>
          <t>https://www.idealista.com/inmueble/102351915/</t>
        </is>
      </c>
      <c r="E1283" t="n">
        <v>5</v>
      </c>
      <c r="H1283" t="n">
        <v>844</v>
      </c>
      <c r="J1283" t="inlineStr">
        <is>
          <t>Manacor Centro, Manacor</t>
        </is>
      </c>
      <c r="K1283" t="n">
        <v>50.5</v>
      </c>
      <c r="L1283" t="n">
        <v>47</v>
      </c>
      <c r="M1283" t="n">
        <v>40.1</v>
      </c>
      <c r="N1283" t="n">
        <v>43</v>
      </c>
      <c r="O1283" t="n">
        <v>84.7</v>
      </c>
      <c r="P1283" t="n">
        <v>71</v>
      </c>
      <c r="Q1283" t="n">
        <v>37.8</v>
      </c>
      <c r="R1283" t="n">
        <v>40</v>
      </c>
      <c r="S1283" t="n">
        <v>3975000</v>
      </c>
      <c r="T1283" t="n">
        <v>4710</v>
      </c>
      <c r="AH1283" t="inlineStr">
        <is>
          <t>Quelle: Idealista</t>
        </is>
      </c>
    </row>
    <row r="1284">
      <c r="A1284" t="n">
        <v>1097</v>
      </c>
      <c r="B1284" t="inlineStr">
        <is>
          <t>Casa rural</t>
        </is>
      </c>
      <c r="C1284" t="inlineStr">
        <is>
          <t>https://www.idealista.com/inmueble/102244422/</t>
        </is>
      </c>
      <c r="E1284" t="n">
        <v>15</v>
      </c>
      <c r="H1284" t="n">
        <v>1595</v>
      </c>
      <c r="J1284" t="inlineStr">
        <is>
          <t>Manacor Centro, Manacor</t>
        </is>
      </c>
      <c r="K1284" t="n">
        <v>50.5</v>
      </c>
      <c r="L1284" t="n">
        <v>47</v>
      </c>
      <c r="M1284" t="n">
        <v>40.1</v>
      </c>
      <c r="N1284" t="n">
        <v>43</v>
      </c>
      <c r="O1284" t="n">
        <v>84.7</v>
      </c>
      <c r="P1284" t="n">
        <v>71</v>
      </c>
      <c r="Q1284" t="n">
        <v>37.8</v>
      </c>
      <c r="R1284" t="n">
        <v>40</v>
      </c>
      <c r="S1284" t="n">
        <v>4200000</v>
      </c>
      <c r="T1284" t="n">
        <v>2633</v>
      </c>
      <c r="AH1284" t="inlineStr">
        <is>
          <t>Quelle: Idealista</t>
        </is>
      </c>
    </row>
    <row r="1285">
      <c r="A1285" t="n">
        <v>1098</v>
      </c>
      <c r="B1285" t="inlineStr">
        <is>
          <t>Chalet</t>
        </is>
      </c>
      <c r="C1285" t="inlineStr">
        <is>
          <t>https://www.idealista.com/inmueble/99995080/</t>
        </is>
      </c>
      <c r="E1285" t="n">
        <v>5</v>
      </c>
      <c r="H1285" t="n">
        <v>421</v>
      </c>
      <c r="J1285" t="inlineStr">
        <is>
          <t>Porto Cristo, Manacor</t>
        </is>
      </c>
      <c r="K1285" t="n">
        <v>61.2</v>
      </c>
      <c r="L1285" t="n">
        <v>56</v>
      </c>
      <c r="M1285" t="n">
        <v>41.2</v>
      </c>
      <c r="N1285" t="n">
        <v>51</v>
      </c>
      <c r="O1285" t="n">
        <v>95.40000000000001</v>
      </c>
      <c r="P1285" t="n">
        <v>80</v>
      </c>
      <c r="Q1285" t="n">
        <v>48.6</v>
      </c>
      <c r="R1285" t="n">
        <v>49</v>
      </c>
      <c r="S1285" t="n">
        <v>3250000</v>
      </c>
      <c r="T1285" t="n">
        <v>7720</v>
      </c>
      <c r="AH1285" t="inlineStr">
        <is>
          <t>Quelle: Idealista</t>
        </is>
      </c>
    </row>
    <row r="1286">
      <c r="A1286" t="n">
        <v>1099</v>
      </c>
      <c r="B1286" t="inlineStr">
        <is>
          <t>Casa rural</t>
        </is>
      </c>
      <c r="C1286" t="inlineStr">
        <is>
          <t>https://www.idealista.com/inmueble/99921402/</t>
        </is>
      </c>
      <c r="E1286" t="n">
        <v>6</v>
      </c>
      <c r="H1286" t="n">
        <v>760</v>
      </c>
      <c r="J1286" t="inlineStr">
        <is>
          <t>Manacor Centro, Manacor</t>
        </is>
      </c>
      <c r="K1286" t="n">
        <v>50.5</v>
      </c>
      <c r="L1286" t="n">
        <v>47</v>
      </c>
      <c r="M1286" t="n">
        <v>40.1</v>
      </c>
      <c r="N1286" t="n">
        <v>43</v>
      </c>
      <c r="O1286" t="n">
        <v>84.7</v>
      </c>
      <c r="P1286" t="n">
        <v>71</v>
      </c>
      <c r="Q1286" t="n">
        <v>37.8</v>
      </c>
      <c r="R1286" t="n">
        <v>40</v>
      </c>
      <c r="S1286" t="n">
        <v>2700000</v>
      </c>
      <c r="T1286" t="n">
        <v>3553</v>
      </c>
      <c r="AH1286" t="inlineStr">
        <is>
          <t>Quelle: Idealista</t>
        </is>
      </c>
    </row>
    <row r="1287">
      <c r="A1287" t="n">
        <v>1100</v>
      </c>
      <c r="B1287" t="inlineStr">
        <is>
          <t>Casa rural en Diseminado Poligon 02</t>
        </is>
      </c>
      <c r="C1287" t="inlineStr">
        <is>
          <t>https://www.idealista.com/inmueble/97224748/</t>
        </is>
      </c>
      <c r="E1287" t="n">
        <v>10</v>
      </c>
      <c r="H1287" t="n">
        <v>503</v>
      </c>
      <c r="J1287" t="inlineStr">
        <is>
          <t>Manacor Centro, Manacor</t>
        </is>
      </c>
      <c r="K1287" t="n">
        <v>50.5</v>
      </c>
      <c r="L1287" t="n">
        <v>47</v>
      </c>
      <c r="M1287" t="n">
        <v>40.1</v>
      </c>
      <c r="N1287" t="n">
        <v>43</v>
      </c>
      <c r="O1287" t="n">
        <v>84.7</v>
      </c>
      <c r="P1287" t="n">
        <v>71</v>
      </c>
      <c r="Q1287" t="n">
        <v>37.8</v>
      </c>
      <c r="R1287" t="n">
        <v>40</v>
      </c>
      <c r="S1287" t="n">
        <v>2300000</v>
      </c>
      <c r="T1287" t="n">
        <v>4573</v>
      </c>
      <c r="AH1287" t="inlineStr">
        <is>
          <t>Quelle: Idealista</t>
        </is>
      </c>
    </row>
    <row r="1288">
      <c r="A1288" t="n">
        <v>1101</v>
      </c>
      <c r="B1288" t="inlineStr">
        <is>
          <t>Finca rústica</t>
        </is>
      </c>
      <c r="C1288" t="inlineStr">
        <is>
          <t>https://www.idealista.com/inmueble/95964518/</t>
        </is>
      </c>
      <c r="E1288" t="n">
        <v>8</v>
      </c>
      <c r="H1288" t="n">
        <v>1435</v>
      </c>
      <c r="J1288" t="inlineStr">
        <is>
          <t>Manacor Centro, Manacor</t>
        </is>
      </c>
      <c r="K1288" t="n">
        <v>50.5</v>
      </c>
      <c r="L1288" t="n">
        <v>47</v>
      </c>
      <c r="M1288" t="n">
        <v>40.1</v>
      </c>
      <c r="N1288" t="n">
        <v>43</v>
      </c>
      <c r="O1288" t="n">
        <v>84.7</v>
      </c>
      <c r="P1288" t="n">
        <v>71</v>
      </c>
      <c r="Q1288" t="n">
        <v>37.8</v>
      </c>
      <c r="R1288" t="n">
        <v>40</v>
      </c>
      <c r="S1288" t="n">
        <v>2000000</v>
      </c>
      <c r="T1288" t="n">
        <v>1394</v>
      </c>
      <c r="AH1288" t="inlineStr">
        <is>
          <t>Quelle: Idealista</t>
        </is>
      </c>
    </row>
    <row r="1289">
      <c r="A1289" t="n">
        <v>1102</v>
      </c>
      <c r="B1289" t="inlineStr">
        <is>
          <t>Finca rústica</t>
        </is>
      </c>
      <c r="C1289" t="inlineStr">
        <is>
          <t>https://www.idealista.com/inmueble/109529098/</t>
        </is>
      </c>
      <c r="E1289" t="n">
        <v>5</v>
      </c>
      <c r="H1289" t="n">
        <v>544</v>
      </c>
      <c r="J1289" t="inlineStr">
        <is>
          <t>Maria de la Salud</t>
        </is>
      </c>
      <c r="K1289" t="n">
        <v>42</v>
      </c>
      <c r="L1289" t="n">
        <v>45</v>
      </c>
      <c r="M1289" t="n">
        <v>49.4</v>
      </c>
      <c r="N1289" t="n">
        <v>52</v>
      </c>
      <c r="O1289" t="n">
        <v>77.3</v>
      </c>
      <c r="P1289" t="n">
        <v>62</v>
      </c>
      <c r="Q1289" t="n">
        <v>47.1</v>
      </c>
      <c r="R1289" t="n">
        <v>49</v>
      </c>
      <c r="S1289" t="n">
        <v>3900000</v>
      </c>
      <c r="T1289" t="n">
        <v>7169</v>
      </c>
      <c r="AH1289" t="inlineStr">
        <is>
          <t>Quelle: Idealista</t>
        </is>
      </c>
    </row>
    <row r="1290">
      <c r="A1290" t="n">
        <v>1103</v>
      </c>
      <c r="B1290" t="inlineStr">
        <is>
          <t>Casa rural</t>
        </is>
      </c>
      <c r="C1290" t="inlineStr">
        <is>
          <t>https://www.idealista.com/inmueble/104323830/</t>
        </is>
      </c>
      <c r="E1290" t="n">
        <v>6</v>
      </c>
      <c r="H1290" t="n">
        <v>752</v>
      </c>
      <c r="J1290" t="inlineStr">
        <is>
          <t>Son Ramonell - Es Figueral, Marratxi</t>
        </is>
      </c>
      <c r="K1290" t="n">
        <v>12.1</v>
      </c>
      <c r="L1290" t="n">
        <v>16</v>
      </c>
      <c r="M1290" t="n">
        <v>55.3</v>
      </c>
      <c r="N1290" t="n">
        <v>49</v>
      </c>
      <c r="O1290" t="n">
        <v>39.9</v>
      </c>
      <c r="P1290" t="n">
        <v>35</v>
      </c>
      <c r="Q1290" t="n">
        <v>53</v>
      </c>
      <c r="R1290" t="n">
        <v>46</v>
      </c>
      <c r="S1290" t="n">
        <v>3200000</v>
      </c>
      <c r="T1290" t="n">
        <v>4255</v>
      </c>
      <c r="AH1290" t="inlineStr">
        <is>
          <t>Quelle: Idealista</t>
        </is>
      </c>
    </row>
    <row r="1291">
      <c r="A1291" t="n">
        <v>1104</v>
      </c>
      <c r="B1291" t="inlineStr">
        <is>
          <t>Casa independiente en calle de Sant Vicenç Ferrer</t>
        </is>
      </c>
      <c r="C1291" t="inlineStr">
        <is>
          <t>https://www.idealista.com/inmueble/109051505/</t>
        </is>
      </c>
      <c r="E1291" t="n">
        <v>5</v>
      </c>
      <c r="H1291" t="n">
        <v>609</v>
      </c>
      <c r="J1291" t="inlineStr">
        <is>
          <t>Sa Cabaneta, Marratxi</t>
        </is>
      </c>
      <c r="K1291" t="n">
        <v>13.6</v>
      </c>
      <c r="L1291" t="n">
        <v>19</v>
      </c>
      <c r="M1291" t="n">
        <v>56.8</v>
      </c>
      <c r="N1291" t="n">
        <v>52</v>
      </c>
      <c r="O1291" t="n">
        <v>42.9</v>
      </c>
      <c r="P1291" t="n">
        <v>38</v>
      </c>
      <c r="Q1291" t="n">
        <v>54.5</v>
      </c>
      <c r="R1291" t="n">
        <v>48</v>
      </c>
      <c r="S1291" t="n">
        <v>4195000</v>
      </c>
      <c r="T1291" t="n">
        <v>6888</v>
      </c>
      <c r="AH1291" t="inlineStr">
        <is>
          <t>Quelle: Idealista</t>
        </is>
      </c>
    </row>
    <row r="1292">
      <c r="A1292" t="n">
        <v>1105</v>
      </c>
      <c r="B1292" t="inlineStr">
        <is>
          <t>Casa rural</t>
        </is>
      </c>
      <c r="C1292" t="inlineStr">
        <is>
          <t>https://www.idealista.com/inmueble/110252307/</t>
        </is>
      </c>
      <c r="E1292" t="n">
        <v>6</v>
      </c>
      <c r="H1292" t="n">
        <v>633</v>
      </c>
      <c r="J1292" t="inlineStr">
        <is>
          <t>Pòrtol, Marratxi</t>
        </is>
      </c>
      <c r="K1292" t="n">
        <v>26.8</v>
      </c>
      <c r="L1292" t="n">
        <v>26</v>
      </c>
      <c r="M1292" t="n">
        <v>69.59999999999999</v>
      </c>
      <c r="N1292" t="n">
        <v>59</v>
      </c>
      <c r="O1292" t="n">
        <v>49.4</v>
      </c>
      <c r="P1292" t="n">
        <v>42</v>
      </c>
      <c r="Q1292" t="n">
        <v>67.3</v>
      </c>
      <c r="R1292" t="n">
        <v>55</v>
      </c>
      <c r="S1292" t="n">
        <v>4800000</v>
      </c>
      <c r="T1292" t="n">
        <v>7583</v>
      </c>
      <c r="AH1292" t="inlineStr">
        <is>
          <t>Quelle: Idealista</t>
        </is>
      </c>
    </row>
    <row r="1293">
      <c r="A1293" t="n">
        <v>1106</v>
      </c>
      <c r="B1293" t="inlineStr">
        <is>
          <t>Casa independiente</t>
        </is>
      </c>
      <c r="C1293" t="inlineStr">
        <is>
          <t>https://www.idealista.com/inmueble/108974345/</t>
        </is>
      </c>
      <c r="E1293" t="n">
        <v>5</v>
      </c>
      <c r="H1293" t="n">
        <v>609</v>
      </c>
      <c r="J1293" t="inlineStr">
        <is>
          <t>Sa Cabaneta, Marratxi</t>
        </is>
      </c>
      <c r="K1293" t="n">
        <v>13.6</v>
      </c>
      <c r="L1293" t="n">
        <v>19</v>
      </c>
      <c r="M1293" t="n">
        <v>56.8</v>
      </c>
      <c r="N1293" t="n">
        <v>52</v>
      </c>
      <c r="O1293" t="n">
        <v>42.9</v>
      </c>
      <c r="P1293" t="n">
        <v>38</v>
      </c>
      <c r="Q1293" t="n">
        <v>54.5</v>
      </c>
      <c r="R1293" t="n">
        <v>48</v>
      </c>
      <c r="S1293" t="n">
        <v>4195000</v>
      </c>
      <c r="T1293" t="n">
        <v>6888</v>
      </c>
      <c r="AH1293" t="inlineStr">
        <is>
          <t>Quelle: Idealista</t>
        </is>
      </c>
    </row>
    <row r="1294">
      <c r="A1294" t="n">
        <v>1107</v>
      </c>
      <c r="B1294" t="inlineStr">
        <is>
          <t>Casa independiente</t>
        </is>
      </c>
      <c r="C1294" t="inlineStr">
        <is>
          <t>https://www.idealista.com/inmueble/109014491/</t>
        </is>
      </c>
      <c r="E1294" t="n">
        <v>5</v>
      </c>
      <c r="H1294" t="n">
        <v>589</v>
      </c>
      <c r="J1294" t="inlineStr">
        <is>
          <t>Sa Cabaneta, Marratxi</t>
        </is>
      </c>
      <c r="K1294" t="n">
        <v>13.6</v>
      </c>
      <c r="L1294" t="n">
        <v>19</v>
      </c>
      <c r="M1294" t="n">
        <v>56.8</v>
      </c>
      <c r="N1294" t="n">
        <v>52</v>
      </c>
      <c r="O1294" t="n">
        <v>42.9</v>
      </c>
      <c r="P1294" t="n">
        <v>38</v>
      </c>
      <c r="Q1294" t="n">
        <v>54.5</v>
      </c>
      <c r="R1294" t="n">
        <v>48</v>
      </c>
      <c r="S1294" t="n">
        <v>4195000</v>
      </c>
      <c r="T1294" t="n">
        <v>7122</v>
      </c>
      <c r="AH1294" t="inlineStr">
        <is>
          <t>Quelle: Idealista</t>
        </is>
      </c>
    </row>
    <row r="1295">
      <c r="A1295" t="n">
        <v>1108</v>
      </c>
      <c r="B1295" t="inlineStr">
        <is>
          <t>Casa independiente</t>
        </is>
      </c>
      <c r="C1295" t="inlineStr">
        <is>
          <t>https://www.idealista.com/inmueble/109001413/</t>
        </is>
      </c>
      <c r="E1295" t="n">
        <v>5</v>
      </c>
      <c r="H1295" t="n">
        <v>609</v>
      </c>
      <c r="J1295" t="inlineStr">
        <is>
          <t>Sa Cabaneta, Marratxi</t>
        </is>
      </c>
      <c r="K1295" t="n">
        <v>13.6</v>
      </c>
      <c r="L1295" t="n">
        <v>19</v>
      </c>
      <c r="M1295" t="n">
        <v>56.8</v>
      </c>
      <c r="N1295" t="n">
        <v>52</v>
      </c>
      <c r="O1295" t="n">
        <v>42.9</v>
      </c>
      <c r="P1295" t="n">
        <v>38</v>
      </c>
      <c r="Q1295" t="n">
        <v>54.5</v>
      </c>
      <c r="R1295" t="n">
        <v>48</v>
      </c>
      <c r="S1295" t="n">
        <v>4195000</v>
      </c>
      <c r="T1295" t="n">
        <v>6888</v>
      </c>
      <c r="AH1295" t="inlineStr">
        <is>
          <t>Quelle: Idealista</t>
        </is>
      </c>
    </row>
    <row r="1296">
      <c r="A1296" t="n">
        <v>1109</v>
      </c>
      <c r="B1296" t="inlineStr">
        <is>
          <t>Casa independiente</t>
        </is>
      </c>
      <c r="C1296" t="inlineStr">
        <is>
          <t>https://www.idealista.com/inmueble/109932755/</t>
        </is>
      </c>
      <c r="E1296" t="n">
        <v>5</v>
      </c>
      <c r="H1296" t="n">
        <v>530</v>
      </c>
      <c r="J1296" t="inlineStr">
        <is>
          <t>Es Garrovers, Marratxi</t>
        </is>
      </c>
      <c r="K1296" t="n">
        <v>16.4</v>
      </c>
      <c r="L1296" t="n">
        <v>19</v>
      </c>
      <c r="M1296" t="n">
        <v>59.1</v>
      </c>
      <c r="N1296" t="n">
        <v>52</v>
      </c>
      <c r="O1296" t="n">
        <v>39</v>
      </c>
      <c r="P1296" t="n">
        <v>35</v>
      </c>
      <c r="Q1296" t="n">
        <v>56.8</v>
      </c>
      <c r="R1296" t="n">
        <v>48</v>
      </c>
      <c r="S1296" t="n">
        <v>3200000</v>
      </c>
      <c r="T1296" t="n">
        <v>6038</v>
      </c>
      <c r="AH1296" t="inlineStr">
        <is>
          <t>Quelle: Idealista</t>
        </is>
      </c>
    </row>
    <row r="1297">
      <c r="A1297" t="n">
        <v>1110</v>
      </c>
      <c r="B1297" t="inlineStr">
        <is>
          <t>Casa independiente</t>
        </is>
      </c>
      <c r="C1297" t="inlineStr">
        <is>
          <t>https://www.idealista.com/inmueble/109952684/</t>
        </is>
      </c>
      <c r="E1297" t="n">
        <v>5</v>
      </c>
      <c r="H1297" t="n">
        <v>388</v>
      </c>
      <c r="J1297" t="inlineStr">
        <is>
          <t>Sa Cabaneta, Marratxi</t>
        </is>
      </c>
      <c r="K1297" t="n">
        <v>13.6</v>
      </c>
      <c r="L1297" t="n">
        <v>19</v>
      </c>
      <c r="M1297" t="n">
        <v>56.8</v>
      </c>
      <c r="N1297" t="n">
        <v>52</v>
      </c>
      <c r="O1297" t="n">
        <v>42.9</v>
      </c>
      <c r="P1297" t="n">
        <v>38</v>
      </c>
      <c r="Q1297" t="n">
        <v>54.5</v>
      </c>
      <c r="R1297" t="n">
        <v>48</v>
      </c>
      <c r="S1297" t="n">
        <v>2300000</v>
      </c>
      <c r="T1297" t="n">
        <v>5928</v>
      </c>
      <c r="AH1297" t="inlineStr">
        <is>
          <t>Quelle: Idealista</t>
        </is>
      </c>
    </row>
    <row r="1298">
      <c r="A1298" t="n">
        <v>1111</v>
      </c>
      <c r="B1298" t="inlineStr">
        <is>
          <t>Finca rústica</t>
        </is>
      </c>
      <c r="C1298" t="inlineStr">
        <is>
          <t>https://www.idealista.com/inmueble/88334157/</t>
        </is>
      </c>
      <c r="E1298" t="n">
        <v>6</v>
      </c>
      <c r="H1298" t="n">
        <v>418</v>
      </c>
      <c r="J1298" t="inlineStr">
        <is>
          <t>Es Garrovers, Marratxi</t>
        </is>
      </c>
      <c r="K1298" t="n">
        <v>16.4</v>
      </c>
      <c r="L1298" t="n">
        <v>19</v>
      </c>
      <c r="M1298" t="n">
        <v>59.1</v>
      </c>
      <c r="N1298" t="n">
        <v>52</v>
      </c>
      <c r="O1298" t="n">
        <v>39</v>
      </c>
      <c r="P1298" t="n">
        <v>35</v>
      </c>
      <c r="Q1298" t="n">
        <v>56.8</v>
      </c>
      <c r="R1298" t="n">
        <v>48</v>
      </c>
      <c r="S1298" t="n">
        <v>2300000</v>
      </c>
      <c r="T1298" t="n">
        <v>5502</v>
      </c>
      <c r="AH1298" t="inlineStr">
        <is>
          <t>Quelle: Idealista</t>
        </is>
      </c>
    </row>
    <row r="1299">
      <c r="A1299" t="n">
        <v>1112</v>
      </c>
      <c r="B1299" t="inlineStr">
        <is>
          <t>Casa independiente</t>
        </is>
      </c>
      <c r="C1299" t="inlineStr">
        <is>
          <t>https://www.idealista.com/inmueble/109458876/</t>
        </is>
      </c>
      <c r="E1299" t="n">
        <v>7</v>
      </c>
      <c r="H1299" t="n">
        <v>577</v>
      </c>
      <c r="J1299" t="inlineStr">
        <is>
          <t>Pòrtol, Marratxi</t>
        </is>
      </c>
      <c r="K1299" t="n">
        <v>26.8</v>
      </c>
      <c r="L1299" t="n">
        <v>26</v>
      </c>
      <c r="M1299" t="n">
        <v>69.59999999999999</v>
      </c>
      <c r="N1299" t="n">
        <v>59</v>
      </c>
      <c r="O1299" t="n">
        <v>49.4</v>
      </c>
      <c r="P1299" t="n">
        <v>42</v>
      </c>
      <c r="Q1299" t="n">
        <v>67.3</v>
      </c>
      <c r="R1299" t="n">
        <v>55</v>
      </c>
      <c r="S1299" t="n">
        <v>4800000</v>
      </c>
      <c r="T1299" t="n">
        <v>8319</v>
      </c>
      <c r="AH1299" t="inlineStr">
        <is>
          <t>Quelle: Idealista</t>
        </is>
      </c>
    </row>
    <row r="1300">
      <c r="A1300" t="n">
        <v>1113</v>
      </c>
      <c r="B1300" t="inlineStr">
        <is>
          <t>Finca rústica</t>
        </is>
      </c>
      <c r="C1300" t="inlineStr">
        <is>
          <t>https://www.idealista.com/inmueble/109370554/</t>
        </is>
      </c>
      <c r="E1300" t="n">
        <v>6</v>
      </c>
      <c r="H1300" t="n">
        <v>633</v>
      </c>
      <c r="J1300" t="inlineStr">
        <is>
          <t>Pòrtol, Marratxi</t>
        </is>
      </c>
      <c r="K1300" t="n">
        <v>26.8</v>
      </c>
      <c r="L1300" t="n">
        <v>26</v>
      </c>
      <c r="M1300" t="n">
        <v>69.59999999999999</v>
      </c>
      <c r="N1300" t="n">
        <v>59</v>
      </c>
      <c r="O1300" t="n">
        <v>49.4</v>
      </c>
      <c r="P1300" t="n">
        <v>42</v>
      </c>
      <c r="Q1300" t="n">
        <v>67.3</v>
      </c>
      <c r="R1300" t="n">
        <v>55</v>
      </c>
      <c r="S1300" t="n">
        <v>4800000</v>
      </c>
      <c r="T1300" t="n">
        <v>7583</v>
      </c>
      <c r="AH1300" t="inlineStr">
        <is>
          <t>Quelle: Idealista</t>
        </is>
      </c>
    </row>
    <row r="1301">
      <c r="A1301" t="n">
        <v>1114</v>
      </c>
      <c r="B1301" t="inlineStr">
        <is>
          <t>Casa rural</t>
        </is>
      </c>
      <c r="C1301" t="inlineStr">
        <is>
          <t>https://www.idealista.com/inmueble/109340380/</t>
        </is>
      </c>
      <c r="E1301" t="n">
        <v>6</v>
      </c>
      <c r="H1301" t="n">
        <v>633</v>
      </c>
      <c r="J1301" t="inlineStr">
        <is>
          <t>Pòrtol, Marratxi</t>
        </is>
      </c>
      <c r="K1301" t="n">
        <v>26.8</v>
      </c>
      <c r="L1301" t="n">
        <v>26</v>
      </c>
      <c r="M1301" t="n">
        <v>69.59999999999999</v>
      </c>
      <c r="N1301" t="n">
        <v>59</v>
      </c>
      <c r="O1301" t="n">
        <v>49.4</v>
      </c>
      <c r="P1301" t="n">
        <v>42</v>
      </c>
      <c r="Q1301" t="n">
        <v>67.3</v>
      </c>
      <c r="R1301" t="n">
        <v>55</v>
      </c>
      <c r="S1301" t="n">
        <v>4800000</v>
      </c>
      <c r="T1301" t="n">
        <v>7583</v>
      </c>
      <c r="AH1301" t="inlineStr">
        <is>
          <t>Quelle: Idealista</t>
        </is>
      </c>
    </row>
    <row r="1302">
      <c r="A1302" t="n">
        <v>1115</v>
      </c>
      <c r="B1302" t="inlineStr">
        <is>
          <t>Finca rústica</t>
        </is>
      </c>
      <c r="C1302" t="inlineStr">
        <is>
          <t>https://www.idealista.com/inmueble/106172588/</t>
        </is>
      </c>
      <c r="E1302" t="n">
        <v>10</v>
      </c>
      <c r="H1302" t="n">
        <v>1495</v>
      </c>
      <c r="J1302" t="inlineStr">
        <is>
          <t>Marratxinet, Marratxi</t>
        </is>
      </c>
      <c r="K1302" t="n">
        <v>20.4</v>
      </c>
      <c r="L1302" t="n">
        <v>21</v>
      </c>
      <c r="M1302" t="n">
        <v>63.2</v>
      </c>
      <c r="N1302" t="n">
        <v>53</v>
      </c>
      <c r="O1302" t="n">
        <v>43</v>
      </c>
      <c r="P1302" t="n">
        <v>37</v>
      </c>
      <c r="Q1302" t="n">
        <v>60.9</v>
      </c>
      <c r="R1302" t="n">
        <v>50</v>
      </c>
      <c r="S1302" t="n">
        <v>2500000</v>
      </c>
      <c r="T1302" t="n">
        <v>1672</v>
      </c>
      <c r="AH1302" t="inlineStr">
        <is>
          <t>Quelle: Idealista</t>
        </is>
      </c>
    </row>
    <row r="1303">
      <c r="A1303" t="n">
        <v>1116</v>
      </c>
      <c r="B1303" t="inlineStr">
        <is>
          <t>Casa independiente</t>
        </is>
      </c>
      <c r="C1303" t="inlineStr">
        <is>
          <t>https://www.idealista.com/inmueble/109069911/</t>
        </is>
      </c>
      <c r="E1303" t="n">
        <v>5</v>
      </c>
      <c r="H1303" t="n">
        <v>460</v>
      </c>
      <c r="J1303" t="inlineStr">
        <is>
          <t>Sa Cabaneta, Marratxi</t>
        </is>
      </c>
      <c r="K1303" t="n">
        <v>13.6</v>
      </c>
      <c r="L1303" t="n">
        <v>19</v>
      </c>
      <c r="M1303" t="n">
        <v>56.8</v>
      </c>
      <c r="N1303" t="n">
        <v>52</v>
      </c>
      <c r="O1303" t="n">
        <v>42.9</v>
      </c>
      <c r="P1303" t="n">
        <v>38</v>
      </c>
      <c r="Q1303" t="n">
        <v>54.5</v>
      </c>
      <c r="R1303" t="n">
        <v>48</v>
      </c>
      <c r="S1303" t="n">
        <v>2300000</v>
      </c>
      <c r="T1303" t="n">
        <v>5000</v>
      </c>
      <c r="AH1303" t="inlineStr">
        <is>
          <t>Quelle: Idealista</t>
        </is>
      </c>
    </row>
    <row r="1304">
      <c r="A1304" t="n">
        <v>1117</v>
      </c>
      <c r="B1304" t="inlineStr">
        <is>
          <t>Finca rústica en camino de Sa Fita, 4</t>
        </is>
      </c>
      <c r="C1304" t="inlineStr">
        <is>
          <t>https://www.idealista.com/inmueble/109042712/</t>
        </is>
      </c>
      <c r="E1304" t="n">
        <v>6</v>
      </c>
      <c r="H1304" t="n">
        <v>440</v>
      </c>
      <c r="J1304" t="inlineStr">
        <is>
          <t>Es Garrovers, Marratxi</t>
        </is>
      </c>
      <c r="K1304" t="n">
        <v>16.4</v>
      </c>
      <c r="L1304" t="n">
        <v>19</v>
      </c>
      <c r="M1304" t="n">
        <v>59.1</v>
      </c>
      <c r="N1304" t="n">
        <v>52</v>
      </c>
      <c r="O1304" t="n">
        <v>39</v>
      </c>
      <c r="P1304" t="n">
        <v>35</v>
      </c>
      <c r="Q1304" t="n">
        <v>56.8</v>
      </c>
      <c r="R1304" t="n">
        <v>48</v>
      </c>
      <c r="S1304" t="n">
        <v>3300000</v>
      </c>
      <c r="T1304" t="n">
        <v>7500</v>
      </c>
      <c r="AH1304" t="inlineStr">
        <is>
          <t>Quelle: Idealista</t>
        </is>
      </c>
    </row>
    <row r="1305">
      <c r="A1305" t="n">
        <v>1118</v>
      </c>
      <c r="B1305" t="inlineStr">
        <is>
          <t>Casa independiente</t>
        </is>
      </c>
      <c r="C1305" t="inlineStr">
        <is>
          <t>https://www.idealista.com/inmueble/105916514/</t>
        </is>
      </c>
      <c r="E1305" t="n">
        <v>6</v>
      </c>
      <c r="H1305" t="n">
        <v>603</v>
      </c>
      <c r="J1305" t="inlineStr">
        <is>
          <t>Son Ramonell - Es Figueral, Marratxi</t>
        </is>
      </c>
      <c r="K1305" t="n">
        <v>12.1</v>
      </c>
      <c r="L1305" t="n">
        <v>16</v>
      </c>
      <c r="M1305" t="n">
        <v>55.3</v>
      </c>
      <c r="N1305" t="n">
        <v>49</v>
      </c>
      <c r="O1305" t="n">
        <v>39.9</v>
      </c>
      <c r="P1305" t="n">
        <v>35</v>
      </c>
      <c r="Q1305" t="n">
        <v>53</v>
      </c>
      <c r="R1305" t="n">
        <v>46</v>
      </c>
      <c r="S1305" t="n">
        <v>3350000</v>
      </c>
      <c r="T1305" t="n">
        <v>5556</v>
      </c>
      <c r="AH1305" t="inlineStr">
        <is>
          <t>Quelle: Idealista</t>
        </is>
      </c>
    </row>
    <row r="1306">
      <c r="A1306" t="n">
        <v>1119</v>
      </c>
      <c r="B1306" t="inlineStr">
        <is>
          <t>Finca rústica en Urbanització Afor Urbanización son Ametler</t>
        </is>
      </c>
      <c r="C1306" t="inlineStr">
        <is>
          <t>https://www.idealista.com/inmueble/108342254/</t>
        </is>
      </c>
      <c r="E1306" t="n">
        <v>8</v>
      </c>
      <c r="H1306" t="n">
        <v>796</v>
      </c>
      <c r="J1306" t="inlineStr">
        <is>
          <t>Son Ametller, Marratxi</t>
        </is>
      </c>
      <c r="K1306" t="n">
        <v>13.1</v>
      </c>
      <c r="L1306" t="n">
        <v>18</v>
      </c>
      <c r="M1306" t="n">
        <v>56.4</v>
      </c>
      <c r="N1306" t="n">
        <v>51</v>
      </c>
      <c r="O1306" t="n">
        <v>41.3</v>
      </c>
      <c r="P1306" t="n">
        <v>37</v>
      </c>
      <c r="Q1306" t="n">
        <v>54.1</v>
      </c>
      <c r="R1306" t="n">
        <v>47</v>
      </c>
      <c r="S1306" t="n">
        <v>3000000</v>
      </c>
      <c r="T1306" t="n">
        <v>3769</v>
      </c>
      <c r="AH1306" t="inlineStr">
        <is>
          <t>Quelle: Idealista</t>
        </is>
      </c>
    </row>
    <row r="1307">
      <c r="A1307" t="n">
        <v>1120</v>
      </c>
      <c r="B1307" t="inlineStr">
        <is>
          <t>Casa independiente</t>
        </is>
      </c>
      <c r="C1307" t="inlineStr">
        <is>
          <t>https://www.idealista.com/inmueble/106957895/</t>
        </is>
      </c>
      <c r="E1307" t="n">
        <v>5</v>
      </c>
      <c r="H1307" t="n">
        <v>386</v>
      </c>
      <c r="J1307" t="inlineStr">
        <is>
          <t>Sa Cabaneta, Marratxi</t>
        </is>
      </c>
      <c r="K1307" t="n">
        <v>13.6</v>
      </c>
      <c r="L1307" t="n">
        <v>19</v>
      </c>
      <c r="M1307" t="n">
        <v>56.8</v>
      </c>
      <c r="N1307" t="n">
        <v>52</v>
      </c>
      <c r="O1307" t="n">
        <v>42.9</v>
      </c>
      <c r="P1307" t="n">
        <v>38</v>
      </c>
      <c r="Q1307" t="n">
        <v>54.5</v>
      </c>
      <c r="R1307" t="n">
        <v>48</v>
      </c>
      <c r="S1307" t="n">
        <v>4950000</v>
      </c>
      <c r="T1307" t="n">
        <v>12824</v>
      </c>
      <c r="AH1307" t="inlineStr">
        <is>
          <t>Quelle: Idealista</t>
        </is>
      </c>
    </row>
    <row r="1308">
      <c r="A1308" t="n">
        <v>1121</v>
      </c>
      <c r="B1308" t="inlineStr">
        <is>
          <t>Casa independiente</t>
        </is>
      </c>
      <c r="C1308" t="inlineStr">
        <is>
          <t>https://www.idealista.com/inmueble/106876271/</t>
        </is>
      </c>
      <c r="E1308" t="n">
        <v>6</v>
      </c>
      <c r="H1308" t="n">
        <v>500</v>
      </c>
      <c r="J1308" t="inlineStr">
        <is>
          <t>Sa Cabaneta, Marratxi</t>
        </is>
      </c>
      <c r="K1308" t="n">
        <v>13.6</v>
      </c>
      <c r="L1308" t="n">
        <v>19</v>
      </c>
      <c r="M1308" t="n">
        <v>56.8</v>
      </c>
      <c r="N1308" t="n">
        <v>52</v>
      </c>
      <c r="O1308" t="n">
        <v>42.9</v>
      </c>
      <c r="P1308" t="n">
        <v>38</v>
      </c>
      <c r="Q1308" t="n">
        <v>54.5</v>
      </c>
      <c r="R1308" t="n">
        <v>48</v>
      </c>
      <c r="S1308" t="n">
        <v>3350000</v>
      </c>
      <c r="T1308" t="n">
        <v>6700</v>
      </c>
      <c r="AH1308" t="inlineStr">
        <is>
          <t>Quelle: Idealista</t>
        </is>
      </c>
    </row>
    <row r="1309">
      <c r="A1309" t="n">
        <v>1122</v>
      </c>
      <c r="B1309" t="inlineStr">
        <is>
          <t>Casa independiente</t>
        </is>
      </c>
      <c r="C1309" t="inlineStr">
        <is>
          <t>https://www.idealista.com/inmueble/106484227/</t>
        </is>
      </c>
      <c r="E1309" t="n">
        <v>5</v>
      </c>
      <c r="H1309" t="n">
        <v>609</v>
      </c>
      <c r="J1309" t="inlineStr">
        <is>
          <t>Sa Cabaneta, Marratxi</t>
        </is>
      </c>
      <c r="K1309" t="n">
        <v>13.6</v>
      </c>
      <c r="L1309" t="n">
        <v>19</v>
      </c>
      <c r="M1309" t="n">
        <v>56.8</v>
      </c>
      <c r="N1309" t="n">
        <v>52</v>
      </c>
      <c r="O1309" t="n">
        <v>42.9</v>
      </c>
      <c r="P1309" t="n">
        <v>38</v>
      </c>
      <c r="Q1309" t="n">
        <v>54.5</v>
      </c>
      <c r="R1309" t="n">
        <v>48</v>
      </c>
      <c r="S1309" t="n">
        <v>4195000</v>
      </c>
      <c r="T1309" t="n">
        <v>6888</v>
      </c>
      <c r="AH1309" t="inlineStr">
        <is>
          <t>Quelle: Idealista</t>
        </is>
      </c>
    </row>
    <row r="1310">
      <c r="A1310" t="n">
        <v>1123</v>
      </c>
      <c r="B1310" t="inlineStr">
        <is>
          <t>Casa independiente</t>
        </is>
      </c>
      <c r="C1310" t="inlineStr">
        <is>
          <t>https://www.idealista.com/inmueble/105670643/</t>
        </is>
      </c>
      <c r="E1310" t="n">
        <v>6</v>
      </c>
      <c r="H1310" t="n">
        <v>958</v>
      </c>
      <c r="J1310" t="inlineStr">
        <is>
          <t>Marratxinet, Marratxi</t>
        </is>
      </c>
      <c r="K1310" t="n">
        <v>20.4</v>
      </c>
      <c r="L1310" t="n">
        <v>21</v>
      </c>
      <c r="M1310" t="n">
        <v>63.2</v>
      </c>
      <c r="N1310" t="n">
        <v>53</v>
      </c>
      <c r="O1310" t="n">
        <v>43</v>
      </c>
      <c r="P1310" t="n">
        <v>37</v>
      </c>
      <c r="Q1310" t="n">
        <v>60.9</v>
      </c>
      <c r="R1310" t="n">
        <v>50</v>
      </c>
      <c r="S1310" t="n">
        <v>3200000</v>
      </c>
      <c r="T1310" t="n">
        <v>3340</v>
      </c>
      <c r="AH1310" t="inlineStr">
        <is>
          <t>Quelle: Idealista</t>
        </is>
      </c>
    </row>
    <row r="1311">
      <c r="A1311" t="n">
        <v>1124</v>
      </c>
      <c r="B1311" t="inlineStr">
        <is>
          <t>Finca rústica</t>
        </is>
      </c>
      <c r="C1311" t="inlineStr">
        <is>
          <t>https://www.idealista.com/inmueble/105398447/</t>
        </is>
      </c>
      <c r="E1311" t="n">
        <v>6</v>
      </c>
      <c r="H1311" t="n">
        <v>800</v>
      </c>
      <c r="J1311" t="inlineStr">
        <is>
          <t>Es Garrovers, Marratxi</t>
        </is>
      </c>
      <c r="K1311" t="n">
        <v>16.4</v>
      </c>
      <c r="L1311" t="n">
        <v>19</v>
      </c>
      <c r="M1311" t="n">
        <v>59.1</v>
      </c>
      <c r="N1311" t="n">
        <v>52</v>
      </c>
      <c r="O1311" t="n">
        <v>39</v>
      </c>
      <c r="P1311" t="n">
        <v>35</v>
      </c>
      <c r="Q1311" t="n">
        <v>56.8</v>
      </c>
      <c r="R1311" t="n">
        <v>48</v>
      </c>
      <c r="S1311" t="n">
        <v>2300000</v>
      </c>
      <c r="T1311" t="n">
        <v>2875</v>
      </c>
      <c r="AH1311" t="inlineStr">
        <is>
          <t>Quelle: Idealista</t>
        </is>
      </c>
    </row>
    <row r="1312">
      <c r="A1312" t="n">
        <v>1125</v>
      </c>
      <c r="B1312" t="inlineStr">
        <is>
          <t>Finca rústica en son nebot</t>
        </is>
      </c>
      <c r="C1312" t="inlineStr">
        <is>
          <t>https://www.idealista.com/inmueble/97031987/</t>
        </is>
      </c>
      <c r="E1312" t="n">
        <v>5</v>
      </c>
      <c r="H1312" t="n">
        <v>800</v>
      </c>
      <c r="J1312" t="inlineStr">
        <is>
          <t>Es Garrovers, Marratxi</t>
        </is>
      </c>
      <c r="K1312" t="n">
        <v>16.4</v>
      </c>
      <c r="L1312" t="n">
        <v>19</v>
      </c>
      <c r="M1312" t="n">
        <v>59.1</v>
      </c>
      <c r="N1312" t="n">
        <v>52</v>
      </c>
      <c r="O1312" t="n">
        <v>39</v>
      </c>
      <c r="P1312" t="n">
        <v>35</v>
      </c>
      <c r="Q1312" t="n">
        <v>56.8</v>
      </c>
      <c r="R1312" t="n">
        <v>48</v>
      </c>
      <c r="S1312" t="n">
        <v>2300000</v>
      </c>
      <c r="T1312" t="n">
        <v>2875</v>
      </c>
      <c r="AH1312" t="inlineStr">
        <is>
          <t>Quelle: Idealista</t>
        </is>
      </c>
    </row>
    <row r="1313">
      <c r="A1313" t="n">
        <v>1126</v>
      </c>
      <c r="B1313" t="inlineStr">
        <is>
          <t>Finca rústica</t>
        </is>
      </c>
      <c r="C1313" t="inlineStr">
        <is>
          <t>https://www.idealista.com/inmueble/84217985/</t>
        </is>
      </c>
      <c r="E1313" t="n">
        <v>10</v>
      </c>
      <c r="H1313" t="n">
        <v>2500</v>
      </c>
      <c r="J1313" t="inlineStr">
        <is>
          <t>Marratxinet, Marratxi</t>
        </is>
      </c>
      <c r="K1313" t="n">
        <v>20.4</v>
      </c>
      <c r="L1313" t="n">
        <v>21</v>
      </c>
      <c r="M1313" t="n">
        <v>63.2</v>
      </c>
      <c r="N1313" t="n">
        <v>53</v>
      </c>
      <c r="O1313" t="n">
        <v>43</v>
      </c>
      <c r="P1313" t="n">
        <v>37</v>
      </c>
      <c r="Q1313" t="n">
        <v>60.9</v>
      </c>
      <c r="R1313" t="n">
        <v>50</v>
      </c>
      <c r="S1313" t="n">
        <v>2500000</v>
      </c>
      <c r="T1313" t="n">
        <v>1000</v>
      </c>
      <c r="AH1313" t="inlineStr">
        <is>
          <t>Quelle: Idealista</t>
        </is>
      </c>
    </row>
    <row r="1314">
      <c r="A1314" t="n">
        <v>1127</v>
      </c>
      <c r="B1314" t="inlineStr">
        <is>
          <t>Finca rústica</t>
        </is>
      </c>
      <c r="C1314" t="inlineStr">
        <is>
          <t>https://www.idealista.com/inmueble/83465593/</t>
        </is>
      </c>
      <c r="E1314" t="n">
        <v>8</v>
      </c>
      <c r="H1314" t="n">
        <v>2225</v>
      </c>
      <c r="J1314" t="inlineStr">
        <is>
          <t>Marratxinet, Marratxi</t>
        </is>
      </c>
      <c r="K1314" t="n">
        <v>20.4</v>
      </c>
      <c r="L1314" t="n">
        <v>21</v>
      </c>
      <c r="M1314" t="n">
        <v>63.2</v>
      </c>
      <c r="N1314" t="n">
        <v>53</v>
      </c>
      <c r="O1314" t="n">
        <v>43</v>
      </c>
      <c r="P1314" t="n">
        <v>37</v>
      </c>
      <c r="Q1314" t="n">
        <v>60.9</v>
      </c>
      <c r="R1314" t="n">
        <v>50</v>
      </c>
      <c r="S1314" t="n">
        <v>2500000</v>
      </c>
      <c r="T1314" t="n">
        <v>1124</v>
      </c>
      <c r="AH1314" t="inlineStr">
        <is>
          <t>Quelle: Idealista</t>
        </is>
      </c>
    </row>
    <row r="1315">
      <c r="A1315" t="n">
        <v>1128</v>
      </c>
      <c r="B1315" t="inlineStr">
        <is>
          <t>Casa independiente</t>
        </is>
      </c>
      <c r="C1315" t="inlineStr">
        <is>
          <t>https://www.idealista.com/inmueble/38321700/</t>
        </is>
      </c>
      <c r="E1315" t="n">
        <v>5</v>
      </c>
      <c r="H1315" t="n">
        <v>400</v>
      </c>
      <c r="J1315" t="inlineStr">
        <is>
          <t>Es Garrovers, Marratxi</t>
        </is>
      </c>
      <c r="K1315" t="n">
        <v>16.4</v>
      </c>
      <c r="L1315" t="n">
        <v>19</v>
      </c>
      <c r="M1315" t="n">
        <v>59.1</v>
      </c>
      <c r="N1315" t="n">
        <v>52</v>
      </c>
      <c r="O1315" t="n">
        <v>39</v>
      </c>
      <c r="P1315" t="n">
        <v>35</v>
      </c>
      <c r="Q1315" t="n">
        <v>56.8</v>
      </c>
      <c r="R1315" t="n">
        <v>48</v>
      </c>
      <c r="S1315" t="n">
        <v>2330000</v>
      </c>
      <c r="T1315" t="n">
        <v>5825</v>
      </c>
      <c r="AH1315" t="inlineStr">
        <is>
          <t>Quelle: Idealista</t>
        </is>
      </c>
    </row>
    <row r="1316">
      <c r="A1316" t="n">
        <v>1129</v>
      </c>
      <c r="B1316" t="inlineStr">
        <is>
          <t>Casa rural</t>
        </is>
      </c>
      <c r="C1316" t="inlineStr">
        <is>
          <t>https://www.idealista.com/inmueble/110452671/</t>
        </is>
      </c>
      <c r="E1316" t="n">
        <v>7</v>
      </c>
      <c r="H1316" t="n">
        <v>660</v>
      </c>
      <c r="J1316" t="inlineStr">
        <is>
          <t>Montuiri</t>
        </is>
      </c>
      <c r="K1316" t="n">
        <v>27.9</v>
      </c>
      <c r="L1316" t="n">
        <v>28</v>
      </c>
      <c r="M1316" t="n">
        <v>32.5</v>
      </c>
      <c r="N1316" t="n">
        <v>36</v>
      </c>
      <c r="O1316" t="n">
        <v>62.1</v>
      </c>
      <c r="P1316" t="n">
        <v>52</v>
      </c>
      <c r="Q1316" t="n">
        <v>30.2</v>
      </c>
      <c r="R1316" t="n">
        <v>32</v>
      </c>
      <c r="S1316" t="n">
        <v>4500000</v>
      </c>
      <c r="T1316" t="n">
        <v>6818</v>
      </c>
      <c r="AH1316" t="inlineStr">
        <is>
          <t>Quelle: Idealista</t>
        </is>
      </c>
    </row>
    <row r="1317">
      <c r="A1317" t="n">
        <v>1130</v>
      </c>
      <c r="B1317" t="inlineStr">
        <is>
          <t>Casa independiente en Varis</t>
        </is>
      </c>
      <c r="C1317" t="inlineStr">
        <is>
          <t>https://www.idealista.com/inmueble/110319028/</t>
        </is>
      </c>
      <c r="E1317" t="n">
        <v>5</v>
      </c>
      <c r="H1317" t="n">
        <v>478</v>
      </c>
      <c r="J1317" t="inlineStr">
        <is>
          <t>Montuiri</t>
        </is>
      </c>
      <c r="K1317" t="n">
        <v>27.9</v>
      </c>
      <c r="L1317" t="n">
        <v>28</v>
      </c>
      <c r="M1317" t="n">
        <v>32.5</v>
      </c>
      <c r="N1317" t="n">
        <v>36</v>
      </c>
      <c r="O1317" t="n">
        <v>62.1</v>
      </c>
      <c r="P1317" t="n">
        <v>52</v>
      </c>
      <c r="Q1317" t="n">
        <v>30.2</v>
      </c>
      <c r="R1317" t="n">
        <v>32</v>
      </c>
      <c r="S1317" t="n">
        <v>2400000</v>
      </c>
      <c r="T1317" t="n">
        <v>5021</v>
      </c>
      <c r="AH1317" t="inlineStr">
        <is>
          <t>Quelle: Idealista</t>
        </is>
      </c>
    </row>
    <row r="1318">
      <c r="A1318" t="n">
        <v>1131</v>
      </c>
      <c r="B1318" t="inlineStr">
        <is>
          <t>Casa independiente en 07230 Montuïri s/n</t>
        </is>
      </c>
      <c r="C1318" t="inlineStr">
        <is>
          <t>https://www.idealista.com/inmueble/109911714/</t>
        </is>
      </c>
      <c r="E1318" t="n">
        <v>5</v>
      </c>
      <c r="H1318" t="n">
        <v>584</v>
      </c>
      <c r="J1318" t="inlineStr">
        <is>
          <t>Montuiri</t>
        </is>
      </c>
      <c r="K1318" t="n">
        <v>27.9</v>
      </c>
      <c r="L1318" t="n">
        <v>28</v>
      </c>
      <c r="M1318" t="n">
        <v>32.5</v>
      </c>
      <c r="N1318" t="n">
        <v>36</v>
      </c>
      <c r="O1318" t="n">
        <v>62.1</v>
      </c>
      <c r="P1318" t="n">
        <v>52</v>
      </c>
      <c r="Q1318" t="n">
        <v>30.2</v>
      </c>
      <c r="R1318" t="n">
        <v>32</v>
      </c>
      <c r="S1318" t="n">
        <v>3950000</v>
      </c>
      <c r="T1318" t="n">
        <v>6764</v>
      </c>
      <c r="AH1318" t="inlineStr">
        <is>
          <t>Quelle: Idealista</t>
        </is>
      </c>
    </row>
    <row r="1319">
      <c r="A1319" t="n">
        <v>1132</v>
      </c>
      <c r="B1319" t="inlineStr">
        <is>
          <t>Casa rural en poligono once parcela 1025 s/n</t>
        </is>
      </c>
      <c r="C1319" t="inlineStr">
        <is>
          <t>https://www.idealista.com/inmueble/109827031/</t>
        </is>
      </c>
      <c r="E1319" t="n">
        <v>6</v>
      </c>
      <c r="H1319" t="n">
        <v>1630</v>
      </c>
      <c r="J1319" t="inlineStr">
        <is>
          <t>Montuiri</t>
        </is>
      </c>
      <c r="K1319" t="n">
        <v>27.9</v>
      </c>
      <c r="L1319" t="n">
        <v>28</v>
      </c>
      <c r="M1319" t="n">
        <v>32.5</v>
      </c>
      <c r="N1319" t="n">
        <v>36</v>
      </c>
      <c r="O1319" t="n">
        <v>62.1</v>
      </c>
      <c r="P1319" t="n">
        <v>52</v>
      </c>
      <c r="Q1319" t="n">
        <v>30.2</v>
      </c>
      <c r="R1319" t="n">
        <v>32</v>
      </c>
      <c r="S1319" t="n">
        <v>4800000</v>
      </c>
      <c r="T1319" t="n">
        <v>2945</v>
      </c>
      <c r="AH1319" t="inlineStr">
        <is>
          <t>Quelle: Idealista</t>
        </is>
      </c>
    </row>
    <row r="1320">
      <c r="A1320" t="n">
        <v>1133</v>
      </c>
      <c r="B1320" t="inlineStr">
        <is>
          <t>Masía</t>
        </is>
      </c>
      <c r="C1320" t="inlineStr">
        <is>
          <t>https://www.idealista.com/inmueble/109317941/</t>
        </is>
      </c>
      <c r="E1320" t="n">
        <v>7</v>
      </c>
      <c r="H1320" t="n">
        <v>662</v>
      </c>
      <c r="J1320" t="inlineStr">
        <is>
          <t>Montuiri</t>
        </is>
      </c>
      <c r="K1320" t="n">
        <v>27.9</v>
      </c>
      <c r="L1320" t="n">
        <v>28</v>
      </c>
      <c r="M1320" t="n">
        <v>32.5</v>
      </c>
      <c r="N1320" t="n">
        <v>36</v>
      </c>
      <c r="O1320" t="n">
        <v>62.1</v>
      </c>
      <c r="P1320" t="n">
        <v>52</v>
      </c>
      <c r="Q1320" t="n">
        <v>30.2</v>
      </c>
      <c r="R1320" t="n">
        <v>32</v>
      </c>
      <c r="S1320" t="n">
        <v>4500000</v>
      </c>
      <c r="T1320" t="n">
        <v>6798</v>
      </c>
      <c r="AH1320" t="inlineStr">
        <is>
          <t>Quelle: Idealista</t>
        </is>
      </c>
    </row>
    <row r="1321">
      <c r="A1321" t="n">
        <v>1134</v>
      </c>
      <c r="B1321" t="inlineStr">
        <is>
          <t>Finca rústica</t>
        </is>
      </c>
      <c r="C1321" t="inlineStr">
        <is>
          <t>https://www.idealista.com/inmueble/108408854/</t>
        </is>
      </c>
      <c r="E1321" t="n">
        <v>9</v>
      </c>
      <c r="H1321" t="n">
        <v>1222</v>
      </c>
      <c r="J1321" t="inlineStr">
        <is>
          <t>Montuiri</t>
        </is>
      </c>
      <c r="K1321" t="n">
        <v>27.9</v>
      </c>
      <c r="L1321" t="n">
        <v>28</v>
      </c>
      <c r="M1321" t="n">
        <v>32.5</v>
      </c>
      <c r="N1321" t="n">
        <v>36</v>
      </c>
      <c r="O1321" t="n">
        <v>62.1</v>
      </c>
      <c r="P1321" t="n">
        <v>52</v>
      </c>
      <c r="Q1321" t="n">
        <v>30.2</v>
      </c>
      <c r="R1321" t="n">
        <v>32</v>
      </c>
      <c r="S1321" t="n">
        <v>2200000</v>
      </c>
      <c r="T1321" t="n">
        <v>1800</v>
      </c>
      <c r="AH1321" t="inlineStr">
        <is>
          <t>Quelle: Idealista</t>
        </is>
      </c>
    </row>
    <row r="1322">
      <c r="A1322" t="n">
        <v>1135</v>
      </c>
      <c r="B1322" t="inlineStr">
        <is>
          <t>Finca rústica</t>
        </is>
      </c>
      <c r="C1322" t="inlineStr">
        <is>
          <t>https://www.idealista.com/inmueble/106816112/</t>
        </is>
      </c>
      <c r="E1322" t="n">
        <v>11</v>
      </c>
      <c r="H1322" t="n">
        <v>1680</v>
      </c>
      <c r="J1322" t="inlineStr">
        <is>
          <t>Montuiri</t>
        </is>
      </c>
      <c r="K1322" t="n">
        <v>27.9</v>
      </c>
      <c r="L1322" t="n">
        <v>28</v>
      </c>
      <c r="M1322" t="n">
        <v>32.5</v>
      </c>
      <c r="N1322" t="n">
        <v>36</v>
      </c>
      <c r="O1322" t="n">
        <v>62.1</v>
      </c>
      <c r="P1322" t="n">
        <v>52</v>
      </c>
      <c r="Q1322" t="n">
        <v>30.2</v>
      </c>
      <c r="R1322" t="n">
        <v>32</v>
      </c>
      <c r="S1322" t="n">
        <v>6400000</v>
      </c>
      <c r="T1322" t="n">
        <v>3810</v>
      </c>
      <c r="AH1322" t="inlineStr">
        <is>
          <t>Quelle: Idealista</t>
        </is>
      </c>
    </row>
    <row r="1323">
      <c r="A1323" t="n">
        <v>1136</v>
      </c>
      <c r="B1323" t="inlineStr">
        <is>
          <t>Finca rústica en Diseminado Varis, 26</t>
        </is>
      </c>
      <c r="C1323" t="inlineStr">
        <is>
          <t>https://www.idealista.com/inmueble/94860947/</t>
        </is>
      </c>
      <c r="E1323" t="n">
        <v>5</v>
      </c>
      <c r="H1323" t="n">
        <v>438</v>
      </c>
      <c r="J1323" t="inlineStr">
        <is>
          <t>Montuiri</t>
        </is>
      </c>
      <c r="K1323" t="n">
        <v>27.9</v>
      </c>
      <c r="L1323" t="n">
        <v>28</v>
      </c>
      <c r="M1323" t="n">
        <v>32.5</v>
      </c>
      <c r="N1323" t="n">
        <v>36</v>
      </c>
      <c r="O1323" t="n">
        <v>62.1</v>
      </c>
      <c r="P1323" t="n">
        <v>52</v>
      </c>
      <c r="Q1323" t="n">
        <v>30.2</v>
      </c>
      <c r="R1323" t="n">
        <v>32</v>
      </c>
      <c r="S1323" t="n">
        <v>3000000</v>
      </c>
      <c r="T1323" t="n">
        <v>6849</v>
      </c>
      <c r="AH1323" t="inlineStr">
        <is>
          <t>Quelle: Idealista</t>
        </is>
      </c>
    </row>
    <row r="1324">
      <c r="A1324" t="n">
        <v>1137</v>
      </c>
      <c r="B1324" t="inlineStr">
        <is>
          <t>Casa independiente</t>
        </is>
      </c>
      <c r="C1324" t="inlineStr">
        <is>
          <t>https://www.idealista.com/obra-nueva/106217364/</t>
        </is>
      </c>
      <c r="E1324" t="n">
        <v>5</v>
      </c>
      <c r="H1324" t="n">
        <v>718</v>
      </c>
      <c r="J1324" t="inlineStr">
        <is>
          <t>Montuiri</t>
        </is>
      </c>
      <c r="K1324" t="n">
        <v>27.9</v>
      </c>
      <c r="L1324" t="n">
        <v>28</v>
      </c>
      <c r="M1324" t="n">
        <v>32.5</v>
      </c>
      <c r="N1324" t="n">
        <v>36</v>
      </c>
      <c r="O1324" t="n">
        <v>62.1</v>
      </c>
      <c r="P1324" t="n">
        <v>52</v>
      </c>
      <c r="Q1324" t="n">
        <v>30.2</v>
      </c>
      <c r="R1324" t="n">
        <v>32</v>
      </c>
      <c r="S1324" t="n">
        <v>5900000</v>
      </c>
      <c r="T1324" t="n">
        <v>8217</v>
      </c>
      <c r="AH1324" t="inlineStr">
        <is>
          <t>Quelle: Idealista</t>
        </is>
      </c>
    </row>
    <row r="1325">
      <c r="A1325" t="n">
        <v>1138</v>
      </c>
      <c r="B1325" t="inlineStr">
        <is>
          <t>Finca rústica</t>
        </is>
      </c>
      <c r="C1325" t="inlineStr">
        <is>
          <t>https://www.idealista.com/inmueble/95222903/</t>
        </is>
      </c>
      <c r="E1325" t="n">
        <v>8</v>
      </c>
      <c r="H1325" t="n">
        <v>1630</v>
      </c>
      <c r="J1325" t="inlineStr">
        <is>
          <t>Montuiri</t>
        </is>
      </c>
      <c r="K1325" t="n">
        <v>27.9</v>
      </c>
      <c r="L1325" t="n">
        <v>28</v>
      </c>
      <c r="M1325" t="n">
        <v>32.5</v>
      </c>
      <c r="N1325" t="n">
        <v>36</v>
      </c>
      <c r="O1325" t="n">
        <v>62.1</v>
      </c>
      <c r="P1325" t="n">
        <v>52</v>
      </c>
      <c r="Q1325" t="n">
        <v>30.2</v>
      </c>
      <c r="R1325" t="n">
        <v>32</v>
      </c>
      <c r="S1325" t="n">
        <v>6000000</v>
      </c>
      <c r="T1325" t="n">
        <v>3681</v>
      </c>
      <c r="AH1325" t="inlineStr">
        <is>
          <t>Quelle: Idealista</t>
        </is>
      </c>
    </row>
    <row r="1326">
      <c r="A1326" t="n">
        <v>1139</v>
      </c>
      <c r="B1326" t="inlineStr">
        <is>
          <t>Finca rústica en plaza del Convent, 619</t>
        </is>
      </c>
      <c r="C1326" t="inlineStr">
        <is>
          <t>https://www.idealista.com/inmueble/107823032/</t>
        </is>
      </c>
      <c r="E1326" t="n">
        <v>5</v>
      </c>
      <c r="H1326" t="n">
        <v>296</v>
      </c>
      <c r="J1326" t="inlineStr">
        <is>
          <t>Muro</t>
        </is>
      </c>
      <c r="K1326" t="n">
        <v>58.2</v>
      </c>
      <c r="L1326" t="n">
        <v>46</v>
      </c>
      <c r="M1326" t="n">
        <v>60.2</v>
      </c>
      <c r="N1326" t="n">
        <v>64</v>
      </c>
      <c r="O1326" t="n">
        <v>80.8</v>
      </c>
      <c r="P1326" t="n">
        <v>62</v>
      </c>
      <c r="Q1326" t="n">
        <v>57.9</v>
      </c>
      <c r="R1326" t="n">
        <v>61</v>
      </c>
      <c r="S1326" t="n">
        <v>3630000</v>
      </c>
      <c r="T1326" t="n">
        <v>12264</v>
      </c>
      <c r="AH1326" t="inlineStr">
        <is>
          <t>Quelle: Idealista</t>
        </is>
      </c>
    </row>
    <row r="1327">
      <c r="A1327" t="n">
        <v>1140</v>
      </c>
      <c r="B1327" t="inlineStr">
        <is>
          <t>Chalet en calle de Sant Miquel</t>
        </is>
      </c>
      <c r="C1327" t="inlineStr">
        <is>
          <t>https://www.idealista.com/inmueble/110316978/</t>
        </is>
      </c>
      <c r="E1327" t="n">
        <v>9</v>
      </c>
      <c r="H1327" t="n">
        <v>700</v>
      </c>
      <c r="J1327" t="inlineStr">
        <is>
          <t>Ciutat Antigua, Palma de Mallorca</t>
        </is>
      </c>
      <c r="K1327" t="n">
        <v>9.199999999999999</v>
      </c>
      <c r="L1327" t="n">
        <v>13</v>
      </c>
      <c r="M1327" t="n">
        <v>51.9</v>
      </c>
      <c r="N1327" t="n">
        <v>46</v>
      </c>
      <c r="O1327" t="n">
        <v>31.5</v>
      </c>
      <c r="P1327" t="n">
        <v>34</v>
      </c>
      <c r="Q1327" t="n">
        <v>49.6</v>
      </c>
      <c r="R1327" t="n">
        <v>42</v>
      </c>
      <c r="S1327" t="n">
        <v>2700000</v>
      </c>
      <c r="T1327" t="n">
        <v>3857</v>
      </c>
      <c r="AH1327" t="inlineStr">
        <is>
          <t>Quelle: Idealista</t>
        </is>
      </c>
    </row>
    <row r="1328">
      <c r="A1328" t="n">
        <v>1141</v>
      </c>
      <c r="B1328" t="inlineStr">
        <is>
          <t>Chalet pareado en calle de Cecili Metel</t>
        </is>
      </c>
      <c r="C1328" t="inlineStr">
        <is>
          <t>https://www.idealista.com/inmueble/99959283/</t>
        </is>
      </c>
      <c r="E1328" t="n">
        <v>5</v>
      </c>
      <c r="H1328" t="n">
        <v>890</v>
      </c>
      <c r="J1328" t="inlineStr">
        <is>
          <t>Ciutat Antigua, Palma de Mallorca</t>
        </is>
      </c>
      <c r="K1328" t="n">
        <v>9.199999999999999</v>
      </c>
      <c r="L1328" t="n">
        <v>13</v>
      </c>
      <c r="M1328" t="n">
        <v>51.9</v>
      </c>
      <c r="N1328" t="n">
        <v>46</v>
      </c>
      <c r="O1328" t="n">
        <v>31.5</v>
      </c>
      <c r="P1328" t="n">
        <v>34</v>
      </c>
      <c r="Q1328" t="n">
        <v>49.6</v>
      </c>
      <c r="R1328" t="n">
        <v>42</v>
      </c>
      <c r="S1328" t="n">
        <v>2000000</v>
      </c>
      <c r="T1328" t="n">
        <v>2247</v>
      </c>
      <c r="AH1328" t="inlineStr">
        <is>
          <t>Quelle: Idealista</t>
        </is>
      </c>
    </row>
    <row r="1329">
      <c r="A1329" t="n">
        <v>1142</v>
      </c>
      <c r="B1329" t="inlineStr">
        <is>
          <t>Palacio</t>
        </is>
      </c>
      <c r="C1329" t="inlineStr">
        <is>
          <t>https://www.idealista.com/inmueble/109403288/</t>
        </is>
      </c>
      <c r="E1329" t="n">
        <v>7</v>
      </c>
      <c r="H1329" t="n">
        <v>1097</v>
      </c>
      <c r="J1329" t="inlineStr">
        <is>
          <t>Ciutat Antigua, Palma de Mallorca</t>
        </is>
      </c>
      <c r="K1329" t="n">
        <v>9.199999999999999</v>
      </c>
      <c r="L1329" t="n">
        <v>13</v>
      </c>
      <c r="M1329" t="n">
        <v>51.9</v>
      </c>
      <c r="N1329" t="n">
        <v>46</v>
      </c>
      <c r="O1329" t="n">
        <v>31.5</v>
      </c>
      <c r="P1329" t="n">
        <v>34</v>
      </c>
      <c r="Q1329" t="n">
        <v>49.6</v>
      </c>
      <c r="R1329" t="n">
        <v>42</v>
      </c>
      <c r="S1329" t="n">
        <v>6350000</v>
      </c>
      <c r="T1329" t="n">
        <v>5789</v>
      </c>
      <c r="AH1329" t="inlineStr">
        <is>
          <t>Quelle: Idealista</t>
        </is>
      </c>
    </row>
    <row r="1330">
      <c r="A1330" t="n">
        <v>1143</v>
      </c>
      <c r="B1330" t="inlineStr">
        <is>
          <t>Casa de pueblo</t>
        </is>
      </c>
      <c r="C1330" t="inlineStr">
        <is>
          <t>https://www.idealista.com/inmueble/108857986/</t>
        </is>
      </c>
      <c r="E1330" t="n">
        <v>5</v>
      </c>
      <c r="H1330" t="n">
        <v>1036</v>
      </c>
      <c r="J1330" t="inlineStr">
        <is>
          <t>Ciutat Antigua, Palma de Mallorca</t>
        </is>
      </c>
      <c r="K1330" t="n">
        <v>9.199999999999999</v>
      </c>
      <c r="L1330" t="n">
        <v>13</v>
      </c>
      <c r="M1330" t="n">
        <v>51.9</v>
      </c>
      <c r="N1330" t="n">
        <v>46</v>
      </c>
      <c r="O1330" t="n">
        <v>31.5</v>
      </c>
      <c r="P1330" t="n">
        <v>34</v>
      </c>
      <c r="Q1330" t="n">
        <v>49.6</v>
      </c>
      <c r="R1330" t="n">
        <v>42</v>
      </c>
      <c r="S1330" t="n">
        <v>2000000</v>
      </c>
      <c r="T1330" t="n">
        <v>1931</v>
      </c>
      <c r="AH1330" t="inlineStr">
        <is>
          <t>Quelle: Idealista</t>
        </is>
      </c>
    </row>
    <row r="1331">
      <c r="A1331" t="n">
        <v>1144</v>
      </c>
      <c r="B1331" t="inlineStr">
        <is>
          <t>Casa independiente</t>
        </is>
      </c>
      <c r="C1331" t="inlineStr">
        <is>
          <t>https://www.idealista.com/inmueble/107737496/</t>
        </is>
      </c>
      <c r="E1331" t="n">
        <v>7</v>
      </c>
      <c r="H1331" t="n">
        <v>575</v>
      </c>
      <c r="J1331" t="inlineStr">
        <is>
          <t>Ciutat Antigua, Palma de Mallorca</t>
        </is>
      </c>
      <c r="K1331" t="n">
        <v>9.199999999999999</v>
      </c>
      <c r="L1331" t="n">
        <v>13</v>
      </c>
      <c r="M1331" t="n">
        <v>51.9</v>
      </c>
      <c r="N1331" t="n">
        <v>46</v>
      </c>
      <c r="O1331" t="n">
        <v>31.5</v>
      </c>
      <c r="P1331" t="n">
        <v>34</v>
      </c>
      <c r="Q1331" t="n">
        <v>49.6</v>
      </c>
      <c r="R1331" t="n">
        <v>42</v>
      </c>
      <c r="S1331" t="n">
        <v>2500000</v>
      </c>
      <c r="T1331" t="n">
        <v>4348</v>
      </c>
      <c r="AH1331" t="inlineStr">
        <is>
          <t>Quelle: Idealista</t>
        </is>
      </c>
    </row>
    <row r="1332">
      <c r="A1332" t="n">
        <v>1145</v>
      </c>
      <c r="B1332" t="inlineStr">
        <is>
          <t>Castillo</t>
        </is>
      </c>
      <c r="C1332" t="inlineStr">
        <is>
          <t>https://www.idealista.com/inmueble/107585212/</t>
        </is>
      </c>
      <c r="E1332" t="n">
        <v>6</v>
      </c>
      <c r="H1332" t="n">
        <v>552</v>
      </c>
      <c r="J1332" t="inlineStr">
        <is>
          <t>Ciutat Antigua, Palma de Mallorca</t>
        </is>
      </c>
      <c r="K1332" t="n">
        <v>9.199999999999999</v>
      </c>
      <c r="L1332" t="n">
        <v>13</v>
      </c>
      <c r="M1332" t="n">
        <v>51.9</v>
      </c>
      <c r="N1332" t="n">
        <v>46</v>
      </c>
      <c r="O1332" t="n">
        <v>31.5</v>
      </c>
      <c r="P1332" t="n">
        <v>34</v>
      </c>
      <c r="Q1332" t="n">
        <v>49.6</v>
      </c>
      <c r="R1332" t="n">
        <v>42</v>
      </c>
      <c r="S1332" t="n">
        <v>4600000</v>
      </c>
      <c r="T1332" t="n">
        <v>8333</v>
      </c>
      <c r="AH1332" t="inlineStr">
        <is>
          <t>Quelle: Idealista</t>
        </is>
      </c>
    </row>
    <row r="1333">
      <c r="A1333" t="n">
        <v>1146</v>
      </c>
      <c r="B1333" t="inlineStr">
        <is>
          <t>Chalet adosado</t>
        </is>
      </c>
      <c r="C1333" t="inlineStr">
        <is>
          <t>https://www.idealista.com/inmueble/106760524/</t>
        </is>
      </c>
      <c r="E1333" t="n">
        <v>10</v>
      </c>
      <c r="H1333" t="n">
        <v>650</v>
      </c>
      <c r="J1333" t="inlineStr">
        <is>
          <t>Ciutat Antigua, Palma de Mallorca</t>
        </is>
      </c>
      <c r="K1333" t="n">
        <v>9.199999999999999</v>
      </c>
      <c r="L1333" t="n">
        <v>13</v>
      </c>
      <c r="M1333" t="n">
        <v>51.9</v>
      </c>
      <c r="N1333" t="n">
        <v>46</v>
      </c>
      <c r="O1333" t="n">
        <v>31.5</v>
      </c>
      <c r="P1333" t="n">
        <v>34</v>
      </c>
      <c r="Q1333" t="n">
        <v>49.6</v>
      </c>
      <c r="R1333" t="n">
        <v>42</v>
      </c>
      <c r="S1333" t="n">
        <v>6500000</v>
      </c>
      <c r="T1333" t="n">
        <v>10000</v>
      </c>
      <c r="AH1333" t="inlineStr">
        <is>
          <t>Quelle: Idealista</t>
        </is>
      </c>
    </row>
    <row r="1334">
      <c r="A1334" t="n">
        <v>1147</v>
      </c>
      <c r="B1334" t="inlineStr">
        <is>
          <t>Chalet</t>
        </is>
      </c>
      <c r="C1334" t="inlineStr">
        <is>
          <t>https://www.idealista.com/inmueble/106064345/</t>
        </is>
      </c>
      <c r="E1334" t="n">
        <v>5</v>
      </c>
      <c r="H1334" t="n">
        <v>261</v>
      </c>
      <c r="J1334" t="inlineStr">
        <is>
          <t>Ciutat Antigua, Palma de Mallorca</t>
        </is>
      </c>
      <c r="K1334" t="n">
        <v>9.199999999999999</v>
      </c>
      <c r="L1334" t="n">
        <v>13</v>
      </c>
      <c r="M1334" t="n">
        <v>51.9</v>
      </c>
      <c r="N1334" t="n">
        <v>46</v>
      </c>
      <c r="O1334" t="n">
        <v>31.5</v>
      </c>
      <c r="P1334" t="n">
        <v>34</v>
      </c>
      <c r="Q1334" t="n">
        <v>49.6</v>
      </c>
      <c r="R1334" t="n">
        <v>42</v>
      </c>
      <c r="S1334" t="n">
        <v>3250000</v>
      </c>
      <c r="T1334" t="n">
        <v>12452</v>
      </c>
      <c r="AH1334" t="inlineStr">
        <is>
          <t>Quelle: Idealista</t>
        </is>
      </c>
    </row>
    <row r="1335">
      <c r="A1335" t="n">
        <v>1148</v>
      </c>
      <c r="B1335" t="inlineStr">
        <is>
          <t>Casa independiente</t>
        </is>
      </c>
      <c r="C1335" t="inlineStr">
        <is>
          <t>https://www.idealista.com/inmueble/105338577/</t>
        </is>
      </c>
      <c r="E1335" t="n">
        <v>6</v>
      </c>
      <c r="H1335" t="n">
        <v>745</v>
      </c>
      <c r="J1335" t="inlineStr">
        <is>
          <t>Ciutat Antigua, Palma de Mallorca</t>
        </is>
      </c>
      <c r="K1335" t="n">
        <v>9.199999999999999</v>
      </c>
      <c r="L1335" t="n">
        <v>13</v>
      </c>
      <c r="M1335" t="n">
        <v>51.9</v>
      </c>
      <c r="N1335" t="n">
        <v>46</v>
      </c>
      <c r="O1335" t="n">
        <v>31.5</v>
      </c>
      <c r="P1335" t="n">
        <v>34</v>
      </c>
      <c r="Q1335" t="n">
        <v>49.6</v>
      </c>
      <c r="R1335" t="n">
        <v>42</v>
      </c>
      <c r="S1335" t="n">
        <v>2000000</v>
      </c>
      <c r="T1335" t="n">
        <v>2685</v>
      </c>
      <c r="AH1335" t="inlineStr">
        <is>
          <t>Quelle: Idealista</t>
        </is>
      </c>
    </row>
    <row r="1336">
      <c r="A1336" t="n">
        <v>1149</v>
      </c>
      <c r="B1336" t="inlineStr">
        <is>
          <t>Casa independiente</t>
        </is>
      </c>
      <c r="C1336" t="inlineStr">
        <is>
          <t>https://www.idealista.com/inmueble/101478602/</t>
        </is>
      </c>
      <c r="E1336" t="n">
        <v>10</v>
      </c>
      <c r="H1336" t="n">
        <v>650</v>
      </c>
      <c r="J1336" t="inlineStr">
        <is>
          <t>Ciutat Antigua, Palma de Mallorca</t>
        </is>
      </c>
      <c r="K1336" t="n">
        <v>9.199999999999999</v>
      </c>
      <c r="L1336" t="n">
        <v>13</v>
      </c>
      <c r="M1336" t="n">
        <v>51.9</v>
      </c>
      <c r="N1336" t="n">
        <v>46</v>
      </c>
      <c r="O1336" t="n">
        <v>31.5</v>
      </c>
      <c r="P1336" t="n">
        <v>34</v>
      </c>
      <c r="Q1336" t="n">
        <v>49.6</v>
      </c>
      <c r="R1336" t="n">
        <v>42</v>
      </c>
      <c r="S1336" t="n">
        <v>6500000</v>
      </c>
      <c r="T1336" t="n">
        <v>10000</v>
      </c>
      <c r="AH1336" t="inlineStr">
        <is>
          <t>Quelle: Idealista</t>
        </is>
      </c>
    </row>
    <row r="1337">
      <c r="A1337" t="n">
        <v>1150</v>
      </c>
      <c r="B1337" t="inlineStr">
        <is>
          <t>Casa independiente en calle del Sol</t>
        </is>
      </c>
      <c r="C1337" t="inlineStr">
        <is>
          <t>https://www.idealista.com/inmueble/99708725/</t>
        </is>
      </c>
      <c r="E1337" t="n">
        <v>15</v>
      </c>
      <c r="H1337" t="n">
        <v>658</v>
      </c>
      <c r="J1337" t="inlineStr">
        <is>
          <t>Ciutat Antigua, Palma de Mallorca</t>
        </is>
      </c>
      <c r="K1337" t="n">
        <v>9.199999999999999</v>
      </c>
      <c r="L1337" t="n">
        <v>13</v>
      </c>
      <c r="M1337" t="n">
        <v>51.9</v>
      </c>
      <c r="N1337" t="n">
        <v>46</v>
      </c>
      <c r="O1337" t="n">
        <v>31.5</v>
      </c>
      <c r="P1337" t="n">
        <v>34</v>
      </c>
      <c r="Q1337" t="n">
        <v>49.6</v>
      </c>
      <c r="R1337" t="n">
        <v>42</v>
      </c>
      <c r="S1337" t="n">
        <v>3430000</v>
      </c>
      <c r="T1337" t="n">
        <v>5213</v>
      </c>
      <c r="AH1337" t="inlineStr">
        <is>
          <t>Quelle: Idealista</t>
        </is>
      </c>
    </row>
    <row r="1338">
      <c r="A1338" t="n">
        <v>1151</v>
      </c>
      <c r="B1338" t="inlineStr">
        <is>
          <t>Casa independiente</t>
        </is>
      </c>
      <c r="C1338" t="inlineStr">
        <is>
          <t>https://www.idealista.com/inmueble/110033598/</t>
        </is>
      </c>
      <c r="E1338" t="n">
        <v>6</v>
      </c>
      <c r="H1338" t="n">
        <v>348</v>
      </c>
      <c r="J1338" t="inlineStr">
        <is>
          <t>Establiments - Son Sardina, Palma de Mallorca</t>
        </is>
      </c>
      <c r="K1338" t="n">
        <v>19</v>
      </c>
      <c r="L1338" t="n">
        <v>25</v>
      </c>
      <c r="M1338" t="n">
        <v>61.8</v>
      </c>
      <c r="N1338" t="n">
        <v>58</v>
      </c>
      <c r="O1338" t="n">
        <v>35.7</v>
      </c>
      <c r="P1338" t="n">
        <v>39</v>
      </c>
      <c r="Q1338" t="n">
        <v>59.5</v>
      </c>
      <c r="R1338" t="n">
        <v>55</v>
      </c>
      <c r="S1338" t="n">
        <v>2400000</v>
      </c>
      <c r="T1338" t="n">
        <v>6897</v>
      </c>
      <c r="AH1338" t="inlineStr">
        <is>
          <t>Quelle: Idealista</t>
        </is>
      </c>
    </row>
    <row r="1339">
      <c r="A1339" t="n">
        <v>1152</v>
      </c>
      <c r="B1339" t="inlineStr">
        <is>
          <t>Casa rural</t>
        </is>
      </c>
      <c r="C1339" t="inlineStr">
        <is>
          <t>https://www.idealista.com/inmueble/109884961/</t>
        </is>
      </c>
      <c r="E1339" t="n">
        <v>6</v>
      </c>
      <c r="H1339" t="n">
        <v>425</v>
      </c>
      <c r="J1339" t="inlineStr">
        <is>
          <t>Establiments - Son Sardina, Palma de Mallorca</t>
        </is>
      </c>
      <c r="K1339" t="n">
        <v>19</v>
      </c>
      <c r="L1339" t="n">
        <v>25</v>
      </c>
      <c r="M1339" t="n">
        <v>61.8</v>
      </c>
      <c r="N1339" t="n">
        <v>58</v>
      </c>
      <c r="O1339" t="n">
        <v>35.7</v>
      </c>
      <c r="P1339" t="n">
        <v>39</v>
      </c>
      <c r="Q1339" t="n">
        <v>59.5</v>
      </c>
      <c r="R1339" t="n">
        <v>55</v>
      </c>
      <c r="S1339" t="n">
        <v>2400000</v>
      </c>
      <c r="T1339" t="n">
        <v>5647</v>
      </c>
      <c r="AH1339" t="inlineStr">
        <is>
          <t>Quelle: Idealista</t>
        </is>
      </c>
    </row>
    <row r="1340">
      <c r="A1340" t="n">
        <v>1153</v>
      </c>
      <c r="B1340" t="inlineStr">
        <is>
          <t>Casa rural</t>
        </is>
      </c>
      <c r="C1340" t="inlineStr">
        <is>
          <t>https://www.idealista.com/inmueble/109574717/</t>
        </is>
      </c>
      <c r="E1340" t="n">
        <v>5</v>
      </c>
      <c r="H1340" t="n">
        <v>445</v>
      </c>
      <c r="J1340" t="inlineStr">
        <is>
          <t>Establiments - Son Sardina, Palma de Mallorca</t>
        </is>
      </c>
      <c r="K1340" t="n">
        <v>19</v>
      </c>
      <c r="L1340" t="n">
        <v>25</v>
      </c>
      <c r="M1340" t="n">
        <v>61.8</v>
      </c>
      <c r="N1340" t="n">
        <v>58</v>
      </c>
      <c r="O1340" t="n">
        <v>35.7</v>
      </c>
      <c r="P1340" t="n">
        <v>39</v>
      </c>
      <c r="Q1340" t="n">
        <v>59.5</v>
      </c>
      <c r="R1340" t="n">
        <v>55</v>
      </c>
      <c r="S1340" t="n">
        <v>2200000</v>
      </c>
      <c r="T1340" t="n">
        <v>4944</v>
      </c>
      <c r="AH1340" t="inlineStr">
        <is>
          <t>Quelle: Idealista</t>
        </is>
      </c>
    </row>
    <row r="1341">
      <c r="A1341" t="n">
        <v>1154</v>
      </c>
      <c r="B1341" t="inlineStr">
        <is>
          <t>Finca rústica en carretera d'Esporles</t>
        </is>
      </c>
      <c r="C1341" t="inlineStr">
        <is>
          <t>https://www.idealista.com/inmueble/109241469/</t>
        </is>
      </c>
      <c r="E1341" t="n">
        <v>5</v>
      </c>
      <c r="H1341" t="n">
        <v>444</v>
      </c>
      <c r="J1341" t="inlineStr">
        <is>
          <t>Establiments - Son Sardina, Palma de Mallorca</t>
        </is>
      </c>
      <c r="K1341" t="n">
        <v>19</v>
      </c>
      <c r="L1341" t="n">
        <v>25</v>
      </c>
      <c r="M1341" t="n">
        <v>61.8</v>
      </c>
      <c r="N1341" t="n">
        <v>58</v>
      </c>
      <c r="O1341" t="n">
        <v>35.7</v>
      </c>
      <c r="P1341" t="n">
        <v>39</v>
      </c>
      <c r="Q1341" t="n">
        <v>59.5</v>
      </c>
      <c r="R1341" t="n">
        <v>55</v>
      </c>
      <c r="S1341" t="n">
        <v>2200000</v>
      </c>
      <c r="T1341" t="n">
        <v>4955</v>
      </c>
      <c r="AH1341" t="inlineStr">
        <is>
          <t>Quelle: Idealista</t>
        </is>
      </c>
    </row>
    <row r="1342">
      <c r="A1342" t="n">
        <v>1155</v>
      </c>
      <c r="B1342" t="inlineStr">
        <is>
          <t>Caserón</t>
        </is>
      </c>
      <c r="C1342" t="inlineStr">
        <is>
          <t>https://www.idealista.com/inmueble/107011888/</t>
        </is>
      </c>
      <c r="E1342" t="n">
        <v>6</v>
      </c>
      <c r="H1342" t="n">
        <v>431</v>
      </c>
      <c r="J1342" t="inlineStr">
        <is>
          <t>Establiments - Son Sardina, Palma de Mallorca</t>
        </is>
      </c>
      <c r="K1342" t="n">
        <v>19</v>
      </c>
      <c r="L1342" t="n">
        <v>25</v>
      </c>
      <c r="M1342" t="n">
        <v>61.8</v>
      </c>
      <c r="N1342" t="n">
        <v>58</v>
      </c>
      <c r="O1342" t="n">
        <v>35.7</v>
      </c>
      <c r="P1342" t="n">
        <v>39</v>
      </c>
      <c r="Q1342" t="n">
        <v>59.5</v>
      </c>
      <c r="R1342" t="n">
        <v>55</v>
      </c>
      <c r="S1342" t="n">
        <v>2600000</v>
      </c>
      <c r="T1342" t="n">
        <v>6032</v>
      </c>
      <c r="AH1342" t="inlineStr">
        <is>
          <t>Quelle: Idealista</t>
        </is>
      </c>
    </row>
    <row r="1343">
      <c r="A1343" t="n">
        <v>1156</v>
      </c>
      <c r="B1343" t="inlineStr">
        <is>
          <t>Finca rústica en camino Joan Bauza, 10</t>
        </is>
      </c>
      <c r="C1343" t="inlineStr">
        <is>
          <t>https://www.idealista.com/inmueble/105573706/</t>
        </is>
      </c>
      <c r="E1343" t="n">
        <v>7</v>
      </c>
      <c r="H1343" t="n">
        <v>601</v>
      </c>
      <c r="J1343" t="inlineStr">
        <is>
          <t>Establiments - Son Sardina, Palma de Mallorca</t>
        </is>
      </c>
      <c r="K1343" t="n">
        <v>19</v>
      </c>
      <c r="L1343" t="n">
        <v>25</v>
      </c>
      <c r="M1343" t="n">
        <v>61.8</v>
      </c>
      <c r="N1343" t="n">
        <v>58</v>
      </c>
      <c r="O1343" t="n">
        <v>35.7</v>
      </c>
      <c r="P1343" t="n">
        <v>39</v>
      </c>
      <c r="Q1343" t="n">
        <v>59.5</v>
      </c>
      <c r="R1343" t="n">
        <v>55</v>
      </c>
      <c r="S1343" t="n">
        <v>4500000</v>
      </c>
      <c r="T1343" t="n">
        <v>7488</v>
      </c>
      <c r="AH1343" t="inlineStr">
        <is>
          <t>Quelle: Idealista</t>
        </is>
      </c>
    </row>
    <row r="1344">
      <c r="A1344" t="n">
        <v>1157</v>
      </c>
      <c r="B1344" t="inlineStr">
        <is>
          <t>Finca rústica</t>
        </is>
      </c>
      <c r="C1344" t="inlineStr">
        <is>
          <t>https://www.idealista.com/inmueble/106744049/</t>
        </is>
      </c>
      <c r="E1344" t="n">
        <v>7</v>
      </c>
      <c r="H1344" t="n">
        <v>601</v>
      </c>
      <c r="J1344" t="inlineStr">
        <is>
          <t>Establiments - Son Sardina, Palma de Mallorca</t>
        </is>
      </c>
      <c r="K1344" t="n">
        <v>19</v>
      </c>
      <c r="L1344" t="n">
        <v>25</v>
      </c>
      <c r="M1344" t="n">
        <v>61.8</v>
      </c>
      <c r="N1344" t="n">
        <v>58</v>
      </c>
      <c r="O1344" t="n">
        <v>35.7</v>
      </c>
      <c r="P1344" t="n">
        <v>39</v>
      </c>
      <c r="Q1344" t="n">
        <v>59.5</v>
      </c>
      <c r="R1344" t="n">
        <v>55</v>
      </c>
      <c r="S1344" t="n">
        <v>4500000</v>
      </c>
      <c r="T1344" t="n">
        <v>7488</v>
      </c>
      <c r="AH1344" t="inlineStr">
        <is>
          <t>Quelle: Idealista</t>
        </is>
      </c>
    </row>
    <row r="1345">
      <c r="A1345" t="n">
        <v>1158</v>
      </c>
      <c r="B1345" t="inlineStr">
        <is>
          <t>Chalet</t>
        </is>
      </c>
      <c r="C1345" t="inlineStr">
        <is>
          <t>https://www.idealista.com/inmueble/95925368/</t>
        </is>
      </c>
      <c r="E1345" t="n">
        <v>6</v>
      </c>
      <c r="H1345" t="n">
        <v>485</v>
      </c>
      <c r="J1345" t="inlineStr">
        <is>
          <t>Establiments - Son Sardina, Palma de Mallorca</t>
        </is>
      </c>
      <c r="K1345" t="n">
        <v>19</v>
      </c>
      <c r="L1345" t="n">
        <v>25</v>
      </c>
      <c r="M1345" t="n">
        <v>61.8</v>
      </c>
      <c r="N1345" t="n">
        <v>58</v>
      </c>
      <c r="O1345" t="n">
        <v>35.7</v>
      </c>
      <c r="P1345" t="n">
        <v>39</v>
      </c>
      <c r="Q1345" t="n">
        <v>59.5</v>
      </c>
      <c r="R1345" t="n">
        <v>55</v>
      </c>
      <c r="S1345" t="n">
        <v>2600000</v>
      </c>
      <c r="T1345" t="n">
        <v>5361</v>
      </c>
      <c r="AH1345" t="inlineStr">
        <is>
          <t>Quelle: Idealista</t>
        </is>
      </c>
    </row>
    <row r="1346">
      <c r="A1346" t="n">
        <v>1159</v>
      </c>
      <c r="B1346" t="inlineStr">
        <is>
          <t>Casa rural</t>
        </is>
      </c>
      <c r="C1346" t="inlineStr">
        <is>
          <t>https://www.idealista.com/inmueble/105948332/</t>
        </is>
      </c>
      <c r="E1346" t="n">
        <v>6</v>
      </c>
      <c r="H1346" t="n">
        <v>430</v>
      </c>
      <c r="J1346" t="inlineStr">
        <is>
          <t>Establiments - Son Sardina, Palma de Mallorca</t>
        </is>
      </c>
      <c r="K1346" t="n">
        <v>19</v>
      </c>
      <c r="L1346" t="n">
        <v>25</v>
      </c>
      <c r="M1346" t="n">
        <v>61.8</v>
      </c>
      <c r="N1346" t="n">
        <v>58</v>
      </c>
      <c r="O1346" t="n">
        <v>35.7</v>
      </c>
      <c r="P1346" t="n">
        <v>39</v>
      </c>
      <c r="Q1346" t="n">
        <v>59.5</v>
      </c>
      <c r="R1346" t="n">
        <v>55</v>
      </c>
      <c r="S1346" t="n">
        <v>2600000</v>
      </c>
      <c r="T1346" t="n">
        <v>6047</v>
      </c>
      <c r="AH1346" t="inlineStr">
        <is>
          <t>Quelle: Idealista</t>
        </is>
      </c>
    </row>
    <row r="1347">
      <c r="A1347" t="n">
        <v>1160</v>
      </c>
      <c r="B1347" t="inlineStr">
        <is>
          <t>Finca rústica en via Sense Nom</t>
        </is>
      </c>
      <c r="C1347" t="inlineStr">
        <is>
          <t>https://www.idealista.com/inmueble/105699963/</t>
        </is>
      </c>
      <c r="E1347" t="n">
        <v>7</v>
      </c>
      <c r="H1347" t="n">
        <v>660</v>
      </c>
      <c r="J1347" t="inlineStr">
        <is>
          <t>Establiments - Son Sardina, Palma de Mallorca</t>
        </is>
      </c>
      <c r="K1347" t="n">
        <v>19</v>
      </c>
      <c r="L1347" t="n">
        <v>25</v>
      </c>
      <c r="M1347" t="n">
        <v>61.8</v>
      </c>
      <c r="N1347" t="n">
        <v>58</v>
      </c>
      <c r="O1347" t="n">
        <v>35.7</v>
      </c>
      <c r="P1347" t="n">
        <v>39</v>
      </c>
      <c r="Q1347" t="n">
        <v>59.5</v>
      </c>
      <c r="R1347" t="n">
        <v>55</v>
      </c>
      <c r="S1347" t="n">
        <v>6500000</v>
      </c>
      <c r="T1347" t="n">
        <v>9848</v>
      </c>
      <c r="AH1347" t="inlineStr">
        <is>
          <t>Quelle: Idealista</t>
        </is>
      </c>
    </row>
    <row r="1348">
      <c r="A1348" t="n">
        <v>1161</v>
      </c>
      <c r="B1348" t="inlineStr">
        <is>
          <t>Casa rural</t>
        </is>
      </c>
      <c r="C1348" t="inlineStr">
        <is>
          <t>https://www.idealista.com/inmueble/104983331/</t>
        </is>
      </c>
      <c r="E1348" t="n">
        <v>5</v>
      </c>
      <c r="H1348" t="n">
        <v>762</v>
      </c>
      <c r="J1348" t="inlineStr">
        <is>
          <t>Establiments - Son Sardina, Palma de Mallorca</t>
        </is>
      </c>
      <c r="K1348" t="n">
        <v>19</v>
      </c>
      <c r="L1348" t="n">
        <v>25</v>
      </c>
      <c r="M1348" t="n">
        <v>61.8</v>
      </c>
      <c r="N1348" t="n">
        <v>58</v>
      </c>
      <c r="O1348" t="n">
        <v>35.7</v>
      </c>
      <c r="P1348" t="n">
        <v>39</v>
      </c>
      <c r="Q1348" t="n">
        <v>59.5</v>
      </c>
      <c r="R1348" t="n">
        <v>55</v>
      </c>
      <c r="S1348" t="n">
        <v>3600000</v>
      </c>
      <c r="T1348" t="n">
        <v>4724</v>
      </c>
      <c r="AH1348" t="inlineStr">
        <is>
          <t>Quelle: Idealista</t>
        </is>
      </c>
    </row>
    <row r="1349">
      <c r="A1349" t="n">
        <v>1162</v>
      </c>
      <c r="B1349" t="inlineStr">
        <is>
          <t>Casa independiente en calle de Victorio Luzuriaga</t>
        </is>
      </c>
      <c r="C1349" t="inlineStr">
        <is>
          <t>https://www.idealista.com/inmueble/110357231/</t>
        </is>
      </c>
      <c r="E1349" t="n">
        <v>11</v>
      </c>
      <c r="H1349" t="n">
        <v>532</v>
      </c>
      <c r="J1349" t="inlineStr">
        <is>
          <t>Genova - Bonanova - Sant Agustí, Palma de Mallorca</t>
        </is>
      </c>
      <c r="K1349" t="n">
        <v>18</v>
      </c>
      <c r="L1349" t="n">
        <v>20</v>
      </c>
      <c r="M1349" t="n">
        <v>60.7</v>
      </c>
      <c r="N1349" t="n">
        <v>53</v>
      </c>
      <c r="O1349" t="n">
        <v>25.4</v>
      </c>
      <c r="P1349" t="n">
        <v>26</v>
      </c>
      <c r="Q1349" t="n">
        <v>58.4</v>
      </c>
      <c r="R1349" t="n">
        <v>49</v>
      </c>
      <c r="S1349" t="n">
        <v>3500000</v>
      </c>
      <c r="T1349" t="n">
        <v>6579</v>
      </c>
      <c r="AH1349" t="inlineStr">
        <is>
          <t>Quelle: Idealista</t>
        </is>
      </c>
    </row>
    <row r="1350">
      <c r="A1350" t="n">
        <v>1163</v>
      </c>
      <c r="B1350" t="inlineStr">
        <is>
          <t>Chalet adosado</t>
        </is>
      </c>
      <c r="C1350" t="inlineStr">
        <is>
          <t>https://www.idealista.com/inmueble/110334197/</t>
        </is>
      </c>
      <c r="E1350" t="n">
        <v>11</v>
      </c>
      <c r="H1350" t="n">
        <v>585</v>
      </c>
      <c r="J1350" t="inlineStr">
        <is>
          <t>Genova - Bonanova - Sant Agustí, Palma de Mallorca</t>
        </is>
      </c>
      <c r="K1350" t="n">
        <v>18</v>
      </c>
      <c r="L1350" t="n">
        <v>20</v>
      </c>
      <c r="M1350" t="n">
        <v>60.7</v>
      </c>
      <c r="N1350" t="n">
        <v>53</v>
      </c>
      <c r="O1350" t="n">
        <v>25.4</v>
      </c>
      <c r="P1350" t="n">
        <v>26</v>
      </c>
      <c r="Q1350" t="n">
        <v>58.4</v>
      </c>
      <c r="R1350" t="n">
        <v>49</v>
      </c>
      <c r="S1350" t="n">
        <v>3500000</v>
      </c>
      <c r="T1350" t="n">
        <v>5983</v>
      </c>
      <c r="AH1350" t="inlineStr">
        <is>
          <t>Quelle: Idealista</t>
        </is>
      </c>
    </row>
    <row r="1351">
      <c r="A1351" t="n">
        <v>1164</v>
      </c>
      <c r="B1351" t="inlineStr">
        <is>
          <t>Casa independiente</t>
        </is>
      </c>
      <c r="C1351" t="inlineStr">
        <is>
          <t>https://www.idealista.com/inmueble/110332175/</t>
        </is>
      </c>
      <c r="E1351" t="n">
        <v>5</v>
      </c>
      <c r="H1351" t="n">
        <v>414</v>
      </c>
      <c r="J1351" t="inlineStr">
        <is>
          <t>Genova - Bonanova - Sant Agustí, Palma de Mallorca</t>
        </is>
      </c>
      <c r="K1351" t="n">
        <v>18</v>
      </c>
      <c r="L1351" t="n">
        <v>20</v>
      </c>
      <c r="M1351" t="n">
        <v>60.7</v>
      </c>
      <c r="N1351" t="n">
        <v>53</v>
      </c>
      <c r="O1351" t="n">
        <v>25.4</v>
      </c>
      <c r="P1351" t="n">
        <v>26</v>
      </c>
      <c r="Q1351" t="n">
        <v>58.4</v>
      </c>
      <c r="R1351" t="n">
        <v>49</v>
      </c>
      <c r="S1351" t="n">
        <v>2450000</v>
      </c>
      <c r="T1351" t="n">
        <v>5918</v>
      </c>
      <c r="AH1351" t="inlineStr">
        <is>
          <t>Quelle: Idealista</t>
        </is>
      </c>
    </row>
    <row r="1352">
      <c r="A1352" t="n">
        <v>1165</v>
      </c>
      <c r="B1352" t="inlineStr">
        <is>
          <t>Casa independiente</t>
        </is>
      </c>
      <c r="C1352" t="inlineStr">
        <is>
          <t>https://www.idealista.com/inmueble/110234859/</t>
        </is>
      </c>
      <c r="E1352" t="n">
        <v>5</v>
      </c>
      <c r="H1352" t="n">
        <v>388</v>
      </c>
      <c r="J1352" t="inlineStr">
        <is>
          <t>Genova - Bonanova - Sant Agustí, Palma de Mallorca</t>
        </is>
      </c>
      <c r="K1352" t="n">
        <v>18</v>
      </c>
      <c r="L1352" t="n">
        <v>20</v>
      </c>
      <c r="M1352" t="n">
        <v>60.7</v>
      </c>
      <c r="N1352" t="n">
        <v>53</v>
      </c>
      <c r="O1352" t="n">
        <v>25.4</v>
      </c>
      <c r="P1352" t="n">
        <v>26</v>
      </c>
      <c r="Q1352" t="n">
        <v>58.4</v>
      </c>
      <c r="R1352" t="n">
        <v>49</v>
      </c>
      <c r="S1352" t="n">
        <v>5900000</v>
      </c>
      <c r="T1352" t="n">
        <v>15206</v>
      </c>
      <c r="AH1352" t="inlineStr">
        <is>
          <t>Quelle: Idealista</t>
        </is>
      </c>
    </row>
    <row r="1353">
      <c r="A1353" t="n">
        <v>1166</v>
      </c>
      <c r="B1353" t="inlineStr">
        <is>
          <t>Casa independiente en calle de Francesc Vidal i Sureda</t>
        </is>
      </c>
      <c r="C1353" t="inlineStr">
        <is>
          <t>https://www.idealista.com/inmueble/110225951/</t>
        </is>
      </c>
      <c r="E1353" t="n">
        <v>5</v>
      </c>
      <c r="H1353" t="n">
        <v>364</v>
      </c>
      <c r="J1353" t="inlineStr">
        <is>
          <t>Genova - Bonanova - Sant Agustí, Palma de Mallorca</t>
        </is>
      </c>
      <c r="K1353" t="n">
        <v>18</v>
      </c>
      <c r="L1353" t="n">
        <v>20</v>
      </c>
      <c r="M1353" t="n">
        <v>60.7</v>
      </c>
      <c r="N1353" t="n">
        <v>53</v>
      </c>
      <c r="O1353" t="n">
        <v>25.4</v>
      </c>
      <c r="P1353" t="n">
        <v>26</v>
      </c>
      <c r="Q1353" t="n">
        <v>58.4</v>
      </c>
      <c r="R1353" t="n">
        <v>49</v>
      </c>
      <c r="S1353" t="n">
        <v>3500000</v>
      </c>
      <c r="T1353" t="n">
        <v>9615</v>
      </c>
      <c r="AH1353" t="inlineStr">
        <is>
          <t>Quelle: Idealista</t>
        </is>
      </c>
    </row>
    <row r="1354">
      <c r="A1354" t="n">
        <v>1167</v>
      </c>
      <c r="B1354" t="inlineStr">
        <is>
          <t>Casa independiente en genova sa bonanova s/n</t>
        </is>
      </c>
      <c r="C1354" t="inlineStr">
        <is>
          <t>https://www.idealista.com/inmueble/110026262/</t>
        </is>
      </c>
      <c r="E1354" t="n">
        <v>5</v>
      </c>
      <c r="H1354" t="n">
        <v>640</v>
      </c>
      <c r="J1354" t="inlineStr">
        <is>
          <t>Genova - Bonanova - Sant Agustí, Palma de Mallorca</t>
        </is>
      </c>
      <c r="K1354" t="n">
        <v>18</v>
      </c>
      <c r="L1354" t="n">
        <v>20</v>
      </c>
      <c r="M1354" t="n">
        <v>60.7</v>
      </c>
      <c r="N1354" t="n">
        <v>53</v>
      </c>
      <c r="O1354" t="n">
        <v>25.4</v>
      </c>
      <c r="P1354" t="n">
        <v>26</v>
      </c>
      <c r="Q1354" t="n">
        <v>58.4</v>
      </c>
      <c r="R1354" t="n">
        <v>49</v>
      </c>
      <c r="S1354" t="n">
        <v>2490000</v>
      </c>
      <c r="T1354" t="n">
        <v>3891</v>
      </c>
      <c r="AH1354" t="inlineStr">
        <is>
          <t>Quelle: Idealista</t>
        </is>
      </c>
    </row>
    <row r="1355">
      <c r="A1355" t="n">
        <v>1168</v>
      </c>
      <c r="B1355" t="inlineStr">
        <is>
          <t>Casa independiente en calle del Rector Vives</t>
        </is>
      </c>
      <c r="C1355" t="inlineStr">
        <is>
          <t>https://www.idealista.com/inmueble/109972518/</t>
        </is>
      </c>
      <c r="E1355" t="n">
        <v>5</v>
      </c>
      <c r="H1355" t="n">
        <v>604</v>
      </c>
      <c r="J1355" t="inlineStr">
        <is>
          <t>Genova - Bonanova - Sant Agustí, Palma de Mallorca</t>
        </is>
      </c>
      <c r="K1355" t="n">
        <v>18</v>
      </c>
      <c r="L1355" t="n">
        <v>20</v>
      </c>
      <c r="M1355" t="n">
        <v>60.7</v>
      </c>
      <c r="N1355" t="n">
        <v>53</v>
      </c>
      <c r="O1355" t="n">
        <v>25.4</v>
      </c>
      <c r="P1355" t="n">
        <v>26</v>
      </c>
      <c r="Q1355" t="n">
        <v>58.4</v>
      </c>
      <c r="R1355" t="n">
        <v>49</v>
      </c>
      <c r="S1355" t="n">
        <v>4999000</v>
      </c>
      <c r="T1355" t="n">
        <v>8276</v>
      </c>
      <c r="AH1355" t="inlineStr">
        <is>
          <t>Quelle: Idealista</t>
        </is>
      </c>
    </row>
    <row r="1356">
      <c r="A1356" t="n">
        <v>1169</v>
      </c>
      <c r="B1356" t="inlineStr">
        <is>
          <t>Casa independiente</t>
        </is>
      </c>
      <c r="C1356" t="inlineStr">
        <is>
          <t>https://www.idealista.com/inmueble/109910300/</t>
        </is>
      </c>
      <c r="E1356" t="n">
        <v>5</v>
      </c>
      <c r="H1356" t="n">
        <v>376</v>
      </c>
      <c r="J1356" t="inlineStr">
        <is>
          <t>Genova - Bonanova - Sant Agustí, Palma de Mallorca</t>
        </is>
      </c>
      <c r="K1356" t="n">
        <v>18</v>
      </c>
      <c r="L1356" t="n">
        <v>20</v>
      </c>
      <c r="M1356" t="n">
        <v>60.7</v>
      </c>
      <c r="N1356" t="n">
        <v>53</v>
      </c>
      <c r="O1356" t="n">
        <v>25.4</v>
      </c>
      <c r="P1356" t="n">
        <v>26</v>
      </c>
      <c r="Q1356" t="n">
        <v>58.4</v>
      </c>
      <c r="R1356" t="n">
        <v>49</v>
      </c>
      <c r="S1356" t="n">
        <v>4900000</v>
      </c>
      <c r="T1356" t="n">
        <v>13032</v>
      </c>
      <c r="AH1356" t="inlineStr">
        <is>
          <t>Quelle: Idealista</t>
        </is>
      </c>
    </row>
    <row r="1357">
      <c r="A1357" t="n">
        <v>1170</v>
      </c>
      <c r="B1357" t="inlineStr">
        <is>
          <t>Casa independiente</t>
        </is>
      </c>
      <c r="C1357" t="inlineStr">
        <is>
          <t>https://www.idealista.com/inmueble/109906791/</t>
        </is>
      </c>
      <c r="E1357" t="n">
        <v>5</v>
      </c>
      <c r="H1357" t="n">
        <v>313</v>
      </c>
      <c r="J1357" t="inlineStr">
        <is>
          <t>Genova - Bonanova - Sant Agustí, Palma de Mallorca</t>
        </is>
      </c>
      <c r="K1357" t="n">
        <v>18</v>
      </c>
      <c r="L1357" t="n">
        <v>20</v>
      </c>
      <c r="M1357" t="n">
        <v>60.7</v>
      </c>
      <c r="N1357" t="n">
        <v>53</v>
      </c>
      <c r="O1357" t="n">
        <v>25.4</v>
      </c>
      <c r="P1357" t="n">
        <v>26</v>
      </c>
      <c r="Q1357" t="n">
        <v>58.4</v>
      </c>
      <c r="R1357" t="n">
        <v>49</v>
      </c>
      <c r="S1357" t="n">
        <v>2000000</v>
      </c>
      <c r="T1357" t="n">
        <v>6390</v>
      </c>
      <c r="AH1357" t="inlineStr">
        <is>
          <t>Quelle: Idealista</t>
        </is>
      </c>
    </row>
    <row r="1358">
      <c r="A1358" t="n">
        <v>1171</v>
      </c>
      <c r="B1358" t="inlineStr">
        <is>
          <t>Casa independiente</t>
        </is>
      </c>
      <c r="C1358" t="inlineStr">
        <is>
          <t>https://www.idealista.com/inmueble/109827237/</t>
        </is>
      </c>
      <c r="E1358" t="n">
        <v>5</v>
      </c>
      <c r="H1358" t="n">
        <v>346</v>
      </c>
      <c r="J1358" t="inlineStr">
        <is>
          <t>Genova - Bonanova - Sant Agustí, Palma de Mallorca</t>
        </is>
      </c>
      <c r="K1358" t="n">
        <v>18</v>
      </c>
      <c r="L1358" t="n">
        <v>20</v>
      </c>
      <c r="M1358" t="n">
        <v>60.7</v>
      </c>
      <c r="N1358" t="n">
        <v>53</v>
      </c>
      <c r="O1358" t="n">
        <v>25.4</v>
      </c>
      <c r="P1358" t="n">
        <v>26</v>
      </c>
      <c r="Q1358" t="n">
        <v>58.4</v>
      </c>
      <c r="R1358" t="n">
        <v>49</v>
      </c>
      <c r="S1358" t="n">
        <v>2750000</v>
      </c>
      <c r="T1358" t="n">
        <v>7948</v>
      </c>
      <c r="AH1358" t="inlineStr">
        <is>
          <t>Quelle: Idealista</t>
        </is>
      </c>
    </row>
    <row r="1359">
      <c r="A1359" t="n">
        <v>1172</v>
      </c>
      <c r="B1359" t="inlineStr">
        <is>
          <t>Chalet pareado en calle del Corb</t>
        </is>
      </c>
      <c r="C1359" t="inlineStr">
        <is>
          <t>https://www.idealista.com/inmueble/109817068/</t>
        </is>
      </c>
      <c r="E1359" t="n">
        <v>5</v>
      </c>
      <c r="H1359" t="n">
        <v>347</v>
      </c>
      <c r="J1359" t="inlineStr">
        <is>
          <t>Genova - Bonanova - Sant Agustí, Palma de Mallorca</t>
        </is>
      </c>
      <c r="K1359" t="n">
        <v>18</v>
      </c>
      <c r="L1359" t="n">
        <v>20</v>
      </c>
      <c r="M1359" t="n">
        <v>60.7</v>
      </c>
      <c r="N1359" t="n">
        <v>53</v>
      </c>
      <c r="O1359" t="n">
        <v>25.4</v>
      </c>
      <c r="P1359" t="n">
        <v>26</v>
      </c>
      <c r="Q1359" t="n">
        <v>58.4</v>
      </c>
      <c r="R1359" t="n">
        <v>49</v>
      </c>
      <c r="S1359" t="n">
        <v>2750000</v>
      </c>
      <c r="T1359" t="n">
        <v>7925</v>
      </c>
      <c r="AH1359" t="inlineStr">
        <is>
          <t>Quelle: Idealista</t>
        </is>
      </c>
    </row>
    <row r="1360">
      <c r="A1360" t="n">
        <v>1173</v>
      </c>
      <c r="B1360" t="inlineStr">
        <is>
          <t>Casa independiente en camino de Son Llagosta</t>
        </is>
      </c>
      <c r="C1360" t="inlineStr">
        <is>
          <t>https://www.idealista.com/inmueble/109801853/</t>
        </is>
      </c>
      <c r="E1360" t="n">
        <v>5</v>
      </c>
      <c r="H1360" t="n">
        <v>447</v>
      </c>
      <c r="J1360" t="inlineStr">
        <is>
          <t>Genova - Bonanova - Sant Agustí, Palma de Mallorca</t>
        </is>
      </c>
      <c r="K1360" t="n">
        <v>18</v>
      </c>
      <c r="L1360" t="n">
        <v>20</v>
      </c>
      <c r="M1360" t="n">
        <v>60.7</v>
      </c>
      <c r="N1360" t="n">
        <v>53</v>
      </c>
      <c r="O1360" t="n">
        <v>25.4</v>
      </c>
      <c r="P1360" t="n">
        <v>26</v>
      </c>
      <c r="Q1360" t="n">
        <v>58.4</v>
      </c>
      <c r="R1360" t="n">
        <v>49</v>
      </c>
      <c r="S1360" t="n">
        <v>2490000</v>
      </c>
      <c r="T1360" t="n">
        <v>5570</v>
      </c>
      <c r="AH1360" t="inlineStr">
        <is>
          <t>Quelle: Idealista</t>
        </is>
      </c>
    </row>
    <row r="1361">
      <c r="A1361" t="n">
        <v>1174</v>
      </c>
      <c r="B1361" t="inlineStr">
        <is>
          <t>Casa independiente en calle del Paradís, 30</t>
        </is>
      </c>
      <c r="C1361" t="inlineStr">
        <is>
          <t>https://www.idealista.com/obra-nueva/109643841/</t>
        </is>
      </c>
      <c r="E1361" t="n">
        <v>5</v>
      </c>
      <c r="H1361" t="n">
        <v>345</v>
      </c>
      <c r="J1361" t="inlineStr">
        <is>
          <t>Genova - Bonanova - Sant Agustí, Palma de Mallorca</t>
        </is>
      </c>
      <c r="K1361" t="n">
        <v>18</v>
      </c>
      <c r="L1361" t="n">
        <v>20</v>
      </c>
      <c r="M1361" t="n">
        <v>60.7</v>
      </c>
      <c r="N1361" t="n">
        <v>53</v>
      </c>
      <c r="O1361" t="n">
        <v>25.4</v>
      </c>
      <c r="P1361" t="n">
        <v>26</v>
      </c>
      <c r="Q1361" t="n">
        <v>58.4</v>
      </c>
      <c r="R1361" t="n">
        <v>49</v>
      </c>
      <c r="S1361" t="n">
        <v>2750000</v>
      </c>
      <c r="T1361" t="n">
        <v>7971</v>
      </c>
      <c r="AH1361" t="inlineStr">
        <is>
          <t>Quelle: Idealista</t>
        </is>
      </c>
    </row>
    <row r="1362">
      <c r="A1362" t="n">
        <v>1175</v>
      </c>
      <c r="B1362" t="inlineStr">
        <is>
          <t>Casa independiente</t>
        </is>
      </c>
      <c r="C1362" t="inlineStr">
        <is>
          <t>https://www.idealista.com/inmueble/109641047/</t>
        </is>
      </c>
      <c r="E1362" t="n">
        <v>5</v>
      </c>
      <c r="H1362" t="n">
        <v>343</v>
      </c>
      <c r="J1362" t="inlineStr">
        <is>
          <t>Genova - Bonanova - Sant Agustí, Palma de Mallorca</t>
        </is>
      </c>
      <c r="K1362" t="n">
        <v>18</v>
      </c>
      <c r="L1362" t="n">
        <v>20</v>
      </c>
      <c r="M1362" t="n">
        <v>60.7</v>
      </c>
      <c r="N1362" t="n">
        <v>53</v>
      </c>
      <c r="O1362" t="n">
        <v>25.4</v>
      </c>
      <c r="P1362" t="n">
        <v>26</v>
      </c>
      <c r="Q1362" t="n">
        <v>58.4</v>
      </c>
      <c r="R1362" t="n">
        <v>49</v>
      </c>
      <c r="S1362" t="n">
        <v>2750000</v>
      </c>
      <c r="T1362" t="n">
        <v>8017</v>
      </c>
      <c r="AH1362" t="inlineStr">
        <is>
          <t>Quelle: Idealista</t>
        </is>
      </c>
    </row>
    <row r="1363">
      <c r="A1363" t="n">
        <v>1176</v>
      </c>
      <c r="B1363" t="inlineStr">
        <is>
          <t>Casa independiente</t>
        </is>
      </c>
      <c r="C1363" t="inlineStr">
        <is>
          <t>https://www.idealista.com/inmueble/109555179/</t>
        </is>
      </c>
      <c r="E1363" t="n">
        <v>5</v>
      </c>
      <c r="H1363" t="n">
        <v>350</v>
      </c>
      <c r="J1363" t="inlineStr">
        <is>
          <t>Genova - Bonanova - Sant Agustí, Palma de Mallorca</t>
        </is>
      </c>
      <c r="K1363" t="n">
        <v>18</v>
      </c>
      <c r="L1363" t="n">
        <v>20</v>
      </c>
      <c r="M1363" t="n">
        <v>60.7</v>
      </c>
      <c r="N1363" t="n">
        <v>53</v>
      </c>
      <c r="O1363" t="n">
        <v>25.4</v>
      </c>
      <c r="P1363" t="n">
        <v>26</v>
      </c>
      <c r="Q1363" t="n">
        <v>58.4</v>
      </c>
      <c r="R1363" t="n">
        <v>49</v>
      </c>
      <c r="S1363" t="n">
        <v>2490000</v>
      </c>
      <c r="T1363" t="n">
        <v>7114</v>
      </c>
      <c r="AH1363" t="inlineStr">
        <is>
          <t>Quelle: Idealista</t>
        </is>
      </c>
    </row>
    <row r="1364">
      <c r="A1364" t="n">
        <v>1177</v>
      </c>
      <c r="B1364" t="inlineStr">
        <is>
          <t>Casa independiente</t>
        </is>
      </c>
      <c r="C1364" t="inlineStr">
        <is>
          <t>https://www.idealista.com/inmueble/103718661/</t>
        </is>
      </c>
      <c r="E1364" t="n">
        <v>11</v>
      </c>
      <c r="H1364" t="n">
        <v>532</v>
      </c>
      <c r="J1364" t="inlineStr">
        <is>
          <t>Genova - Bonanova - Sant Agustí, Palma de Mallorca</t>
        </is>
      </c>
      <c r="K1364" t="n">
        <v>18</v>
      </c>
      <c r="L1364" t="n">
        <v>20</v>
      </c>
      <c r="M1364" t="n">
        <v>60.7</v>
      </c>
      <c r="N1364" t="n">
        <v>53</v>
      </c>
      <c r="O1364" t="n">
        <v>25.4</v>
      </c>
      <c r="P1364" t="n">
        <v>26</v>
      </c>
      <c r="Q1364" t="n">
        <v>58.4</v>
      </c>
      <c r="R1364" t="n">
        <v>49</v>
      </c>
      <c r="S1364" t="n">
        <v>3500000</v>
      </c>
      <c r="T1364" t="n">
        <v>6579</v>
      </c>
      <c r="AH1364" t="inlineStr">
        <is>
          <t>Quelle: Idealista</t>
        </is>
      </c>
    </row>
    <row r="1365">
      <c r="A1365" t="n">
        <v>1178</v>
      </c>
      <c r="B1365" t="inlineStr">
        <is>
          <t>Casa independiente</t>
        </is>
      </c>
      <c r="C1365" t="inlineStr">
        <is>
          <t>https://www.idealista.com/inmueble/101130359/</t>
        </is>
      </c>
      <c r="E1365" t="n">
        <v>5</v>
      </c>
      <c r="H1365" t="n">
        <v>360</v>
      </c>
      <c r="J1365" t="inlineStr">
        <is>
          <t>Genova - Bonanova - Sant Agustí, Palma de Mallorca</t>
        </is>
      </c>
      <c r="K1365" t="n">
        <v>18</v>
      </c>
      <c r="L1365" t="n">
        <v>20</v>
      </c>
      <c r="M1365" t="n">
        <v>60.7</v>
      </c>
      <c r="N1365" t="n">
        <v>53</v>
      </c>
      <c r="O1365" t="n">
        <v>25.4</v>
      </c>
      <c r="P1365" t="n">
        <v>26</v>
      </c>
      <c r="Q1365" t="n">
        <v>58.4</v>
      </c>
      <c r="R1365" t="n">
        <v>49</v>
      </c>
      <c r="S1365" t="n">
        <v>2750000</v>
      </c>
      <c r="T1365" t="n">
        <v>7639</v>
      </c>
      <c r="AH1365" t="inlineStr">
        <is>
          <t>Quelle: Idealista</t>
        </is>
      </c>
    </row>
    <row r="1366">
      <c r="A1366" t="n">
        <v>1179</v>
      </c>
      <c r="B1366" t="inlineStr">
        <is>
          <t>Casa independiente</t>
        </is>
      </c>
      <c r="C1366" t="inlineStr">
        <is>
          <t>https://www.idealista.com/inmueble/109130897/</t>
        </is>
      </c>
      <c r="E1366" t="n">
        <v>6</v>
      </c>
      <c r="H1366" t="n">
        <v>528</v>
      </c>
      <c r="J1366" t="inlineStr">
        <is>
          <t>Genova - Bonanova - Sant Agustí, Palma de Mallorca</t>
        </is>
      </c>
      <c r="K1366" t="n">
        <v>18</v>
      </c>
      <c r="L1366" t="n">
        <v>20</v>
      </c>
      <c r="M1366" t="n">
        <v>60.7</v>
      </c>
      <c r="N1366" t="n">
        <v>53</v>
      </c>
      <c r="O1366" t="n">
        <v>25.4</v>
      </c>
      <c r="P1366" t="n">
        <v>26</v>
      </c>
      <c r="Q1366" t="n">
        <v>58.4</v>
      </c>
      <c r="R1366" t="n">
        <v>49</v>
      </c>
      <c r="S1366" t="n">
        <v>3200000</v>
      </c>
      <c r="T1366" t="n">
        <v>6061</v>
      </c>
      <c r="AH1366" t="inlineStr">
        <is>
          <t>Quelle: Idealista</t>
        </is>
      </c>
    </row>
    <row r="1367">
      <c r="A1367" t="n">
        <v>1180</v>
      </c>
      <c r="B1367" t="inlineStr">
        <is>
          <t>Casa independiente en calle de son Ferreret</t>
        </is>
      </c>
      <c r="C1367" t="inlineStr">
        <is>
          <t>https://www.idealista.com/inmueble/109006085/</t>
        </is>
      </c>
      <c r="E1367" t="n">
        <v>5</v>
      </c>
      <c r="H1367" t="n">
        <v>635</v>
      </c>
      <c r="J1367" t="inlineStr">
        <is>
          <t>Genova - Bonanova - Sant Agustí, Palma de Mallorca</t>
        </is>
      </c>
      <c r="K1367" t="n">
        <v>18</v>
      </c>
      <c r="L1367" t="n">
        <v>20</v>
      </c>
      <c r="M1367" t="n">
        <v>60.7</v>
      </c>
      <c r="N1367" t="n">
        <v>53</v>
      </c>
      <c r="O1367" t="n">
        <v>25.4</v>
      </c>
      <c r="P1367" t="n">
        <v>26</v>
      </c>
      <c r="Q1367" t="n">
        <v>58.4</v>
      </c>
      <c r="R1367" t="n">
        <v>49</v>
      </c>
      <c r="S1367" t="n">
        <v>3200000</v>
      </c>
      <c r="T1367" t="n">
        <v>5039</v>
      </c>
      <c r="AH1367" t="inlineStr">
        <is>
          <t>Quelle: Idealista</t>
        </is>
      </c>
    </row>
    <row r="1368">
      <c r="A1368" t="n">
        <v>1181</v>
      </c>
      <c r="B1368" t="inlineStr">
        <is>
          <t>Chalet</t>
        </is>
      </c>
      <c r="C1368" t="inlineStr">
        <is>
          <t>https://www.idealista.com/inmueble/106601065/</t>
        </is>
      </c>
      <c r="E1368" t="n">
        <v>8</v>
      </c>
      <c r="H1368" t="n">
        <v>532</v>
      </c>
      <c r="J1368" t="inlineStr">
        <is>
          <t>Genova - Bonanova - Sant Agustí, Palma de Mallorca</t>
        </is>
      </c>
      <c r="K1368" t="n">
        <v>18</v>
      </c>
      <c r="L1368" t="n">
        <v>20</v>
      </c>
      <c r="M1368" t="n">
        <v>60.7</v>
      </c>
      <c r="N1368" t="n">
        <v>53</v>
      </c>
      <c r="O1368" t="n">
        <v>25.4</v>
      </c>
      <c r="P1368" t="n">
        <v>26</v>
      </c>
      <c r="Q1368" t="n">
        <v>58.4</v>
      </c>
      <c r="R1368" t="n">
        <v>49</v>
      </c>
      <c r="S1368" t="n">
        <v>3500000</v>
      </c>
      <c r="T1368" t="n">
        <v>6579</v>
      </c>
      <c r="AH1368" t="inlineStr">
        <is>
          <t>Quelle: Idealista</t>
        </is>
      </c>
    </row>
    <row r="1369">
      <c r="A1369" t="n">
        <v>1182</v>
      </c>
      <c r="B1369" t="inlineStr">
        <is>
          <t>Chalet</t>
        </is>
      </c>
      <c r="C1369" t="inlineStr">
        <is>
          <t>https://www.idealista.com/inmueble/107941649/</t>
        </is>
      </c>
      <c r="E1369" t="n">
        <v>5</v>
      </c>
      <c r="H1369" t="n">
        <v>363</v>
      </c>
      <c r="J1369" t="inlineStr">
        <is>
          <t>Genova - Bonanova - Sant Agustí, Palma de Mallorca</t>
        </is>
      </c>
      <c r="K1369" t="n">
        <v>18</v>
      </c>
      <c r="L1369" t="n">
        <v>20</v>
      </c>
      <c r="M1369" t="n">
        <v>60.7</v>
      </c>
      <c r="N1369" t="n">
        <v>53</v>
      </c>
      <c r="O1369" t="n">
        <v>25.4</v>
      </c>
      <c r="P1369" t="n">
        <v>26</v>
      </c>
      <c r="Q1369" t="n">
        <v>58.4</v>
      </c>
      <c r="R1369" t="n">
        <v>49</v>
      </c>
      <c r="S1369" t="n">
        <v>2995000</v>
      </c>
      <c r="T1369" t="n">
        <v>8251</v>
      </c>
      <c r="AH1369" t="inlineStr">
        <is>
          <t>Quelle: Idealista</t>
        </is>
      </c>
    </row>
    <row r="1370">
      <c r="A1370" t="n">
        <v>1183</v>
      </c>
      <c r="B1370" t="inlineStr">
        <is>
          <t>Casa independiente</t>
        </is>
      </c>
      <c r="C1370" t="inlineStr">
        <is>
          <t>https://www.idealista.com/inmueble/26278600/</t>
        </is>
      </c>
      <c r="E1370" t="n">
        <v>5</v>
      </c>
      <c r="H1370" t="n">
        <v>500</v>
      </c>
      <c r="J1370" t="inlineStr">
        <is>
          <t>Genova - Bonanova - Sant Agustí, Palma de Mallorca</t>
        </is>
      </c>
      <c r="K1370" t="n">
        <v>18</v>
      </c>
      <c r="L1370" t="n">
        <v>20</v>
      </c>
      <c r="M1370" t="n">
        <v>60.7</v>
      </c>
      <c r="N1370" t="n">
        <v>53</v>
      </c>
      <c r="O1370" t="n">
        <v>25.4</v>
      </c>
      <c r="P1370" t="n">
        <v>26</v>
      </c>
      <c r="Q1370" t="n">
        <v>58.4</v>
      </c>
      <c r="R1370" t="n">
        <v>49</v>
      </c>
      <c r="S1370" t="n">
        <v>3500000</v>
      </c>
      <c r="T1370" t="n">
        <v>7000</v>
      </c>
      <c r="AH1370" t="inlineStr">
        <is>
          <t>Quelle: Idealista</t>
        </is>
      </c>
    </row>
    <row r="1371">
      <c r="A1371" t="n">
        <v>1184</v>
      </c>
      <c r="B1371" t="inlineStr">
        <is>
          <t>Casa independiente en major</t>
        </is>
      </c>
      <c r="C1371" t="inlineStr">
        <is>
          <t>https://www.idealista.com/inmueble/109043631/</t>
        </is>
      </c>
      <c r="E1371" t="n">
        <v>6</v>
      </c>
      <c r="H1371" t="n">
        <v>528</v>
      </c>
      <c r="J1371" t="inlineStr">
        <is>
          <t>Genova - Bonanova - Sant Agustí, Palma de Mallorca</t>
        </is>
      </c>
      <c r="K1371" t="n">
        <v>18</v>
      </c>
      <c r="L1371" t="n">
        <v>20</v>
      </c>
      <c r="M1371" t="n">
        <v>60.7</v>
      </c>
      <c r="N1371" t="n">
        <v>53</v>
      </c>
      <c r="O1371" t="n">
        <v>25.4</v>
      </c>
      <c r="P1371" t="n">
        <v>26</v>
      </c>
      <c r="Q1371" t="n">
        <v>58.4</v>
      </c>
      <c r="R1371" t="n">
        <v>49</v>
      </c>
      <c r="S1371" t="n">
        <v>3200000</v>
      </c>
      <c r="T1371" t="n">
        <v>6061</v>
      </c>
      <c r="AH1371" t="inlineStr">
        <is>
          <t>Quelle: Idealista</t>
        </is>
      </c>
    </row>
    <row r="1372">
      <c r="A1372" t="n">
        <v>1185</v>
      </c>
      <c r="B1372" t="inlineStr">
        <is>
          <t>Chalet</t>
        </is>
      </c>
      <c r="C1372" t="inlineStr">
        <is>
          <t>https://www.idealista.com/inmueble/109017665/</t>
        </is>
      </c>
      <c r="E1372" t="n">
        <v>5</v>
      </c>
      <c r="H1372" t="n">
        <v>635</v>
      </c>
      <c r="J1372" t="inlineStr">
        <is>
          <t>Genova - Bonanova - Sant Agustí, Palma de Mallorca</t>
        </is>
      </c>
      <c r="K1372" t="n">
        <v>18</v>
      </c>
      <c r="L1372" t="n">
        <v>20</v>
      </c>
      <c r="M1372" t="n">
        <v>60.7</v>
      </c>
      <c r="N1372" t="n">
        <v>53</v>
      </c>
      <c r="O1372" t="n">
        <v>25.4</v>
      </c>
      <c r="P1372" t="n">
        <v>26</v>
      </c>
      <c r="Q1372" t="n">
        <v>58.4</v>
      </c>
      <c r="R1372" t="n">
        <v>49</v>
      </c>
      <c r="S1372" t="n">
        <v>3200000</v>
      </c>
      <c r="T1372" t="n">
        <v>5039</v>
      </c>
      <c r="AH1372" t="inlineStr">
        <is>
          <t>Quelle: Idealista</t>
        </is>
      </c>
    </row>
    <row r="1373">
      <c r="A1373" t="n">
        <v>1186</v>
      </c>
      <c r="B1373" t="inlineStr">
        <is>
          <t>Casa independiente</t>
        </is>
      </c>
      <c r="C1373" t="inlineStr">
        <is>
          <t>https://www.idealista.com/inmueble/108996373/</t>
        </is>
      </c>
      <c r="E1373" t="n">
        <v>5</v>
      </c>
      <c r="H1373" t="n">
        <v>635</v>
      </c>
      <c r="J1373" t="inlineStr">
        <is>
          <t>Genova - Bonanova - Sant Agustí, Palma de Mallorca</t>
        </is>
      </c>
      <c r="K1373" t="n">
        <v>18</v>
      </c>
      <c r="L1373" t="n">
        <v>20</v>
      </c>
      <c r="M1373" t="n">
        <v>60.7</v>
      </c>
      <c r="N1373" t="n">
        <v>53</v>
      </c>
      <c r="O1373" t="n">
        <v>25.4</v>
      </c>
      <c r="P1373" t="n">
        <v>26</v>
      </c>
      <c r="Q1373" t="n">
        <v>58.4</v>
      </c>
      <c r="R1373" t="n">
        <v>49</v>
      </c>
      <c r="S1373" t="n">
        <v>3200000</v>
      </c>
      <c r="T1373" t="n">
        <v>5039</v>
      </c>
      <c r="AH1373" t="inlineStr">
        <is>
          <t>Quelle: Idealista</t>
        </is>
      </c>
    </row>
    <row r="1374">
      <c r="A1374" t="n">
        <v>1187</v>
      </c>
      <c r="B1374" t="inlineStr">
        <is>
          <t>Casa independiente en calle de Fra Joan Bo, 14</t>
        </is>
      </c>
      <c r="C1374" t="inlineStr">
        <is>
          <t>https://www.idealista.com/inmueble/108278110/</t>
        </is>
      </c>
      <c r="E1374" t="n">
        <v>6</v>
      </c>
      <c r="H1374" t="n">
        <v>315</v>
      </c>
      <c r="J1374" t="inlineStr">
        <is>
          <t>Genova - Bonanova - Sant Agustí, Palma de Mallorca</t>
        </is>
      </c>
      <c r="K1374" t="n">
        <v>18</v>
      </c>
      <c r="L1374" t="n">
        <v>20</v>
      </c>
      <c r="M1374" t="n">
        <v>60.7</v>
      </c>
      <c r="N1374" t="n">
        <v>53</v>
      </c>
      <c r="O1374" t="n">
        <v>25.4</v>
      </c>
      <c r="P1374" t="n">
        <v>26</v>
      </c>
      <c r="Q1374" t="n">
        <v>58.4</v>
      </c>
      <c r="R1374" t="n">
        <v>49</v>
      </c>
      <c r="S1374" t="n">
        <v>2450000</v>
      </c>
      <c r="T1374" t="n">
        <v>7778</v>
      </c>
      <c r="AH1374" t="inlineStr">
        <is>
          <t>Quelle: Idealista</t>
        </is>
      </c>
    </row>
    <row r="1375">
      <c r="A1375" t="n">
        <v>1188</v>
      </c>
      <c r="B1375" t="inlineStr">
        <is>
          <t>Casa independiente en calle del Rector Vives</t>
        </is>
      </c>
      <c r="C1375" t="inlineStr">
        <is>
          <t>https://www.idealista.com/inmueble/108955892/</t>
        </is>
      </c>
      <c r="E1375" t="n">
        <v>6</v>
      </c>
      <c r="H1375" t="n">
        <v>526</v>
      </c>
      <c r="J1375" t="inlineStr">
        <is>
          <t>Genova - Bonanova - Sant Agustí, Palma de Mallorca</t>
        </is>
      </c>
      <c r="K1375" t="n">
        <v>18</v>
      </c>
      <c r="L1375" t="n">
        <v>20</v>
      </c>
      <c r="M1375" t="n">
        <v>60.7</v>
      </c>
      <c r="N1375" t="n">
        <v>53</v>
      </c>
      <c r="O1375" t="n">
        <v>25.4</v>
      </c>
      <c r="P1375" t="n">
        <v>26</v>
      </c>
      <c r="Q1375" t="n">
        <v>58.4</v>
      </c>
      <c r="R1375" t="n">
        <v>49</v>
      </c>
      <c r="S1375" t="n">
        <v>3200000</v>
      </c>
      <c r="T1375" t="n">
        <v>6084</v>
      </c>
      <c r="AH1375" t="inlineStr">
        <is>
          <t>Quelle: Idealista</t>
        </is>
      </c>
    </row>
    <row r="1376">
      <c r="A1376" t="n">
        <v>1189</v>
      </c>
      <c r="B1376" t="inlineStr">
        <is>
          <t>Casa independiente</t>
        </is>
      </c>
      <c r="C1376" t="inlineStr">
        <is>
          <t>https://www.idealista.com/inmueble/107890061/</t>
        </is>
      </c>
      <c r="E1376" t="n">
        <v>5</v>
      </c>
      <c r="H1376" t="n">
        <v>582</v>
      </c>
      <c r="J1376" t="inlineStr">
        <is>
          <t>Genova - Bonanova - Sant Agustí, Palma de Mallorca</t>
        </is>
      </c>
      <c r="K1376" t="n">
        <v>18</v>
      </c>
      <c r="L1376" t="n">
        <v>20</v>
      </c>
      <c r="M1376" t="n">
        <v>60.7</v>
      </c>
      <c r="N1376" t="n">
        <v>53</v>
      </c>
      <c r="O1376" t="n">
        <v>25.4</v>
      </c>
      <c r="P1376" t="n">
        <v>26</v>
      </c>
      <c r="Q1376" t="n">
        <v>58.4</v>
      </c>
      <c r="R1376" t="n">
        <v>49</v>
      </c>
      <c r="S1376" t="n">
        <v>3500000</v>
      </c>
      <c r="T1376" t="n">
        <v>6014</v>
      </c>
      <c r="AH1376" t="inlineStr">
        <is>
          <t>Quelle: Idealista</t>
        </is>
      </c>
    </row>
    <row r="1377">
      <c r="A1377" t="n">
        <v>1190</v>
      </c>
      <c r="B1377" t="inlineStr">
        <is>
          <t>Chalet</t>
        </is>
      </c>
      <c r="C1377" t="inlineStr">
        <is>
          <t>https://www.idealista.com/inmueble/103814147/</t>
        </is>
      </c>
      <c r="E1377" t="n">
        <v>5</v>
      </c>
      <c r="H1377" t="n">
        <v>715</v>
      </c>
      <c r="J1377" t="inlineStr">
        <is>
          <t>Genova - Bonanova - Sant Agustí, Palma de Mallorca</t>
        </is>
      </c>
      <c r="K1377" t="n">
        <v>18</v>
      </c>
      <c r="L1377" t="n">
        <v>20</v>
      </c>
      <c r="M1377" t="n">
        <v>60.7</v>
      </c>
      <c r="N1377" t="n">
        <v>53</v>
      </c>
      <c r="O1377" t="n">
        <v>25.4</v>
      </c>
      <c r="P1377" t="n">
        <v>26</v>
      </c>
      <c r="Q1377" t="n">
        <v>58.4</v>
      </c>
      <c r="R1377" t="n">
        <v>49</v>
      </c>
      <c r="S1377" t="n">
        <v>3350000</v>
      </c>
      <c r="T1377" t="n">
        <v>4685</v>
      </c>
      <c r="AH1377" t="inlineStr">
        <is>
          <t>Quelle: Idealista</t>
        </is>
      </c>
    </row>
    <row r="1378">
      <c r="A1378" t="n">
        <v>1191</v>
      </c>
      <c r="B1378" t="inlineStr">
        <is>
          <t>Casa independiente</t>
        </is>
      </c>
      <c r="C1378" t="inlineStr">
        <is>
          <t>https://www.idealista.com/inmueble/107639070/</t>
        </is>
      </c>
      <c r="E1378" t="n">
        <v>5</v>
      </c>
      <c r="H1378" t="n">
        <v>826</v>
      </c>
      <c r="J1378" t="inlineStr">
        <is>
          <t>Genova - Bonanova - Sant Agustí, Palma de Mallorca</t>
        </is>
      </c>
      <c r="K1378" t="n">
        <v>18</v>
      </c>
      <c r="L1378" t="n">
        <v>20</v>
      </c>
      <c r="M1378" t="n">
        <v>60.7</v>
      </c>
      <c r="N1378" t="n">
        <v>53</v>
      </c>
      <c r="O1378" t="n">
        <v>25.4</v>
      </c>
      <c r="P1378" t="n">
        <v>26</v>
      </c>
      <c r="Q1378" t="n">
        <v>58.4</v>
      </c>
      <c r="R1378" t="n">
        <v>49</v>
      </c>
      <c r="S1378" t="n">
        <v>2500000</v>
      </c>
      <c r="T1378" t="n">
        <v>3027</v>
      </c>
      <c r="AH1378" t="inlineStr">
        <is>
          <t>Quelle: Idealista</t>
        </is>
      </c>
    </row>
    <row r="1379">
      <c r="A1379" t="n">
        <v>1192</v>
      </c>
      <c r="B1379" t="inlineStr">
        <is>
          <t>Chalet en calle de Saridakis</t>
        </is>
      </c>
      <c r="C1379" t="inlineStr">
        <is>
          <t>https://www.idealista.com/inmueble/108618024/</t>
        </is>
      </c>
      <c r="E1379" t="n">
        <v>5</v>
      </c>
      <c r="H1379" t="n">
        <v>1361</v>
      </c>
      <c r="J1379" t="inlineStr">
        <is>
          <t>Genova - Bonanova - Sant Agustí, Palma de Mallorca</t>
        </is>
      </c>
      <c r="K1379" t="n">
        <v>18</v>
      </c>
      <c r="L1379" t="n">
        <v>20</v>
      </c>
      <c r="M1379" t="n">
        <v>60.7</v>
      </c>
      <c r="N1379" t="n">
        <v>53</v>
      </c>
      <c r="O1379" t="n">
        <v>25.4</v>
      </c>
      <c r="P1379" t="n">
        <v>26</v>
      </c>
      <c r="Q1379" t="n">
        <v>58.4</v>
      </c>
      <c r="R1379" t="n">
        <v>49</v>
      </c>
      <c r="S1379" t="n">
        <v>3350000</v>
      </c>
      <c r="T1379" t="n">
        <v>2461</v>
      </c>
      <c r="AH1379" t="inlineStr">
        <is>
          <t>Quelle: Idealista</t>
        </is>
      </c>
    </row>
    <row r="1380">
      <c r="A1380" t="n">
        <v>1193</v>
      </c>
      <c r="B1380" t="inlineStr">
        <is>
          <t>Casa independiente en calle del Rector Vives</t>
        </is>
      </c>
      <c r="C1380" t="inlineStr">
        <is>
          <t>https://www.idealista.com/inmueble/108517194/</t>
        </is>
      </c>
      <c r="E1380" t="n">
        <v>5</v>
      </c>
      <c r="H1380" t="n">
        <v>604</v>
      </c>
      <c r="J1380" t="inlineStr">
        <is>
          <t>Genova - Bonanova - Sant Agustí, Palma de Mallorca</t>
        </is>
      </c>
      <c r="K1380" t="n">
        <v>18</v>
      </c>
      <c r="L1380" t="n">
        <v>20</v>
      </c>
      <c r="M1380" t="n">
        <v>60.7</v>
      </c>
      <c r="N1380" t="n">
        <v>53</v>
      </c>
      <c r="O1380" t="n">
        <v>25.4</v>
      </c>
      <c r="P1380" t="n">
        <v>26</v>
      </c>
      <c r="Q1380" t="n">
        <v>58.4</v>
      </c>
      <c r="R1380" t="n">
        <v>49</v>
      </c>
      <c r="S1380" t="n">
        <v>4995000</v>
      </c>
      <c r="T1380" t="n">
        <v>8270</v>
      </c>
      <c r="AH1380" t="inlineStr">
        <is>
          <t>Quelle: Idealista</t>
        </is>
      </c>
    </row>
    <row r="1381">
      <c r="A1381" t="n">
        <v>1194</v>
      </c>
      <c r="B1381" t="inlineStr">
        <is>
          <t>Casa independiente</t>
        </is>
      </c>
      <c r="C1381" t="inlineStr">
        <is>
          <t>https://www.idealista.com/inmueble/108496842/</t>
        </is>
      </c>
      <c r="E1381" t="n">
        <v>5</v>
      </c>
      <c r="H1381" t="n">
        <v>282</v>
      </c>
      <c r="J1381" t="inlineStr">
        <is>
          <t>Genova - Bonanova - Sant Agustí, Palma de Mallorca</t>
        </is>
      </c>
      <c r="K1381" t="n">
        <v>18</v>
      </c>
      <c r="L1381" t="n">
        <v>20</v>
      </c>
      <c r="M1381" t="n">
        <v>60.7</v>
      </c>
      <c r="N1381" t="n">
        <v>53</v>
      </c>
      <c r="O1381" t="n">
        <v>25.4</v>
      </c>
      <c r="P1381" t="n">
        <v>26</v>
      </c>
      <c r="Q1381" t="n">
        <v>58.4</v>
      </c>
      <c r="R1381" t="n">
        <v>49</v>
      </c>
      <c r="S1381" t="n">
        <v>2590000</v>
      </c>
      <c r="T1381" t="n">
        <v>9184</v>
      </c>
      <c r="AH1381" t="inlineStr">
        <is>
          <t>Quelle: Idealista</t>
        </is>
      </c>
    </row>
    <row r="1382">
      <c r="A1382" t="n">
        <v>1195</v>
      </c>
      <c r="B1382" t="inlineStr">
        <is>
          <t>Casa independiente en calle del Rector Vives</t>
        </is>
      </c>
      <c r="C1382" t="inlineStr">
        <is>
          <t>https://www.idealista.com/inmueble/108347217/</t>
        </is>
      </c>
      <c r="E1382" t="n">
        <v>6</v>
      </c>
      <c r="H1382" t="n">
        <v>528</v>
      </c>
      <c r="J1382" t="inlineStr">
        <is>
          <t>Genova - Bonanova - Sant Agustí, Palma de Mallorca</t>
        </is>
      </c>
      <c r="K1382" t="n">
        <v>18</v>
      </c>
      <c r="L1382" t="n">
        <v>20</v>
      </c>
      <c r="M1382" t="n">
        <v>60.7</v>
      </c>
      <c r="N1382" t="n">
        <v>53</v>
      </c>
      <c r="O1382" t="n">
        <v>25.4</v>
      </c>
      <c r="P1382" t="n">
        <v>26</v>
      </c>
      <c r="Q1382" t="n">
        <v>58.4</v>
      </c>
      <c r="R1382" t="n">
        <v>49</v>
      </c>
      <c r="S1382" t="n">
        <v>3200000</v>
      </c>
      <c r="T1382" t="n">
        <v>6061</v>
      </c>
      <c r="AH1382" t="inlineStr">
        <is>
          <t>Quelle: Idealista</t>
        </is>
      </c>
    </row>
    <row r="1383">
      <c r="A1383" t="n">
        <v>1196</v>
      </c>
      <c r="B1383" t="inlineStr">
        <is>
          <t>Casa independiente</t>
        </is>
      </c>
      <c r="C1383" t="inlineStr">
        <is>
          <t>https://www.idealista.com/inmueble/106762270/</t>
        </is>
      </c>
      <c r="E1383" t="n">
        <v>11</v>
      </c>
      <c r="H1383" t="n">
        <v>532</v>
      </c>
      <c r="J1383" t="inlineStr">
        <is>
          <t>Genova - Bonanova - Sant Agustí, Palma de Mallorca</t>
        </is>
      </c>
      <c r="K1383" t="n">
        <v>18</v>
      </c>
      <c r="L1383" t="n">
        <v>20</v>
      </c>
      <c r="M1383" t="n">
        <v>60.7</v>
      </c>
      <c r="N1383" t="n">
        <v>53</v>
      </c>
      <c r="O1383" t="n">
        <v>25.4</v>
      </c>
      <c r="P1383" t="n">
        <v>26</v>
      </c>
      <c r="Q1383" t="n">
        <v>58.4</v>
      </c>
      <c r="R1383" t="n">
        <v>49</v>
      </c>
      <c r="S1383" t="n">
        <v>3500000</v>
      </c>
      <c r="T1383" t="n">
        <v>6579</v>
      </c>
      <c r="AH1383" t="inlineStr">
        <is>
          <t>Quelle: Idealista</t>
        </is>
      </c>
    </row>
    <row r="1384">
      <c r="A1384" t="n">
        <v>1197</v>
      </c>
      <c r="B1384" t="inlineStr">
        <is>
          <t>Casa independiente en calle de Francesc Vidal i Sureda</t>
        </is>
      </c>
      <c r="C1384" t="inlineStr">
        <is>
          <t>https://www.idealista.com/inmueble/107924492/</t>
        </is>
      </c>
      <c r="E1384" t="n">
        <v>5</v>
      </c>
      <c r="H1384" t="n">
        <v>482</v>
      </c>
      <c r="J1384" t="inlineStr">
        <is>
          <t>Genova - Bonanova - Sant Agustí, Palma de Mallorca</t>
        </is>
      </c>
      <c r="K1384" t="n">
        <v>18</v>
      </c>
      <c r="L1384" t="n">
        <v>20</v>
      </c>
      <c r="M1384" t="n">
        <v>60.7</v>
      </c>
      <c r="N1384" t="n">
        <v>53</v>
      </c>
      <c r="O1384" t="n">
        <v>25.4</v>
      </c>
      <c r="P1384" t="n">
        <v>26</v>
      </c>
      <c r="Q1384" t="n">
        <v>58.4</v>
      </c>
      <c r="R1384" t="n">
        <v>49</v>
      </c>
      <c r="S1384" t="n">
        <v>3500000</v>
      </c>
      <c r="T1384" t="n">
        <v>7261</v>
      </c>
      <c r="AH1384" t="inlineStr">
        <is>
          <t>Quelle: Idealista</t>
        </is>
      </c>
    </row>
    <row r="1385">
      <c r="A1385" t="n">
        <v>1198</v>
      </c>
      <c r="B1385" t="inlineStr">
        <is>
          <t>Casa independiente</t>
        </is>
      </c>
      <c r="C1385" t="inlineStr">
        <is>
          <t>https://www.idealista.com/inmueble/107764797/</t>
        </is>
      </c>
      <c r="E1385" t="n">
        <v>11</v>
      </c>
      <c r="H1385" t="n">
        <v>532</v>
      </c>
      <c r="J1385" t="inlineStr">
        <is>
          <t>Genova - Bonanova - Sant Agustí, Palma de Mallorca</t>
        </is>
      </c>
      <c r="K1385" t="n">
        <v>18</v>
      </c>
      <c r="L1385" t="n">
        <v>20</v>
      </c>
      <c r="M1385" t="n">
        <v>60.7</v>
      </c>
      <c r="N1385" t="n">
        <v>53</v>
      </c>
      <c r="O1385" t="n">
        <v>25.4</v>
      </c>
      <c r="P1385" t="n">
        <v>26</v>
      </c>
      <c r="Q1385" t="n">
        <v>58.4</v>
      </c>
      <c r="R1385" t="n">
        <v>49</v>
      </c>
      <c r="S1385" t="n">
        <v>3500000</v>
      </c>
      <c r="T1385" t="n">
        <v>6579</v>
      </c>
      <c r="AH1385" t="inlineStr">
        <is>
          <t>Quelle: Idealista</t>
        </is>
      </c>
    </row>
    <row r="1386">
      <c r="A1386" t="n">
        <v>1199</v>
      </c>
      <c r="B1386" t="inlineStr">
        <is>
          <t>Casa independiente en calle del Rector Vives</t>
        </is>
      </c>
      <c r="C1386" t="inlineStr">
        <is>
          <t>https://www.idealista.com/inmueble/107759584/</t>
        </is>
      </c>
      <c r="E1386" t="n">
        <v>10</v>
      </c>
      <c r="H1386" t="n">
        <v>240</v>
      </c>
      <c r="J1386" t="inlineStr">
        <is>
          <t>Genova - Bonanova - Sant Agustí, Palma de Mallorca</t>
        </is>
      </c>
      <c r="K1386" t="n">
        <v>18</v>
      </c>
      <c r="L1386" t="n">
        <v>20</v>
      </c>
      <c r="M1386" t="n">
        <v>60.7</v>
      </c>
      <c r="N1386" t="n">
        <v>53</v>
      </c>
      <c r="O1386" t="n">
        <v>25.4</v>
      </c>
      <c r="P1386" t="n">
        <v>26</v>
      </c>
      <c r="Q1386" t="n">
        <v>58.4</v>
      </c>
      <c r="R1386" t="n">
        <v>49</v>
      </c>
      <c r="S1386" t="n">
        <v>3000000</v>
      </c>
      <c r="T1386" t="n">
        <v>12500</v>
      </c>
      <c r="AH1386" t="inlineStr">
        <is>
          <t>Quelle: Idealista</t>
        </is>
      </c>
    </row>
    <row r="1387">
      <c r="A1387" t="n">
        <v>1200</v>
      </c>
      <c r="B1387" t="inlineStr">
        <is>
          <t>Casa independiente</t>
        </is>
      </c>
      <c r="C1387" t="inlineStr">
        <is>
          <t>https://www.idealista.com/inmueble/97356123/</t>
        </is>
      </c>
      <c r="E1387" t="n">
        <v>5</v>
      </c>
      <c r="H1387" t="n">
        <v>750</v>
      </c>
      <c r="J1387" t="inlineStr">
        <is>
          <t>Genova - Bonanova - Sant Agustí, Palma de Mallorca</t>
        </is>
      </c>
      <c r="K1387" t="n">
        <v>18</v>
      </c>
      <c r="L1387" t="n">
        <v>20</v>
      </c>
      <c r="M1387" t="n">
        <v>60.7</v>
      </c>
      <c r="N1387" t="n">
        <v>53</v>
      </c>
      <c r="O1387" t="n">
        <v>25.4</v>
      </c>
      <c r="P1387" t="n">
        <v>26</v>
      </c>
      <c r="Q1387" t="n">
        <v>58.4</v>
      </c>
      <c r="R1387" t="n">
        <v>49</v>
      </c>
      <c r="S1387" t="n">
        <v>4500000</v>
      </c>
      <c r="T1387" t="n">
        <v>6000</v>
      </c>
      <c r="AH1387" t="inlineStr">
        <is>
          <t>Quelle: Idealista</t>
        </is>
      </c>
    </row>
    <row r="1388">
      <c r="A1388" t="n">
        <v>1201</v>
      </c>
      <c r="B1388" t="inlineStr">
        <is>
          <t>Casa independiente</t>
        </is>
      </c>
      <c r="C1388" t="inlineStr">
        <is>
          <t>https://www.idealista.com/inmueble/99206911/</t>
        </is>
      </c>
      <c r="E1388" t="n">
        <v>8</v>
      </c>
      <c r="H1388" t="n">
        <v>878</v>
      </c>
      <c r="J1388" t="inlineStr">
        <is>
          <t>Genova - Bonanova - Sant Agustí, Palma de Mallorca</t>
        </is>
      </c>
      <c r="K1388" t="n">
        <v>18</v>
      </c>
      <c r="L1388" t="n">
        <v>20</v>
      </c>
      <c r="M1388" t="n">
        <v>60.7</v>
      </c>
      <c r="N1388" t="n">
        <v>53</v>
      </c>
      <c r="O1388" t="n">
        <v>25.4</v>
      </c>
      <c r="P1388" t="n">
        <v>26</v>
      </c>
      <c r="Q1388" t="n">
        <v>58.4</v>
      </c>
      <c r="R1388" t="n">
        <v>49</v>
      </c>
      <c r="S1388" t="n">
        <v>2250000</v>
      </c>
      <c r="T1388" t="n">
        <v>2563</v>
      </c>
      <c r="AH1388" t="inlineStr">
        <is>
          <t>Quelle: Idealista</t>
        </is>
      </c>
    </row>
    <row r="1389">
      <c r="A1389" t="n">
        <v>1202</v>
      </c>
      <c r="B1389" t="inlineStr">
        <is>
          <t>Casa independiente</t>
        </is>
      </c>
      <c r="C1389" t="inlineStr">
        <is>
          <t>https://www.idealista.com/inmueble/106117758/</t>
        </is>
      </c>
      <c r="E1389" t="n">
        <v>5</v>
      </c>
      <c r="H1389" t="n">
        <v>604</v>
      </c>
      <c r="J1389" t="inlineStr">
        <is>
          <t>Genova - Bonanova - Sant Agustí, Palma de Mallorca</t>
        </is>
      </c>
      <c r="K1389" t="n">
        <v>18</v>
      </c>
      <c r="L1389" t="n">
        <v>20</v>
      </c>
      <c r="M1389" t="n">
        <v>60.7</v>
      </c>
      <c r="N1389" t="n">
        <v>53</v>
      </c>
      <c r="O1389" t="n">
        <v>25.4</v>
      </c>
      <c r="P1389" t="n">
        <v>26</v>
      </c>
      <c r="Q1389" t="n">
        <v>58.4</v>
      </c>
      <c r="R1389" t="n">
        <v>49</v>
      </c>
      <c r="S1389" t="n">
        <v>5900000</v>
      </c>
      <c r="T1389" t="n">
        <v>9768</v>
      </c>
      <c r="AH1389" t="inlineStr">
        <is>
          <t>Quelle: Idealista</t>
        </is>
      </c>
    </row>
    <row r="1390">
      <c r="A1390" t="n">
        <v>1203</v>
      </c>
      <c r="B1390" t="inlineStr">
        <is>
          <t>Chalet adosado en calle de Victorio Luzuriaga</t>
        </is>
      </c>
      <c r="C1390" t="inlineStr">
        <is>
          <t>https://www.idealista.com/inmueble/103933329/</t>
        </is>
      </c>
      <c r="E1390" t="n">
        <v>11</v>
      </c>
      <c r="H1390" t="n">
        <v>535</v>
      </c>
      <c r="J1390" t="inlineStr">
        <is>
          <t>Genova - Bonanova - Sant Agustí, Palma de Mallorca</t>
        </is>
      </c>
      <c r="K1390" t="n">
        <v>18</v>
      </c>
      <c r="L1390" t="n">
        <v>20</v>
      </c>
      <c r="M1390" t="n">
        <v>60.7</v>
      </c>
      <c r="N1390" t="n">
        <v>53</v>
      </c>
      <c r="O1390" t="n">
        <v>25.4</v>
      </c>
      <c r="P1390" t="n">
        <v>26</v>
      </c>
      <c r="Q1390" t="n">
        <v>58.4</v>
      </c>
      <c r="R1390" t="n">
        <v>49</v>
      </c>
      <c r="S1390" t="n">
        <v>3500000</v>
      </c>
      <c r="T1390" t="n">
        <v>6542</v>
      </c>
      <c r="AH1390" t="inlineStr">
        <is>
          <t>Quelle: Idealista</t>
        </is>
      </c>
    </row>
    <row r="1391">
      <c r="A1391" t="n">
        <v>1204</v>
      </c>
      <c r="B1391" t="inlineStr">
        <is>
          <t>Chalet pareado en calle de Victorio Luzuriaga</t>
        </is>
      </c>
      <c r="C1391" t="inlineStr">
        <is>
          <t>https://www.idealista.com/inmueble/103639483/</t>
        </is>
      </c>
      <c r="E1391" t="n">
        <v>5</v>
      </c>
      <c r="H1391" t="n">
        <v>532</v>
      </c>
      <c r="J1391" t="inlineStr">
        <is>
          <t>Genova - Bonanova - Sant Agustí, Palma de Mallorca</t>
        </is>
      </c>
      <c r="K1391" t="n">
        <v>18</v>
      </c>
      <c r="L1391" t="n">
        <v>20</v>
      </c>
      <c r="M1391" t="n">
        <v>60.7</v>
      </c>
      <c r="N1391" t="n">
        <v>53</v>
      </c>
      <c r="O1391" t="n">
        <v>25.4</v>
      </c>
      <c r="P1391" t="n">
        <v>26</v>
      </c>
      <c r="Q1391" t="n">
        <v>58.4</v>
      </c>
      <c r="R1391" t="n">
        <v>49</v>
      </c>
      <c r="S1391" t="n">
        <v>3500000</v>
      </c>
      <c r="T1391" t="n">
        <v>6579</v>
      </c>
      <c r="AH1391" t="inlineStr">
        <is>
          <t>Quelle: Idealista</t>
        </is>
      </c>
    </row>
    <row r="1392">
      <c r="A1392" t="n">
        <v>1205</v>
      </c>
      <c r="B1392" t="inlineStr">
        <is>
          <t>Casa independiente</t>
        </is>
      </c>
      <c r="C1392" t="inlineStr">
        <is>
          <t>https://www.idealista.com/inmueble/106097826/</t>
        </is>
      </c>
      <c r="E1392" t="n">
        <v>5</v>
      </c>
      <c r="H1392" t="n">
        <v>604</v>
      </c>
      <c r="J1392" t="inlineStr">
        <is>
          <t>Genova - Bonanova - Sant Agustí, Palma de Mallorca</t>
        </is>
      </c>
      <c r="K1392" t="n">
        <v>18</v>
      </c>
      <c r="L1392" t="n">
        <v>20</v>
      </c>
      <c r="M1392" t="n">
        <v>60.7</v>
      </c>
      <c r="N1392" t="n">
        <v>53</v>
      </c>
      <c r="O1392" t="n">
        <v>25.4</v>
      </c>
      <c r="P1392" t="n">
        <v>26</v>
      </c>
      <c r="Q1392" t="n">
        <v>58.4</v>
      </c>
      <c r="R1392" t="n">
        <v>49</v>
      </c>
      <c r="S1392" t="n">
        <v>4995000</v>
      </c>
      <c r="T1392" t="n">
        <v>8270</v>
      </c>
      <c r="AH1392" t="inlineStr">
        <is>
          <t>Quelle: Idealista</t>
        </is>
      </c>
    </row>
    <row r="1393">
      <c r="A1393" t="n">
        <v>1206</v>
      </c>
      <c r="B1393" t="inlineStr">
        <is>
          <t>Casa independiente</t>
        </is>
      </c>
      <c r="C1393" t="inlineStr">
        <is>
          <t>https://www.idealista.com/inmueble/106053724/</t>
        </is>
      </c>
      <c r="E1393" t="n">
        <v>5</v>
      </c>
      <c r="H1393" t="n">
        <v>635</v>
      </c>
      <c r="J1393" t="inlineStr">
        <is>
          <t>Genova - Bonanova - Sant Agustí, Palma de Mallorca</t>
        </is>
      </c>
      <c r="K1393" t="n">
        <v>18</v>
      </c>
      <c r="L1393" t="n">
        <v>20</v>
      </c>
      <c r="M1393" t="n">
        <v>60.7</v>
      </c>
      <c r="N1393" t="n">
        <v>53</v>
      </c>
      <c r="O1393" t="n">
        <v>25.4</v>
      </c>
      <c r="P1393" t="n">
        <v>26</v>
      </c>
      <c r="Q1393" t="n">
        <v>58.4</v>
      </c>
      <c r="R1393" t="n">
        <v>49</v>
      </c>
      <c r="S1393" t="n">
        <v>3200000</v>
      </c>
      <c r="T1393" t="n">
        <v>5039</v>
      </c>
      <c r="AH1393" t="inlineStr">
        <is>
          <t>Quelle: Idealista</t>
        </is>
      </c>
    </row>
    <row r="1394">
      <c r="A1394" t="n">
        <v>1207</v>
      </c>
      <c r="B1394" t="inlineStr">
        <is>
          <t>Casa independiente en calle de Victorio Luzuriaga</t>
        </is>
      </c>
      <c r="C1394" t="inlineStr">
        <is>
          <t>https://www.idealista.com/inmueble/105153814/</t>
        </is>
      </c>
      <c r="E1394" t="n">
        <v>11</v>
      </c>
      <c r="H1394" t="n">
        <v>352</v>
      </c>
      <c r="J1394" t="inlineStr">
        <is>
          <t>Genova - Bonanova - Sant Agustí, Palma de Mallorca</t>
        </is>
      </c>
      <c r="K1394" t="n">
        <v>18</v>
      </c>
      <c r="L1394" t="n">
        <v>20</v>
      </c>
      <c r="M1394" t="n">
        <v>60.7</v>
      </c>
      <c r="N1394" t="n">
        <v>53</v>
      </c>
      <c r="O1394" t="n">
        <v>25.4</v>
      </c>
      <c r="P1394" t="n">
        <v>26</v>
      </c>
      <c r="Q1394" t="n">
        <v>58.4</v>
      </c>
      <c r="R1394" t="n">
        <v>49</v>
      </c>
      <c r="S1394" t="n">
        <v>3500000</v>
      </c>
      <c r="T1394" t="n">
        <v>9943</v>
      </c>
      <c r="AH1394" t="inlineStr">
        <is>
          <t>Quelle: Idealista</t>
        </is>
      </c>
    </row>
    <row r="1395">
      <c r="A1395" t="n">
        <v>1208</v>
      </c>
      <c r="B1395" t="inlineStr">
        <is>
          <t>Casa independiente</t>
        </is>
      </c>
      <c r="C1395" t="inlineStr">
        <is>
          <t>https://www.idealista.com/inmueble/105124472/</t>
        </is>
      </c>
      <c r="E1395" t="n">
        <v>5</v>
      </c>
      <c r="H1395" t="n">
        <v>721</v>
      </c>
      <c r="J1395" t="inlineStr">
        <is>
          <t>Genova - Bonanova - Sant Agustí, Palma de Mallorca</t>
        </is>
      </c>
      <c r="K1395" t="n">
        <v>18</v>
      </c>
      <c r="L1395" t="n">
        <v>20</v>
      </c>
      <c r="M1395" t="n">
        <v>60.7</v>
      </c>
      <c r="N1395" t="n">
        <v>53</v>
      </c>
      <c r="O1395" t="n">
        <v>25.4</v>
      </c>
      <c r="P1395" t="n">
        <v>26</v>
      </c>
      <c r="Q1395" t="n">
        <v>58.4</v>
      </c>
      <c r="R1395" t="n">
        <v>49</v>
      </c>
      <c r="S1395" t="n">
        <v>4900000</v>
      </c>
      <c r="T1395" t="n">
        <v>6796</v>
      </c>
      <c r="AH1395" t="inlineStr">
        <is>
          <t>Quelle: Idealista</t>
        </is>
      </c>
    </row>
    <row r="1396">
      <c r="A1396" t="n">
        <v>1209</v>
      </c>
      <c r="B1396" t="inlineStr">
        <is>
          <t>Casa independiente</t>
        </is>
      </c>
      <c r="C1396" t="inlineStr">
        <is>
          <t>https://www.idealista.com/inmueble/103456848/</t>
        </is>
      </c>
      <c r="E1396" t="n">
        <v>11</v>
      </c>
      <c r="H1396" t="n">
        <v>532</v>
      </c>
      <c r="J1396" t="inlineStr">
        <is>
          <t>Genova - Bonanova - Sant Agustí, Palma de Mallorca</t>
        </is>
      </c>
      <c r="K1396" t="n">
        <v>18</v>
      </c>
      <c r="L1396" t="n">
        <v>20</v>
      </c>
      <c r="M1396" t="n">
        <v>60.7</v>
      </c>
      <c r="N1396" t="n">
        <v>53</v>
      </c>
      <c r="O1396" t="n">
        <v>25.4</v>
      </c>
      <c r="P1396" t="n">
        <v>26</v>
      </c>
      <c r="Q1396" t="n">
        <v>58.4</v>
      </c>
      <c r="R1396" t="n">
        <v>49</v>
      </c>
      <c r="S1396" t="n">
        <v>3500000</v>
      </c>
      <c r="T1396" t="n">
        <v>6579</v>
      </c>
      <c r="AH1396" t="inlineStr">
        <is>
          <t>Quelle: Idealista</t>
        </is>
      </c>
    </row>
    <row r="1397">
      <c r="A1397" t="n">
        <v>1210</v>
      </c>
      <c r="B1397" t="inlineStr">
        <is>
          <t>Casa independiente en calle de Victorio Luzuriaga</t>
        </is>
      </c>
      <c r="C1397" t="inlineStr">
        <is>
          <t>https://www.idealista.com/inmueble/104358256/</t>
        </is>
      </c>
      <c r="E1397" t="n">
        <v>11</v>
      </c>
      <c r="H1397" t="n">
        <v>532</v>
      </c>
      <c r="J1397" t="inlineStr">
        <is>
          <t>Genova - Bonanova - Sant Agustí, Palma de Mallorca</t>
        </is>
      </c>
      <c r="K1397" t="n">
        <v>18</v>
      </c>
      <c r="L1397" t="n">
        <v>20</v>
      </c>
      <c r="M1397" t="n">
        <v>60.7</v>
      </c>
      <c r="N1397" t="n">
        <v>53</v>
      </c>
      <c r="O1397" t="n">
        <v>25.4</v>
      </c>
      <c r="P1397" t="n">
        <v>26</v>
      </c>
      <c r="Q1397" t="n">
        <v>58.4</v>
      </c>
      <c r="R1397" t="n">
        <v>49</v>
      </c>
      <c r="S1397" t="n">
        <v>3500000</v>
      </c>
      <c r="T1397" t="n">
        <v>6579</v>
      </c>
      <c r="AH1397" t="inlineStr">
        <is>
          <t>Quelle: Idealista</t>
        </is>
      </c>
    </row>
    <row r="1398">
      <c r="A1398" t="n">
        <v>1211</v>
      </c>
      <c r="B1398" t="inlineStr">
        <is>
          <t>Casa independiente en Rector vives</t>
        </is>
      </c>
      <c r="C1398" t="inlineStr">
        <is>
          <t>https://www.idealista.com/inmueble/103661190/</t>
        </is>
      </c>
      <c r="E1398" t="n">
        <v>5</v>
      </c>
      <c r="H1398" t="n">
        <v>600</v>
      </c>
      <c r="J1398" t="inlineStr">
        <is>
          <t>Genova - Bonanova - Sant Agustí, Palma de Mallorca</t>
        </is>
      </c>
      <c r="K1398" t="n">
        <v>18</v>
      </c>
      <c r="L1398" t="n">
        <v>20</v>
      </c>
      <c r="M1398" t="n">
        <v>60.7</v>
      </c>
      <c r="N1398" t="n">
        <v>53</v>
      </c>
      <c r="O1398" t="n">
        <v>25.4</v>
      </c>
      <c r="P1398" t="n">
        <v>26</v>
      </c>
      <c r="Q1398" t="n">
        <v>58.4</v>
      </c>
      <c r="R1398" t="n">
        <v>49</v>
      </c>
      <c r="S1398" t="n">
        <v>4995000</v>
      </c>
      <c r="T1398" t="n">
        <v>8325</v>
      </c>
      <c r="AH1398" t="inlineStr">
        <is>
          <t>Quelle: Idealista</t>
        </is>
      </c>
    </row>
    <row r="1399">
      <c r="A1399" t="n">
        <v>1212</v>
      </c>
      <c r="B1399" t="inlineStr">
        <is>
          <t>Chalet</t>
        </is>
      </c>
      <c r="C1399" t="inlineStr">
        <is>
          <t>https://www.idealista.com/inmueble/103444271/</t>
        </is>
      </c>
      <c r="E1399" t="n">
        <v>11</v>
      </c>
      <c r="H1399" t="n">
        <v>532</v>
      </c>
      <c r="J1399" t="inlineStr">
        <is>
          <t>Genova - Bonanova - Sant Agustí, Palma de Mallorca</t>
        </is>
      </c>
      <c r="K1399" t="n">
        <v>18</v>
      </c>
      <c r="L1399" t="n">
        <v>20</v>
      </c>
      <c r="M1399" t="n">
        <v>60.7</v>
      </c>
      <c r="N1399" t="n">
        <v>53</v>
      </c>
      <c r="O1399" t="n">
        <v>25.4</v>
      </c>
      <c r="P1399" t="n">
        <v>26</v>
      </c>
      <c r="Q1399" t="n">
        <v>58.4</v>
      </c>
      <c r="R1399" t="n">
        <v>49</v>
      </c>
      <c r="S1399" t="n">
        <v>3500000</v>
      </c>
      <c r="T1399" t="n">
        <v>6579</v>
      </c>
      <c r="AH1399" t="inlineStr">
        <is>
          <t>Quelle: Idealista</t>
        </is>
      </c>
    </row>
    <row r="1400">
      <c r="A1400" t="n">
        <v>1213</v>
      </c>
      <c r="B1400" t="inlineStr">
        <is>
          <t>Casa independiente en calle Del Rector Vives</t>
        </is>
      </c>
      <c r="C1400" t="inlineStr">
        <is>
          <t>https://www.idealista.com/inmueble/103288924/</t>
        </is>
      </c>
      <c r="E1400" t="n">
        <v>5</v>
      </c>
      <c r="H1400" t="n">
        <v>604</v>
      </c>
      <c r="J1400" t="inlineStr">
        <is>
          <t>Genova - Bonanova - Sant Agustí, Palma de Mallorca</t>
        </is>
      </c>
      <c r="K1400" t="n">
        <v>18</v>
      </c>
      <c r="L1400" t="n">
        <v>20</v>
      </c>
      <c r="M1400" t="n">
        <v>60.7</v>
      </c>
      <c r="N1400" t="n">
        <v>53</v>
      </c>
      <c r="O1400" t="n">
        <v>25.4</v>
      </c>
      <c r="P1400" t="n">
        <v>26</v>
      </c>
      <c r="Q1400" t="n">
        <v>58.4</v>
      </c>
      <c r="R1400" t="n">
        <v>49</v>
      </c>
      <c r="S1400" t="n">
        <v>4995000</v>
      </c>
      <c r="T1400" t="n">
        <v>8270</v>
      </c>
      <c r="AH1400" t="inlineStr">
        <is>
          <t>Quelle: Idealista</t>
        </is>
      </c>
    </row>
    <row r="1401">
      <c r="A1401" t="n">
        <v>1214</v>
      </c>
      <c r="B1401" t="inlineStr">
        <is>
          <t>Casa independiente</t>
        </is>
      </c>
      <c r="C1401" t="inlineStr">
        <is>
          <t>https://www.idealista.com/inmueble/85826900/</t>
        </is>
      </c>
      <c r="E1401" t="n">
        <v>8</v>
      </c>
      <c r="H1401" t="n">
        <v>680</v>
      </c>
      <c r="J1401" t="inlineStr">
        <is>
          <t>Genova - Bonanova - Sant Agustí, Palma de Mallorca</t>
        </is>
      </c>
      <c r="K1401" t="n">
        <v>18</v>
      </c>
      <c r="L1401" t="n">
        <v>20</v>
      </c>
      <c r="M1401" t="n">
        <v>60.7</v>
      </c>
      <c r="N1401" t="n">
        <v>53</v>
      </c>
      <c r="O1401" t="n">
        <v>25.4</v>
      </c>
      <c r="P1401" t="n">
        <v>26</v>
      </c>
      <c r="Q1401" t="n">
        <v>58.4</v>
      </c>
      <c r="R1401" t="n">
        <v>49</v>
      </c>
      <c r="S1401" t="n">
        <v>2198000</v>
      </c>
      <c r="T1401" t="n">
        <v>3232</v>
      </c>
      <c r="AH1401" t="inlineStr">
        <is>
          <t>Quelle: Idealista</t>
        </is>
      </c>
    </row>
    <row r="1402">
      <c r="A1402" t="n">
        <v>1215</v>
      </c>
      <c r="B1402" t="inlineStr">
        <is>
          <t>Finca rústica</t>
        </is>
      </c>
      <c r="C1402" t="inlineStr">
        <is>
          <t>https://www.idealista.com/inmueble/99010664/</t>
        </is>
      </c>
      <c r="E1402" t="n">
        <v>6</v>
      </c>
      <c r="H1402" t="n">
        <v>859</v>
      </c>
      <c r="J1402" t="inlineStr">
        <is>
          <t>Genova - Bonanova - Sant Agustí, Palma de Mallorca</t>
        </is>
      </c>
      <c r="K1402" t="n">
        <v>18</v>
      </c>
      <c r="L1402" t="n">
        <v>20</v>
      </c>
      <c r="M1402" t="n">
        <v>60.7</v>
      </c>
      <c r="N1402" t="n">
        <v>53</v>
      </c>
      <c r="O1402" t="n">
        <v>25.4</v>
      </c>
      <c r="P1402" t="n">
        <v>26</v>
      </c>
      <c r="Q1402" t="n">
        <v>58.4</v>
      </c>
      <c r="R1402" t="n">
        <v>49</v>
      </c>
      <c r="S1402" t="n">
        <v>4900000</v>
      </c>
      <c r="T1402" t="n">
        <v>5704</v>
      </c>
      <c r="AH1402" t="inlineStr">
        <is>
          <t>Quelle: Idealista</t>
        </is>
      </c>
    </row>
    <row r="1403">
      <c r="A1403" t="n">
        <v>1216</v>
      </c>
      <c r="B1403" t="inlineStr">
        <is>
          <t>Casa independiente</t>
        </is>
      </c>
      <c r="C1403" t="inlineStr">
        <is>
          <t>https://www.idealista.com/inmueble/91633338/</t>
        </is>
      </c>
      <c r="E1403" t="n">
        <v>6</v>
      </c>
      <c r="H1403" t="n">
        <v>585</v>
      </c>
      <c r="J1403" t="inlineStr">
        <is>
          <t>Genova - Bonanova - Sant Agustí, Palma de Mallorca</t>
        </is>
      </c>
      <c r="K1403" t="n">
        <v>18</v>
      </c>
      <c r="L1403" t="n">
        <v>20</v>
      </c>
      <c r="M1403" t="n">
        <v>60.7</v>
      </c>
      <c r="N1403" t="n">
        <v>53</v>
      </c>
      <c r="O1403" t="n">
        <v>25.4</v>
      </c>
      <c r="P1403" t="n">
        <v>26</v>
      </c>
      <c r="Q1403" t="n">
        <v>58.4</v>
      </c>
      <c r="R1403" t="n">
        <v>49</v>
      </c>
      <c r="S1403" t="n">
        <v>3500000</v>
      </c>
      <c r="T1403" t="n">
        <v>5983</v>
      </c>
      <c r="AH1403" t="inlineStr">
        <is>
          <t>Quelle: Idealista</t>
        </is>
      </c>
    </row>
    <row r="1404">
      <c r="A1404" t="n">
        <v>1217</v>
      </c>
      <c r="B1404" t="inlineStr">
        <is>
          <t>Casa independiente</t>
        </is>
      </c>
      <c r="C1404" t="inlineStr">
        <is>
          <t>https://www.idealista.com/inmueble/110397939/</t>
        </is>
      </c>
      <c r="E1404" t="n">
        <v>6</v>
      </c>
      <c r="H1404" t="n">
        <v>600</v>
      </c>
      <c r="J1404" t="inlineStr">
        <is>
          <t>La Vileta - Son Rapinya, Palma de Mallorca</t>
        </is>
      </c>
      <c r="K1404" t="n">
        <v>18.8</v>
      </c>
      <c r="L1404" t="n">
        <v>21</v>
      </c>
      <c r="M1404" t="n">
        <v>61.6</v>
      </c>
      <c r="N1404" t="n">
        <v>54</v>
      </c>
      <c r="O1404" t="n">
        <v>30.7</v>
      </c>
      <c r="P1404" t="n">
        <v>30</v>
      </c>
      <c r="Q1404" t="n">
        <v>59.3</v>
      </c>
      <c r="R1404" t="n">
        <v>51</v>
      </c>
      <c r="S1404" t="n">
        <v>2150000</v>
      </c>
      <c r="T1404" t="n">
        <v>3583</v>
      </c>
      <c r="AH1404" t="inlineStr">
        <is>
          <t>Quelle: Idealista</t>
        </is>
      </c>
    </row>
    <row r="1405">
      <c r="A1405" t="n">
        <v>1218</v>
      </c>
      <c r="B1405" t="inlineStr">
        <is>
          <t>Chalet</t>
        </is>
      </c>
      <c r="C1405" t="inlineStr">
        <is>
          <t>https://www.idealista.com/inmueble/110268806/</t>
        </is>
      </c>
      <c r="E1405" t="n">
        <v>11</v>
      </c>
      <c r="H1405" t="n">
        <v>1360</v>
      </c>
      <c r="J1405" t="inlineStr">
        <is>
          <t>La Vileta - Son Rapinya, Palma de Mallorca</t>
        </is>
      </c>
      <c r="K1405" t="n">
        <v>18.8</v>
      </c>
      <c r="L1405" t="n">
        <v>21</v>
      </c>
      <c r="M1405" t="n">
        <v>61.6</v>
      </c>
      <c r="N1405" t="n">
        <v>54</v>
      </c>
      <c r="O1405" t="n">
        <v>30.7</v>
      </c>
      <c r="P1405" t="n">
        <v>30</v>
      </c>
      <c r="Q1405" t="n">
        <v>59.3</v>
      </c>
      <c r="R1405" t="n">
        <v>51</v>
      </c>
      <c r="S1405" t="n">
        <v>5900000</v>
      </c>
      <c r="T1405" t="n">
        <v>4338</v>
      </c>
      <c r="AH1405" t="inlineStr">
        <is>
          <t>Quelle: Idealista</t>
        </is>
      </c>
    </row>
    <row r="1406">
      <c r="A1406" t="n">
        <v>1219</v>
      </c>
      <c r="B1406" t="inlineStr">
        <is>
          <t>Casa independiente en calle de Can Sbert, 7</t>
        </is>
      </c>
      <c r="C1406" t="inlineStr">
        <is>
          <t>https://www.idealista.com/inmueble/110022624/</t>
        </is>
      </c>
      <c r="E1406" t="n">
        <v>6</v>
      </c>
      <c r="H1406" t="n">
        <v>434</v>
      </c>
      <c r="J1406" t="inlineStr">
        <is>
          <t>La Vileta - Son Rapinya, Palma de Mallorca</t>
        </is>
      </c>
      <c r="K1406" t="n">
        <v>18.8</v>
      </c>
      <c r="L1406" t="n">
        <v>21</v>
      </c>
      <c r="M1406" t="n">
        <v>61.6</v>
      </c>
      <c r="N1406" t="n">
        <v>54</v>
      </c>
      <c r="O1406" t="n">
        <v>30.7</v>
      </c>
      <c r="P1406" t="n">
        <v>30</v>
      </c>
      <c r="Q1406" t="n">
        <v>59.3</v>
      </c>
      <c r="R1406" t="n">
        <v>51</v>
      </c>
      <c r="S1406" t="n">
        <v>2490000</v>
      </c>
      <c r="T1406" t="n">
        <v>5737</v>
      </c>
      <c r="AH1406" t="inlineStr">
        <is>
          <t>Quelle: Idealista</t>
        </is>
      </c>
    </row>
    <row r="1407">
      <c r="A1407" t="n">
        <v>1220</v>
      </c>
      <c r="B1407" t="inlineStr">
        <is>
          <t>Casa independiente</t>
        </is>
      </c>
      <c r="C1407" t="inlineStr">
        <is>
          <t>https://www.idealista.com/inmueble/109964493/</t>
        </is>
      </c>
      <c r="E1407" t="n">
        <v>6</v>
      </c>
      <c r="H1407" t="n">
        <v>472</v>
      </c>
      <c r="J1407" t="inlineStr">
        <is>
          <t>La Vileta - Son Rapinya, Palma de Mallorca</t>
        </is>
      </c>
      <c r="K1407" t="n">
        <v>18.8</v>
      </c>
      <c r="L1407" t="n">
        <v>21</v>
      </c>
      <c r="M1407" t="n">
        <v>61.6</v>
      </c>
      <c r="N1407" t="n">
        <v>54</v>
      </c>
      <c r="O1407" t="n">
        <v>30.7</v>
      </c>
      <c r="P1407" t="n">
        <v>30</v>
      </c>
      <c r="Q1407" t="n">
        <v>59.3</v>
      </c>
      <c r="R1407" t="n">
        <v>51</v>
      </c>
      <c r="S1407" t="n">
        <v>2999990</v>
      </c>
      <c r="T1407" t="n">
        <v>6356</v>
      </c>
      <c r="AH1407" t="inlineStr">
        <is>
          <t>Quelle: Idealista</t>
        </is>
      </c>
    </row>
    <row r="1408">
      <c r="A1408" t="n">
        <v>1221</v>
      </c>
      <c r="B1408" t="inlineStr">
        <is>
          <t>Casa independiente</t>
        </is>
      </c>
      <c r="C1408" t="inlineStr">
        <is>
          <t>https://www.idealista.com/inmueble/109638138/</t>
        </is>
      </c>
      <c r="E1408" t="n">
        <v>7</v>
      </c>
      <c r="H1408" t="n">
        <v>630</v>
      </c>
      <c r="J1408" t="inlineStr">
        <is>
          <t>La Vileta - Son Rapinya, Palma de Mallorca</t>
        </is>
      </c>
      <c r="K1408" t="n">
        <v>18.8</v>
      </c>
      <c r="L1408" t="n">
        <v>21</v>
      </c>
      <c r="M1408" t="n">
        <v>61.6</v>
      </c>
      <c r="N1408" t="n">
        <v>54</v>
      </c>
      <c r="O1408" t="n">
        <v>30.7</v>
      </c>
      <c r="P1408" t="n">
        <v>30</v>
      </c>
      <c r="Q1408" t="n">
        <v>59.3</v>
      </c>
      <c r="R1408" t="n">
        <v>51</v>
      </c>
      <c r="S1408" t="n">
        <v>3250000</v>
      </c>
      <c r="T1408" t="n">
        <v>5159</v>
      </c>
      <c r="AH1408" t="inlineStr">
        <is>
          <t>Quelle: Idealista</t>
        </is>
      </c>
    </row>
    <row r="1409">
      <c r="A1409" t="n">
        <v>1222</v>
      </c>
      <c r="B1409" t="inlineStr">
        <is>
          <t>Casa independiente</t>
        </is>
      </c>
      <c r="C1409" t="inlineStr">
        <is>
          <t>https://www.idealista.com/inmueble/109463528/</t>
        </is>
      </c>
      <c r="E1409" t="n">
        <v>6</v>
      </c>
      <c r="H1409" t="n">
        <v>418</v>
      </c>
      <c r="J1409" t="inlineStr">
        <is>
          <t>La Vileta - Son Rapinya, Palma de Mallorca</t>
        </is>
      </c>
      <c r="K1409" t="n">
        <v>18.8</v>
      </c>
      <c r="L1409" t="n">
        <v>21</v>
      </c>
      <c r="M1409" t="n">
        <v>61.6</v>
      </c>
      <c r="N1409" t="n">
        <v>54</v>
      </c>
      <c r="O1409" t="n">
        <v>30.7</v>
      </c>
      <c r="P1409" t="n">
        <v>30</v>
      </c>
      <c r="Q1409" t="n">
        <v>59.3</v>
      </c>
      <c r="R1409" t="n">
        <v>51</v>
      </c>
      <c r="S1409" t="n">
        <v>2490000</v>
      </c>
      <c r="T1409" t="n">
        <v>5957</v>
      </c>
      <c r="AH1409" t="inlineStr">
        <is>
          <t>Quelle: Idealista</t>
        </is>
      </c>
    </row>
    <row r="1410">
      <c r="A1410" t="n">
        <v>1223</v>
      </c>
      <c r="B1410" t="inlineStr">
        <is>
          <t>Casa independiente</t>
        </is>
      </c>
      <c r="C1410" t="inlineStr">
        <is>
          <t>https://www.idealista.com/inmueble/109231543/</t>
        </is>
      </c>
      <c r="E1410" t="n">
        <v>7</v>
      </c>
      <c r="H1410" t="n">
        <v>631</v>
      </c>
      <c r="J1410" t="inlineStr">
        <is>
          <t>La Vileta - Son Rapinya, Palma de Mallorca</t>
        </is>
      </c>
      <c r="K1410" t="n">
        <v>18.8</v>
      </c>
      <c r="L1410" t="n">
        <v>21</v>
      </c>
      <c r="M1410" t="n">
        <v>61.6</v>
      </c>
      <c r="N1410" t="n">
        <v>54</v>
      </c>
      <c r="O1410" t="n">
        <v>30.7</v>
      </c>
      <c r="P1410" t="n">
        <v>30</v>
      </c>
      <c r="Q1410" t="n">
        <v>59.3</v>
      </c>
      <c r="R1410" t="n">
        <v>51</v>
      </c>
      <c r="S1410" t="n">
        <v>3250000</v>
      </c>
      <c r="T1410" t="n">
        <v>5151</v>
      </c>
      <c r="AH1410" t="inlineStr">
        <is>
          <t>Quelle: Idealista</t>
        </is>
      </c>
    </row>
    <row r="1411">
      <c r="A1411" t="n">
        <v>1224</v>
      </c>
      <c r="B1411" t="inlineStr">
        <is>
          <t>Casa de pueblo</t>
        </is>
      </c>
      <c r="C1411" t="inlineStr">
        <is>
          <t>https://www.idealista.com/inmueble/108950018/</t>
        </is>
      </c>
      <c r="E1411" t="n">
        <v>9</v>
      </c>
      <c r="H1411" t="n">
        <v>472</v>
      </c>
      <c r="J1411" t="inlineStr">
        <is>
          <t>La Vileta - Son Rapinya, Palma de Mallorca</t>
        </is>
      </c>
      <c r="K1411" t="n">
        <v>18.8</v>
      </c>
      <c r="L1411" t="n">
        <v>21</v>
      </c>
      <c r="M1411" t="n">
        <v>61.6</v>
      </c>
      <c r="N1411" t="n">
        <v>54</v>
      </c>
      <c r="O1411" t="n">
        <v>30.7</v>
      </c>
      <c r="P1411" t="n">
        <v>30</v>
      </c>
      <c r="Q1411" t="n">
        <v>59.3</v>
      </c>
      <c r="R1411" t="n">
        <v>51</v>
      </c>
      <c r="S1411" t="n">
        <v>3500000</v>
      </c>
      <c r="T1411" t="n">
        <v>7415</v>
      </c>
      <c r="AH1411" t="inlineStr">
        <is>
          <t>Quelle: Idealista</t>
        </is>
      </c>
    </row>
    <row r="1412">
      <c r="A1412" t="n">
        <v>1225</v>
      </c>
      <c r="B1412" t="inlineStr">
        <is>
          <t>Finca rústica</t>
        </is>
      </c>
      <c r="C1412" t="inlineStr">
        <is>
          <t>https://www.idealista.com/inmueble/108858277/</t>
        </is>
      </c>
      <c r="E1412" t="n">
        <v>11</v>
      </c>
      <c r="H1412" t="n">
        <v>1243</v>
      </c>
      <c r="J1412" t="inlineStr">
        <is>
          <t>La Vileta - Son Rapinya, Palma de Mallorca</t>
        </is>
      </c>
      <c r="K1412" t="n">
        <v>18.8</v>
      </c>
      <c r="L1412" t="n">
        <v>21</v>
      </c>
      <c r="M1412" t="n">
        <v>61.6</v>
      </c>
      <c r="N1412" t="n">
        <v>54</v>
      </c>
      <c r="O1412" t="n">
        <v>30.7</v>
      </c>
      <c r="P1412" t="n">
        <v>30</v>
      </c>
      <c r="Q1412" t="n">
        <v>59.3</v>
      </c>
      <c r="R1412" t="n">
        <v>51</v>
      </c>
      <c r="S1412" t="n">
        <v>5900000</v>
      </c>
      <c r="T1412" t="n">
        <v>4747</v>
      </c>
      <c r="AH1412" t="inlineStr">
        <is>
          <t>Quelle: Idealista</t>
        </is>
      </c>
    </row>
    <row r="1413">
      <c r="A1413" t="n">
        <v>1226</v>
      </c>
      <c r="B1413" t="inlineStr">
        <is>
          <t>Casa independiente</t>
        </is>
      </c>
      <c r="C1413" t="inlineStr">
        <is>
          <t>https://www.idealista.com/inmueble/108858007/</t>
        </is>
      </c>
      <c r="E1413" t="n">
        <v>6</v>
      </c>
      <c r="H1413" t="n">
        <v>381</v>
      </c>
      <c r="J1413" t="inlineStr">
        <is>
          <t>La Vileta - Son Rapinya, Palma de Mallorca</t>
        </is>
      </c>
      <c r="K1413" t="n">
        <v>18.8</v>
      </c>
      <c r="L1413" t="n">
        <v>21</v>
      </c>
      <c r="M1413" t="n">
        <v>61.6</v>
      </c>
      <c r="N1413" t="n">
        <v>54</v>
      </c>
      <c r="O1413" t="n">
        <v>30.7</v>
      </c>
      <c r="P1413" t="n">
        <v>30</v>
      </c>
      <c r="Q1413" t="n">
        <v>59.3</v>
      </c>
      <c r="R1413" t="n">
        <v>51</v>
      </c>
      <c r="S1413" t="n">
        <v>2490000</v>
      </c>
      <c r="T1413" t="n">
        <v>6535</v>
      </c>
      <c r="AH1413" t="inlineStr">
        <is>
          <t>Quelle: Idealista</t>
        </is>
      </c>
    </row>
    <row r="1414">
      <c r="A1414" t="n">
        <v>1227</v>
      </c>
      <c r="B1414" t="inlineStr">
        <is>
          <t>Casa independiente en calle de Bellavista s/n</t>
        </is>
      </c>
      <c r="C1414" t="inlineStr">
        <is>
          <t>https://www.idealista.com/inmueble/107992653/</t>
        </is>
      </c>
      <c r="E1414" t="n">
        <v>5</v>
      </c>
      <c r="H1414" t="n">
        <v>400</v>
      </c>
      <c r="J1414" t="inlineStr">
        <is>
          <t>La Vileta - Son Rapinya, Palma de Mallorca</t>
        </is>
      </c>
      <c r="K1414" t="n">
        <v>18.8</v>
      </c>
      <c r="L1414" t="n">
        <v>21</v>
      </c>
      <c r="M1414" t="n">
        <v>61.6</v>
      </c>
      <c r="N1414" t="n">
        <v>54</v>
      </c>
      <c r="O1414" t="n">
        <v>30.7</v>
      </c>
      <c r="P1414" t="n">
        <v>30</v>
      </c>
      <c r="Q1414" t="n">
        <v>59.3</v>
      </c>
      <c r="R1414" t="n">
        <v>51</v>
      </c>
      <c r="S1414" t="n">
        <v>3950000</v>
      </c>
      <c r="T1414" t="n">
        <v>9875</v>
      </c>
      <c r="AH1414" t="inlineStr">
        <is>
          <t>Quelle: Idealista</t>
        </is>
      </c>
    </row>
    <row r="1415">
      <c r="A1415" t="n">
        <v>1228</v>
      </c>
      <c r="B1415" t="inlineStr">
        <is>
          <t>Casa independiente</t>
        </is>
      </c>
      <c r="C1415" t="inlineStr">
        <is>
          <t>https://www.idealista.com/inmueble/106730454/</t>
        </is>
      </c>
      <c r="E1415" t="n">
        <v>5</v>
      </c>
      <c r="H1415" t="n">
        <v>560</v>
      </c>
      <c r="J1415" t="inlineStr">
        <is>
          <t>La Vileta - Son Rapinya, Palma de Mallorca</t>
        </is>
      </c>
      <c r="K1415" t="n">
        <v>18.8</v>
      </c>
      <c r="L1415" t="n">
        <v>21</v>
      </c>
      <c r="M1415" t="n">
        <v>61.6</v>
      </c>
      <c r="N1415" t="n">
        <v>54</v>
      </c>
      <c r="O1415" t="n">
        <v>30.7</v>
      </c>
      <c r="P1415" t="n">
        <v>30</v>
      </c>
      <c r="Q1415" t="n">
        <v>59.3</v>
      </c>
      <c r="R1415" t="n">
        <v>51</v>
      </c>
      <c r="S1415" t="n">
        <v>3950000</v>
      </c>
      <c r="T1415" t="n">
        <v>7054</v>
      </c>
      <c r="AH1415" t="inlineStr">
        <is>
          <t>Quelle: Idealista</t>
        </is>
      </c>
    </row>
    <row r="1416">
      <c r="A1416" t="n">
        <v>1229</v>
      </c>
      <c r="B1416" t="inlineStr">
        <is>
          <t>Casa independiente en calle Solitari</t>
        </is>
      </c>
      <c r="C1416" t="inlineStr">
        <is>
          <t>https://www.idealista.com/inmueble/108401908/</t>
        </is>
      </c>
      <c r="E1416" t="n">
        <v>5</v>
      </c>
      <c r="H1416" t="n">
        <v>458</v>
      </c>
      <c r="J1416" t="inlineStr">
        <is>
          <t>La Vileta - Son Rapinya, Palma de Mallorca</t>
        </is>
      </c>
      <c r="K1416" t="n">
        <v>18.8</v>
      </c>
      <c r="L1416" t="n">
        <v>21</v>
      </c>
      <c r="M1416" t="n">
        <v>61.6</v>
      </c>
      <c r="N1416" t="n">
        <v>54</v>
      </c>
      <c r="O1416" t="n">
        <v>30.7</v>
      </c>
      <c r="P1416" t="n">
        <v>30</v>
      </c>
      <c r="Q1416" t="n">
        <v>59.3</v>
      </c>
      <c r="R1416" t="n">
        <v>51</v>
      </c>
      <c r="S1416" t="n">
        <v>3950000</v>
      </c>
      <c r="T1416" t="n">
        <v>8624</v>
      </c>
      <c r="AH1416" t="inlineStr">
        <is>
          <t>Quelle: Idealista</t>
        </is>
      </c>
    </row>
    <row r="1417">
      <c r="A1417" t="n">
        <v>1230</v>
      </c>
      <c r="B1417" t="inlineStr">
        <is>
          <t>Casa independiente</t>
        </is>
      </c>
      <c r="C1417" t="inlineStr">
        <is>
          <t>https://www.idealista.com/inmueble/108240469/</t>
        </is>
      </c>
      <c r="E1417" t="n">
        <v>5</v>
      </c>
      <c r="H1417" t="n">
        <v>1600</v>
      </c>
      <c r="J1417" t="inlineStr">
        <is>
          <t>La Vileta - Son Rapinya, Palma de Mallorca</t>
        </is>
      </c>
      <c r="K1417" t="n">
        <v>18.8</v>
      </c>
      <c r="L1417" t="n">
        <v>21</v>
      </c>
      <c r="M1417" t="n">
        <v>61.6</v>
      </c>
      <c r="N1417" t="n">
        <v>54</v>
      </c>
      <c r="O1417" t="n">
        <v>30.7</v>
      </c>
      <c r="P1417" t="n">
        <v>30</v>
      </c>
      <c r="Q1417" t="n">
        <v>59.3</v>
      </c>
      <c r="R1417" t="n">
        <v>51</v>
      </c>
      <c r="S1417" t="n">
        <v>5900000</v>
      </c>
      <c r="T1417" t="n">
        <v>3688</v>
      </c>
      <c r="AH1417" t="inlineStr">
        <is>
          <t>Quelle: Idealista</t>
        </is>
      </c>
    </row>
    <row r="1418">
      <c r="A1418" t="n">
        <v>1231</v>
      </c>
      <c r="B1418" t="inlineStr">
        <is>
          <t>Casa rural</t>
        </is>
      </c>
      <c r="C1418" t="inlineStr">
        <is>
          <t>https://www.idealista.com/inmueble/108104792/</t>
        </is>
      </c>
      <c r="E1418" t="n">
        <v>8</v>
      </c>
      <c r="H1418" t="n">
        <v>1480</v>
      </c>
      <c r="J1418" t="inlineStr">
        <is>
          <t>La Vileta - Son Rapinya, Palma de Mallorca</t>
        </is>
      </c>
      <c r="K1418" t="n">
        <v>18.8</v>
      </c>
      <c r="L1418" t="n">
        <v>21</v>
      </c>
      <c r="M1418" t="n">
        <v>61.6</v>
      </c>
      <c r="N1418" t="n">
        <v>54</v>
      </c>
      <c r="O1418" t="n">
        <v>30.7</v>
      </c>
      <c r="P1418" t="n">
        <v>30</v>
      </c>
      <c r="Q1418" t="n">
        <v>59.3</v>
      </c>
      <c r="R1418" t="n">
        <v>51</v>
      </c>
      <c r="S1418" t="n">
        <v>5800000</v>
      </c>
      <c r="T1418" t="n">
        <v>3919</v>
      </c>
      <c r="AH1418" t="inlineStr">
        <is>
          <t>Quelle: Idealista</t>
        </is>
      </c>
    </row>
    <row r="1419">
      <c r="A1419" t="n">
        <v>1232</v>
      </c>
      <c r="B1419" t="inlineStr">
        <is>
          <t>Casa independiente en calle de la Merlera</t>
        </is>
      </c>
      <c r="C1419" t="inlineStr">
        <is>
          <t>https://www.idealista.com/inmueble/107696344/</t>
        </is>
      </c>
      <c r="E1419" t="n">
        <v>6</v>
      </c>
      <c r="H1419" t="n">
        <v>434</v>
      </c>
      <c r="J1419" t="inlineStr">
        <is>
          <t>La Vileta - Son Rapinya, Palma de Mallorca</t>
        </is>
      </c>
      <c r="K1419" t="n">
        <v>18.8</v>
      </c>
      <c r="L1419" t="n">
        <v>21</v>
      </c>
      <c r="M1419" t="n">
        <v>61.6</v>
      </c>
      <c r="N1419" t="n">
        <v>54</v>
      </c>
      <c r="O1419" t="n">
        <v>30.7</v>
      </c>
      <c r="P1419" t="n">
        <v>30</v>
      </c>
      <c r="Q1419" t="n">
        <v>59.3</v>
      </c>
      <c r="R1419" t="n">
        <v>51</v>
      </c>
      <c r="S1419" t="n">
        <v>2490000</v>
      </c>
      <c r="T1419" t="n">
        <v>5737</v>
      </c>
      <c r="AH1419" t="inlineStr">
        <is>
          <t>Quelle: Idealista</t>
        </is>
      </c>
    </row>
    <row r="1420">
      <c r="A1420" t="n">
        <v>1233</v>
      </c>
      <c r="B1420" t="inlineStr">
        <is>
          <t>Masía en calle d'Andalusia</t>
        </is>
      </c>
      <c r="C1420" t="inlineStr">
        <is>
          <t>https://www.idealista.com/inmueble/107437671/</t>
        </is>
      </c>
      <c r="E1420" t="n">
        <v>8</v>
      </c>
      <c r="H1420" t="n">
        <v>1600</v>
      </c>
      <c r="J1420" t="inlineStr">
        <is>
          <t>La Vileta - Son Rapinya, Palma de Mallorca</t>
        </is>
      </c>
      <c r="K1420" t="n">
        <v>18.8</v>
      </c>
      <c r="L1420" t="n">
        <v>21</v>
      </c>
      <c r="M1420" t="n">
        <v>61.6</v>
      </c>
      <c r="N1420" t="n">
        <v>54</v>
      </c>
      <c r="O1420" t="n">
        <v>30.7</v>
      </c>
      <c r="P1420" t="n">
        <v>30</v>
      </c>
      <c r="Q1420" t="n">
        <v>59.3</v>
      </c>
      <c r="R1420" t="n">
        <v>51</v>
      </c>
      <c r="S1420" t="n">
        <v>5800000</v>
      </c>
      <c r="T1420" t="n">
        <v>3625</v>
      </c>
      <c r="AH1420" t="inlineStr">
        <is>
          <t>Quelle: Idealista</t>
        </is>
      </c>
    </row>
    <row r="1421">
      <c r="A1421" t="n">
        <v>1234</v>
      </c>
      <c r="B1421" t="inlineStr">
        <is>
          <t>Casa rural</t>
        </is>
      </c>
      <c r="C1421" t="inlineStr">
        <is>
          <t>https://www.idealista.com/inmueble/106922077/</t>
        </is>
      </c>
      <c r="E1421" t="n">
        <v>11</v>
      </c>
      <c r="H1421" t="n">
        <v>990</v>
      </c>
      <c r="J1421" t="inlineStr">
        <is>
          <t>La Vileta - Son Rapinya, Palma de Mallorca</t>
        </is>
      </c>
      <c r="K1421" t="n">
        <v>18.8</v>
      </c>
      <c r="L1421" t="n">
        <v>21</v>
      </c>
      <c r="M1421" t="n">
        <v>61.6</v>
      </c>
      <c r="N1421" t="n">
        <v>54</v>
      </c>
      <c r="O1421" t="n">
        <v>30.7</v>
      </c>
      <c r="P1421" t="n">
        <v>30</v>
      </c>
      <c r="Q1421" t="n">
        <v>59.3</v>
      </c>
      <c r="R1421" t="n">
        <v>51</v>
      </c>
      <c r="S1421" t="n">
        <v>5900000</v>
      </c>
      <c r="T1421" t="n">
        <v>5960</v>
      </c>
      <c r="AH1421" t="inlineStr">
        <is>
          <t>Quelle: Idealista</t>
        </is>
      </c>
    </row>
    <row r="1422">
      <c r="A1422" t="n">
        <v>1235</v>
      </c>
      <c r="B1422" t="inlineStr">
        <is>
          <t>Casa independiente</t>
        </is>
      </c>
      <c r="C1422" t="inlineStr">
        <is>
          <t>https://www.idealista.com/inmueble/95330596/</t>
        </is>
      </c>
      <c r="E1422" t="n">
        <v>6</v>
      </c>
      <c r="H1422" t="n">
        <v>800</v>
      </c>
      <c r="J1422" t="inlineStr">
        <is>
          <t>La Vileta - Son Rapinya, Palma de Mallorca</t>
        </is>
      </c>
      <c r="K1422" t="n">
        <v>18.8</v>
      </c>
      <c r="L1422" t="n">
        <v>21</v>
      </c>
      <c r="M1422" t="n">
        <v>61.6</v>
      </c>
      <c r="N1422" t="n">
        <v>54</v>
      </c>
      <c r="O1422" t="n">
        <v>30.7</v>
      </c>
      <c r="P1422" t="n">
        <v>30</v>
      </c>
      <c r="Q1422" t="n">
        <v>59.3</v>
      </c>
      <c r="R1422" t="n">
        <v>51</v>
      </c>
      <c r="S1422" t="n">
        <v>2150000</v>
      </c>
      <c r="T1422" t="n">
        <v>2688</v>
      </c>
      <c r="AH1422" t="inlineStr">
        <is>
          <t>Quelle: Idealista</t>
        </is>
      </c>
    </row>
    <row r="1423">
      <c r="A1423" t="n">
        <v>1236</v>
      </c>
      <c r="B1423" t="inlineStr">
        <is>
          <t>Finca rústica</t>
        </is>
      </c>
      <c r="C1423" t="inlineStr">
        <is>
          <t>https://www.idealista.com/inmueble/90928257/</t>
        </is>
      </c>
      <c r="E1423" t="n">
        <v>11</v>
      </c>
      <c r="H1423" t="n">
        <v>932</v>
      </c>
      <c r="J1423" t="inlineStr">
        <is>
          <t>La Vileta - Son Rapinya, Palma de Mallorca</t>
        </is>
      </c>
      <c r="K1423" t="n">
        <v>18.8</v>
      </c>
      <c r="L1423" t="n">
        <v>21</v>
      </c>
      <c r="M1423" t="n">
        <v>61.6</v>
      </c>
      <c r="N1423" t="n">
        <v>54</v>
      </c>
      <c r="O1423" t="n">
        <v>30.7</v>
      </c>
      <c r="P1423" t="n">
        <v>30</v>
      </c>
      <c r="Q1423" t="n">
        <v>59.3</v>
      </c>
      <c r="R1423" t="n">
        <v>51</v>
      </c>
      <c r="S1423" t="n">
        <v>5900000</v>
      </c>
      <c r="T1423" t="n">
        <v>6330</v>
      </c>
      <c r="AH1423" t="inlineStr">
        <is>
          <t>Quelle: Idealista</t>
        </is>
      </c>
    </row>
    <row r="1424">
      <c r="A1424" t="n">
        <v>1237</v>
      </c>
      <c r="B1424" t="inlineStr">
        <is>
          <t>Chalet adosado</t>
        </is>
      </c>
      <c r="C1424" t="inlineStr">
        <is>
          <t>https://www.idealista.com/inmueble/105710142/</t>
        </is>
      </c>
      <c r="E1424" t="n">
        <v>5</v>
      </c>
      <c r="H1424" t="n">
        <v>300</v>
      </c>
      <c r="J1424" t="inlineStr">
        <is>
          <t>Las Avenidas, Palma de Mallorca</t>
        </is>
      </c>
      <c r="K1424" t="n">
        <v>11.7</v>
      </c>
      <c r="L1424" t="n">
        <v>19</v>
      </c>
      <c r="M1424" t="n">
        <v>54.5</v>
      </c>
      <c r="N1424" t="n">
        <v>52</v>
      </c>
      <c r="O1424" t="n">
        <v>31.8</v>
      </c>
      <c r="P1424" t="n">
        <v>32</v>
      </c>
      <c r="Q1424" t="n">
        <v>52.2</v>
      </c>
      <c r="R1424" t="n">
        <v>48</v>
      </c>
      <c r="S1424" t="n">
        <v>2000000</v>
      </c>
      <c r="T1424" t="n">
        <v>6667</v>
      </c>
      <c r="AH1424" t="inlineStr">
        <is>
          <t>Quelle: Idealista</t>
        </is>
      </c>
    </row>
    <row r="1425">
      <c r="A1425" t="n">
        <v>1238</v>
      </c>
      <c r="B1425" t="inlineStr">
        <is>
          <t>Casa independiente</t>
        </is>
      </c>
      <c r="C1425" t="inlineStr">
        <is>
          <t>https://www.idealista.com/inmueble/105669363/</t>
        </is>
      </c>
      <c r="E1425" t="n">
        <v>6</v>
      </c>
      <c r="H1425" t="n">
        <v>310</v>
      </c>
      <c r="J1425" t="inlineStr">
        <is>
          <t>Las Avenidas, Palma de Mallorca</t>
        </is>
      </c>
      <c r="K1425" t="n">
        <v>11.7</v>
      </c>
      <c r="L1425" t="n">
        <v>19</v>
      </c>
      <c r="M1425" t="n">
        <v>54.5</v>
      </c>
      <c r="N1425" t="n">
        <v>52</v>
      </c>
      <c r="O1425" t="n">
        <v>31.8</v>
      </c>
      <c r="P1425" t="n">
        <v>32</v>
      </c>
      <c r="Q1425" t="n">
        <v>52.2</v>
      </c>
      <c r="R1425" t="n">
        <v>48</v>
      </c>
      <c r="S1425" t="n">
        <v>2000000</v>
      </c>
      <c r="T1425" t="n">
        <v>6452</v>
      </c>
      <c r="AH1425" t="inlineStr">
        <is>
          <t>Quelle: Idealista</t>
        </is>
      </c>
    </row>
    <row r="1426">
      <c r="A1426" t="n">
        <v>1239</v>
      </c>
      <c r="B1426" t="inlineStr">
        <is>
          <t>Casa independiente en avenida de Gabriel Roca</t>
        </is>
      </c>
      <c r="C1426" t="inlineStr">
        <is>
          <t>https://www.idealista.com/inmueble/109202018/</t>
        </is>
      </c>
      <c r="E1426" t="n">
        <v>5</v>
      </c>
      <c r="H1426" t="n">
        <v>400</v>
      </c>
      <c r="J1426" t="inlineStr">
        <is>
          <t>Llevant - La Soledat, Palma de Mallorca</t>
        </is>
      </c>
      <c r="K1426" t="n">
        <v>8.699999999999999</v>
      </c>
      <c r="L1426" t="n">
        <v>13</v>
      </c>
      <c r="M1426" t="n">
        <v>51.4</v>
      </c>
      <c r="N1426" t="n">
        <v>45</v>
      </c>
      <c r="O1426" t="n">
        <v>35.7</v>
      </c>
      <c r="P1426" t="n">
        <v>32</v>
      </c>
      <c r="Q1426" t="n">
        <v>49.1</v>
      </c>
      <c r="R1426" t="n">
        <v>42</v>
      </c>
      <c r="S1426" t="n">
        <v>2625000</v>
      </c>
      <c r="T1426" t="n">
        <v>6562</v>
      </c>
      <c r="AH1426" t="inlineStr">
        <is>
          <t>Quelle: Idealista</t>
        </is>
      </c>
    </row>
    <row r="1427">
      <c r="A1427" t="n">
        <v>1240</v>
      </c>
      <c r="B1427" t="inlineStr">
        <is>
          <t>Chalet en calle de Lluís Ripoll</t>
        </is>
      </c>
      <c r="C1427" t="inlineStr">
        <is>
          <t>https://www.idealista.com/inmueble/109470247/</t>
        </is>
      </c>
      <c r="E1427" t="n">
        <v>6</v>
      </c>
      <c r="H1427" t="n">
        <v>420</v>
      </c>
      <c r="J1427" t="inlineStr">
        <is>
          <t>Playa de Palma, Palma de Mallorca</t>
        </is>
      </c>
      <c r="K1427" t="n">
        <v>5.8</v>
      </c>
      <c r="L1427" t="n">
        <v>10</v>
      </c>
      <c r="M1427" t="n">
        <v>48.6</v>
      </c>
      <c r="N1427" t="n">
        <v>43</v>
      </c>
      <c r="O1427" t="n">
        <v>40.1</v>
      </c>
      <c r="P1427" t="n">
        <v>35</v>
      </c>
      <c r="Q1427" t="n">
        <v>46.3</v>
      </c>
      <c r="R1427" t="n">
        <v>39</v>
      </c>
      <c r="S1427" t="n">
        <v>2950000</v>
      </c>
      <c r="T1427" t="n">
        <v>7024</v>
      </c>
      <c r="AH1427" t="inlineStr">
        <is>
          <t>Quelle: Idealista</t>
        </is>
      </c>
    </row>
    <row r="1428">
      <c r="A1428" t="n">
        <v>1241</v>
      </c>
      <c r="B1428" t="inlineStr">
        <is>
          <t>Chalet pareado en calle de Can Fonoll</t>
        </is>
      </c>
      <c r="C1428" t="inlineStr">
        <is>
          <t>https://www.idealista.com/inmueble/109953730/</t>
        </is>
      </c>
      <c r="E1428" t="n">
        <v>5</v>
      </c>
      <c r="H1428" t="n">
        <v>407</v>
      </c>
      <c r="J1428" t="inlineStr">
        <is>
          <t>Playa de Palma, Palma de Mallorca</t>
        </is>
      </c>
      <c r="K1428" t="n">
        <v>5.8</v>
      </c>
      <c r="L1428" t="n">
        <v>10</v>
      </c>
      <c r="M1428" t="n">
        <v>48.6</v>
      </c>
      <c r="N1428" t="n">
        <v>43</v>
      </c>
      <c r="O1428" t="n">
        <v>40.1</v>
      </c>
      <c r="P1428" t="n">
        <v>35</v>
      </c>
      <c r="Q1428" t="n">
        <v>46.3</v>
      </c>
      <c r="R1428" t="n">
        <v>39</v>
      </c>
      <c r="S1428" t="n">
        <v>2990000</v>
      </c>
      <c r="T1428" t="n">
        <v>7346</v>
      </c>
      <c r="AH1428" t="inlineStr">
        <is>
          <t>Quelle: Idealista</t>
        </is>
      </c>
    </row>
    <row r="1429">
      <c r="A1429" t="n">
        <v>1242</v>
      </c>
      <c r="B1429" t="inlineStr">
        <is>
          <t>Casa de pueblo</t>
        </is>
      </c>
      <c r="C1429" t="inlineStr">
        <is>
          <t>https://www.idealista.com/inmueble/109815515/</t>
        </is>
      </c>
      <c r="E1429" t="n">
        <v>5</v>
      </c>
      <c r="H1429" t="n">
        <v>517</v>
      </c>
      <c r="J1429" t="inlineStr">
        <is>
          <t>Playa de Palma, Palma de Mallorca</t>
        </is>
      </c>
      <c r="K1429" t="n">
        <v>5.8</v>
      </c>
      <c r="L1429" t="n">
        <v>10</v>
      </c>
      <c r="M1429" t="n">
        <v>48.6</v>
      </c>
      <c r="N1429" t="n">
        <v>43</v>
      </c>
      <c r="O1429" t="n">
        <v>40.1</v>
      </c>
      <c r="P1429" t="n">
        <v>35</v>
      </c>
      <c r="Q1429" t="n">
        <v>46.3</v>
      </c>
      <c r="R1429" t="n">
        <v>39</v>
      </c>
      <c r="S1429" t="n">
        <v>2990000</v>
      </c>
      <c r="T1429" t="n">
        <v>5783</v>
      </c>
      <c r="AH1429" t="inlineStr">
        <is>
          <t>Quelle: Idealista</t>
        </is>
      </c>
    </row>
    <row r="1430">
      <c r="A1430" t="n">
        <v>1243</v>
      </c>
      <c r="B1430" t="inlineStr">
        <is>
          <t>Casa de pueblo</t>
        </is>
      </c>
      <c r="C1430" t="inlineStr">
        <is>
          <t>https://www.idealista.com/inmueble/109706436/</t>
        </is>
      </c>
      <c r="E1430" t="n">
        <v>5</v>
      </c>
      <c r="H1430" t="n">
        <v>330</v>
      </c>
      <c r="J1430" t="inlineStr">
        <is>
          <t>Playa de Palma, Palma de Mallorca</t>
        </is>
      </c>
      <c r="K1430" t="n">
        <v>5.8</v>
      </c>
      <c r="L1430" t="n">
        <v>10</v>
      </c>
      <c r="M1430" t="n">
        <v>48.6</v>
      </c>
      <c r="N1430" t="n">
        <v>43</v>
      </c>
      <c r="O1430" t="n">
        <v>40.1</v>
      </c>
      <c r="P1430" t="n">
        <v>35</v>
      </c>
      <c r="Q1430" t="n">
        <v>46.3</v>
      </c>
      <c r="R1430" t="n">
        <v>39</v>
      </c>
      <c r="S1430" t="n">
        <v>2990000</v>
      </c>
      <c r="T1430" t="n">
        <v>9061</v>
      </c>
      <c r="AH1430" t="inlineStr">
        <is>
          <t>Quelle: Idealista</t>
        </is>
      </c>
    </row>
    <row r="1431">
      <c r="A1431" t="n">
        <v>1244</v>
      </c>
      <c r="B1431" t="inlineStr">
        <is>
          <t>Casa independiente</t>
        </is>
      </c>
      <c r="C1431" t="inlineStr">
        <is>
          <t>https://www.idealista.com/inmueble/97361726/</t>
        </is>
      </c>
      <c r="E1431" t="n">
        <v>5</v>
      </c>
      <c r="H1431" t="n">
        <v>456</v>
      </c>
      <c r="J1431" t="inlineStr">
        <is>
          <t>Playa de Palma, Palma de Mallorca</t>
        </is>
      </c>
      <c r="K1431" t="n">
        <v>5.8</v>
      </c>
      <c r="L1431" t="n">
        <v>10</v>
      </c>
      <c r="M1431" t="n">
        <v>48.6</v>
      </c>
      <c r="N1431" t="n">
        <v>43</v>
      </c>
      <c r="O1431" t="n">
        <v>40.1</v>
      </c>
      <c r="P1431" t="n">
        <v>35</v>
      </c>
      <c r="Q1431" t="n">
        <v>46.3</v>
      </c>
      <c r="R1431" t="n">
        <v>39</v>
      </c>
      <c r="S1431" t="n">
        <v>3450000</v>
      </c>
      <c r="T1431" t="n">
        <v>7566</v>
      </c>
      <c r="AH1431" t="inlineStr">
        <is>
          <t>Quelle: Idealista</t>
        </is>
      </c>
    </row>
    <row r="1432">
      <c r="A1432" t="n">
        <v>1245</v>
      </c>
      <c r="B1432" t="inlineStr">
        <is>
          <t>Casa independiente</t>
        </is>
      </c>
      <c r="C1432" t="inlineStr">
        <is>
          <t>https://www.idealista.com/inmueble/109566050/</t>
        </is>
      </c>
      <c r="E1432" t="n">
        <v>7</v>
      </c>
      <c r="H1432" t="n">
        <v>387</v>
      </c>
      <c r="J1432" t="inlineStr">
        <is>
          <t>Playa de Palma, Palma de Mallorca</t>
        </is>
      </c>
      <c r="K1432" t="n">
        <v>5.8</v>
      </c>
      <c r="L1432" t="n">
        <v>10</v>
      </c>
      <c r="M1432" t="n">
        <v>48.6</v>
      </c>
      <c r="N1432" t="n">
        <v>43</v>
      </c>
      <c r="O1432" t="n">
        <v>40.1</v>
      </c>
      <c r="P1432" t="n">
        <v>35</v>
      </c>
      <c r="Q1432" t="n">
        <v>46.3</v>
      </c>
      <c r="R1432" t="n">
        <v>39</v>
      </c>
      <c r="S1432" t="n">
        <v>2995000</v>
      </c>
      <c r="T1432" t="n">
        <v>7739</v>
      </c>
      <c r="AH1432" t="inlineStr">
        <is>
          <t>Quelle: Idealista</t>
        </is>
      </c>
    </row>
    <row r="1433">
      <c r="A1433" t="n">
        <v>1246</v>
      </c>
      <c r="B1433" t="inlineStr">
        <is>
          <t>Casa independiente en calle del Pelicà</t>
        </is>
      </c>
      <c r="C1433" t="inlineStr">
        <is>
          <t>https://www.idealista.com/inmueble/109406289/</t>
        </is>
      </c>
      <c r="E1433" t="n">
        <v>5</v>
      </c>
      <c r="H1433" t="n">
        <v>293</v>
      </c>
      <c r="J1433" t="inlineStr">
        <is>
          <t>Playa de Palma, Palma de Mallorca</t>
        </is>
      </c>
      <c r="K1433" t="n">
        <v>5.8</v>
      </c>
      <c r="L1433" t="n">
        <v>10</v>
      </c>
      <c r="M1433" t="n">
        <v>48.6</v>
      </c>
      <c r="N1433" t="n">
        <v>43</v>
      </c>
      <c r="O1433" t="n">
        <v>40.1</v>
      </c>
      <c r="P1433" t="n">
        <v>35</v>
      </c>
      <c r="Q1433" t="n">
        <v>46.3</v>
      </c>
      <c r="R1433" t="n">
        <v>39</v>
      </c>
      <c r="S1433" t="n">
        <v>2200000</v>
      </c>
      <c r="T1433" t="n">
        <v>7509</v>
      </c>
      <c r="AH1433" t="inlineStr">
        <is>
          <t>Quelle: Idealista</t>
        </is>
      </c>
    </row>
    <row r="1434">
      <c r="A1434" t="n">
        <v>1247</v>
      </c>
      <c r="B1434" t="inlineStr">
        <is>
          <t>Casa independiente</t>
        </is>
      </c>
      <c r="C1434" t="inlineStr">
        <is>
          <t>https://www.idealista.com/inmueble/109310884/</t>
        </is>
      </c>
      <c r="E1434" t="n">
        <v>5</v>
      </c>
      <c r="H1434" t="n">
        <v>407</v>
      </c>
      <c r="J1434" t="inlineStr">
        <is>
          <t>Playa de Palma, Palma de Mallorca</t>
        </is>
      </c>
      <c r="K1434" t="n">
        <v>5.8</v>
      </c>
      <c r="L1434" t="n">
        <v>10</v>
      </c>
      <c r="M1434" t="n">
        <v>48.6</v>
      </c>
      <c r="N1434" t="n">
        <v>43</v>
      </c>
      <c r="O1434" t="n">
        <v>40.1</v>
      </c>
      <c r="P1434" t="n">
        <v>35</v>
      </c>
      <c r="Q1434" t="n">
        <v>46.3</v>
      </c>
      <c r="R1434" t="n">
        <v>39</v>
      </c>
      <c r="S1434" t="n">
        <v>3450000</v>
      </c>
      <c r="T1434" t="n">
        <v>8477</v>
      </c>
      <c r="AH1434" t="inlineStr">
        <is>
          <t>Quelle: Idealista</t>
        </is>
      </c>
    </row>
    <row r="1435">
      <c r="A1435" t="n">
        <v>1248</v>
      </c>
      <c r="B1435" t="inlineStr">
        <is>
          <t>Casa independiente</t>
        </is>
      </c>
      <c r="C1435" t="inlineStr">
        <is>
          <t>https://www.idealista.com/inmueble/108858316/</t>
        </is>
      </c>
      <c r="E1435" t="n">
        <v>8</v>
      </c>
      <c r="H1435" t="n">
        <v>321</v>
      </c>
      <c r="J1435" t="inlineStr">
        <is>
          <t>Playa de Palma, Palma de Mallorca</t>
        </is>
      </c>
      <c r="K1435" t="n">
        <v>5.8</v>
      </c>
      <c r="L1435" t="n">
        <v>10</v>
      </c>
      <c r="M1435" t="n">
        <v>48.6</v>
      </c>
      <c r="N1435" t="n">
        <v>43</v>
      </c>
      <c r="O1435" t="n">
        <v>40.1</v>
      </c>
      <c r="P1435" t="n">
        <v>35</v>
      </c>
      <c r="Q1435" t="n">
        <v>46.3</v>
      </c>
      <c r="R1435" t="n">
        <v>39</v>
      </c>
      <c r="S1435" t="n">
        <v>2850000</v>
      </c>
      <c r="T1435" t="n">
        <v>8879</v>
      </c>
      <c r="AH1435" t="inlineStr">
        <is>
          <t>Quelle: Idealista</t>
        </is>
      </c>
    </row>
    <row r="1436">
      <c r="A1436" t="n">
        <v>1249</v>
      </c>
      <c r="B1436" t="inlineStr">
        <is>
          <t>Finca rústica</t>
        </is>
      </c>
      <c r="C1436" t="inlineStr">
        <is>
          <t>https://www.idealista.com/inmueble/106441504/</t>
        </is>
      </c>
      <c r="E1436" t="n">
        <v>5</v>
      </c>
      <c r="H1436" t="n">
        <v>1846</v>
      </c>
      <c r="J1436" t="inlineStr">
        <is>
          <t>Playa de Palma, Palma de Mallorca</t>
        </is>
      </c>
      <c r="K1436" t="n">
        <v>5.8</v>
      </c>
      <c r="L1436" t="n">
        <v>10</v>
      </c>
      <c r="M1436" t="n">
        <v>48.6</v>
      </c>
      <c r="N1436" t="n">
        <v>43</v>
      </c>
      <c r="O1436" t="n">
        <v>40.1</v>
      </c>
      <c r="P1436" t="n">
        <v>35</v>
      </c>
      <c r="Q1436" t="n">
        <v>46.3</v>
      </c>
      <c r="R1436" t="n">
        <v>39</v>
      </c>
      <c r="S1436" t="n">
        <v>2800000</v>
      </c>
      <c r="T1436" t="n">
        <v>1517</v>
      </c>
      <c r="AH1436" t="inlineStr">
        <is>
          <t>Quelle: Idealista</t>
        </is>
      </c>
    </row>
    <row r="1437">
      <c r="A1437" t="n">
        <v>1250</v>
      </c>
      <c r="B1437" t="inlineStr">
        <is>
          <t>Casa independiente</t>
        </is>
      </c>
      <c r="C1437" t="inlineStr">
        <is>
          <t>https://www.idealista.com/inmueble/105636395/</t>
        </is>
      </c>
      <c r="E1437" t="n">
        <v>5</v>
      </c>
      <c r="H1437" t="n">
        <v>261</v>
      </c>
      <c r="J1437" t="inlineStr">
        <is>
          <t>Playa de Palma, Palma de Mallorca</t>
        </is>
      </c>
      <c r="K1437" t="n">
        <v>5.8</v>
      </c>
      <c r="L1437" t="n">
        <v>10</v>
      </c>
      <c r="M1437" t="n">
        <v>48.6</v>
      </c>
      <c r="N1437" t="n">
        <v>43</v>
      </c>
      <c r="O1437" t="n">
        <v>40.1</v>
      </c>
      <c r="P1437" t="n">
        <v>35</v>
      </c>
      <c r="Q1437" t="n">
        <v>46.3</v>
      </c>
      <c r="R1437" t="n">
        <v>39</v>
      </c>
      <c r="S1437" t="n">
        <v>3250000</v>
      </c>
      <c r="T1437" t="n">
        <v>12452</v>
      </c>
      <c r="AH1437" t="inlineStr">
        <is>
          <t>Quelle: Idealista</t>
        </is>
      </c>
    </row>
    <row r="1438">
      <c r="A1438" t="n">
        <v>1251</v>
      </c>
      <c r="B1438" t="inlineStr">
        <is>
          <t>Chalet</t>
        </is>
      </c>
      <c r="C1438" t="inlineStr">
        <is>
          <t>https://www.idealista.com/inmueble/97608180/</t>
        </is>
      </c>
      <c r="E1438" t="n">
        <v>5</v>
      </c>
      <c r="H1438" t="n">
        <v>407</v>
      </c>
      <c r="J1438" t="inlineStr">
        <is>
          <t>Playa de Palma, Palma de Mallorca</t>
        </is>
      </c>
      <c r="K1438" t="n">
        <v>5.8</v>
      </c>
      <c r="L1438" t="n">
        <v>10</v>
      </c>
      <c r="M1438" t="n">
        <v>48.6</v>
      </c>
      <c r="N1438" t="n">
        <v>43</v>
      </c>
      <c r="O1438" t="n">
        <v>40.1</v>
      </c>
      <c r="P1438" t="n">
        <v>35</v>
      </c>
      <c r="Q1438" t="n">
        <v>46.3</v>
      </c>
      <c r="R1438" t="n">
        <v>39</v>
      </c>
      <c r="S1438" t="n">
        <v>3450000</v>
      </c>
      <c r="T1438" t="n">
        <v>8477</v>
      </c>
      <c r="AH1438" t="inlineStr">
        <is>
          <t>Quelle: Idealista</t>
        </is>
      </c>
    </row>
    <row r="1439">
      <c r="A1439" t="n">
        <v>1252</v>
      </c>
      <c r="B1439" t="inlineStr">
        <is>
          <t>Chalet pareado en calle de Sor Isabel Cifre</t>
        </is>
      </c>
      <c r="C1439" t="inlineStr">
        <is>
          <t>https://www.idealista.com/inmueble/110395262/</t>
        </is>
      </c>
      <c r="E1439" t="n">
        <v>5</v>
      </c>
      <c r="H1439" t="n">
        <v>328</v>
      </c>
      <c r="J1439" t="inlineStr">
        <is>
          <t>Portixol-Molinar, Palma de Mallorca</t>
        </is>
      </c>
      <c r="K1439" t="n">
        <v>8.5</v>
      </c>
      <c r="L1439" t="n">
        <v>13</v>
      </c>
      <c r="M1439" t="n">
        <v>51.2</v>
      </c>
      <c r="N1439" t="n">
        <v>46</v>
      </c>
      <c r="O1439" t="n">
        <v>37.4</v>
      </c>
      <c r="P1439" t="n">
        <v>34</v>
      </c>
      <c r="Q1439" t="n">
        <v>48.9</v>
      </c>
      <c r="R1439" t="n">
        <v>42</v>
      </c>
      <c r="S1439" t="n">
        <v>2970000</v>
      </c>
      <c r="T1439" t="n">
        <v>9055</v>
      </c>
      <c r="AH1439" t="inlineStr">
        <is>
          <t>Quelle: Idealista</t>
        </is>
      </c>
    </row>
    <row r="1440">
      <c r="A1440" t="n">
        <v>1253</v>
      </c>
      <c r="B1440" t="inlineStr">
        <is>
          <t>Chalet adosado</t>
        </is>
      </c>
      <c r="C1440" t="inlineStr">
        <is>
          <t>https://www.idealista.com/inmueble/110249221/</t>
        </is>
      </c>
      <c r="E1440" t="n">
        <v>5</v>
      </c>
      <c r="H1440" t="n">
        <v>204</v>
      </c>
      <c r="J1440" t="inlineStr">
        <is>
          <t>Portixol-Molinar, Palma de Mallorca</t>
        </is>
      </c>
      <c r="K1440" t="n">
        <v>8.5</v>
      </c>
      <c r="L1440" t="n">
        <v>13</v>
      </c>
      <c r="M1440" t="n">
        <v>51.2</v>
      </c>
      <c r="N1440" t="n">
        <v>46</v>
      </c>
      <c r="O1440" t="n">
        <v>37.4</v>
      </c>
      <c r="P1440" t="n">
        <v>34</v>
      </c>
      <c r="Q1440" t="n">
        <v>48.9</v>
      </c>
      <c r="R1440" t="n">
        <v>42</v>
      </c>
      <c r="S1440" t="n">
        <v>2970000</v>
      </c>
      <c r="T1440" t="n">
        <v>14559</v>
      </c>
      <c r="AH1440" t="inlineStr">
        <is>
          <t>Quelle: Idealista</t>
        </is>
      </c>
    </row>
    <row r="1441">
      <c r="A1441" t="n">
        <v>1254</v>
      </c>
      <c r="B1441" t="inlineStr">
        <is>
          <t>Chalet adosado</t>
        </is>
      </c>
      <c r="C1441" t="inlineStr">
        <is>
          <t>https://www.idealista.com/inmueble/110382896/</t>
        </is>
      </c>
      <c r="E1441" t="n">
        <v>5</v>
      </c>
      <c r="H1441" t="n">
        <v>329</v>
      </c>
      <c r="J1441" t="inlineStr">
        <is>
          <t>Portixol-Molinar, Palma de Mallorca</t>
        </is>
      </c>
      <c r="K1441" t="n">
        <v>8.5</v>
      </c>
      <c r="L1441" t="n">
        <v>13</v>
      </c>
      <c r="M1441" t="n">
        <v>51.2</v>
      </c>
      <c r="N1441" t="n">
        <v>46</v>
      </c>
      <c r="O1441" t="n">
        <v>37.4</v>
      </c>
      <c r="P1441" t="n">
        <v>34</v>
      </c>
      <c r="Q1441" t="n">
        <v>48.9</v>
      </c>
      <c r="R1441" t="n">
        <v>42</v>
      </c>
      <c r="S1441" t="n">
        <v>2970000</v>
      </c>
      <c r="T1441" t="n">
        <v>9027</v>
      </c>
      <c r="AH1441" t="inlineStr">
        <is>
          <t>Quelle: Idealista</t>
        </is>
      </c>
    </row>
    <row r="1442">
      <c r="A1442" t="n">
        <v>1255</v>
      </c>
      <c r="B1442" t="inlineStr">
        <is>
          <t>Casa independiente</t>
        </is>
      </c>
      <c r="C1442" t="inlineStr">
        <is>
          <t>https://www.idealista.com/inmueble/99432296/</t>
        </is>
      </c>
      <c r="E1442" t="n">
        <v>5</v>
      </c>
      <c r="H1442" t="n">
        <v>502</v>
      </c>
      <c r="J1442" t="inlineStr">
        <is>
          <t>Portixol-Molinar, Palma de Mallorca</t>
        </is>
      </c>
      <c r="K1442" t="n">
        <v>8.5</v>
      </c>
      <c r="L1442" t="n">
        <v>13</v>
      </c>
      <c r="M1442" t="n">
        <v>51.2</v>
      </c>
      <c r="N1442" t="n">
        <v>46</v>
      </c>
      <c r="O1442" t="n">
        <v>37.4</v>
      </c>
      <c r="P1442" t="n">
        <v>34</v>
      </c>
      <c r="Q1442" t="n">
        <v>48.9</v>
      </c>
      <c r="R1442" t="n">
        <v>42</v>
      </c>
      <c r="S1442" t="n">
        <v>3900000</v>
      </c>
      <c r="T1442" t="n">
        <v>7769</v>
      </c>
      <c r="AH1442" t="inlineStr">
        <is>
          <t>Quelle: Idealista</t>
        </is>
      </c>
    </row>
    <row r="1443">
      <c r="A1443" t="n">
        <v>1256</v>
      </c>
      <c r="B1443" t="inlineStr">
        <is>
          <t>Casa independiente</t>
        </is>
      </c>
      <c r="C1443" t="inlineStr">
        <is>
          <t>https://www.idealista.com/inmueble/104211171/</t>
        </is>
      </c>
      <c r="E1443" t="n">
        <v>6</v>
      </c>
      <c r="H1443" t="n">
        <v>380</v>
      </c>
      <c r="J1443" t="inlineStr">
        <is>
          <t>Portixol-Molinar, Palma de Mallorca</t>
        </is>
      </c>
      <c r="K1443" t="n">
        <v>8.5</v>
      </c>
      <c r="L1443" t="n">
        <v>13</v>
      </c>
      <c r="M1443" t="n">
        <v>51.2</v>
      </c>
      <c r="N1443" t="n">
        <v>46</v>
      </c>
      <c r="O1443" t="n">
        <v>37.4</v>
      </c>
      <c r="P1443" t="n">
        <v>34</v>
      </c>
      <c r="Q1443" t="n">
        <v>48.9</v>
      </c>
      <c r="R1443" t="n">
        <v>42</v>
      </c>
      <c r="S1443" t="n">
        <v>3400000</v>
      </c>
      <c r="T1443" t="n">
        <v>8947</v>
      </c>
      <c r="AH1443" t="inlineStr">
        <is>
          <t>Quelle: Idealista</t>
        </is>
      </c>
    </row>
    <row r="1444">
      <c r="A1444" t="n">
        <v>1257</v>
      </c>
      <c r="B1444" t="inlineStr">
        <is>
          <t>Casa independiente</t>
        </is>
      </c>
      <c r="C1444" t="inlineStr">
        <is>
          <t>https://www.idealista.com/inmueble/106413029/</t>
        </is>
      </c>
      <c r="E1444" t="n">
        <v>6</v>
      </c>
      <c r="H1444" t="n">
        <v>426</v>
      </c>
      <c r="J1444" t="inlineStr">
        <is>
          <t>Rafal - Son Forteza, Palma de Mallorca</t>
        </is>
      </c>
      <c r="K1444" t="n">
        <v>10.1</v>
      </c>
      <c r="L1444" t="n">
        <v>13</v>
      </c>
      <c r="M1444" t="n">
        <v>52.8</v>
      </c>
      <c r="N1444" t="n">
        <v>46</v>
      </c>
      <c r="O1444" t="n">
        <v>33.3</v>
      </c>
      <c r="P1444" t="n">
        <v>32</v>
      </c>
      <c r="Q1444" t="n">
        <v>50.5</v>
      </c>
      <c r="R1444" t="n">
        <v>43</v>
      </c>
      <c r="S1444" t="n">
        <v>3900000</v>
      </c>
      <c r="T1444" t="n">
        <v>9155</v>
      </c>
      <c r="AH1444" t="inlineStr">
        <is>
          <t>Quelle: Idealista</t>
        </is>
      </c>
    </row>
    <row r="1445">
      <c r="A1445" t="n">
        <v>1258</v>
      </c>
      <c r="B1445" t="inlineStr">
        <is>
          <t>Finca rústica en camino Establiments s/n</t>
        </is>
      </c>
      <c r="C1445" t="inlineStr">
        <is>
          <t>https://www.idealista.com/inmueble/102755785/</t>
        </is>
      </c>
      <c r="E1445" t="n">
        <v>7</v>
      </c>
      <c r="H1445" t="n">
        <v>1170</v>
      </c>
      <c r="J1445" t="inlineStr">
        <is>
          <t>Secar de la Real, Palma de Mallorca</t>
        </is>
      </c>
      <c r="K1445" t="n">
        <v>13.7</v>
      </c>
      <c r="L1445" t="n">
        <v>15</v>
      </c>
      <c r="M1445" t="n">
        <v>56.5</v>
      </c>
      <c r="N1445" t="n">
        <v>48</v>
      </c>
      <c r="O1445" t="n">
        <v>32</v>
      </c>
      <c r="P1445" t="n">
        <v>28</v>
      </c>
      <c r="Q1445" t="n">
        <v>54.2</v>
      </c>
      <c r="R1445" t="n">
        <v>45</v>
      </c>
      <c r="S1445" t="n">
        <v>2750000</v>
      </c>
      <c r="T1445" t="n">
        <v>2350</v>
      </c>
      <c r="AH1445" t="inlineStr">
        <is>
          <t>Quelle: Idealista</t>
        </is>
      </c>
    </row>
    <row r="1446">
      <c r="A1446" t="n">
        <v>1259</v>
      </c>
      <c r="B1446" t="inlineStr">
        <is>
          <t>Casa independiente en camino de Muntanya</t>
        </is>
      </c>
      <c r="C1446" t="inlineStr">
        <is>
          <t>https://www.idealista.com/inmueble/109014927/</t>
        </is>
      </c>
      <c r="E1446" t="n">
        <v>11</v>
      </c>
      <c r="H1446" t="n">
        <v>781</v>
      </c>
      <c r="J1446" t="inlineStr">
        <is>
          <t>Son Ferriol - Sant Jordi, Palma de Mallorca</t>
        </is>
      </c>
      <c r="K1446" t="n">
        <v>7.2</v>
      </c>
      <c r="L1446" t="n">
        <v>13</v>
      </c>
      <c r="M1446" t="n">
        <v>50.5</v>
      </c>
      <c r="N1446" t="n">
        <v>46</v>
      </c>
      <c r="O1446" t="n">
        <v>38.4</v>
      </c>
      <c r="P1446" t="n">
        <v>36</v>
      </c>
      <c r="Q1446" t="n">
        <v>48.2</v>
      </c>
      <c r="R1446" t="n">
        <v>43</v>
      </c>
      <c r="S1446" t="n">
        <v>2388000</v>
      </c>
      <c r="T1446" t="n">
        <v>3058</v>
      </c>
      <c r="AH1446" t="inlineStr">
        <is>
          <t>Quelle: Idealista</t>
        </is>
      </c>
    </row>
    <row r="1447">
      <c r="A1447" t="n">
        <v>1260</v>
      </c>
      <c r="B1447" t="inlineStr">
        <is>
          <t>Casa independiente</t>
        </is>
      </c>
      <c r="C1447" t="inlineStr">
        <is>
          <t>https://www.idealista.com/inmueble/110152640/</t>
        </is>
      </c>
      <c r="E1447" t="n">
        <v>5</v>
      </c>
      <c r="H1447" t="n">
        <v>404</v>
      </c>
      <c r="J1447" t="inlineStr">
        <is>
          <t>Son Ferriol - Sant Jordi, Palma de Mallorca</t>
        </is>
      </c>
      <c r="K1447" t="n">
        <v>7.2</v>
      </c>
      <c r="L1447" t="n">
        <v>13</v>
      </c>
      <c r="M1447" t="n">
        <v>50.5</v>
      </c>
      <c r="N1447" t="n">
        <v>46</v>
      </c>
      <c r="O1447" t="n">
        <v>38.4</v>
      </c>
      <c r="P1447" t="n">
        <v>36</v>
      </c>
      <c r="Q1447" t="n">
        <v>48.2</v>
      </c>
      <c r="R1447" t="n">
        <v>43</v>
      </c>
      <c r="S1447" t="n">
        <v>2640000</v>
      </c>
      <c r="T1447" t="n">
        <v>6535</v>
      </c>
      <c r="AH1447" t="inlineStr">
        <is>
          <t>Quelle: Idealista</t>
        </is>
      </c>
    </row>
    <row r="1448">
      <c r="A1448" t="n">
        <v>1261</v>
      </c>
      <c r="B1448" t="inlineStr">
        <is>
          <t>Casa independiente</t>
        </is>
      </c>
      <c r="C1448" t="inlineStr">
        <is>
          <t>https://www.idealista.com/inmueble/110127336/</t>
        </is>
      </c>
      <c r="E1448" t="n">
        <v>6</v>
      </c>
      <c r="H1448" t="n">
        <v>593</v>
      </c>
      <c r="J1448" t="inlineStr">
        <is>
          <t>Son Ferriol - Sant Jordi, Palma de Mallorca</t>
        </is>
      </c>
      <c r="K1448" t="n">
        <v>7.2</v>
      </c>
      <c r="L1448" t="n">
        <v>13</v>
      </c>
      <c r="M1448" t="n">
        <v>50.5</v>
      </c>
      <c r="N1448" t="n">
        <v>46</v>
      </c>
      <c r="O1448" t="n">
        <v>38.4</v>
      </c>
      <c r="P1448" t="n">
        <v>36</v>
      </c>
      <c r="Q1448" t="n">
        <v>48.2</v>
      </c>
      <c r="R1448" t="n">
        <v>43</v>
      </c>
      <c r="S1448" t="n">
        <v>2200000</v>
      </c>
      <c r="T1448" t="n">
        <v>3710</v>
      </c>
      <c r="AH1448" t="inlineStr">
        <is>
          <t>Quelle: Idealista</t>
        </is>
      </c>
    </row>
    <row r="1449">
      <c r="A1449" t="n">
        <v>1262</v>
      </c>
      <c r="B1449" t="inlineStr">
        <is>
          <t>Finca rústica</t>
        </is>
      </c>
      <c r="C1449" t="inlineStr">
        <is>
          <t>https://www.idealista.com/inmueble/109997304/</t>
        </is>
      </c>
      <c r="E1449" t="n">
        <v>10</v>
      </c>
      <c r="H1449" t="n">
        <v>1485</v>
      </c>
      <c r="J1449" t="inlineStr">
        <is>
          <t>Son Ferriol - Sant Jordi, Palma de Mallorca</t>
        </is>
      </c>
      <c r="K1449" t="n">
        <v>7.2</v>
      </c>
      <c r="L1449" t="n">
        <v>13</v>
      </c>
      <c r="M1449" t="n">
        <v>50.5</v>
      </c>
      <c r="N1449" t="n">
        <v>46</v>
      </c>
      <c r="O1449" t="n">
        <v>38.4</v>
      </c>
      <c r="P1449" t="n">
        <v>36</v>
      </c>
      <c r="Q1449" t="n">
        <v>48.2</v>
      </c>
      <c r="R1449" t="n">
        <v>43</v>
      </c>
      <c r="S1449" t="n">
        <v>2700000</v>
      </c>
      <c r="T1449" t="n">
        <v>1818</v>
      </c>
      <c r="AH1449" t="inlineStr">
        <is>
          <t>Quelle: Idealista</t>
        </is>
      </c>
    </row>
    <row r="1450">
      <c r="A1450" t="n">
        <v>1263</v>
      </c>
      <c r="B1450" t="inlineStr">
        <is>
          <t>Chalet</t>
        </is>
      </c>
      <c r="C1450" t="inlineStr">
        <is>
          <t>https://www.idealista.com/inmueble/109903112/</t>
        </is>
      </c>
      <c r="E1450" t="n">
        <v>5</v>
      </c>
      <c r="H1450" t="n">
        <v>690</v>
      </c>
      <c r="J1450" t="inlineStr">
        <is>
          <t>Son Ferriol - Sant Jordi, Palma de Mallorca</t>
        </is>
      </c>
      <c r="K1450" t="n">
        <v>7.2</v>
      </c>
      <c r="L1450" t="n">
        <v>13</v>
      </c>
      <c r="M1450" t="n">
        <v>50.5</v>
      </c>
      <c r="N1450" t="n">
        <v>46</v>
      </c>
      <c r="O1450" t="n">
        <v>38.4</v>
      </c>
      <c r="P1450" t="n">
        <v>36</v>
      </c>
      <c r="Q1450" t="n">
        <v>48.2</v>
      </c>
      <c r="R1450" t="n">
        <v>43</v>
      </c>
      <c r="S1450" t="n">
        <v>4100000</v>
      </c>
      <c r="T1450" t="n">
        <v>5942</v>
      </c>
      <c r="AH1450" t="inlineStr">
        <is>
          <t>Quelle: Idealista</t>
        </is>
      </c>
    </row>
    <row r="1451">
      <c r="A1451" t="n">
        <v>1264</v>
      </c>
      <c r="B1451" t="inlineStr">
        <is>
          <t>Casa rural</t>
        </is>
      </c>
      <c r="C1451" t="inlineStr">
        <is>
          <t>https://www.idealista.com/inmueble/108211913/</t>
        </is>
      </c>
      <c r="E1451" t="n">
        <v>6</v>
      </c>
      <c r="H1451" t="n">
        <v>480</v>
      </c>
      <c r="J1451" t="inlineStr">
        <is>
          <t>Son Ferriol - Sant Jordi, Palma de Mallorca</t>
        </is>
      </c>
      <c r="K1451" t="n">
        <v>7.2</v>
      </c>
      <c r="L1451" t="n">
        <v>13</v>
      </c>
      <c r="M1451" t="n">
        <v>50.5</v>
      </c>
      <c r="N1451" t="n">
        <v>46</v>
      </c>
      <c r="O1451" t="n">
        <v>38.4</v>
      </c>
      <c r="P1451" t="n">
        <v>36</v>
      </c>
      <c r="Q1451" t="n">
        <v>48.2</v>
      </c>
      <c r="R1451" t="n">
        <v>43</v>
      </c>
      <c r="S1451" t="n">
        <v>2190000</v>
      </c>
      <c r="T1451" t="n">
        <v>4562</v>
      </c>
      <c r="AH1451" t="inlineStr">
        <is>
          <t>Quelle: Idealista</t>
        </is>
      </c>
    </row>
    <row r="1452">
      <c r="A1452" t="n">
        <v>1265</v>
      </c>
      <c r="B1452" t="inlineStr">
        <is>
          <t>Casa independiente</t>
        </is>
      </c>
      <c r="C1452" t="inlineStr">
        <is>
          <t>https://www.idealista.com/inmueble/109852084/</t>
        </is>
      </c>
      <c r="E1452" t="n">
        <v>5</v>
      </c>
      <c r="H1452" t="n">
        <v>605</v>
      </c>
      <c r="J1452" t="inlineStr">
        <is>
          <t>Son Ferriol - Sant Jordi, Palma de Mallorca</t>
        </is>
      </c>
      <c r="K1452" t="n">
        <v>7.2</v>
      </c>
      <c r="L1452" t="n">
        <v>13</v>
      </c>
      <c r="M1452" t="n">
        <v>50.5</v>
      </c>
      <c r="N1452" t="n">
        <v>46</v>
      </c>
      <c r="O1452" t="n">
        <v>38.4</v>
      </c>
      <c r="P1452" t="n">
        <v>36</v>
      </c>
      <c r="Q1452" t="n">
        <v>48.2</v>
      </c>
      <c r="R1452" t="n">
        <v>43</v>
      </c>
      <c r="S1452" t="n">
        <v>3999000</v>
      </c>
      <c r="T1452" t="n">
        <v>6610</v>
      </c>
      <c r="AH1452" t="inlineStr">
        <is>
          <t>Quelle: Idealista</t>
        </is>
      </c>
    </row>
    <row r="1453">
      <c r="A1453" t="n">
        <v>1266</v>
      </c>
      <c r="B1453" t="inlineStr">
        <is>
          <t>Casa independiente</t>
        </is>
      </c>
      <c r="C1453" t="inlineStr">
        <is>
          <t>https://www.idealista.com/obra-nueva/109824978/</t>
        </is>
      </c>
      <c r="E1453" t="n">
        <v>5</v>
      </c>
      <c r="H1453" t="n">
        <v>404</v>
      </c>
      <c r="J1453" t="inlineStr">
        <is>
          <t>Son Ferriol - Sant Jordi, Palma de Mallorca</t>
        </is>
      </c>
      <c r="K1453" t="n">
        <v>7.2</v>
      </c>
      <c r="L1453" t="n">
        <v>13</v>
      </c>
      <c r="M1453" t="n">
        <v>50.5</v>
      </c>
      <c r="N1453" t="n">
        <v>46</v>
      </c>
      <c r="O1453" t="n">
        <v>38.4</v>
      </c>
      <c r="P1453" t="n">
        <v>36</v>
      </c>
      <c r="Q1453" t="n">
        <v>48.2</v>
      </c>
      <c r="R1453" t="n">
        <v>43</v>
      </c>
      <c r="S1453" t="n">
        <v>2640000</v>
      </c>
      <c r="T1453" t="n">
        <v>6535</v>
      </c>
      <c r="AH1453" t="inlineStr">
        <is>
          <t>Quelle: Idealista</t>
        </is>
      </c>
    </row>
    <row r="1454">
      <c r="A1454" t="n">
        <v>1267</v>
      </c>
      <c r="B1454" t="inlineStr">
        <is>
          <t>Chalet</t>
        </is>
      </c>
      <c r="C1454" t="inlineStr">
        <is>
          <t>https://www.idealista.com/inmueble/109785522/</t>
        </is>
      </c>
      <c r="E1454" t="n">
        <v>5</v>
      </c>
      <c r="H1454" t="n">
        <v>664</v>
      </c>
      <c r="J1454" t="inlineStr">
        <is>
          <t>Son Ferriol - Sant Jordi, Palma de Mallorca</t>
        </is>
      </c>
      <c r="K1454" t="n">
        <v>7.2</v>
      </c>
      <c r="L1454" t="n">
        <v>13</v>
      </c>
      <c r="M1454" t="n">
        <v>50.5</v>
      </c>
      <c r="N1454" t="n">
        <v>46</v>
      </c>
      <c r="O1454" t="n">
        <v>38.4</v>
      </c>
      <c r="P1454" t="n">
        <v>36</v>
      </c>
      <c r="Q1454" t="n">
        <v>48.2</v>
      </c>
      <c r="R1454" t="n">
        <v>43</v>
      </c>
      <c r="S1454" t="n">
        <v>2650000</v>
      </c>
      <c r="T1454" t="n">
        <v>3991</v>
      </c>
      <c r="AH1454" t="inlineStr">
        <is>
          <t>Quelle: Idealista</t>
        </is>
      </c>
    </row>
    <row r="1455">
      <c r="A1455" t="n">
        <v>1268</v>
      </c>
      <c r="B1455" t="inlineStr">
        <is>
          <t>Finca rústica</t>
        </is>
      </c>
      <c r="C1455" t="inlineStr">
        <is>
          <t>https://www.idealista.com/inmueble/109356785/</t>
        </is>
      </c>
      <c r="E1455" t="n">
        <v>5</v>
      </c>
      <c r="H1455" t="n">
        <v>664</v>
      </c>
      <c r="J1455" t="inlineStr">
        <is>
          <t>Son Ferriol - Sant Jordi, Palma de Mallorca</t>
        </is>
      </c>
      <c r="K1455" t="n">
        <v>7.2</v>
      </c>
      <c r="L1455" t="n">
        <v>13</v>
      </c>
      <c r="M1455" t="n">
        <v>50.5</v>
      </c>
      <c r="N1455" t="n">
        <v>46</v>
      </c>
      <c r="O1455" t="n">
        <v>38.4</v>
      </c>
      <c r="P1455" t="n">
        <v>36</v>
      </c>
      <c r="Q1455" t="n">
        <v>48.2</v>
      </c>
      <c r="R1455" t="n">
        <v>43</v>
      </c>
      <c r="S1455" t="n">
        <v>2650000</v>
      </c>
      <c r="T1455" t="n">
        <v>3991</v>
      </c>
      <c r="AH1455" t="inlineStr">
        <is>
          <t>Quelle: Idealista</t>
        </is>
      </c>
    </row>
    <row r="1456">
      <c r="A1456" t="n">
        <v>1269</v>
      </c>
      <c r="B1456" t="inlineStr">
        <is>
          <t>Chalet</t>
        </is>
      </c>
      <c r="C1456" t="inlineStr">
        <is>
          <t>https://www.idealista.com/inmueble/109377960/</t>
        </is>
      </c>
      <c r="E1456" t="n">
        <v>5</v>
      </c>
      <c r="H1456" t="n">
        <v>395</v>
      </c>
      <c r="J1456" t="inlineStr">
        <is>
          <t>Son Ferriol - Sant Jordi, Palma de Mallorca</t>
        </is>
      </c>
      <c r="K1456" t="n">
        <v>7.2</v>
      </c>
      <c r="L1456" t="n">
        <v>13</v>
      </c>
      <c r="M1456" t="n">
        <v>50.5</v>
      </c>
      <c r="N1456" t="n">
        <v>46</v>
      </c>
      <c r="O1456" t="n">
        <v>38.4</v>
      </c>
      <c r="P1456" t="n">
        <v>36</v>
      </c>
      <c r="Q1456" t="n">
        <v>48.2</v>
      </c>
      <c r="R1456" t="n">
        <v>43</v>
      </c>
      <c r="S1456" t="n">
        <v>3999000</v>
      </c>
      <c r="T1456" t="n">
        <v>10124</v>
      </c>
      <c r="AH1456" t="inlineStr">
        <is>
          <t>Quelle: Idealista</t>
        </is>
      </c>
    </row>
    <row r="1457">
      <c r="A1457" t="n">
        <v>1270</v>
      </c>
      <c r="B1457" t="inlineStr">
        <is>
          <t>Casa independiente</t>
        </is>
      </c>
      <c r="C1457" t="inlineStr">
        <is>
          <t>https://www.idealista.com/inmueble/109707002/</t>
        </is>
      </c>
      <c r="E1457" t="n">
        <v>5</v>
      </c>
      <c r="H1457" t="n">
        <v>395</v>
      </c>
      <c r="J1457" t="inlineStr">
        <is>
          <t>Son Ferriol - Sant Jordi, Palma de Mallorca</t>
        </is>
      </c>
      <c r="K1457" t="n">
        <v>7.2</v>
      </c>
      <c r="L1457" t="n">
        <v>13</v>
      </c>
      <c r="M1457" t="n">
        <v>50.5</v>
      </c>
      <c r="N1457" t="n">
        <v>46</v>
      </c>
      <c r="O1457" t="n">
        <v>38.4</v>
      </c>
      <c r="P1457" t="n">
        <v>36</v>
      </c>
      <c r="Q1457" t="n">
        <v>48.2</v>
      </c>
      <c r="R1457" t="n">
        <v>43</v>
      </c>
      <c r="S1457" t="n">
        <v>3999000</v>
      </c>
      <c r="T1457" t="n">
        <v>10124</v>
      </c>
      <c r="AH1457" t="inlineStr">
        <is>
          <t>Quelle: Idealista</t>
        </is>
      </c>
    </row>
    <row r="1458">
      <c r="A1458" t="n">
        <v>1271</v>
      </c>
      <c r="B1458" t="inlineStr">
        <is>
          <t>Chalet</t>
        </is>
      </c>
      <c r="C1458" t="inlineStr">
        <is>
          <t>https://www.idealista.com/inmueble/109637231/</t>
        </is>
      </c>
      <c r="E1458" t="n">
        <v>5</v>
      </c>
      <c r="H1458" t="n">
        <v>541</v>
      </c>
      <c r="J1458" t="inlineStr">
        <is>
          <t>Son Ferriol - Sant Jordi, Palma de Mallorca</t>
        </is>
      </c>
      <c r="K1458" t="n">
        <v>7.2</v>
      </c>
      <c r="L1458" t="n">
        <v>13</v>
      </c>
      <c r="M1458" t="n">
        <v>50.5</v>
      </c>
      <c r="N1458" t="n">
        <v>46</v>
      </c>
      <c r="O1458" t="n">
        <v>38.4</v>
      </c>
      <c r="P1458" t="n">
        <v>36</v>
      </c>
      <c r="Q1458" t="n">
        <v>48.2</v>
      </c>
      <c r="R1458" t="n">
        <v>43</v>
      </c>
      <c r="S1458" t="n">
        <v>2950000</v>
      </c>
      <c r="T1458" t="n">
        <v>5453</v>
      </c>
      <c r="AH1458" t="inlineStr">
        <is>
          <t>Quelle: Idealista</t>
        </is>
      </c>
    </row>
    <row r="1459">
      <c r="A1459" t="n">
        <v>1272</v>
      </c>
      <c r="B1459" t="inlineStr">
        <is>
          <t>Casa independiente</t>
        </is>
      </c>
      <c r="C1459" t="inlineStr">
        <is>
          <t>https://www.idealista.com/inmueble/109425955/</t>
        </is>
      </c>
      <c r="E1459" t="n">
        <v>5</v>
      </c>
      <c r="H1459" t="n">
        <v>395</v>
      </c>
      <c r="J1459" t="inlineStr">
        <is>
          <t>Son Ferriol - Sant Jordi, Palma de Mallorca</t>
        </is>
      </c>
      <c r="K1459" t="n">
        <v>7.2</v>
      </c>
      <c r="L1459" t="n">
        <v>13</v>
      </c>
      <c r="M1459" t="n">
        <v>50.5</v>
      </c>
      <c r="N1459" t="n">
        <v>46</v>
      </c>
      <c r="O1459" t="n">
        <v>38.4</v>
      </c>
      <c r="P1459" t="n">
        <v>36</v>
      </c>
      <c r="Q1459" t="n">
        <v>48.2</v>
      </c>
      <c r="R1459" t="n">
        <v>43</v>
      </c>
      <c r="S1459" t="n">
        <v>3999000</v>
      </c>
      <c r="T1459" t="n">
        <v>10124</v>
      </c>
      <c r="AH1459" t="inlineStr">
        <is>
          <t>Quelle: Idealista</t>
        </is>
      </c>
    </row>
    <row r="1460">
      <c r="A1460" t="n">
        <v>1273</v>
      </c>
      <c r="B1460" t="inlineStr">
        <is>
          <t>Casa rural</t>
        </is>
      </c>
      <c r="C1460" t="inlineStr">
        <is>
          <t>https://www.idealista.com/inmueble/108872524/</t>
        </is>
      </c>
      <c r="E1460" t="n">
        <v>5</v>
      </c>
      <c r="H1460" t="n">
        <v>533</v>
      </c>
      <c r="J1460" t="inlineStr">
        <is>
          <t>Son Ferriol - Sant Jordi, Palma de Mallorca</t>
        </is>
      </c>
      <c r="K1460" t="n">
        <v>7.2</v>
      </c>
      <c r="L1460" t="n">
        <v>13</v>
      </c>
      <c r="M1460" t="n">
        <v>50.5</v>
      </c>
      <c r="N1460" t="n">
        <v>46</v>
      </c>
      <c r="O1460" t="n">
        <v>38.4</v>
      </c>
      <c r="P1460" t="n">
        <v>36</v>
      </c>
      <c r="Q1460" t="n">
        <v>48.2</v>
      </c>
      <c r="R1460" t="n">
        <v>43</v>
      </c>
      <c r="S1460" t="n">
        <v>2800000</v>
      </c>
      <c r="T1460" t="n">
        <v>5253</v>
      </c>
      <c r="AH1460" t="inlineStr">
        <is>
          <t>Quelle: Idealista</t>
        </is>
      </c>
    </row>
    <row r="1461">
      <c r="A1461" t="n">
        <v>1274</v>
      </c>
      <c r="B1461" t="inlineStr">
        <is>
          <t>Finca rústica</t>
        </is>
      </c>
      <c r="C1461" t="inlineStr">
        <is>
          <t>https://www.idealista.com/inmueble/105192900/</t>
        </is>
      </c>
      <c r="E1461" t="n">
        <v>6</v>
      </c>
      <c r="H1461" t="n">
        <v>474</v>
      </c>
      <c r="J1461" t="inlineStr">
        <is>
          <t>Son Ferriol - Sant Jordi, Palma de Mallorca</t>
        </is>
      </c>
      <c r="K1461" t="n">
        <v>7.2</v>
      </c>
      <c r="L1461" t="n">
        <v>13</v>
      </c>
      <c r="M1461" t="n">
        <v>50.5</v>
      </c>
      <c r="N1461" t="n">
        <v>46</v>
      </c>
      <c r="O1461" t="n">
        <v>38.4</v>
      </c>
      <c r="P1461" t="n">
        <v>36</v>
      </c>
      <c r="Q1461" t="n">
        <v>48.2</v>
      </c>
      <c r="R1461" t="n">
        <v>43</v>
      </c>
      <c r="S1461" t="n">
        <v>2200000</v>
      </c>
      <c r="T1461" t="n">
        <v>4641</v>
      </c>
      <c r="AH1461" t="inlineStr">
        <is>
          <t>Quelle: Idealista</t>
        </is>
      </c>
    </row>
    <row r="1462">
      <c r="A1462" t="n">
        <v>1275</v>
      </c>
      <c r="B1462" t="inlineStr">
        <is>
          <t>Finca rústica</t>
        </is>
      </c>
      <c r="C1462" t="inlineStr">
        <is>
          <t>https://www.idealista.com/inmueble/109027322/</t>
        </is>
      </c>
      <c r="E1462" t="n">
        <v>6</v>
      </c>
      <c r="H1462" t="n">
        <v>622</v>
      </c>
      <c r="J1462" t="inlineStr">
        <is>
          <t>Son Ferriol - Sant Jordi, Palma de Mallorca</t>
        </is>
      </c>
      <c r="K1462" t="n">
        <v>7.2</v>
      </c>
      <c r="L1462" t="n">
        <v>13</v>
      </c>
      <c r="M1462" t="n">
        <v>50.5</v>
      </c>
      <c r="N1462" t="n">
        <v>46</v>
      </c>
      <c r="O1462" t="n">
        <v>38.4</v>
      </c>
      <c r="P1462" t="n">
        <v>36</v>
      </c>
      <c r="Q1462" t="n">
        <v>48.2</v>
      </c>
      <c r="R1462" t="n">
        <v>43</v>
      </c>
      <c r="S1462" t="n">
        <v>5950000</v>
      </c>
      <c r="T1462" t="n">
        <v>9566</v>
      </c>
      <c r="AH1462" t="inlineStr">
        <is>
          <t>Quelle: Idealista</t>
        </is>
      </c>
    </row>
    <row r="1463">
      <c r="A1463" t="n">
        <v>1276</v>
      </c>
      <c r="B1463" t="inlineStr">
        <is>
          <t>Casa independiente</t>
        </is>
      </c>
      <c r="C1463" t="inlineStr">
        <is>
          <t>https://www.idealista.com/inmueble/109027446/</t>
        </is>
      </c>
      <c r="E1463" t="n">
        <v>6</v>
      </c>
      <c r="H1463" t="n">
        <v>622</v>
      </c>
      <c r="J1463" t="inlineStr">
        <is>
          <t>Son Ferriol - Sant Jordi, Palma de Mallorca</t>
        </is>
      </c>
      <c r="K1463" t="n">
        <v>7.2</v>
      </c>
      <c r="L1463" t="n">
        <v>13</v>
      </c>
      <c r="M1463" t="n">
        <v>50.5</v>
      </c>
      <c r="N1463" t="n">
        <v>46</v>
      </c>
      <c r="O1463" t="n">
        <v>38.4</v>
      </c>
      <c r="P1463" t="n">
        <v>36</v>
      </c>
      <c r="Q1463" t="n">
        <v>48.2</v>
      </c>
      <c r="R1463" t="n">
        <v>43</v>
      </c>
      <c r="S1463" t="n">
        <v>5950000</v>
      </c>
      <c r="T1463" t="n">
        <v>9566</v>
      </c>
      <c r="AH1463" t="inlineStr">
        <is>
          <t>Quelle: Idealista</t>
        </is>
      </c>
    </row>
    <row r="1464">
      <c r="A1464" t="n">
        <v>1277</v>
      </c>
      <c r="B1464" t="inlineStr">
        <is>
          <t>Casa independiente</t>
        </is>
      </c>
      <c r="C1464" t="inlineStr">
        <is>
          <t>https://www.idealista.com/inmueble/108530097/</t>
        </is>
      </c>
      <c r="E1464" t="n">
        <v>6</v>
      </c>
      <c r="H1464" t="n">
        <v>517</v>
      </c>
      <c r="J1464" t="inlineStr">
        <is>
          <t>Son Ferriol - Sant Jordi, Palma de Mallorca</t>
        </is>
      </c>
      <c r="K1464" t="n">
        <v>7.2</v>
      </c>
      <c r="L1464" t="n">
        <v>13</v>
      </c>
      <c r="M1464" t="n">
        <v>50.5</v>
      </c>
      <c r="N1464" t="n">
        <v>46</v>
      </c>
      <c r="O1464" t="n">
        <v>38.4</v>
      </c>
      <c r="P1464" t="n">
        <v>36</v>
      </c>
      <c r="Q1464" t="n">
        <v>48.2</v>
      </c>
      <c r="R1464" t="n">
        <v>43</v>
      </c>
      <c r="S1464" t="n">
        <v>2640000</v>
      </c>
      <c r="T1464" t="n">
        <v>5106</v>
      </c>
      <c r="AH1464" t="inlineStr">
        <is>
          <t>Quelle: Idealista</t>
        </is>
      </c>
    </row>
    <row r="1465">
      <c r="A1465" t="n">
        <v>1278</v>
      </c>
      <c r="B1465" t="inlineStr">
        <is>
          <t>Casa independiente en Diseminado 8742- Sa Casa Blanca</t>
        </is>
      </c>
      <c r="C1465" t="inlineStr">
        <is>
          <t>https://www.idealista.com/inmueble/108934698/</t>
        </is>
      </c>
      <c r="E1465" t="n">
        <v>5</v>
      </c>
      <c r="H1465" t="n">
        <v>500</v>
      </c>
      <c r="J1465" t="inlineStr">
        <is>
          <t>Son Ferriol - Sant Jordi, Palma de Mallorca</t>
        </is>
      </c>
      <c r="K1465" t="n">
        <v>7.2</v>
      </c>
      <c r="L1465" t="n">
        <v>13</v>
      </c>
      <c r="M1465" t="n">
        <v>50.5</v>
      </c>
      <c r="N1465" t="n">
        <v>46</v>
      </c>
      <c r="O1465" t="n">
        <v>38.4</v>
      </c>
      <c r="P1465" t="n">
        <v>36</v>
      </c>
      <c r="Q1465" t="n">
        <v>48.2</v>
      </c>
      <c r="R1465" t="n">
        <v>43</v>
      </c>
      <c r="S1465" t="n">
        <v>3999000</v>
      </c>
      <c r="T1465" t="n">
        <v>7998</v>
      </c>
      <c r="AH1465" t="inlineStr">
        <is>
          <t>Quelle: Idealista</t>
        </is>
      </c>
    </row>
    <row r="1466">
      <c r="A1466" t="n">
        <v>1279</v>
      </c>
      <c r="B1466" t="inlineStr">
        <is>
          <t>Finca rústica</t>
        </is>
      </c>
      <c r="C1466" t="inlineStr">
        <is>
          <t>https://www.idealista.com/inmueble/108858285/</t>
        </is>
      </c>
      <c r="E1466" t="n">
        <v>11</v>
      </c>
      <c r="H1466" t="n">
        <v>454</v>
      </c>
      <c r="J1466" t="inlineStr">
        <is>
          <t>Son Ferriol - Sant Jordi, Palma de Mallorca</t>
        </is>
      </c>
      <c r="K1466" t="n">
        <v>7.2</v>
      </c>
      <c r="L1466" t="n">
        <v>13</v>
      </c>
      <c r="M1466" t="n">
        <v>50.5</v>
      </c>
      <c r="N1466" t="n">
        <v>46</v>
      </c>
      <c r="O1466" t="n">
        <v>38.4</v>
      </c>
      <c r="P1466" t="n">
        <v>36</v>
      </c>
      <c r="Q1466" t="n">
        <v>48.2</v>
      </c>
      <c r="R1466" t="n">
        <v>43</v>
      </c>
      <c r="S1466" t="n">
        <v>2700000</v>
      </c>
      <c r="T1466" t="n">
        <v>5947</v>
      </c>
      <c r="AH1466" t="inlineStr">
        <is>
          <t>Quelle: Idealista</t>
        </is>
      </c>
    </row>
    <row r="1467">
      <c r="A1467" t="n">
        <v>1280</v>
      </c>
      <c r="B1467" t="inlineStr">
        <is>
          <t>Chalet</t>
        </is>
      </c>
      <c r="C1467" t="inlineStr">
        <is>
          <t>https://www.idealista.com/inmueble/88656808/</t>
        </is>
      </c>
      <c r="E1467" t="n">
        <v>6</v>
      </c>
      <c r="H1467" t="n">
        <v>500</v>
      </c>
      <c r="J1467" t="inlineStr">
        <is>
          <t>Son Ferriol - Sant Jordi, Palma de Mallorca</t>
        </is>
      </c>
      <c r="K1467" t="n">
        <v>7.2</v>
      </c>
      <c r="L1467" t="n">
        <v>13</v>
      </c>
      <c r="M1467" t="n">
        <v>50.5</v>
      </c>
      <c r="N1467" t="n">
        <v>46</v>
      </c>
      <c r="O1467" t="n">
        <v>38.4</v>
      </c>
      <c r="P1467" t="n">
        <v>36</v>
      </c>
      <c r="Q1467" t="n">
        <v>48.2</v>
      </c>
      <c r="R1467" t="n">
        <v>43</v>
      </c>
      <c r="S1467" t="n">
        <v>2200000</v>
      </c>
      <c r="T1467" t="n">
        <v>4400</v>
      </c>
      <c r="AH1467" t="inlineStr">
        <is>
          <t>Quelle: Idealista</t>
        </is>
      </c>
    </row>
    <row r="1468">
      <c r="A1468" t="n">
        <v>1281</v>
      </c>
      <c r="B1468" t="inlineStr">
        <is>
          <t>Finca rústica</t>
        </is>
      </c>
      <c r="C1468" t="inlineStr">
        <is>
          <t>https://www.idealista.com/inmueble/108781177/</t>
        </is>
      </c>
      <c r="E1468" t="n">
        <v>5</v>
      </c>
      <c r="H1468" t="n">
        <v>1846</v>
      </c>
      <c r="J1468" t="inlineStr">
        <is>
          <t>Son Ferriol - Sant Jordi, Palma de Mallorca</t>
        </is>
      </c>
      <c r="K1468" t="n">
        <v>7.2</v>
      </c>
      <c r="L1468" t="n">
        <v>13</v>
      </c>
      <c r="M1468" t="n">
        <v>50.5</v>
      </c>
      <c r="N1468" t="n">
        <v>46</v>
      </c>
      <c r="O1468" t="n">
        <v>38.4</v>
      </c>
      <c r="P1468" t="n">
        <v>36</v>
      </c>
      <c r="Q1468" t="n">
        <v>48.2</v>
      </c>
      <c r="R1468" t="n">
        <v>43</v>
      </c>
      <c r="S1468" t="n">
        <v>2950000</v>
      </c>
      <c r="T1468" t="n">
        <v>1598</v>
      </c>
      <c r="AH1468" t="inlineStr">
        <is>
          <t>Quelle: Idealista</t>
        </is>
      </c>
    </row>
    <row r="1469">
      <c r="A1469" t="n">
        <v>1282</v>
      </c>
      <c r="B1469" t="inlineStr">
        <is>
          <t>Casa independiente</t>
        </is>
      </c>
      <c r="C1469" t="inlineStr">
        <is>
          <t>https://www.idealista.com/inmueble/108731470/</t>
        </is>
      </c>
      <c r="E1469" t="n">
        <v>5</v>
      </c>
      <c r="H1469" t="n">
        <v>540</v>
      </c>
      <c r="J1469" t="inlineStr">
        <is>
          <t>Son Ferriol - Sant Jordi, Palma de Mallorca</t>
        </is>
      </c>
      <c r="K1469" t="n">
        <v>7.2</v>
      </c>
      <c r="L1469" t="n">
        <v>13</v>
      </c>
      <c r="M1469" t="n">
        <v>50.5</v>
      </c>
      <c r="N1469" t="n">
        <v>46</v>
      </c>
      <c r="O1469" t="n">
        <v>38.4</v>
      </c>
      <c r="P1469" t="n">
        <v>36</v>
      </c>
      <c r="Q1469" t="n">
        <v>48.2</v>
      </c>
      <c r="R1469" t="n">
        <v>43</v>
      </c>
      <c r="S1469" t="n">
        <v>2950000</v>
      </c>
      <c r="T1469" t="n">
        <v>5463</v>
      </c>
      <c r="AH1469" t="inlineStr">
        <is>
          <t>Quelle: Idealista</t>
        </is>
      </c>
    </row>
    <row r="1470">
      <c r="A1470" t="n">
        <v>1283</v>
      </c>
      <c r="B1470" t="inlineStr">
        <is>
          <t>Chalet en Carrer de Ponent</t>
        </is>
      </c>
      <c r="C1470" t="inlineStr">
        <is>
          <t>https://www.idealista.com/inmueble/108581793/</t>
        </is>
      </c>
      <c r="E1470" t="n">
        <v>6</v>
      </c>
      <c r="H1470" t="n">
        <v>550</v>
      </c>
      <c r="J1470" t="inlineStr">
        <is>
          <t>Son Ferriol - Sant Jordi, Palma de Mallorca</t>
        </is>
      </c>
      <c r="K1470" t="n">
        <v>7.2</v>
      </c>
      <c r="L1470" t="n">
        <v>13</v>
      </c>
      <c r="M1470" t="n">
        <v>50.5</v>
      </c>
      <c r="N1470" t="n">
        <v>46</v>
      </c>
      <c r="O1470" t="n">
        <v>38.4</v>
      </c>
      <c r="P1470" t="n">
        <v>36</v>
      </c>
      <c r="Q1470" t="n">
        <v>48.2</v>
      </c>
      <c r="R1470" t="n">
        <v>43</v>
      </c>
      <c r="S1470" t="n">
        <v>2200000</v>
      </c>
      <c r="T1470" t="n">
        <v>4000</v>
      </c>
      <c r="AH1470" t="inlineStr">
        <is>
          <t>Quelle: Idealista</t>
        </is>
      </c>
    </row>
    <row r="1471">
      <c r="A1471" t="n">
        <v>1284</v>
      </c>
      <c r="B1471" t="inlineStr">
        <is>
          <t>Casa independiente en calle de Manila</t>
        </is>
      </c>
      <c r="C1471" t="inlineStr">
        <is>
          <t>https://www.idealista.com/inmueble/108333591/</t>
        </is>
      </c>
      <c r="E1471" t="n">
        <v>6</v>
      </c>
      <c r="H1471" t="n">
        <v>396</v>
      </c>
      <c r="J1471" t="inlineStr">
        <is>
          <t>Son Ferriol - Sant Jordi, Palma de Mallorca</t>
        </is>
      </c>
      <c r="K1471" t="n">
        <v>7.2</v>
      </c>
      <c r="L1471" t="n">
        <v>13</v>
      </c>
      <c r="M1471" t="n">
        <v>50.5</v>
      </c>
      <c r="N1471" t="n">
        <v>46</v>
      </c>
      <c r="O1471" t="n">
        <v>38.4</v>
      </c>
      <c r="P1471" t="n">
        <v>36</v>
      </c>
      <c r="Q1471" t="n">
        <v>48.2</v>
      </c>
      <c r="R1471" t="n">
        <v>43</v>
      </c>
      <c r="S1471" t="n">
        <v>2640000</v>
      </c>
      <c r="T1471" t="n">
        <v>6667</v>
      </c>
      <c r="AH1471" t="inlineStr">
        <is>
          <t>Quelle: Idealista</t>
        </is>
      </c>
    </row>
    <row r="1472">
      <c r="A1472" t="n">
        <v>1285</v>
      </c>
      <c r="B1472" t="inlineStr">
        <is>
          <t>Casa independiente en calle son Gual Ii-g, 25</t>
        </is>
      </c>
      <c r="C1472" t="inlineStr">
        <is>
          <t>https://www.idealista.com/inmueble/108322129/</t>
        </is>
      </c>
      <c r="E1472" t="n">
        <v>5</v>
      </c>
      <c r="H1472" t="n">
        <v>404</v>
      </c>
      <c r="J1472" t="inlineStr">
        <is>
          <t>Son Ferriol - Sant Jordi, Palma de Mallorca</t>
        </is>
      </c>
      <c r="K1472" t="n">
        <v>7.2</v>
      </c>
      <c r="L1472" t="n">
        <v>13</v>
      </c>
      <c r="M1472" t="n">
        <v>50.5</v>
      </c>
      <c r="N1472" t="n">
        <v>46</v>
      </c>
      <c r="O1472" t="n">
        <v>38.4</v>
      </c>
      <c r="P1472" t="n">
        <v>36</v>
      </c>
      <c r="Q1472" t="n">
        <v>48.2</v>
      </c>
      <c r="R1472" t="n">
        <v>43</v>
      </c>
      <c r="S1472" t="n">
        <v>2640000</v>
      </c>
      <c r="T1472" t="n">
        <v>6535</v>
      </c>
      <c r="AH1472" t="inlineStr">
        <is>
          <t>Quelle: Idealista</t>
        </is>
      </c>
    </row>
    <row r="1473">
      <c r="A1473" t="n">
        <v>1286</v>
      </c>
      <c r="B1473" t="inlineStr">
        <is>
          <t>Casa independiente</t>
        </is>
      </c>
      <c r="C1473" t="inlineStr">
        <is>
          <t>https://www.idealista.com/inmueble/108070433/</t>
        </is>
      </c>
      <c r="E1473" t="n">
        <v>5</v>
      </c>
      <c r="H1473" t="n">
        <v>395</v>
      </c>
      <c r="J1473" t="inlineStr">
        <is>
          <t>Son Ferriol - Sant Jordi, Palma de Mallorca</t>
        </is>
      </c>
      <c r="K1473" t="n">
        <v>7.2</v>
      </c>
      <c r="L1473" t="n">
        <v>13</v>
      </c>
      <c r="M1473" t="n">
        <v>50.5</v>
      </c>
      <c r="N1473" t="n">
        <v>46</v>
      </c>
      <c r="O1473" t="n">
        <v>38.4</v>
      </c>
      <c r="P1473" t="n">
        <v>36</v>
      </c>
      <c r="Q1473" t="n">
        <v>48.2</v>
      </c>
      <c r="R1473" t="n">
        <v>43</v>
      </c>
      <c r="S1473" t="n">
        <v>3999000</v>
      </c>
      <c r="T1473" t="n">
        <v>10124</v>
      </c>
      <c r="AH1473" t="inlineStr">
        <is>
          <t>Quelle: Idealista</t>
        </is>
      </c>
    </row>
    <row r="1474">
      <c r="A1474" t="n">
        <v>1287</v>
      </c>
      <c r="B1474" t="inlineStr">
        <is>
          <t>Casa independiente</t>
        </is>
      </c>
      <c r="C1474" t="inlineStr">
        <is>
          <t>https://www.idealista.com/inmueble/108041875/</t>
        </is>
      </c>
      <c r="E1474" t="n">
        <v>6</v>
      </c>
      <c r="H1474" t="n">
        <v>1969</v>
      </c>
      <c r="J1474" t="inlineStr">
        <is>
          <t>Son Ferriol - Sant Jordi, Palma de Mallorca</t>
        </is>
      </c>
      <c r="K1474" t="n">
        <v>7.2</v>
      </c>
      <c r="L1474" t="n">
        <v>13</v>
      </c>
      <c r="M1474" t="n">
        <v>50.5</v>
      </c>
      <c r="N1474" t="n">
        <v>46</v>
      </c>
      <c r="O1474" t="n">
        <v>38.4</v>
      </c>
      <c r="P1474" t="n">
        <v>36</v>
      </c>
      <c r="Q1474" t="n">
        <v>48.2</v>
      </c>
      <c r="R1474" t="n">
        <v>43</v>
      </c>
      <c r="S1474" t="n">
        <v>2500000</v>
      </c>
      <c r="T1474" t="n">
        <v>1270</v>
      </c>
      <c r="AH1474" t="inlineStr">
        <is>
          <t>Quelle: Idealista</t>
        </is>
      </c>
    </row>
    <row r="1475">
      <c r="A1475" t="n">
        <v>1288</v>
      </c>
      <c r="B1475" t="inlineStr">
        <is>
          <t>Finca rústica en carretera Llucmajor</t>
        </is>
      </c>
      <c r="C1475" t="inlineStr">
        <is>
          <t>https://www.idealista.com/inmueble/107842715/</t>
        </is>
      </c>
      <c r="E1475" t="n">
        <v>5</v>
      </c>
      <c r="H1475" t="n">
        <v>477</v>
      </c>
      <c r="J1475" t="inlineStr">
        <is>
          <t>Son Ferriol - Sant Jordi, Palma de Mallorca</t>
        </is>
      </c>
      <c r="K1475" t="n">
        <v>7.2</v>
      </c>
      <c r="L1475" t="n">
        <v>13</v>
      </c>
      <c r="M1475" t="n">
        <v>50.5</v>
      </c>
      <c r="N1475" t="n">
        <v>46</v>
      </c>
      <c r="O1475" t="n">
        <v>38.4</v>
      </c>
      <c r="P1475" t="n">
        <v>36</v>
      </c>
      <c r="Q1475" t="n">
        <v>48.2</v>
      </c>
      <c r="R1475" t="n">
        <v>43</v>
      </c>
      <c r="S1475" t="n">
        <v>2450000</v>
      </c>
      <c r="T1475" t="n">
        <v>5136</v>
      </c>
      <c r="AH1475" t="inlineStr">
        <is>
          <t>Quelle: Idealista</t>
        </is>
      </c>
    </row>
    <row r="1476">
      <c r="A1476" t="n">
        <v>1289</v>
      </c>
      <c r="B1476" t="inlineStr">
        <is>
          <t>Casa independiente en Ma-3011</t>
        </is>
      </c>
      <c r="C1476" t="inlineStr">
        <is>
          <t>https://www.idealista.com/inmueble/107829070/</t>
        </is>
      </c>
      <c r="E1476" t="n">
        <v>6</v>
      </c>
      <c r="H1476" t="n">
        <v>1846</v>
      </c>
      <c r="J1476" t="inlineStr">
        <is>
          <t>Son Ferriol - Sant Jordi, Palma de Mallorca</t>
        </is>
      </c>
      <c r="K1476" t="n">
        <v>7.2</v>
      </c>
      <c r="L1476" t="n">
        <v>13</v>
      </c>
      <c r="M1476" t="n">
        <v>50.5</v>
      </c>
      <c r="N1476" t="n">
        <v>46</v>
      </c>
      <c r="O1476" t="n">
        <v>38.4</v>
      </c>
      <c r="P1476" t="n">
        <v>36</v>
      </c>
      <c r="Q1476" t="n">
        <v>48.2</v>
      </c>
      <c r="R1476" t="n">
        <v>43</v>
      </c>
      <c r="S1476" t="n">
        <v>2950000</v>
      </c>
      <c r="T1476" t="n">
        <v>1598</v>
      </c>
      <c r="AH1476" t="inlineStr">
        <is>
          <t>Quelle: Idealista</t>
        </is>
      </c>
    </row>
    <row r="1477">
      <c r="A1477" t="n">
        <v>1290</v>
      </c>
      <c r="B1477" t="inlineStr">
        <is>
          <t>Casa independiente en Ma-3011</t>
        </is>
      </c>
      <c r="C1477" t="inlineStr">
        <is>
          <t>https://www.idealista.com/inmueble/107777879/</t>
        </is>
      </c>
      <c r="E1477" t="n">
        <v>6</v>
      </c>
      <c r="H1477" t="n">
        <v>1846</v>
      </c>
      <c r="J1477" t="inlineStr">
        <is>
          <t>Son Ferriol - Sant Jordi, Palma de Mallorca</t>
        </is>
      </c>
      <c r="K1477" t="n">
        <v>7.2</v>
      </c>
      <c r="L1477" t="n">
        <v>13</v>
      </c>
      <c r="M1477" t="n">
        <v>50.5</v>
      </c>
      <c r="N1477" t="n">
        <v>46</v>
      </c>
      <c r="O1477" t="n">
        <v>38.4</v>
      </c>
      <c r="P1477" t="n">
        <v>36</v>
      </c>
      <c r="Q1477" t="n">
        <v>48.2</v>
      </c>
      <c r="R1477" t="n">
        <v>43</v>
      </c>
      <c r="S1477" t="n">
        <v>2950000</v>
      </c>
      <c r="T1477" t="n">
        <v>1598</v>
      </c>
      <c r="AH1477" t="inlineStr">
        <is>
          <t>Quelle: Idealista</t>
        </is>
      </c>
    </row>
    <row r="1478">
      <c r="A1478" t="n">
        <v>1291</v>
      </c>
      <c r="B1478" t="inlineStr">
        <is>
          <t>Casa independiente en camino de Muntanya</t>
        </is>
      </c>
      <c r="C1478" t="inlineStr">
        <is>
          <t>https://www.idealista.com/inmueble/107751141/</t>
        </is>
      </c>
      <c r="E1478" t="n">
        <v>8</v>
      </c>
      <c r="H1478" t="n">
        <v>575</v>
      </c>
      <c r="J1478" t="inlineStr">
        <is>
          <t>Son Ferriol - Sant Jordi, Palma de Mallorca</t>
        </is>
      </c>
      <c r="K1478" t="n">
        <v>7.2</v>
      </c>
      <c r="L1478" t="n">
        <v>13</v>
      </c>
      <c r="M1478" t="n">
        <v>50.5</v>
      </c>
      <c r="N1478" t="n">
        <v>46</v>
      </c>
      <c r="O1478" t="n">
        <v>38.4</v>
      </c>
      <c r="P1478" t="n">
        <v>36</v>
      </c>
      <c r="Q1478" t="n">
        <v>48.2</v>
      </c>
      <c r="R1478" t="n">
        <v>43</v>
      </c>
      <c r="S1478" t="n">
        <v>2200000</v>
      </c>
      <c r="T1478" t="n">
        <v>3826</v>
      </c>
      <c r="AH1478" t="inlineStr">
        <is>
          <t>Quelle: Idealista</t>
        </is>
      </c>
    </row>
    <row r="1479">
      <c r="A1479" t="n">
        <v>1292</v>
      </c>
      <c r="B1479" t="inlineStr">
        <is>
          <t>Casa rural en carretera Llucmajor</t>
        </is>
      </c>
      <c r="C1479" t="inlineStr">
        <is>
          <t>https://www.idealista.com/inmueble/107626274/</t>
        </is>
      </c>
      <c r="E1479" t="n">
        <v>5</v>
      </c>
      <c r="H1479" t="n">
        <v>520</v>
      </c>
      <c r="J1479" t="inlineStr">
        <is>
          <t>Son Ferriol - Sant Jordi, Palma de Mallorca</t>
        </is>
      </c>
      <c r="K1479" t="n">
        <v>7.2</v>
      </c>
      <c r="L1479" t="n">
        <v>13</v>
      </c>
      <c r="M1479" t="n">
        <v>50.5</v>
      </c>
      <c r="N1479" t="n">
        <v>46</v>
      </c>
      <c r="O1479" t="n">
        <v>38.4</v>
      </c>
      <c r="P1479" t="n">
        <v>36</v>
      </c>
      <c r="Q1479" t="n">
        <v>48.2</v>
      </c>
      <c r="R1479" t="n">
        <v>43</v>
      </c>
      <c r="S1479" t="n">
        <v>2450000</v>
      </c>
      <c r="T1479" t="n">
        <v>4712</v>
      </c>
      <c r="AH1479" t="inlineStr">
        <is>
          <t>Quelle: Idealista</t>
        </is>
      </c>
    </row>
    <row r="1480">
      <c r="A1480" t="n">
        <v>1293</v>
      </c>
      <c r="B1480" t="inlineStr">
        <is>
          <t>Casa independiente</t>
        </is>
      </c>
      <c r="C1480" t="inlineStr">
        <is>
          <t>https://www.idealista.com/inmueble/107564782/</t>
        </is>
      </c>
      <c r="E1480" t="n">
        <v>5</v>
      </c>
      <c r="H1480" t="n">
        <v>474</v>
      </c>
      <c r="J1480" t="inlineStr">
        <is>
          <t>Son Ferriol - Sant Jordi, Palma de Mallorca</t>
        </is>
      </c>
      <c r="K1480" t="n">
        <v>7.2</v>
      </c>
      <c r="L1480" t="n">
        <v>13</v>
      </c>
      <c r="M1480" t="n">
        <v>50.5</v>
      </c>
      <c r="N1480" t="n">
        <v>46</v>
      </c>
      <c r="O1480" t="n">
        <v>38.4</v>
      </c>
      <c r="P1480" t="n">
        <v>36</v>
      </c>
      <c r="Q1480" t="n">
        <v>48.2</v>
      </c>
      <c r="R1480" t="n">
        <v>43</v>
      </c>
      <c r="S1480" t="n">
        <v>3900000</v>
      </c>
      <c r="T1480" t="n">
        <v>8228</v>
      </c>
      <c r="AH1480" t="inlineStr">
        <is>
          <t>Quelle: Idealista</t>
        </is>
      </c>
    </row>
    <row r="1481">
      <c r="A1481" t="n">
        <v>1294</v>
      </c>
      <c r="B1481" t="inlineStr">
        <is>
          <t>Casa independiente</t>
        </is>
      </c>
      <c r="C1481" t="inlineStr">
        <is>
          <t>https://www.idealista.com/inmueble/100170142/</t>
        </is>
      </c>
      <c r="E1481" t="n">
        <v>6</v>
      </c>
      <c r="H1481" t="n">
        <v>679</v>
      </c>
      <c r="J1481" t="inlineStr">
        <is>
          <t>Son Ferriol - Sant Jordi, Palma de Mallorca</t>
        </is>
      </c>
      <c r="K1481" t="n">
        <v>7.2</v>
      </c>
      <c r="L1481" t="n">
        <v>13</v>
      </c>
      <c r="M1481" t="n">
        <v>50.5</v>
      </c>
      <c r="N1481" t="n">
        <v>46</v>
      </c>
      <c r="O1481" t="n">
        <v>38.4</v>
      </c>
      <c r="P1481" t="n">
        <v>36</v>
      </c>
      <c r="Q1481" t="n">
        <v>48.2</v>
      </c>
      <c r="R1481" t="n">
        <v>43</v>
      </c>
      <c r="S1481" t="n">
        <v>2250000</v>
      </c>
      <c r="T1481" t="n">
        <v>3314</v>
      </c>
      <c r="AH1481" t="inlineStr">
        <is>
          <t>Quelle: Idealista</t>
        </is>
      </c>
    </row>
    <row r="1482">
      <c r="A1482" t="n">
        <v>1295</v>
      </c>
      <c r="B1482" t="inlineStr">
        <is>
          <t>Casa rural en camino Son Oliveret</t>
        </is>
      </c>
      <c r="C1482" t="inlineStr">
        <is>
          <t>https://www.idealista.com/inmueble/107339794/</t>
        </is>
      </c>
      <c r="E1482" t="n">
        <v>5</v>
      </c>
      <c r="H1482" t="n">
        <v>643</v>
      </c>
      <c r="J1482" t="inlineStr">
        <is>
          <t>Son Ferriol - Sant Jordi, Palma de Mallorca</t>
        </is>
      </c>
      <c r="K1482" t="n">
        <v>7.2</v>
      </c>
      <c r="L1482" t="n">
        <v>13</v>
      </c>
      <c r="M1482" t="n">
        <v>50.5</v>
      </c>
      <c r="N1482" t="n">
        <v>46</v>
      </c>
      <c r="O1482" t="n">
        <v>38.4</v>
      </c>
      <c r="P1482" t="n">
        <v>36</v>
      </c>
      <c r="Q1482" t="n">
        <v>48.2</v>
      </c>
      <c r="R1482" t="n">
        <v>43</v>
      </c>
      <c r="S1482" t="n">
        <v>2600000</v>
      </c>
      <c r="T1482" t="n">
        <v>4044</v>
      </c>
      <c r="AH1482" t="inlineStr">
        <is>
          <t>Quelle: Idealista</t>
        </is>
      </c>
    </row>
    <row r="1483">
      <c r="A1483" t="n">
        <v>1296</v>
      </c>
      <c r="B1483" t="inlineStr">
        <is>
          <t>Masía</t>
        </is>
      </c>
      <c r="C1483" t="inlineStr">
        <is>
          <t>https://www.idealista.com/inmueble/107228640/</t>
        </is>
      </c>
      <c r="E1483" t="n">
        <v>5</v>
      </c>
      <c r="H1483" t="n">
        <v>879</v>
      </c>
      <c r="J1483" t="inlineStr">
        <is>
          <t>Son Ferriol - Sant Jordi, Palma de Mallorca</t>
        </is>
      </c>
      <c r="K1483" t="n">
        <v>7.2</v>
      </c>
      <c r="L1483" t="n">
        <v>13</v>
      </c>
      <c r="M1483" t="n">
        <v>50.5</v>
      </c>
      <c r="N1483" t="n">
        <v>46</v>
      </c>
      <c r="O1483" t="n">
        <v>38.4</v>
      </c>
      <c r="P1483" t="n">
        <v>36</v>
      </c>
      <c r="Q1483" t="n">
        <v>48.2</v>
      </c>
      <c r="R1483" t="n">
        <v>43</v>
      </c>
      <c r="S1483" t="n">
        <v>4500000</v>
      </c>
      <c r="T1483" t="n">
        <v>5119</v>
      </c>
      <c r="AH1483" t="inlineStr">
        <is>
          <t>Quelle: Idealista</t>
        </is>
      </c>
    </row>
    <row r="1484">
      <c r="A1484" t="n">
        <v>1297</v>
      </c>
      <c r="B1484" t="inlineStr">
        <is>
          <t>Finca rústica</t>
        </is>
      </c>
      <c r="C1484" t="inlineStr">
        <is>
          <t>https://www.idealista.com/inmueble/106627569/</t>
        </is>
      </c>
      <c r="E1484" t="n">
        <v>10</v>
      </c>
      <c r="H1484" t="n">
        <v>1485</v>
      </c>
      <c r="J1484" t="inlineStr">
        <is>
          <t>Son Ferriol - Sant Jordi, Palma de Mallorca</t>
        </is>
      </c>
      <c r="K1484" t="n">
        <v>7.2</v>
      </c>
      <c r="L1484" t="n">
        <v>13</v>
      </c>
      <c r="M1484" t="n">
        <v>50.5</v>
      </c>
      <c r="N1484" t="n">
        <v>46</v>
      </c>
      <c r="O1484" t="n">
        <v>38.4</v>
      </c>
      <c r="P1484" t="n">
        <v>36</v>
      </c>
      <c r="Q1484" t="n">
        <v>48.2</v>
      </c>
      <c r="R1484" t="n">
        <v>43</v>
      </c>
      <c r="S1484" t="n">
        <v>2660000</v>
      </c>
      <c r="T1484" t="n">
        <v>1791</v>
      </c>
      <c r="AH1484" t="inlineStr">
        <is>
          <t>Quelle: Idealista</t>
        </is>
      </c>
    </row>
    <row r="1485">
      <c r="A1485" t="n">
        <v>1298</v>
      </c>
      <c r="B1485" t="inlineStr">
        <is>
          <t>Casa independiente</t>
        </is>
      </c>
      <c r="C1485" t="inlineStr">
        <is>
          <t>https://www.idealista.com/inmueble/106160142/</t>
        </is>
      </c>
      <c r="E1485" t="n">
        <v>5</v>
      </c>
      <c r="H1485" t="n">
        <v>667</v>
      </c>
      <c r="J1485" t="inlineStr">
        <is>
          <t>Son Ferriol - Sant Jordi, Palma de Mallorca</t>
        </is>
      </c>
      <c r="K1485" t="n">
        <v>7.2</v>
      </c>
      <c r="L1485" t="n">
        <v>13</v>
      </c>
      <c r="M1485" t="n">
        <v>50.5</v>
      </c>
      <c r="N1485" t="n">
        <v>46</v>
      </c>
      <c r="O1485" t="n">
        <v>38.4</v>
      </c>
      <c r="P1485" t="n">
        <v>36</v>
      </c>
      <c r="Q1485" t="n">
        <v>48.2</v>
      </c>
      <c r="R1485" t="n">
        <v>43</v>
      </c>
      <c r="S1485" t="n">
        <v>2600000</v>
      </c>
      <c r="T1485" t="n">
        <v>3898</v>
      </c>
      <c r="AH1485" t="inlineStr">
        <is>
          <t>Quelle: Idealista</t>
        </is>
      </c>
    </row>
    <row r="1486">
      <c r="A1486" t="n">
        <v>1299</v>
      </c>
      <c r="B1486" t="inlineStr">
        <is>
          <t>Masía</t>
        </is>
      </c>
      <c r="C1486" t="inlineStr">
        <is>
          <t>https://www.idealista.com/inmueble/105766043/</t>
        </is>
      </c>
      <c r="E1486" t="n">
        <v>5</v>
      </c>
      <c r="H1486" t="n">
        <v>3839</v>
      </c>
      <c r="J1486" t="inlineStr">
        <is>
          <t>Son Ferriol - Sant Jordi, Palma de Mallorca</t>
        </is>
      </c>
      <c r="K1486" t="n">
        <v>7.2</v>
      </c>
      <c r="L1486" t="n">
        <v>13</v>
      </c>
      <c r="M1486" t="n">
        <v>50.5</v>
      </c>
      <c r="N1486" t="n">
        <v>46</v>
      </c>
      <c r="O1486" t="n">
        <v>38.4</v>
      </c>
      <c r="P1486" t="n">
        <v>36</v>
      </c>
      <c r="Q1486" t="n">
        <v>48.2</v>
      </c>
      <c r="R1486" t="n">
        <v>43</v>
      </c>
      <c r="S1486" t="n">
        <v>3000000</v>
      </c>
      <c r="T1486" t="n">
        <v>781</v>
      </c>
      <c r="AH1486" t="inlineStr">
        <is>
          <t>Quelle: Idealista</t>
        </is>
      </c>
    </row>
    <row r="1487">
      <c r="A1487" t="n">
        <v>1300</v>
      </c>
      <c r="B1487" t="inlineStr">
        <is>
          <t>Casa independiente</t>
        </is>
      </c>
      <c r="C1487" t="inlineStr">
        <is>
          <t>https://www.idealista.com/inmueble/105705453/</t>
        </is>
      </c>
      <c r="E1487" t="n">
        <v>6</v>
      </c>
      <c r="H1487" t="n">
        <v>683</v>
      </c>
      <c r="J1487" t="inlineStr">
        <is>
          <t>Son Ferriol - Sant Jordi, Palma de Mallorca</t>
        </is>
      </c>
      <c r="K1487" t="n">
        <v>7.2</v>
      </c>
      <c r="L1487" t="n">
        <v>13</v>
      </c>
      <c r="M1487" t="n">
        <v>50.5</v>
      </c>
      <c r="N1487" t="n">
        <v>46</v>
      </c>
      <c r="O1487" t="n">
        <v>38.4</v>
      </c>
      <c r="P1487" t="n">
        <v>36</v>
      </c>
      <c r="Q1487" t="n">
        <v>48.2</v>
      </c>
      <c r="R1487" t="n">
        <v>43</v>
      </c>
      <c r="S1487" t="n">
        <v>2500000</v>
      </c>
      <c r="T1487" t="n">
        <v>3660</v>
      </c>
      <c r="AH1487" t="inlineStr">
        <is>
          <t>Quelle: Idealista</t>
        </is>
      </c>
    </row>
    <row r="1488">
      <c r="A1488" t="n">
        <v>1301</v>
      </c>
      <c r="B1488" t="inlineStr">
        <is>
          <t>Casa independiente en calle Aritjol</t>
        </is>
      </c>
      <c r="C1488" t="inlineStr">
        <is>
          <t>https://www.idealista.com/inmueble/105435234/</t>
        </is>
      </c>
      <c r="E1488" t="n">
        <v>5</v>
      </c>
      <c r="H1488" t="n">
        <v>557</v>
      </c>
      <c r="J1488" t="inlineStr">
        <is>
          <t>Son Ferriol - Sant Jordi, Palma de Mallorca</t>
        </is>
      </c>
      <c r="K1488" t="n">
        <v>7.2</v>
      </c>
      <c r="L1488" t="n">
        <v>13</v>
      </c>
      <c r="M1488" t="n">
        <v>50.5</v>
      </c>
      <c r="N1488" t="n">
        <v>46</v>
      </c>
      <c r="O1488" t="n">
        <v>38.4</v>
      </c>
      <c r="P1488" t="n">
        <v>36</v>
      </c>
      <c r="Q1488" t="n">
        <v>48.2</v>
      </c>
      <c r="R1488" t="n">
        <v>43</v>
      </c>
      <c r="S1488" t="n">
        <v>2700000</v>
      </c>
      <c r="T1488" t="n">
        <v>4847</v>
      </c>
      <c r="AH1488" t="inlineStr">
        <is>
          <t>Quelle: Idealista</t>
        </is>
      </c>
    </row>
    <row r="1489">
      <c r="A1489" t="n">
        <v>1302</v>
      </c>
      <c r="B1489" t="inlineStr">
        <is>
          <t>Casa independiente</t>
        </is>
      </c>
      <c r="C1489" t="inlineStr">
        <is>
          <t>https://www.idealista.com/inmueble/105274335/</t>
        </is>
      </c>
      <c r="E1489" t="n">
        <v>5</v>
      </c>
      <c r="H1489" t="n">
        <v>3839</v>
      </c>
      <c r="J1489" t="inlineStr">
        <is>
          <t>Son Ferriol - Sant Jordi, Palma de Mallorca</t>
        </is>
      </c>
      <c r="K1489" t="n">
        <v>7.2</v>
      </c>
      <c r="L1489" t="n">
        <v>13</v>
      </c>
      <c r="M1489" t="n">
        <v>50.5</v>
      </c>
      <c r="N1489" t="n">
        <v>46</v>
      </c>
      <c r="O1489" t="n">
        <v>38.4</v>
      </c>
      <c r="P1489" t="n">
        <v>36</v>
      </c>
      <c r="Q1489" t="n">
        <v>48.2</v>
      </c>
      <c r="R1489" t="n">
        <v>43</v>
      </c>
      <c r="S1489" t="n">
        <v>4500000</v>
      </c>
      <c r="T1489" t="n">
        <v>1172</v>
      </c>
      <c r="AH1489" t="inlineStr">
        <is>
          <t>Quelle: Idealista</t>
        </is>
      </c>
    </row>
    <row r="1490">
      <c r="A1490" t="n">
        <v>1303</v>
      </c>
      <c r="B1490" t="inlineStr">
        <is>
          <t>Casa independiente en avenida Son Oliver Vial b</t>
        </is>
      </c>
      <c r="C1490" t="inlineStr">
        <is>
          <t>https://www.idealista.com/inmueble/101954952/</t>
        </is>
      </c>
      <c r="E1490" t="n">
        <v>5</v>
      </c>
      <c r="H1490" t="n">
        <v>667</v>
      </c>
      <c r="J1490" t="inlineStr">
        <is>
          <t>Son Ferriol - Sant Jordi, Palma de Mallorca</t>
        </is>
      </c>
      <c r="K1490" t="n">
        <v>7.2</v>
      </c>
      <c r="L1490" t="n">
        <v>13</v>
      </c>
      <c r="M1490" t="n">
        <v>50.5</v>
      </c>
      <c r="N1490" t="n">
        <v>46</v>
      </c>
      <c r="O1490" t="n">
        <v>38.4</v>
      </c>
      <c r="P1490" t="n">
        <v>36</v>
      </c>
      <c r="Q1490" t="n">
        <v>48.2</v>
      </c>
      <c r="R1490" t="n">
        <v>43</v>
      </c>
      <c r="S1490" t="n">
        <v>2400000</v>
      </c>
      <c r="T1490" t="n">
        <v>3598</v>
      </c>
      <c r="AH1490" t="inlineStr">
        <is>
          <t>Quelle: Idealista</t>
        </is>
      </c>
    </row>
    <row r="1491">
      <c r="A1491" t="n">
        <v>1304</v>
      </c>
      <c r="B1491" t="inlineStr">
        <is>
          <t>Finca rústica en km 10</t>
        </is>
      </c>
      <c r="C1491" t="inlineStr">
        <is>
          <t>https://www.idealista.com/inmueble/98852101/</t>
        </is>
      </c>
      <c r="E1491" t="n">
        <v>6</v>
      </c>
      <c r="H1491" t="n">
        <v>3800</v>
      </c>
      <c r="J1491" t="inlineStr">
        <is>
          <t>Son Ferriol - Sant Jordi, Palma de Mallorca</t>
        </is>
      </c>
      <c r="K1491" t="n">
        <v>7.2</v>
      </c>
      <c r="L1491" t="n">
        <v>13</v>
      </c>
      <c r="M1491" t="n">
        <v>50.5</v>
      </c>
      <c r="N1491" t="n">
        <v>46</v>
      </c>
      <c r="O1491" t="n">
        <v>38.4</v>
      </c>
      <c r="P1491" t="n">
        <v>36</v>
      </c>
      <c r="Q1491" t="n">
        <v>48.2</v>
      </c>
      <c r="R1491" t="n">
        <v>43</v>
      </c>
      <c r="S1491" t="n">
        <v>4500000</v>
      </c>
      <c r="T1491" t="n">
        <v>1184</v>
      </c>
      <c r="AH1491" t="inlineStr">
        <is>
          <t>Quelle: Idealista</t>
        </is>
      </c>
    </row>
    <row r="1492">
      <c r="A1492" t="n">
        <v>1305</v>
      </c>
      <c r="B1492" t="inlineStr">
        <is>
          <t>Finca rústica</t>
        </is>
      </c>
      <c r="C1492" t="inlineStr">
        <is>
          <t>https://www.idealista.com/inmueble/103959888/</t>
        </is>
      </c>
      <c r="E1492" t="n">
        <v>5</v>
      </c>
      <c r="H1492" t="n">
        <v>490</v>
      </c>
      <c r="J1492" t="inlineStr">
        <is>
          <t>Son Ferriol - Sant Jordi, Palma de Mallorca</t>
        </is>
      </c>
      <c r="K1492" t="n">
        <v>7.2</v>
      </c>
      <c r="L1492" t="n">
        <v>13</v>
      </c>
      <c r="M1492" t="n">
        <v>50.5</v>
      </c>
      <c r="N1492" t="n">
        <v>46</v>
      </c>
      <c r="O1492" t="n">
        <v>38.4</v>
      </c>
      <c r="P1492" t="n">
        <v>36</v>
      </c>
      <c r="Q1492" t="n">
        <v>48.2</v>
      </c>
      <c r="R1492" t="n">
        <v>43</v>
      </c>
      <c r="S1492" t="n">
        <v>2539000</v>
      </c>
      <c r="T1492" t="n">
        <v>5182</v>
      </c>
      <c r="AH1492" t="inlineStr">
        <is>
          <t>Quelle: Idealista</t>
        </is>
      </c>
    </row>
    <row r="1493">
      <c r="A1493" t="n">
        <v>1306</v>
      </c>
      <c r="B1493" t="inlineStr">
        <is>
          <t>Finca rústica</t>
        </is>
      </c>
      <c r="C1493" t="inlineStr">
        <is>
          <t>https://www.idealista.com/inmueble/87608913/</t>
        </is>
      </c>
      <c r="E1493" t="n">
        <v>5</v>
      </c>
      <c r="H1493" t="n">
        <v>800</v>
      </c>
      <c r="J1493" t="inlineStr">
        <is>
          <t>Son Ferriol - Sant Jordi, Palma de Mallorca</t>
        </is>
      </c>
      <c r="K1493" t="n">
        <v>7.2</v>
      </c>
      <c r="L1493" t="n">
        <v>13</v>
      </c>
      <c r="M1493" t="n">
        <v>50.5</v>
      </c>
      <c r="N1493" t="n">
        <v>46</v>
      </c>
      <c r="O1493" t="n">
        <v>38.4</v>
      </c>
      <c r="P1493" t="n">
        <v>36</v>
      </c>
      <c r="Q1493" t="n">
        <v>48.2</v>
      </c>
      <c r="R1493" t="n">
        <v>43</v>
      </c>
      <c r="S1493" t="n">
        <v>2400000</v>
      </c>
      <c r="T1493" t="n">
        <v>3000</v>
      </c>
      <c r="AH1493" t="inlineStr">
        <is>
          <t>Quelle: Idealista</t>
        </is>
      </c>
    </row>
    <row r="1494">
      <c r="A1494" t="n">
        <v>1307</v>
      </c>
      <c r="B1494" t="inlineStr">
        <is>
          <t>Casa independiente</t>
        </is>
      </c>
      <c r="C1494" t="inlineStr">
        <is>
          <t>https://www.idealista.com/inmueble/103025013/</t>
        </is>
      </c>
      <c r="E1494" t="n">
        <v>12</v>
      </c>
      <c r="H1494" t="n">
        <v>781</v>
      </c>
      <c r="J1494" t="inlineStr">
        <is>
          <t>Son Ferriol - Sant Jordi, Palma de Mallorca</t>
        </is>
      </c>
      <c r="K1494" t="n">
        <v>7.2</v>
      </c>
      <c r="L1494" t="n">
        <v>13</v>
      </c>
      <c r="M1494" t="n">
        <v>50.5</v>
      </c>
      <c r="N1494" t="n">
        <v>46</v>
      </c>
      <c r="O1494" t="n">
        <v>38.4</v>
      </c>
      <c r="P1494" t="n">
        <v>36</v>
      </c>
      <c r="Q1494" t="n">
        <v>48.2</v>
      </c>
      <c r="R1494" t="n">
        <v>43</v>
      </c>
      <c r="S1494" t="n">
        <v>2200000</v>
      </c>
      <c r="T1494" t="n">
        <v>2817</v>
      </c>
      <c r="AH1494" t="inlineStr">
        <is>
          <t>Quelle: Idealista</t>
        </is>
      </c>
    </row>
    <row r="1495">
      <c r="A1495" t="n">
        <v>1308</v>
      </c>
      <c r="B1495" t="inlineStr">
        <is>
          <t>Casa independiente</t>
        </is>
      </c>
      <c r="C1495" t="inlineStr">
        <is>
          <t>https://www.idealista.com/inmueble/101811302/</t>
        </is>
      </c>
      <c r="E1495" t="n">
        <v>6</v>
      </c>
      <c r="H1495" t="n">
        <v>445</v>
      </c>
      <c r="J1495" t="inlineStr">
        <is>
          <t>Son Ferriol - Sant Jordi, Palma de Mallorca</t>
        </is>
      </c>
      <c r="K1495" t="n">
        <v>7.2</v>
      </c>
      <c r="L1495" t="n">
        <v>13</v>
      </c>
      <c r="M1495" t="n">
        <v>50.5</v>
      </c>
      <c r="N1495" t="n">
        <v>46</v>
      </c>
      <c r="O1495" t="n">
        <v>38.4</v>
      </c>
      <c r="P1495" t="n">
        <v>36</v>
      </c>
      <c r="Q1495" t="n">
        <v>48.2</v>
      </c>
      <c r="R1495" t="n">
        <v>43</v>
      </c>
      <c r="S1495" t="n">
        <v>2499000</v>
      </c>
      <c r="T1495" t="n">
        <v>5616</v>
      </c>
      <c r="AH1495" t="inlineStr">
        <is>
          <t>Quelle: Idealista</t>
        </is>
      </c>
    </row>
    <row r="1496">
      <c r="A1496" t="n">
        <v>1309</v>
      </c>
      <c r="B1496" t="inlineStr">
        <is>
          <t>Casa independiente en calle de s'Aranjassa, 40 a</t>
        </is>
      </c>
      <c r="C1496" t="inlineStr">
        <is>
          <t>https://www.idealista.com/inmueble/99386819/</t>
        </is>
      </c>
      <c r="E1496" t="n">
        <v>5</v>
      </c>
      <c r="H1496" t="n">
        <v>477</v>
      </c>
      <c r="J1496" t="inlineStr">
        <is>
          <t>Son Ferriol - Sant Jordi, Palma de Mallorca</t>
        </is>
      </c>
      <c r="K1496" t="n">
        <v>7.2</v>
      </c>
      <c r="L1496" t="n">
        <v>13</v>
      </c>
      <c r="M1496" t="n">
        <v>50.5</v>
      </c>
      <c r="N1496" t="n">
        <v>46</v>
      </c>
      <c r="O1496" t="n">
        <v>38.4</v>
      </c>
      <c r="P1496" t="n">
        <v>36</v>
      </c>
      <c r="Q1496" t="n">
        <v>48.2</v>
      </c>
      <c r="R1496" t="n">
        <v>43</v>
      </c>
      <c r="S1496" t="n">
        <v>2450000</v>
      </c>
      <c r="T1496" t="n">
        <v>5136</v>
      </c>
      <c r="AH1496" t="inlineStr">
        <is>
          <t>Quelle: Idealista</t>
        </is>
      </c>
    </row>
    <row r="1497">
      <c r="A1497" t="n">
        <v>1310</v>
      </c>
      <c r="B1497" t="inlineStr">
        <is>
          <t>Casa independiente</t>
        </is>
      </c>
      <c r="C1497" t="inlineStr">
        <is>
          <t>https://www.idealista.com/inmueble/101321601/</t>
        </is>
      </c>
      <c r="E1497" t="n">
        <v>7</v>
      </c>
      <c r="H1497" t="n">
        <v>420</v>
      </c>
      <c r="J1497" t="inlineStr">
        <is>
          <t>Son Ferriol - Sant Jordi, Palma de Mallorca</t>
        </is>
      </c>
      <c r="K1497" t="n">
        <v>7.2</v>
      </c>
      <c r="L1497" t="n">
        <v>13</v>
      </c>
      <c r="M1497" t="n">
        <v>50.5</v>
      </c>
      <c r="N1497" t="n">
        <v>46</v>
      </c>
      <c r="O1497" t="n">
        <v>38.4</v>
      </c>
      <c r="P1497" t="n">
        <v>36</v>
      </c>
      <c r="Q1497" t="n">
        <v>48.2</v>
      </c>
      <c r="R1497" t="n">
        <v>43</v>
      </c>
      <c r="S1497" t="n">
        <v>2400000</v>
      </c>
      <c r="T1497" t="n">
        <v>5714</v>
      </c>
      <c r="AH1497" t="inlineStr">
        <is>
          <t>Quelle: Idealista</t>
        </is>
      </c>
    </row>
    <row r="1498">
      <c r="A1498" t="n">
        <v>1311</v>
      </c>
      <c r="B1498" t="inlineStr">
        <is>
          <t>Casa independiente en Urbanizacion son oliver calle levante</t>
        </is>
      </c>
      <c r="C1498" t="inlineStr">
        <is>
          <t>https://www.idealista.com/inmueble/101301407/</t>
        </is>
      </c>
      <c r="E1498" t="n">
        <v>5</v>
      </c>
      <c r="H1498" t="n">
        <v>400</v>
      </c>
      <c r="J1498" t="inlineStr">
        <is>
          <t>Son Ferriol - Sant Jordi, Palma de Mallorca</t>
        </is>
      </c>
      <c r="K1498" t="n">
        <v>7.2</v>
      </c>
      <c r="L1498" t="n">
        <v>13</v>
      </c>
      <c r="M1498" t="n">
        <v>50.5</v>
      </c>
      <c r="N1498" t="n">
        <v>46</v>
      </c>
      <c r="O1498" t="n">
        <v>38.4</v>
      </c>
      <c r="P1498" t="n">
        <v>36</v>
      </c>
      <c r="Q1498" t="n">
        <v>48.2</v>
      </c>
      <c r="R1498" t="n">
        <v>43</v>
      </c>
      <c r="S1498" t="n">
        <v>2400000</v>
      </c>
      <c r="T1498" t="n">
        <v>6000</v>
      </c>
      <c r="AH1498" t="inlineStr">
        <is>
          <t>Quelle: Idealista</t>
        </is>
      </c>
    </row>
    <row r="1499">
      <c r="A1499" t="n">
        <v>1312</v>
      </c>
      <c r="B1499" t="inlineStr">
        <is>
          <t>Finca rústica en Disseminat Puntiro</t>
        </is>
      </c>
      <c r="C1499" t="inlineStr">
        <is>
          <t>https://www.idealista.com/inmueble/99368158/</t>
        </is>
      </c>
      <c r="E1499" t="n">
        <v>7</v>
      </c>
      <c r="H1499" t="n">
        <v>1485</v>
      </c>
      <c r="J1499" t="inlineStr">
        <is>
          <t>Son Ferriol - Sant Jordi, Palma de Mallorca</t>
        </is>
      </c>
      <c r="K1499" t="n">
        <v>7.2</v>
      </c>
      <c r="L1499" t="n">
        <v>13</v>
      </c>
      <c r="M1499" t="n">
        <v>50.5</v>
      </c>
      <c r="N1499" t="n">
        <v>46</v>
      </c>
      <c r="O1499" t="n">
        <v>38.4</v>
      </c>
      <c r="P1499" t="n">
        <v>36</v>
      </c>
      <c r="Q1499" t="n">
        <v>48.2</v>
      </c>
      <c r="R1499" t="n">
        <v>43</v>
      </c>
      <c r="S1499" t="n">
        <v>2500000</v>
      </c>
      <c r="T1499" t="n">
        <v>1684</v>
      </c>
      <c r="AH1499" t="inlineStr">
        <is>
          <t>Quelle: Idealista</t>
        </is>
      </c>
    </row>
    <row r="1500">
      <c r="A1500" t="n">
        <v>1313</v>
      </c>
      <c r="B1500" t="inlineStr">
        <is>
          <t>Finca rústica</t>
        </is>
      </c>
      <c r="C1500" t="inlineStr">
        <is>
          <t>https://www.idealista.com/inmueble/98918580/</t>
        </is>
      </c>
      <c r="E1500" t="n">
        <v>5</v>
      </c>
      <c r="H1500" t="n">
        <v>5117</v>
      </c>
      <c r="J1500" t="inlineStr">
        <is>
          <t>Son Ferriol - Sant Jordi, Palma de Mallorca</t>
        </is>
      </c>
      <c r="K1500" t="n">
        <v>7.2</v>
      </c>
      <c r="L1500" t="n">
        <v>13</v>
      </c>
      <c r="M1500" t="n">
        <v>50.5</v>
      </c>
      <c r="N1500" t="n">
        <v>46</v>
      </c>
      <c r="O1500" t="n">
        <v>38.4</v>
      </c>
      <c r="P1500" t="n">
        <v>36</v>
      </c>
      <c r="Q1500" t="n">
        <v>48.2</v>
      </c>
      <c r="R1500" t="n">
        <v>43</v>
      </c>
      <c r="S1500" t="n">
        <v>4500000</v>
      </c>
      <c r="T1500" t="n">
        <v>879</v>
      </c>
      <c r="AH1500" t="inlineStr">
        <is>
          <t>Quelle: Idealista</t>
        </is>
      </c>
    </row>
    <row r="1501">
      <c r="A1501" t="n">
        <v>1314</v>
      </c>
      <c r="B1501" t="inlineStr">
        <is>
          <t>Casa rural</t>
        </is>
      </c>
      <c r="C1501" t="inlineStr">
        <is>
          <t>https://www.idealista.com/inmueble/96773288/</t>
        </is>
      </c>
      <c r="E1501" t="n">
        <v>13</v>
      </c>
      <c r="H1501" t="n">
        <v>2300</v>
      </c>
      <c r="J1501" t="inlineStr">
        <is>
          <t>Son Ferriol - Sant Jordi, Palma de Mallorca</t>
        </is>
      </c>
      <c r="K1501" t="n">
        <v>7.2</v>
      </c>
      <c r="L1501" t="n">
        <v>13</v>
      </c>
      <c r="M1501" t="n">
        <v>50.5</v>
      </c>
      <c r="N1501" t="n">
        <v>46</v>
      </c>
      <c r="O1501" t="n">
        <v>38.4</v>
      </c>
      <c r="P1501" t="n">
        <v>36</v>
      </c>
      <c r="Q1501" t="n">
        <v>48.2</v>
      </c>
      <c r="R1501" t="n">
        <v>43</v>
      </c>
      <c r="S1501" t="n">
        <v>4900000</v>
      </c>
      <c r="T1501" t="n">
        <v>2130</v>
      </c>
      <c r="AH1501" t="inlineStr">
        <is>
          <t>Quelle: Idealista</t>
        </is>
      </c>
    </row>
    <row r="1502">
      <c r="A1502" t="n">
        <v>1315</v>
      </c>
      <c r="B1502" t="inlineStr">
        <is>
          <t>Finca rústica en Diseminado Can 8729- Sa Casa Blanca</t>
        </is>
      </c>
      <c r="C1502" t="inlineStr">
        <is>
          <t>https://www.idealista.com/inmueble/98850949/</t>
        </is>
      </c>
      <c r="E1502" t="n">
        <v>9</v>
      </c>
      <c r="H1502" t="n">
        <v>1900</v>
      </c>
      <c r="J1502" t="inlineStr">
        <is>
          <t>Son Ferriol - Sant Jordi, Palma de Mallorca</t>
        </is>
      </c>
      <c r="K1502" t="n">
        <v>7.2</v>
      </c>
      <c r="L1502" t="n">
        <v>13</v>
      </c>
      <c r="M1502" t="n">
        <v>50.5</v>
      </c>
      <c r="N1502" t="n">
        <v>46</v>
      </c>
      <c r="O1502" t="n">
        <v>38.4</v>
      </c>
      <c r="P1502" t="n">
        <v>36</v>
      </c>
      <c r="Q1502" t="n">
        <v>48.2</v>
      </c>
      <c r="R1502" t="n">
        <v>43</v>
      </c>
      <c r="S1502" t="n">
        <v>2500000</v>
      </c>
      <c r="T1502" t="n">
        <v>1316</v>
      </c>
      <c r="AH1502" t="inlineStr">
        <is>
          <t>Quelle: Idealista</t>
        </is>
      </c>
    </row>
    <row r="1503">
      <c r="A1503" t="n">
        <v>1316</v>
      </c>
      <c r="B1503" t="inlineStr">
        <is>
          <t>Masía</t>
        </is>
      </c>
      <c r="C1503" t="inlineStr">
        <is>
          <t>https://www.idealista.com/inmueble/96943917/</t>
        </is>
      </c>
      <c r="E1503" t="n">
        <v>5</v>
      </c>
      <c r="H1503" t="n">
        <v>3839</v>
      </c>
      <c r="J1503" t="inlineStr">
        <is>
          <t>Son Ferriol - Sant Jordi, Palma de Mallorca</t>
        </is>
      </c>
      <c r="K1503" t="n">
        <v>7.2</v>
      </c>
      <c r="L1503" t="n">
        <v>13</v>
      </c>
      <c r="M1503" t="n">
        <v>50.5</v>
      </c>
      <c r="N1503" t="n">
        <v>46</v>
      </c>
      <c r="O1503" t="n">
        <v>38.4</v>
      </c>
      <c r="P1503" t="n">
        <v>36</v>
      </c>
      <c r="Q1503" t="n">
        <v>48.2</v>
      </c>
      <c r="R1503" t="n">
        <v>43</v>
      </c>
      <c r="S1503" t="n">
        <v>4500000</v>
      </c>
      <c r="T1503" t="n">
        <v>1172</v>
      </c>
      <c r="AH1503" t="inlineStr">
        <is>
          <t>Quelle: Idealista</t>
        </is>
      </c>
    </row>
    <row r="1504">
      <c r="A1504" t="n">
        <v>1317</v>
      </c>
      <c r="B1504" t="inlineStr">
        <is>
          <t>Casa independiente en s'arenal</t>
        </is>
      </c>
      <c r="C1504" t="inlineStr">
        <is>
          <t>https://www.idealista.com/inmueble/96625446/</t>
        </is>
      </c>
      <c r="E1504" t="n">
        <v>7</v>
      </c>
      <c r="H1504" t="n">
        <v>495</v>
      </c>
      <c r="J1504" t="inlineStr">
        <is>
          <t>Son Ferriol - Sant Jordi, Palma de Mallorca</t>
        </is>
      </c>
      <c r="K1504" t="n">
        <v>7.2</v>
      </c>
      <c r="L1504" t="n">
        <v>13</v>
      </c>
      <c r="M1504" t="n">
        <v>50.5</v>
      </c>
      <c r="N1504" t="n">
        <v>46</v>
      </c>
      <c r="O1504" t="n">
        <v>38.4</v>
      </c>
      <c r="P1504" t="n">
        <v>36</v>
      </c>
      <c r="Q1504" t="n">
        <v>48.2</v>
      </c>
      <c r="R1504" t="n">
        <v>43</v>
      </c>
      <c r="S1504" t="n">
        <v>2500000</v>
      </c>
      <c r="T1504" t="n">
        <v>5051</v>
      </c>
      <c r="AH1504" t="inlineStr">
        <is>
          <t>Quelle: Idealista</t>
        </is>
      </c>
    </row>
    <row r="1505">
      <c r="A1505" t="n">
        <v>1318</v>
      </c>
      <c r="B1505" t="inlineStr">
        <is>
          <t>Casa rural</t>
        </is>
      </c>
      <c r="C1505" t="inlineStr">
        <is>
          <t>https://www.idealista.com/inmueble/95847195/</t>
        </is>
      </c>
      <c r="E1505" t="n">
        <v>5</v>
      </c>
      <c r="H1505" t="n">
        <v>1450</v>
      </c>
      <c r="J1505" t="inlineStr">
        <is>
          <t>Son Ferriol - Sant Jordi, Palma de Mallorca</t>
        </is>
      </c>
      <c r="K1505" t="n">
        <v>7.2</v>
      </c>
      <c r="L1505" t="n">
        <v>13</v>
      </c>
      <c r="M1505" t="n">
        <v>50.5</v>
      </c>
      <c r="N1505" t="n">
        <v>46</v>
      </c>
      <c r="O1505" t="n">
        <v>38.4</v>
      </c>
      <c r="P1505" t="n">
        <v>36</v>
      </c>
      <c r="Q1505" t="n">
        <v>48.2</v>
      </c>
      <c r="R1505" t="n">
        <v>43</v>
      </c>
      <c r="S1505" t="n">
        <v>2700000</v>
      </c>
      <c r="T1505" t="n">
        <v>1862</v>
      </c>
      <c r="AH1505" t="inlineStr">
        <is>
          <t>Quelle: Idealista</t>
        </is>
      </c>
    </row>
    <row r="1506">
      <c r="A1506" t="n">
        <v>1319</v>
      </c>
      <c r="B1506" t="inlineStr">
        <is>
          <t>Casa independiente</t>
        </is>
      </c>
      <c r="C1506" t="inlineStr">
        <is>
          <t>https://www.idealista.com/inmueble/94047130/</t>
        </is>
      </c>
      <c r="E1506" t="n">
        <v>5</v>
      </c>
      <c r="H1506" t="n">
        <v>667</v>
      </c>
      <c r="J1506" t="inlineStr">
        <is>
          <t>Son Ferriol - Sant Jordi, Palma de Mallorca</t>
        </is>
      </c>
      <c r="K1506" t="n">
        <v>7.2</v>
      </c>
      <c r="L1506" t="n">
        <v>13</v>
      </c>
      <c r="M1506" t="n">
        <v>50.5</v>
      </c>
      <c r="N1506" t="n">
        <v>46</v>
      </c>
      <c r="O1506" t="n">
        <v>38.4</v>
      </c>
      <c r="P1506" t="n">
        <v>36</v>
      </c>
      <c r="Q1506" t="n">
        <v>48.2</v>
      </c>
      <c r="R1506" t="n">
        <v>43</v>
      </c>
      <c r="S1506" t="n">
        <v>2600000</v>
      </c>
      <c r="T1506" t="n">
        <v>3898</v>
      </c>
      <c r="AH1506" t="inlineStr">
        <is>
          <t>Quelle: Idealista</t>
        </is>
      </c>
    </row>
    <row r="1507">
      <c r="A1507" t="n">
        <v>1320</v>
      </c>
      <c r="B1507" t="inlineStr">
        <is>
          <t>Casa independiente</t>
        </is>
      </c>
      <c r="C1507" t="inlineStr">
        <is>
          <t>https://www.idealista.com/inmueble/93585337/</t>
        </is>
      </c>
      <c r="E1507" t="n">
        <v>5</v>
      </c>
      <c r="H1507" t="n">
        <v>298</v>
      </c>
      <c r="J1507" t="inlineStr">
        <is>
          <t>Son Ferriol - Sant Jordi, Palma de Mallorca</t>
        </is>
      </c>
      <c r="K1507" t="n">
        <v>7.2</v>
      </c>
      <c r="L1507" t="n">
        <v>13</v>
      </c>
      <c r="M1507" t="n">
        <v>50.5</v>
      </c>
      <c r="N1507" t="n">
        <v>46</v>
      </c>
      <c r="O1507" t="n">
        <v>38.4</v>
      </c>
      <c r="P1507" t="n">
        <v>36</v>
      </c>
      <c r="Q1507" t="n">
        <v>48.2</v>
      </c>
      <c r="R1507" t="n">
        <v>43</v>
      </c>
      <c r="S1507" t="n">
        <v>2100000</v>
      </c>
      <c r="T1507" t="n">
        <v>7047</v>
      </c>
      <c r="AH1507" t="inlineStr">
        <is>
          <t>Quelle: Idealista</t>
        </is>
      </c>
    </row>
    <row r="1508">
      <c r="A1508" t="n">
        <v>1321</v>
      </c>
      <c r="B1508" t="inlineStr">
        <is>
          <t>Finca rústica</t>
        </is>
      </c>
      <c r="C1508" t="inlineStr">
        <is>
          <t>https://www.idealista.com/inmueble/93192230/</t>
        </is>
      </c>
      <c r="E1508" t="n">
        <v>6</v>
      </c>
      <c r="H1508" t="n">
        <v>1969</v>
      </c>
      <c r="J1508" t="inlineStr">
        <is>
          <t>Son Ferriol - Sant Jordi, Palma de Mallorca</t>
        </is>
      </c>
      <c r="K1508" t="n">
        <v>7.2</v>
      </c>
      <c r="L1508" t="n">
        <v>13</v>
      </c>
      <c r="M1508" t="n">
        <v>50.5</v>
      </c>
      <c r="N1508" t="n">
        <v>46</v>
      </c>
      <c r="O1508" t="n">
        <v>38.4</v>
      </c>
      <c r="P1508" t="n">
        <v>36</v>
      </c>
      <c r="Q1508" t="n">
        <v>48.2</v>
      </c>
      <c r="R1508" t="n">
        <v>43</v>
      </c>
      <c r="S1508" t="n">
        <v>2500000</v>
      </c>
      <c r="T1508" t="n">
        <v>1270</v>
      </c>
      <c r="AH1508" t="inlineStr">
        <is>
          <t>Quelle: Idealista</t>
        </is>
      </c>
    </row>
    <row r="1509">
      <c r="A1509" t="n">
        <v>1322</v>
      </c>
      <c r="B1509" t="inlineStr">
        <is>
          <t>Finca rústica</t>
        </is>
      </c>
      <c r="C1509" t="inlineStr">
        <is>
          <t>https://www.idealista.com/inmueble/87394625/</t>
        </is>
      </c>
      <c r="E1509" t="n">
        <v>5</v>
      </c>
      <c r="H1509" t="n">
        <v>1500</v>
      </c>
      <c r="J1509" t="inlineStr">
        <is>
          <t>Son Ferriol - Sant Jordi, Palma de Mallorca</t>
        </is>
      </c>
      <c r="K1509" t="n">
        <v>7.2</v>
      </c>
      <c r="L1509" t="n">
        <v>13</v>
      </c>
      <c r="M1509" t="n">
        <v>50.5</v>
      </c>
      <c r="N1509" t="n">
        <v>46</v>
      </c>
      <c r="O1509" t="n">
        <v>38.4</v>
      </c>
      <c r="P1509" t="n">
        <v>36</v>
      </c>
      <c r="Q1509" t="n">
        <v>48.2</v>
      </c>
      <c r="R1509" t="n">
        <v>43</v>
      </c>
      <c r="S1509" t="n">
        <v>2665000</v>
      </c>
      <c r="T1509" t="n">
        <v>1777</v>
      </c>
      <c r="AH1509" t="inlineStr">
        <is>
          <t>Quelle: Idealista</t>
        </is>
      </c>
    </row>
    <row r="1510">
      <c r="A1510" t="n">
        <v>1323</v>
      </c>
      <c r="B1510" t="inlineStr">
        <is>
          <t>Casa rural</t>
        </is>
      </c>
      <c r="C1510" t="inlineStr">
        <is>
          <t>https://www.idealista.com/inmueble/81270218/</t>
        </is>
      </c>
      <c r="E1510" t="n">
        <v>13</v>
      </c>
      <c r="H1510" t="n">
        <v>566</v>
      </c>
      <c r="J1510" t="inlineStr">
        <is>
          <t>Son Ferriol - Sant Jordi, Palma de Mallorca</t>
        </is>
      </c>
      <c r="K1510" t="n">
        <v>7.2</v>
      </c>
      <c r="L1510" t="n">
        <v>13</v>
      </c>
      <c r="M1510" t="n">
        <v>50.5</v>
      </c>
      <c r="N1510" t="n">
        <v>46</v>
      </c>
      <c r="O1510" t="n">
        <v>38.4</v>
      </c>
      <c r="P1510" t="n">
        <v>36</v>
      </c>
      <c r="Q1510" t="n">
        <v>48.2</v>
      </c>
      <c r="R1510" t="n">
        <v>43</v>
      </c>
      <c r="S1510" t="n">
        <v>4900000</v>
      </c>
      <c r="T1510" t="n">
        <v>8657</v>
      </c>
      <c r="AH1510" t="inlineStr">
        <is>
          <t>Quelle: Idealista</t>
        </is>
      </c>
    </row>
    <row r="1511">
      <c r="A1511" t="n">
        <v>1324</v>
      </c>
      <c r="B1511" t="inlineStr">
        <is>
          <t>Finca rústica</t>
        </is>
      </c>
      <c r="C1511" t="inlineStr">
        <is>
          <t>https://www.idealista.com/inmueble/87175747/</t>
        </is>
      </c>
      <c r="E1511" t="n">
        <v>5</v>
      </c>
      <c r="H1511" t="n">
        <v>500</v>
      </c>
      <c r="J1511" t="inlineStr">
        <is>
          <t>Son Ferriol - Sant Jordi, Palma de Mallorca</t>
        </is>
      </c>
      <c r="K1511" t="n">
        <v>7.2</v>
      </c>
      <c r="L1511" t="n">
        <v>13</v>
      </c>
      <c r="M1511" t="n">
        <v>50.5</v>
      </c>
      <c r="N1511" t="n">
        <v>46</v>
      </c>
      <c r="O1511" t="n">
        <v>38.4</v>
      </c>
      <c r="P1511" t="n">
        <v>36</v>
      </c>
      <c r="Q1511" t="n">
        <v>48.2</v>
      </c>
      <c r="R1511" t="n">
        <v>43</v>
      </c>
      <c r="S1511" t="n">
        <v>2800000</v>
      </c>
      <c r="T1511" t="n">
        <v>5600</v>
      </c>
      <c r="AH1511" t="inlineStr">
        <is>
          <t>Quelle: Idealista</t>
        </is>
      </c>
    </row>
    <row r="1512">
      <c r="A1512" t="n">
        <v>1325</v>
      </c>
      <c r="B1512" t="inlineStr">
        <is>
          <t>Caserón</t>
        </is>
      </c>
      <c r="C1512" t="inlineStr">
        <is>
          <t>https://www.idealista.com/inmueble/37566334/</t>
        </is>
      </c>
      <c r="E1512" t="n">
        <v>12</v>
      </c>
      <c r="H1512" t="n">
        <v>1485</v>
      </c>
      <c r="J1512" t="inlineStr">
        <is>
          <t>Son Ferriol - Sant Jordi, Palma de Mallorca</t>
        </is>
      </c>
      <c r="K1512" t="n">
        <v>7.2</v>
      </c>
      <c r="L1512" t="n">
        <v>13</v>
      </c>
      <c r="M1512" t="n">
        <v>50.5</v>
      </c>
      <c r="N1512" t="n">
        <v>46</v>
      </c>
      <c r="O1512" t="n">
        <v>38.4</v>
      </c>
      <c r="P1512" t="n">
        <v>36</v>
      </c>
      <c r="Q1512" t="n">
        <v>48.2</v>
      </c>
      <c r="R1512" t="n">
        <v>43</v>
      </c>
      <c r="S1512" t="n">
        <v>2500000</v>
      </c>
      <c r="T1512" t="n">
        <v>1684</v>
      </c>
      <c r="AH1512" t="inlineStr">
        <is>
          <t>Quelle: Idealista</t>
        </is>
      </c>
    </row>
    <row r="1513">
      <c r="A1513" t="n">
        <v>1326</v>
      </c>
      <c r="B1513" t="inlineStr">
        <is>
          <t>Casa rural</t>
        </is>
      </c>
      <c r="C1513" t="inlineStr">
        <is>
          <t>https://www.idealista.com/inmueble/106859024/</t>
        </is>
      </c>
      <c r="E1513" t="n">
        <v>5</v>
      </c>
      <c r="H1513" t="n">
        <v>914</v>
      </c>
      <c r="J1513" t="inlineStr">
        <is>
          <t>Son Oliva - Plaza Toros - Camp Redó, Palma de Mallorca</t>
        </is>
      </c>
      <c r="K1513" t="n">
        <v>12.8</v>
      </c>
      <c r="L1513" t="n">
        <v>17</v>
      </c>
      <c r="M1513" t="n">
        <v>55.6</v>
      </c>
      <c r="N1513" t="n">
        <v>50</v>
      </c>
      <c r="O1513" t="n">
        <v>30.6</v>
      </c>
      <c r="P1513" t="n">
        <v>29</v>
      </c>
      <c r="Q1513" t="n">
        <v>53.2</v>
      </c>
      <c r="R1513" t="n">
        <v>46</v>
      </c>
      <c r="S1513" t="n">
        <v>3600000</v>
      </c>
      <c r="T1513" t="n">
        <v>3939</v>
      </c>
      <c r="AH1513" t="inlineStr">
        <is>
          <t>Quelle: Idealista</t>
        </is>
      </c>
    </row>
    <row r="1514">
      <c r="A1514" t="n">
        <v>1327</v>
      </c>
      <c r="B1514" t="inlineStr">
        <is>
          <t>Casa independiente</t>
        </is>
      </c>
      <c r="C1514" t="inlineStr">
        <is>
          <t>https://www.idealista.com/inmueble/110437628/</t>
        </is>
      </c>
      <c r="E1514" t="n">
        <v>7</v>
      </c>
      <c r="H1514" t="n">
        <v>850</v>
      </c>
      <c r="J1514" t="inlineStr">
        <is>
          <t>Son Vida, Palma de Mallorca</t>
        </is>
      </c>
      <c r="K1514" t="n">
        <v>19.2</v>
      </c>
      <c r="L1514" t="n">
        <v>22</v>
      </c>
      <c r="M1514" t="n">
        <v>61.9</v>
      </c>
      <c r="N1514" t="n">
        <v>55</v>
      </c>
      <c r="O1514" t="n">
        <v>31</v>
      </c>
      <c r="P1514" t="n">
        <v>31</v>
      </c>
      <c r="Q1514" t="n">
        <v>59.6</v>
      </c>
      <c r="R1514" t="n">
        <v>51</v>
      </c>
      <c r="S1514" t="n">
        <v>5900000</v>
      </c>
      <c r="T1514" t="n">
        <v>6941</v>
      </c>
      <c r="AH1514" t="inlineStr">
        <is>
          <t>Quelle: Idealista</t>
        </is>
      </c>
    </row>
    <row r="1515">
      <c r="A1515" t="n">
        <v>1328</v>
      </c>
      <c r="B1515" t="inlineStr">
        <is>
          <t>Casa independiente</t>
        </is>
      </c>
      <c r="C1515" t="inlineStr">
        <is>
          <t>https://www.idealista.com/inmueble/98825604/</t>
        </is>
      </c>
      <c r="E1515" t="n">
        <v>6</v>
      </c>
      <c r="H1515" t="n">
        <v>600</v>
      </c>
      <c r="J1515" t="inlineStr">
        <is>
          <t>Son Vida, Palma de Mallorca</t>
        </is>
      </c>
      <c r="K1515" t="n">
        <v>19.2</v>
      </c>
      <c r="L1515" t="n">
        <v>22</v>
      </c>
      <c r="M1515" t="n">
        <v>61.9</v>
      </c>
      <c r="N1515" t="n">
        <v>55</v>
      </c>
      <c r="O1515" t="n">
        <v>31</v>
      </c>
      <c r="P1515" t="n">
        <v>31</v>
      </c>
      <c r="Q1515" t="n">
        <v>59.6</v>
      </c>
      <c r="R1515" t="n">
        <v>51</v>
      </c>
      <c r="S1515" t="n">
        <v>3100000</v>
      </c>
      <c r="T1515" t="n">
        <v>5167</v>
      </c>
      <c r="AH1515" t="inlineStr">
        <is>
          <t>Quelle: Idealista</t>
        </is>
      </c>
    </row>
    <row r="1516">
      <c r="A1516" t="n">
        <v>1329</v>
      </c>
      <c r="B1516" t="inlineStr">
        <is>
          <t>Casa independiente en calle Gabellí</t>
        </is>
      </c>
      <c r="C1516" t="inlineStr">
        <is>
          <t>https://www.idealista.com/inmueble/110308252/</t>
        </is>
      </c>
      <c r="E1516" t="n">
        <v>7</v>
      </c>
      <c r="H1516" t="n">
        <v>600</v>
      </c>
      <c r="J1516" t="inlineStr">
        <is>
          <t>Son Vida, Palma de Mallorca</t>
        </is>
      </c>
      <c r="K1516" t="n">
        <v>19.2</v>
      </c>
      <c r="L1516" t="n">
        <v>22</v>
      </c>
      <c r="M1516" t="n">
        <v>61.9</v>
      </c>
      <c r="N1516" t="n">
        <v>55</v>
      </c>
      <c r="O1516" t="n">
        <v>31</v>
      </c>
      <c r="P1516" t="n">
        <v>31</v>
      </c>
      <c r="Q1516" t="n">
        <v>59.6</v>
      </c>
      <c r="R1516" t="n">
        <v>51</v>
      </c>
      <c r="S1516" t="n">
        <v>5900000</v>
      </c>
      <c r="T1516" t="n">
        <v>9833</v>
      </c>
      <c r="AH1516" t="inlineStr">
        <is>
          <t>Quelle: Idealista</t>
        </is>
      </c>
    </row>
    <row r="1517">
      <c r="A1517" t="n">
        <v>1330</v>
      </c>
      <c r="B1517" t="inlineStr">
        <is>
          <t>Casa independiente</t>
        </is>
      </c>
      <c r="C1517" t="inlineStr">
        <is>
          <t>https://www.idealista.com/inmueble/108977454/</t>
        </is>
      </c>
      <c r="E1517" t="n">
        <v>7</v>
      </c>
      <c r="H1517" t="n">
        <v>850</v>
      </c>
      <c r="J1517" t="inlineStr">
        <is>
          <t>Son Vida, Palma de Mallorca</t>
        </is>
      </c>
      <c r="K1517" t="n">
        <v>19.2</v>
      </c>
      <c r="L1517" t="n">
        <v>22</v>
      </c>
      <c r="M1517" t="n">
        <v>61.9</v>
      </c>
      <c r="N1517" t="n">
        <v>55</v>
      </c>
      <c r="O1517" t="n">
        <v>31</v>
      </c>
      <c r="P1517" t="n">
        <v>31</v>
      </c>
      <c r="Q1517" t="n">
        <v>59.6</v>
      </c>
      <c r="R1517" t="n">
        <v>51</v>
      </c>
      <c r="S1517" t="n">
        <v>5900000</v>
      </c>
      <c r="T1517" t="n">
        <v>6941</v>
      </c>
      <c r="AH1517" t="inlineStr">
        <is>
          <t>Quelle: Idealista</t>
        </is>
      </c>
    </row>
    <row r="1518">
      <c r="A1518" t="n">
        <v>1331</v>
      </c>
      <c r="B1518" t="inlineStr">
        <is>
          <t>Casa independiente</t>
        </is>
      </c>
      <c r="C1518" t="inlineStr">
        <is>
          <t>https://www.idealista.com/inmueble/110273440/</t>
        </is>
      </c>
      <c r="E1518" t="n">
        <v>5</v>
      </c>
      <c r="H1518" t="n">
        <v>768</v>
      </c>
      <c r="J1518" t="inlineStr">
        <is>
          <t>Son Vida, Palma de Mallorca</t>
        </is>
      </c>
      <c r="K1518" t="n">
        <v>19.2</v>
      </c>
      <c r="L1518" t="n">
        <v>22</v>
      </c>
      <c r="M1518" t="n">
        <v>61.9</v>
      </c>
      <c r="N1518" t="n">
        <v>55</v>
      </c>
      <c r="O1518" t="n">
        <v>31</v>
      </c>
      <c r="P1518" t="n">
        <v>31</v>
      </c>
      <c r="Q1518" t="n">
        <v>59.6</v>
      </c>
      <c r="R1518" t="n">
        <v>51</v>
      </c>
      <c r="S1518" t="n">
        <v>5400000</v>
      </c>
      <c r="T1518" t="n">
        <v>7031</v>
      </c>
      <c r="AH1518" t="inlineStr">
        <is>
          <t>Quelle: Idealista</t>
        </is>
      </c>
    </row>
    <row r="1519">
      <c r="A1519" t="n">
        <v>1332</v>
      </c>
      <c r="B1519" t="inlineStr">
        <is>
          <t>Casa independiente</t>
        </is>
      </c>
      <c r="C1519" t="inlineStr">
        <is>
          <t>https://www.idealista.com/inmueble/106131205/</t>
        </is>
      </c>
      <c r="E1519" t="n">
        <v>6</v>
      </c>
      <c r="H1519" t="n">
        <v>2350</v>
      </c>
      <c r="J1519" t="inlineStr">
        <is>
          <t>Son Vida, Palma de Mallorca</t>
        </is>
      </c>
      <c r="K1519" t="n">
        <v>19.2</v>
      </c>
      <c r="L1519" t="n">
        <v>22</v>
      </c>
      <c r="M1519" t="n">
        <v>61.9</v>
      </c>
      <c r="N1519" t="n">
        <v>55</v>
      </c>
      <c r="O1519" t="n">
        <v>31</v>
      </c>
      <c r="P1519" t="n">
        <v>31</v>
      </c>
      <c r="Q1519" t="n">
        <v>59.6</v>
      </c>
      <c r="R1519" t="n">
        <v>51</v>
      </c>
      <c r="S1519" t="n">
        <v>4690000</v>
      </c>
      <c r="T1519" t="n">
        <v>1996</v>
      </c>
      <c r="AH1519" t="inlineStr">
        <is>
          <t>Quelle: Idealista</t>
        </is>
      </c>
    </row>
    <row r="1520">
      <c r="A1520" t="n">
        <v>1333</v>
      </c>
      <c r="B1520" t="inlineStr">
        <is>
          <t>Casa independiente</t>
        </is>
      </c>
      <c r="C1520" t="inlineStr">
        <is>
          <t>https://www.idealista.com/inmueble/110096273/</t>
        </is>
      </c>
      <c r="E1520" t="n">
        <v>5</v>
      </c>
      <c r="H1520" t="n">
        <v>768</v>
      </c>
      <c r="J1520" t="inlineStr">
        <is>
          <t>Son Vida, Palma de Mallorca</t>
        </is>
      </c>
      <c r="K1520" t="n">
        <v>19.2</v>
      </c>
      <c r="L1520" t="n">
        <v>22</v>
      </c>
      <c r="M1520" t="n">
        <v>61.9</v>
      </c>
      <c r="N1520" t="n">
        <v>55</v>
      </c>
      <c r="O1520" t="n">
        <v>31</v>
      </c>
      <c r="P1520" t="n">
        <v>31</v>
      </c>
      <c r="Q1520" t="n">
        <v>59.6</v>
      </c>
      <c r="R1520" t="n">
        <v>51</v>
      </c>
      <c r="S1520" t="n">
        <v>5400000</v>
      </c>
      <c r="T1520" t="n">
        <v>7031</v>
      </c>
      <c r="AH1520" t="inlineStr">
        <is>
          <t>Quelle: Idealista</t>
        </is>
      </c>
    </row>
    <row r="1521">
      <c r="A1521" t="n">
        <v>1334</v>
      </c>
      <c r="B1521" t="inlineStr">
        <is>
          <t>Casa independiente</t>
        </is>
      </c>
      <c r="C1521" t="inlineStr">
        <is>
          <t>https://www.idealista.com/inmueble/110032762/</t>
        </is>
      </c>
      <c r="E1521" t="n">
        <v>5</v>
      </c>
      <c r="H1521" t="n">
        <v>599</v>
      </c>
      <c r="J1521" t="inlineStr">
        <is>
          <t>Son Vida, Palma de Mallorca</t>
        </is>
      </c>
      <c r="K1521" t="n">
        <v>19.2</v>
      </c>
      <c r="L1521" t="n">
        <v>22</v>
      </c>
      <c r="M1521" t="n">
        <v>61.9</v>
      </c>
      <c r="N1521" t="n">
        <v>55</v>
      </c>
      <c r="O1521" t="n">
        <v>31</v>
      </c>
      <c r="P1521" t="n">
        <v>31</v>
      </c>
      <c r="Q1521" t="n">
        <v>59.6</v>
      </c>
      <c r="R1521" t="n">
        <v>51</v>
      </c>
      <c r="S1521" t="n">
        <v>4950000</v>
      </c>
      <c r="T1521" t="n">
        <v>8264</v>
      </c>
      <c r="AH1521" t="inlineStr">
        <is>
          <t>Quelle: Idealista</t>
        </is>
      </c>
    </row>
    <row r="1522">
      <c r="A1522" t="n">
        <v>1335</v>
      </c>
      <c r="B1522" t="inlineStr">
        <is>
          <t>Casa independiente en calle Albercuix</t>
        </is>
      </c>
      <c r="C1522" t="inlineStr">
        <is>
          <t>https://www.idealista.com/inmueble/109499422/</t>
        </is>
      </c>
      <c r="E1522" t="n">
        <v>5</v>
      </c>
      <c r="H1522" t="n">
        <v>600</v>
      </c>
      <c r="J1522" t="inlineStr">
        <is>
          <t>Son Vida, Palma de Mallorca</t>
        </is>
      </c>
      <c r="K1522" t="n">
        <v>19.2</v>
      </c>
      <c r="L1522" t="n">
        <v>22</v>
      </c>
      <c r="M1522" t="n">
        <v>61.9</v>
      </c>
      <c r="N1522" t="n">
        <v>55</v>
      </c>
      <c r="O1522" t="n">
        <v>31</v>
      </c>
      <c r="P1522" t="n">
        <v>31</v>
      </c>
      <c r="Q1522" t="n">
        <v>59.6</v>
      </c>
      <c r="R1522" t="n">
        <v>51</v>
      </c>
      <c r="S1522" t="n">
        <v>4400000</v>
      </c>
      <c r="T1522" t="n">
        <v>7333</v>
      </c>
      <c r="AH1522" t="inlineStr">
        <is>
          <t>Quelle: Idealista</t>
        </is>
      </c>
    </row>
    <row r="1523">
      <c r="A1523" t="n">
        <v>1336</v>
      </c>
      <c r="B1523" t="inlineStr">
        <is>
          <t>Casa independiente</t>
        </is>
      </c>
      <c r="C1523" t="inlineStr">
        <is>
          <t>https://www.idealista.com/inmueble/109432633/</t>
        </is>
      </c>
      <c r="E1523" t="n">
        <v>5</v>
      </c>
      <c r="H1523" t="n">
        <v>537</v>
      </c>
      <c r="J1523" t="inlineStr">
        <is>
          <t>Son Vida, Palma de Mallorca</t>
        </is>
      </c>
      <c r="K1523" t="n">
        <v>19.2</v>
      </c>
      <c r="L1523" t="n">
        <v>22</v>
      </c>
      <c r="M1523" t="n">
        <v>61.9</v>
      </c>
      <c r="N1523" t="n">
        <v>55</v>
      </c>
      <c r="O1523" t="n">
        <v>31</v>
      </c>
      <c r="P1523" t="n">
        <v>31</v>
      </c>
      <c r="Q1523" t="n">
        <v>59.6</v>
      </c>
      <c r="R1523" t="n">
        <v>51</v>
      </c>
      <c r="S1523" t="n">
        <v>3970000</v>
      </c>
      <c r="T1523" t="n">
        <v>7393</v>
      </c>
      <c r="AH1523" t="inlineStr">
        <is>
          <t>Quelle: Idealista</t>
        </is>
      </c>
    </row>
    <row r="1524">
      <c r="A1524" t="n">
        <v>1337</v>
      </c>
      <c r="B1524" t="inlineStr">
        <is>
          <t>Casa independiente</t>
        </is>
      </c>
      <c r="C1524" t="inlineStr">
        <is>
          <t>https://www.idealista.com/inmueble/106899626/</t>
        </is>
      </c>
      <c r="E1524" t="n">
        <v>6</v>
      </c>
      <c r="H1524" t="n">
        <v>707</v>
      </c>
      <c r="J1524" t="inlineStr">
        <is>
          <t>Son Vida, Palma de Mallorca</t>
        </is>
      </c>
      <c r="K1524" t="n">
        <v>19.2</v>
      </c>
      <c r="L1524" t="n">
        <v>22</v>
      </c>
      <c r="M1524" t="n">
        <v>61.9</v>
      </c>
      <c r="N1524" t="n">
        <v>55</v>
      </c>
      <c r="O1524" t="n">
        <v>31</v>
      </c>
      <c r="P1524" t="n">
        <v>31</v>
      </c>
      <c r="Q1524" t="n">
        <v>59.6</v>
      </c>
      <c r="R1524" t="n">
        <v>51</v>
      </c>
      <c r="S1524" t="n">
        <v>4490000</v>
      </c>
      <c r="T1524" t="n">
        <v>6351</v>
      </c>
      <c r="AH1524" t="inlineStr">
        <is>
          <t>Quelle: Idealista</t>
        </is>
      </c>
    </row>
    <row r="1525">
      <c r="A1525" t="n">
        <v>1338</v>
      </c>
      <c r="B1525" t="inlineStr">
        <is>
          <t>Casa independiente en Son Vida s/n</t>
        </is>
      </c>
      <c r="C1525" t="inlineStr">
        <is>
          <t>https://www.idealista.com/inmueble/108523259/</t>
        </is>
      </c>
      <c r="E1525" t="n">
        <v>7</v>
      </c>
      <c r="H1525" t="n">
        <v>540</v>
      </c>
      <c r="J1525" t="inlineStr">
        <is>
          <t>Son Vida, Palma de Mallorca</t>
        </is>
      </c>
      <c r="K1525" t="n">
        <v>19.2</v>
      </c>
      <c r="L1525" t="n">
        <v>22</v>
      </c>
      <c r="M1525" t="n">
        <v>61.9</v>
      </c>
      <c r="N1525" t="n">
        <v>55</v>
      </c>
      <c r="O1525" t="n">
        <v>31</v>
      </c>
      <c r="P1525" t="n">
        <v>31</v>
      </c>
      <c r="Q1525" t="n">
        <v>59.6</v>
      </c>
      <c r="R1525" t="n">
        <v>51</v>
      </c>
      <c r="S1525" t="n">
        <v>4800000</v>
      </c>
      <c r="T1525" t="n">
        <v>8889</v>
      </c>
      <c r="AH1525" t="inlineStr">
        <is>
          <t>Quelle: Idealista</t>
        </is>
      </c>
    </row>
    <row r="1526">
      <c r="A1526" t="n">
        <v>1339</v>
      </c>
      <c r="B1526" t="inlineStr">
        <is>
          <t>Casa independiente</t>
        </is>
      </c>
      <c r="C1526" t="inlineStr">
        <is>
          <t>https://www.idealista.com/inmueble/109188810/</t>
        </is>
      </c>
      <c r="E1526" t="n">
        <v>6</v>
      </c>
      <c r="H1526" t="n">
        <v>701</v>
      </c>
      <c r="J1526" t="inlineStr">
        <is>
          <t>Son Vida, Palma de Mallorca</t>
        </is>
      </c>
      <c r="K1526" t="n">
        <v>19.2</v>
      </c>
      <c r="L1526" t="n">
        <v>22</v>
      </c>
      <c r="M1526" t="n">
        <v>61.9</v>
      </c>
      <c r="N1526" t="n">
        <v>55</v>
      </c>
      <c r="O1526" t="n">
        <v>31</v>
      </c>
      <c r="P1526" t="n">
        <v>31</v>
      </c>
      <c r="Q1526" t="n">
        <v>59.6</v>
      </c>
      <c r="R1526" t="n">
        <v>51</v>
      </c>
      <c r="S1526" t="n">
        <v>6500000</v>
      </c>
      <c r="T1526" t="n">
        <v>9272</v>
      </c>
      <c r="AH1526" t="inlineStr">
        <is>
          <t>Quelle: Idealista</t>
        </is>
      </c>
    </row>
    <row r="1527">
      <c r="A1527" t="n">
        <v>1340</v>
      </c>
      <c r="B1527" t="inlineStr">
        <is>
          <t>Casa independiente</t>
        </is>
      </c>
      <c r="C1527" t="inlineStr">
        <is>
          <t>https://www.idealista.com/inmueble/109015996/</t>
        </is>
      </c>
      <c r="E1527" t="n">
        <v>6</v>
      </c>
      <c r="H1527" t="n">
        <v>734</v>
      </c>
      <c r="J1527" t="inlineStr">
        <is>
          <t>Son Vida, Palma de Mallorca</t>
        </is>
      </c>
      <c r="K1527" t="n">
        <v>19.2</v>
      </c>
      <c r="L1527" t="n">
        <v>22</v>
      </c>
      <c r="M1527" t="n">
        <v>61.9</v>
      </c>
      <c r="N1527" t="n">
        <v>55</v>
      </c>
      <c r="O1527" t="n">
        <v>31</v>
      </c>
      <c r="P1527" t="n">
        <v>31</v>
      </c>
      <c r="Q1527" t="n">
        <v>59.6</v>
      </c>
      <c r="R1527" t="n">
        <v>51</v>
      </c>
      <c r="S1527" t="n">
        <v>4490000</v>
      </c>
      <c r="T1527" t="n">
        <v>6117</v>
      </c>
      <c r="AH1527" t="inlineStr">
        <is>
          <t>Quelle: Idealista</t>
        </is>
      </c>
    </row>
    <row r="1528">
      <c r="A1528" t="n">
        <v>1341</v>
      </c>
      <c r="B1528" t="inlineStr">
        <is>
          <t>Casa independiente</t>
        </is>
      </c>
      <c r="C1528" t="inlineStr">
        <is>
          <t>https://www.idealista.com/inmueble/108858462/</t>
        </is>
      </c>
      <c r="E1528" t="n">
        <v>5</v>
      </c>
      <c r="H1528" t="n">
        <v>400</v>
      </c>
      <c r="J1528" t="inlineStr">
        <is>
          <t>Son Vida, Palma de Mallorca</t>
        </is>
      </c>
      <c r="K1528" t="n">
        <v>19.2</v>
      </c>
      <c r="L1528" t="n">
        <v>22</v>
      </c>
      <c r="M1528" t="n">
        <v>61.9</v>
      </c>
      <c r="N1528" t="n">
        <v>55</v>
      </c>
      <c r="O1528" t="n">
        <v>31</v>
      </c>
      <c r="P1528" t="n">
        <v>31</v>
      </c>
      <c r="Q1528" t="n">
        <v>59.6</v>
      </c>
      <c r="R1528" t="n">
        <v>51</v>
      </c>
      <c r="S1528" t="n">
        <v>4690000</v>
      </c>
      <c r="T1528" t="n">
        <v>11725</v>
      </c>
      <c r="AH1528" t="inlineStr">
        <is>
          <t>Quelle: Idealista</t>
        </is>
      </c>
    </row>
    <row r="1529">
      <c r="A1529" t="n">
        <v>1342</v>
      </c>
      <c r="B1529" t="inlineStr">
        <is>
          <t>Casa independiente</t>
        </is>
      </c>
      <c r="C1529" t="inlineStr">
        <is>
          <t>https://www.idealista.com/inmueble/108824959/</t>
        </is>
      </c>
      <c r="E1529" t="n">
        <v>5</v>
      </c>
      <c r="H1529" t="n">
        <v>460</v>
      </c>
      <c r="J1529" t="inlineStr">
        <is>
          <t>Son Vida, Palma de Mallorca</t>
        </is>
      </c>
      <c r="K1529" t="n">
        <v>19.2</v>
      </c>
      <c r="L1529" t="n">
        <v>22</v>
      </c>
      <c r="M1529" t="n">
        <v>61.9</v>
      </c>
      <c r="N1529" t="n">
        <v>55</v>
      </c>
      <c r="O1529" t="n">
        <v>31</v>
      </c>
      <c r="P1529" t="n">
        <v>31</v>
      </c>
      <c r="Q1529" t="n">
        <v>59.6</v>
      </c>
      <c r="R1529" t="n">
        <v>51</v>
      </c>
      <c r="S1529" t="n">
        <v>4950000</v>
      </c>
      <c r="T1529" t="n">
        <v>10761</v>
      </c>
      <c r="AH1529" t="inlineStr">
        <is>
          <t>Quelle: Idealista</t>
        </is>
      </c>
    </row>
    <row r="1530">
      <c r="A1530" t="n">
        <v>1343</v>
      </c>
      <c r="B1530" t="inlineStr">
        <is>
          <t>Casa independiente</t>
        </is>
      </c>
      <c r="C1530" t="inlineStr">
        <is>
          <t>https://www.idealista.com/inmueble/108819239/</t>
        </is>
      </c>
      <c r="E1530" t="n">
        <v>6</v>
      </c>
      <c r="H1530" t="n">
        <v>644</v>
      </c>
      <c r="J1530" t="inlineStr">
        <is>
          <t>Son Vida, Palma de Mallorca</t>
        </is>
      </c>
      <c r="K1530" t="n">
        <v>19.2</v>
      </c>
      <c r="L1530" t="n">
        <v>22</v>
      </c>
      <c r="M1530" t="n">
        <v>61.9</v>
      </c>
      <c r="N1530" t="n">
        <v>55</v>
      </c>
      <c r="O1530" t="n">
        <v>31</v>
      </c>
      <c r="P1530" t="n">
        <v>31</v>
      </c>
      <c r="Q1530" t="n">
        <v>59.6</v>
      </c>
      <c r="R1530" t="n">
        <v>51</v>
      </c>
      <c r="S1530" t="n">
        <v>6500000</v>
      </c>
      <c r="T1530" t="n">
        <v>10093</v>
      </c>
      <c r="AH1530" t="inlineStr">
        <is>
          <t>Quelle: Idealista</t>
        </is>
      </c>
    </row>
    <row r="1531">
      <c r="A1531" t="n">
        <v>1344</v>
      </c>
      <c r="B1531" t="inlineStr">
        <is>
          <t>Casa independiente</t>
        </is>
      </c>
      <c r="C1531" t="inlineStr">
        <is>
          <t>https://www.idealista.com/inmueble/108627009/</t>
        </is>
      </c>
      <c r="E1531" t="n">
        <v>8</v>
      </c>
      <c r="H1531" t="n">
        <v>884</v>
      </c>
      <c r="J1531" t="inlineStr">
        <is>
          <t>Son Vida, Palma de Mallorca</t>
        </is>
      </c>
      <c r="K1531" t="n">
        <v>19.2</v>
      </c>
      <c r="L1531" t="n">
        <v>22</v>
      </c>
      <c r="M1531" t="n">
        <v>61.9</v>
      </c>
      <c r="N1531" t="n">
        <v>55</v>
      </c>
      <c r="O1531" t="n">
        <v>31</v>
      </c>
      <c r="P1531" t="n">
        <v>31</v>
      </c>
      <c r="Q1531" t="n">
        <v>59.6</v>
      </c>
      <c r="R1531" t="n">
        <v>51</v>
      </c>
      <c r="S1531" t="n">
        <v>5950000</v>
      </c>
      <c r="T1531" t="n">
        <v>6731</v>
      </c>
      <c r="AH1531" t="inlineStr">
        <is>
          <t>Quelle: Idealista</t>
        </is>
      </c>
    </row>
    <row r="1532">
      <c r="A1532" t="n">
        <v>1345</v>
      </c>
      <c r="B1532" t="inlineStr">
        <is>
          <t>Casa independiente</t>
        </is>
      </c>
      <c r="C1532" t="inlineStr">
        <is>
          <t>https://www.idealista.com/inmueble/108617933/</t>
        </is>
      </c>
      <c r="E1532" t="n">
        <v>6</v>
      </c>
      <c r="H1532" t="n">
        <v>671</v>
      </c>
      <c r="J1532" t="inlineStr">
        <is>
          <t>Son Vida, Palma de Mallorca</t>
        </is>
      </c>
      <c r="K1532" t="n">
        <v>19.2</v>
      </c>
      <c r="L1532" t="n">
        <v>22</v>
      </c>
      <c r="M1532" t="n">
        <v>61.9</v>
      </c>
      <c r="N1532" t="n">
        <v>55</v>
      </c>
      <c r="O1532" t="n">
        <v>31</v>
      </c>
      <c r="P1532" t="n">
        <v>31</v>
      </c>
      <c r="Q1532" t="n">
        <v>59.6</v>
      </c>
      <c r="R1532" t="n">
        <v>51</v>
      </c>
      <c r="S1532" t="n">
        <v>4600000</v>
      </c>
      <c r="T1532" t="n">
        <v>6855</v>
      </c>
      <c r="AH1532" t="inlineStr">
        <is>
          <t>Quelle: Idealista</t>
        </is>
      </c>
    </row>
    <row r="1533">
      <c r="A1533" t="n">
        <v>1346</v>
      </c>
      <c r="B1533" t="inlineStr">
        <is>
          <t>Casa independiente en calle Alcanella</t>
        </is>
      </c>
      <c r="C1533" t="inlineStr">
        <is>
          <t>https://www.idealista.com/inmueble/108474013/</t>
        </is>
      </c>
      <c r="E1533" t="n">
        <v>5</v>
      </c>
      <c r="H1533" t="n">
        <v>827</v>
      </c>
      <c r="J1533" t="inlineStr">
        <is>
          <t>Son Vida, Palma de Mallorca</t>
        </is>
      </c>
      <c r="K1533" t="n">
        <v>19.2</v>
      </c>
      <c r="L1533" t="n">
        <v>22</v>
      </c>
      <c r="M1533" t="n">
        <v>61.9</v>
      </c>
      <c r="N1533" t="n">
        <v>55</v>
      </c>
      <c r="O1533" t="n">
        <v>31</v>
      </c>
      <c r="P1533" t="n">
        <v>31</v>
      </c>
      <c r="Q1533" t="n">
        <v>59.6</v>
      </c>
      <c r="R1533" t="n">
        <v>51</v>
      </c>
      <c r="S1533" t="n">
        <v>5950000</v>
      </c>
      <c r="T1533" t="n">
        <v>7195</v>
      </c>
      <c r="AH1533" t="inlineStr">
        <is>
          <t>Quelle: Idealista</t>
        </is>
      </c>
    </row>
    <row r="1534">
      <c r="A1534" t="n">
        <v>1347</v>
      </c>
      <c r="B1534" t="inlineStr">
        <is>
          <t>Casa independiente en calle Ariant</t>
        </is>
      </c>
      <c r="C1534" t="inlineStr">
        <is>
          <t>https://www.idealista.com/inmueble/108402574/</t>
        </is>
      </c>
      <c r="E1534" t="n">
        <v>5</v>
      </c>
      <c r="H1534" t="n">
        <v>890</v>
      </c>
      <c r="J1534" t="inlineStr">
        <is>
          <t>Son Vida, Palma de Mallorca</t>
        </is>
      </c>
      <c r="K1534" t="n">
        <v>19.2</v>
      </c>
      <c r="L1534" t="n">
        <v>22</v>
      </c>
      <c r="M1534" t="n">
        <v>61.9</v>
      </c>
      <c r="N1534" t="n">
        <v>55</v>
      </c>
      <c r="O1534" t="n">
        <v>31</v>
      </c>
      <c r="P1534" t="n">
        <v>31</v>
      </c>
      <c r="Q1534" t="n">
        <v>59.6</v>
      </c>
      <c r="R1534" t="n">
        <v>51</v>
      </c>
      <c r="S1534" t="n">
        <v>5950000</v>
      </c>
      <c r="T1534" t="n">
        <v>6685</v>
      </c>
      <c r="AH1534" t="inlineStr">
        <is>
          <t>Quelle: Idealista</t>
        </is>
      </c>
    </row>
    <row r="1535">
      <c r="A1535" t="n">
        <v>1348</v>
      </c>
      <c r="B1535" t="inlineStr">
        <is>
          <t>Casa independiente</t>
        </is>
      </c>
      <c r="C1535" t="inlineStr">
        <is>
          <t>https://www.idealista.com/inmueble/108309226/</t>
        </is>
      </c>
      <c r="E1535" t="n">
        <v>5</v>
      </c>
      <c r="H1535" t="n">
        <v>552</v>
      </c>
      <c r="J1535" t="inlineStr">
        <is>
          <t>Son Vida, Palma de Mallorca</t>
        </is>
      </c>
      <c r="K1535" t="n">
        <v>19.2</v>
      </c>
      <c r="L1535" t="n">
        <v>22</v>
      </c>
      <c r="M1535" t="n">
        <v>61.9</v>
      </c>
      <c r="N1535" t="n">
        <v>55</v>
      </c>
      <c r="O1535" t="n">
        <v>31</v>
      </c>
      <c r="P1535" t="n">
        <v>31</v>
      </c>
      <c r="Q1535" t="n">
        <v>59.6</v>
      </c>
      <c r="R1535" t="n">
        <v>51</v>
      </c>
      <c r="S1535" t="n">
        <v>4690000</v>
      </c>
      <c r="T1535" t="n">
        <v>8496</v>
      </c>
      <c r="AH1535" t="inlineStr">
        <is>
          <t>Quelle: Idealista</t>
        </is>
      </c>
    </row>
    <row r="1536">
      <c r="A1536" t="n">
        <v>1349</v>
      </c>
      <c r="B1536" t="inlineStr">
        <is>
          <t>Casa independiente</t>
        </is>
      </c>
      <c r="C1536" t="inlineStr">
        <is>
          <t>https://www.idealista.com/inmueble/108259147/</t>
        </is>
      </c>
      <c r="E1536" t="n">
        <v>5</v>
      </c>
      <c r="H1536" t="n">
        <v>501</v>
      </c>
      <c r="J1536" t="inlineStr">
        <is>
          <t>Son Vida, Palma de Mallorca</t>
        </is>
      </c>
      <c r="K1536" t="n">
        <v>19.2</v>
      </c>
      <c r="L1536" t="n">
        <v>22</v>
      </c>
      <c r="M1536" t="n">
        <v>61.9</v>
      </c>
      <c r="N1536" t="n">
        <v>55</v>
      </c>
      <c r="O1536" t="n">
        <v>31</v>
      </c>
      <c r="P1536" t="n">
        <v>31</v>
      </c>
      <c r="Q1536" t="n">
        <v>59.6</v>
      </c>
      <c r="R1536" t="n">
        <v>51</v>
      </c>
      <c r="S1536" t="n">
        <v>4690000</v>
      </c>
      <c r="T1536" t="n">
        <v>9361</v>
      </c>
      <c r="AH1536" t="inlineStr">
        <is>
          <t>Quelle: Idealista</t>
        </is>
      </c>
    </row>
    <row r="1537">
      <c r="A1537" t="n">
        <v>1350</v>
      </c>
      <c r="B1537" t="inlineStr">
        <is>
          <t>Casa independiente</t>
        </is>
      </c>
      <c r="C1537" t="inlineStr">
        <is>
          <t>https://www.idealista.com/inmueble/108160411/</t>
        </is>
      </c>
      <c r="E1537" t="n">
        <v>5</v>
      </c>
      <c r="H1537" t="n">
        <v>600</v>
      </c>
      <c r="J1537" t="inlineStr">
        <is>
          <t>Son Vida, Palma de Mallorca</t>
        </is>
      </c>
      <c r="K1537" t="n">
        <v>19.2</v>
      </c>
      <c r="L1537" t="n">
        <v>22</v>
      </c>
      <c r="M1537" t="n">
        <v>61.9</v>
      </c>
      <c r="N1537" t="n">
        <v>55</v>
      </c>
      <c r="O1537" t="n">
        <v>31</v>
      </c>
      <c r="P1537" t="n">
        <v>31</v>
      </c>
      <c r="Q1537" t="n">
        <v>59.6</v>
      </c>
      <c r="R1537" t="n">
        <v>51</v>
      </c>
      <c r="S1537" t="n">
        <v>5490000</v>
      </c>
      <c r="T1537" t="n">
        <v>9150</v>
      </c>
      <c r="AH1537" t="inlineStr">
        <is>
          <t>Quelle: Idealista</t>
        </is>
      </c>
    </row>
    <row r="1538">
      <c r="A1538" t="n">
        <v>1351</v>
      </c>
      <c r="B1538" t="inlineStr">
        <is>
          <t>Casa independiente</t>
        </is>
      </c>
      <c r="C1538" t="inlineStr">
        <is>
          <t>https://www.idealista.com/inmueble/108146556/</t>
        </is>
      </c>
      <c r="E1538" t="n">
        <v>5</v>
      </c>
      <c r="H1538" t="n">
        <v>827</v>
      </c>
      <c r="J1538" t="inlineStr">
        <is>
          <t>Son Vida, Palma de Mallorca</t>
        </is>
      </c>
      <c r="K1538" t="n">
        <v>19.2</v>
      </c>
      <c r="L1538" t="n">
        <v>22</v>
      </c>
      <c r="M1538" t="n">
        <v>61.9</v>
      </c>
      <c r="N1538" t="n">
        <v>55</v>
      </c>
      <c r="O1538" t="n">
        <v>31</v>
      </c>
      <c r="P1538" t="n">
        <v>31</v>
      </c>
      <c r="Q1538" t="n">
        <v>59.6</v>
      </c>
      <c r="R1538" t="n">
        <v>51</v>
      </c>
      <c r="S1538" t="n">
        <v>5950000</v>
      </c>
      <c r="T1538" t="n">
        <v>7195</v>
      </c>
      <c r="AH1538" t="inlineStr">
        <is>
          <t>Quelle: Idealista</t>
        </is>
      </c>
    </row>
    <row r="1539">
      <c r="A1539" t="n">
        <v>1352</v>
      </c>
      <c r="B1539" t="inlineStr">
        <is>
          <t>Casa independiente</t>
        </is>
      </c>
      <c r="C1539" t="inlineStr">
        <is>
          <t>https://www.idealista.com/inmueble/105309695/</t>
        </is>
      </c>
      <c r="E1539" t="n">
        <v>6</v>
      </c>
      <c r="H1539" t="n">
        <v>606</v>
      </c>
      <c r="J1539" t="inlineStr">
        <is>
          <t>Son Vida, Palma de Mallorca</t>
        </is>
      </c>
      <c r="K1539" t="n">
        <v>19.2</v>
      </c>
      <c r="L1539" t="n">
        <v>22</v>
      </c>
      <c r="M1539" t="n">
        <v>61.9</v>
      </c>
      <c r="N1539" t="n">
        <v>55</v>
      </c>
      <c r="O1539" t="n">
        <v>31</v>
      </c>
      <c r="P1539" t="n">
        <v>31</v>
      </c>
      <c r="Q1539" t="n">
        <v>59.6</v>
      </c>
      <c r="R1539" t="n">
        <v>51</v>
      </c>
      <c r="S1539" t="n">
        <v>5200000</v>
      </c>
      <c r="T1539" t="n">
        <v>8581</v>
      </c>
      <c r="AH1539" t="inlineStr">
        <is>
          <t>Quelle: Idealista</t>
        </is>
      </c>
    </row>
    <row r="1540">
      <c r="A1540" t="n">
        <v>1353</v>
      </c>
      <c r="B1540" t="inlineStr">
        <is>
          <t>Chalet</t>
        </is>
      </c>
      <c r="C1540" t="inlineStr">
        <is>
          <t>https://www.idealista.com/inmueble/107952117/</t>
        </is>
      </c>
      <c r="E1540" t="n">
        <v>5</v>
      </c>
      <c r="H1540" t="n">
        <v>600</v>
      </c>
      <c r="J1540" t="inlineStr">
        <is>
          <t>Son Vida, Palma de Mallorca</t>
        </is>
      </c>
      <c r="K1540" t="n">
        <v>19.2</v>
      </c>
      <c r="L1540" t="n">
        <v>22</v>
      </c>
      <c r="M1540" t="n">
        <v>61.9</v>
      </c>
      <c r="N1540" t="n">
        <v>55</v>
      </c>
      <c r="O1540" t="n">
        <v>31</v>
      </c>
      <c r="P1540" t="n">
        <v>31</v>
      </c>
      <c r="Q1540" t="n">
        <v>59.6</v>
      </c>
      <c r="R1540" t="n">
        <v>51</v>
      </c>
      <c r="S1540" t="n">
        <v>5490000</v>
      </c>
      <c r="T1540" t="n">
        <v>9150</v>
      </c>
      <c r="AH1540" t="inlineStr">
        <is>
          <t>Quelle: Idealista</t>
        </is>
      </c>
    </row>
    <row r="1541">
      <c r="A1541" t="n">
        <v>1354</v>
      </c>
      <c r="B1541" t="inlineStr">
        <is>
          <t>Casa independiente</t>
        </is>
      </c>
      <c r="C1541" t="inlineStr">
        <is>
          <t>https://www.idealista.com/inmueble/107081761/</t>
        </is>
      </c>
      <c r="E1541" t="n">
        <v>6</v>
      </c>
      <c r="H1541" t="n">
        <v>707</v>
      </c>
      <c r="J1541" t="inlineStr">
        <is>
          <t>Son Vida, Palma de Mallorca</t>
        </is>
      </c>
      <c r="K1541" t="n">
        <v>19.2</v>
      </c>
      <c r="L1541" t="n">
        <v>22</v>
      </c>
      <c r="M1541" t="n">
        <v>61.9</v>
      </c>
      <c r="N1541" t="n">
        <v>55</v>
      </c>
      <c r="O1541" t="n">
        <v>31</v>
      </c>
      <c r="P1541" t="n">
        <v>31</v>
      </c>
      <c r="Q1541" t="n">
        <v>59.6</v>
      </c>
      <c r="R1541" t="n">
        <v>51</v>
      </c>
      <c r="S1541" t="n">
        <v>4480000</v>
      </c>
      <c r="T1541" t="n">
        <v>6337</v>
      </c>
      <c r="AH1541" t="inlineStr">
        <is>
          <t>Quelle: Idealista</t>
        </is>
      </c>
    </row>
    <row r="1542">
      <c r="A1542" t="n">
        <v>1355</v>
      </c>
      <c r="B1542" t="inlineStr">
        <is>
          <t>Casa independiente</t>
        </is>
      </c>
      <c r="C1542" t="inlineStr">
        <is>
          <t>https://www.idealista.com/inmueble/107765202/</t>
        </is>
      </c>
      <c r="E1542" t="n">
        <v>5</v>
      </c>
      <c r="H1542" t="n">
        <v>552</v>
      </c>
      <c r="J1542" t="inlineStr">
        <is>
          <t>Son Vida, Palma de Mallorca</t>
        </is>
      </c>
      <c r="K1542" t="n">
        <v>19.2</v>
      </c>
      <c r="L1542" t="n">
        <v>22</v>
      </c>
      <c r="M1542" t="n">
        <v>61.9</v>
      </c>
      <c r="N1542" t="n">
        <v>55</v>
      </c>
      <c r="O1542" t="n">
        <v>31</v>
      </c>
      <c r="P1542" t="n">
        <v>31</v>
      </c>
      <c r="Q1542" t="n">
        <v>59.6</v>
      </c>
      <c r="R1542" t="n">
        <v>51</v>
      </c>
      <c r="S1542" t="n">
        <v>3970000</v>
      </c>
      <c r="T1542" t="n">
        <v>7192</v>
      </c>
      <c r="AH1542" t="inlineStr">
        <is>
          <t>Quelle: Idealista</t>
        </is>
      </c>
    </row>
    <row r="1543">
      <c r="A1543" t="n">
        <v>1356</v>
      </c>
      <c r="B1543" t="inlineStr">
        <is>
          <t>Casa independiente</t>
        </is>
      </c>
      <c r="C1543" t="inlineStr">
        <is>
          <t>https://www.idealista.com/inmueble/98273885/</t>
        </is>
      </c>
      <c r="E1543" t="n">
        <v>6</v>
      </c>
      <c r="H1543" t="n">
        <v>577</v>
      </c>
      <c r="J1543" t="inlineStr">
        <is>
          <t>Son Vida, Palma de Mallorca</t>
        </is>
      </c>
      <c r="K1543" t="n">
        <v>19.2</v>
      </c>
      <c r="L1543" t="n">
        <v>22</v>
      </c>
      <c r="M1543" t="n">
        <v>61.9</v>
      </c>
      <c r="N1543" t="n">
        <v>55</v>
      </c>
      <c r="O1543" t="n">
        <v>31</v>
      </c>
      <c r="P1543" t="n">
        <v>31</v>
      </c>
      <c r="Q1543" t="n">
        <v>59.6</v>
      </c>
      <c r="R1543" t="n">
        <v>51</v>
      </c>
      <c r="S1543" t="n">
        <v>3500000</v>
      </c>
      <c r="T1543" t="n">
        <v>6066</v>
      </c>
      <c r="AH1543" t="inlineStr">
        <is>
          <t>Quelle: Idealista</t>
        </is>
      </c>
    </row>
    <row r="1544">
      <c r="A1544" t="n">
        <v>1357</v>
      </c>
      <c r="B1544" t="inlineStr">
        <is>
          <t>Chalet</t>
        </is>
      </c>
      <c r="C1544" t="inlineStr">
        <is>
          <t>https://www.idealista.com/inmueble/107691166/</t>
        </is>
      </c>
      <c r="E1544" t="n">
        <v>6</v>
      </c>
      <c r="H1544" t="n">
        <v>571</v>
      </c>
      <c r="J1544" t="inlineStr">
        <is>
          <t>Son Vida, Palma de Mallorca</t>
        </is>
      </c>
      <c r="K1544" t="n">
        <v>19.2</v>
      </c>
      <c r="L1544" t="n">
        <v>22</v>
      </c>
      <c r="M1544" t="n">
        <v>61.9</v>
      </c>
      <c r="N1544" t="n">
        <v>55</v>
      </c>
      <c r="O1544" t="n">
        <v>31</v>
      </c>
      <c r="P1544" t="n">
        <v>31</v>
      </c>
      <c r="Q1544" t="n">
        <v>59.6</v>
      </c>
      <c r="R1544" t="n">
        <v>51</v>
      </c>
      <c r="S1544" t="n">
        <v>4970000</v>
      </c>
      <c r="T1544" t="n">
        <v>8704</v>
      </c>
      <c r="AH1544" t="inlineStr">
        <is>
          <t>Quelle: Idealista</t>
        </is>
      </c>
    </row>
    <row r="1545">
      <c r="A1545" t="n">
        <v>1358</v>
      </c>
      <c r="B1545" t="inlineStr">
        <is>
          <t>Casa independiente</t>
        </is>
      </c>
      <c r="C1545" t="inlineStr">
        <is>
          <t>https://www.idealista.com/inmueble/107664793/</t>
        </is>
      </c>
      <c r="E1545" t="n">
        <v>5</v>
      </c>
      <c r="H1545" t="n">
        <v>672</v>
      </c>
      <c r="J1545" t="inlineStr">
        <is>
          <t>Son Vida, Palma de Mallorca</t>
        </is>
      </c>
      <c r="K1545" t="n">
        <v>19.2</v>
      </c>
      <c r="L1545" t="n">
        <v>22</v>
      </c>
      <c r="M1545" t="n">
        <v>61.9</v>
      </c>
      <c r="N1545" t="n">
        <v>55</v>
      </c>
      <c r="O1545" t="n">
        <v>31</v>
      </c>
      <c r="P1545" t="n">
        <v>31</v>
      </c>
      <c r="Q1545" t="n">
        <v>59.6</v>
      </c>
      <c r="R1545" t="n">
        <v>51</v>
      </c>
      <c r="S1545" t="n">
        <v>5350000</v>
      </c>
      <c r="T1545" t="n">
        <v>7961</v>
      </c>
      <c r="AH1545" t="inlineStr">
        <is>
          <t>Quelle: Idealista</t>
        </is>
      </c>
    </row>
    <row r="1546">
      <c r="A1546" t="n">
        <v>1359</v>
      </c>
      <c r="B1546" t="inlineStr">
        <is>
          <t>Casa independiente</t>
        </is>
      </c>
      <c r="C1546" t="inlineStr">
        <is>
          <t>https://www.idealista.com/inmueble/107661765/</t>
        </is>
      </c>
      <c r="E1546" t="n">
        <v>5</v>
      </c>
      <c r="H1546" t="n">
        <v>907</v>
      </c>
      <c r="J1546" t="inlineStr">
        <is>
          <t>Son Vida, Palma de Mallorca</t>
        </is>
      </c>
      <c r="K1546" t="n">
        <v>19.2</v>
      </c>
      <c r="L1546" t="n">
        <v>22</v>
      </c>
      <c r="M1546" t="n">
        <v>61.9</v>
      </c>
      <c r="N1546" t="n">
        <v>55</v>
      </c>
      <c r="O1546" t="n">
        <v>31</v>
      </c>
      <c r="P1546" t="n">
        <v>31</v>
      </c>
      <c r="Q1546" t="n">
        <v>59.6</v>
      </c>
      <c r="R1546" t="n">
        <v>51</v>
      </c>
      <c r="S1546" t="n">
        <v>6500000</v>
      </c>
      <c r="T1546" t="n">
        <v>7166</v>
      </c>
      <c r="AH1546" t="inlineStr">
        <is>
          <t>Quelle: Idealista</t>
        </is>
      </c>
    </row>
    <row r="1547">
      <c r="A1547" t="n">
        <v>1360</v>
      </c>
      <c r="B1547" t="inlineStr">
        <is>
          <t>Chalet</t>
        </is>
      </c>
      <c r="C1547" t="inlineStr">
        <is>
          <t>https://www.idealista.com/inmueble/107381207/</t>
        </is>
      </c>
      <c r="E1547" t="n">
        <v>5</v>
      </c>
      <c r="H1547" t="n">
        <v>650</v>
      </c>
      <c r="J1547" t="inlineStr">
        <is>
          <t>Son Vida, Palma de Mallorca</t>
        </is>
      </c>
      <c r="K1547" t="n">
        <v>19.2</v>
      </c>
      <c r="L1547" t="n">
        <v>22</v>
      </c>
      <c r="M1547" t="n">
        <v>61.9</v>
      </c>
      <c r="N1547" t="n">
        <v>55</v>
      </c>
      <c r="O1547" t="n">
        <v>31</v>
      </c>
      <c r="P1547" t="n">
        <v>31</v>
      </c>
      <c r="Q1547" t="n">
        <v>59.6</v>
      </c>
      <c r="R1547" t="n">
        <v>51</v>
      </c>
      <c r="S1547" t="n">
        <v>5500000</v>
      </c>
      <c r="T1547" t="n">
        <v>8462</v>
      </c>
      <c r="AH1547" t="inlineStr">
        <is>
          <t>Quelle: Idealista</t>
        </is>
      </c>
    </row>
    <row r="1548">
      <c r="A1548" t="n">
        <v>1361</v>
      </c>
      <c r="B1548" t="inlineStr">
        <is>
          <t>Casa independiente</t>
        </is>
      </c>
      <c r="C1548" t="inlineStr">
        <is>
          <t>https://www.idealista.com/inmueble/107275350/</t>
        </is>
      </c>
      <c r="E1548" t="n">
        <v>6</v>
      </c>
      <c r="H1548" t="n">
        <v>644</v>
      </c>
      <c r="J1548" t="inlineStr">
        <is>
          <t>Son Vida, Palma de Mallorca</t>
        </is>
      </c>
      <c r="K1548" t="n">
        <v>19.2</v>
      </c>
      <c r="L1548" t="n">
        <v>22</v>
      </c>
      <c r="M1548" t="n">
        <v>61.9</v>
      </c>
      <c r="N1548" t="n">
        <v>55</v>
      </c>
      <c r="O1548" t="n">
        <v>31</v>
      </c>
      <c r="P1548" t="n">
        <v>31</v>
      </c>
      <c r="Q1548" t="n">
        <v>59.6</v>
      </c>
      <c r="R1548" t="n">
        <v>51</v>
      </c>
      <c r="S1548" t="n">
        <v>5500000</v>
      </c>
      <c r="T1548" t="n">
        <v>8540</v>
      </c>
      <c r="AH1548" t="inlineStr">
        <is>
          <t>Quelle: Idealista</t>
        </is>
      </c>
    </row>
    <row r="1549">
      <c r="A1549" t="n">
        <v>1362</v>
      </c>
      <c r="B1549" t="inlineStr">
        <is>
          <t>Casa independiente en calle Marola</t>
        </is>
      </c>
      <c r="C1549" t="inlineStr">
        <is>
          <t>https://www.idealista.com/inmueble/106445783/</t>
        </is>
      </c>
      <c r="E1549" t="n">
        <v>6</v>
      </c>
      <c r="H1549" t="n">
        <v>537</v>
      </c>
      <c r="J1549" t="inlineStr">
        <is>
          <t>Son Vida, Palma de Mallorca</t>
        </is>
      </c>
      <c r="K1549" t="n">
        <v>19.2</v>
      </c>
      <c r="L1549" t="n">
        <v>22</v>
      </c>
      <c r="M1549" t="n">
        <v>61.9</v>
      </c>
      <c r="N1549" t="n">
        <v>55</v>
      </c>
      <c r="O1549" t="n">
        <v>31</v>
      </c>
      <c r="P1549" t="n">
        <v>31</v>
      </c>
      <c r="Q1549" t="n">
        <v>59.6</v>
      </c>
      <c r="R1549" t="n">
        <v>51</v>
      </c>
      <c r="S1549" t="n">
        <v>3970000</v>
      </c>
      <c r="T1549" t="n">
        <v>7393</v>
      </c>
      <c r="AH1549" t="inlineStr">
        <is>
          <t>Quelle: Idealista</t>
        </is>
      </c>
    </row>
    <row r="1550">
      <c r="A1550" t="n">
        <v>1363</v>
      </c>
      <c r="B1550" t="inlineStr">
        <is>
          <t>Casa independiente</t>
        </is>
      </c>
      <c r="C1550" t="inlineStr">
        <is>
          <t>https://www.idealista.com/inmueble/100909629/</t>
        </is>
      </c>
      <c r="E1550" t="n">
        <v>6</v>
      </c>
      <c r="H1550" t="n">
        <v>600</v>
      </c>
      <c r="J1550" t="inlineStr">
        <is>
          <t>Son Vida, Palma de Mallorca</t>
        </is>
      </c>
      <c r="K1550" t="n">
        <v>19.2</v>
      </c>
      <c r="L1550" t="n">
        <v>22</v>
      </c>
      <c r="M1550" t="n">
        <v>61.9</v>
      </c>
      <c r="N1550" t="n">
        <v>55</v>
      </c>
      <c r="O1550" t="n">
        <v>31</v>
      </c>
      <c r="P1550" t="n">
        <v>31</v>
      </c>
      <c r="Q1550" t="n">
        <v>59.6</v>
      </c>
      <c r="R1550" t="n">
        <v>51</v>
      </c>
      <c r="S1550" t="n">
        <v>6450000</v>
      </c>
      <c r="T1550" t="n">
        <v>10750</v>
      </c>
      <c r="AH1550" t="inlineStr">
        <is>
          <t>Quelle: Idealista</t>
        </is>
      </c>
    </row>
    <row r="1551">
      <c r="A1551" t="n">
        <v>1364</v>
      </c>
      <c r="B1551" t="inlineStr">
        <is>
          <t>Casa independiente en calle Gabellí</t>
        </is>
      </c>
      <c r="C1551" t="inlineStr">
        <is>
          <t>https://www.idealista.com/inmueble/103414415/</t>
        </is>
      </c>
      <c r="E1551" t="n">
        <v>5</v>
      </c>
      <c r="H1551" t="n">
        <v>462</v>
      </c>
      <c r="J1551" t="inlineStr">
        <is>
          <t>Son Vida, Palma de Mallorca</t>
        </is>
      </c>
      <c r="K1551" t="n">
        <v>19.2</v>
      </c>
      <c r="L1551" t="n">
        <v>22</v>
      </c>
      <c r="M1551" t="n">
        <v>61.9</v>
      </c>
      <c r="N1551" t="n">
        <v>55</v>
      </c>
      <c r="O1551" t="n">
        <v>31</v>
      </c>
      <c r="P1551" t="n">
        <v>31</v>
      </c>
      <c r="Q1551" t="n">
        <v>59.6</v>
      </c>
      <c r="R1551" t="n">
        <v>51</v>
      </c>
      <c r="S1551" t="n">
        <v>4500000</v>
      </c>
      <c r="T1551" t="n">
        <v>9740</v>
      </c>
      <c r="AH1551" t="inlineStr">
        <is>
          <t>Quelle: Idealista</t>
        </is>
      </c>
    </row>
    <row r="1552">
      <c r="A1552" t="n">
        <v>1365</v>
      </c>
      <c r="B1552" t="inlineStr">
        <is>
          <t>Casa independiente</t>
        </is>
      </c>
      <c r="C1552" t="inlineStr">
        <is>
          <t>https://www.idealista.com/inmueble/104894366/</t>
        </is>
      </c>
      <c r="E1552" t="n">
        <v>7</v>
      </c>
      <c r="H1552" t="n">
        <v>1044</v>
      </c>
      <c r="J1552" t="inlineStr">
        <is>
          <t>Son Vida, Palma de Mallorca</t>
        </is>
      </c>
      <c r="K1552" t="n">
        <v>19.2</v>
      </c>
      <c r="L1552" t="n">
        <v>22</v>
      </c>
      <c r="M1552" t="n">
        <v>61.9</v>
      </c>
      <c r="N1552" t="n">
        <v>55</v>
      </c>
      <c r="O1552" t="n">
        <v>31</v>
      </c>
      <c r="P1552" t="n">
        <v>31</v>
      </c>
      <c r="Q1552" t="n">
        <v>59.6</v>
      </c>
      <c r="R1552" t="n">
        <v>51</v>
      </c>
      <c r="S1552" t="n">
        <v>5400000</v>
      </c>
      <c r="T1552" t="n">
        <v>5172</v>
      </c>
      <c r="AH1552" t="inlineStr">
        <is>
          <t>Quelle: Idealista</t>
        </is>
      </c>
    </row>
    <row r="1553">
      <c r="A1553" t="n">
        <v>1366</v>
      </c>
      <c r="B1553" t="inlineStr">
        <is>
          <t>Casa independiente en calle Menut</t>
        </is>
      </c>
      <c r="C1553" t="inlineStr">
        <is>
          <t>https://www.idealista.com/inmueble/104600017/</t>
        </is>
      </c>
      <c r="E1553" t="n">
        <v>7</v>
      </c>
      <c r="H1553" t="n">
        <v>530</v>
      </c>
      <c r="J1553" t="inlineStr">
        <is>
          <t>Son Vida, Palma de Mallorca</t>
        </is>
      </c>
      <c r="K1553" t="n">
        <v>19.2</v>
      </c>
      <c r="L1553" t="n">
        <v>22</v>
      </c>
      <c r="M1553" t="n">
        <v>61.9</v>
      </c>
      <c r="N1553" t="n">
        <v>55</v>
      </c>
      <c r="O1553" t="n">
        <v>31</v>
      </c>
      <c r="P1553" t="n">
        <v>31</v>
      </c>
      <c r="Q1553" t="n">
        <v>59.6</v>
      </c>
      <c r="R1553" t="n">
        <v>51</v>
      </c>
      <c r="S1553" t="n">
        <v>4800000</v>
      </c>
      <c r="T1553" t="n">
        <v>9057</v>
      </c>
      <c r="AH1553" t="inlineStr">
        <is>
          <t>Quelle: Idealista</t>
        </is>
      </c>
    </row>
    <row r="1554">
      <c r="A1554" t="n">
        <v>1367</v>
      </c>
      <c r="B1554" t="inlineStr">
        <is>
          <t>Casa independiente</t>
        </is>
      </c>
      <c r="C1554" t="inlineStr">
        <is>
          <t>https://www.idealista.com/inmueble/103644285/</t>
        </is>
      </c>
      <c r="E1554" t="n">
        <v>6</v>
      </c>
      <c r="H1554" t="n">
        <v>990</v>
      </c>
      <c r="J1554" t="inlineStr">
        <is>
          <t>Son Vida, Palma de Mallorca</t>
        </is>
      </c>
      <c r="K1554" t="n">
        <v>19.2</v>
      </c>
      <c r="L1554" t="n">
        <v>22</v>
      </c>
      <c r="M1554" t="n">
        <v>61.9</v>
      </c>
      <c r="N1554" t="n">
        <v>55</v>
      </c>
      <c r="O1554" t="n">
        <v>31</v>
      </c>
      <c r="P1554" t="n">
        <v>31</v>
      </c>
      <c r="Q1554" t="n">
        <v>59.6</v>
      </c>
      <c r="R1554" t="n">
        <v>51</v>
      </c>
      <c r="S1554" t="n">
        <v>5990000</v>
      </c>
      <c r="T1554" t="n">
        <v>6051</v>
      </c>
      <c r="AH1554" t="inlineStr">
        <is>
          <t>Quelle: Idealista</t>
        </is>
      </c>
    </row>
    <row r="1555">
      <c r="A1555" t="n">
        <v>1368</v>
      </c>
      <c r="B1555" t="inlineStr">
        <is>
          <t>Casa independiente</t>
        </is>
      </c>
      <c r="C1555" t="inlineStr">
        <is>
          <t>https://www.idealista.com/inmueble/103031252/</t>
        </is>
      </c>
      <c r="E1555" t="n">
        <v>5</v>
      </c>
      <c r="H1555" t="n">
        <v>508</v>
      </c>
      <c r="J1555" t="inlineStr">
        <is>
          <t>Son Vida, Palma de Mallorca</t>
        </is>
      </c>
      <c r="K1555" t="n">
        <v>19.2</v>
      </c>
      <c r="L1555" t="n">
        <v>22</v>
      </c>
      <c r="M1555" t="n">
        <v>61.9</v>
      </c>
      <c r="N1555" t="n">
        <v>55</v>
      </c>
      <c r="O1555" t="n">
        <v>31</v>
      </c>
      <c r="P1555" t="n">
        <v>31</v>
      </c>
      <c r="Q1555" t="n">
        <v>59.6</v>
      </c>
      <c r="R1555" t="n">
        <v>51</v>
      </c>
      <c r="S1555" t="n">
        <v>4950000</v>
      </c>
      <c r="T1555" t="n">
        <v>9744</v>
      </c>
      <c r="AH1555" t="inlineStr">
        <is>
          <t>Quelle: Idealista</t>
        </is>
      </c>
    </row>
    <row r="1556">
      <c r="A1556" t="n">
        <v>1369</v>
      </c>
      <c r="B1556" t="inlineStr">
        <is>
          <t>Casa independiente en calle Menut</t>
        </is>
      </c>
      <c r="C1556" t="inlineStr">
        <is>
          <t>https://www.idealista.com/inmueble/101345546/</t>
        </is>
      </c>
      <c r="E1556" t="n">
        <v>7</v>
      </c>
      <c r="H1556" t="n">
        <v>589</v>
      </c>
      <c r="J1556" t="inlineStr">
        <is>
          <t>Son Vida, Palma de Mallorca</t>
        </is>
      </c>
      <c r="K1556" t="n">
        <v>19.2</v>
      </c>
      <c r="L1556" t="n">
        <v>22</v>
      </c>
      <c r="M1556" t="n">
        <v>61.9</v>
      </c>
      <c r="N1556" t="n">
        <v>55</v>
      </c>
      <c r="O1556" t="n">
        <v>31</v>
      </c>
      <c r="P1556" t="n">
        <v>31</v>
      </c>
      <c r="Q1556" t="n">
        <v>59.6</v>
      </c>
      <c r="R1556" t="n">
        <v>51</v>
      </c>
      <c r="S1556" t="n">
        <v>4800000</v>
      </c>
      <c r="T1556" t="n">
        <v>8149</v>
      </c>
      <c r="AH1556" t="inlineStr">
        <is>
          <t>Quelle: Idealista</t>
        </is>
      </c>
    </row>
    <row r="1557">
      <c r="A1557" t="n">
        <v>1370</v>
      </c>
      <c r="B1557" t="inlineStr">
        <is>
          <t>Casa independiente</t>
        </is>
      </c>
      <c r="C1557" t="inlineStr">
        <is>
          <t>https://www.idealista.com/inmueble/98220149/</t>
        </is>
      </c>
      <c r="E1557" t="n">
        <v>6</v>
      </c>
      <c r="H1557" t="n">
        <v>518</v>
      </c>
      <c r="J1557" t="inlineStr">
        <is>
          <t>Son Vida, Palma de Mallorca</t>
        </is>
      </c>
      <c r="K1557" t="n">
        <v>19.2</v>
      </c>
      <c r="L1557" t="n">
        <v>22</v>
      </c>
      <c r="M1557" t="n">
        <v>61.9</v>
      </c>
      <c r="N1557" t="n">
        <v>55</v>
      </c>
      <c r="O1557" t="n">
        <v>31</v>
      </c>
      <c r="P1557" t="n">
        <v>31</v>
      </c>
      <c r="Q1557" t="n">
        <v>59.6</v>
      </c>
      <c r="R1557" t="n">
        <v>51</v>
      </c>
      <c r="S1557" t="n">
        <v>3500000</v>
      </c>
      <c r="T1557" t="n">
        <v>6757</v>
      </c>
      <c r="AH1557" t="inlineStr">
        <is>
          <t>Quelle: Idealista</t>
        </is>
      </c>
    </row>
    <row r="1558">
      <c r="A1558" t="n">
        <v>1371</v>
      </c>
      <c r="B1558" t="inlineStr">
        <is>
          <t>Casa independiente en calle Cosconar</t>
        </is>
      </c>
      <c r="C1558" t="inlineStr">
        <is>
          <t>https://www.idealista.com/inmueble/97455180/</t>
        </is>
      </c>
      <c r="E1558" t="n">
        <v>7</v>
      </c>
      <c r="H1558" t="n">
        <v>889</v>
      </c>
      <c r="J1558" t="inlineStr">
        <is>
          <t>Son Vida, Palma de Mallorca</t>
        </is>
      </c>
      <c r="K1558" t="n">
        <v>19.2</v>
      </c>
      <c r="L1558" t="n">
        <v>22</v>
      </c>
      <c r="M1558" t="n">
        <v>61.9</v>
      </c>
      <c r="N1558" t="n">
        <v>55</v>
      </c>
      <c r="O1558" t="n">
        <v>31</v>
      </c>
      <c r="P1558" t="n">
        <v>31</v>
      </c>
      <c r="Q1558" t="n">
        <v>59.6</v>
      </c>
      <c r="R1558" t="n">
        <v>51</v>
      </c>
      <c r="S1558" t="n">
        <v>5200000</v>
      </c>
      <c r="T1558" t="n">
        <v>5849</v>
      </c>
      <c r="AH1558" t="inlineStr">
        <is>
          <t>Quelle: Idealista</t>
        </is>
      </c>
    </row>
    <row r="1559">
      <c r="A1559" t="n">
        <v>1372</v>
      </c>
      <c r="B1559" t="inlineStr">
        <is>
          <t>Casa independiente</t>
        </is>
      </c>
      <c r="C1559" t="inlineStr">
        <is>
          <t>https://www.idealista.com/inmueble/95372916/</t>
        </is>
      </c>
      <c r="E1559" t="n">
        <v>6</v>
      </c>
      <c r="H1559" t="n">
        <v>470</v>
      </c>
      <c r="J1559" t="inlineStr">
        <is>
          <t>Son Vida, Palma de Mallorca</t>
        </is>
      </c>
      <c r="K1559" t="n">
        <v>19.2</v>
      </c>
      <c r="L1559" t="n">
        <v>22</v>
      </c>
      <c r="M1559" t="n">
        <v>61.9</v>
      </c>
      <c r="N1559" t="n">
        <v>55</v>
      </c>
      <c r="O1559" t="n">
        <v>31</v>
      </c>
      <c r="P1559" t="n">
        <v>31</v>
      </c>
      <c r="Q1559" t="n">
        <v>59.6</v>
      </c>
      <c r="R1559" t="n">
        <v>51</v>
      </c>
      <c r="S1559" t="n">
        <v>4800000</v>
      </c>
      <c r="T1559" t="n">
        <v>10213</v>
      </c>
      <c r="AH1559" t="inlineStr">
        <is>
          <t>Quelle: Idealista</t>
        </is>
      </c>
    </row>
    <row r="1560">
      <c r="A1560" t="n">
        <v>1373</v>
      </c>
      <c r="B1560" t="inlineStr">
        <is>
          <t>Casa independiente en Menut</t>
        </is>
      </c>
      <c r="C1560" t="inlineStr">
        <is>
          <t>https://www.idealista.com/inmueble/40239195/</t>
        </is>
      </c>
      <c r="E1560" t="n">
        <v>6</v>
      </c>
      <c r="H1560" t="n">
        <v>553</v>
      </c>
      <c r="J1560" t="inlineStr">
        <is>
          <t>Son Vida, Palma de Mallorca</t>
        </is>
      </c>
      <c r="K1560" t="n">
        <v>19.2</v>
      </c>
      <c r="L1560" t="n">
        <v>22</v>
      </c>
      <c r="M1560" t="n">
        <v>61.9</v>
      </c>
      <c r="N1560" t="n">
        <v>55</v>
      </c>
      <c r="O1560" t="n">
        <v>31</v>
      </c>
      <c r="P1560" t="n">
        <v>31</v>
      </c>
      <c r="Q1560" t="n">
        <v>59.6</v>
      </c>
      <c r="R1560" t="n">
        <v>51</v>
      </c>
      <c r="S1560" t="n">
        <v>4800000</v>
      </c>
      <c r="T1560" t="n">
        <v>8680</v>
      </c>
      <c r="AH1560" t="inlineStr">
        <is>
          <t>Quelle: Idealista</t>
        </is>
      </c>
    </row>
    <row r="1561">
      <c r="A1561" t="n">
        <v>1374</v>
      </c>
      <c r="B1561" t="inlineStr">
        <is>
          <t>Casa independiente en calle de Cerdà</t>
        </is>
      </c>
      <c r="C1561" t="inlineStr">
        <is>
          <t>https://www.idealista.com/inmueble/110370391/</t>
        </is>
      </c>
      <c r="E1561" t="n">
        <v>5</v>
      </c>
      <c r="H1561" t="n">
        <v>376</v>
      </c>
      <c r="J1561" t="inlineStr">
        <is>
          <t>Sta Catalina - Son Armadans - Maritim, Palma de Mallorca</t>
        </is>
      </c>
      <c r="K1561" t="n">
        <v>11</v>
      </c>
      <c r="L1561" t="n">
        <v>16</v>
      </c>
      <c r="M1561" t="n">
        <v>53.7</v>
      </c>
      <c r="N1561" t="n">
        <v>49</v>
      </c>
      <c r="O1561" t="n">
        <v>29.2</v>
      </c>
      <c r="P1561" t="n">
        <v>29</v>
      </c>
      <c r="Q1561" t="n">
        <v>51.4</v>
      </c>
      <c r="R1561" t="n">
        <v>45</v>
      </c>
      <c r="S1561" t="n">
        <v>4400000</v>
      </c>
      <c r="T1561" t="n">
        <v>11702</v>
      </c>
      <c r="AH1561" t="inlineStr">
        <is>
          <t>Quelle: Idealista</t>
        </is>
      </c>
    </row>
    <row r="1562">
      <c r="A1562" t="n">
        <v>1375</v>
      </c>
      <c r="B1562" t="inlineStr">
        <is>
          <t>Chalet adosado</t>
        </is>
      </c>
      <c r="C1562" t="inlineStr">
        <is>
          <t>https://www.idealista.com/inmueble/110359440/</t>
        </is>
      </c>
      <c r="E1562" t="n">
        <v>5</v>
      </c>
      <c r="H1562" t="n">
        <v>300</v>
      </c>
      <c r="J1562" t="inlineStr">
        <is>
          <t>Sta Catalina - Son Armadans - Maritim, Palma de Mallorca</t>
        </is>
      </c>
      <c r="K1562" t="n">
        <v>11</v>
      </c>
      <c r="L1562" t="n">
        <v>16</v>
      </c>
      <c r="M1562" t="n">
        <v>53.7</v>
      </c>
      <c r="N1562" t="n">
        <v>49</v>
      </c>
      <c r="O1562" t="n">
        <v>29.2</v>
      </c>
      <c r="P1562" t="n">
        <v>29</v>
      </c>
      <c r="Q1562" t="n">
        <v>51.4</v>
      </c>
      <c r="R1562" t="n">
        <v>45</v>
      </c>
      <c r="S1562" t="n">
        <v>2095000</v>
      </c>
      <c r="T1562" t="n">
        <v>6983</v>
      </c>
      <c r="AH1562" t="inlineStr">
        <is>
          <t>Quelle: Idealista</t>
        </is>
      </c>
    </row>
    <row r="1563">
      <c r="A1563" t="n">
        <v>1376</v>
      </c>
      <c r="B1563" t="inlineStr">
        <is>
          <t>Casa independiente en CL Nicaragua</t>
        </is>
      </c>
      <c r="C1563" t="inlineStr">
        <is>
          <t>https://www.idealista.com/inmueble/110177345/</t>
        </is>
      </c>
      <c r="E1563" t="n">
        <v>5</v>
      </c>
      <c r="H1563" t="n">
        <v>276</v>
      </c>
      <c r="J1563" t="inlineStr">
        <is>
          <t>Sta Catalina - Son Armadans - Maritim, Palma de Mallorca</t>
        </is>
      </c>
      <c r="K1563" t="n">
        <v>11</v>
      </c>
      <c r="L1563" t="n">
        <v>16</v>
      </c>
      <c r="M1563" t="n">
        <v>53.7</v>
      </c>
      <c r="N1563" t="n">
        <v>49</v>
      </c>
      <c r="O1563" t="n">
        <v>29.2</v>
      </c>
      <c r="P1563" t="n">
        <v>29</v>
      </c>
      <c r="Q1563" t="n">
        <v>51.4</v>
      </c>
      <c r="R1563" t="n">
        <v>45</v>
      </c>
      <c r="S1563" t="n">
        <v>2275000</v>
      </c>
      <c r="T1563" t="n">
        <v>8243</v>
      </c>
      <c r="AH1563" t="inlineStr">
        <is>
          <t>Quelle: Idealista</t>
        </is>
      </c>
    </row>
    <row r="1564">
      <c r="A1564" t="n">
        <v>1377</v>
      </c>
      <c r="B1564" t="inlineStr">
        <is>
          <t>Chalet adosado</t>
        </is>
      </c>
      <c r="C1564" t="inlineStr">
        <is>
          <t>https://www.idealista.com/inmueble/110092633/</t>
        </is>
      </c>
      <c r="E1564" t="n">
        <v>6</v>
      </c>
      <c r="H1564" t="n">
        <v>283</v>
      </c>
      <c r="J1564" t="inlineStr">
        <is>
          <t>Sta Catalina - Son Armadans - Maritim, Palma de Mallorca</t>
        </is>
      </c>
      <c r="K1564" t="n">
        <v>11</v>
      </c>
      <c r="L1564" t="n">
        <v>16</v>
      </c>
      <c r="M1564" t="n">
        <v>53.7</v>
      </c>
      <c r="N1564" t="n">
        <v>49</v>
      </c>
      <c r="O1564" t="n">
        <v>29.2</v>
      </c>
      <c r="P1564" t="n">
        <v>29</v>
      </c>
      <c r="Q1564" t="n">
        <v>51.4</v>
      </c>
      <c r="R1564" t="n">
        <v>45</v>
      </c>
      <c r="S1564" t="n">
        <v>2250000</v>
      </c>
      <c r="T1564" t="n">
        <v>7951</v>
      </c>
      <c r="AH1564" t="inlineStr">
        <is>
          <t>Quelle: Idealista</t>
        </is>
      </c>
    </row>
    <row r="1565">
      <c r="A1565" t="n">
        <v>1378</v>
      </c>
      <c r="B1565" t="inlineStr">
        <is>
          <t>Chalet adosado en CL Mas</t>
        </is>
      </c>
      <c r="C1565" t="inlineStr">
        <is>
          <t>https://www.idealista.com/inmueble/109977644/</t>
        </is>
      </c>
      <c r="E1565" t="n">
        <v>5</v>
      </c>
      <c r="H1565" t="n">
        <v>333</v>
      </c>
      <c r="J1565" t="inlineStr">
        <is>
          <t>Sta Catalina - Son Armadans - Maritim, Palma de Mallorca</t>
        </is>
      </c>
      <c r="K1565" t="n">
        <v>11</v>
      </c>
      <c r="L1565" t="n">
        <v>16</v>
      </c>
      <c r="M1565" t="n">
        <v>53.7</v>
      </c>
      <c r="N1565" t="n">
        <v>49</v>
      </c>
      <c r="O1565" t="n">
        <v>29.2</v>
      </c>
      <c r="P1565" t="n">
        <v>29</v>
      </c>
      <c r="Q1565" t="n">
        <v>51.4</v>
      </c>
      <c r="R1565" t="n">
        <v>45</v>
      </c>
      <c r="S1565" t="n">
        <v>3000000</v>
      </c>
      <c r="T1565" t="n">
        <v>9009</v>
      </c>
      <c r="AH1565" t="inlineStr">
        <is>
          <t>Quelle: Idealista</t>
        </is>
      </c>
    </row>
    <row r="1566">
      <c r="A1566" t="n">
        <v>1379</v>
      </c>
      <c r="B1566" t="inlineStr">
        <is>
          <t>Chalet adosado en CL Mas</t>
        </is>
      </c>
      <c r="C1566" t="inlineStr">
        <is>
          <t>https://www.idealista.com/inmueble/109963994/</t>
        </is>
      </c>
      <c r="E1566" t="n">
        <v>5</v>
      </c>
      <c r="H1566" t="n">
        <v>261</v>
      </c>
      <c r="J1566" t="inlineStr">
        <is>
          <t>Sta Catalina - Son Armadans - Maritim, Palma de Mallorca</t>
        </is>
      </c>
      <c r="K1566" t="n">
        <v>11</v>
      </c>
      <c r="L1566" t="n">
        <v>16</v>
      </c>
      <c r="M1566" t="n">
        <v>53.7</v>
      </c>
      <c r="N1566" t="n">
        <v>49</v>
      </c>
      <c r="O1566" t="n">
        <v>29.2</v>
      </c>
      <c r="P1566" t="n">
        <v>29</v>
      </c>
      <c r="Q1566" t="n">
        <v>51.4</v>
      </c>
      <c r="R1566" t="n">
        <v>45</v>
      </c>
      <c r="S1566" t="n">
        <v>2600000</v>
      </c>
      <c r="T1566" t="n">
        <v>9962</v>
      </c>
      <c r="AH1566" t="inlineStr">
        <is>
          <t>Quelle: Idealista</t>
        </is>
      </c>
    </row>
    <row r="1567">
      <c r="A1567" t="n">
        <v>1380</v>
      </c>
      <c r="B1567" t="inlineStr">
        <is>
          <t>Casa independiente en calle de Pilar Juncosa</t>
        </is>
      </c>
      <c r="C1567" t="inlineStr">
        <is>
          <t>https://www.idealista.com/inmueble/101883007/</t>
        </is>
      </c>
      <c r="E1567" t="n">
        <v>5</v>
      </c>
      <c r="H1567" t="n">
        <v>373</v>
      </c>
      <c r="J1567" t="inlineStr">
        <is>
          <t>Sta Catalina - Son Armadans - Maritim, Palma de Mallorca</t>
        </is>
      </c>
      <c r="K1567" t="n">
        <v>11</v>
      </c>
      <c r="L1567" t="n">
        <v>16</v>
      </c>
      <c r="M1567" t="n">
        <v>53.7</v>
      </c>
      <c r="N1567" t="n">
        <v>49</v>
      </c>
      <c r="O1567" t="n">
        <v>29.2</v>
      </c>
      <c r="P1567" t="n">
        <v>29</v>
      </c>
      <c r="Q1567" t="n">
        <v>51.4</v>
      </c>
      <c r="R1567" t="n">
        <v>45</v>
      </c>
      <c r="S1567" t="n">
        <v>4900000</v>
      </c>
      <c r="T1567" t="n">
        <v>13137</v>
      </c>
      <c r="AH1567" t="inlineStr">
        <is>
          <t>Quelle: Idealista</t>
        </is>
      </c>
    </row>
    <row r="1568">
      <c r="A1568" t="n">
        <v>1381</v>
      </c>
      <c r="B1568" t="inlineStr">
        <is>
          <t>Chalet adosado en calle del Polvorí</t>
        </is>
      </c>
      <c r="C1568" t="inlineStr">
        <is>
          <t>https://www.idealista.com/inmueble/109777392/</t>
        </is>
      </c>
      <c r="E1568" t="n">
        <v>5</v>
      </c>
      <c r="H1568" t="n">
        <v>259</v>
      </c>
      <c r="J1568" t="inlineStr">
        <is>
          <t>Sta Catalina - Son Armadans - Maritim, Palma de Mallorca</t>
        </is>
      </c>
      <c r="K1568" t="n">
        <v>11</v>
      </c>
      <c r="L1568" t="n">
        <v>16</v>
      </c>
      <c r="M1568" t="n">
        <v>53.7</v>
      </c>
      <c r="N1568" t="n">
        <v>49</v>
      </c>
      <c r="O1568" t="n">
        <v>29.2</v>
      </c>
      <c r="P1568" t="n">
        <v>29</v>
      </c>
      <c r="Q1568" t="n">
        <v>51.4</v>
      </c>
      <c r="R1568" t="n">
        <v>45</v>
      </c>
      <c r="S1568" t="n">
        <v>2795000</v>
      </c>
      <c r="T1568" t="n">
        <v>10792</v>
      </c>
      <c r="AH1568" t="inlineStr">
        <is>
          <t>Quelle: Idealista</t>
        </is>
      </c>
    </row>
    <row r="1569">
      <c r="A1569" t="n">
        <v>1382</v>
      </c>
      <c r="B1569" t="inlineStr">
        <is>
          <t>Casa independiente en CL Nicaragua</t>
        </is>
      </c>
      <c r="C1569" t="inlineStr">
        <is>
          <t>https://www.idealista.com/inmueble/109695503/</t>
        </is>
      </c>
      <c r="E1569" t="n">
        <v>5</v>
      </c>
      <c r="H1569" t="n">
        <v>263</v>
      </c>
      <c r="J1569" t="inlineStr">
        <is>
          <t>Sta Catalina - Son Armadans - Maritim, Palma de Mallorca</t>
        </is>
      </c>
      <c r="K1569" t="n">
        <v>11</v>
      </c>
      <c r="L1569" t="n">
        <v>16</v>
      </c>
      <c r="M1569" t="n">
        <v>53.7</v>
      </c>
      <c r="N1569" t="n">
        <v>49</v>
      </c>
      <c r="O1569" t="n">
        <v>29.2</v>
      </c>
      <c r="P1569" t="n">
        <v>29</v>
      </c>
      <c r="Q1569" t="n">
        <v>51.4</v>
      </c>
      <c r="R1569" t="n">
        <v>45</v>
      </c>
      <c r="S1569" t="n">
        <v>2275000</v>
      </c>
      <c r="T1569" t="n">
        <v>8650</v>
      </c>
      <c r="AH1569" t="inlineStr">
        <is>
          <t>Quelle: Idealista</t>
        </is>
      </c>
    </row>
    <row r="1570">
      <c r="A1570" t="n">
        <v>1383</v>
      </c>
      <c r="B1570" t="inlineStr">
        <is>
          <t>Casa independiente en avenida de Picasso, 3</t>
        </is>
      </c>
      <c r="C1570" t="inlineStr">
        <is>
          <t>https://www.idealista.com/inmueble/109685218/</t>
        </is>
      </c>
      <c r="E1570" t="n">
        <v>5</v>
      </c>
      <c r="H1570" t="n">
        <v>276</v>
      </c>
      <c r="J1570" t="inlineStr">
        <is>
          <t>Sta Catalina - Son Armadans - Maritim, Palma de Mallorca</t>
        </is>
      </c>
      <c r="K1570" t="n">
        <v>11</v>
      </c>
      <c r="L1570" t="n">
        <v>16</v>
      </c>
      <c r="M1570" t="n">
        <v>53.7</v>
      </c>
      <c r="N1570" t="n">
        <v>49</v>
      </c>
      <c r="O1570" t="n">
        <v>29.2</v>
      </c>
      <c r="P1570" t="n">
        <v>29</v>
      </c>
      <c r="Q1570" t="n">
        <v>51.4</v>
      </c>
      <c r="R1570" t="n">
        <v>45</v>
      </c>
      <c r="S1570" t="n">
        <v>2275000</v>
      </c>
      <c r="T1570" t="n">
        <v>8243</v>
      </c>
      <c r="AH1570" t="inlineStr">
        <is>
          <t>Quelle: Idealista</t>
        </is>
      </c>
    </row>
    <row r="1571">
      <c r="A1571" t="n">
        <v>1384</v>
      </c>
      <c r="B1571" t="inlineStr">
        <is>
          <t>Chalet pareado en calle Dos de Maig</t>
        </is>
      </c>
      <c r="C1571" t="inlineStr">
        <is>
          <t>https://www.idealista.com/inmueble/102833335/</t>
        </is>
      </c>
      <c r="E1571" t="n">
        <v>5</v>
      </c>
      <c r="H1571" t="n">
        <v>300</v>
      </c>
      <c r="J1571" t="inlineStr">
        <is>
          <t>Sta Catalina - Son Armadans - Maritim, Palma de Mallorca</t>
        </is>
      </c>
      <c r="K1571" t="n">
        <v>11</v>
      </c>
      <c r="L1571" t="n">
        <v>16</v>
      </c>
      <c r="M1571" t="n">
        <v>53.7</v>
      </c>
      <c r="N1571" t="n">
        <v>49</v>
      </c>
      <c r="O1571" t="n">
        <v>29.2</v>
      </c>
      <c r="P1571" t="n">
        <v>29</v>
      </c>
      <c r="Q1571" t="n">
        <v>51.4</v>
      </c>
      <c r="R1571" t="n">
        <v>45</v>
      </c>
      <c r="S1571" t="n">
        <v>2095000</v>
      </c>
      <c r="T1571" t="n">
        <v>6983</v>
      </c>
      <c r="AH1571" t="inlineStr">
        <is>
          <t>Quelle: Idealista</t>
        </is>
      </c>
    </row>
    <row r="1572">
      <c r="A1572" t="n">
        <v>1385</v>
      </c>
      <c r="B1572" t="inlineStr">
        <is>
          <t>Casa independiente</t>
        </is>
      </c>
      <c r="C1572" t="inlineStr">
        <is>
          <t>https://www.idealista.com/inmueble/108530714/</t>
        </is>
      </c>
      <c r="E1572" t="n">
        <v>5</v>
      </c>
      <c r="H1572" t="n">
        <v>719</v>
      </c>
      <c r="J1572" t="inlineStr">
        <is>
          <t>Sta Catalina - Son Armadans - Maritim, Palma de Mallorca</t>
        </is>
      </c>
      <c r="K1572" t="n">
        <v>11</v>
      </c>
      <c r="L1572" t="n">
        <v>16</v>
      </c>
      <c r="M1572" t="n">
        <v>53.7</v>
      </c>
      <c r="N1572" t="n">
        <v>49</v>
      </c>
      <c r="O1572" t="n">
        <v>29.2</v>
      </c>
      <c r="P1572" t="n">
        <v>29</v>
      </c>
      <c r="Q1572" t="n">
        <v>51.4</v>
      </c>
      <c r="R1572" t="n">
        <v>45</v>
      </c>
      <c r="S1572" t="n">
        <v>3700000</v>
      </c>
      <c r="T1572" t="n">
        <v>5146</v>
      </c>
      <c r="AH1572" t="inlineStr">
        <is>
          <t>Quelle: Idealista</t>
        </is>
      </c>
    </row>
    <row r="1573">
      <c r="A1573" t="n">
        <v>1386</v>
      </c>
      <c r="B1573" t="inlineStr">
        <is>
          <t>Chalet adosado</t>
        </is>
      </c>
      <c r="C1573" t="inlineStr">
        <is>
          <t>https://www.idealista.com/inmueble/108104709/</t>
        </is>
      </c>
      <c r="E1573" t="n">
        <v>5</v>
      </c>
      <c r="H1573" t="n">
        <v>376</v>
      </c>
      <c r="J1573" t="inlineStr">
        <is>
          <t>Sta Catalina - Son Armadans - Maritim, Palma de Mallorca</t>
        </is>
      </c>
      <c r="K1573" t="n">
        <v>11</v>
      </c>
      <c r="L1573" t="n">
        <v>16</v>
      </c>
      <c r="M1573" t="n">
        <v>53.7</v>
      </c>
      <c r="N1573" t="n">
        <v>49</v>
      </c>
      <c r="O1573" t="n">
        <v>29.2</v>
      </c>
      <c r="P1573" t="n">
        <v>29</v>
      </c>
      <c r="Q1573" t="n">
        <v>51.4</v>
      </c>
      <c r="R1573" t="n">
        <v>45</v>
      </c>
      <c r="S1573" t="n">
        <v>4400000</v>
      </c>
      <c r="T1573" t="n">
        <v>11702</v>
      </c>
      <c r="AH1573" t="inlineStr">
        <is>
          <t>Quelle: Idealista</t>
        </is>
      </c>
    </row>
    <row r="1574">
      <c r="A1574" t="n">
        <v>1387</v>
      </c>
      <c r="B1574" t="inlineStr">
        <is>
          <t>Casa independiente en calle d'Amengual</t>
        </is>
      </c>
      <c r="C1574" t="inlineStr">
        <is>
          <t>https://www.idealista.com/inmueble/107232047/</t>
        </is>
      </c>
      <c r="E1574" t="n">
        <v>5</v>
      </c>
      <c r="H1574" t="n">
        <v>260</v>
      </c>
      <c r="J1574" t="inlineStr">
        <is>
          <t>Sta Catalina - Son Armadans - Maritim, Palma de Mallorca</t>
        </is>
      </c>
      <c r="K1574" t="n">
        <v>11</v>
      </c>
      <c r="L1574" t="n">
        <v>16</v>
      </c>
      <c r="M1574" t="n">
        <v>53.7</v>
      </c>
      <c r="N1574" t="n">
        <v>49</v>
      </c>
      <c r="O1574" t="n">
        <v>29.2</v>
      </c>
      <c r="P1574" t="n">
        <v>29</v>
      </c>
      <c r="Q1574" t="n">
        <v>51.4</v>
      </c>
      <c r="R1574" t="n">
        <v>45</v>
      </c>
      <c r="S1574" t="n">
        <v>2795000</v>
      </c>
      <c r="T1574" t="n">
        <v>10750</v>
      </c>
      <c r="AH1574" t="inlineStr">
        <is>
          <t>Quelle: Idealista</t>
        </is>
      </c>
    </row>
    <row r="1575">
      <c r="A1575" t="n">
        <v>1388</v>
      </c>
      <c r="B1575" t="inlineStr">
        <is>
          <t>Chalet adosado</t>
        </is>
      </c>
      <c r="C1575" t="inlineStr">
        <is>
          <t>https://www.idealista.com/inmueble/106609128/</t>
        </is>
      </c>
      <c r="E1575" t="n">
        <v>6</v>
      </c>
      <c r="H1575" t="n">
        <v>393</v>
      </c>
      <c r="J1575" t="inlineStr">
        <is>
          <t>Sta Catalina - Son Armadans - Maritim, Palma de Mallorca</t>
        </is>
      </c>
      <c r="K1575" t="n">
        <v>11</v>
      </c>
      <c r="L1575" t="n">
        <v>16</v>
      </c>
      <c r="M1575" t="n">
        <v>53.7</v>
      </c>
      <c r="N1575" t="n">
        <v>49</v>
      </c>
      <c r="O1575" t="n">
        <v>29.2</v>
      </c>
      <c r="P1575" t="n">
        <v>29</v>
      </c>
      <c r="Q1575" t="n">
        <v>51.4</v>
      </c>
      <c r="R1575" t="n">
        <v>45</v>
      </c>
      <c r="S1575" t="n">
        <v>3450000</v>
      </c>
      <c r="T1575" t="n">
        <v>8779</v>
      </c>
      <c r="AH1575" t="inlineStr">
        <is>
          <t>Quelle: Idealista</t>
        </is>
      </c>
    </row>
    <row r="1576">
      <c r="A1576" t="n">
        <v>1389</v>
      </c>
      <c r="B1576" t="inlineStr">
        <is>
          <t>Casa independiente en calle de Cerdá</t>
        </is>
      </c>
      <c r="C1576" t="inlineStr">
        <is>
          <t>https://www.idealista.com/inmueble/103208016/</t>
        </is>
      </c>
      <c r="E1576" t="n">
        <v>5</v>
      </c>
      <c r="H1576" t="n">
        <v>376</v>
      </c>
      <c r="J1576" t="inlineStr">
        <is>
          <t>Sta Catalina - Son Armadans - Maritim, Palma de Mallorca</t>
        </is>
      </c>
      <c r="K1576" t="n">
        <v>11</v>
      </c>
      <c r="L1576" t="n">
        <v>16</v>
      </c>
      <c r="M1576" t="n">
        <v>53.7</v>
      </c>
      <c r="N1576" t="n">
        <v>49</v>
      </c>
      <c r="O1576" t="n">
        <v>29.2</v>
      </c>
      <c r="P1576" t="n">
        <v>29</v>
      </c>
      <c r="Q1576" t="n">
        <v>51.4</v>
      </c>
      <c r="R1576" t="n">
        <v>45</v>
      </c>
      <c r="S1576" t="n">
        <v>4400000</v>
      </c>
      <c r="T1576" t="n">
        <v>11702</v>
      </c>
      <c r="AH1576" t="inlineStr">
        <is>
          <t>Quelle: Idealista</t>
        </is>
      </c>
    </row>
    <row r="1577">
      <c r="A1577" t="n">
        <v>1390</v>
      </c>
      <c r="B1577" t="inlineStr">
        <is>
          <t>Casa independiente en salut</t>
        </is>
      </c>
      <c r="C1577" t="inlineStr">
        <is>
          <t>https://www.idealista.com/inmueble/102003870/</t>
        </is>
      </c>
      <c r="E1577" t="n">
        <v>32</v>
      </c>
      <c r="H1577" t="n">
        <v>1198</v>
      </c>
      <c r="J1577" t="inlineStr">
        <is>
          <t>Sta Catalina - Son Armadans - Maritim, Palma de Mallorca</t>
        </is>
      </c>
      <c r="K1577" t="n">
        <v>11</v>
      </c>
      <c r="L1577" t="n">
        <v>16</v>
      </c>
      <c r="M1577" t="n">
        <v>53.7</v>
      </c>
      <c r="N1577" t="n">
        <v>49</v>
      </c>
      <c r="O1577" t="n">
        <v>29.2</v>
      </c>
      <c r="P1577" t="n">
        <v>29</v>
      </c>
      <c r="Q1577" t="n">
        <v>51.4</v>
      </c>
      <c r="R1577" t="n">
        <v>45</v>
      </c>
      <c r="S1577" t="n">
        <v>2000000</v>
      </c>
      <c r="T1577" t="n">
        <v>1669</v>
      </c>
      <c r="AH1577" t="inlineStr">
        <is>
          <t>Quelle: Idealista</t>
        </is>
      </c>
    </row>
    <row r="1578">
      <c r="A1578" t="n">
        <v>1391</v>
      </c>
      <c r="B1578" t="inlineStr">
        <is>
          <t>Casa independiente</t>
        </is>
      </c>
      <c r="C1578" t="inlineStr">
        <is>
          <t>https://www.idealista.com/inmueble/109708161/</t>
        </is>
      </c>
      <c r="E1578" t="n">
        <v>5</v>
      </c>
      <c r="H1578" t="n">
        <v>670</v>
      </c>
      <c r="J1578" t="inlineStr">
        <is>
          <t>Palmanyola</t>
        </is>
      </c>
      <c r="K1578" t="n">
        <v>19.1</v>
      </c>
      <c r="L1578" t="n">
        <v>22</v>
      </c>
      <c r="M1578" t="n">
        <v>61.8</v>
      </c>
      <c r="N1578" t="n">
        <v>55</v>
      </c>
      <c r="O1578" t="n">
        <v>38.7</v>
      </c>
      <c r="P1578" t="n">
        <v>35</v>
      </c>
      <c r="Q1578" t="n">
        <v>59.5</v>
      </c>
      <c r="R1578" t="n">
        <v>51</v>
      </c>
      <c r="S1578" t="n">
        <v>5600000</v>
      </c>
      <c r="T1578" t="n">
        <v>8358</v>
      </c>
      <c r="AH1578" t="inlineStr">
        <is>
          <t>Quelle: Idealista</t>
        </is>
      </c>
    </row>
    <row r="1579">
      <c r="A1579" t="n">
        <v>1392</v>
      </c>
      <c r="B1579" t="inlineStr">
        <is>
          <t>Chalet adosado en calle Des Sol</t>
        </is>
      </c>
      <c r="C1579" t="inlineStr">
        <is>
          <t>https://www.idealista.com/inmueble/108678043/</t>
        </is>
      </c>
      <c r="E1579" t="n">
        <v>11</v>
      </c>
      <c r="H1579" t="n">
        <v>876</v>
      </c>
      <c r="J1579" t="inlineStr">
        <is>
          <t>Petra</t>
        </is>
      </c>
      <c r="K1579" t="n">
        <v>45.9</v>
      </c>
      <c r="L1579" t="n">
        <v>42</v>
      </c>
      <c r="M1579" t="n">
        <v>41.3</v>
      </c>
      <c r="N1579" t="n">
        <v>45</v>
      </c>
      <c r="O1579" t="n">
        <v>84</v>
      </c>
      <c r="P1579" t="n">
        <v>66</v>
      </c>
      <c r="Q1579" t="n">
        <v>39</v>
      </c>
      <c r="R1579" t="n">
        <v>41</v>
      </c>
      <c r="S1579" t="n">
        <v>2900000</v>
      </c>
      <c r="T1579" t="n">
        <v>3311</v>
      </c>
      <c r="AH1579" t="inlineStr">
        <is>
          <t>Quelle: Idealista</t>
        </is>
      </c>
    </row>
    <row r="1580">
      <c r="A1580" t="n">
        <v>1393</v>
      </c>
      <c r="B1580" t="inlineStr">
        <is>
          <t>Finca rústica en via Sense Nom</t>
        </is>
      </c>
      <c r="C1580" t="inlineStr">
        <is>
          <t>https://www.idealista.com/inmueble/105432817/</t>
        </is>
      </c>
      <c r="E1580" t="n">
        <v>5</v>
      </c>
      <c r="H1580" t="n">
        <v>920</v>
      </c>
      <c r="J1580" t="inlineStr">
        <is>
          <t>Petra</t>
        </is>
      </c>
      <c r="K1580" t="n">
        <v>45.9</v>
      </c>
      <c r="L1580" t="n">
        <v>42</v>
      </c>
      <c r="M1580" t="n">
        <v>41.3</v>
      </c>
      <c r="N1580" t="n">
        <v>45</v>
      </c>
      <c r="O1580" t="n">
        <v>84</v>
      </c>
      <c r="P1580" t="n">
        <v>66</v>
      </c>
      <c r="Q1580" t="n">
        <v>39</v>
      </c>
      <c r="R1580" t="n">
        <v>41</v>
      </c>
      <c r="S1580" t="n">
        <v>2000000</v>
      </c>
      <c r="T1580" t="n">
        <v>2174</v>
      </c>
      <c r="AH1580" t="inlineStr">
        <is>
          <t>Quelle: Idealista</t>
        </is>
      </c>
    </row>
    <row r="1581">
      <c r="A1581" t="n">
        <v>1394</v>
      </c>
      <c r="B1581" t="inlineStr">
        <is>
          <t>Finca rústica</t>
        </is>
      </c>
      <c r="C1581" t="inlineStr">
        <is>
          <t>https://www.idealista.com/inmueble/107085451/</t>
        </is>
      </c>
      <c r="E1581" t="n">
        <v>11</v>
      </c>
      <c r="H1581" t="n">
        <v>876</v>
      </c>
      <c r="J1581" t="inlineStr">
        <is>
          <t>Petra</t>
        </is>
      </c>
      <c r="K1581" t="n">
        <v>45.9</v>
      </c>
      <c r="L1581" t="n">
        <v>42</v>
      </c>
      <c r="M1581" t="n">
        <v>41.3</v>
      </c>
      <c r="N1581" t="n">
        <v>45</v>
      </c>
      <c r="O1581" t="n">
        <v>84</v>
      </c>
      <c r="P1581" t="n">
        <v>66</v>
      </c>
      <c r="Q1581" t="n">
        <v>39</v>
      </c>
      <c r="R1581" t="n">
        <v>41</v>
      </c>
      <c r="S1581" t="n">
        <v>2900000</v>
      </c>
      <c r="T1581" t="n">
        <v>3311</v>
      </c>
      <c r="AH1581" t="inlineStr">
        <is>
          <t>Quelle: Idealista</t>
        </is>
      </c>
    </row>
    <row r="1582">
      <c r="A1582" t="n">
        <v>1395</v>
      </c>
      <c r="B1582" t="inlineStr">
        <is>
          <t>Finca rústica</t>
        </is>
      </c>
      <c r="C1582" t="inlineStr">
        <is>
          <t>https://www.idealista.com/inmueble/108507289/</t>
        </is>
      </c>
      <c r="E1582" t="n">
        <v>7</v>
      </c>
      <c r="H1582" t="n">
        <v>448</v>
      </c>
      <c r="J1582" t="inlineStr">
        <is>
          <t>Petra</t>
        </is>
      </c>
      <c r="K1582" t="n">
        <v>45.9</v>
      </c>
      <c r="L1582" t="n">
        <v>42</v>
      </c>
      <c r="M1582" t="n">
        <v>41.3</v>
      </c>
      <c r="N1582" t="n">
        <v>45</v>
      </c>
      <c r="O1582" t="n">
        <v>84</v>
      </c>
      <c r="P1582" t="n">
        <v>66</v>
      </c>
      <c r="Q1582" t="n">
        <v>39</v>
      </c>
      <c r="R1582" t="n">
        <v>41</v>
      </c>
      <c r="S1582" t="n">
        <v>2900000</v>
      </c>
      <c r="T1582" t="n">
        <v>6473</v>
      </c>
      <c r="AH1582" t="inlineStr">
        <is>
          <t>Quelle: Idealista</t>
        </is>
      </c>
    </row>
    <row r="1583">
      <c r="A1583" t="n">
        <v>1396</v>
      </c>
      <c r="B1583" t="inlineStr">
        <is>
          <t>Casa rural</t>
        </is>
      </c>
      <c r="C1583" t="inlineStr">
        <is>
          <t>https://www.idealista.com/inmueble/108425796/</t>
        </is>
      </c>
      <c r="E1583" t="n">
        <v>11</v>
      </c>
      <c r="H1583" t="n">
        <v>931</v>
      </c>
      <c r="J1583" t="inlineStr">
        <is>
          <t>Petra</t>
        </is>
      </c>
      <c r="K1583" t="n">
        <v>45.9</v>
      </c>
      <c r="L1583" t="n">
        <v>42</v>
      </c>
      <c r="M1583" t="n">
        <v>41.3</v>
      </c>
      <c r="N1583" t="n">
        <v>45</v>
      </c>
      <c r="O1583" t="n">
        <v>84</v>
      </c>
      <c r="P1583" t="n">
        <v>66</v>
      </c>
      <c r="Q1583" t="n">
        <v>39</v>
      </c>
      <c r="R1583" t="n">
        <v>41</v>
      </c>
      <c r="S1583" t="n">
        <v>2900000</v>
      </c>
      <c r="T1583" t="n">
        <v>3115</v>
      </c>
      <c r="AH1583" t="inlineStr">
        <is>
          <t>Quelle: Idealista</t>
        </is>
      </c>
    </row>
    <row r="1584">
      <c r="A1584" t="n">
        <v>1397</v>
      </c>
      <c r="B1584" t="inlineStr">
        <is>
          <t>Casa rural</t>
        </is>
      </c>
      <c r="C1584" t="inlineStr">
        <is>
          <t>https://www.idealista.com/inmueble/105965207/</t>
        </is>
      </c>
      <c r="E1584" t="n">
        <v>12</v>
      </c>
      <c r="H1584" t="n">
        <v>725</v>
      </c>
      <c r="J1584" t="inlineStr">
        <is>
          <t>Petra</t>
        </is>
      </c>
      <c r="K1584" t="n">
        <v>45.9</v>
      </c>
      <c r="L1584" t="n">
        <v>42</v>
      </c>
      <c r="M1584" t="n">
        <v>41.3</v>
      </c>
      <c r="N1584" t="n">
        <v>45</v>
      </c>
      <c r="O1584" t="n">
        <v>84</v>
      </c>
      <c r="P1584" t="n">
        <v>66</v>
      </c>
      <c r="Q1584" t="n">
        <v>39</v>
      </c>
      <c r="R1584" t="n">
        <v>41</v>
      </c>
      <c r="S1584" t="n">
        <v>2500000</v>
      </c>
      <c r="T1584" t="n">
        <v>3448</v>
      </c>
      <c r="AH1584" t="inlineStr">
        <is>
          <t>Quelle: Idealista</t>
        </is>
      </c>
    </row>
    <row r="1585">
      <c r="A1585" t="n">
        <v>1398</v>
      </c>
      <c r="B1585" t="inlineStr">
        <is>
          <t>Casa rural en camino de son Fogó</t>
        </is>
      </c>
      <c r="C1585" t="inlineStr">
        <is>
          <t>https://www.idealista.com/inmueble/104885822/</t>
        </is>
      </c>
      <c r="E1585" t="n">
        <v>11</v>
      </c>
      <c r="H1585" t="n">
        <v>720</v>
      </c>
      <c r="J1585" t="inlineStr">
        <is>
          <t>Petra</t>
        </is>
      </c>
      <c r="K1585" t="n">
        <v>45.9</v>
      </c>
      <c r="L1585" t="n">
        <v>42</v>
      </c>
      <c r="M1585" t="n">
        <v>41.3</v>
      </c>
      <c r="N1585" t="n">
        <v>45</v>
      </c>
      <c r="O1585" t="n">
        <v>84</v>
      </c>
      <c r="P1585" t="n">
        <v>66</v>
      </c>
      <c r="Q1585" t="n">
        <v>39</v>
      </c>
      <c r="R1585" t="n">
        <v>41</v>
      </c>
      <c r="S1585" t="n">
        <v>2900000</v>
      </c>
      <c r="T1585" t="n">
        <v>4028</v>
      </c>
      <c r="AH1585" t="inlineStr">
        <is>
          <t>Quelle: Idealista</t>
        </is>
      </c>
    </row>
    <row r="1586">
      <c r="A1586" t="n">
        <v>1399</v>
      </c>
      <c r="B1586" t="inlineStr">
        <is>
          <t>Casa rural</t>
        </is>
      </c>
      <c r="C1586" t="inlineStr">
        <is>
          <t>https://www.idealista.com/inmueble/93417690/</t>
        </is>
      </c>
      <c r="E1586" t="n">
        <v>5</v>
      </c>
      <c r="H1586" t="n">
        <v>550</v>
      </c>
      <c r="J1586" t="inlineStr">
        <is>
          <t>Petra</t>
        </is>
      </c>
      <c r="K1586" t="n">
        <v>45.9</v>
      </c>
      <c r="L1586" t="n">
        <v>42</v>
      </c>
      <c r="M1586" t="n">
        <v>41.3</v>
      </c>
      <c r="N1586" t="n">
        <v>45</v>
      </c>
      <c r="O1586" t="n">
        <v>84</v>
      </c>
      <c r="P1586" t="n">
        <v>66</v>
      </c>
      <c r="Q1586" t="n">
        <v>39</v>
      </c>
      <c r="R1586" t="n">
        <v>41</v>
      </c>
      <c r="S1586" t="n">
        <v>2300000</v>
      </c>
      <c r="T1586" t="n">
        <v>4182</v>
      </c>
      <c r="AH1586" t="inlineStr">
        <is>
          <t>Quelle: Idealista</t>
        </is>
      </c>
    </row>
    <row r="1587">
      <c r="A1587" t="n">
        <v>1400</v>
      </c>
      <c r="B1587" t="inlineStr">
        <is>
          <t>Chalet adosado</t>
        </is>
      </c>
      <c r="C1587" t="inlineStr">
        <is>
          <t>https://www.idealista.com/inmueble/96425177/</t>
        </is>
      </c>
      <c r="E1587" t="n">
        <v>10</v>
      </c>
      <c r="H1587" t="n">
        <v>780</v>
      </c>
      <c r="J1587" t="inlineStr">
        <is>
          <t>Petra</t>
        </is>
      </c>
      <c r="K1587" t="n">
        <v>45.9</v>
      </c>
      <c r="L1587" t="n">
        <v>42</v>
      </c>
      <c r="M1587" t="n">
        <v>41.3</v>
      </c>
      <c r="N1587" t="n">
        <v>45</v>
      </c>
      <c r="O1587" t="n">
        <v>84</v>
      </c>
      <c r="P1587" t="n">
        <v>66</v>
      </c>
      <c r="Q1587" t="n">
        <v>39</v>
      </c>
      <c r="R1587" t="n">
        <v>41</v>
      </c>
      <c r="S1587" t="n">
        <v>2900000</v>
      </c>
      <c r="T1587" t="n">
        <v>3718</v>
      </c>
      <c r="AH1587" t="inlineStr">
        <is>
          <t>Quelle: Idealista</t>
        </is>
      </c>
    </row>
    <row r="1588">
      <c r="A1588" t="n">
        <v>1401</v>
      </c>
      <c r="B1588" t="inlineStr">
        <is>
          <t>Casa independiente</t>
        </is>
      </c>
      <c r="C1588" t="inlineStr">
        <is>
          <t>https://www.idealista.com/inmueble/109603728/</t>
        </is>
      </c>
      <c r="E1588" t="n">
        <v>10</v>
      </c>
      <c r="H1588" t="n">
        <v>458</v>
      </c>
      <c r="J1588" t="inlineStr">
        <is>
          <t>Pobla (Sa)</t>
        </is>
      </c>
      <c r="K1588" t="n">
        <v>52.7</v>
      </c>
      <c r="L1588" t="n">
        <v>41</v>
      </c>
      <c r="M1588" t="n">
        <v>59.6</v>
      </c>
      <c r="N1588" t="n">
        <v>65</v>
      </c>
      <c r="O1588" t="n">
        <v>75.3</v>
      </c>
      <c r="P1588" t="n">
        <v>57</v>
      </c>
      <c r="Q1588" t="n">
        <v>57.3</v>
      </c>
      <c r="R1588" t="n">
        <v>61</v>
      </c>
      <c r="S1588" t="n">
        <v>2500000</v>
      </c>
      <c r="T1588" t="n">
        <v>5459</v>
      </c>
      <c r="AH1588" t="inlineStr">
        <is>
          <t>Quelle: Idealista</t>
        </is>
      </c>
    </row>
    <row r="1589">
      <c r="A1589" t="n">
        <v>1402</v>
      </c>
      <c r="B1589" t="inlineStr">
        <is>
          <t>Casa independiente</t>
        </is>
      </c>
      <c r="C1589" t="inlineStr">
        <is>
          <t>https://www.idealista.com/inmueble/95000430/</t>
        </is>
      </c>
      <c r="E1589" t="n">
        <v>5</v>
      </c>
      <c r="H1589" t="n">
        <v>514</v>
      </c>
      <c r="J1589" t="inlineStr">
        <is>
          <t>Pobla (Sa)</t>
        </is>
      </c>
      <c r="K1589" t="n">
        <v>52.7</v>
      </c>
      <c r="L1589" t="n">
        <v>41</v>
      </c>
      <c r="M1589" t="n">
        <v>59.6</v>
      </c>
      <c r="N1589" t="n">
        <v>65</v>
      </c>
      <c r="O1589" t="n">
        <v>75.3</v>
      </c>
      <c r="P1589" t="n">
        <v>57</v>
      </c>
      <c r="Q1589" t="n">
        <v>57.3</v>
      </c>
      <c r="R1589" t="n">
        <v>61</v>
      </c>
      <c r="S1589" t="n">
        <v>2050000</v>
      </c>
      <c r="T1589" t="n">
        <v>3988</v>
      </c>
      <c r="AH1589" t="inlineStr">
        <is>
          <t>Quelle: Idealista</t>
        </is>
      </c>
    </row>
    <row r="1590">
      <c r="A1590" t="n">
        <v>1403</v>
      </c>
      <c r="B1590" t="inlineStr">
        <is>
          <t>Casa independiente</t>
        </is>
      </c>
      <c r="C1590" t="inlineStr">
        <is>
          <t>https://www.idealista.com/inmueble/106095368/</t>
        </is>
      </c>
      <c r="E1590" t="n">
        <v>6</v>
      </c>
      <c r="H1590" t="n">
        <v>500</v>
      </c>
      <c r="J1590" t="inlineStr">
        <is>
          <t>Pobla (Sa)</t>
        </is>
      </c>
      <c r="K1590" t="n">
        <v>52.7</v>
      </c>
      <c r="L1590" t="n">
        <v>41</v>
      </c>
      <c r="M1590" t="n">
        <v>59.6</v>
      </c>
      <c r="N1590" t="n">
        <v>65</v>
      </c>
      <c r="O1590" t="n">
        <v>75.3</v>
      </c>
      <c r="P1590" t="n">
        <v>57</v>
      </c>
      <c r="Q1590" t="n">
        <v>57.3</v>
      </c>
      <c r="R1590" t="n">
        <v>61</v>
      </c>
      <c r="S1590" t="n">
        <v>2300000</v>
      </c>
      <c r="T1590" t="n">
        <v>4600</v>
      </c>
      <c r="AH1590" t="inlineStr">
        <is>
          <t>Quelle: Idealista</t>
        </is>
      </c>
    </row>
    <row r="1591">
      <c r="A1591" t="n">
        <v>1404</v>
      </c>
      <c r="B1591" t="inlineStr">
        <is>
          <t>Casa independiente</t>
        </is>
      </c>
      <c r="C1591" t="inlineStr">
        <is>
          <t>https://www.idealista.com/inmueble/108659644/</t>
        </is>
      </c>
      <c r="E1591" t="n">
        <v>6</v>
      </c>
      <c r="H1591" t="n">
        <v>619</v>
      </c>
      <c r="J1591" t="inlineStr">
        <is>
          <t>Cala Sant Vicenç, Pollença</t>
        </is>
      </c>
      <c r="K1591" t="n">
        <v>66.5</v>
      </c>
      <c r="L1591" t="n">
        <v>52</v>
      </c>
      <c r="M1591" t="n">
        <v>84.59999999999999</v>
      </c>
      <c r="N1591" t="n">
        <v>79</v>
      </c>
      <c r="O1591" t="n">
        <v>89.09999999999999</v>
      </c>
      <c r="P1591" t="n">
        <v>68</v>
      </c>
      <c r="Q1591" t="n">
        <v>82.3</v>
      </c>
      <c r="R1591" t="n">
        <v>75</v>
      </c>
      <c r="S1591" t="n">
        <v>3975000</v>
      </c>
      <c r="T1591" t="n">
        <v>6422</v>
      </c>
      <c r="AH1591" t="inlineStr">
        <is>
          <t>Quelle: Idealista</t>
        </is>
      </c>
    </row>
    <row r="1592">
      <c r="A1592" t="n">
        <v>1405</v>
      </c>
      <c r="B1592" t="inlineStr">
        <is>
          <t>Finca rústica</t>
        </is>
      </c>
      <c r="C1592" t="inlineStr">
        <is>
          <t>https://www.idealista.com/inmueble/110361655/</t>
        </is>
      </c>
      <c r="E1592" t="n">
        <v>5</v>
      </c>
      <c r="H1592" t="n">
        <v>450</v>
      </c>
      <c r="J1592" t="inlineStr">
        <is>
          <t>Pollença</t>
        </is>
      </c>
      <c r="K1592" t="n">
        <v>60.6</v>
      </c>
      <c r="L1592" t="n">
        <v>47</v>
      </c>
      <c r="M1592" t="n">
        <v>78.7</v>
      </c>
      <c r="N1592" t="n">
        <v>74</v>
      </c>
      <c r="O1592" t="n">
        <v>83.2</v>
      </c>
      <c r="P1592" t="n">
        <v>63</v>
      </c>
      <c r="Q1592" t="n">
        <v>76.40000000000001</v>
      </c>
      <c r="R1592" t="n">
        <v>70</v>
      </c>
      <c r="S1592" t="n">
        <v>2995000</v>
      </c>
      <c r="T1592" t="n">
        <v>6656</v>
      </c>
      <c r="AH1592" t="inlineStr">
        <is>
          <t>Quelle: Idealista</t>
        </is>
      </c>
    </row>
    <row r="1593">
      <c r="A1593" t="n">
        <v>1406</v>
      </c>
      <c r="B1593" t="inlineStr">
        <is>
          <t>Casa independiente</t>
        </is>
      </c>
      <c r="C1593" t="inlineStr">
        <is>
          <t>https://www.idealista.com/inmueble/110353526/</t>
        </is>
      </c>
      <c r="E1593" t="n">
        <v>5</v>
      </c>
      <c r="H1593" t="n">
        <v>377</v>
      </c>
      <c r="J1593" t="inlineStr">
        <is>
          <t>Pollença</t>
        </is>
      </c>
      <c r="K1593" t="n">
        <v>60.6</v>
      </c>
      <c r="L1593" t="n">
        <v>47</v>
      </c>
      <c r="M1593" t="n">
        <v>78.7</v>
      </c>
      <c r="N1593" t="n">
        <v>74</v>
      </c>
      <c r="O1593" t="n">
        <v>83.2</v>
      </c>
      <c r="P1593" t="n">
        <v>63</v>
      </c>
      <c r="Q1593" t="n">
        <v>76.40000000000001</v>
      </c>
      <c r="R1593" t="n">
        <v>70</v>
      </c>
      <c r="S1593" t="n">
        <v>3700000</v>
      </c>
      <c r="T1593" t="n">
        <v>9814</v>
      </c>
      <c r="AH1593" t="inlineStr">
        <is>
          <t>Quelle: Idealista</t>
        </is>
      </c>
    </row>
    <row r="1594">
      <c r="A1594" t="n">
        <v>1407</v>
      </c>
      <c r="B1594" t="inlineStr">
        <is>
          <t>Chalet en via Cintura</t>
        </is>
      </c>
      <c r="C1594" t="inlineStr">
        <is>
          <t>https://www.idealista.com/inmueble/110293862/</t>
        </is>
      </c>
      <c r="E1594" t="n">
        <v>6</v>
      </c>
      <c r="H1594" t="n">
        <v>610</v>
      </c>
      <c r="J1594" t="inlineStr">
        <is>
          <t>Port de Pollença, Pollença</t>
        </is>
      </c>
      <c r="K1594" t="n">
        <v>66.90000000000001</v>
      </c>
      <c r="L1594" t="n">
        <v>52</v>
      </c>
      <c r="M1594" t="n">
        <v>85</v>
      </c>
      <c r="N1594" t="n">
        <v>78</v>
      </c>
      <c r="O1594" t="n">
        <v>89.5</v>
      </c>
      <c r="P1594" t="n">
        <v>68</v>
      </c>
      <c r="Q1594" t="n">
        <v>82.7</v>
      </c>
      <c r="R1594" t="n">
        <v>75</v>
      </c>
      <c r="S1594" t="n">
        <v>3500000</v>
      </c>
      <c r="T1594" t="n">
        <v>5738</v>
      </c>
      <c r="AH1594" t="inlineStr">
        <is>
          <t>Quelle: Idealista</t>
        </is>
      </c>
    </row>
    <row r="1595">
      <c r="A1595" t="n">
        <v>1408</v>
      </c>
      <c r="B1595" t="inlineStr">
        <is>
          <t>Chalet adosado</t>
        </is>
      </c>
      <c r="C1595" t="inlineStr">
        <is>
          <t>https://www.idealista.com/inmueble/109829166/</t>
        </is>
      </c>
      <c r="E1595" t="n">
        <v>5</v>
      </c>
      <c r="H1595" t="n">
        <v>287</v>
      </c>
      <c r="J1595" t="inlineStr">
        <is>
          <t>Pollença</t>
        </is>
      </c>
      <c r="K1595" t="n">
        <v>60.6</v>
      </c>
      <c r="L1595" t="n">
        <v>47</v>
      </c>
      <c r="M1595" t="n">
        <v>78.7</v>
      </c>
      <c r="N1595" t="n">
        <v>74</v>
      </c>
      <c r="O1595" t="n">
        <v>83.2</v>
      </c>
      <c r="P1595" t="n">
        <v>63</v>
      </c>
      <c r="Q1595" t="n">
        <v>76.40000000000001</v>
      </c>
      <c r="R1595" t="n">
        <v>70</v>
      </c>
      <c r="S1595" t="n">
        <v>2650000</v>
      </c>
      <c r="T1595" t="n">
        <v>9233</v>
      </c>
      <c r="AH1595" t="inlineStr">
        <is>
          <t>Quelle: Idealista</t>
        </is>
      </c>
    </row>
    <row r="1596">
      <c r="A1596" t="n">
        <v>1409</v>
      </c>
      <c r="B1596" t="inlineStr">
        <is>
          <t>Chalet</t>
        </is>
      </c>
      <c r="C1596" t="inlineStr">
        <is>
          <t>https://www.idealista.com/inmueble/90928165/</t>
        </is>
      </c>
      <c r="E1596" t="n">
        <v>5</v>
      </c>
      <c r="H1596" t="n">
        <v>800</v>
      </c>
      <c r="J1596" t="inlineStr">
        <is>
          <t>Port de Pollença, Pollença</t>
        </is>
      </c>
      <c r="K1596" t="n">
        <v>66.90000000000001</v>
      </c>
      <c r="L1596" t="n">
        <v>52</v>
      </c>
      <c r="M1596" t="n">
        <v>85</v>
      </c>
      <c r="N1596" t="n">
        <v>78</v>
      </c>
      <c r="O1596" t="n">
        <v>89.5</v>
      </c>
      <c r="P1596" t="n">
        <v>68</v>
      </c>
      <c r="Q1596" t="n">
        <v>82.7</v>
      </c>
      <c r="R1596" t="n">
        <v>75</v>
      </c>
      <c r="S1596" t="n">
        <v>3500000</v>
      </c>
      <c r="T1596" t="n">
        <v>4375</v>
      </c>
      <c r="AH1596" t="inlineStr">
        <is>
          <t>Quelle: Idealista</t>
        </is>
      </c>
    </row>
    <row r="1597">
      <c r="A1597" t="n">
        <v>1410</v>
      </c>
      <c r="B1597" t="inlineStr">
        <is>
          <t>Finca rústica</t>
        </is>
      </c>
      <c r="C1597" t="inlineStr">
        <is>
          <t>https://www.idealista.com/inmueble/110087919/</t>
        </is>
      </c>
      <c r="E1597" t="n">
        <v>6</v>
      </c>
      <c r="H1597" t="n">
        <v>450</v>
      </c>
      <c r="J1597" t="inlineStr">
        <is>
          <t>Pollença</t>
        </is>
      </c>
      <c r="K1597" t="n">
        <v>60.6</v>
      </c>
      <c r="L1597" t="n">
        <v>47</v>
      </c>
      <c r="M1597" t="n">
        <v>78.7</v>
      </c>
      <c r="N1597" t="n">
        <v>74</v>
      </c>
      <c r="O1597" t="n">
        <v>83.2</v>
      </c>
      <c r="P1597" t="n">
        <v>63</v>
      </c>
      <c r="Q1597" t="n">
        <v>76.40000000000001</v>
      </c>
      <c r="R1597" t="n">
        <v>70</v>
      </c>
      <c r="S1597" t="n">
        <v>2995000</v>
      </c>
      <c r="T1597" t="n">
        <v>6656</v>
      </c>
      <c r="AH1597" t="inlineStr">
        <is>
          <t>Quelle: Idealista</t>
        </is>
      </c>
    </row>
    <row r="1598">
      <c r="A1598" t="n">
        <v>1411</v>
      </c>
      <c r="B1598" t="inlineStr">
        <is>
          <t>Finca rústica</t>
        </is>
      </c>
      <c r="C1598" t="inlineStr">
        <is>
          <t>https://www.idealista.com/inmueble/110084661/</t>
        </is>
      </c>
      <c r="E1598" t="n">
        <v>5</v>
      </c>
      <c r="H1598" t="n">
        <v>444</v>
      </c>
      <c r="J1598" t="inlineStr">
        <is>
          <t>Pollença</t>
        </is>
      </c>
      <c r="K1598" t="n">
        <v>60.6</v>
      </c>
      <c r="L1598" t="n">
        <v>47</v>
      </c>
      <c r="M1598" t="n">
        <v>78.7</v>
      </c>
      <c r="N1598" t="n">
        <v>74</v>
      </c>
      <c r="O1598" t="n">
        <v>83.2</v>
      </c>
      <c r="P1598" t="n">
        <v>63</v>
      </c>
      <c r="Q1598" t="n">
        <v>76.40000000000001</v>
      </c>
      <c r="R1598" t="n">
        <v>70</v>
      </c>
      <c r="S1598" t="n">
        <v>2995000</v>
      </c>
      <c r="T1598" t="n">
        <v>6745</v>
      </c>
      <c r="AH1598" t="inlineStr">
        <is>
          <t>Quelle: Idealista</t>
        </is>
      </c>
    </row>
    <row r="1599">
      <c r="A1599" t="n">
        <v>1412</v>
      </c>
      <c r="B1599" t="inlineStr">
        <is>
          <t>Casa rural</t>
        </is>
      </c>
      <c r="C1599" t="inlineStr">
        <is>
          <t>https://www.idealista.com/inmueble/110067453/</t>
        </is>
      </c>
      <c r="E1599" t="n">
        <v>5</v>
      </c>
      <c r="H1599" t="n">
        <v>450</v>
      </c>
      <c r="J1599" t="inlineStr">
        <is>
          <t>Pollença</t>
        </is>
      </c>
      <c r="K1599" t="n">
        <v>60.6</v>
      </c>
      <c r="L1599" t="n">
        <v>47</v>
      </c>
      <c r="M1599" t="n">
        <v>78.7</v>
      </c>
      <c r="N1599" t="n">
        <v>74</v>
      </c>
      <c r="O1599" t="n">
        <v>83.2</v>
      </c>
      <c r="P1599" t="n">
        <v>63</v>
      </c>
      <c r="Q1599" t="n">
        <v>76.40000000000001</v>
      </c>
      <c r="R1599" t="n">
        <v>70</v>
      </c>
      <c r="S1599" t="n">
        <v>2995000</v>
      </c>
      <c r="T1599" t="n">
        <v>6656</v>
      </c>
      <c r="AH1599" t="inlineStr">
        <is>
          <t>Quelle: Idealista</t>
        </is>
      </c>
    </row>
    <row r="1600">
      <c r="A1600" t="n">
        <v>1413</v>
      </c>
      <c r="B1600" t="inlineStr">
        <is>
          <t>Casa independiente</t>
        </is>
      </c>
      <c r="C1600" t="inlineStr">
        <is>
          <t>https://www.idealista.com/inmueble/81635638/</t>
        </is>
      </c>
      <c r="E1600" t="n">
        <v>5</v>
      </c>
      <c r="H1600" t="n">
        <v>783</v>
      </c>
      <c r="J1600" t="inlineStr">
        <is>
          <t>Port de Pollença, Pollença</t>
        </is>
      </c>
      <c r="K1600" t="n">
        <v>66.90000000000001</v>
      </c>
      <c r="L1600" t="n">
        <v>52</v>
      </c>
      <c r="M1600" t="n">
        <v>85</v>
      </c>
      <c r="N1600" t="n">
        <v>78</v>
      </c>
      <c r="O1600" t="n">
        <v>89.5</v>
      </c>
      <c r="P1600" t="n">
        <v>68</v>
      </c>
      <c r="Q1600" t="n">
        <v>82.7</v>
      </c>
      <c r="R1600" t="n">
        <v>75</v>
      </c>
      <c r="S1600" t="n">
        <v>3500000</v>
      </c>
      <c r="T1600" t="n">
        <v>4470</v>
      </c>
      <c r="AH1600" t="inlineStr">
        <is>
          <t>Quelle: Idealista</t>
        </is>
      </c>
    </row>
    <row r="1601">
      <c r="A1601" t="n">
        <v>1414</v>
      </c>
      <c r="B1601" t="inlineStr">
        <is>
          <t>Casa independiente</t>
        </is>
      </c>
      <c r="C1601" t="inlineStr">
        <is>
          <t>https://www.idealista.com/inmueble/102433501/</t>
        </is>
      </c>
      <c r="E1601" t="n">
        <v>6</v>
      </c>
      <c r="H1601" t="n">
        <v>588</v>
      </c>
      <c r="J1601" t="inlineStr">
        <is>
          <t>Pollença</t>
        </is>
      </c>
      <c r="K1601" t="n">
        <v>60.6</v>
      </c>
      <c r="L1601" t="n">
        <v>47</v>
      </c>
      <c r="M1601" t="n">
        <v>78.7</v>
      </c>
      <c r="N1601" t="n">
        <v>74</v>
      </c>
      <c r="O1601" t="n">
        <v>83.2</v>
      </c>
      <c r="P1601" t="n">
        <v>63</v>
      </c>
      <c r="Q1601" t="n">
        <v>76.40000000000001</v>
      </c>
      <c r="R1601" t="n">
        <v>70</v>
      </c>
      <c r="S1601" t="n">
        <v>3950000</v>
      </c>
      <c r="T1601" t="n">
        <v>6718</v>
      </c>
      <c r="AH1601" t="inlineStr">
        <is>
          <t>Quelle: Idealista</t>
        </is>
      </c>
    </row>
    <row r="1602">
      <c r="A1602" t="n">
        <v>1415</v>
      </c>
      <c r="B1602" t="inlineStr">
        <is>
          <t>Finca rústica</t>
        </is>
      </c>
      <c r="C1602" t="inlineStr">
        <is>
          <t>https://www.idealista.com/inmueble/94397948/</t>
        </is>
      </c>
      <c r="E1602" t="n">
        <v>5</v>
      </c>
      <c r="H1602" t="n">
        <v>539</v>
      </c>
      <c r="J1602" t="inlineStr">
        <is>
          <t>Pollença</t>
        </is>
      </c>
      <c r="K1602" t="n">
        <v>60.6</v>
      </c>
      <c r="L1602" t="n">
        <v>47</v>
      </c>
      <c r="M1602" t="n">
        <v>78.7</v>
      </c>
      <c r="N1602" t="n">
        <v>74</v>
      </c>
      <c r="O1602" t="n">
        <v>83.2</v>
      </c>
      <c r="P1602" t="n">
        <v>63</v>
      </c>
      <c r="Q1602" t="n">
        <v>76.40000000000001</v>
      </c>
      <c r="R1602" t="n">
        <v>70</v>
      </c>
      <c r="S1602" t="n">
        <v>4950000</v>
      </c>
      <c r="T1602" t="n">
        <v>9184</v>
      </c>
      <c r="AH1602" t="inlineStr">
        <is>
          <t>Quelle: Idealista</t>
        </is>
      </c>
    </row>
    <row r="1603">
      <c r="A1603" t="n">
        <v>1416</v>
      </c>
      <c r="B1603" t="inlineStr">
        <is>
          <t>Casa independiente</t>
        </is>
      </c>
      <c r="C1603" t="inlineStr">
        <is>
          <t>https://www.idealista.com/inmueble/109923163/</t>
        </is>
      </c>
      <c r="E1603" t="n">
        <v>6</v>
      </c>
      <c r="H1603" t="n">
        <v>700</v>
      </c>
      <c r="J1603" t="inlineStr">
        <is>
          <t>Pollença</t>
        </is>
      </c>
      <c r="K1603" t="n">
        <v>60.6</v>
      </c>
      <c r="L1603" t="n">
        <v>47</v>
      </c>
      <c r="M1603" t="n">
        <v>78.7</v>
      </c>
      <c r="N1603" t="n">
        <v>74</v>
      </c>
      <c r="O1603" t="n">
        <v>83.2</v>
      </c>
      <c r="P1603" t="n">
        <v>63</v>
      </c>
      <c r="Q1603" t="n">
        <v>76.40000000000001</v>
      </c>
      <c r="R1603" t="n">
        <v>70</v>
      </c>
      <c r="S1603" t="n">
        <v>4975000</v>
      </c>
      <c r="T1603" t="n">
        <v>7107</v>
      </c>
      <c r="AH1603" t="inlineStr">
        <is>
          <t>Quelle: Idealista</t>
        </is>
      </c>
    </row>
    <row r="1604">
      <c r="A1604" t="n">
        <v>1417</v>
      </c>
      <c r="B1604" t="inlineStr">
        <is>
          <t>Casa independiente en Poligono</t>
        </is>
      </c>
      <c r="C1604" t="inlineStr">
        <is>
          <t>https://www.idealista.com/inmueble/109798991/</t>
        </is>
      </c>
      <c r="E1604" t="n">
        <v>5</v>
      </c>
      <c r="H1604" t="n">
        <v>574</v>
      </c>
      <c r="J1604" t="inlineStr">
        <is>
          <t>Pollença</t>
        </is>
      </c>
      <c r="K1604" t="n">
        <v>60.6</v>
      </c>
      <c r="L1604" t="n">
        <v>47</v>
      </c>
      <c r="M1604" t="n">
        <v>78.7</v>
      </c>
      <c r="N1604" t="n">
        <v>74</v>
      </c>
      <c r="O1604" t="n">
        <v>83.2</v>
      </c>
      <c r="P1604" t="n">
        <v>63</v>
      </c>
      <c r="Q1604" t="n">
        <v>76.40000000000001</v>
      </c>
      <c r="R1604" t="n">
        <v>70</v>
      </c>
      <c r="S1604" t="n">
        <v>5200000</v>
      </c>
      <c r="T1604" t="n">
        <v>9059</v>
      </c>
      <c r="AH1604" t="inlineStr">
        <is>
          <t>Quelle: Idealista</t>
        </is>
      </c>
    </row>
    <row r="1605">
      <c r="A1605" t="n">
        <v>1418</v>
      </c>
      <c r="B1605" t="inlineStr">
        <is>
          <t>Casa independiente</t>
        </is>
      </c>
      <c r="C1605" t="inlineStr">
        <is>
          <t>https://www.idealista.com/inmueble/109544284/</t>
        </is>
      </c>
      <c r="E1605" t="n">
        <v>5</v>
      </c>
      <c r="H1605" t="n">
        <v>643</v>
      </c>
      <c r="J1605" t="inlineStr">
        <is>
          <t>Pollença</t>
        </is>
      </c>
      <c r="K1605" t="n">
        <v>60.6</v>
      </c>
      <c r="L1605" t="n">
        <v>47</v>
      </c>
      <c r="M1605" t="n">
        <v>78.7</v>
      </c>
      <c r="N1605" t="n">
        <v>74</v>
      </c>
      <c r="O1605" t="n">
        <v>83.2</v>
      </c>
      <c r="P1605" t="n">
        <v>63</v>
      </c>
      <c r="Q1605" t="n">
        <v>76.40000000000001</v>
      </c>
      <c r="R1605" t="n">
        <v>70</v>
      </c>
      <c r="S1605" t="n">
        <v>3995000</v>
      </c>
      <c r="T1605" t="n">
        <v>6213</v>
      </c>
      <c r="AH1605" t="inlineStr">
        <is>
          <t>Quelle: Idealista</t>
        </is>
      </c>
    </row>
    <row r="1606">
      <c r="A1606" t="n">
        <v>1419</v>
      </c>
      <c r="B1606" t="inlineStr">
        <is>
          <t>Casa rural</t>
        </is>
      </c>
      <c r="C1606" t="inlineStr">
        <is>
          <t>https://www.idealista.com/inmueble/109759206/</t>
        </is>
      </c>
      <c r="E1606" t="n">
        <v>5</v>
      </c>
      <c r="H1606" t="n">
        <v>600</v>
      </c>
      <c r="J1606" t="inlineStr">
        <is>
          <t>Pollença</t>
        </is>
      </c>
      <c r="K1606" t="n">
        <v>60.6</v>
      </c>
      <c r="L1606" t="n">
        <v>47</v>
      </c>
      <c r="M1606" t="n">
        <v>78.7</v>
      </c>
      <c r="N1606" t="n">
        <v>74</v>
      </c>
      <c r="O1606" t="n">
        <v>83.2</v>
      </c>
      <c r="P1606" t="n">
        <v>63</v>
      </c>
      <c r="Q1606" t="n">
        <v>76.40000000000001</v>
      </c>
      <c r="R1606" t="n">
        <v>70</v>
      </c>
      <c r="S1606" t="n">
        <v>5500000</v>
      </c>
      <c r="T1606" t="n">
        <v>9167</v>
      </c>
      <c r="AH1606" t="inlineStr">
        <is>
          <t>Quelle: Idealista</t>
        </is>
      </c>
    </row>
    <row r="1607">
      <c r="A1607" t="n">
        <v>1420</v>
      </c>
      <c r="B1607" t="inlineStr">
        <is>
          <t>Casa independiente en Diseminado Poligono 4</t>
        </is>
      </c>
      <c r="C1607" t="inlineStr">
        <is>
          <t>https://www.idealista.com/inmueble/109750308/</t>
        </is>
      </c>
      <c r="E1607" t="n">
        <v>5</v>
      </c>
      <c r="H1607" t="n">
        <v>450</v>
      </c>
      <c r="J1607" t="inlineStr">
        <is>
          <t>Pollença</t>
        </is>
      </c>
      <c r="K1607" t="n">
        <v>60.6</v>
      </c>
      <c r="L1607" t="n">
        <v>47</v>
      </c>
      <c r="M1607" t="n">
        <v>78.7</v>
      </c>
      <c r="N1607" t="n">
        <v>74</v>
      </c>
      <c r="O1607" t="n">
        <v>83.2</v>
      </c>
      <c r="P1607" t="n">
        <v>63</v>
      </c>
      <c r="Q1607" t="n">
        <v>76.40000000000001</v>
      </c>
      <c r="R1607" t="n">
        <v>70</v>
      </c>
      <c r="S1607" t="n">
        <v>2995000</v>
      </c>
      <c r="T1607" t="n">
        <v>6656</v>
      </c>
      <c r="AH1607" t="inlineStr">
        <is>
          <t>Quelle: Idealista</t>
        </is>
      </c>
    </row>
    <row r="1608">
      <c r="A1608" t="n">
        <v>1421</v>
      </c>
      <c r="B1608" t="inlineStr">
        <is>
          <t>Casa independiente</t>
        </is>
      </c>
      <c r="C1608" t="inlineStr">
        <is>
          <t>https://www.idealista.com/inmueble/109738289/</t>
        </is>
      </c>
      <c r="E1608" t="n">
        <v>5</v>
      </c>
      <c r="H1608" t="n">
        <v>511</v>
      </c>
      <c r="J1608" t="inlineStr">
        <is>
          <t>Pollença</t>
        </is>
      </c>
      <c r="K1608" t="n">
        <v>60.6</v>
      </c>
      <c r="L1608" t="n">
        <v>47</v>
      </c>
      <c r="M1608" t="n">
        <v>78.7</v>
      </c>
      <c r="N1608" t="n">
        <v>74</v>
      </c>
      <c r="O1608" t="n">
        <v>83.2</v>
      </c>
      <c r="P1608" t="n">
        <v>63</v>
      </c>
      <c r="Q1608" t="n">
        <v>76.40000000000001</v>
      </c>
      <c r="R1608" t="n">
        <v>70</v>
      </c>
      <c r="S1608" t="n">
        <v>4500000</v>
      </c>
      <c r="T1608" t="n">
        <v>8806</v>
      </c>
      <c r="AH1608" t="inlineStr">
        <is>
          <t>Quelle: Idealista</t>
        </is>
      </c>
    </row>
    <row r="1609">
      <c r="A1609" t="n">
        <v>1422</v>
      </c>
      <c r="B1609" t="inlineStr">
        <is>
          <t>Finca rústica</t>
        </is>
      </c>
      <c r="C1609" t="inlineStr">
        <is>
          <t>https://www.idealista.com/inmueble/100239624/</t>
        </is>
      </c>
      <c r="E1609" t="n">
        <v>5</v>
      </c>
      <c r="H1609" t="n">
        <v>540</v>
      </c>
      <c r="J1609" t="inlineStr">
        <is>
          <t>Pollença</t>
        </is>
      </c>
      <c r="K1609" t="n">
        <v>60.6</v>
      </c>
      <c r="L1609" t="n">
        <v>47</v>
      </c>
      <c r="M1609" t="n">
        <v>78.7</v>
      </c>
      <c r="N1609" t="n">
        <v>74</v>
      </c>
      <c r="O1609" t="n">
        <v>83.2</v>
      </c>
      <c r="P1609" t="n">
        <v>63</v>
      </c>
      <c r="Q1609" t="n">
        <v>76.40000000000001</v>
      </c>
      <c r="R1609" t="n">
        <v>70</v>
      </c>
      <c r="S1609" t="n">
        <v>5000000</v>
      </c>
      <c r="T1609" t="n">
        <v>9259</v>
      </c>
      <c r="AH1609" t="inlineStr">
        <is>
          <t>Quelle: Idealista</t>
        </is>
      </c>
    </row>
    <row r="1610">
      <c r="A1610" t="n">
        <v>1423</v>
      </c>
      <c r="B1610" t="inlineStr">
        <is>
          <t>Casa independiente</t>
        </is>
      </c>
      <c r="C1610" t="inlineStr">
        <is>
          <t>https://www.idealista.com/inmueble/109528146/</t>
        </is>
      </c>
      <c r="E1610" t="n">
        <v>6</v>
      </c>
      <c r="H1610" t="n">
        <v>850</v>
      </c>
      <c r="J1610" t="inlineStr">
        <is>
          <t>Pollença</t>
        </is>
      </c>
      <c r="K1610" t="n">
        <v>60.6</v>
      </c>
      <c r="L1610" t="n">
        <v>47</v>
      </c>
      <c r="M1610" t="n">
        <v>78.7</v>
      </c>
      <c r="N1610" t="n">
        <v>74</v>
      </c>
      <c r="O1610" t="n">
        <v>83.2</v>
      </c>
      <c r="P1610" t="n">
        <v>63</v>
      </c>
      <c r="Q1610" t="n">
        <v>76.40000000000001</v>
      </c>
      <c r="R1610" t="n">
        <v>70</v>
      </c>
      <c r="S1610" t="n">
        <v>3500000</v>
      </c>
      <c r="T1610" t="n">
        <v>4118</v>
      </c>
      <c r="AH1610" t="inlineStr">
        <is>
          <t>Quelle: Idealista</t>
        </is>
      </c>
    </row>
    <row r="1611">
      <c r="A1611" t="n">
        <v>1424</v>
      </c>
      <c r="B1611" t="inlineStr">
        <is>
          <t>Casa rural</t>
        </is>
      </c>
      <c r="C1611" t="inlineStr">
        <is>
          <t>https://www.idealista.com/inmueble/109423203/</t>
        </is>
      </c>
      <c r="E1611" t="n">
        <v>5</v>
      </c>
      <c r="H1611" t="n">
        <v>600</v>
      </c>
      <c r="J1611" t="inlineStr">
        <is>
          <t>Pollença</t>
        </is>
      </c>
      <c r="K1611" t="n">
        <v>60.6</v>
      </c>
      <c r="L1611" t="n">
        <v>47</v>
      </c>
      <c r="M1611" t="n">
        <v>78.7</v>
      </c>
      <c r="N1611" t="n">
        <v>74</v>
      </c>
      <c r="O1611" t="n">
        <v>83.2</v>
      </c>
      <c r="P1611" t="n">
        <v>63</v>
      </c>
      <c r="Q1611" t="n">
        <v>76.40000000000001</v>
      </c>
      <c r="R1611" t="n">
        <v>70</v>
      </c>
      <c r="S1611" t="n">
        <v>5500000</v>
      </c>
      <c r="T1611" t="n">
        <v>9167</v>
      </c>
      <c r="AH1611" t="inlineStr">
        <is>
          <t>Quelle: Idealista</t>
        </is>
      </c>
    </row>
    <row r="1612">
      <c r="A1612" t="n">
        <v>1425</v>
      </c>
      <c r="B1612" t="inlineStr">
        <is>
          <t>Chalet</t>
        </is>
      </c>
      <c r="C1612" t="inlineStr">
        <is>
          <t>https://www.idealista.com/inmueble/109409219/</t>
        </is>
      </c>
      <c r="E1612" t="n">
        <v>6</v>
      </c>
      <c r="H1612" t="n">
        <v>429</v>
      </c>
      <c r="J1612" t="inlineStr">
        <is>
          <t>Pollença</t>
        </is>
      </c>
      <c r="K1612" t="n">
        <v>60.6</v>
      </c>
      <c r="L1612" t="n">
        <v>47</v>
      </c>
      <c r="M1612" t="n">
        <v>78.7</v>
      </c>
      <c r="N1612" t="n">
        <v>74</v>
      </c>
      <c r="O1612" t="n">
        <v>83.2</v>
      </c>
      <c r="P1612" t="n">
        <v>63</v>
      </c>
      <c r="Q1612" t="n">
        <v>76.40000000000001</v>
      </c>
      <c r="R1612" t="n">
        <v>70</v>
      </c>
      <c r="S1612" t="n">
        <v>5200000</v>
      </c>
      <c r="T1612" t="n">
        <v>12121</v>
      </c>
      <c r="AH1612" t="inlineStr">
        <is>
          <t>Quelle: Idealista</t>
        </is>
      </c>
    </row>
    <row r="1613">
      <c r="A1613" t="n">
        <v>1426</v>
      </c>
      <c r="B1613" t="inlineStr">
        <is>
          <t>Casa independiente</t>
        </is>
      </c>
      <c r="C1613" t="inlineStr">
        <is>
          <t>https://www.idealista.com/inmueble/109339913/</t>
        </is>
      </c>
      <c r="E1613" t="n">
        <v>5</v>
      </c>
      <c r="H1613" t="n">
        <v>800</v>
      </c>
      <c r="J1613" t="inlineStr">
        <is>
          <t>Pollença</t>
        </is>
      </c>
      <c r="K1613" t="n">
        <v>60.6</v>
      </c>
      <c r="L1613" t="n">
        <v>47</v>
      </c>
      <c r="M1613" t="n">
        <v>78.7</v>
      </c>
      <c r="N1613" t="n">
        <v>74</v>
      </c>
      <c r="O1613" t="n">
        <v>83.2</v>
      </c>
      <c r="P1613" t="n">
        <v>63</v>
      </c>
      <c r="Q1613" t="n">
        <v>76.40000000000001</v>
      </c>
      <c r="R1613" t="n">
        <v>70</v>
      </c>
      <c r="S1613" t="n">
        <v>4950000</v>
      </c>
      <c r="T1613" t="n">
        <v>6188</v>
      </c>
      <c r="AH1613" t="inlineStr">
        <is>
          <t>Quelle: Idealista</t>
        </is>
      </c>
    </row>
    <row r="1614">
      <c r="A1614" t="n">
        <v>1427</v>
      </c>
      <c r="B1614" t="inlineStr">
        <is>
          <t>Chalet</t>
        </is>
      </c>
      <c r="C1614" t="inlineStr">
        <is>
          <t>https://www.idealista.com/inmueble/109279609/</t>
        </is>
      </c>
      <c r="E1614" t="n">
        <v>6</v>
      </c>
      <c r="H1614" t="n">
        <v>441</v>
      </c>
      <c r="J1614" t="inlineStr">
        <is>
          <t>Port de Pollença, Pollença</t>
        </is>
      </c>
      <c r="K1614" t="n">
        <v>66.90000000000001</v>
      </c>
      <c r="L1614" t="n">
        <v>52</v>
      </c>
      <c r="M1614" t="n">
        <v>85</v>
      </c>
      <c r="N1614" t="n">
        <v>78</v>
      </c>
      <c r="O1614" t="n">
        <v>89.5</v>
      </c>
      <c r="P1614" t="n">
        <v>68</v>
      </c>
      <c r="Q1614" t="n">
        <v>82.7</v>
      </c>
      <c r="R1614" t="n">
        <v>75</v>
      </c>
      <c r="S1614" t="n">
        <v>2800000</v>
      </c>
      <c r="T1614" t="n">
        <v>6349</v>
      </c>
      <c r="AH1614" t="inlineStr">
        <is>
          <t>Quelle: Idealista</t>
        </is>
      </c>
    </row>
    <row r="1615">
      <c r="A1615" t="n">
        <v>1428</v>
      </c>
      <c r="B1615" t="inlineStr">
        <is>
          <t>Casa independiente en calle vilar</t>
        </is>
      </c>
      <c r="C1615" t="inlineStr">
        <is>
          <t>https://www.idealista.com/inmueble/109167645/</t>
        </is>
      </c>
      <c r="E1615" t="n">
        <v>5</v>
      </c>
      <c r="H1615" t="n">
        <v>330</v>
      </c>
      <c r="J1615" t="inlineStr">
        <is>
          <t>Port de Pollença, Pollença</t>
        </is>
      </c>
      <c r="K1615" t="n">
        <v>66.90000000000001</v>
      </c>
      <c r="L1615" t="n">
        <v>52</v>
      </c>
      <c r="M1615" t="n">
        <v>85</v>
      </c>
      <c r="N1615" t="n">
        <v>78</v>
      </c>
      <c r="O1615" t="n">
        <v>89.5</v>
      </c>
      <c r="P1615" t="n">
        <v>68</v>
      </c>
      <c r="Q1615" t="n">
        <v>82.7</v>
      </c>
      <c r="R1615" t="n">
        <v>75</v>
      </c>
      <c r="S1615" t="n">
        <v>3500000</v>
      </c>
      <c r="T1615" t="n">
        <v>10606</v>
      </c>
      <c r="AH1615" t="inlineStr">
        <is>
          <t>Quelle: Idealista</t>
        </is>
      </c>
    </row>
    <row r="1616">
      <c r="A1616" t="n">
        <v>1429</v>
      </c>
      <c r="B1616" t="inlineStr">
        <is>
          <t>Casa independiente</t>
        </is>
      </c>
      <c r="C1616" t="inlineStr">
        <is>
          <t>https://www.idealista.com/inmueble/109157036/</t>
        </is>
      </c>
      <c r="E1616" t="n">
        <v>5</v>
      </c>
      <c r="H1616" t="n">
        <v>500</v>
      </c>
      <c r="J1616" t="inlineStr">
        <is>
          <t>Pollença</t>
        </is>
      </c>
      <c r="K1616" t="n">
        <v>60.6</v>
      </c>
      <c r="L1616" t="n">
        <v>47</v>
      </c>
      <c r="M1616" t="n">
        <v>78.7</v>
      </c>
      <c r="N1616" t="n">
        <v>74</v>
      </c>
      <c r="O1616" t="n">
        <v>83.2</v>
      </c>
      <c r="P1616" t="n">
        <v>63</v>
      </c>
      <c r="Q1616" t="n">
        <v>76.40000000000001</v>
      </c>
      <c r="R1616" t="n">
        <v>70</v>
      </c>
      <c r="S1616" t="n">
        <v>5500000</v>
      </c>
      <c r="T1616" t="n">
        <v>11000</v>
      </c>
      <c r="AH1616" t="inlineStr">
        <is>
          <t>Quelle: Idealista</t>
        </is>
      </c>
    </row>
    <row r="1617">
      <c r="A1617" t="n">
        <v>1430</v>
      </c>
      <c r="B1617" t="inlineStr">
        <is>
          <t>Casa independiente</t>
        </is>
      </c>
      <c r="C1617" t="inlineStr">
        <is>
          <t>https://www.idealista.com/inmueble/102741090/</t>
        </is>
      </c>
      <c r="E1617" t="n">
        <v>5</v>
      </c>
      <c r="H1617" t="n">
        <v>434</v>
      </c>
      <c r="J1617" t="inlineStr">
        <is>
          <t>Pollença</t>
        </is>
      </c>
      <c r="K1617" t="n">
        <v>60.6</v>
      </c>
      <c r="L1617" t="n">
        <v>47</v>
      </c>
      <c r="M1617" t="n">
        <v>78.7</v>
      </c>
      <c r="N1617" t="n">
        <v>74</v>
      </c>
      <c r="O1617" t="n">
        <v>83.2</v>
      </c>
      <c r="P1617" t="n">
        <v>63</v>
      </c>
      <c r="Q1617" t="n">
        <v>76.40000000000001</v>
      </c>
      <c r="R1617" t="n">
        <v>70</v>
      </c>
      <c r="S1617" t="n">
        <v>3700000</v>
      </c>
      <c r="T1617" t="n">
        <v>8525</v>
      </c>
      <c r="AH1617" t="inlineStr">
        <is>
          <t>Quelle: Idealista</t>
        </is>
      </c>
    </row>
    <row r="1618">
      <c r="A1618" t="n">
        <v>1431</v>
      </c>
      <c r="B1618" t="inlineStr">
        <is>
          <t>Finca rústica</t>
        </is>
      </c>
      <c r="C1618" t="inlineStr">
        <is>
          <t>https://www.idealista.com/inmueble/109106564/</t>
        </is>
      </c>
      <c r="E1618" t="n">
        <v>6</v>
      </c>
      <c r="H1618" t="n">
        <v>1090</v>
      </c>
      <c r="J1618" t="inlineStr">
        <is>
          <t>Port de Pollença, Pollença</t>
        </is>
      </c>
      <c r="K1618" t="n">
        <v>66.90000000000001</v>
      </c>
      <c r="L1618" t="n">
        <v>52</v>
      </c>
      <c r="M1618" t="n">
        <v>85</v>
      </c>
      <c r="N1618" t="n">
        <v>78</v>
      </c>
      <c r="O1618" t="n">
        <v>89.5</v>
      </c>
      <c r="P1618" t="n">
        <v>68</v>
      </c>
      <c r="Q1618" t="n">
        <v>82.7</v>
      </c>
      <c r="R1618" t="n">
        <v>75</v>
      </c>
      <c r="S1618" t="n">
        <v>3500000</v>
      </c>
      <c r="T1618" t="n">
        <v>3211</v>
      </c>
      <c r="AH1618" t="inlineStr">
        <is>
          <t>Quelle: Idealista</t>
        </is>
      </c>
    </row>
    <row r="1619">
      <c r="A1619" t="n">
        <v>1432</v>
      </c>
      <c r="B1619" t="inlineStr">
        <is>
          <t>Casa independiente</t>
        </is>
      </c>
      <c r="C1619" t="inlineStr">
        <is>
          <t>https://www.idealista.com/inmueble/108806704/</t>
        </is>
      </c>
      <c r="E1619" t="n">
        <v>5</v>
      </c>
      <c r="H1619" t="n">
        <v>434</v>
      </c>
      <c r="J1619" t="inlineStr">
        <is>
          <t>Pollença</t>
        </is>
      </c>
      <c r="K1619" t="n">
        <v>60.6</v>
      </c>
      <c r="L1619" t="n">
        <v>47</v>
      </c>
      <c r="M1619" t="n">
        <v>78.7</v>
      </c>
      <c r="N1619" t="n">
        <v>74</v>
      </c>
      <c r="O1619" t="n">
        <v>83.2</v>
      </c>
      <c r="P1619" t="n">
        <v>63</v>
      </c>
      <c r="Q1619" t="n">
        <v>76.40000000000001</v>
      </c>
      <c r="R1619" t="n">
        <v>70</v>
      </c>
      <c r="S1619" t="n">
        <v>3700000</v>
      </c>
      <c r="T1619" t="n">
        <v>8525</v>
      </c>
      <c r="AH1619" t="inlineStr">
        <is>
          <t>Quelle: Idealista</t>
        </is>
      </c>
    </row>
    <row r="1620">
      <c r="A1620" t="n">
        <v>1433</v>
      </c>
      <c r="B1620" t="inlineStr">
        <is>
          <t>Finca rústica</t>
        </is>
      </c>
      <c r="C1620" t="inlineStr">
        <is>
          <t>https://www.idealista.com/inmueble/108809763/</t>
        </is>
      </c>
      <c r="E1620" t="n">
        <v>8</v>
      </c>
      <c r="H1620" t="n">
        <v>750</v>
      </c>
      <c r="J1620" t="inlineStr">
        <is>
          <t>Port de Pollença, Pollença</t>
        </is>
      </c>
      <c r="K1620" t="n">
        <v>66.90000000000001</v>
      </c>
      <c r="L1620" t="n">
        <v>52</v>
      </c>
      <c r="M1620" t="n">
        <v>85</v>
      </c>
      <c r="N1620" t="n">
        <v>78</v>
      </c>
      <c r="O1620" t="n">
        <v>89.5</v>
      </c>
      <c r="P1620" t="n">
        <v>68</v>
      </c>
      <c r="Q1620" t="n">
        <v>82.7</v>
      </c>
      <c r="R1620" t="n">
        <v>75</v>
      </c>
      <c r="S1620" t="n">
        <v>6300000</v>
      </c>
      <c r="T1620" t="n">
        <v>8400</v>
      </c>
      <c r="AH1620" t="inlineStr">
        <is>
          <t>Quelle: Idealista</t>
        </is>
      </c>
    </row>
    <row r="1621">
      <c r="A1621" t="n">
        <v>1434</v>
      </c>
      <c r="B1621" t="inlineStr">
        <is>
          <t>Casa independiente</t>
        </is>
      </c>
      <c r="C1621" t="inlineStr">
        <is>
          <t>https://www.idealista.com/inmueble/108806705/</t>
        </is>
      </c>
      <c r="E1621" t="n">
        <v>5</v>
      </c>
      <c r="H1621" t="n">
        <v>413</v>
      </c>
      <c r="J1621" t="inlineStr">
        <is>
          <t>Port de Pollença, Pollença</t>
        </is>
      </c>
      <c r="K1621" t="n">
        <v>66.90000000000001</v>
      </c>
      <c r="L1621" t="n">
        <v>52</v>
      </c>
      <c r="M1621" t="n">
        <v>85</v>
      </c>
      <c r="N1621" t="n">
        <v>78</v>
      </c>
      <c r="O1621" t="n">
        <v>89.5</v>
      </c>
      <c r="P1621" t="n">
        <v>68</v>
      </c>
      <c r="Q1621" t="n">
        <v>82.7</v>
      </c>
      <c r="R1621" t="n">
        <v>75</v>
      </c>
      <c r="S1621" t="n">
        <v>3800000</v>
      </c>
      <c r="T1621" t="n">
        <v>9201</v>
      </c>
      <c r="AH1621" t="inlineStr">
        <is>
          <t>Quelle: Idealista</t>
        </is>
      </c>
    </row>
    <row r="1622">
      <c r="A1622" t="n">
        <v>1435</v>
      </c>
      <c r="B1622" t="inlineStr">
        <is>
          <t>Finca rústica</t>
        </is>
      </c>
      <c r="C1622" t="inlineStr">
        <is>
          <t>https://www.idealista.com/inmueble/108806969/</t>
        </is>
      </c>
      <c r="E1622" t="n">
        <v>7</v>
      </c>
      <c r="H1622" t="n">
        <v>500</v>
      </c>
      <c r="J1622" t="inlineStr">
        <is>
          <t>Port de Pollença, Pollença</t>
        </is>
      </c>
      <c r="K1622" t="n">
        <v>66.90000000000001</v>
      </c>
      <c r="L1622" t="n">
        <v>52</v>
      </c>
      <c r="M1622" t="n">
        <v>85</v>
      </c>
      <c r="N1622" t="n">
        <v>78</v>
      </c>
      <c r="O1622" t="n">
        <v>89.5</v>
      </c>
      <c r="P1622" t="n">
        <v>68</v>
      </c>
      <c r="Q1622" t="n">
        <v>82.7</v>
      </c>
      <c r="R1622" t="n">
        <v>75</v>
      </c>
      <c r="S1622" t="n">
        <v>3500000</v>
      </c>
      <c r="T1622" t="n">
        <v>7000</v>
      </c>
      <c r="AH1622" t="inlineStr">
        <is>
          <t>Quelle: Idealista</t>
        </is>
      </c>
    </row>
    <row r="1623">
      <c r="A1623" t="n">
        <v>1436</v>
      </c>
      <c r="B1623" t="inlineStr">
        <is>
          <t>Finca rústica</t>
        </is>
      </c>
      <c r="C1623" t="inlineStr">
        <is>
          <t>https://www.idealista.com/inmueble/108801478/</t>
        </is>
      </c>
      <c r="E1623" t="n">
        <v>8</v>
      </c>
      <c r="H1623" t="n">
        <v>800</v>
      </c>
      <c r="J1623" t="inlineStr">
        <is>
          <t>Pollença</t>
        </is>
      </c>
      <c r="K1623" t="n">
        <v>60.6</v>
      </c>
      <c r="L1623" t="n">
        <v>47</v>
      </c>
      <c r="M1623" t="n">
        <v>78.7</v>
      </c>
      <c r="N1623" t="n">
        <v>74</v>
      </c>
      <c r="O1623" t="n">
        <v>83.2</v>
      </c>
      <c r="P1623" t="n">
        <v>63</v>
      </c>
      <c r="Q1623" t="n">
        <v>76.40000000000001</v>
      </c>
      <c r="R1623" t="n">
        <v>70</v>
      </c>
      <c r="S1623" t="n">
        <v>5500000</v>
      </c>
      <c r="T1623" t="n">
        <v>6875</v>
      </c>
      <c r="AH1623" t="inlineStr">
        <is>
          <t>Quelle: Idealista</t>
        </is>
      </c>
    </row>
    <row r="1624">
      <c r="A1624" t="n">
        <v>1437</v>
      </c>
      <c r="B1624" t="inlineStr">
        <is>
          <t>Finca rústica</t>
        </is>
      </c>
      <c r="C1624" t="inlineStr">
        <is>
          <t>https://www.idealista.com/inmueble/108802825/</t>
        </is>
      </c>
      <c r="E1624" t="n">
        <v>5</v>
      </c>
      <c r="H1624" t="n">
        <v>540</v>
      </c>
      <c r="J1624" t="inlineStr">
        <is>
          <t>Pollença</t>
        </is>
      </c>
      <c r="K1624" t="n">
        <v>60.6</v>
      </c>
      <c r="L1624" t="n">
        <v>47</v>
      </c>
      <c r="M1624" t="n">
        <v>78.7</v>
      </c>
      <c r="N1624" t="n">
        <v>74</v>
      </c>
      <c r="O1624" t="n">
        <v>83.2</v>
      </c>
      <c r="P1624" t="n">
        <v>63</v>
      </c>
      <c r="Q1624" t="n">
        <v>76.40000000000001</v>
      </c>
      <c r="R1624" t="n">
        <v>70</v>
      </c>
      <c r="S1624" t="n">
        <v>5000000</v>
      </c>
      <c r="T1624" t="n">
        <v>9259</v>
      </c>
      <c r="AH1624" t="inlineStr">
        <is>
          <t>Quelle: Idealista</t>
        </is>
      </c>
    </row>
    <row r="1625">
      <c r="A1625" t="n">
        <v>1438</v>
      </c>
      <c r="B1625" t="inlineStr">
        <is>
          <t>Casa independiente</t>
        </is>
      </c>
      <c r="C1625" t="inlineStr">
        <is>
          <t>https://www.idealista.com/inmueble/109044402/</t>
        </is>
      </c>
      <c r="E1625" t="n">
        <v>5</v>
      </c>
      <c r="H1625" t="n">
        <v>800</v>
      </c>
      <c r="J1625" t="inlineStr">
        <is>
          <t>Pollença</t>
        </is>
      </c>
      <c r="K1625" t="n">
        <v>60.6</v>
      </c>
      <c r="L1625" t="n">
        <v>47</v>
      </c>
      <c r="M1625" t="n">
        <v>78.7</v>
      </c>
      <c r="N1625" t="n">
        <v>74</v>
      </c>
      <c r="O1625" t="n">
        <v>83.2</v>
      </c>
      <c r="P1625" t="n">
        <v>63</v>
      </c>
      <c r="Q1625" t="n">
        <v>76.40000000000001</v>
      </c>
      <c r="R1625" t="n">
        <v>70</v>
      </c>
      <c r="S1625" t="n">
        <v>4950000</v>
      </c>
      <c r="T1625" t="n">
        <v>6188</v>
      </c>
      <c r="AH1625" t="inlineStr">
        <is>
          <t>Quelle: Idealista</t>
        </is>
      </c>
    </row>
    <row r="1626">
      <c r="A1626" t="n">
        <v>1439</v>
      </c>
      <c r="B1626" t="inlineStr">
        <is>
          <t>Finca rústica</t>
        </is>
      </c>
      <c r="C1626" t="inlineStr">
        <is>
          <t>https://www.idealista.com/inmueble/103702728/</t>
        </is>
      </c>
      <c r="E1626" t="n">
        <v>6</v>
      </c>
      <c r="H1626" t="n">
        <v>475</v>
      </c>
      <c r="J1626" t="inlineStr">
        <is>
          <t>Pollença</t>
        </is>
      </c>
      <c r="K1626" t="n">
        <v>60.6</v>
      </c>
      <c r="L1626" t="n">
        <v>47</v>
      </c>
      <c r="M1626" t="n">
        <v>78.7</v>
      </c>
      <c r="N1626" t="n">
        <v>74</v>
      </c>
      <c r="O1626" t="n">
        <v>83.2</v>
      </c>
      <c r="P1626" t="n">
        <v>63</v>
      </c>
      <c r="Q1626" t="n">
        <v>76.40000000000001</v>
      </c>
      <c r="R1626" t="n">
        <v>70</v>
      </c>
      <c r="S1626" t="n">
        <v>2995000</v>
      </c>
      <c r="T1626" t="n">
        <v>6305</v>
      </c>
      <c r="AH1626" t="inlineStr">
        <is>
          <t>Quelle: Idealista</t>
        </is>
      </c>
    </row>
    <row r="1627">
      <c r="A1627" t="n">
        <v>1440</v>
      </c>
      <c r="B1627" t="inlineStr">
        <is>
          <t>Casa de pueblo</t>
        </is>
      </c>
      <c r="C1627" t="inlineStr">
        <is>
          <t>https://www.idealista.com/inmueble/108836018/</t>
        </is>
      </c>
      <c r="E1627" t="n">
        <v>6</v>
      </c>
      <c r="H1627" t="n">
        <v>448</v>
      </c>
      <c r="J1627" t="inlineStr">
        <is>
          <t>Pollença</t>
        </is>
      </c>
      <c r="K1627" t="n">
        <v>60.6</v>
      </c>
      <c r="L1627" t="n">
        <v>47</v>
      </c>
      <c r="M1627" t="n">
        <v>78.7</v>
      </c>
      <c r="N1627" t="n">
        <v>74</v>
      </c>
      <c r="O1627" t="n">
        <v>83.2</v>
      </c>
      <c r="P1627" t="n">
        <v>63</v>
      </c>
      <c r="Q1627" t="n">
        <v>76.40000000000001</v>
      </c>
      <c r="R1627" t="n">
        <v>70</v>
      </c>
      <c r="S1627" t="n">
        <v>3200000</v>
      </c>
      <c r="T1627" t="n">
        <v>7143</v>
      </c>
      <c r="AH1627" t="inlineStr">
        <is>
          <t>Quelle: Idealista</t>
        </is>
      </c>
    </row>
    <row r="1628">
      <c r="A1628" t="n">
        <v>1441</v>
      </c>
      <c r="B1628" t="inlineStr">
        <is>
          <t>Casa independiente en Diseminado Poligono 10</t>
        </is>
      </c>
      <c r="C1628" t="inlineStr">
        <is>
          <t>https://www.idealista.com/inmueble/108785357/</t>
        </is>
      </c>
      <c r="E1628" t="n">
        <v>5</v>
      </c>
      <c r="H1628" t="n">
        <v>368</v>
      </c>
      <c r="J1628" t="inlineStr">
        <is>
          <t>Pollença</t>
        </is>
      </c>
      <c r="K1628" t="n">
        <v>60.6</v>
      </c>
      <c r="L1628" t="n">
        <v>47</v>
      </c>
      <c r="M1628" t="n">
        <v>78.7</v>
      </c>
      <c r="N1628" t="n">
        <v>74</v>
      </c>
      <c r="O1628" t="n">
        <v>83.2</v>
      </c>
      <c r="P1628" t="n">
        <v>63</v>
      </c>
      <c r="Q1628" t="n">
        <v>76.40000000000001</v>
      </c>
      <c r="R1628" t="n">
        <v>70</v>
      </c>
      <c r="S1628" t="n">
        <v>3475000</v>
      </c>
      <c r="T1628" t="n">
        <v>9443</v>
      </c>
      <c r="AH1628" t="inlineStr">
        <is>
          <t>Quelle: Idealista</t>
        </is>
      </c>
    </row>
    <row r="1629">
      <c r="A1629" t="n">
        <v>1442</v>
      </c>
      <c r="B1629" t="inlineStr">
        <is>
          <t>Casa independiente</t>
        </is>
      </c>
      <c r="C1629" t="inlineStr">
        <is>
          <t>https://www.idealista.com/inmueble/108665903/</t>
        </is>
      </c>
      <c r="E1629" t="n">
        <v>5</v>
      </c>
      <c r="H1629" t="n">
        <v>634</v>
      </c>
      <c r="J1629" t="inlineStr">
        <is>
          <t>Pollença</t>
        </is>
      </c>
      <c r="K1629" t="n">
        <v>60.6</v>
      </c>
      <c r="L1629" t="n">
        <v>47</v>
      </c>
      <c r="M1629" t="n">
        <v>78.7</v>
      </c>
      <c r="N1629" t="n">
        <v>74</v>
      </c>
      <c r="O1629" t="n">
        <v>83.2</v>
      </c>
      <c r="P1629" t="n">
        <v>63</v>
      </c>
      <c r="Q1629" t="n">
        <v>76.40000000000001</v>
      </c>
      <c r="R1629" t="n">
        <v>70</v>
      </c>
      <c r="S1629" t="n">
        <v>3955000</v>
      </c>
      <c r="T1629" t="n">
        <v>6238</v>
      </c>
      <c r="AH1629" t="inlineStr">
        <is>
          <t>Quelle: Idealista</t>
        </is>
      </c>
    </row>
    <row r="1630">
      <c r="A1630" t="n">
        <v>1443</v>
      </c>
      <c r="B1630" t="inlineStr">
        <is>
          <t>Casa independiente</t>
        </is>
      </c>
      <c r="C1630" t="inlineStr">
        <is>
          <t>https://www.idealista.com/inmueble/108662550/</t>
        </is>
      </c>
      <c r="E1630" t="n">
        <v>5</v>
      </c>
      <c r="H1630" t="n">
        <v>390</v>
      </c>
      <c r="J1630" t="inlineStr">
        <is>
          <t>Pollença</t>
        </is>
      </c>
      <c r="K1630" t="n">
        <v>60.6</v>
      </c>
      <c r="L1630" t="n">
        <v>47</v>
      </c>
      <c r="M1630" t="n">
        <v>78.7</v>
      </c>
      <c r="N1630" t="n">
        <v>74</v>
      </c>
      <c r="O1630" t="n">
        <v>83.2</v>
      </c>
      <c r="P1630" t="n">
        <v>63</v>
      </c>
      <c r="Q1630" t="n">
        <v>76.40000000000001</v>
      </c>
      <c r="R1630" t="n">
        <v>70</v>
      </c>
      <c r="S1630" t="n">
        <v>2925000</v>
      </c>
      <c r="T1630" t="n">
        <v>7500</v>
      </c>
      <c r="AH1630" t="inlineStr">
        <is>
          <t>Quelle: Idealista</t>
        </is>
      </c>
    </row>
    <row r="1631">
      <c r="A1631" t="n">
        <v>1444</v>
      </c>
      <c r="B1631" t="inlineStr">
        <is>
          <t>Casa independiente</t>
        </is>
      </c>
      <c r="C1631" t="inlineStr">
        <is>
          <t>https://www.idealista.com/inmueble/89046354/</t>
        </is>
      </c>
      <c r="E1631" t="n">
        <v>5</v>
      </c>
      <c r="H1631" t="n">
        <v>800</v>
      </c>
      <c r="J1631" t="inlineStr">
        <is>
          <t>Pollença</t>
        </is>
      </c>
      <c r="K1631" t="n">
        <v>60.6</v>
      </c>
      <c r="L1631" t="n">
        <v>47</v>
      </c>
      <c r="M1631" t="n">
        <v>78.7</v>
      </c>
      <c r="N1631" t="n">
        <v>74</v>
      </c>
      <c r="O1631" t="n">
        <v>83.2</v>
      </c>
      <c r="P1631" t="n">
        <v>63</v>
      </c>
      <c r="Q1631" t="n">
        <v>76.40000000000001</v>
      </c>
      <c r="R1631" t="n">
        <v>70</v>
      </c>
      <c r="S1631" t="n">
        <v>4950000</v>
      </c>
      <c r="T1631" t="n">
        <v>6188</v>
      </c>
      <c r="AH1631" t="inlineStr">
        <is>
          <t>Quelle: Idealista</t>
        </is>
      </c>
    </row>
    <row r="1632">
      <c r="A1632" t="n">
        <v>1445</v>
      </c>
      <c r="B1632" t="inlineStr">
        <is>
          <t>Casa independiente en calle de la Punta dels Ferrers</t>
        </is>
      </c>
      <c r="C1632" t="inlineStr">
        <is>
          <t>https://www.idealista.com/inmueble/108557031/</t>
        </is>
      </c>
      <c r="E1632" t="n">
        <v>6</v>
      </c>
      <c r="H1632" t="n">
        <v>571</v>
      </c>
      <c r="J1632" t="inlineStr">
        <is>
          <t>Cala Sant Vicenç, Pollença</t>
        </is>
      </c>
      <c r="K1632" t="n">
        <v>66.5</v>
      </c>
      <c r="L1632" t="n">
        <v>52</v>
      </c>
      <c r="M1632" t="n">
        <v>84.59999999999999</v>
      </c>
      <c r="N1632" t="n">
        <v>79</v>
      </c>
      <c r="O1632" t="n">
        <v>89.09999999999999</v>
      </c>
      <c r="P1632" t="n">
        <v>68</v>
      </c>
      <c r="Q1632" t="n">
        <v>82.3</v>
      </c>
      <c r="R1632" t="n">
        <v>75</v>
      </c>
      <c r="S1632" t="n">
        <v>3975000</v>
      </c>
      <c r="T1632" t="n">
        <v>6961</v>
      </c>
      <c r="AH1632" t="inlineStr">
        <is>
          <t>Quelle: Idealista</t>
        </is>
      </c>
    </row>
    <row r="1633">
      <c r="A1633" t="n">
        <v>1446</v>
      </c>
      <c r="B1633" t="inlineStr">
        <is>
          <t>Chalet</t>
        </is>
      </c>
      <c r="C1633" t="inlineStr">
        <is>
          <t>https://www.idealista.com/inmueble/108507640/</t>
        </is>
      </c>
      <c r="E1633" t="n">
        <v>5</v>
      </c>
      <c r="H1633" t="n">
        <v>424</v>
      </c>
      <c r="J1633" t="inlineStr">
        <is>
          <t>Pollença</t>
        </is>
      </c>
      <c r="K1633" t="n">
        <v>60.6</v>
      </c>
      <c r="L1633" t="n">
        <v>47</v>
      </c>
      <c r="M1633" t="n">
        <v>78.7</v>
      </c>
      <c r="N1633" t="n">
        <v>74</v>
      </c>
      <c r="O1633" t="n">
        <v>83.2</v>
      </c>
      <c r="P1633" t="n">
        <v>63</v>
      </c>
      <c r="Q1633" t="n">
        <v>76.40000000000001</v>
      </c>
      <c r="R1633" t="n">
        <v>70</v>
      </c>
      <c r="S1633" t="n">
        <v>2500000</v>
      </c>
      <c r="T1633" t="n">
        <v>5896</v>
      </c>
      <c r="AH1633" t="inlineStr">
        <is>
          <t>Quelle: Idealista</t>
        </is>
      </c>
    </row>
    <row r="1634">
      <c r="A1634" t="n">
        <v>1447</v>
      </c>
      <c r="B1634" t="inlineStr">
        <is>
          <t>Casa independiente en calle de l'Oronella, 34</t>
        </is>
      </c>
      <c r="C1634" t="inlineStr">
        <is>
          <t>https://www.idealista.com/inmueble/108474842/</t>
        </is>
      </c>
      <c r="E1634" t="n">
        <v>5</v>
      </c>
      <c r="H1634" t="n">
        <v>369</v>
      </c>
      <c r="J1634" t="inlineStr">
        <is>
          <t>Port de Pollença, Pollença</t>
        </is>
      </c>
      <c r="K1634" t="n">
        <v>66.90000000000001</v>
      </c>
      <c r="L1634" t="n">
        <v>52</v>
      </c>
      <c r="M1634" t="n">
        <v>85</v>
      </c>
      <c r="N1634" t="n">
        <v>78</v>
      </c>
      <c r="O1634" t="n">
        <v>89.5</v>
      </c>
      <c r="P1634" t="n">
        <v>68</v>
      </c>
      <c r="Q1634" t="n">
        <v>82.7</v>
      </c>
      <c r="R1634" t="n">
        <v>75</v>
      </c>
      <c r="S1634" t="n">
        <v>2125000</v>
      </c>
      <c r="T1634" t="n">
        <v>5759</v>
      </c>
      <c r="AH1634" t="inlineStr">
        <is>
          <t>Quelle: Idealista</t>
        </is>
      </c>
    </row>
    <row r="1635">
      <c r="A1635" t="n">
        <v>1448</v>
      </c>
      <c r="B1635" t="inlineStr">
        <is>
          <t>Chalet</t>
        </is>
      </c>
      <c r="C1635" t="inlineStr">
        <is>
          <t>https://www.idealista.com/inmueble/108466647/</t>
        </is>
      </c>
      <c r="E1635" t="n">
        <v>6</v>
      </c>
      <c r="H1635" t="n">
        <v>700</v>
      </c>
      <c r="J1635" t="inlineStr">
        <is>
          <t>Pollença</t>
        </is>
      </c>
      <c r="K1635" t="n">
        <v>60.6</v>
      </c>
      <c r="L1635" t="n">
        <v>47</v>
      </c>
      <c r="M1635" t="n">
        <v>78.7</v>
      </c>
      <c r="N1635" t="n">
        <v>74</v>
      </c>
      <c r="O1635" t="n">
        <v>83.2</v>
      </c>
      <c r="P1635" t="n">
        <v>63</v>
      </c>
      <c r="Q1635" t="n">
        <v>76.40000000000001</v>
      </c>
      <c r="R1635" t="n">
        <v>70</v>
      </c>
      <c r="S1635" t="n">
        <v>4975000</v>
      </c>
      <c r="T1635" t="n">
        <v>7107</v>
      </c>
      <c r="AH1635" t="inlineStr">
        <is>
          <t>Quelle: Idealista</t>
        </is>
      </c>
    </row>
    <row r="1636">
      <c r="A1636" t="n">
        <v>1449</v>
      </c>
      <c r="B1636" t="inlineStr">
        <is>
          <t>Chalet</t>
        </is>
      </c>
      <c r="C1636" t="inlineStr">
        <is>
          <t>https://www.idealista.com/inmueble/108364956/</t>
        </is>
      </c>
      <c r="E1636" t="n">
        <v>5</v>
      </c>
      <c r="H1636" t="n">
        <v>588</v>
      </c>
      <c r="J1636" t="inlineStr">
        <is>
          <t>Port de Pollença, Pollença</t>
        </is>
      </c>
      <c r="K1636" t="n">
        <v>66.90000000000001</v>
      </c>
      <c r="L1636" t="n">
        <v>52</v>
      </c>
      <c r="M1636" t="n">
        <v>85</v>
      </c>
      <c r="N1636" t="n">
        <v>78</v>
      </c>
      <c r="O1636" t="n">
        <v>89.5</v>
      </c>
      <c r="P1636" t="n">
        <v>68</v>
      </c>
      <c r="Q1636" t="n">
        <v>82.7</v>
      </c>
      <c r="R1636" t="n">
        <v>75</v>
      </c>
      <c r="S1636" t="n">
        <v>3950000</v>
      </c>
      <c r="T1636" t="n">
        <v>6718</v>
      </c>
      <c r="AH1636" t="inlineStr">
        <is>
          <t>Quelle: Idealista</t>
        </is>
      </c>
    </row>
    <row r="1637">
      <c r="A1637" t="n">
        <v>1450</v>
      </c>
      <c r="B1637" t="inlineStr">
        <is>
          <t>Casa independiente</t>
        </is>
      </c>
      <c r="C1637" t="inlineStr">
        <is>
          <t>https://www.idealista.com/inmueble/108142403/</t>
        </is>
      </c>
      <c r="E1637" t="n">
        <v>10</v>
      </c>
      <c r="H1637" t="n">
        <v>458</v>
      </c>
      <c r="J1637" t="inlineStr">
        <is>
          <t>Port de Pollença, Pollença</t>
        </is>
      </c>
      <c r="K1637" t="n">
        <v>66.90000000000001</v>
      </c>
      <c r="L1637" t="n">
        <v>52</v>
      </c>
      <c r="M1637" t="n">
        <v>85</v>
      </c>
      <c r="N1637" t="n">
        <v>78</v>
      </c>
      <c r="O1637" t="n">
        <v>89.5</v>
      </c>
      <c r="P1637" t="n">
        <v>68</v>
      </c>
      <c r="Q1637" t="n">
        <v>82.7</v>
      </c>
      <c r="R1637" t="n">
        <v>75</v>
      </c>
      <c r="S1637" t="n">
        <v>2500000</v>
      </c>
      <c r="T1637" t="n">
        <v>5459</v>
      </c>
      <c r="AH1637" t="inlineStr">
        <is>
          <t>Quelle: Idealista</t>
        </is>
      </c>
    </row>
    <row r="1638">
      <c r="A1638" t="n">
        <v>1451</v>
      </c>
      <c r="B1638" t="inlineStr">
        <is>
          <t>Casa independiente</t>
        </is>
      </c>
      <c r="C1638" t="inlineStr">
        <is>
          <t>https://www.idealista.com/inmueble/103702703/</t>
        </is>
      </c>
      <c r="E1638" t="n">
        <v>6</v>
      </c>
      <c r="H1638" t="n">
        <v>850</v>
      </c>
      <c r="J1638" t="inlineStr">
        <is>
          <t>Port de Pollença, Pollença</t>
        </is>
      </c>
      <c r="K1638" t="n">
        <v>66.90000000000001</v>
      </c>
      <c r="L1638" t="n">
        <v>52</v>
      </c>
      <c r="M1638" t="n">
        <v>85</v>
      </c>
      <c r="N1638" t="n">
        <v>78</v>
      </c>
      <c r="O1638" t="n">
        <v>89.5</v>
      </c>
      <c r="P1638" t="n">
        <v>68</v>
      </c>
      <c r="Q1638" t="n">
        <v>82.7</v>
      </c>
      <c r="R1638" t="n">
        <v>75</v>
      </c>
      <c r="S1638" t="n">
        <v>3500000</v>
      </c>
      <c r="T1638" t="n">
        <v>4118</v>
      </c>
      <c r="AH1638" t="inlineStr">
        <is>
          <t>Quelle: Idealista</t>
        </is>
      </c>
    </row>
    <row r="1639">
      <c r="A1639" t="n">
        <v>1452</v>
      </c>
      <c r="B1639" t="inlineStr">
        <is>
          <t>Chalet</t>
        </is>
      </c>
      <c r="C1639" t="inlineStr">
        <is>
          <t>https://www.idealista.com/inmueble/107919919/</t>
        </is>
      </c>
      <c r="E1639" t="n">
        <v>6</v>
      </c>
      <c r="H1639" t="n">
        <v>411</v>
      </c>
      <c r="J1639" t="inlineStr">
        <is>
          <t>Cala Sant Vicenç, Pollença</t>
        </is>
      </c>
      <c r="K1639" t="n">
        <v>66.5</v>
      </c>
      <c r="L1639" t="n">
        <v>52</v>
      </c>
      <c r="M1639" t="n">
        <v>84.59999999999999</v>
      </c>
      <c r="N1639" t="n">
        <v>79</v>
      </c>
      <c r="O1639" t="n">
        <v>89.09999999999999</v>
      </c>
      <c r="P1639" t="n">
        <v>68</v>
      </c>
      <c r="Q1639" t="n">
        <v>82.3</v>
      </c>
      <c r="R1639" t="n">
        <v>75</v>
      </c>
      <c r="S1639" t="n">
        <v>3975000</v>
      </c>
      <c r="T1639" t="n">
        <v>9672</v>
      </c>
      <c r="AH1639" t="inlineStr">
        <is>
          <t>Quelle: Idealista</t>
        </is>
      </c>
    </row>
    <row r="1640">
      <c r="A1640" t="n">
        <v>1453</v>
      </c>
      <c r="B1640" t="inlineStr">
        <is>
          <t>Chalet</t>
        </is>
      </c>
      <c r="C1640" t="inlineStr">
        <is>
          <t>https://www.idealista.com/inmueble/107919901/</t>
        </is>
      </c>
      <c r="E1640" t="n">
        <v>7</v>
      </c>
      <c r="H1640" t="n">
        <v>589</v>
      </c>
      <c r="J1640" t="inlineStr">
        <is>
          <t>Port de Pollença, Pollença</t>
        </is>
      </c>
      <c r="K1640" t="n">
        <v>66.90000000000001</v>
      </c>
      <c r="L1640" t="n">
        <v>52</v>
      </c>
      <c r="M1640" t="n">
        <v>85</v>
      </c>
      <c r="N1640" t="n">
        <v>78</v>
      </c>
      <c r="O1640" t="n">
        <v>89.5</v>
      </c>
      <c r="P1640" t="n">
        <v>68</v>
      </c>
      <c r="Q1640" t="n">
        <v>82.7</v>
      </c>
      <c r="R1640" t="n">
        <v>75</v>
      </c>
      <c r="S1640" t="n">
        <v>3999995</v>
      </c>
      <c r="T1640" t="n">
        <v>6791</v>
      </c>
      <c r="AH1640" t="inlineStr">
        <is>
          <t>Quelle: Idealista</t>
        </is>
      </c>
    </row>
    <row r="1641">
      <c r="A1641" t="n">
        <v>1454</v>
      </c>
      <c r="B1641" t="inlineStr">
        <is>
          <t>Chalet</t>
        </is>
      </c>
      <c r="C1641" t="inlineStr">
        <is>
          <t>https://www.idealista.com/inmueble/107919815/</t>
        </is>
      </c>
      <c r="E1641" t="n">
        <v>5</v>
      </c>
      <c r="H1641" t="n">
        <v>413</v>
      </c>
      <c r="J1641" t="inlineStr">
        <is>
          <t>Port de Pollença, Pollença</t>
        </is>
      </c>
      <c r="K1641" t="n">
        <v>66.90000000000001</v>
      </c>
      <c r="L1641" t="n">
        <v>52</v>
      </c>
      <c r="M1641" t="n">
        <v>85</v>
      </c>
      <c r="N1641" t="n">
        <v>78</v>
      </c>
      <c r="O1641" t="n">
        <v>89.5</v>
      </c>
      <c r="P1641" t="n">
        <v>68</v>
      </c>
      <c r="Q1641" t="n">
        <v>82.7</v>
      </c>
      <c r="R1641" t="n">
        <v>75</v>
      </c>
      <c r="S1641" t="n">
        <v>3800000</v>
      </c>
      <c r="T1641" t="n">
        <v>9201</v>
      </c>
      <c r="AH1641" t="inlineStr">
        <is>
          <t>Quelle: Idealista</t>
        </is>
      </c>
    </row>
    <row r="1642">
      <c r="A1642" t="n">
        <v>1455</v>
      </c>
      <c r="B1642" t="inlineStr">
        <is>
          <t>Chalet</t>
        </is>
      </c>
      <c r="C1642" t="inlineStr">
        <is>
          <t>https://www.idealista.com/inmueble/107919811/</t>
        </is>
      </c>
      <c r="E1642" t="n">
        <v>6</v>
      </c>
      <c r="H1642" t="n">
        <v>546</v>
      </c>
      <c r="J1642" t="inlineStr">
        <is>
          <t>Pollença</t>
        </is>
      </c>
      <c r="K1642" t="n">
        <v>60.6</v>
      </c>
      <c r="L1642" t="n">
        <v>47</v>
      </c>
      <c r="M1642" t="n">
        <v>78.7</v>
      </c>
      <c r="N1642" t="n">
        <v>74</v>
      </c>
      <c r="O1642" t="n">
        <v>83.2</v>
      </c>
      <c r="P1642" t="n">
        <v>63</v>
      </c>
      <c r="Q1642" t="n">
        <v>76.40000000000001</v>
      </c>
      <c r="R1642" t="n">
        <v>70</v>
      </c>
      <c r="S1642" t="n">
        <v>4200000</v>
      </c>
      <c r="T1642" t="n">
        <v>7692</v>
      </c>
      <c r="AH1642" t="inlineStr">
        <is>
          <t>Quelle: Idealista</t>
        </is>
      </c>
    </row>
    <row r="1643">
      <c r="A1643" t="n">
        <v>1456</v>
      </c>
      <c r="B1643" t="inlineStr">
        <is>
          <t>Chalet</t>
        </is>
      </c>
      <c r="C1643" t="inlineStr">
        <is>
          <t>https://www.idealista.com/inmueble/107919808/</t>
        </is>
      </c>
      <c r="E1643" t="n">
        <v>10</v>
      </c>
      <c r="H1643" t="n">
        <v>1000</v>
      </c>
      <c r="J1643" t="inlineStr">
        <is>
          <t>Pollença</t>
        </is>
      </c>
      <c r="K1643" t="n">
        <v>60.6</v>
      </c>
      <c r="L1643" t="n">
        <v>47</v>
      </c>
      <c r="M1643" t="n">
        <v>78.7</v>
      </c>
      <c r="N1643" t="n">
        <v>74</v>
      </c>
      <c r="O1643" t="n">
        <v>83.2</v>
      </c>
      <c r="P1643" t="n">
        <v>63</v>
      </c>
      <c r="Q1643" t="n">
        <v>76.40000000000001</v>
      </c>
      <c r="R1643" t="n">
        <v>70</v>
      </c>
      <c r="S1643" t="n">
        <v>3500000</v>
      </c>
      <c r="T1643" t="n">
        <v>3500</v>
      </c>
      <c r="AH1643" t="inlineStr">
        <is>
          <t>Quelle: Idealista</t>
        </is>
      </c>
    </row>
    <row r="1644">
      <c r="A1644" t="n">
        <v>1457</v>
      </c>
      <c r="B1644" t="inlineStr">
        <is>
          <t>Casa rural en camino de Can Botana</t>
        </is>
      </c>
      <c r="C1644" t="inlineStr">
        <is>
          <t>https://www.idealista.com/inmueble/107858536/</t>
        </is>
      </c>
      <c r="E1644" t="n">
        <v>9</v>
      </c>
      <c r="H1644" t="n">
        <v>700</v>
      </c>
      <c r="J1644" t="inlineStr">
        <is>
          <t>Cala Sant Vicenç, Pollença</t>
        </is>
      </c>
      <c r="K1644" t="n">
        <v>66.5</v>
      </c>
      <c r="L1644" t="n">
        <v>52</v>
      </c>
      <c r="M1644" t="n">
        <v>84.59999999999999</v>
      </c>
      <c r="N1644" t="n">
        <v>79</v>
      </c>
      <c r="O1644" t="n">
        <v>89.09999999999999</v>
      </c>
      <c r="P1644" t="n">
        <v>68</v>
      </c>
      <c r="Q1644" t="n">
        <v>82.3</v>
      </c>
      <c r="R1644" t="n">
        <v>75</v>
      </c>
      <c r="S1644" t="n">
        <v>6500000</v>
      </c>
      <c r="T1644" t="n">
        <v>9286</v>
      </c>
      <c r="AH1644" t="inlineStr">
        <is>
          <t>Quelle: Idealista</t>
        </is>
      </c>
    </row>
    <row r="1645">
      <c r="A1645" t="n">
        <v>1458</v>
      </c>
      <c r="B1645" t="inlineStr">
        <is>
          <t>Casa independiente</t>
        </is>
      </c>
      <c r="C1645" t="inlineStr">
        <is>
          <t>https://www.idealista.com/inmueble/38199531/</t>
        </is>
      </c>
      <c r="E1645" t="n">
        <v>5</v>
      </c>
      <c r="H1645" t="n">
        <v>450</v>
      </c>
      <c r="J1645" t="inlineStr">
        <is>
          <t>Port de Pollença, Pollença</t>
        </is>
      </c>
      <c r="K1645" t="n">
        <v>66.90000000000001</v>
      </c>
      <c r="L1645" t="n">
        <v>52</v>
      </c>
      <c r="M1645" t="n">
        <v>85</v>
      </c>
      <c r="N1645" t="n">
        <v>78</v>
      </c>
      <c r="O1645" t="n">
        <v>89.5</v>
      </c>
      <c r="P1645" t="n">
        <v>68</v>
      </c>
      <c r="Q1645" t="n">
        <v>82.7</v>
      </c>
      <c r="R1645" t="n">
        <v>75</v>
      </c>
      <c r="S1645" t="n">
        <v>5500000</v>
      </c>
      <c r="T1645" t="n">
        <v>12222</v>
      </c>
      <c r="AH1645" t="inlineStr">
        <is>
          <t>Quelle: Idealista</t>
        </is>
      </c>
    </row>
    <row r="1646">
      <c r="A1646" t="n">
        <v>1459</v>
      </c>
      <c r="B1646" t="inlineStr">
        <is>
          <t>Casa independiente</t>
        </is>
      </c>
      <c r="C1646" t="inlineStr">
        <is>
          <t>https://www.idealista.com/inmueble/102511796/</t>
        </is>
      </c>
      <c r="E1646" t="n">
        <v>6</v>
      </c>
      <c r="H1646" t="n">
        <v>440</v>
      </c>
      <c r="J1646" t="inlineStr">
        <is>
          <t>Port de Pollença, Pollença</t>
        </is>
      </c>
      <c r="K1646" t="n">
        <v>66.90000000000001</v>
      </c>
      <c r="L1646" t="n">
        <v>52</v>
      </c>
      <c r="M1646" t="n">
        <v>85</v>
      </c>
      <c r="N1646" t="n">
        <v>78</v>
      </c>
      <c r="O1646" t="n">
        <v>89.5</v>
      </c>
      <c r="P1646" t="n">
        <v>68</v>
      </c>
      <c r="Q1646" t="n">
        <v>82.7</v>
      </c>
      <c r="R1646" t="n">
        <v>75</v>
      </c>
      <c r="S1646" t="n">
        <v>2800000</v>
      </c>
      <c r="T1646" t="n">
        <v>6364</v>
      </c>
      <c r="AH1646" t="inlineStr">
        <is>
          <t>Quelle: Idealista</t>
        </is>
      </c>
    </row>
    <row r="1647">
      <c r="A1647" t="n">
        <v>1460</v>
      </c>
      <c r="B1647" t="inlineStr">
        <is>
          <t>Casa independiente</t>
        </is>
      </c>
      <c r="C1647" t="inlineStr">
        <is>
          <t>https://www.idealista.com/inmueble/107714415/</t>
        </is>
      </c>
      <c r="E1647" t="n">
        <v>6</v>
      </c>
      <c r="H1647" t="n">
        <v>850</v>
      </c>
      <c r="J1647" t="inlineStr">
        <is>
          <t>Pollença</t>
        </is>
      </c>
      <c r="K1647" t="n">
        <v>60.6</v>
      </c>
      <c r="L1647" t="n">
        <v>47</v>
      </c>
      <c r="M1647" t="n">
        <v>78.7</v>
      </c>
      <c r="N1647" t="n">
        <v>74</v>
      </c>
      <c r="O1647" t="n">
        <v>83.2</v>
      </c>
      <c r="P1647" t="n">
        <v>63</v>
      </c>
      <c r="Q1647" t="n">
        <v>76.40000000000001</v>
      </c>
      <c r="R1647" t="n">
        <v>70</v>
      </c>
      <c r="S1647" t="n">
        <v>3500000</v>
      </c>
      <c r="T1647" t="n">
        <v>4118</v>
      </c>
      <c r="AH1647" t="inlineStr">
        <is>
          <t>Quelle: Idealista</t>
        </is>
      </c>
    </row>
    <row r="1648">
      <c r="A1648" t="n">
        <v>1461</v>
      </c>
      <c r="B1648" t="inlineStr">
        <is>
          <t>Casa independiente</t>
        </is>
      </c>
      <c r="C1648" t="inlineStr">
        <is>
          <t>https://www.idealista.com/inmueble/107517045/</t>
        </is>
      </c>
      <c r="E1648" t="n">
        <v>6</v>
      </c>
      <c r="H1648" t="n">
        <v>509</v>
      </c>
      <c r="J1648" t="inlineStr">
        <is>
          <t>Port de Pollença, Pollença</t>
        </is>
      </c>
      <c r="K1648" t="n">
        <v>66.90000000000001</v>
      </c>
      <c r="L1648" t="n">
        <v>52</v>
      </c>
      <c r="M1648" t="n">
        <v>85</v>
      </c>
      <c r="N1648" t="n">
        <v>78</v>
      </c>
      <c r="O1648" t="n">
        <v>89.5</v>
      </c>
      <c r="P1648" t="n">
        <v>68</v>
      </c>
      <c r="Q1648" t="n">
        <v>82.7</v>
      </c>
      <c r="R1648" t="n">
        <v>75</v>
      </c>
      <c r="S1648" t="n">
        <v>4000000</v>
      </c>
      <c r="T1648" t="n">
        <v>7859</v>
      </c>
      <c r="AH1648" t="inlineStr">
        <is>
          <t>Quelle: Idealista</t>
        </is>
      </c>
    </row>
    <row r="1649">
      <c r="A1649" t="n">
        <v>1462</v>
      </c>
      <c r="B1649" t="inlineStr">
        <is>
          <t>Finca rústica</t>
        </is>
      </c>
      <c r="C1649" t="inlineStr">
        <is>
          <t>https://www.idealista.com/inmueble/107410870/</t>
        </is>
      </c>
      <c r="E1649" t="n">
        <v>5</v>
      </c>
      <c r="H1649" t="n">
        <v>440</v>
      </c>
      <c r="J1649" t="inlineStr">
        <is>
          <t>Pollença</t>
        </is>
      </c>
      <c r="K1649" t="n">
        <v>60.6</v>
      </c>
      <c r="L1649" t="n">
        <v>47</v>
      </c>
      <c r="M1649" t="n">
        <v>78.7</v>
      </c>
      <c r="N1649" t="n">
        <v>74</v>
      </c>
      <c r="O1649" t="n">
        <v>83.2</v>
      </c>
      <c r="P1649" t="n">
        <v>63</v>
      </c>
      <c r="Q1649" t="n">
        <v>76.40000000000001</v>
      </c>
      <c r="R1649" t="n">
        <v>70</v>
      </c>
      <c r="S1649" t="n">
        <v>2480000</v>
      </c>
      <c r="T1649" t="n">
        <v>5636</v>
      </c>
      <c r="AH1649" t="inlineStr">
        <is>
          <t>Quelle: Idealista</t>
        </is>
      </c>
    </row>
    <row r="1650">
      <c r="A1650" t="n">
        <v>1463</v>
      </c>
      <c r="B1650" t="inlineStr">
        <is>
          <t>Casa independiente en calle de l'Alfabeguera</t>
        </is>
      </c>
      <c r="C1650" t="inlineStr">
        <is>
          <t>https://www.idealista.com/inmueble/107294024/</t>
        </is>
      </c>
      <c r="E1650" t="n">
        <v>5</v>
      </c>
      <c r="H1650" t="n">
        <v>413</v>
      </c>
      <c r="J1650" t="inlineStr">
        <is>
          <t>Port de Pollença, Pollença</t>
        </is>
      </c>
      <c r="K1650" t="n">
        <v>66.90000000000001</v>
      </c>
      <c r="L1650" t="n">
        <v>52</v>
      </c>
      <c r="M1650" t="n">
        <v>85</v>
      </c>
      <c r="N1650" t="n">
        <v>78</v>
      </c>
      <c r="O1650" t="n">
        <v>89.5</v>
      </c>
      <c r="P1650" t="n">
        <v>68</v>
      </c>
      <c r="Q1650" t="n">
        <v>82.7</v>
      </c>
      <c r="R1650" t="n">
        <v>75</v>
      </c>
      <c r="S1650" t="n">
        <v>3800000</v>
      </c>
      <c r="T1650" t="n">
        <v>9201</v>
      </c>
      <c r="AH1650" t="inlineStr">
        <is>
          <t>Quelle: Idealista</t>
        </is>
      </c>
    </row>
    <row r="1651">
      <c r="A1651" t="n">
        <v>1464</v>
      </c>
      <c r="B1651" t="inlineStr">
        <is>
          <t>Finca rústica</t>
        </is>
      </c>
      <c r="C1651" t="inlineStr">
        <is>
          <t>https://www.idealista.com/inmueble/106825361/</t>
        </is>
      </c>
      <c r="E1651" t="n">
        <v>6</v>
      </c>
      <c r="H1651" t="n">
        <v>600</v>
      </c>
      <c r="J1651" t="inlineStr">
        <is>
          <t>Pollença</t>
        </is>
      </c>
      <c r="K1651" t="n">
        <v>60.6</v>
      </c>
      <c r="L1651" t="n">
        <v>47</v>
      </c>
      <c r="M1651" t="n">
        <v>78.7</v>
      </c>
      <c r="N1651" t="n">
        <v>74</v>
      </c>
      <c r="O1651" t="n">
        <v>83.2</v>
      </c>
      <c r="P1651" t="n">
        <v>63</v>
      </c>
      <c r="Q1651" t="n">
        <v>76.40000000000001</v>
      </c>
      <c r="R1651" t="n">
        <v>70</v>
      </c>
      <c r="S1651" t="n">
        <v>5300000</v>
      </c>
      <c r="T1651" t="n">
        <v>8833</v>
      </c>
      <c r="AH1651" t="inlineStr">
        <is>
          <t>Quelle: Idealista</t>
        </is>
      </c>
    </row>
    <row r="1652">
      <c r="A1652" t="n">
        <v>1465</v>
      </c>
      <c r="B1652" t="inlineStr">
        <is>
          <t>Casa independiente</t>
        </is>
      </c>
      <c r="C1652" t="inlineStr">
        <is>
          <t>https://www.idealista.com/inmueble/106689633/</t>
        </is>
      </c>
      <c r="E1652" t="n">
        <v>6</v>
      </c>
      <c r="H1652" t="n">
        <v>571</v>
      </c>
      <c r="J1652" t="inlineStr">
        <is>
          <t>Cala Sant Vicenç, Pollença</t>
        </is>
      </c>
      <c r="K1652" t="n">
        <v>66.5</v>
      </c>
      <c r="L1652" t="n">
        <v>52</v>
      </c>
      <c r="M1652" t="n">
        <v>84.59999999999999</v>
      </c>
      <c r="N1652" t="n">
        <v>79</v>
      </c>
      <c r="O1652" t="n">
        <v>89.09999999999999</v>
      </c>
      <c r="P1652" t="n">
        <v>68</v>
      </c>
      <c r="Q1652" t="n">
        <v>82.3</v>
      </c>
      <c r="R1652" t="n">
        <v>75</v>
      </c>
      <c r="S1652" t="n">
        <v>3975000</v>
      </c>
      <c r="T1652" t="n">
        <v>6961</v>
      </c>
      <c r="AH1652" t="inlineStr">
        <is>
          <t>Quelle: Idealista</t>
        </is>
      </c>
    </row>
    <row r="1653">
      <c r="A1653" t="n">
        <v>1466</v>
      </c>
      <c r="B1653" t="inlineStr">
        <is>
          <t>Casa independiente en Diseminado Poligono 9</t>
        </is>
      </c>
      <c r="C1653" t="inlineStr">
        <is>
          <t>https://www.idealista.com/inmueble/106330342/</t>
        </is>
      </c>
      <c r="E1653" t="n">
        <v>11</v>
      </c>
      <c r="H1653" t="n">
        <v>1200</v>
      </c>
      <c r="J1653" t="inlineStr">
        <is>
          <t>Pollença</t>
        </is>
      </c>
      <c r="K1653" t="n">
        <v>60.6</v>
      </c>
      <c r="L1653" t="n">
        <v>47</v>
      </c>
      <c r="M1653" t="n">
        <v>78.7</v>
      </c>
      <c r="N1653" t="n">
        <v>74</v>
      </c>
      <c r="O1653" t="n">
        <v>83.2</v>
      </c>
      <c r="P1653" t="n">
        <v>63</v>
      </c>
      <c r="Q1653" t="n">
        <v>76.40000000000001</v>
      </c>
      <c r="R1653" t="n">
        <v>70</v>
      </c>
      <c r="S1653" t="n">
        <v>3500000</v>
      </c>
      <c r="T1653" t="n">
        <v>2917</v>
      </c>
      <c r="AH1653" t="inlineStr">
        <is>
          <t>Quelle: Idealista</t>
        </is>
      </c>
    </row>
    <row r="1654">
      <c r="A1654" t="n">
        <v>1467</v>
      </c>
      <c r="B1654" t="inlineStr">
        <is>
          <t>Casa independiente en calle de l'Alfabeguera</t>
        </is>
      </c>
      <c r="C1654" t="inlineStr">
        <is>
          <t>https://www.idealista.com/inmueble/106219694/</t>
        </is>
      </c>
      <c r="E1654" t="n">
        <v>5</v>
      </c>
      <c r="H1654" t="n">
        <v>413</v>
      </c>
      <c r="J1654" t="inlineStr">
        <is>
          <t>Port de Pollença, Pollença</t>
        </is>
      </c>
      <c r="K1654" t="n">
        <v>66.90000000000001</v>
      </c>
      <c r="L1654" t="n">
        <v>52</v>
      </c>
      <c r="M1654" t="n">
        <v>85</v>
      </c>
      <c r="N1654" t="n">
        <v>78</v>
      </c>
      <c r="O1654" t="n">
        <v>89.5</v>
      </c>
      <c r="P1654" t="n">
        <v>68</v>
      </c>
      <c r="Q1654" t="n">
        <v>82.7</v>
      </c>
      <c r="R1654" t="n">
        <v>75</v>
      </c>
      <c r="S1654" t="n">
        <v>3800000</v>
      </c>
      <c r="T1654" t="n">
        <v>9201</v>
      </c>
      <c r="AH1654" t="inlineStr">
        <is>
          <t>Quelle: Idealista</t>
        </is>
      </c>
    </row>
    <row r="1655">
      <c r="A1655" t="n">
        <v>1468</v>
      </c>
      <c r="B1655" t="inlineStr">
        <is>
          <t>Casa independiente</t>
        </is>
      </c>
      <c r="C1655" t="inlineStr">
        <is>
          <t>https://www.idealista.com/inmueble/106085675/</t>
        </is>
      </c>
      <c r="E1655" t="n">
        <v>5</v>
      </c>
      <c r="H1655" t="n">
        <v>414</v>
      </c>
      <c r="J1655" t="inlineStr">
        <is>
          <t>Port de Pollença, Pollença</t>
        </is>
      </c>
      <c r="K1655" t="n">
        <v>66.90000000000001</v>
      </c>
      <c r="L1655" t="n">
        <v>52</v>
      </c>
      <c r="M1655" t="n">
        <v>85</v>
      </c>
      <c r="N1655" t="n">
        <v>78</v>
      </c>
      <c r="O1655" t="n">
        <v>89.5</v>
      </c>
      <c r="P1655" t="n">
        <v>68</v>
      </c>
      <c r="Q1655" t="n">
        <v>82.7</v>
      </c>
      <c r="R1655" t="n">
        <v>75</v>
      </c>
      <c r="S1655" t="n">
        <v>3800000</v>
      </c>
      <c r="T1655" t="n">
        <v>9179</v>
      </c>
      <c r="AH1655" t="inlineStr">
        <is>
          <t>Quelle: Idealista</t>
        </is>
      </c>
    </row>
    <row r="1656">
      <c r="A1656" t="n">
        <v>1469</v>
      </c>
      <c r="B1656" t="inlineStr">
        <is>
          <t>Casa rural</t>
        </is>
      </c>
      <c r="C1656" t="inlineStr">
        <is>
          <t>https://www.idealista.com/inmueble/105420457/</t>
        </is>
      </c>
      <c r="E1656" t="n">
        <v>5</v>
      </c>
      <c r="H1656" t="n">
        <v>540</v>
      </c>
      <c r="J1656" t="inlineStr">
        <is>
          <t>Pollença</t>
        </is>
      </c>
      <c r="K1656" t="n">
        <v>60.6</v>
      </c>
      <c r="L1656" t="n">
        <v>47</v>
      </c>
      <c r="M1656" t="n">
        <v>78.7</v>
      </c>
      <c r="N1656" t="n">
        <v>74</v>
      </c>
      <c r="O1656" t="n">
        <v>83.2</v>
      </c>
      <c r="P1656" t="n">
        <v>63</v>
      </c>
      <c r="Q1656" t="n">
        <v>76.40000000000001</v>
      </c>
      <c r="R1656" t="n">
        <v>70</v>
      </c>
      <c r="S1656" t="n">
        <v>5000000</v>
      </c>
      <c r="T1656" t="n">
        <v>9259</v>
      </c>
      <c r="AH1656" t="inlineStr">
        <is>
          <t>Quelle: Idealista</t>
        </is>
      </c>
    </row>
    <row r="1657">
      <c r="A1657" t="n">
        <v>1470</v>
      </c>
      <c r="B1657" t="inlineStr">
        <is>
          <t>Casa rural</t>
        </is>
      </c>
      <c r="C1657" t="inlineStr">
        <is>
          <t>https://www.idealista.com/inmueble/105292981/</t>
        </is>
      </c>
      <c r="E1657" t="n">
        <v>6</v>
      </c>
      <c r="H1657" t="n">
        <v>451</v>
      </c>
      <c r="J1657" t="inlineStr">
        <is>
          <t>Pollença</t>
        </is>
      </c>
      <c r="K1657" t="n">
        <v>60.6</v>
      </c>
      <c r="L1657" t="n">
        <v>47</v>
      </c>
      <c r="M1657" t="n">
        <v>78.7</v>
      </c>
      <c r="N1657" t="n">
        <v>74</v>
      </c>
      <c r="O1657" t="n">
        <v>83.2</v>
      </c>
      <c r="P1657" t="n">
        <v>63</v>
      </c>
      <c r="Q1657" t="n">
        <v>76.40000000000001</v>
      </c>
      <c r="R1657" t="n">
        <v>70</v>
      </c>
      <c r="S1657" t="n">
        <v>3850000</v>
      </c>
      <c r="T1657" t="n">
        <v>8537</v>
      </c>
      <c r="AH1657" t="inlineStr">
        <is>
          <t>Quelle: Idealista</t>
        </is>
      </c>
    </row>
    <row r="1658">
      <c r="A1658" t="n">
        <v>1471</v>
      </c>
      <c r="B1658" t="inlineStr">
        <is>
          <t>Casa independiente</t>
        </is>
      </c>
      <c r="C1658" t="inlineStr">
        <is>
          <t>https://www.idealista.com/inmueble/105247524/</t>
        </is>
      </c>
      <c r="E1658" t="n">
        <v>5</v>
      </c>
      <c r="H1658" t="n">
        <v>540</v>
      </c>
      <c r="J1658" t="inlineStr">
        <is>
          <t>Pollença</t>
        </is>
      </c>
      <c r="K1658" t="n">
        <v>60.6</v>
      </c>
      <c r="L1658" t="n">
        <v>47</v>
      </c>
      <c r="M1658" t="n">
        <v>78.7</v>
      </c>
      <c r="N1658" t="n">
        <v>74</v>
      </c>
      <c r="O1658" t="n">
        <v>83.2</v>
      </c>
      <c r="P1658" t="n">
        <v>63</v>
      </c>
      <c r="Q1658" t="n">
        <v>76.40000000000001</v>
      </c>
      <c r="R1658" t="n">
        <v>70</v>
      </c>
      <c r="S1658" t="n">
        <v>5000000</v>
      </c>
      <c r="T1658" t="n">
        <v>9259</v>
      </c>
      <c r="AH1658" t="inlineStr">
        <is>
          <t>Quelle: Idealista</t>
        </is>
      </c>
    </row>
    <row r="1659">
      <c r="A1659" t="n">
        <v>1472</v>
      </c>
      <c r="B1659" t="inlineStr">
        <is>
          <t>Casa independiente</t>
        </is>
      </c>
      <c r="C1659" t="inlineStr">
        <is>
          <t>https://www.idealista.com/inmueble/105021156/</t>
        </is>
      </c>
      <c r="E1659" t="n">
        <v>5</v>
      </c>
      <c r="H1659" t="n">
        <v>413</v>
      </c>
      <c r="J1659" t="inlineStr">
        <is>
          <t>Port de Pollença, Pollença</t>
        </is>
      </c>
      <c r="K1659" t="n">
        <v>66.90000000000001</v>
      </c>
      <c r="L1659" t="n">
        <v>52</v>
      </c>
      <c r="M1659" t="n">
        <v>85</v>
      </c>
      <c r="N1659" t="n">
        <v>78</v>
      </c>
      <c r="O1659" t="n">
        <v>89.5</v>
      </c>
      <c r="P1659" t="n">
        <v>68</v>
      </c>
      <c r="Q1659" t="n">
        <v>82.7</v>
      </c>
      <c r="R1659" t="n">
        <v>75</v>
      </c>
      <c r="S1659" t="n">
        <v>3800000</v>
      </c>
      <c r="T1659" t="n">
        <v>9201</v>
      </c>
      <c r="AH1659" t="inlineStr">
        <is>
          <t>Quelle: Idealista</t>
        </is>
      </c>
    </row>
    <row r="1660">
      <c r="A1660" t="n">
        <v>1473</v>
      </c>
      <c r="B1660" t="inlineStr">
        <is>
          <t>Casa independiente en calle Zona Formentor</t>
        </is>
      </c>
      <c r="C1660" t="inlineStr">
        <is>
          <t>https://www.idealista.com/inmueble/104908319/</t>
        </is>
      </c>
      <c r="E1660" t="n">
        <v>5</v>
      </c>
      <c r="H1660" t="n">
        <v>266</v>
      </c>
      <c r="J1660" t="inlineStr">
        <is>
          <t>Port de Pollença, Pollença</t>
        </is>
      </c>
      <c r="K1660" t="n">
        <v>66.90000000000001</v>
      </c>
      <c r="L1660" t="n">
        <v>52</v>
      </c>
      <c r="M1660" t="n">
        <v>85</v>
      </c>
      <c r="N1660" t="n">
        <v>78</v>
      </c>
      <c r="O1660" t="n">
        <v>89.5</v>
      </c>
      <c r="P1660" t="n">
        <v>68</v>
      </c>
      <c r="Q1660" t="n">
        <v>82.7</v>
      </c>
      <c r="R1660" t="n">
        <v>75</v>
      </c>
      <c r="S1660" t="n">
        <v>4500000</v>
      </c>
      <c r="T1660" t="n">
        <v>16917</v>
      </c>
      <c r="AH1660" t="inlineStr">
        <is>
          <t>Quelle: Idealista</t>
        </is>
      </c>
    </row>
    <row r="1661">
      <c r="A1661" t="n">
        <v>1474</v>
      </c>
      <c r="B1661" t="inlineStr">
        <is>
          <t>Finca rústica</t>
        </is>
      </c>
      <c r="C1661" t="inlineStr">
        <is>
          <t>https://www.idealista.com/inmueble/104852425/</t>
        </is>
      </c>
      <c r="E1661" t="n">
        <v>6</v>
      </c>
      <c r="H1661" t="n">
        <v>490</v>
      </c>
      <c r="J1661" t="inlineStr">
        <is>
          <t>Pollença</t>
        </is>
      </c>
      <c r="K1661" t="n">
        <v>60.6</v>
      </c>
      <c r="L1661" t="n">
        <v>47</v>
      </c>
      <c r="M1661" t="n">
        <v>78.7</v>
      </c>
      <c r="N1661" t="n">
        <v>74</v>
      </c>
      <c r="O1661" t="n">
        <v>83.2</v>
      </c>
      <c r="P1661" t="n">
        <v>63</v>
      </c>
      <c r="Q1661" t="n">
        <v>76.40000000000001</v>
      </c>
      <c r="R1661" t="n">
        <v>70</v>
      </c>
      <c r="S1661" t="n">
        <v>3375000</v>
      </c>
      <c r="T1661" t="n">
        <v>6888</v>
      </c>
      <c r="AH1661" t="inlineStr">
        <is>
          <t>Quelle: Idealista</t>
        </is>
      </c>
    </row>
    <row r="1662">
      <c r="A1662" t="n">
        <v>1475</v>
      </c>
      <c r="B1662" t="inlineStr">
        <is>
          <t>Chalet adosado</t>
        </is>
      </c>
      <c r="C1662" t="inlineStr">
        <is>
          <t>https://www.idealista.com/inmueble/104607459/</t>
        </is>
      </c>
      <c r="E1662" t="n">
        <v>7</v>
      </c>
      <c r="H1662" t="n">
        <v>690</v>
      </c>
      <c r="J1662" t="inlineStr">
        <is>
          <t>Pollença</t>
        </is>
      </c>
      <c r="K1662" t="n">
        <v>60.6</v>
      </c>
      <c r="L1662" t="n">
        <v>47</v>
      </c>
      <c r="M1662" t="n">
        <v>78.7</v>
      </c>
      <c r="N1662" t="n">
        <v>74</v>
      </c>
      <c r="O1662" t="n">
        <v>83.2</v>
      </c>
      <c r="P1662" t="n">
        <v>63</v>
      </c>
      <c r="Q1662" t="n">
        <v>76.40000000000001</v>
      </c>
      <c r="R1662" t="n">
        <v>70</v>
      </c>
      <c r="S1662" t="n">
        <v>2950000</v>
      </c>
      <c r="T1662" t="n">
        <v>4275</v>
      </c>
      <c r="AH1662" t="inlineStr">
        <is>
          <t>Quelle: Idealista</t>
        </is>
      </c>
    </row>
    <row r="1663">
      <c r="A1663" t="n">
        <v>1476</v>
      </c>
      <c r="B1663" t="inlineStr">
        <is>
          <t>Casa independiente en calle de l'Ametller</t>
        </is>
      </c>
      <c r="C1663" t="inlineStr">
        <is>
          <t>https://www.idealista.com/inmueble/104477893/</t>
        </is>
      </c>
      <c r="E1663" t="n">
        <v>7</v>
      </c>
      <c r="H1663" t="n">
        <v>589</v>
      </c>
      <c r="J1663" t="inlineStr">
        <is>
          <t>Port de Pollença, Pollença</t>
        </is>
      </c>
      <c r="K1663" t="n">
        <v>66.90000000000001</v>
      </c>
      <c r="L1663" t="n">
        <v>52</v>
      </c>
      <c r="M1663" t="n">
        <v>85</v>
      </c>
      <c r="N1663" t="n">
        <v>78</v>
      </c>
      <c r="O1663" t="n">
        <v>89.5</v>
      </c>
      <c r="P1663" t="n">
        <v>68</v>
      </c>
      <c r="Q1663" t="n">
        <v>82.7</v>
      </c>
      <c r="R1663" t="n">
        <v>75</v>
      </c>
      <c r="S1663" t="n">
        <v>3995000</v>
      </c>
      <c r="T1663" t="n">
        <v>6783</v>
      </c>
      <c r="AH1663" t="inlineStr">
        <is>
          <t>Quelle: Idealista</t>
        </is>
      </c>
    </row>
    <row r="1664">
      <c r="A1664" t="n">
        <v>1477</v>
      </c>
      <c r="B1664" t="inlineStr">
        <is>
          <t>Casa rural</t>
        </is>
      </c>
      <c r="C1664" t="inlineStr">
        <is>
          <t>https://www.idealista.com/inmueble/102322115/</t>
        </is>
      </c>
      <c r="E1664" t="n">
        <v>10</v>
      </c>
      <c r="H1664" t="n">
        <v>1000</v>
      </c>
      <c r="J1664" t="inlineStr">
        <is>
          <t>Pollença</t>
        </is>
      </c>
      <c r="K1664" t="n">
        <v>60.6</v>
      </c>
      <c r="L1664" t="n">
        <v>47</v>
      </c>
      <c r="M1664" t="n">
        <v>78.7</v>
      </c>
      <c r="N1664" t="n">
        <v>74</v>
      </c>
      <c r="O1664" t="n">
        <v>83.2</v>
      </c>
      <c r="P1664" t="n">
        <v>63</v>
      </c>
      <c r="Q1664" t="n">
        <v>76.40000000000001</v>
      </c>
      <c r="R1664" t="n">
        <v>70</v>
      </c>
      <c r="S1664" t="n">
        <v>3500000</v>
      </c>
      <c r="T1664" t="n">
        <v>3500</v>
      </c>
      <c r="AH1664" t="inlineStr">
        <is>
          <t>Quelle: Idealista</t>
        </is>
      </c>
    </row>
    <row r="1665">
      <c r="A1665" t="n">
        <v>1478</v>
      </c>
      <c r="B1665" t="inlineStr">
        <is>
          <t>Finca rústica</t>
        </is>
      </c>
      <c r="C1665" t="inlineStr">
        <is>
          <t>https://www.idealista.com/inmueble/87504251/</t>
        </is>
      </c>
      <c r="E1665" t="n">
        <v>13</v>
      </c>
      <c r="H1665" t="n">
        <v>1200</v>
      </c>
      <c r="J1665" t="inlineStr">
        <is>
          <t>Pollença</t>
        </is>
      </c>
      <c r="K1665" t="n">
        <v>60.6</v>
      </c>
      <c r="L1665" t="n">
        <v>47</v>
      </c>
      <c r="M1665" t="n">
        <v>78.7</v>
      </c>
      <c r="N1665" t="n">
        <v>74</v>
      </c>
      <c r="O1665" t="n">
        <v>83.2</v>
      </c>
      <c r="P1665" t="n">
        <v>63</v>
      </c>
      <c r="Q1665" t="n">
        <v>76.40000000000001</v>
      </c>
      <c r="R1665" t="n">
        <v>70</v>
      </c>
      <c r="S1665" t="n">
        <v>2545000</v>
      </c>
      <c r="T1665" t="n">
        <v>2121</v>
      </c>
      <c r="AH1665" t="inlineStr">
        <is>
          <t>Quelle: Idealista</t>
        </is>
      </c>
    </row>
    <row r="1666">
      <c r="A1666" t="n">
        <v>1479</v>
      </c>
      <c r="B1666" t="inlineStr">
        <is>
          <t>Finca rústica</t>
        </is>
      </c>
      <c r="C1666" t="inlineStr">
        <is>
          <t>https://www.idealista.com/inmueble/102045148/</t>
        </is>
      </c>
      <c r="E1666" t="n">
        <v>5</v>
      </c>
      <c r="H1666" t="n">
        <v>547</v>
      </c>
      <c r="J1666" t="inlineStr">
        <is>
          <t>Pollença</t>
        </is>
      </c>
      <c r="K1666" t="n">
        <v>60.6</v>
      </c>
      <c r="L1666" t="n">
        <v>47</v>
      </c>
      <c r="M1666" t="n">
        <v>78.7</v>
      </c>
      <c r="N1666" t="n">
        <v>74</v>
      </c>
      <c r="O1666" t="n">
        <v>83.2</v>
      </c>
      <c r="P1666" t="n">
        <v>63</v>
      </c>
      <c r="Q1666" t="n">
        <v>76.40000000000001</v>
      </c>
      <c r="R1666" t="n">
        <v>70</v>
      </c>
      <c r="S1666" t="n">
        <v>5000000</v>
      </c>
      <c r="T1666" t="n">
        <v>9141</v>
      </c>
      <c r="AH1666" t="inlineStr">
        <is>
          <t>Quelle: Idealista</t>
        </is>
      </c>
    </row>
    <row r="1667">
      <c r="A1667" t="n">
        <v>1480</v>
      </c>
      <c r="B1667" t="inlineStr">
        <is>
          <t>Finca rústica</t>
        </is>
      </c>
      <c r="C1667" t="inlineStr">
        <is>
          <t>https://www.idealista.com/inmueble/101754374/</t>
        </is>
      </c>
      <c r="E1667" t="n">
        <v>6</v>
      </c>
      <c r="H1667" t="n">
        <v>540</v>
      </c>
      <c r="J1667" t="inlineStr">
        <is>
          <t>Pollença</t>
        </is>
      </c>
      <c r="K1667" t="n">
        <v>60.6</v>
      </c>
      <c r="L1667" t="n">
        <v>47</v>
      </c>
      <c r="M1667" t="n">
        <v>78.7</v>
      </c>
      <c r="N1667" t="n">
        <v>74</v>
      </c>
      <c r="O1667" t="n">
        <v>83.2</v>
      </c>
      <c r="P1667" t="n">
        <v>63</v>
      </c>
      <c r="Q1667" t="n">
        <v>76.40000000000001</v>
      </c>
      <c r="R1667" t="n">
        <v>70</v>
      </c>
      <c r="S1667" t="n">
        <v>5000000</v>
      </c>
      <c r="T1667" t="n">
        <v>9259</v>
      </c>
      <c r="AH1667" t="inlineStr">
        <is>
          <t>Quelle: Idealista</t>
        </is>
      </c>
    </row>
    <row r="1668">
      <c r="A1668" t="n">
        <v>1481</v>
      </c>
      <c r="B1668" t="inlineStr">
        <is>
          <t>Casa rural</t>
        </is>
      </c>
      <c r="C1668" t="inlineStr">
        <is>
          <t>https://www.idealista.com/inmueble/93414886/</t>
        </is>
      </c>
      <c r="E1668" t="n">
        <v>11</v>
      </c>
      <c r="H1668" t="n">
        <v>1300</v>
      </c>
      <c r="J1668" t="inlineStr">
        <is>
          <t>Pollença</t>
        </is>
      </c>
      <c r="K1668" t="n">
        <v>60.6</v>
      </c>
      <c r="L1668" t="n">
        <v>47</v>
      </c>
      <c r="M1668" t="n">
        <v>78.7</v>
      </c>
      <c r="N1668" t="n">
        <v>74</v>
      </c>
      <c r="O1668" t="n">
        <v>83.2</v>
      </c>
      <c r="P1668" t="n">
        <v>63</v>
      </c>
      <c r="Q1668" t="n">
        <v>76.40000000000001</v>
      </c>
      <c r="R1668" t="n">
        <v>70</v>
      </c>
      <c r="S1668" t="n">
        <v>3500000</v>
      </c>
      <c r="T1668" t="n">
        <v>2692</v>
      </c>
      <c r="AH1668" t="inlineStr">
        <is>
          <t>Quelle: Idealista</t>
        </is>
      </c>
    </row>
    <row r="1669">
      <c r="A1669" t="n">
        <v>1482</v>
      </c>
      <c r="B1669" t="inlineStr">
        <is>
          <t>Chalet</t>
        </is>
      </c>
      <c r="C1669" t="inlineStr">
        <is>
          <t>https://www.idealista.com/inmueble/91273360/</t>
        </is>
      </c>
      <c r="E1669" t="n">
        <v>8</v>
      </c>
      <c r="H1669" t="n">
        <v>444</v>
      </c>
      <c r="J1669" t="inlineStr">
        <is>
          <t>Port de Pollença, Pollença</t>
        </is>
      </c>
      <c r="K1669" t="n">
        <v>66.90000000000001</v>
      </c>
      <c r="L1669" t="n">
        <v>52</v>
      </c>
      <c r="M1669" t="n">
        <v>85</v>
      </c>
      <c r="N1669" t="n">
        <v>78</v>
      </c>
      <c r="O1669" t="n">
        <v>89.5</v>
      </c>
      <c r="P1669" t="n">
        <v>68</v>
      </c>
      <c r="Q1669" t="n">
        <v>82.7</v>
      </c>
      <c r="R1669" t="n">
        <v>75</v>
      </c>
      <c r="S1669" t="n">
        <v>2500000</v>
      </c>
      <c r="T1669" t="n">
        <v>5631</v>
      </c>
      <c r="AH1669" t="inlineStr">
        <is>
          <t>Quelle: Idealista</t>
        </is>
      </c>
    </row>
    <row r="1670">
      <c r="A1670" t="n">
        <v>1483</v>
      </c>
      <c r="B1670" t="inlineStr">
        <is>
          <t>Chalet</t>
        </is>
      </c>
      <c r="C1670" t="inlineStr">
        <is>
          <t>https://www.idealista.com/inmueble/95062571/</t>
        </is>
      </c>
      <c r="E1670" t="n">
        <v>6</v>
      </c>
      <c r="H1670" t="n">
        <v>672</v>
      </c>
      <c r="J1670" t="inlineStr">
        <is>
          <t>Pollença</t>
        </is>
      </c>
      <c r="K1670" t="n">
        <v>60.6</v>
      </c>
      <c r="L1670" t="n">
        <v>47</v>
      </c>
      <c r="M1670" t="n">
        <v>78.7</v>
      </c>
      <c r="N1670" t="n">
        <v>74</v>
      </c>
      <c r="O1670" t="n">
        <v>83.2</v>
      </c>
      <c r="P1670" t="n">
        <v>63</v>
      </c>
      <c r="Q1670" t="n">
        <v>76.40000000000001</v>
      </c>
      <c r="R1670" t="n">
        <v>70</v>
      </c>
      <c r="S1670" t="n">
        <v>3200000</v>
      </c>
      <c r="T1670" t="n">
        <v>4762</v>
      </c>
      <c r="AH1670" t="inlineStr">
        <is>
          <t>Quelle: Idealista</t>
        </is>
      </c>
    </row>
    <row r="1671">
      <c r="A1671" t="n">
        <v>1484</v>
      </c>
      <c r="B1671" t="inlineStr">
        <is>
          <t>Casa independiente en Polígono 9 Parcela 575 s/n</t>
        </is>
      </c>
      <c r="C1671" t="inlineStr">
        <is>
          <t>https://www.idealista.com/obra-nueva/98617753/</t>
        </is>
      </c>
      <c r="E1671" t="n">
        <v>5</v>
      </c>
      <c r="H1671" t="n">
        <v>560</v>
      </c>
      <c r="J1671" t="inlineStr">
        <is>
          <t>Pollença</t>
        </is>
      </c>
      <c r="K1671" t="n">
        <v>60.6</v>
      </c>
      <c r="L1671" t="n">
        <v>47</v>
      </c>
      <c r="M1671" t="n">
        <v>78.7</v>
      </c>
      <c r="N1671" t="n">
        <v>74</v>
      </c>
      <c r="O1671" t="n">
        <v>83.2</v>
      </c>
      <c r="P1671" t="n">
        <v>63</v>
      </c>
      <c r="Q1671" t="n">
        <v>76.40000000000001</v>
      </c>
      <c r="R1671" t="n">
        <v>70</v>
      </c>
      <c r="S1671" t="n">
        <v>4000000</v>
      </c>
      <c r="T1671" t="n">
        <v>7143</v>
      </c>
      <c r="AH1671" t="inlineStr">
        <is>
          <t>Quelle: Idealista</t>
        </is>
      </c>
    </row>
    <row r="1672">
      <c r="A1672" t="n">
        <v>1485</v>
      </c>
      <c r="B1672" t="inlineStr">
        <is>
          <t>Casa independiente en calle Alfabeguera, 4</t>
        </is>
      </c>
      <c r="C1672" t="inlineStr">
        <is>
          <t>https://www.idealista.com/obra-nueva/96831715/</t>
        </is>
      </c>
      <c r="E1672" t="n">
        <v>5</v>
      </c>
      <c r="H1672" t="n">
        <v>339</v>
      </c>
      <c r="J1672" t="inlineStr">
        <is>
          <t>Port de Pollença, Pollença</t>
        </is>
      </c>
      <c r="K1672" t="n">
        <v>66.90000000000001</v>
      </c>
      <c r="L1672" t="n">
        <v>52</v>
      </c>
      <c r="M1672" t="n">
        <v>85</v>
      </c>
      <c r="N1672" t="n">
        <v>78</v>
      </c>
      <c r="O1672" t="n">
        <v>89.5</v>
      </c>
      <c r="P1672" t="n">
        <v>68</v>
      </c>
      <c r="Q1672" t="n">
        <v>82.7</v>
      </c>
      <c r="R1672" t="n">
        <v>75</v>
      </c>
      <c r="S1672" t="n">
        <v>3800000</v>
      </c>
      <c r="T1672" t="n">
        <v>11209</v>
      </c>
      <c r="AH1672" t="inlineStr">
        <is>
          <t>Quelle: Idealista</t>
        </is>
      </c>
    </row>
    <row r="1673">
      <c r="A1673" t="n">
        <v>1486</v>
      </c>
      <c r="B1673" t="inlineStr">
        <is>
          <t>Chalet</t>
        </is>
      </c>
      <c r="C1673" t="inlineStr">
        <is>
          <t>https://www.idealista.com/inmueble/95250663/</t>
        </is>
      </c>
      <c r="E1673" t="n">
        <v>5</v>
      </c>
      <c r="H1673" t="n">
        <v>850</v>
      </c>
      <c r="J1673" t="inlineStr">
        <is>
          <t>Pollença</t>
        </is>
      </c>
      <c r="K1673" t="n">
        <v>60.6</v>
      </c>
      <c r="L1673" t="n">
        <v>47</v>
      </c>
      <c r="M1673" t="n">
        <v>78.7</v>
      </c>
      <c r="N1673" t="n">
        <v>74</v>
      </c>
      <c r="O1673" t="n">
        <v>83.2</v>
      </c>
      <c r="P1673" t="n">
        <v>63</v>
      </c>
      <c r="Q1673" t="n">
        <v>76.40000000000001</v>
      </c>
      <c r="R1673" t="n">
        <v>70</v>
      </c>
      <c r="S1673" t="n">
        <v>5500000</v>
      </c>
      <c r="T1673" t="n">
        <v>6471</v>
      </c>
      <c r="AH1673" t="inlineStr">
        <is>
          <t>Quelle: Idealista</t>
        </is>
      </c>
    </row>
    <row r="1674">
      <c r="A1674" t="n">
        <v>1487</v>
      </c>
      <c r="B1674" t="inlineStr">
        <is>
          <t>Finca rústica</t>
        </is>
      </c>
      <c r="C1674" t="inlineStr">
        <is>
          <t>https://www.idealista.com/inmueble/97039897/</t>
        </is>
      </c>
      <c r="E1674" t="n">
        <v>5</v>
      </c>
      <c r="H1674" t="n">
        <v>307</v>
      </c>
      <c r="J1674" t="inlineStr">
        <is>
          <t>Porreres</t>
        </is>
      </c>
      <c r="K1674" t="n">
        <v>35.9</v>
      </c>
      <c r="L1674" t="n">
        <v>34</v>
      </c>
      <c r="M1674" t="n">
        <v>27.6</v>
      </c>
      <c r="N1674" t="n">
        <v>32</v>
      </c>
      <c r="O1674" t="n">
        <v>69.3</v>
      </c>
      <c r="P1674" t="n">
        <v>59</v>
      </c>
      <c r="Q1674" t="n">
        <v>25.3</v>
      </c>
      <c r="R1674" t="n">
        <v>29</v>
      </c>
      <c r="S1674" t="n">
        <v>5750000</v>
      </c>
      <c r="T1674" t="n">
        <v>18730</v>
      </c>
      <c r="AH1674" t="inlineStr">
        <is>
          <t>Quelle: Idealista</t>
        </is>
      </c>
    </row>
    <row r="1675">
      <c r="A1675" t="n">
        <v>1488</v>
      </c>
      <c r="B1675" t="inlineStr">
        <is>
          <t>Finca rústica en Ma-5100</t>
        </is>
      </c>
      <c r="C1675" t="inlineStr">
        <is>
          <t>https://www.idealista.com/inmueble/108258349/</t>
        </is>
      </c>
      <c r="E1675" t="n">
        <v>5</v>
      </c>
      <c r="H1675" t="n">
        <v>600</v>
      </c>
      <c r="J1675" t="inlineStr">
        <is>
          <t>Porreres</t>
        </is>
      </c>
      <c r="K1675" t="n">
        <v>35.9</v>
      </c>
      <c r="L1675" t="n">
        <v>34</v>
      </c>
      <c r="M1675" t="n">
        <v>27.6</v>
      </c>
      <c r="N1675" t="n">
        <v>32</v>
      </c>
      <c r="O1675" t="n">
        <v>69.3</v>
      </c>
      <c r="P1675" t="n">
        <v>59</v>
      </c>
      <c r="Q1675" t="n">
        <v>25.3</v>
      </c>
      <c r="R1675" t="n">
        <v>29</v>
      </c>
      <c r="S1675" t="n">
        <v>4950000</v>
      </c>
      <c r="T1675" t="n">
        <v>8250</v>
      </c>
      <c r="AH1675" t="inlineStr">
        <is>
          <t>Quelle: Idealista</t>
        </is>
      </c>
    </row>
    <row r="1676">
      <c r="A1676" t="n">
        <v>1489</v>
      </c>
      <c r="B1676" t="inlineStr">
        <is>
          <t>Chalet en calle del Garrover</t>
        </is>
      </c>
      <c r="C1676" t="inlineStr">
        <is>
          <t>https://www.idealista.com/inmueble/108928838/</t>
        </is>
      </c>
      <c r="E1676" t="n">
        <v>5</v>
      </c>
      <c r="H1676" t="n">
        <v>700</v>
      </c>
      <c r="J1676" t="inlineStr">
        <is>
          <t>Porreres</t>
        </is>
      </c>
      <c r="K1676" t="n">
        <v>35.9</v>
      </c>
      <c r="L1676" t="n">
        <v>34</v>
      </c>
      <c r="M1676" t="n">
        <v>27.6</v>
      </c>
      <c r="N1676" t="n">
        <v>32</v>
      </c>
      <c r="O1676" t="n">
        <v>69.3</v>
      </c>
      <c r="P1676" t="n">
        <v>59</v>
      </c>
      <c r="Q1676" t="n">
        <v>25.3</v>
      </c>
      <c r="R1676" t="n">
        <v>29</v>
      </c>
      <c r="S1676" t="n">
        <v>4950000</v>
      </c>
      <c r="T1676" t="n">
        <v>7071</v>
      </c>
      <c r="AH1676" t="inlineStr">
        <is>
          <t>Quelle: Idealista</t>
        </is>
      </c>
    </row>
    <row r="1677">
      <c r="A1677" t="n">
        <v>1490</v>
      </c>
      <c r="B1677" t="inlineStr">
        <is>
          <t>Masía en travesía de Felanitx a</t>
        </is>
      </c>
      <c r="C1677" t="inlineStr">
        <is>
          <t>https://www.idealista.com/inmueble/108507819/</t>
        </is>
      </c>
      <c r="E1677" t="n">
        <v>8</v>
      </c>
      <c r="H1677" t="n">
        <v>1350</v>
      </c>
      <c r="J1677" t="inlineStr">
        <is>
          <t>Porreres</t>
        </is>
      </c>
      <c r="K1677" t="n">
        <v>35.9</v>
      </c>
      <c r="L1677" t="n">
        <v>34</v>
      </c>
      <c r="M1677" t="n">
        <v>27.6</v>
      </c>
      <c r="N1677" t="n">
        <v>32</v>
      </c>
      <c r="O1677" t="n">
        <v>69.3</v>
      </c>
      <c r="P1677" t="n">
        <v>59</v>
      </c>
      <c r="Q1677" t="n">
        <v>25.3</v>
      </c>
      <c r="R1677" t="n">
        <v>29</v>
      </c>
      <c r="S1677" t="n">
        <v>2450000</v>
      </c>
      <c r="T1677" t="n">
        <v>1815</v>
      </c>
      <c r="AH1677" t="inlineStr">
        <is>
          <t>Quelle: Idealista</t>
        </is>
      </c>
    </row>
    <row r="1678">
      <c r="A1678" t="n">
        <v>1491</v>
      </c>
      <c r="B1678" t="inlineStr">
        <is>
          <t>Casa independiente</t>
        </is>
      </c>
      <c r="C1678" t="inlineStr">
        <is>
          <t>https://www.idealista.com/inmueble/107946569/</t>
        </is>
      </c>
      <c r="E1678" t="n">
        <v>5</v>
      </c>
      <c r="H1678" t="n">
        <v>600</v>
      </c>
      <c r="J1678" t="inlineStr">
        <is>
          <t>Porreres</t>
        </is>
      </c>
      <c r="K1678" t="n">
        <v>35.9</v>
      </c>
      <c r="L1678" t="n">
        <v>34</v>
      </c>
      <c r="M1678" t="n">
        <v>27.6</v>
      </c>
      <c r="N1678" t="n">
        <v>32</v>
      </c>
      <c r="O1678" t="n">
        <v>69.3</v>
      </c>
      <c r="P1678" t="n">
        <v>59</v>
      </c>
      <c r="Q1678" t="n">
        <v>25.3</v>
      </c>
      <c r="R1678" t="n">
        <v>29</v>
      </c>
      <c r="S1678" t="n">
        <v>4950000</v>
      </c>
      <c r="T1678" t="n">
        <v>8250</v>
      </c>
      <c r="AH1678" t="inlineStr">
        <is>
          <t>Quelle: Idealista</t>
        </is>
      </c>
    </row>
    <row r="1679">
      <c r="A1679" t="n">
        <v>1492</v>
      </c>
      <c r="B1679" t="inlineStr">
        <is>
          <t>Finca rústica</t>
        </is>
      </c>
      <c r="C1679" t="inlineStr">
        <is>
          <t>https://www.idealista.com/inmueble/107261448/</t>
        </is>
      </c>
      <c r="E1679" t="n">
        <v>6</v>
      </c>
      <c r="H1679" t="n">
        <v>364</v>
      </c>
      <c r="J1679" t="inlineStr">
        <is>
          <t>Porreres</t>
        </is>
      </c>
      <c r="K1679" t="n">
        <v>35.9</v>
      </c>
      <c r="L1679" t="n">
        <v>34</v>
      </c>
      <c r="M1679" t="n">
        <v>27.6</v>
      </c>
      <c r="N1679" t="n">
        <v>32</v>
      </c>
      <c r="O1679" t="n">
        <v>69.3</v>
      </c>
      <c r="P1679" t="n">
        <v>59</v>
      </c>
      <c r="Q1679" t="n">
        <v>25.3</v>
      </c>
      <c r="R1679" t="n">
        <v>29</v>
      </c>
      <c r="S1679" t="n">
        <v>2600000</v>
      </c>
      <c r="T1679" t="n">
        <v>7143</v>
      </c>
      <c r="AH1679" t="inlineStr">
        <is>
          <t>Quelle: Idealista</t>
        </is>
      </c>
    </row>
    <row r="1680">
      <c r="A1680" t="n">
        <v>1493</v>
      </c>
      <c r="B1680" t="inlineStr">
        <is>
          <t>Finca rústica</t>
        </is>
      </c>
      <c r="C1680" t="inlineStr">
        <is>
          <t>https://www.idealista.com/inmueble/107211475/</t>
        </is>
      </c>
      <c r="E1680" t="n">
        <v>5</v>
      </c>
      <c r="H1680" t="n">
        <v>307</v>
      </c>
      <c r="J1680" t="inlineStr">
        <is>
          <t>Porreres</t>
        </is>
      </c>
      <c r="K1680" t="n">
        <v>35.9</v>
      </c>
      <c r="L1680" t="n">
        <v>34</v>
      </c>
      <c r="M1680" t="n">
        <v>27.6</v>
      </c>
      <c r="N1680" t="n">
        <v>32</v>
      </c>
      <c r="O1680" t="n">
        <v>69.3</v>
      </c>
      <c r="P1680" t="n">
        <v>59</v>
      </c>
      <c r="Q1680" t="n">
        <v>25.3</v>
      </c>
      <c r="R1680" t="n">
        <v>29</v>
      </c>
      <c r="S1680" t="n">
        <v>5750000</v>
      </c>
      <c r="T1680" t="n">
        <v>18730</v>
      </c>
      <c r="AH1680" t="inlineStr">
        <is>
          <t>Quelle: Idealista</t>
        </is>
      </c>
    </row>
    <row r="1681">
      <c r="A1681" t="n">
        <v>1494</v>
      </c>
      <c r="B1681" t="inlineStr">
        <is>
          <t>Casa rural</t>
        </is>
      </c>
      <c r="C1681" t="inlineStr">
        <is>
          <t>https://www.idealista.com/inmueble/105622867/</t>
        </is>
      </c>
      <c r="E1681" t="n">
        <v>5</v>
      </c>
      <c r="H1681" t="n">
        <v>600</v>
      </c>
      <c r="J1681" t="inlineStr">
        <is>
          <t>Porreres</t>
        </is>
      </c>
      <c r="K1681" t="n">
        <v>35.9</v>
      </c>
      <c r="L1681" t="n">
        <v>34</v>
      </c>
      <c r="M1681" t="n">
        <v>27.6</v>
      </c>
      <c r="N1681" t="n">
        <v>32</v>
      </c>
      <c r="O1681" t="n">
        <v>69.3</v>
      </c>
      <c r="P1681" t="n">
        <v>59</v>
      </c>
      <c r="Q1681" t="n">
        <v>25.3</v>
      </c>
      <c r="R1681" t="n">
        <v>29</v>
      </c>
      <c r="S1681" t="n">
        <v>4950000</v>
      </c>
      <c r="T1681" t="n">
        <v>8250</v>
      </c>
      <c r="AH1681" t="inlineStr">
        <is>
          <t>Quelle: Idealista</t>
        </is>
      </c>
    </row>
    <row r="1682">
      <c r="A1682" t="n">
        <v>1495</v>
      </c>
      <c r="B1682" t="inlineStr">
        <is>
          <t>Casa rural</t>
        </is>
      </c>
      <c r="C1682" t="inlineStr">
        <is>
          <t>https://www.idealista.com/inmueble/107006222/</t>
        </is>
      </c>
      <c r="E1682" t="n">
        <v>5</v>
      </c>
      <c r="H1682" t="n">
        <v>400</v>
      </c>
      <c r="J1682" t="inlineStr">
        <is>
          <t>Porreres</t>
        </is>
      </c>
      <c r="K1682" t="n">
        <v>35.9</v>
      </c>
      <c r="L1682" t="n">
        <v>34</v>
      </c>
      <c r="M1682" t="n">
        <v>27.6</v>
      </c>
      <c r="N1682" t="n">
        <v>32</v>
      </c>
      <c r="O1682" t="n">
        <v>69.3</v>
      </c>
      <c r="P1682" t="n">
        <v>59</v>
      </c>
      <c r="Q1682" t="n">
        <v>25.3</v>
      </c>
      <c r="R1682" t="n">
        <v>29</v>
      </c>
      <c r="S1682" t="n">
        <v>5750000</v>
      </c>
      <c r="T1682" t="n">
        <v>14375</v>
      </c>
      <c r="AH1682" t="inlineStr">
        <is>
          <t>Quelle: Idealista</t>
        </is>
      </c>
    </row>
    <row r="1683">
      <c r="A1683" t="n">
        <v>1496</v>
      </c>
      <c r="B1683" t="inlineStr">
        <is>
          <t>Casa independiente</t>
        </is>
      </c>
      <c r="C1683" t="inlineStr">
        <is>
          <t>https://www.idealista.com/inmueble/106701308/</t>
        </is>
      </c>
      <c r="E1683" t="n">
        <v>7</v>
      </c>
      <c r="H1683" t="n">
        <v>540</v>
      </c>
      <c r="J1683" t="inlineStr">
        <is>
          <t>Porreres</t>
        </is>
      </c>
      <c r="K1683" t="n">
        <v>35.9</v>
      </c>
      <c r="L1683" t="n">
        <v>34</v>
      </c>
      <c r="M1683" t="n">
        <v>27.6</v>
      </c>
      <c r="N1683" t="n">
        <v>32</v>
      </c>
      <c r="O1683" t="n">
        <v>69.3</v>
      </c>
      <c r="P1683" t="n">
        <v>59</v>
      </c>
      <c r="Q1683" t="n">
        <v>25.3</v>
      </c>
      <c r="R1683" t="n">
        <v>29</v>
      </c>
      <c r="S1683" t="n">
        <v>2600000</v>
      </c>
      <c r="T1683" t="n">
        <v>4815</v>
      </c>
      <c r="AH1683" t="inlineStr">
        <is>
          <t>Quelle: Idealista</t>
        </is>
      </c>
    </row>
    <row r="1684">
      <c r="A1684" t="n">
        <v>1497</v>
      </c>
      <c r="B1684" t="inlineStr">
        <is>
          <t>Casa rural</t>
        </is>
      </c>
      <c r="C1684" t="inlineStr">
        <is>
          <t>https://www.idealista.com/inmueble/103528581/</t>
        </is>
      </c>
      <c r="E1684" t="n">
        <v>5</v>
      </c>
      <c r="H1684" t="n">
        <v>419</v>
      </c>
      <c r="J1684" t="inlineStr">
        <is>
          <t>Porreres</t>
        </is>
      </c>
      <c r="K1684" t="n">
        <v>35.9</v>
      </c>
      <c r="L1684" t="n">
        <v>34</v>
      </c>
      <c r="M1684" t="n">
        <v>27.6</v>
      </c>
      <c r="N1684" t="n">
        <v>32</v>
      </c>
      <c r="O1684" t="n">
        <v>69.3</v>
      </c>
      <c r="P1684" t="n">
        <v>59</v>
      </c>
      <c r="Q1684" t="n">
        <v>25.3</v>
      </c>
      <c r="R1684" t="n">
        <v>29</v>
      </c>
      <c r="S1684" t="n">
        <v>2490000</v>
      </c>
      <c r="T1684" t="n">
        <v>5943</v>
      </c>
      <c r="AH1684" t="inlineStr">
        <is>
          <t>Quelle: Idealista</t>
        </is>
      </c>
    </row>
    <row r="1685">
      <c r="A1685" t="n">
        <v>1498</v>
      </c>
      <c r="B1685" t="inlineStr">
        <is>
          <t>Chalet en camino Pou Rovat</t>
        </is>
      </c>
      <c r="C1685" t="inlineStr">
        <is>
          <t>https://www.idealista.com/inmueble/103514465/</t>
        </is>
      </c>
      <c r="E1685" t="n">
        <v>5</v>
      </c>
      <c r="H1685" t="n">
        <v>550</v>
      </c>
      <c r="J1685" t="inlineStr">
        <is>
          <t>Porreres</t>
        </is>
      </c>
      <c r="K1685" t="n">
        <v>35.9</v>
      </c>
      <c r="L1685" t="n">
        <v>34</v>
      </c>
      <c r="M1685" t="n">
        <v>27.6</v>
      </c>
      <c r="N1685" t="n">
        <v>32</v>
      </c>
      <c r="O1685" t="n">
        <v>69.3</v>
      </c>
      <c r="P1685" t="n">
        <v>59</v>
      </c>
      <c r="Q1685" t="n">
        <v>25.3</v>
      </c>
      <c r="R1685" t="n">
        <v>29</v>
      </c>
      <c r="S1685" t="n">
        <v>2300000</v>
      </c>
      <c r="T1685" t="n">
        <v>4182</v>
      </c>
      <c r="AH1685" t="inlineStr">
        <is>
          <t>Quelle: Idealista</t>
        </is>
      </c>
    </row>
    <row r="1686">
      <c r="A1686" t="n">
        <v>1499</v>
      </c>
      <c r="B1686" t="inlineStr">
        <is>
          <t>Casa independiente en camino de Banyeres, 441</t>
        </is>
      </c>
      <c r="C1686" t="inlineStr">
        <is>
          <t>https://www.idealista.com/inmueble/101965448/</t>
        </is>
      </c>
      <c r="E1686" t="n">
        <v>5</v>
      </c>
      <c r="H1686" t="n">
        <v>700</v>
      </c>
      <c r="J1686" t="inlineStr">
        <is>
          <t>Porreres</t>
        </is>
      </c>
      <c r="K1686" t="n">
        <v>35.9</v>
      </c>
      <c r="L1686" t="n">
        <v>34</v>
      </c>
      <c r="M1686" t="n">
        <v>27.6</v>
      </c>
      <c r="N1686" t="n">
        <v>32</v>
      </c>
      <c r="O1686" t="n">
        <v>69.3</v>
      </c>
      <c r="P1686" t="n">
        <v>59</v>
      </c>
      <c r="Q1686" t="n">
        <v>25.3</v>
      </c>
      <c r="R1686" t="n">
        <v>29</v>
      </c>
      <c r="S1686" t="n">
        <v>5750000</v>
      </c>
      <c r="T1686" t="n">
        <v>8214</v>
      </c>
      <c r="AH1686" t="inlineStr">
        <is>
          <t>Quelle: Idealista</t>
        </is>
      </c>
    </row>
    <row r="1687">
      <c r="A1687" t="n">
        <v>1500</v>
      </c>
      <c r="B1687" t="inlineStr">
        <is>
          <t>Casa independiente</t>
        </is>
      </c>
      <c r="C1687" t="inlineStr">
        <is>
          <t>https://www.idealista.com/inmueble/97884590/</t>
        </is>
      </c>
      <c r="E1687" t="n">
        <v>5</v>
      </c>
      <c r="H1687" t="n">
        <v>401</v>
      </c>
      <c r="J1687" t="inlineStr">
        <is>
          <t>Porreres</t>
        </is>
      </c>
      <c r="K1687" t="n">
        <v>35.9</v>
      </c>
      <c r="L1687" t="n">
        <v>34</v>
      </c>
      <c r="M1687" t="n">
        <v>27.6</v>
      </c>
      <c r="N1687" t="n">
        <v>32</v>
      </c>
      <c r="O1687" t="n">
        <v>69.3</v>
      </c>
      <c r="P1687" t="n">
        <v>59</v>
      </c>
      <c r="Q1687" t="n">
        <v>25.3</v>
      </c>
      <c r="R1687" t="n">
        <v>29</v>
      </c>
      <c r="S1687" t="n">
        <v>5750000</v>
      </c>
      <c r="T1687" t="n">
        <v>14339</v>
      </c>
      <c r="AH1687" t="inlineStr">
        <is>
          <t>Quelle: Idealista</t>
        </is>
      </c>
    </row>
    <row r="1688">
      <c r="A1688" t="n">
        <v>1501</v>
      </c>
      <c r="B1688" t="inlineStr">
        <is>
          <t>Finca rústica</t>
        </is>
      </c>
      <c r="C1688" t="inlineStr">
        <is>
          <t>https://www.idealista.com/inmueble/109790700/</t>
        </is>
      </c>
      <c r="E1688" t="n">
        <v>5</v>
      </c>
      <c r="H1688" t="n">
        <v>499</v>
      </c>
      <c r="J1688" t="inlineStr">
        <is>
          <t>Puigpunyent</t>
        </is>
      </c>
      <c r="K1688" t="n">
        <v>26.5</v>
      </c>
      <c r="L1688" t="n">
        <v>32</v>
      </c>
      <c r="M1688" t="n">
        <v>69.3</v>
      </c>
      <c r="N1688" t="n">
        <v>65</v>
      </c>
      <c r="O1688" t="n">
        <v>42.1</v>
      </c>
      <c r="P1688" t="n">
        <v>43</v>
      </c>
      <c r="Q1688" t="n">
        <v>67</v>
      </c>
      <c r="R1688" t="n">
        <v>61</v>
      </c>
      <c r="S1688" t="n">
        <v>3995000</v>
      </c>
      <c r="T1688" t="n">
        <v>8006</v>
      </c>
      <c r="AH1688" t="inlineStr">
        <is>
          <t>Quelle: Idealista</t>
        </is>
      </c>
    </row>
    <row r="1689">
      <c r="A1689" t="n">
        <v>1502</v>
      </c>
      <c r="B1689" t="inlineStr">
        <is>
          <t>Chalet</t>
        </is>
      </c>
      <c r="C1689" t="inlineStr">
        <is>
          <t>https://www.idealista.com/inmueble/108750163/</t>
        </is>
      </c>
      <c r="E1689" t="n">
        <v>5</v>
      </c>
      <c r="H1689" t="n">
        <v>401</v>
      </c>
      <c r="J1689" t="inlineStr">
        <is>
          <t>Puigpunyent</t>
        </is>
      </c>
      <c r="K1689" t="n">
        <v>26.5</v>
      </c>
      <c r="L1689" t="n">
        <v>32</v>
      </c>
      <c r="M1689" t="n">
        <v>69.3</v>
      </c>
      <c r="N1689" t="n">
        <v>65</v>
      </c>
      <c r="O1689" t="n">
        <v>42.1</v>
      </c>
      <c r="P1689" t="n">
        <v>43</v>
      </c>
      <c r="Q1689" t="n">
        <v>67</v>
      </c>
      <c r="R1689" t="n">
        <v>61</v>
      </c>
      <c r="S1689" t="n">
        <v>2200000</v>
      </c>
      <c r="T1689" t="n">
        <v>5486</v>
      </c>
      <c r="AH1689" t="inlineStr">
        <is>
          <t>Quelle: Idealista</t>
        </is>
      </c>
    </row>
    <row r="1690">
      <c r="A1690" t="n">
        <v>1503</v>
      </c>
      <c r="B1690" t="inlineStr">
        <is>
          <t>Finca rústica</t>
        </is>
      </c>
      <c r="C1690" t="inlineStr">
        <is>
          <t>https://www.idealista.com/inmueble/105913048/</t>
        </is>
      </c>
      <c r="E1690" t="n">
        <v>5</v>
      </c>
      <c r="H1690" t="n">
        <v>449</v>
      </c>
      <c r="J1690" t="inlineStr">
        <is>
          <t>Puigpunyent</t>
        </is>
      </c>
      <c r="K1690" t="n">
        <v>26.5</v>
      </c>
      <c r="L1690" t="n">
        <v>32</v>
      </c>
      <c r="M1690" t="n">
        <v>69.3</v>
      </c>
      <c r="N1690" t="n">
        <v>65</v>
      </c>
      <c r="O1690" t="n">
        <v>42.1</v>
      </c>
      <c r="P1690" t="n">
        <v>43</v>
      </c>
      <c r="Q1690" t="n">
        <v>67</v>
      </c>
      <c r="R1690" t="n">
        <v>61</v>
      </c>
      <c r="S1690" t="n">
        <v>3995000</v>
      </c>
      <c r="T1690" t="n">
        <v>8898</v>
      </c>
      <c r="AH1690" t="inlineStr">
        <is>
          <t>Quelle: Idealista</t>
        </is>
      </c>
    </row>
    <row r="1691">
      <c r="A1691" t="n">
        <v>1504</v>
      </c>
      <c r="B1691" t="inlineStr">
        <is>
          <t>Casa independiente en calle de Ciutat, 2</t>
        </is>
      </c>
      <c r="C1691" t="inlineStr">
        <is>
          <t>https://www.idealista.com/inmueble/104441351/</t>
        </is>
      </c>
      <c r="E1691" t="n">
        <v>5</v>
      </c>
      <c r="H1691" t="n">
        <v>320</v>
      </c>
      <c r="J1691" t="inlineStr">
        <is>
          <t>Puigpunyent</t>
        </is>
      </c>
      <c r="K1691" t="n">
        <v>26.5</v>
      </c>
      <c r="L1691" t="n">
        <v>32</v>
      </c>
      <c r="M1691" t="n">
        <v>69.3</v>
      </c>
      <c r="N1691" t="n">
        <v>65</v>
      </c>
      <c r="O1691" t="n">
        <v>42.1</v>
      </c>
      <c r="P1691" t="n">
        <v>43</v>
      </c>
      <c r="Q1691" t="n">
        <v>67</v>
      </c>
      <c r="R1691" t="n">
        <v>61</v>
      </c>
      <c r="S1691" t="n">
        <v>2585000</v>
      </c>
      <c r="T1691" t="n">
        <v>8078</v>
      </c>
      <c r="AH1691" t="inlineStr">
        <is>
          <t>Quelle: Idealista</t>
        </is>
      </c>
    </row>
    <row r="1692">
      <c r="A1692" t="n">
        <v>1505</v>
      </c>
      <c r="B1692" t="inlineStr">
        <is>
          <t>Finca rústica</t>
        </is>
      </c>
      <c r="C1692" t="inlineStr">
        <is>
          <t>https://www.idealista.com/inmueble/109936136/</t>
        </is>
      </c>
      <c r="E1692" t="n">
        <v>5</v>
      </c>
      <c r="H1692" t="n">
        <v>815</v>
      </c>
      <c r="J1692" t="inlineStr">
        <is>
          <t>Sa Ràpita</t>
        </is>
      </c>
      <c r="K1692" t="n">
        <v>37.4</v>
      </c>
      <c r="L1692" t="n">
        <v>34</v>
      </c>
      <c r="M1692" t="n">
        <v>17.3</v>
      </c>
      <c r="N1692" t="n">
        <v>22</v>
      </c>
      <c r="O1692" t="n">
        <v>75.59999999999999</v>
      </c>
      <c r="P1692" t="n">
        <v>61</v>
      </c>
      <c r="Q1692" t="n">
        <v>15</v>
      </c>
      <c r="R1692" t="n">
        <v>19</v>
      </c>
      <c r="S1692" t="n">
        <v>3950000</v>
      </c>
      <c r="T1692" t="n">
        <v>4847</v>
      </c>
      <c r="AH1692" t="inlineStr">
        <is>
          <t>Quelle: Idealista</t>
        </is>
      </c>
    </row>
    <row r="1693">
      <c r="A1693" t="n">
        <v>1506</v>
      </c>
      <c r="B1693" t="inlineStr">
        <is>
          <t>Casa rural</t>
        </is>
      </c>
      <c r="C1693" t="inlineStr">
        <is>
          <t>https://www.idealista.com/inmueble/107420981/</t>
        </is>
      </c>
      <c r="E1693" t="n">
        <v>5</v>
      </c>
      <c r="H1693" t="n">
        <v>600</v>
      </c>
      <c r="J1693" t="inlineStr">
        <is>
          <t>Sa Ràpita</t>
        </is>
      </c>
      <c r="K1693" t="n">
        <v>37.4</v>
      </c>
      <c r="L1693" t="n">
        <v>34</v>
      </c>
      <c r="M1693" t="n">
        <v>17.3</v>
      </c>
      <c r="N1693" t="n">
        <v>22</v>
      </c>
      <c r="O1693" t="n">
        <v>75.59999999999999</v>
      </c>
      <c r="P1693" t="n">
        <v>61</v>
      </c>
      <c r="Q1693" t="n">
        <v>15</v>
      </c>
      <c r="R1693" t="n">
        <v>19</v>
      </c>
      <c r="S1693" t="n">
        <v>3950000</v>
      </c>
      <c r="T1693" t="n">
        <v>6583</v>
      </c>
      <c r="AH1693" t="inlineStr">
        <is>
          <t>Quelle: Idealista</t>
        </is>
      </c>
    </row>
    <row r="1694">
      <c r="A1694" t="n">
        <v>1507</v>
      </c>
      <c r="B1694" t="inlineStr">
        <is>
          <t>Casa rural</t>
        </is>
      </c>
      <c r="C1694" t="inlineStr">
        <is>
          <t>https://www.idealista.com/inmueble/109467637/</t>
        </is>
      </c>
      <c r="E1694" t="n">
        <v>5</v>
      </c>
      <c r="H1694" t="n">
        <v>533</v>
      </c>
      <c r="J1694" t="inlineStr">
        <is>
          <t>Sa Ràpita</t>
        </is>
      </c>
      <c r="K1694" t="n">
        <v>37.4</v>
      </c>
      <c r="L1694" t="n">
        <v>34</v>
      </c>
      <c r="M1694" t="n">
        <v>17.3</v>
      </c>
      <c r="N1694" t="n">
        <v>22</v>
      </c>
      <c r="O1694" t="n">
        <v>75.59999999999999</v>
      </c>
      <c r="P1694" t="n">
        <v>61</v>
      </c>
      <c r="Q1694" t="n">
        <v>15</v>
      </c>
      <c r="R1694" t="n">
        <v>19</v>
      </c>
      <c r="S1694" t="n">
        <v>3950000</v>
      </c>
      <c r="T1694" t="n">
        <v>7411</v>
      </c>
      <c r="AH1694" t="inlineStr">
        <is>
          <t>Quelle: Idealista</t>
        </is>
      </c>
    </row>
    <row r="1695">
      <c r="A1695" t="n">
        <v>1508</v>
      </c>
      <c r="B1695" t="inlineStr">
        <is>
          <t>Casa independiente</t>
        </is>
      </c>
      <c r="C1695" t="inlineStr">
        <is>
          <t>https://www.idealista.com/inmueble/109324720/</t>
        </is>
      </c>
      <c r="E1695" t="n">
        <v>5</v>
      </c>
      <c r="H1695" t="n">
        <v>415</v>
      </c>
      <c r="J1695" t="inlineStr">
        <is>
          <t>Sa Ràpita</t>
        </is>
      </c>
      <c r="K1695" t="n">
        <v>37.4</v>
      </c>
      <c r="L1695" t="n">
        <v>34</v>
      </c>
      <c r="M1695" t="n">
        <v>17.3</v>
      </c>
      <c r="N1695" t="n">
        <v>22</v>
      </c>
      <c r="O1695" t="n">
        <v>75.59999999999999</v>
      </c>
      <c r="P1695" t="n">
        <v>61</v>
      </c>
      <c r="Q1695" t="n">
        <v>15</v>
      </c>
      <c r="R1695" t="n">
        <v>19</v>
      </c>
      <c r="S1695" t="n">
        <v>2250000</v>
      </c>
      <c r="T1695" t="n">
        <v>5422</v>
      </c>
      <c r="AH1695" t="inlineStr">
        <is>
          <t>Quelle: Idealista</t>
        </is>
      </c>
    </row>
    <row r="1696">
      <c r="A1696" t="n">
        <v>1509</v>
      </c>
      <c r="B1696" t="inlineStr">
        <is>
          <t>Casa rural</t>
        </is>
      </c>
      <c r="C1696" t="inlineStr">
        <is>
          <t>https://www.idealista.com/inmueble/102364990/</t>
        </is>
      </c>
      <c r="E1696" t="n">
        <v>7</v>
      </c>
      <c r="H1696" t="n">
        <v>636</v>
      </c>
      <c r="J1696" t="inlineStr">
        <is>
          <t>Sa Ràpita</t>
        </is>
      </c>
      <c r="K1696" t="n">
        <v>37.4</v>
      </c>
      <c r="L1696" t="n">
        <v>34</v>
      </c>
      <c r="M1696" t="n">
        <v>17.3</v>
      </c>
      <c r="N1696" t="n">
        <v>22</v>
      </c>
      <c r="O1696" t="n">
        <v>75.59999999999999</v>
      </c>
      <c r="P1696" t="n">
        <v>61</v>
      </c>
      <c r="Q1696" t="n">
        <v>15</v>
      </c>
      <c r="R1696" t="n">
        <v>19</v>
      </c>
      <c r="S1696" t="n">
        <v>3950000</v>
      </c>
      <c r="T1696" t="n">
        <v>6211</v>
      </c>
      <c r="AH1696" t="inlineStr">
        <is>
          <t>Quelle: Idealista</t>
        </is>
      </c>
    </row>
    <row r="1697">
      <c r="A1697" t="n">
        <v>1510</v>
      </c>
      <c r="B1697" t="inlineStr">
        <is>
          <t>Casa independiente en camino Ses Rotes de sa Vinyola</t>
        </is>
      </c>
      <c r="C1697" t="inlineStr">
        <is>
          <t>https://www.idealista.com/inmueble/106134268/</t>
        </is>
      </c>
      <c r="E1697" t="n">
        <v>6</v>
      </c>
      <c r="H1697" t="n">
        <v>680</v>
      </c>
      <c r="J1697" t="inlineStr">
        <is>
          <t>Sa Ràpita</t>
        </is>
      </c>
      <c r="K1697" t="n">
        <v>37.4</v>
      </c>
      <c r="L1697" t="n">
        <v>34</v>
      </c>
      <c r="M1697" t="n">
        <v>17.3</v>
      </c>
      <c r="N1697" t="n">
        <v>22</v>
      </c>
      <c r="O1697" t="n">
        <v>75.59999999999999</v>
      </c>
      <c r="P1697" t="n">
        <v>61</v>
      </c>
      <c r="Q1697" t="n">
        <v>15</v>
      </c>
      <c r="R1697" t="n">
        <v>19</v>
      </c>
      <c r="S1697" t="n">
        <v>2950000</v>
      </c>
      <c r="T1697" t="n">
        <v>4338</v>
      </c>
      <c r="AH1697" t="inlineStr">
        <is>
          <t>Quelle: Idealista</t>
        </is>
      </c>
    </row>
    <row r="1698">
      <c r="A1698" t="n">
        <v>1511</v>
      </c>
      <c r="B1698" t="inlineStr">
        <is>
          <t>Finca rústica</t>
        </is>
      </c>
      <c r="C1698" t="inlineStr">
        <is>
          <t>https://www.idealista.com/inmueble/104827967/</t>
        </is>
      </c>
      <c r="E1698" t="n">
        <v>5</v>
      </c>
      <c r="H1698" t="n">
        <v>607</v>
      </c>
      <c r="J1698" t="inlineStr">
        <is>
          <t>Sa Ràpita</t>
        </is>
      </c>
      <c r="K1698" t="n">
        <v>37.4</v>
      </c>
      <c r="L1698" t="n">
        <v>34</v>
      </c>
      <c r="M1698" t="n">
        <v>17.3</v>
      </c>
      <c r="N1698" t="n">
        <v>22</v>
      </c>
      <c r="O1698" t="n">
        <v>75.59999999999999</v>
      </c>
      <c r="P1698" t="n">
        <v>61</v>
      </c>
      <c r="Q1698" t="n">
        <v>15</v>
      </c>
      <c r="R1698" t="n">
        <v>19</v>
      </c>
      <c r="S1698" t="n">
        <v>3950000</v>
      </c>
      <c r="T1698" t="n">
        <v>6507</v>
      </c>
      <c r="AH1698" t="inlineStr">
        <is>
          <t>Quelle: Idealista</t>
        </is>
      </c>
    </row>
    <row r="1699">
      <c r="A1699" t="n">
        <v>1512</v>
      </c>
      <c r="B1699" t="inlineStr">
        <is>
          <t>Casa independiente en calle de sa Gírgola, 5</t>
        </is>
      </c>
      <c r="C1699" t="inlineStr">
        <is>
          <t>https://www.idealista.com/inmueble/105574989/</t>
        </is>
      </c>
      <c r="E1699" t="n">
        <v>5</v>
      </c>
      <c r="H1699" t="n">
        <v>456</v>
      </c>
      <c r="J1699" t="inlineStr">
        <is>
          <t>Sa Ràpita</t>
        </is>
      </c>
      <c r="K1699" t="n">
        <v>37.4</v>
      </c>
      <c r="L1699" t="n">
        <v>34</v>
      </c>
      <c r="M1699" t="n">
        <v>17.3</v>
      </c>
      <c r="N1699" t="n">
        <v>22</v>
      </c>
      <c r="O1699" t="n">
        <v>75.59999999999999</v>
      </c>
      <c r="P1699" t="n">
        <v>61</v>
      </c>
      <c r="Q1699" t="n">
        <v>15</v>
      </c>
      <c r="R1699" t="n">
        <v>19</v>
      </c>
      <c r="S1699" t="n">
        <v>2250000</v>
      </c>
      <c r="T1699" t="n">
        <v>4934</v>
      </c>
      <c r="AH1699" t="inlineStr">
        <is>
          <t>Quelle: Idealista</t>
        </is>
      </c>
    </row>
    <row r="1700">
      <c r="A1700" t="n">
        <v>1513</v>
      </c>
      <c r="B1700" t="inlineStr">
        <is>
          <t>Casa independiente en calle sa rapita</t>
        </is>
      </c>
      <c r="C1700" t="inlineStr">
        <is>
          <t>https://www.idealista.com/inmueble/104538218/</t>
        </is>
      </c>
      <c r="E1700" t="n">
        <v>5</v>
      </c>
      <c r="H1700" t="n">
        <v>389</v>
      </c>
      <c r="J1700" t="inlineStr">
        <is>
          <t>Sa Ràpita</t>
        </is>
      </c>
      <c r="K1700" t="n">
        <v>37.4</v>
      </c>
      <c r="L1700" t="n">
        <v>34</v>
      </c>
      <c r="M1700" t="n">
        <v>17.3</v>
      </c>
      <c r="N1700" t="n">
        <v>22</v>
      </c>
      <c r="O1700" t="n">
        <v>75.59999999999999</v>
      </c>
      <c r="P1700" t="n">
        <v>61</v>
      </c>
      <c r="Q1700" t="n">
        <v>15</v>
      </c>
      <c r="R1700" t="n">
        <v>19</v>
      </c>
      <c r="S1700" t="n">
        <v>2900000</v>
      </c>
      <c r="T1700" t="n">
        <v>7455</v>
      </c>
      <c r="AH1700" t="inlineStr">
        <is>
          <t>Quelle: Idealista</t>
        </is>
      </c>
    </row>
    <row r="1701">
      <c r="A1701" t="n">
        <v>1514</v>
      </c>
      <c r="B1701" t="inlineStr">
        <is>
          <t>Chalet</t>
        </is>
      </c>
      <c r="C1701" t="inlineStr">
        <is>
          <t>https://www.idealista.com/inmueble/102503498/</t>
        </is>
      </c>
      <c r="E1701" t="n">
        <v>5</v>
      </c>
      <c r="H1701" t="n">
        <v>455</v>
      </c>
      <c r="J1701" t="inlineStr">
        <is>
          <t>Sa Ràpita</t>
        </is>
      </c>
      <c r="K1701" t="n">
        <v>37.4</v>
      </c>
      <c r="L1701" t="n">
        <v>34</v>
      </c>
      <c r="M1701" t="n">
        <v>17.3</v>
      </c>
      <c r="N1701" t="n">
        <v>22</v>
      </c>
      <c r="O1701" t="n">
        <v>75.59999999999999</v>
      </c>
      <c r="P1701" t="n">
        <v>61</v>
      </c>
      <c r="Q1701" t="n">
        <v>15</v>
      </c>
      <c r="R1701" t="n">
        <v>19</v>
      </c>
      <c r="S1701" t="n">
        <v>2940000</v>
      </c>
      <c r="T1701" t="n">
        <v>6462</v>
      </c>
      <c r="AH1701" t="inlineStr">
        <is>
          <t>Quelle: Idealista</t>
        </is>
      </c>
    </row>
    <row r="1702">
      <c r="A1702" t="n">
        <v>1515</v>
      </c>
      <c r="B1702" t="inlineStr">
        <is>
          <t>Casa independiente</t>
        </is>
      </c>
      <c r="C1702" t="inlineStr">
        <is>
          <t>https://www.idealista.com/inmueble/98834636/</t>
        </is>
      </c>
      <c r="E1702" t="n">
        <v>5</v>
      </c>
      <c r="H1702" t="n">
        <v>345</v>
      </c>
      <c r="J1702" t="inlineStr">
        <is>
          <t>Sa Ràpita</t>
        </is>
      </c>
      <c r="K1702" t="n">
        <v>37.4</v>
      </c>
      <c r="L1702" t="n">
        <v>34</v>
      </c>
      <c r="M1702" t="n">
        <v>17.3</v>
      </c>
      <c r="N1702" t="n">
        <v>22</v>
      </c>
      <c r="O1702" t="n">
        <v>75.59999999999999</v>
      </c>
      <c r="P1702" t="n">
        <v>61</v>
      </c>
      <c r="Q1702" t="n">
        <v>15</v>
      </c>
      <c r="R1702" t="n">
        <v>19</v>
      </c>
      <c r="S1702" t="n">
        <v>2999900</v>
      </c>
      <c r="T1702" t="n">
        <v>8695</v>
      </c>
      <c r="AH1702" t="inlineStr">
        <is>
          <t>Quelle: Idealista</t>
        </is>
      </c>
    </row>
    <row r="1703">
      <c r="A1703" t="n">
        <v>1516</v>
      </c>
      <c r="B1703" t="inlineStr">
        <is>
          <t>Casa independiente</t>
        </is>
      </c>
      <c r="C1703" t="inlineStr">
        <is>
          <t>https://www.idealista.com/inmueble/98199989/</t>
        </is>
      </c>
      <c r="E1703" t="n">
        <v>5</v>
      </c>
      <c r="H1703" t="n">
        <v>345</v>
      </c>
      <c r="J1703" t="inlineStr">
        <is>
          <t>Sa Ràpita</t>
        </is>
      </c>
      <c r="K1703" t="n">
        <v>37.4</v>
      </c>
      <c r="L1703" t="n">
        <v>34</v>
      </c>
      <c r="M1703" t="n">
        <v>17.3</v>
      </c>
      <c r="N1703" t="n">
        <v>22</v>
      </c>
      <c r="O1703" t="n">
        <v>75.59999999999999</v>
      </c>
      <c r="P1703" t="n">
        <v>61</v>
      </c>
      <c r="Q1703" t="n">
        <v>15</v>
      </c>
      <c r="R1703" t="n">
        <v>19</v>
      </c>
      <c r="S1703" t="n">
        <v>2957000</v>
      </c>
      <c r="T1703" t="n">
        <v>8571</v>
      </c>
      <c r="AH1703" t="inlineStr">
        <is>
          <t>Quelle: Idealista</t>
        </is>
      </c>
    </row>
    <row r="1704">
      <c r="A1704" t="n">
        <v>1517</v>
      </c>
      <c r="B1704" t="inlineStr">
        <is>
          <t>Chalet adosado en calle Major</t>
        </is>
      </c>
      <c r="C1704" t="inlineStr">
        <is>
          <t>https://www.idealista.com/inmueble/110167781/</t>
        </is>
      </c>
      <c r="E1704" t="n">
        <v>9</v>
      </c>
      <c r="H1704" t="n">
        <v>690</v>
      </c>
      <c r="J1704" t="inlineStr">
        <is>
          <t>Sant Joan</t>
        </is>
      </c>
      <c r="K1704" t="n">
        <v>39.3</v>
      </c>
      <c r="L1704" t="n">
        <v>34</v>
      </c>
      <c r="M1704" t="n">
        <v>38</v>
      </c>
      <c r="N1704" t="n">
        <v>40</v>
      </c>
      <c r="O1704" t="n">
        <v>73.59999999999999</v>
      </c>
      <c r="P1704" t="n">
        <v>59</v>
      </c>
      <c r="Q1704" t="n">
        <v>35.7</v>
      </c>
      <c r="R1704" t="n">
        <v>36</v>
      </c>
      <c r="S1704" t="n">
        <v>2150000</v>
      </c>
      <c r="T1704" t="n">
        <v>3116</v>
      </c>
      <c r="AH1704" t="inlineStr">
        <is>
          <t>Quelle: Idealista</t>
        </is>
      </c>
    </row>
    <row r="1705">
      <c r="A1705" t="n">
        <v>1518</v>
      </c>
      <c r="B1705" t="inlineStr">
        <is>
          <t>Finca rústica en Ds Poligon 5 Rustega</t>
        </is>
      </c>
      <c r="C1705" t="inlineStr">
        <is>
          <t>https://www.idealista.com/inmueble/110129742/</t>
        </is>
      </c>
      <c r="E1705" t="n">
        <v>5</v>
      </c>
      <c r="H1705" t="n">
        <v>752</v>
      </c>
      <c r="J1705" t="inlineStr">
        <is>
          <t>Sant Joan</t>
        </is>
      </c>
      <c r="K1705" t="n">
        <v>39.3</v>
      </c>
      <c r="L1705" t="n">
        <v>34</v>
      </c>
      <c r="M1705" t="n">
        <v>38</v>
      </c>
      <c r="N1705" t="n">
        <v>40</v>
      </c>
      <c r="O1705" t="n">
        <v>73.59999999999999</v>
      </c>
      <c r="P1705" t="n">
        <v>59</v>
      </c>
      <c r="Q1705" t="n">
        <v>35.7</v>
      </c>
      <c r="R1705" t="n">
        <v>36</v>
      </c>
      <c r="S1705" t="n">
        <v>2300000</v>
      </c>
      <c r="T1705" t="n">
        <v>3059</v>
      </c>
      <c r="AH1705" t="inlineStr">
        <is>
          <t>Quelle: Idealista</t>
        </is>
      </c>
    </row>
    <row r="1706">
      <c r="A1706" t="n">
        <v>1519</v>
      </c>
      <c r="B1706" t="inlineStr">
        <is>
          <t>Casa independiente en Diseminado Diseminados Var</t>
        </is>
      </c>
      <c r="C1706" t="inlineStr">
        <is>
          <t>https://www.idealista.com/inmueble/109733123/</t>
        </is>
      </c>
      <c r="E1706" t="n">
        <v>6</v>
      </c>
      <c r="H1706" t="n">
        <v>752</v>
      </c>
      <c r="J1706" t="inlineStr">
        <is>
          <t>Sant Joan</t>
        </is>
      </c>
      <c r="K1706" t="n">
        <v>39.3</v>
      </c>
      <c r="L1706" t="n">
        <v>34</v>
      </c>
      <c r="M1706" t="n">
        <v>38</v>
      </c>
      <c r="N1706" t="n">
        <v>40</v>
      </c>
      <c r="O1706" t="n">
        <v>73.59999999999999</v>
      </c>
      <c r="P1706" t="n">
        <v>59</v>
      </c>
      <c r="Q1706" t="n">
        <v>35.7</v>
      </c>
      <c r="R1706" t="n">
        <v>36</v>
      </c>
      <c r="S1706" t="n">
        <v>2000000</v>
      </c>
      <c r="T1706" t="n">
        <v>2660</v>
      </c>
      <c r="AH1706" t="inlineStr">
        <is>
          <t>Quelle: Idealista</t>
        </is>
      </c>
    </row>
    <row r="1707">
      <c r="A1707" t="n">
        <v>1520</v>
      </c>
      <c r="B1707" t="inlineStr">
        <is>
          <t>Casa independiente</t>
        </is>
      </c>
      <c r="C1707" t="inlineStr">
        <is>
          <t>https://www.idealista.com/inmueble/108440072/</t>
        </is>
      </c>
      <c r="E1707" t="n">
        <v>6</v>
      </c>
      <c r="H1707" t="n">
        <v>752</v>
      </c>
      <c r="J1707" t="inlineStr">
        <is>
          <t>Sant Joan</t>
        </is>
      </c>
      <c r="K1707" t="n">
        <v>39.3</v>
      </c>
      <c r="L1707" t="n">
        <v>34</v>
      </c>
      <c r="M1707" t="n">
        <v>38</v>
      </c>
      <c r="N1707" t="n">
        <v>40</v>
      </c>
      <c r="O1707" t="n">
        <v>73.59999999999999</v>
      </c>
      <c r="P1707" t="n">
        <v>59</v>
      </c>
      <c r="Q1707" t="n">
        <v>35.7</v>
      </c>
      <c r="R1707" t="n">
        <v>36</v>
      </c>
      <c r="S1707" t="n">
        <v>2000000</v>
      </c>
      <c r="T1707" t="n">
        <v>2660</v>
      </c>
      <c r="AH1707" t="inlineStr">
        <is>
          <t>Quelle: Idealista</t>
        </is>
      </c>
    </row>
    <row r="1708">
      <c r="A1708" t="n">
        <v>1521</v>
      </c>
      <c r="B1708" t="inlineStr">
        <is>
          <t>Casa independiente</t>
        </is>
      </c>
      <c r="C1708" t="inlineStr">
        <is>
          <t>https://www.idealista.com/inmueble/109143559/</t>
        </is>
      </c>
      <c r="E1708" t="n">
        <v>9</v>
      </c>
      <c r="H1708" t="n">
        <v>690</v>
      </c>
      <c r="J1708" t="inlineStr">
        <is>
          <t>Sant Joan</t>
        </is>
      </c>
      <c r="K1708" t="n">
        <v>39.3</v>
      </c>
      <c r="L1708" t="n">
        <v>34</v>
      </c>
      <c r="M1708" t="n">
        <v>38</v>
      </c>
      <c r="N1708" t="n">
        <v>40</v>
      </c>
      <c r="O1708" t="n">
        <v>73.59999999999999</v>
      </c>
      <c r="P1708" t="n">
        <v>59</v>
      </c>
      <c r="Q1708" t="n">
        <v>35.7</v>
      </c>
      <c r="R1708" t="n">
        <v>36</v>
      </c>
      <c r="S1708" t="n">
        <v>2150000</v>
      </c>
      <c r="T1708" t="n">
        <v>3116</v>
      </c>
      <c r="AH1708" t="inlineStr">
        <is>
          <t>Quelle: Idealista</t>
        </is>
      </c>
    </row>
    <row r="1709">
      <c r="A1709" t="n">
        <v>1522</v>
      </c>
      <c r="B1709" t="inlineStr">
        <is>
          <t>Finca rústica</t>
        </is>
      </c>
      <c r="C1709" t="inlineStr">
        <is>
          <t>https://www.idealista.com/inmueble/108519912/</t>
        </is>
      </c>
      <c r="E1709" t="n">
        <v>6</v>
      </c>
      <c r="H1709" t="n">
        <v>752</v>
      </c>
      <c r="J1709" t="inlineStr">
        <is>
          <t>Sant Joan</t>
        </is>
      </c>
      <c r="K1709" t="n">
        <v>39.3</v>
      </c>
      <c r="L1709" t="n">
        <v>34</v>
      </c>
      <c r="M1709" t="n">
        <v>38</v>
      </c>
      <c r="N1709" t="n">
        <v>40</v>
      </c>
      <c r="O1709" t="n">
        <v>73.59999999999999</v>
      </c>
      <c r="P1709" t="n">
        <v>59</v>
      </c>
      <c r="Q1709" t="n">
        <v>35.7</v>
      </c>
      <c r="R1709" t="n">
        <v>36</v>
      </c>
      <c r="S1709" t="n">
        <v>2000000</v>
      </c>
      <c r="T1709" t="n">
        <v>2660</v>
      </c>
      <c r="AH1709" t="inlineStr">
        <is>
          <t>Quelle: Idealista</t>
        </is>
      </c>
    </row>
    <row r="1710">
      <c r="A1710" t="n">
        <v>1523</v>
      </c>
      <c r="B1710" t="inlineStr">
        <is>
          <t>Finca rústica</t>
        </is>
      </c>
      <c r="C1710" t="inlineStr">
        <is>
          <t>https://www.idealista.com/inmueble/107124317/</t>
        </is>
      </c>
      <c r="E1710" t="n">
        <v>5</v>
      </c>
      <c r="H1710" t="n">
        <v>240</v>
      </c>
      <c r="J1710" t="inlineStr">
        <is>
          <t>Sant Joan</t>
        </is>
      </c>
      <c r="K1710" t="n">
        <v>39.3</v>
      </c>
      <c r="L1710" t="n">
        <v>34</v>
      </c>
      <c r="M1710" t="n">
        <v>38</v>
      </c>
      <c r="N1710" t="n">
        <v>40</v>
      </c>
      <c r="O1710" t="n">
        <v>73.59999999999999</v>
      </c>
      <c r="P1710" t="n">
        <v>59</v>
      </c>
      <c r="Q1710" t="n">
        <v>35.7</v>
      </c>
      <c r="R1710" t="n">
        <v>36</v>
      </c>
      <c r="S1710" t="n">
        <v>2480000</v>
      </c>
      <c r="T1710" t="n">
        <v>10333</v>
      </c>
      <c r="AH1710" t="inlineStr">
        <is>
          <t>Quelle: Idealista</t>
        </is>
      </c>
    </row>
    <row r="1711">
      <c r="A1711" t="n">
        <v>1524</v>
      </c>
      <c r="B1711" t="inlineStr">
        <is>
          <t>Casa rural</t>
        </is>
      </c>
      <c r="C1711" t="inlineStr">
        <is>
          <t>https://www.idealista.com/inmueble/104387686/</t>
        </is>
      </c>
      <c r="E1711" t="n">
        <v>6</v>
      </c>
      <c r="H1711" t="n">
        <v>488</v>
      </c>
      <c r="J1711" t="inlineStr">
        <is>
          <t>Sant Joan</t>
        </is>
      </c>
      <c r="K1711" t="n">
        <v>39.3</v>
      </c>
      <c r="L1711" t="n">
        <v>34</v>
      </c>
      <c r="M1711" t="n">
        <v>38</v>
      </c>
      <c r="N1711" t="n">
        <v>40</v>
      </c>
      <c r="O1711" t="n">
        <v>73.59999999999999</v>
      </c>
      <c r="P1711" t="n">
        <v>59</v>
      </c>
      <c r="Q1711" t="n">
        <v>35.7</v>
      </c>
      <c r="R1711" t="n">
        <v>36</v>
      </c>
      <c r="S1711" t="n">
        <v>2655000</v>
      </c>
      <c r="T1711" t="n">
        <v>5441</v>
      </c>
      <c r="AH1711" t="inlineStr">
        <is>
          <t>Quelle: Idealista</t>
        </is>
      </c>
    </row>
    <row r="1712">
      <c r="A1712" t="n">
        <v>1525</v>
      </c>
      <c r="B1712" t="inlineStr">
        <is>
          <t>Casa rural en Poligono 2, 630 Parcela</t>
        </is>
      </c>
      <c r="C1712" t="inlineStr">
        <is>
          <t>https://www.idealista.com/inmueble/110246049/</t>
        </is>
      </c>
      <c r="E1712" t="n">
        <v>6</v>
      </c>
      <c r="H1712" t="n">
        <v>542</v>
      </c>
      <c r="J1712" t="inlineStr">
        <is>
          <t>Sant Llorenç Des Cardassar</t>
        </is>
      </c>
      <c r="K1712" t="n">
        <v>56.7</v>
      </c>
      <c r="L1712" t="n">
        <v>49</v>
      </c>
      <c r="M1712" t="n">
        <v>52</v>
      </c>
      <c r="N1712" t="n">
        <v>52</v>
      </c>
      <c r="O1712" t="n">
        <v>90.90000000000001</v>
      </c>
      <c r="P1712" t="n">
        <v>73</v>
      </c>
      <c r="Q1712" t="n">
        <v>49.7</v>
      </c>
      <c r="R1712" t="n">
        <v>48</v>
      </c>
      <c r="S1712" t="n">
        <v>3950000</v>
      </c>
      <c r="T1712" t="n">
        <v>7288</v>
      </c>
      <c r="AH1712" t="inlineStr">
        <is>
          <t>Quelle: Idealista</t>
        </is>
      </c>
    </row>
    <row r="1713">
      <c r="A1713" t="n">
        <v>1526</v>
      </c>
      <c r="B1713" t="inlineStr">
        <is>
          <t>Casa rural en Poligono 7</t>
        </is>
      </c>
      <c r="C1713" t="inlineStr">
        <is>
          <t>https://www.idealista.com/inmueble/110030364/</t>
        </is>
      </c>
      <c r="E1713" t="n">
        <v>5</v>
      </c>
      <c r="H1713" t="n">
        <v>380</v>
      </c>
      <c r="J1713" t="inlineStr">
        <is>
          <t>Sant Llorenç Des Cardassar</t>
        </is>
      </c>
      <c r="K1713" t="n">
        <v>56.7</v>
      </c>
      <c r="L1713" t="n">
        <v>49</v>
      </c>
      <c r="M1713" t="n">
        <v>52</v>
      </c>
      <c r="N1713" t="n">
        <v>52</v>
      </c>
      <c r="O1713" t="n">
        <v>90.90000000000001</v>
      </c>
      <c r="P1713" t="n">
        <v>73</v>
      </c>
      <c r="Q1713" t="n">
        <v>49.7</v>
      </c>
      <c r="R1713" t="n">
        <v>48</v>
      </c>
      <c r="S1713" t="n">
        <v>3300000</v>
      </c>
      <c r="T1713" t="n">
        <v>8684</v>
      </c>
      <c r="AH1713" t="inlineStr">
        <is>
          <t>Quelle: Idealista</t>
        </is>
      </c>
    </row>
    <row r="1714">
      <c r="A1714" t="n">
        <v>1527</v>
      </c>
      <c r="B1714" t="inlineStr">
        <is>
          <t>Finca rústica</t>
        </is>
      </c>
      <c r="C1714" t="inlineStr">
        <is>
          <t>https://www.idealista.com/inmueble/108931755/</t>
        </is>
      </c>
      <c r="E1714" t="n">
        <v>5</v>
      </c>
      <c r="H1714" t="n">
        <v>600</v>
      </c>
      <c r="J1714" t="inlineStr">
        <is>
          <t>Sant Llorenç Des Cardassar</t>
        </is>
      </c>
      <c r="K1714" t="n">
        <v>56.7</v>
      </c>
      <c r="L1714" t="n">
        <v>49</v>
      </c>
      <c r="M1714" t="n">
        <v>52</v>
      </c>
      <c r="N1714" t="n">
        <v>52</v>
      </c>
      <c r="O1714" t="n">
        <v>90.90000000000001</v>
      </c>
      <c r="P1714" t="n">
        <v>73</v>
      </c>
      <c r="Q1714" t="n">
        <v>49.7</v>
      </c>
      <c r="R1714" t="n">
        <v>48</v>
      </c>
      <c r="S1714" t="n">
        <v>5550000</v>
      </c>
      <c r="T1714" t="n">
        <v>9250</v>
      </c>
      <c r="AH1714" t="inlineStr">
        <is>
          <t>Quelle: Idealista</t>
        </is>
      </c>
    </row>
    <row r="1715">
      <c r="A1715" t="n">
        <v>1528</v>
      </c>
      <c r="B1715" t="inlineStr">
        <is>
          <t>Chalet</t>
        </is>
      </c>
      <c r="C1715" t="inlineStr">
        <is>
          <t>https://www.idealista.com/inmueble/93282401/</t>
        </is>
      </c>
      <c r="E1715" t="n">
        <v>25</v>
      </c>
      <c r="H1715" t="n">
        <v>2080</v>
      </c>
      <c r="J1715" t="inlineStr">
        <is>
          <t>Sant Llorenç Des Cardassar</t>
        </is>
      </c>
      <c r="K1715" t="n">
        <v>56.7</v>
      </c>
      <c r="L1715" t="n">
        <v>49</v>
      </c>
      <c r="M1715" t="n">
        <v>52</v>
      </c>
      <c r="N1715" t="n">
        <v>52</v>
      </c>
      <c r="O1715" t="n">
        <v>90.90000000000001</v>
      </c>
      <c r="P1715" t="n">
        <v>73</v>
      </c>
      <c r="Q1715" t="n">
        <v>49.7</v>
      </c>
      <c r="R1715" t="n">
        <v>48</v>
      </c>
      <c r="S1715" t="n">
        <v>2750000</v>
      </c>
      <c r="T1715" t="n">
        <v>1322</v>
      </c>
      <c r="AH1715" t="inlineStr">
        <is>
          <t>Quelle: Idealista</t>
        </is>
      </c>
    </row>
    <row r="1716">
      <c r="A1716" t="n">
        <v>1529</v>
      </c>
      <c r="B1716" t="inlineStr">
        <is>
          <t>Finca rústica</t>
        </is>
      </c>
      <c r="C1716" t="inlineStr">
        <is>
          <t>https://www.idealista.com/inmueble/88846750/</t>
        </is>
      </c>
      <c r="E1716" t="n">
        <v>10</v>
      </c>
      <c r="H1716" t="n">
        <v>673</v>
      </c>
      <c r="J1716" t="inlineStr">
        <is>
          <t>Sant Llorenç Des Cardassar</t>
        </is>
      </c>
      <c r="K1716" t="n">
        <v>56.7</v>
      </c>
      <c r="L1716" t="n">
        <v>49</v>
      </c>
      <c r="M1716" t="n">
        <v>52</v>
      </c>
      <c r="N1716" t="n">
        <v>52</v>
      </c>
      <c r="O1716" t="n">
        <v>90.90000000000001</v>
      </c>
      <c r="P1716" t="n">
        <v>73</v>
      </c>
      <c r="Q1716" t="n">
        <v>49.7</v>
      </c>
      <c r="R1716" t="n">
        <v>48</v>
      </c>
      <c r="S1716" t="n">
        <v>2500000</v>
      </c>
      <c r="T1716" t="n">
        <v>3715</v>
      </c>
      <c r="AH1716" t="inlineStr">
        <is>
          <t>Quelle: Idealista</t>
        </is>
      </c>
    </row>
    <row r="1717">
      <c r="A1717" t="n">
        <v>1530</v>
      </c>
      <c r="B1717" t="inlineStr">
        <is>
          <t>Finca rústica</t>
        </is>
      </c>
      <c r="C1717" t="inlineStr">
        <is>
          <t>https://www.idealista.com/inmueble/88963545/</t>
        </is>
      </c>
      <c r="E1717" t="n">
        <v>12</v>
      </c>
      <c r="H1717" t="n">
        <v>2053</v>
      </c>
      <c r="J1717" t="inlineStr">
        <is>
          <t>Sant Llorenç Des Cardassar</t>
        </is>
      </c>
      <c r="K1717" t="n">
        <v>56.7</v>
      </c>
      <c r="L1717" t="n">
        <v>49</v>
      </c>
      <c r="M1717" t="n">
        <v>52</v>
      </c>
      <c r="N1717" t="n">
        <v>52</v>
      </c>
      <c r="O1717" t="n">
        <v>90.90000000000001</v>
      </c>
      <c r="P1717" t="n">
        <v>73</v>
      </c>
      <c r="Q1717" t="n">
        <v>49.7</v>
      </c>
      <c r="R1717" t="n">
        <v>48</v>
      </c>
      <c r="S1717" t="n">
        <v>2750000</v>
      </c>
      <c r="T1717" t="n">
        <v>1340</v>
      </c>
      <c r="AH1717" t="inlineStr">
        <is>
          <t>Quelle: Idealista</t>
        </is>
      </c>
    </row>
    <row r="1718">
      <c r="A1718" t="n">
        <v>1531</v>
      </c>
      <c r="B1718" t="inlineStr">
        <is>
          <t>Casa rural</t>
        </is>
      </c>
      <c r="C1718" t="inlineStr">
        <is>
          <t>https://www.idealista.com/inmueble/110307092/</t>
        </is>
      </c>
      <c r="E1718" t="n">
        <v>5</v>
      </c>
      <c r="H1718" t="n">
        <v>450</v>
      </c>
      <c r="J1718" t="inlineStr">
        <is>
          <t>Santa Eugenia</t>
        </is>
      </c>
      <c r="K1718" t="n">
        <v>28.5</v>
      </c>
      <c r="L1718" t="n">
        <v>25</v>
      </c>
      <c r="M1718" t="n">
        <v>48.2</v>
      </c>
      <c r="N1718" t="n">
        <v>48</v>
      </c>
      <c r="O1718" t="n">
        <v>51.1</v>
      </c>
      <c r="P1718" t="n">
        <v>42</v>
      </c>
      <c r="Q1718" t="n">
        <v>45.9</v>
      </c>
      <c r="R1718" t="n">
        <v>44</v>
      </c>
      <c r="S1718" t="n">
        <v>4100000</v>
      </c>
      <c r="T1718" t="n">
        <v>9111</v>
      </c>
      <c r="AH1718" t="inlineStr">
        <is>
          <t>Quelle: Idealista</t>
        </is>
      </c>
    </row>
    <row r="1719">
      <c r="A1719" t="n">
        <v>1532</v>
      </c>
      <c r="B1719" t="inlineStr">
        <is>
          <t>Casa independiente en Ma-3020 s/n</t>
        </is>
      </c>
      <c r="C1719" t="inlineStr">
        <is>
          <t>https://www.idealista.com/inmueble/109971477/</t>
        </is>
      </c>
      <c r="E1719" t="n">
        <v>5</v>
      </c>
      <c r="H1719" t="n">
        <v>450</v>
      </c>
      <c r="J1719" t="inlineStr">
        <is>
          <t>Santa Eugenia</t>
        </is>
      </c>
      <c r="K1719" t="n">
        <v>28.5</v>
      </c>
      <c r="L1719" t="n">
        <v>25</v>
      </c>
      <c r="M1719" t="n">
        <v>48.2</v>
      </c>
      <c r="N1719" t="n">
        <v>48</v>
      </c>
      <c r="O1719" t="n">
        <v>51.1</v>
      </c>
      <c r="P1719" t="n">
        <v>42</v>
      </c>
      <c r="Q1719" t="n">
        <v>45.9</v>
      </c>
      <c r="R1719" t="n">
        <v>44</v>
      </c>
      <c r="S1719" t="n">
        <v>4100000</v>
      </c>
      <c r="T1719" t="n">
        <v>9111</v>
      </c>
      <c r="AH1719" t="inlineStr">
        <is>
          <t>Quelle: Idealista</t>
        </is>
      </c>
    </row>
    <row r="1720">
      <c r="A1720" t="n">
        <v>1533</v>
      </c>
      <c r="B1720" t="inlineStr">
        <is>
          <t>Finca rústica</t>
        </is>
      </c>
      <c r="C1720" t="inlineStr">
        <is>
          <t>https://www.idealista.com/inmueble/108116652/</t>
        </is>
      </c>
      <c r="E1720" t="n">
        <v>5</v>
      </c>
      <c r="H1720" t="n">
        <v>319</v>
      </c>
      <c r="J1720" t="inlineStr">
        <is>
          <t>Santa Eugenia</t>
        </is>
      </c>
      <c r="K1720" t="n">
        <v>28.5</v>
      </c>
      <c r="L1720" t="n">
        <v>25</v>
      </c>
      <c r="M1720" t="n">
        <v>48.2</v>
      </c>
      <c r="N1720" t="n">
        <v>48</v>
      </c>
      <c r="O1720" t="n">
        <v>51.1</v>
      </c>
      <c r="P1720" t="n">
        <v>42</v>
      </c>
      <c r="Q1720" t="n">
        <v>45.9</v>
      </c>
      <c r="R1720" t="n">
        <v>44</v>
      </c>
      <c r="S1720" t="n">
        <v>4100000</v>
      </c>
      <c r="T1720" t="n">
        <v>12853</v>
      </c>
      <c r="AH1720" t="inlineStr">
        <is>
          <t>Quelle: Idealista</t>
        </is>
      </c>
    </row>
    <row r="1721">
      <c r="A1721" t="n">
        <v>1534</v>
      </c>
      <c r="B1721" t="inlineStr">
        <is>
          <t>Chalet</t>
        </is>
      </c>
      <c r="C1721" t="inlineStr">
        <is>
          <t>https://www.idealista.com/inmueble/107125608/</t>
        </is>
      </c>
      <c r="E1721" t="n">
        <v>5</v>
      </c>
      <c r="H1721" t="n">
        <v>319</v>
      </c>
      <c r="J1721" t="inlineStr">
        <is>
          <t>Santa Eugenia</t>
        </is>
      </c>
      <c r="K1721" t="n">
        <v>28.5</v>
      </c>
      <c r="L1721" t="n">
        <v>25</v>
      </c>
      <c r="M1721" t="n">
        <v>48.2</v>
      </c>
      <c r="N1721" t="n">
        <v>48</v>
      </c>
      <c r="O1721" t="n">
        <v>51.1</v>
      </c>
      <c r="P1721" t="n">
        <v>42</v>
      </c>
      <c r="Q1721" t="n">
        <v>45.9</v>
      </c>
      <c r="R1721" t="n">
        <v>44</v>
      </c>
      <c r="S1721" t="n">
        <v>4100000</v>
      </c>
      <c r="T1721" t="n">
        <v>12853</v>
      </c>
      <c r="AH1721" t="inlineStr">
        <is>
          <t>Quelle: Idealista</t>
        </is>
      </c>
    </row>
    <row r="1722">
      <c r="A1722" t="n">
        <v>1535</v>
      </c>
      <c r="B1722" t="inlineStr">
        <is>
          <t>Casa rural</t>
        </is>
      </c>
      <c r="C1722" t="inlineStr">
        <is>
          <t>https://www.idealista.com/inmueble/110390230/</t>
        </is>
      </c>
      <c r="E1722" t="n">
        <v>8</v>
      </c>
      <c r="H1722" t="n">
        <v>1250</v>
      </c>
      <c r="J1722" t="inlineStr">
        <is>
          <t>Can Picafort, Santa Margalida</t>
        </is>
      </c>
      <c r="K1722" t="n">
        <v>64.8</v>
      </c>
      <c r="L1722" t="n">
        <v>54</v>
      </c>
      <c r="M1722" t="n">
        <v>61.4</v>
      </c>
      <c r="N1722" t="n">
        <v>65</v>
      </c>
      <c r="O1722" t="n">
        <v>87.40000000000001</v>
      </c>
      <c r="P1722" t="n">
        <v>70</v>
      </c>
      <c r="Q1722" t="n">
        <v>59.1</v>
      </c>
      <c r="R1722" t="n">
        <v>61</v>
      </c>
      <c r="S1722" t="n">
        <v>4600000</v>
      </c>
      <c r="T1722" t="n">
        <v>3680</v>
      </c>
      <c r="AH1722" t="inlineStr">
        <is>
          <t>Quelle: Idealista</t>
        </is>
      </c>
    </row>
    <row r="1723">
      <c r="A1723" t="n">
        <v>1536</v>
      </c>
      <c r="B1723" t="inlineStr">
        <is>
          <t>Chalet adosado en calle Cervantes, 12 -10</t>
        </is>
      </c>
      <c r="C1723" t="inlineStr">
        <is>
          <t>https://www.idealista.com/inmueble/104253988/</t>
        </is>
      </c>
      <c r="E1723" t="n">
        <v>7</v>
      </c>
      <c r="H1723" t="n">
        <v>273</v>
      </c>
      <c r="J1723" t="inlineStr">
        <is>
          <t>Can Picafort, Santa Margalida</t>
        </is>
      </c>
      <c r="K1723" t="n">
        <v>64.8</v>
      </c>
      <c r="L1723" t="n">
        <v>54</v>
      </c>
      <c r="M1723" t="n">
        <v>61.4</v>
      </c>
      <c r="N1723" t="n">
        <v>65</v>
      </c>
      <c r="O1723" t="n">
        <v>87.40000000000001</v>
      </c>
      <c r="P1723" t="n">
        <v>70</v>
      </c>
      <c r="Q1723" t="n">
        <v>59.1</v>
      </c>
      <c r="R1723" t="n">
        <v>61</v>
      </c>
      <c r="S1723" t="n">
        <v>2500000</v>
      </c>
      <c r="T1723" t="n">
        <v>9158</v>
      </c>
      <c r="AH1723" t="inlineStr">
        <is>
          <t>Quelle: Idealista</t>
        </is>
      </c>
    </row>
    <row r="1724">
      <c r="A1724" t="n">
        <v>1537</v>
      </c>
      <c r="B1724" t="inlineStr">
        <is>
          <t>Casa independiente</t>
        </is>
      </c>
      <c r="C1724" t="inlineStr">
        <is>
          <t>https://www.idealista.com/inmueble/109551412/</t>
        </is>
      </c>
      <c r="E1724" t="n">
        <v>8</v>
      </c>
      <c r="H1724" t="n">
        <v>1150</v>
      </c>
      <c r="J1724" t="inlineStr">
        <is>
          <t>Santa Margalida</t>
        </is>
      </c>
      <c r="K1724" t="n">
        <v>56.3</v>
      </c>
      <c r="L1724" t="n">
        <v>47</v>
      </c>
      <c r="M1724" t="n">
        <v>52.4</v>
      </c>
      <c r="N1724" t="n">
        <v>55</v>
      </c>
      <c r="O1724" t="n">
        <v>78.90000000000001</v>
      </c>
      <c r="P1724" t="n">
        <v>63</v>
      </c>
      <c r="Q1724" t="n">
        <v>50.1</v>
      </c>
      <c r="R1724" t="n">
        <v>51</v>
      </c>
      <c r="S1724" t="n">
        <v>4600000</v>
      </c>
      <c r="T1724" t="n">
        <v>4000</v>
      </c>
      <c r="AH1724" t="inlineStr">
        <is>
          <t>Quelle: Idealista</t>
        </is>
      </c>
    </row>
    <row r="1725">
      <c r="A1725" t="n">
        <v>1538</v>
      </c>
      <c r="B1725" t="inlineStr">
        <is>
          <t>Finca rústica</t>
        </is>
      </c>
      <c r="C1725" t="inlineStr">
        <is>
          <t>https://www.idealista.com/inmueble/106346635/</t>
        </is>
      </c>
      <c r="E1725" t="n">
        <v>5</v>
      </c>
      <c r="H1725" t="n">
        <v>594</v>
      </c>
      <c r="J1725" t="inlineStr">
        <is>
          <t>Santa Margalida</t>
        </is>
      </c>
      <c r="K1725" t="n">
        <v>56.3</v>
      </c>
      <c r="L1725" t="n">
        <v>47</v>
      </c>
      <c r="M1725" t="n">
        <v>52.4</v>
      </c>
      <c r="N1725" t="n">
        <v>55</v>
      </c>
      <c r="O1725" t="n">
        <v>78.90000000000001</v>
      </c>
      <c r="P1725" t="n">
        <v>63</v>
      </c>
      <c r="Q1725" t="n">
        <v>50.1</v>
      </c>
      <c r="R1725" t="n">
        <v>51</v>
      </c>
      <c r="S1725" t="n">
        <v>2200000</v>
      </c>
      <c r="T1725" t="n">
        <v>3704</v>
      </c>
      <c r="AH1725" t="inlineStr">
        <is>
          <t>Quelle: Idealista</t>
        </is>
      </c>
    </row>
    <row r="1726">
      <c r="A1726" t="n">
        <v>1539</v>
      </c>
      <c r="B1726" t="inlineStr">
        <is>
          <t>Chalet adosado en paseo Colón</t>
        </is>
      </c>
      <c r="C1726" t="inlineStr">
        <is>
          <t>https://www.idealista.com/inmueble/108767649/</t>
        </is>
      </c>
      <c r="E1726" t="n">
        <v>6</v>
      </c>
      <c r="H1726" t="n">
        <v>273</v>
      </c>
      <c r="J1726" t="inlineStr">
        <is>
          <t>Can Picafort, Santa Margalida</t>
        </is>
      </c>
      <c r="K1726" t="n">
        <v>64.8</v>
      </c>
      <c r="L1726" t="n">
        <v>54</v>
      </c>
      <c r="M1726" t="n">
        <v>61.4</v>
      </c>
      <c r="N1726" t="n">
        <v>65</v>
      </c>
      <c r="O1726" t="n">
        <v>87.40000000000001</v>
      </c>
      <c r="P1726" t="n">
        <v>70</v>
      </c>
      <c r="Q1726" t="n">
        <v>59.1</v>
      </c>
      <c r="R1726" t="n">
        <v>61</v>
      </c>
      <c r="S1726" t="n">
        <v>2500000</v>
      </c>
      <c r="T1726" t="n">
        <v>9158</v>
      </c>
      <c r="AH1726" t="inlineStr">
        <is>
          <t>Quelle: Idealista</t>
        </is>
      </c>
    </row>
    <row r="1727">
      <c r="A1727" t="n">
        <v>1540</v>
      </c>
      <c r="B1727" t="inlineStr">
        <is>
          <t>Masía</t>
        </is>
      </c>
      <c r="C1727" t="inlineStr">
        <is>
          <t>https://www.idealista.com/inmueble/107522863/</t>
        </is>
      </c>
      <c r="E1727" t="n">
        <v>5</v>
      </c>
      <c r="H1727" t="n">
        <v>1969</v>
      </c>
      <c r="J1727" t="inlineStr">
        <is>
          <t>Santa Margalida</t>
        </is>
      </c>
      <c r="K1727" t="n">
        <v>56.3</v>
      </c>
      <c r="L1727" t="n">
        <v>47</v>
      </c>
      <c r="M1727" t="n">
        <v>52.4</v>
      </c>
      <c r="N1727" t="n">
        <v>55</v>
      </c>
      <c r="O1727" t="n">
        <v>78.90000000000001</v>
      </c>
      <c r="P1727" t="n">
        <v>63</v>
      </c>
      <c r="Q1727" t="n">
        <v>50.1</v>
      </c>
      <c r="R1727" t="n">
        <v>51</v>
      </c>
      <c r="S1727" t="n">
        <v>6000000</v>
      </c>
      <c r="T1727" t="n">
        <v>3047</v>
      </c>
      <c r="AH1727" t="inlineStr">
        <is>
          <t>Quelle: Idealista</t>
        </is>
      </c>
    </row>
    <row r="1728">
      <c r="A1728" t="n">
        <v>1541</v>
      </c>
      <c r="B1728" t="inlineStr">
        <is>
          <t>Casa rural</t>
        </is>
      </c>
      <c r="C1728" t="inlineStr">
        <is>
          <t>https://www.idealista.com/inmueble/107442583/</t>
        </is>
      </c>
      <c r="E1728" t="n">
        <v>6</v>
      </c>
      <c r="H1728" t="n">
        <v>775</v>
      </c>
      <c r="J1728" t="inlineStr">
        <is>
          <t>Santa Margalida</t>
        </is>
      </c>
      <c r="K1728" t="n">
        <v>56.3</v>
      </c>
      <c r="L1728" t="n">
        <v>47</v>
      </c>
      <c r="M1728" t="n">
        <v>52.4</v>
      </c>
      <c r="N1728" t="n">
        <v>55</v>
      </c>
      <c r="O1728" t="n">
        <v>78.90000000000001</v>
      </c>
      <c r="P1728" t="n">
        <v>63</v>
      </c>
      <c r="Q1728" t="n">
        <v>50.1</v>
      </c>
      <c r="R1728" t="n">
        <v>51</v>
      </c>
      <c r="S1728" t="n">
        <v>4600000</v>
      </c>
      <c r="T1728" t="n">
        <v>5935</v>
      </c>
      <c r="AH1728" t="inlineStr">
        <is>
          <t>Quelle: Idealista</t>
        </is>
      </c>
    </row>
    <row r="1729">
      <c r="A1729" t="n">
        <v>1542</v>
      </c>
      <c r="B1729" t="inlineStr">
        <is>
          <t>Casa rural</t>
        </is>
      </c>
      <c r="C1729" t="inlineStr">
        <is>
          <t>https://www.idealista.com/inmueble/102075600/</t>
        </is>
      </c>
      <c r="E1729" t="n">
        <v>5</v>
      </c>
      <c r="H1729" t="n">
        <v>590</v>
      </c>
      <c r="J1729" t="inlineStr">
        <is>
          <t>Santa Margalida</t>
        </is>
      </c>
      <c r="K1729" t="n">
        <v>56.3</v>
      </c>
      <c r="L1729" t="n">
        <v>47</v>
      </c>
      <c r="M1729" t="n">
        <v>52.4</v>
      </c>
      <c r="N1729" t="n">
        <v>55</v>
      </c>
      <c r="O1729" t="n">
        <v>78.90000000000001</v>
      </c>
      <c r="P1729" t="n">
        <v>63</v>
      </c>
      <c r="Q1729" t="n">
        <v>50.1</v>
      </c>
      <c r="R1729" t="n">
        <v>51</v>
      </c>
      <c r="S1729" t="n">
        <v>2200000</v>
      </c>
      <c r="T1729" t="n">
        <v>3729</v>
      </c>
      <c r="AH1729" t="inlineStr">
        <is>
          <t>Quelle: Idealista</t>
        </is>
      </c>
    </row>
    <row r="1730">
      <c r="A1730" t="n">
        <v>1543</v>
      </c>
      <c r="B1730" t="inlineStr">
        <is>
          <t>Casa independiente</t>
        </is>
      </c>
      <c r="C1730" t="inlineStr">
        <is>
          <t>https://www.idealista.com/inmueble/106085732/</t>
        </is>
      </c>
      <c r="E1730" t="n">
        <v>5</v>
      </c>
      <c r="H1730" t="n">
        <v>720</v>
      </c>
      <c r="J1730" t="inlineStr">
        <is>
          <t>Can Picafort, Santa Margalida</t>
        </is>
      </c>
      <c r="K1730" t="n">
        <v>64.8</v>
      </c>
      <c r="L1730" t="n">
        <v>54</v>
      </c>
      <c r="M1730" t="n">
        <v>61.4</v>
      </c>
      <c r="N1730" t="n">
        <v>65</v>
      </c>
      <c r="O1730" t="n">
        <v>87.40000000000001</v>
      </c>
      <c r="P1730" t="n">
        <v>70</v>
      </c>
      <c r="Q1730" t="n">
        <v>59.1</v>
      </c>
      <c r="R1730" t="n">
        <v>61</v>
      </c>
      <c r="S1730" t="n">
        <v>2500000</v>
      </c>
      <c r="T1730" t="n">
        <v>3472</v>
      </c>
      <c r="AH1730" t="inlineStr">
        <is>
          <t>Quelle: Idealista</t>
        </is>
      </c>
    </row>
    <row r="1731">
      <c r="A1731" t="n">
        <v>1544</v>
      </c>
      <c r="B1731" t="inlineStr">
        <is>
          <t>Casa rural</t>
        </is>
      </c>
      <c r="C1731" t="inlineStr">
        <is>
          <t>https://www.idealista.com/inmueble/103596272/</t>
        </is>
      </c>
      <c r="E1731" t="n">
        <v>6</v>
      </c>
      <c r="H1731" t="n">
        <v>820</v>
      </c>
      <c r="J1731" t="inlineStr">
        <is>
          <t>Santa Margalida</t>
        </is>
      </c>
      <c r="K1731" t="n">
        <v>56.3</v>
      </c>
      <c r="L1731" t="n">
        <v>47</v>
      </c>
      <c r="M1731" t="n">
        <v>52.4</v>
      </c>
      <c r="N1731" t="n">
        <v>55</v>
      </c>
      <c r="O1731" t="n">
        <v>78.90000000000001</v>
      </c>
      <c r="P1731" t="n">
        <v>63</v>
      </c>
      <c r="Q1731" t="n">
        <v>50.1</v>
      </c>
      <c r="R1731" t="n">
        <v>51</v>
      </c>
      <c r="S1731" t="n">
        <v>4600000</v>
      </c>
      <c r="T1731" t="n">
        <v>5610</v>
      </c>
      <c r="AH1731" t="inlineStr">
        <is>
          <t>Quelle: Idealista</t>
        </is>
      </c>
    </row>
    <row r="1732">
      <c r="A1732" t="n">
        <v>1545</v>
      </c>
      <c r="B1732" t="inlineStr">
        <is>
          <t>Chalet pareado</t>
        </is>
      </c>
      <c r="C1732" t="inlineStr">
        <is>
          <t>https://www.idealista.com/inmueble/102307702/</t>
        </is>
      </c>
      <c r="E1732" t="n">
        <v>7</v>
      </c>
      <c r="H1732" t="n">
        <v>273</v>
      </c>
      <c r="J1732" t="inlineStr">
        <is>
          <t>Can Picafort, Santa Margalida</t>
        </is>
      </c>
      <c r="K1732" t="n">
        <v>64.8</v>
      </c>
      <c r="L1732" t="n">
        <v>54</v>
      </c>
      <c r="M1732" t="n">
        <v>61.4</v>
      </c>
      <c r="N1732" t="n">
        <v>65</v>
      </c>
      <c r="O1732" t="n">
        <v>87.40000000000001</v>
      </c>
      <c r="P1732" t="n">
        <v>70</v>
      </c>
      <c r="Q1732" t="n">
        <v>59.1</v>
      </c>
      <c r="R1732" t="n">
        <v>61</v>
      </c>
      <c r="S1732" t="n">
        <v>2500000</v>
      </c>
      <c r="T1732" t="n">
        <v>9158</v>
      </c>
      <c r="AH1732" t="inlineStr">
        <is>
          <t>Quelle: Idealista</t>
        </is>
      </c>
    </row>
    <row r="1733">
      <c r="A1733" t="n">
        <v>1546</v>
      </c>
      <c r="B1733" t="inlineStr">
        <is>
          <t>Casa independiente</t>
        </is>
      </c>
      <c r="C1733" t="inlineStr">
        <is>
          <t>https://www.idealista.com/inmueble/100226258/</t>
        </is>
      </c>
      <c r="E1733" t="n">
        <v>5</v>
      </c>
      <c r="H1733" t="n">
        <v>720</v>
      </c>
      <c r="J1733" t="inlineStr">
        <is>
          <t>Can Picafort, Santa Margalida</t>
        </is>
      </c>
      <c r="K1733" t="n">
        <v>64.8</v>
      </c>
      <c r="L1733" t="n">
        <v>54</v>
      </c>
      <c r="M1733" t="n">
        <v>61.4</v>
      </c>
      <c r="N1733" t="n">
        <v>65</v>
      </c>
      <c r="O1733" t="n">
        <v>87.40000000000001</v>
      </c>
      <c r="P1733" t="n">
        <v>70</v>
      </c>
      <c r="Q1733" t="n">
        <v>59.1</v>
      </c>
      <c r="R1733" t="n">
        <v>61</v>
      </c>
      <c r="S1733" t="n">
        <v>2500000</v>
      </c>
      <c r="T1733" t="n">
        <v>3472</v>
      </c>
      <c r="AH1733" t="inlineStr">
        <is>
          <t>Quelle: Idealista</t>
        </is>
      </c>
    </row>
    <row r="1734">
      <c r="A1734" t="n">
        <v>1547</v>
      </c>
      <c r="B1734" t="inlineStr">
        <is>
          <t>Casa independiente</t>
        </is>
      </c>
      <c r="C1734" t="inlineStr">
        <is>
          <t>https://www.idealista.com/inmueble/95321533/</t>
        </is>
      </c>
      <c r="E1734" t="n">
        <v>5</v>
      </c>
      <c r="H1734" t="n">
        <v>719</v>
      </c>
      <c r="J1734" t="inlineStr">
        <is>
          <t>Can Picafort, Santa Margalida</t>
        </is>
      </c>
      <c r="K1734" t="n">
        <v>64.8</v>
      </c>
      <c r="L1734" t="n">
        <v>54</v>
      </c>
      <c r="M1734" t="n">
        <v>61.4</v>
      </c>
      <c r="N1734" t="n">
        <v>65</v>
      </c>
      <c r="O1734" t="n">
        <v>87.40000000000001</v>
      </c>
      <c r="P1734" t="n">
        <v>70</v>
      </c>
      <c r="Q1734" t="n">
        <v>59.1</v>
      </c>
      <c r="R1734" t="n">
        <v>61</v>
      </c>
      <c r="S1734" t="n">
        <v>2500000</v>
      </c>
      <c r="T1734" t="n">
        <v>3477</v>
      </c>
      <c r="AH1734" t="inlineStr">
        <is>
          <t>Quelle: Idealista</t>
        </is>
      </c>
    </row>
    <row r="1735">
      <c r="A1735" t="n">
        <v>1548</v>
      </c>
      <c r="B1735" t="inlineStr">
        <is>
          <t>Chalet adosado</t>
        </is>
      </c>
      <c r="C1735" t="inlineStr">
        <is>
          <t>https://www.idealista.com/inmueble/98432958/</t>
        </is>
      </c>
      <c r="E1735" t="n">
        <v>6</v>
      </c>
      <c r="H1735" t="n">
        <v>273</v>
      </c>
      <c r="J1735" t="inlineStr">
        <is>
          <t>Can Picafort, Santa Margalida</t>
        </is>
      </c>
      <c r="K1735" t="n">
        <v>64.8</v>
      </c>
      <c r="L1735" t="n">
        <v>54</v>
      </c>
      <c r="M1735" t="n">
        <v>61.4</v>
      </c>
      <c r="N1735" t="n">
        <v>65</v>
      </c>
      <c r="O1735" t="n">
        <v>87.40000000000001</v>
      </c>
      <c r="P1735" t="n">
        <v>70</v>
      </c>
      <c r="Q1735" t="n">
        <v>59.1</v>
      </c>
      <c r="R1735" t="n">
        <v>61</v>
      </c>
      <c r="S1735" t="n">
        <v>2500000</v>
      </c>
      <c r="T1735" t="n">
        <v>9158</v>
      </c>
      <c r="AH1735" t="inlineStr">
        <is>
          <t>Quelle: Idealista</t>
        </is>
      </c>
    </row>
    <row r="1736">
      <c r="A1736" t="n">
        <v>1549</v>
      </c>
      <c r="B1736" t="inlineStr">
        <is>
          <t>Chalet</t>
        </is>
      </c>
      <c r="C1736" t="inlineStr">
        <is>
          <t>https://www.idealista.com/inmueble/95620121/</t>
        </is>
      </c>
      <c r="E1736" t="n">
        <v>5</v>
      </c>
      <c r="H1736" t="n">
        <v>720</v>
      </c>
      <c r="J1736" t="inlineStr">
        <is>
          <t>Can Picafort, Santa Margalida</t>
        </is>
      </c>
      <c r="K1736" t="n">
        <v>64.8</v>
      </c>
      <c r="L1736" t="n">
        <v>54</v>
      </c>
      <c r="M1736" t="n">
        <v>61.4</v>
      </c>
      <c r="N1736" t="n">
        <v>65</v>
      </c>
      <c r="O1736" t="n">
        <v>87.40000000000001</v>
      </c>
      <c r="P1736" t="n">
        <v>70</v>
      </c>
      <c r="Q1736" t="n">
        <v>59.1</v>
      </c>
      <c r="R1736" t="n">
        <v>61</v>
      </c>
      <c r="S1736" t="n">
        <v>2500000</v>
      </c>
      <c r="T1736" t="n">
        <v>3472</v>
      </c>
      <c r="AH1736" t="inlineStr">
        <is>
          <t>Quelle: Idealista</t>
        </is>
      </c>
    </row>
    <row r="1737">
      <c r="A1737" t="n">
        <v>1550</v>
      </c>
      <c r="B1737" t="inlineStr">
        <is>
          <t>Finca rústica</t>
        </is>
      </c>
      <c r="C1737" t="inlineStr">
        <is>
          <t>https://www.idealista.com/inmueble/85686405/</t>
        </is>
      </c>
      <c r="E1737" t="n">
        <v>5</v>
      </c>
      <c r="H1737" t="n">
        <v>1076</v>
      </c>
      <c r="J1737" t="inlineStr">
        <is>
          <t>Santa Margalida</t>
        </is>
      </c>
      <c r="K1737" t="n">
        <v>56.3</v>
      </c>
      <c r="L1737" t="n">
        <v>47</v>
      </c>
      <c r="M1737" t="n">
        <v>52.4</v>
      </c>
      <c r="N1737" t="n">
        <v>55</v>
      </c>
      <c r="O1737" t="n">
        <v>78.90000000000001</v>
      </c>
      <c r="P1737" t="n">
        <v>63</v>
      </c>
      <c r="Q1737" t="n">
        <v>50.1</v>
      </c>
      <c r="R1737" t="n">
        <v>51</v>
      </c>
      <c r="S1737" t="n">
        <v>2100000</v>
      </c>
      <c r="T1737" t="n">
        <v>1952</v>
      </c>
      <c r="AH1737" t="inlineStr">
        <is>
          <t>Quelle: Idealista</t>
        </is>
      </c>
    </row>
    <row r="1738">
      <c r="A1738" t="n">
        <v>1551</v>
      </c>
      <c r="B1738" t="inlineStr">
        <is>
          <t>Casa independiente</t>
        </is>
      </c>
      <c r="C1738" t="inlineStr">
        <is>
          <t>https://www.idealista.com/inmueble/110319830/</t>
        </is>
      </c>
      <c r="E1738" t="n">
        <v>5</v>
      </c>
      <c r="H1738" t="n">
        <v>500</v>
      </c>
      <c r="J1738" t="inlineStr">
        <is>
          <t>Santa Maria del Cami</t>
        </is>
      </c>
      <c r="K1738" t="n">
        <v>23.5</v>
      </c>
      <c r="L1738" t="n">
        <v>21</v>
      </c>
      <c r="M1738" t="n">
        <v>66.3</v>
      </c>
      <c r="N1738" t="n">
        <v>54</v>
      </c>
      <c r="O1738" t="n">
        <v>46.1</v>
      </c>
      <c r="P1738" t="n">
        <v>37</v>
      </c>
      <c r="Q1738" t="n">
        <v>64</v>
      </c>
      <c r="R1738" t="n">
        <v>51</v>
      </c>
      <c r="S1738" t="n">
        <v>6500000</v>
      </c>
      <c r="T1738" t="n">
        <v>13000</v>
      </c>
      <c r="AH1738" t="inlineStr">
        <is>
          <t>Quelle: Idealista</t>
        </is>
      </c>
    </row>
    <row r="1739">
      <c r="A1739" t="n">
        <v>1552</v>
      </c>
      <c r="B1739" t="inlineStr">
        <is>
          <t>Casa rural</t>
        </is>
      </c>
      <c r="C1739" t="inlineStr">
        <is>
          <t>https://www.idealista.com/inmueble/110277928/</t>
        </is>
      </c>
      <c r="E1739" t="n">
        <v>5</v>
      </c>
      <c r="H1739" t="n">
        <v>580</v>
      </c>
      <c r="J1739" t="inlineStr">
        <is>
          <t>Santa Maria del Cami</t>
        </is>
      </c>
      <c r="K1739" t="n">
        <v>23.5</v>
      </c>
      <c r="L1739" t="n">
        <v>21</v>
      </c>
      <c r="M1739" t="n">
        <v>66.3</v>
      </c>
      <c r="N1739" t="n">
        <v>54</v>
      </c>
      <c r="O1739" t="n">
        <v>46.1</v>
      </c>
      <c r="P1739" t="n">
        <v>37</v>
      </c>
      <c r="Q1739" t="n">
        <v>64</v>
      </c>
      <c r="R1739" t="n">
        <v>51</v>
      </c>
      <c r="S1739" t="n">
        <v>5500000</v>
      </c>
      <c r="T1739" t="n">
        <v>9483</v>
      </c>
      <c r="AH1739" t="inlineStr">
        <is>
          <t>Quelle: Idealista</t>
        </is>
      </c>
    </row>
    <row r="1740">
      <c r="A1740" t="n">
        <v>1553</v>
      </c>
      <c r="B1740" t="inlineStr">
        <is>
          <t>Finca rústica</t>
        </is>
      </c>
      <c r="C1740" t="inlineStr">
        <is>
          <t>https://www.idealista.com/inmueble/109978857/</t>
        </is>
      </c>
      <c r="E1740" t="n">
        <v>6</v>
      </c>
      <c r="H1740" t="n">
        <v>600</v>
      </c>
      <c r="J1740" t="inlineStr">
        <is>
          <t>Santa Maria del Cami</t>
        </is>
      </c>
      <c r="K1740" t="n">
        <v>23.5</v>
      </c>
      <c r="L1740" t="n">
        <v>21</v>
      </c>
      <c r="M1740" t="n">
        <v>66.3</v>
      </c>
      <c r="N1740" t="n">
        <v>54</v>
      </c>
      <c r="O1740" t="n">
        <v>46.1</v>
      </c>
      <c r="P1740" t="n">
        <v>37</v>
      </c>
      <c r="Q1740" t="n">
        <v>64</v>
      </c>
      <c r="R1740" t="n">
        <v>51</v>
      </c>
      <c r="S1740" t="n">
        <v>4500000</v>
      </c>
      <c r="T1740" t="n">
        <v>7500</v>
      </c>
      <c r="AH1740" t="inlineStr">
        <is>
          <t>Quelle: Idealista</t>
        </is>
      </c>
    </row>
    <row r="1741">
      <c r="A1741" t="n">
        <v>1554</v>
      </c>
      <c r="B1741" t="inlineStr">
        <is>
          <t>Chalet adosado en calle Andria</t>
        </is>
      </c>
      <c r="C1741" t="inlineStr">
        <is>
          <t>https://www.idealista.com/inmueble/109750780/</t>
        </is>
      </c>
      <c r="E1741" t="n">
        <v>5</v>
      </c>
      <c r="H1741" t="n">
        <v>479</v>
      </c>
      <c r="J1741" t="inlineStr">
        <is>
          <t>Santa Maria del Cami</t>
        </is>
      </c>
      <c r="K1741" t="n">
        <v>23.5</v>
      </c>
      <c r="L1741" t="n">
        <v>21</v>
      </c>
      <c r="M1741" t="n">
        <v>66.3</v>
      </c>
      <c r="N1741" t="n">
        <v>54</v>
      </c>
      <c r="O1741" t="n">
        <v>46.1</v>
      </c>
      <c r="P1741" t="n">
        <v>37</v>
      </c>
      <c r="Q1741" t="n">
        <v>64</v>
      </c>
      <c r="R1741" t="n">
        <v>51</v>
      </c>
      <c r="S1741" t="n">
        <v>3500000</v>
      </c>
      <c r="T1741" t="n">
        <v>7307</v>
      </c>
      <c r="AH1741" t="inlineStr">
        <is>
          <t>Quelle: Idealista</t>
        </is>
      </c>
    </row>
    <row r="1742">
      <c r="A1742" t="n">
        <v>1555</v>
      </c>
      <c r="B1742" t="inlineStr">
        <is>
          <t>Finca rústica</t>
        </is>
      </c>
      <c r="C1742" t="inlineStr">
        <is>
          <t>https://www.idealista.com/inmueble/109602000/</t>
        </is>
      </c>
      <c r="E1742" t="n">
        <v>5</v>
      </c>
      <c r="H1742" t="n">
        <v>620</v>
      </c>
      <c r="J1742" t="inlineStr">
        <is>
          <t>Santa Maria del Cami</t>
        </is>
      </c>
      <c r="K1742" t="n">
        <v>23.5</v>
      </c>
      <c r="L1742" t="n">
        <v>21</v>
      </c>
      <c r="M1742" t="n">
        <v>66.3</v>
      </c>
      <c r="N1742" t="n">
        <v>54</v>
      </c>
      <c r="O1742" t="n">
        <v>46.1</v>
      </c>
      <c r="P1742" t="n">
        <v>37</v>
      </c>
      <c r="Q1742" t="n">
        <v>64</v>
      </c>
      <c r="R1742" t="n">
        <v>51</v>
      </c>
      <c r="S1742" t="n">
        <v>6500000</v>
      </c>
      <c r="T1742" t="n">
        <v>10484</v>
      </c>
      <c r="AH1742" t="inlineStr">
        <is>
          <t>Quelle: Idealista</t>
        </is>
      </c>
    </row>
    <row r="1743">
      <c r="A1743" t="n">
        <v>1556</v>
      </c>
      <c r="B1743" t="inlineStr">
        <is>
          <t>Finca rústica</t>
        </is>
      </c>
      <c r="C1743" t="inlineStr">
        <is>
          <t>https://www.idealista.com/inmueble/109391976/</t>
        </is>
      </c>
      <c r="E1743" t="n">
        <v>6</v>
      </c>
      <c r="H1743" t="n">
        <v>500</v>
      </c>
      <c r="J1743" t="inlineStr">
        <is>
          <t>Santa Maria del Cami</t>
        </is>
      </c>
      <c r="K1743" t="n">
        <v>23.5</v>
      </c>
      <c r="L1743" t="n">
        <v>21</v>
      </c>
      <c r="M1743" t="n">
        <v>66.3</v>
      </c>
      <c r="N1743" t="n">
        <v>54</v>
      </c>
      <c r="O1743" t="n">
        <v>46.1</v>
      </c>
      <c r="P1743" t="n">
        <v>37</v>
      </c>
      <c r="Q1743" t="n">
        <v>64</v>
      </c>
      <c r="R1743" t="n">
        <v>51</v>
      </c>
      <c r="S1743" t="n">
        <v>2100000</v>
      </c>
      <c r="T1743" t="n">
        <v>4200</v>
      </c>
      <c r="AH1743" t="inlineStr">
        <is>
          <t>Quelle: Idealista</t>
        </is>
      </c>
    </row>
    <row r="1744">
      <c r="A1744" t="n">
        <v>1557</v>
      </c>
      <c r="B1744" t="inlineStr">
        <is>
          <t>Casa rural</t>
        </is>
      </c>
      <c r="C1744" t="inlineStr">
        <is>
          <t>https://www.idealista.com/inmueble/108435938/</t>
        </is>
      </c>
      <c r="E1744" t="n">
        <v>6</v>
      </c>
      <c r="H1744" t="n">
        <v>548</v>
      </c>
      <c r="J1744" t="inlineStr">
        <is>
          <t>Santa Maria del Cami</t>
        </is>
      </c>
      <c r="K1744" t="n">
        <v>23.5</v>
      </c>
      <c r="L1744" t="n">
        <v>21</v>
      </c>
      <c r="M1744" t="n">
        <v>66.3</v>
      </c>
      <c r="N1744" t="n">
        <v>54</v>
      </c>
      <c r="O1744" t="n">
        <v>46.1</v>
      </c>
      <c r="P1744" t="n">
        <v>37</v>
      </c>
      <c r="Q1744" t="n">
        <v>64</v>
      </c>
      <c r="R1744" t="n">
        <v>51</v>
      </c>
      <c r="S1744" t="n">
        <v>4950000</v>
      </c>
      <c r="T1744" t="n">
        <v>9033</v>
      </c>
      <c r="AH1744" t="inlineStr">
        <is>
          <t>Quelle: Idealista</t>
        </is>
      </c>
    </row>
    <row r="1745">
      <c r="A1745" t="n">
        <v>1558</v>
      </c>
      <c r="B1745" t="inlineStr">
        <is>
          <t>Casa rural</t>
        </is>
      </c>
      <c r="C1745" t="inlineStr">
        <is>
          <t>https://www.idealista.com/inmueble/109315207/</t>
        </is>
      </c>
      <c r="E1745" t="n">
        <v>5</v>
      </c>
      <c r="H1745" t="n">
        <v>500</v>
      </c>
      <c r="J1745" t="inlineStr">
        <is>
          <t>Santa Maria del Cami</t>
        </is>
      </c>
      <c r="K1745" t="n">
        <v>23.5</v>
      </c>
      <c r="L1745" t="n">
        <v>21</v>
      </c>
      <c r="M1745" t="n">
        <v>66.3</v>
      </c>
      <c r="N1745" t="n">
        <v>54</v>
      </c>
      <c r="O1745" t="n">
        <v>46.1</v>
      </c>
      <c r="P1745" t="n">
        <v>37</v>
      </c>
      <c r="Q1745" t="n">
        <v>64</v>
      </c>
      <c r="R1745" t="n">
        <v>51</v>
      </c>
      <c r="S1745" t="n">
        <v>3999000</v>
      </c>
      <c r="T1745" t="n">
        <v>7998</v>
      </c>
      <c r="AH1745" t="inlineStr">
        <is>
          <t>Quelle: Idealista</t>
        </is>
      </c>
    </row>
    <row r="1746">
      <c r="A1746" t="n">
        <v>1559</v>
      </c>
      <c r="B1746" t="inlineStr">
        <is>
          <t>Casa independiente</t>
        </is>
      </c>
      <c r="C1746" t="inlineStr">
        <is>
          <t>https://www.idealista.com/inmueble/109201464/</t>
        </is>
      </c>
      <c r="E1746" t="n">
        <v>6</v>
      </c>
      <c r="H1746" t="n">
        <v>1040</v>
      </c>
      <c r="J1746" t="inlineStr">
        <is>
          <t>Santa Maria del Cami</t>
        </is>
      </c>
      <c r="K1746" t="n">
        <v>23.5</v>
      </c>
      <c r="L1746" t="n">
        <v>21</v>
      </c>
      <c r="M1746" t="n">
        <v>66.3</v>
      </c>
      <c r="N1746" t="n">
        <v>54</v>
      </c>
      <c r="O1746" t="n">
        <v>46.1</v>
      </c>
      <c r="P1746" t="n">
        <v>37</v>
      </c>
      <c r="Q1746" t="n">
        <v>64</v>
      </c>
      <c r="R1746" t="n">
        <v>51</v>
      </c>
      <c r="S1746" t="n">
        <v>4950000</v>
      </c>
      <c r="T1746" t="n">
        <v>4760</v>
      </c>
      <c r="AH1746" t="inlineStr">
        <is>
          <t>Quelle: Idealista</t>
        </is>
      </c>
    </row>
    <row r="1747">
      <c r="A1747" t="n">
        <v>1560</v>
      </c>
      <c r="B1747" t="inlineStr">
        <is>
          <t>Casa rural</t>
        </is>
      </c>
      <c r="C1747" t="inlineStr">
        <is>
          <t>https://www.idealista.com/inmueble/106346624/</t>
        </is>
      </c>
      <c r="E1747" t="n">
        <v>6</v>
      </c>
      <c r="H1747" t="n">
        <v>474</v>
      </c>
      <c r="J1747" t="inlineStr">
        <is>
          <t>Santa Maria del Cami</t>
        </is>
      </c>
      <c r="K1747" t="n">
        <v>23.5</v>
      </c>
      <c r="L1747" t="n">
        <v>21</v>
      </c>
      <c r="M1747" t="n">
        <v>66.3</v>
      </c>
      <c r="N1747" t="n">
        <v>54</v>
      </c>
      <c r="O1747" t="n">
        <v>46.1</v>
      </c>
      <c r="P1747" t="n">
        <v>37</v>
      </c>
      <c r="Q1747" t="n">
        <v>64</v>
      </c>
      <c r="R1747" t="n">
        <v>51</v>
      </c>
      <c r="S1747" t="n">
        <v>2500000</v>
      </c>
      <c r="T1747" t="n">
        <v>5274</v>
      </c>
      <c r="AH1747" t="inlineStr">
        <is>
          <t>Quelle: Idealista</t>
        </is>
      </c>
    </row>
    <row r="1748">
      <c r="A1748" t="n">
        <v>1561</v>
      </c>
      <c r="B1748" t="inlineStr">
        <is>
          <t>Casa rural</t>
        </is>
      </c>
      <c r="C1748" t="inlineStr">
        <is>
          <t>https://www.idealista.com/inmueble/108997521/</t>
        </is>
      </c>
      <c r="E1748" t="n">
        <v>5</v>
      </c>
      <c r="H1748" t="n">
        <v>400</v>
      </c>
      <c r="J1748" t="inlineStr">
        <is>
          <t>Santa Maria del Cami</t>
        </is>
      </c>
      <c r="K1748" t="n">
        <v>23.5</v>
      </c>
      <c r="L1748" t="n">
        <v>21</v>
      </c>
      <c r="M1748" t="n">
        <v>66.3</v>
      </c>
      <c r="N1748" t="n">
        <v>54</v>
      </c>
      <c r="O1748" t="n">
        <v>46.1</v>
      </c>
      <c r="P1748" t="n">
        <v>37</v>
      </c>
      <c r="Q1748" t="n">
        <v>64</v>
      </c>
      <c r="R1748" t="n">
        <v>51</v>
      </c>
      <c r="S1748" t="n">
        <v>4100000</v>
      </c>
      <c r="T1748" t="n">
        <v>10250</v>
      </c>
      <c r="AH1748" t="inlineStr">
        <is>
          <t>Quelle: Idealista</t>
        </is>
      </c>
    </row>
    <row r="1749">
      <c r="A1749" t="n">
        <v>1562</v>
      </c>
      <c r="B1749" t="inlineStr">
        <is>
          <t>Casa rural</t>
        </is>
      </c>
      <c r="C1749" t="inlineStr">
        <is>
          <t>https://www.idealista.com/inmueble/107651166/</t>
        </is>
      </c>
      <c r="E1749" t="n">
        <v>6</v>
      </c>
      <c r="H1749" t="n">
        <v>600</v>
      </c>
      <c r="J1749" t="inlineStr">
        <is>
          <t>Santa Maria del Cami</t>
        </is>
      </c>
      <c r="K1749" t="n">
        <v>23.5</v>
      </c>
      <c r="L1749" t="n">
        <v>21</v>
      </c>
      <c r="M1749" t="n">
        <v>66.3</v>
      </c>
      <c r="N1749" t="n">
        <v>54</v>
      </c>
      <c r="O1749" t="n">
        <v>46.1</v>
      </c>
      <c r="P1749" t="n">
        <v>37</v>
      </c>
      <c r="Q1749" t="n">
        <v>64</v>
      </c>
      <c r="R1749" t="n">
        <v>51</v>
      </c>
      <c r="S1749" t="n">
        <v>4500000</v>
      </c>
      <c r="T1749" t="n">
        <v>7500</v>
      </c>
      <c r="AH1749" t="inlineStr">
        <is>
          <t>Quelle: Idealista</t>
        </is>
      </c>
    </row>
    <row r="1750">
      <c r="A1750" t="n">
        <v>1563</v>
      </c>
      <c r="B1750" t="inlineStr">
        <is>
          <t>Finca rústica</t>
        </is>
      </c>
      <c r="C1750" t="inlineStr">
        <is>
          <t>https://www.idealista.com/inmueble/107392613/</t>
        </is>
      </c>
      <c r="E1750" t="n">
        <v>6</v>
      </c>
      <c r="H1750" t="n">
        <v>603</v>
      </c>
      <c r="J1750" t="inlineStr">
        <is>
          <t>Santa Maria del Cami</t>
        </is>
      </c>
      <c r="K1750" t="n">
        <v>23.5</v>
      </c>
      <c r="L1750" t="n">
        <v>21</v>
      </c>
      <c r="M1750" t="n">
        <v>66.3</v>
      </c>
      <c r="N1750" t="n">
        <v>54</v>
      </c>
      <c r="O1750" t="n">
        <v>46.1</v>
      </c>
      <c r="P1750" t="n">
        <v>37</v>
      </c>
      <c r="Q1750" t="n">
        <v>64</v>
      </c>
      <c r="R1750" t="n">
        <v>51</v>
      </c>
      <c r="S1750" t="n">
        <v>2995000</v>
      </c>
      <c r="T1750" t="n">
        <v>4967</v>
      </c>
      <c r="AH1750" t="inlineStr">
        <is>
          <t>Quelle: Idealista</t>
        </is>
      </c>
    </row>
    <row r="1751">
      <c r="A1751" t="n">
        <v>1564</v>
      </c>
      <c r="B1751" t="inlineStr">
        <is>
          <t>Casa rural</t>
        </is>
      </c>
      <c r="C1751" t="inlineStr">
        <is>
          <t>https://www.idealista.com/inmueble/107096054/</t>
        </is>
      </c>
      <c r="E1751" t="n">
        <v>6</v>
      </c>
      <c r="H1751" t="n">
        <v>474</v>
      </c>
      <c r="J1751" t="inlineStr">
        <is>
          <t>Santa Maria del Cami</t>
        </is>
      </c>
      <c r="K1751" t="n">
        <v>23.5</v>
      </c>
      <c r="L1751" t="n">
        <v>21</v>
      </c>
      <c r="M1751" t="n">
        <v>66.3</v>
      </c>
      <c r="N1751" t="n">
        <v>54</v>
      </c>
      <c r="O1751" t="n">
        <v>46.1</v>
      </c>
      <c r="P1751" t="n">
        <v>37</v>
      </c>
      <c r="Q1751" t="n">
        <v>64</v>
      </c>
      <c r="R1751" t="n">
        <v>51</v>
      </c>
      <c r="S1751" t="n">
        <v>2500000</v>
      </c>
      <c r="T1751" t="n">
        <v>5274</v>
      </c>
      <c r="AH1751" t="inlineStr">
        <is>
          <t>Quelle: Idealista</t>
        </is>
      </c>
    </row>
    <row r="1752">
      <c r="A1752" t="n">
        <v>1565</v>
      </c>
      <c r="B1752" t="inlineStr">
        <is>
          <t>Casa rural</t>
        </is>
      </c>
      <c r="C1752" t="inlineStr">
        <is>
          <t>https://www.idealista.com/inmueble/107041510/</t>
        </is>
      </c>
      <c r="E1752" t="n">
        <v>5</v>
      </c>
      <c r="H1752" t="n">
        <v>300</v>
      </c>
      <c r="J1752" t="inlineStr">
        <is>
          <t>Santa Maria del Cami</t>
        </is>
      </c>
      <c r="K1752" t="n">
        <v>23.5</v>
      </c>
      <c r="L1752" t="n">
        <v>21</v>
      </c>
      <c r="M1752" t="n">
        <v>66.3</v>
      </c>
      <c r="N1752" t="n">
        <v>54</v>
      </c>
      <c r="O1752" t="n">
        <v>46.1</v>
      </c>
      <c r="P1752" t="n">
        <v>37</v>
      </c>
      <c r="Q1752" t="n">
        <v>64</v>
      </c>
      <c r="R1752" t="n">
        <v>51</v>
      </c>
      <c r="S1752" t="n">
        <v>4100000</v>
      </c>
      <c r="T1752" t="n">
        <v>13667</v>
      </c>
      <c r="AH1752" t="inlineStr">
        <is>
          <t>Quelle: Idealista</t>
        </is>
      </c>
    </row>
    <row r="1753">
      <c r="A1753" t="n">
        <v>1566</v>
      </c>
      <c r="B1753" t="inlineStr">
        <is>
          <t>Casa rural</t>
        </is>
      </c>
      <c r="C1753" t="inlineStr">
        <is>
          <t>https://www.idealista.com/inmueble/106300856/</t>
        </is>
      </c>
      <c r="E1753" t="n">
        <v>5</v>
      </c>
      <c r="H1753" t="n">
        <v>500</v>
      </c>
      <c r="J1753" t="inlineStr">
        <is>
          <t>Santa Maria del Cami</t>
        </is>
      </c>
      <c r="K1753" t="n">
        <v>23.5</v>
      </c>
      <c r="L1753" t="n">
        <v>21</v>
      </c>
      <c r="M1753" t="n">
        <v>66.3</v>
      </c>
      <c r="N1753" t="n">
        <v>54</v>
      </c>
      <c r="O1753" t="n">
        <v>46.1</v>
      </c>
      <c r="P1753" t="n">
        <v>37</v>
      </c>
      <c r="Q1753" t="n">
        <v>64</v>
      </c>
      <c r="R1753" t="n">
        <v>51</v>
      </c>
      <c r="S1753" t="n">
        <v>4100000</v>
      </c>
      <c r="T1753" t="n">
        <v>8200</v>
      </c>
      <c r="AH1753" t="inlineStr">
        <is>
          <t>Quelle: Idealista</t>
        </is>
      </c>
    </row>
    <row r="1754">
      <c r="A1754" t="n">
        <v>1567</v>
      </c>
      <c r="B1754" t="inlineStr">
        <is>
          <t>Casa rural en camino Path Diseminado Poligono 4, 75</t>
        </is>
      </c>
      <c r="C1754" t="inlineStr">
        <is>
          <t>https://www.idealista.com/inmueble/106196003/</t>
        </is>
      </c>
      <c r="E1754" t="n">
        <v>6</v>
      </c>
      <c r="H1754" t="n">
        <v>680</v>
      </c>
      <c r="J1754" t="inlineStr">
        <is>
          <t>Santa Maria del Cami</t>
        </is>
      </c>
      <c r="K1754" t="n">
        <v>23.5</v>
      </c>
      <c r="L1754" t="n">
        <v>21</v>
      </c>
      <c r="M1754" t="n">
        <v>66.3</v>
      </c>
      <c r="N1754" t="n">
        <v>54</v>
      </c>
      <c r="O1754" t="n">
        <v>46.1</v>
      </c>
      <c r="P1754" t="n">
        <v>37</v>
      </c>
      <c r="Q1754" t="n">
        <v>64</v>
      </c>
      <c r="R1754" t="n">
        <v>51</v>
      </c>
      <c r="S1754" t="n">
        <v>4250000</v>
      </c>
      <c r="T1754" t="n">
        <v>6250</v>
      </c>
      <c r="AH1754" t="inlineStr">
        <is>
          <t>Quelle: Idealista</t>
        </is>
      </c>
    </row>
    <row r="1755">
      <c r="A1755" t="n">
        <v>1568</v>
      </c>
      <c r="B1755" t="inlineStr">
        <is>
          <t>Finca rústica</t>
        </is>
      </c>
      <c r="C1755" t="inlineStr">
        <is>
          <t>https://www.idealista.com/inmueble/100991542/</t>
        </is>
      </c>
      <c r="E1755" t="n">
        <v>5</v>
      </c>
      <c r="H1755" t="n">
        <v>480</v>
      </c>
      <c r="J1755" t="inlineStr">
        <is>
          <t>Santa Maria del Cami</t>
        </is>
      </c>
      <c r="K1755" t="n">
        <v>23.5</v>
      </c>
      <c r="L1755" t="n">
        <v>21</v>
      </c>
      <c r="M1755" t="n">
        <v>66.3</v>
      </c>
      <c r="N1755" t="n">
        <v>54</v>
      </c>
      <c r="O1755" t="n">
        <v>46.1</v>
      </c>
      <c r="P1755" t="n">
        <v>37</v>
      </c>
      <c r="Q1755" t="n">
        <v>64</v>
      </c>
      <c r="R1755" t="n">
        <v>51</v>
      </c>
      <c r="S1755" t="n">
        <v>2000000</v>
      </c>
      <c r="T1755" t="n">
        <v>4167</v>
      </c>
      <c r="AH1755" t="inlineStr">
        <is>
          <t>Quelle: Idealista</t>
        </is>
      </c>
    </row>
    <row r="1756">
      <c r="A1756" t="n">
        <v>1569</v>
      </c>
      <c r="B1756" t="inlineStr">
        <is>
          <t>Finca rústica en Cala Llombards</t>
        </is>
      </c>
      <c r="C1756" t="inlineStr">
        <is>
          <t>https://www.idealista.com/inmueble/110452988/</t>
        </is>
      </c>
      <c r="E1756" t="n">
        <v>6</v>
      </c>
      <c r="H1756" t="n">
        <v>878</v>
      </c>
      <c r="J1756" t="inlineStr">
        <is>
          <t>Cala Llombards, Santanyí</t>
        </is>
      </c>
      <c r="K1756" t="n">
        <v>51.7</v>
      </c>
      <c r="L1756" t="n">
        <v>48</v>
      </c>
      <c r="M1756" t="n">
        <v>10.5</v>
      </c>
      <c r="N1756" t="n">
        <v>17</v>
      </c>
      <c r="O1756" t="n">
        <v>89.90000000000001</v>
      </c>
      <c r="P1756" t="n">
        <v>76</v>
      </c>
      <c r="Q1756" t="n">
        <v>11.1</v>
      </c>
      <c r="R1756" t="n">
        <v>19</v>
      </c>
      <c r="S1756" t="n">
        <v>6500000</v>
      </c>
      <c r="T1756" t="n">
        <v>7403</v>
      </c>
      <c r="AH1756" t="inlineStr">
        <is>
          <t>Quelle: Idealista</t>
        </is>
      </c>
    </row>
    <row r="1757">
      <c r="A1757" t="n">
        <v>1570</v>
      </c>
      <c r="B1757" t="inlineStr">
        <is>
          <t>Casa independiente</t>
        </is>
      </c>
      <c r="C1757" t="inlineStr">
        <is>
          <t>https://www.idealista.com/inmueble/110416783/</t>
        </is>
      </c>
      <c r="E1757" t="n">
        <v>5</v>
      </c>
      <c r="H1757" t="n">
        <v>492</v>
      </c>
      <c r="J1757" t="inlineStr">
        <is>
          <t>Santanyí</t>
        </is>
      </c>
      <c r="K1757" t="n">
        <v>45.4</v>
      </c>
      <c r="L1757" t="n">
        <v>39</v>
      </c>
      <c r="M1757" t="n">
        <v>9</v>
      </c>
      <c r="N1757" t="n">
        <v>13</v>
      </c>
      <c r="O1757" t="n">
        <v>83.59999999999999</v>
      </c>
      <c r="P1757" t="n">
        <v>67</v>
      </c>
      <c r="Q1757" t="n">
        <v>9.699999999999999</v>
      </c>
      <c r="R1757" t="n">
        <v>15</v>
      </c>
      <c r="S1757" t="n">
        <v>2100000</v>
      </c>
      <c r="T1757" t="n">
        <v>4268</v>
      </c>
      <c r="AH1757" t="inlineStr">
        <is>
          <t>Quelle: Idealista</t>
        </is>
      </c>
    </row>
    <row r="1758">
      <c r="A1758" t="n">
        <v>1571</v>
      </c>
      <c r="B1758" t="inlineStr">
        <is>
          <t>Casa independiente</t>
        </is>
      </c>
      <c r="C1758" t="inlineStr">
        <is>
          <t>https://www.idealista.com/inmueble/110401623/</t>
        </is>
      </c>
      <c r="E1758" t="n">
        <v>9</v>
      </c>
      <c r="H1758" t="n">
        <v>1010</v>
      </c>
      <c r="J1758" t="inlineStr">
        <is>
          <t>Santanyí</t>
        </is>
      </c>
      <c r="K1758" t="n">
        <v>45.4</v>
      </c>
      <c r="L1758" t="n">
        <v>39</v>
      </c>
      <c r="M1758" t="n">
        <v>9</v>
      </c>
      <c r="N1758" t="n">
        <v>13</v>
      </c>
      <c r="O1758" t="n">
        <v>83.59999999999999</v>
      </c>
      <c r="P1758" t="n">
        <v>67</v>
      </c>
      <c r="Q1758" t="n">
        <v>9.699999999999999</v>
      </c>
      <c r="R1758" t="n">
        <v>15</v>
      </c>
      <c r="S1758" t="n">
        <v>5250000</v>
      </c>
      <c r="T1758" t="n">
        <v>5198</v>
      </c>
      <c r="AH1758" t="inlineStr">
        <is>
          <t>Quelle: Idealista</t>
        </is>
      </c>
    </row>
    <row r="1759">
      <c r="A1759" t="n">
        <v>1572</v>
      </c>
      <c r="B1759" t="inlineStr">
        <is>
          <t>Casa independiente en calle Marquès de Comillas</t>
        </is>
      </c>
      <c r="C1759" t="inlineStr">
        <is>
          <t>https://www.idealista.com/inmueble/110371447/</t>
        </is>
      </c>
      <c r="E1759" t="n">
        <v>8</v>
      </c>
      <c r="H1759" t="n">
        <v>515</v>
      </c>
      <c r="J1759" t="inlineStr">
        <is>
          <t>Cala d'Or, Santanyí</t>
        </is>
      </c>
      <c r="K1759" t="n">
        <v>58.4</v>
      </c>
      <c r="L1759" t="n">
        <v>56</v>
      </c>
      <c r="M1759" t="n">
        <v>21.9</v>
      </c>
      <c r="N1759" t="n">
        <v>32</v>
      </c>
      <c r="O1759" t="n">
        <v>96.59999999999999</v>
      </c>
      <c r="P1759" t="n">
        <v>84</v>
      </c>
      <c r="Q1759" t="n">
        <v>23.3</v>
      </c>
      <c r="R1759" t="n">
        <v>34</v>
      </c>
      <c r="S1759" t="n">
        <v>3500000</v>
      </c>
      <c r="T1759" t="n">
        <v>6796</v>
      </c>
      <c r="AH1759" t="inlineStr">
        <is>
          <t>Quelle: Idealista</t>
        </is>
      </c>
    </row>
    <row r="1760">
      <c r="A1760" t="n">
        <v>1573</v>
      </c>
      <c r="B1760" t="inlineStr">
        <is>
          <t>Casa independiente</t>
        </is>
      </c>
      <c r="C1760" t="inlineStr">
        <is>
          <t>https://www.idealista.com/inmueble/110358951/</t>
        </is>
      </c>
      <c r="E1760" t="n">
        <v>5</v>
      </c>
      <c r="H1760" t="n">
        <v>444</v>
      </c>
      <c r="J1760" t="inlineStr">
        <is>
          <t>Cala d'Or, Santanyí</t>
        </is>
      </c>
      <c r="K1760" t="n">
        <v>58.4</v>
      </c>
      <c r="L1760" t="n">
        <v>56</v>
      </c>
      <c r="M1760" t="n">
        <v>21.9</v>
      </c>
      <c r="N1760" t="n">
        <v>32</v>
      </c>
      <c r="O1760" t="n">
        <v>96.59999999999999</v>
      </c>
      <c r="P1760" t="n">
        <v>84</v>
      </c>
      <c r="Q1760" t="n">
        <v>23.3</v>
      </c>
      <c r="R1760" t="n">
        <v>34</v>
      </c>
      <c r="S1760" t="n">
        <v>2800000</v>
      </c>
      <c r="T1760" t="n">
        <v>6306</v>
      </c>
      <c r="AH1760" t="inlineStr">
        <is>
          <t>Quelle: Idealista</t>
        </is>
      </c>
    </row>
    <row r="1761">
      <c r="A1761" t="n">
        <v>1574</v>
      </c>
      <c r="B1761" t="inlineStr">
        <is>
          <t>Casa rural</t>
        </is>
      </c>
      <c r="C1761" t="inlineStr">
        <is>
          <t>https://www.idealista.com/inmueble/110297813/</t>
        </is>
      </c>
      <c r="E1761" t="n">
        <v>5</v>
      </c>
      <c r="H1761" t="n">
        <v>374</v>
      </c>
      <c r="J1761" t="inlineStr">
        <is>
          <t>Santanyí</t>
        </is>
      </c>
      <c r="K1761" t="n">
        <v>45.4</v>
      </c>
      <c r="L1761" t="n">
        <v>39</v>
      </c>
      <c r="M1761" t="n">
        <v>9</v>
      </c>
      <c r="N1761" t="n">
        <v>13</v>
      </c>
      <c r="O1761" t="n">
        <v>83.59999999999999</v>
      </c>
      <c r="P1761" t="n">
        <v>67</v>
      </c>
      <c r="Q1761" t="n">
        <v>9.699999999999999</v>
      </c>
      <c r="R1761" t="n">
        <v>15</v>
      </c>
      <c r="S1761" t="n">
        <v>2400000</v>
      </c>
      <c r="T1761" t="n">
        <v>6417</v>
      </c>
      <c r="AH1761" t="inlineStr">
        <is>
          <t>Quelle: Idealista</t>
        </is>
      </c>
    </row>
    <row r="1762">
      <c r="A1762" t="n">
        <v>1575</v>
      </c>
      <c r="B1762" t="inlineStr">
        <is>
          <t>Chalet pareado en Diseminado Poligono 11, 679</t>
        </is>
      </c>
      <c r="C1762" t="inlineStr">
        <is>
          <t>https://www.idealista.com/inmueble/110310279/</t>
        </is>
      </c>
      <c r="E1762" t="n">
        <v>5</v>
      </c>
      <c r="H1762" t="n">
        <v>280</v>
      </c>
      <c r="J1762" t="inlineStr">
        <is>
          <t>Cala Figuera, Santanyí</t>
        </is>
      </c>
      <c r="K1762" t="n">
        <v>51.2</v>
      </c>
      <c r="L1762" t="n">
        <v>46</v>
      </c>
      <c r="M1762" t="n">
        <v>13.7</v>
      </c>
      <c r="N1762" t="n">
        <v>18</v>
      </c>
      <c r="O1762" t="n">
        <v>89.40000000000001</v>
      </c>
      <c r="P1762" t="n">
        <v>74</v>
      </c>
      <c r="Q1762" t="n">
        <v>14.4</v>
      </c>
      <c r="R1762" t="n">
        <v>21</v>
      </c>
      <c r="S1762" t="n">
        <v>2800000</v>
      </c>
      <c r="T1762" t="n">
        <v>10000</v>
      </c>
      <c r="AH1762" t="inlineStr">
        <is>
          <t>Quelle: Idealista</t>
        </is>
      </c>
    </row>
    <row r="1763">
      <c r="A1763" t="n">
        <v>1576</v>
      </c>
      <c r="B1763" t="inlineStr">
        <is>
          <t>Finca rústica</t>
        </is>
      </c>
      <c r="C1763" t="inlineStr">
        <is>
          <t>https://www.idealista.com/inmueble/105885873/</t>
        </is>
      </c>
      <c r="E1763" t="n">
        <v>7</v>
      </c>
      <c r="H1763" t="n">
        <v>492</v>
      </c>
      <c r="J1763" t="inlineStr">
        <is>
          <t>Cala d'Or, Santanyí</t>
        </is>
      </c>
      <c r="K1763" t="n">
        <v>58.4</v>
      </c>
      <c r="L1763" t="n">
        <v>56</v>
      </c>
      <c r="M1763" t="n">
        <v>21.9</v>
      </c>
      <c r="N1763" t="n">
        <v>32</v>
      </c>
      <c r="O1763" t="n">
        <v>96.59999999999999</v>
      </c>
      <c r="P1763" t="n">
        <v>84</v>
      </c>
      <c r="Q1763" t="n">
        <v>23.3</v>
      </c>
      <c r="R1763" t="n">
        <v>34</v>
      </c>
      <c r="S1763" t="n">
        <v>4999999</v>
      </c>
      <c r="T1763" t="n">
        <v>10163</v>
      </c>
      <c r="AH1763" t="inlineStr">
        <is>
          <t>Quelle: Idealista</t>
        </is>
      </c>
    </row>
    <row r="1764">
      <c r="A1764" t="n">
        <v>1577</v>
      </c>
      <c r="B1764" t="inlineStr">
        <is>
          <t>Masía</t>
        </is>
      </c>
      <c r="C1764" t="inlineStr">
        <is>
          <t>https://www.idealista.com/inmueble/105693364/</t>
        </is>
      </c>
      <c r="E1764" t="n">
        <v>7</v>
      </c>
      <c r="H1764" t="n">
        <v>834</v>
      </c>
      <c r="J1764" t="inlineStr">
        <is>
          <t>Santanyí</t>
        </is>
      </c>
      <c r="K1764" t="n">
        <v>45.4</v>
      </c>
      <c r="L1764" t="n">
        <v>39</v>
      </c>
      <c r="M1764" t="n">
        <v>9</v>
      </c>
      <c r="N1764" t="n">
        <v>13</v>
      </c>
      <c r="O1764" t="n">
        <v>83.59999999999999</v>
      </c>
      <c r="P1764" t="n">
        <v>67</v>
      </c>
      <c r="Q1764" t="n">
        <v>9.699999999999999</v>
      </c>
      <c r="R1764" t="n">
        <v>15</v>
      </c>
      <c r="S1764" t="n">
        <v>3500000</v>
      </c>
      <c r="T1764" t="n">
        <v>4197</v>
      </c>
      <c r="AH1764" t="inlineStr">
        <is>
          <t>Quelle: Idealista</t>
        </is>
      </c>
    </row>
    <row r="1765">
      <c r="A1765" t="n">
        <v>1578</v>
      </c>
      <c r="B1765" t="inlineStr">
        <is>
          <t>Casa independiente en Ma-6100, 2</t>
        </is>
      </c>
      <c r="C1765" t="inlineStr">
        <is>
          <t>https://www.idealista.com/inmueble/110060757/</t>
        </is>
      </c>
      <c r="E1765" t="n">
        <v>5</v>
      </c>
      <c r="H1765" t="n">
        <v>454</v>
      </c>
      <c r="J1765" t="inlineStr">
        <is>
          <t>Es Llombards, Santanyí</t>
        </is>
      </c>
      <c r="K1765" t="n">
        <v>49.1</v>
      </c>
      <c r="L1765" t="n">
        <v>44</v>
      </c>
      <c r="M1765" t="n">
        <v>5.4</v>
      </c>
      <c r="N1765" t="n">
        <v>9</v>
      </c>
      <c r="O1765" t="n">
        <v>87.3</v>
      </c>
      <c r="P1765" t="n">
        <v>72</v>
      </c>
      <c r="Q1765" t="n">
        <v>6.1</v>
      </c>
      <c r="R1765" t="n">
        <v>11</v>
      </c>
      <c r="S1765" t="n">
        <v>4700000</v>
      </c>
      <c r="T1765" t="n">
        <v>10352</v>
      </c>
      <c r="AH1765" t="inlineStr">
        <is>
          <t>Quelle: Idealista</t>
        </is>
      </c>
    </row>
    <row r="1766">
      <c r="A1766" t="n">
        <v>1579</v>
      </c>
      <c r="B1766" t="inlineStr">
        <is>
          <t>Casa rural</t>
        </is>
      </c>
      <c r="C1766" t="inlineStr">
        <is>
          <t>https://www.idealista.com/inmueble/109973057/</t>
        </is>
      </c>
      <c r="E1766" t="n">
        <v>5</v>
      </c>
      <c r="H1766" t="n">
        <v>437</v>
      </c>
      <c r="J1766" t="inlineStr">
        <is>
          <t>Cala d'Or, Santanyí</t>
        </is>
      </c>
      <c r="K1766" t="n">
        <v>58.4</v>
      </c>
      <c r="L1766" t="n">
        <v>56</v>
      </c>
      <c r="M1766" t="n">
        <v>21.9</v>
      </c>
      <c r="N1766" t="n">
        <v>32</v>
      </c>
      <c r="O1766" t="n">
        <v>96.59999999999999</v>
      </c>
      <c r="P1766" t="n">
        <v>84</v>
      </c>
      <c r="Q1766" t="n">
        <v>23.3</v>
      </c>
      <c r="R1766" t="n">
        <v>34</v>
      </c>
      <c r="S1766" t="n">
        <v>4250000</v>
      </c>
      <c r="T1766" t="n">
        <v>9725</v>
      </c>
      <c r="AH1766" t="inlineStr">
        <is>
          <t>Quelle: Idealista</t>
        </is>
      </c>
    </row>
    <row r="1767">
      <c r="A1767" t="n">
        <v>1580</v>
      </c>
      <c r="B1767" t="inlineStr">
        <is>
          <t>Casa independiente</t>
        </is>
      </c>
      <c r="C1767" t="inlineStr">
        <is>
          <t>https://www.idealista.com/inmueble/109958462/</t>
        </is>
      </c>
      <c r="E1767" t="n">
        <v>5</v>
      </c>
      <c r="H1767" t="n">
        <v>265</v>
      </c>
      <c r="J1767" t="inlineStr">
        <is>
          <t>Cala Figuera, Santanyí</t>
        </is>
      </c>
      <c r="K1767" t="n">
        <v>51.2</v>
      </c>
      <c r="L1767" t="n">
        <v>46</v>
      </c>
      <c r="M1767" t="n">
        <v>13.7</v>
      </c>
      <c r="N1767" t="n">
        <v>18</v>
      </c>
      <c r="O1767" t="n">
        <v>89.40000000000001</v>
      </c>
      <c r="P1767" t="n">
        <v>74</v>
      </c>
      <c r="Q1767" t="n">
        <v>14.4</v>
      </c>
      <c r="R1767" t="n">
        <v>21</v>
      </c>
      <c r="S1767" t="n">
        <v>2950000</v>
      </c>
      <c r="T1767" t="n">
        <v>11132</v>
      </c>
      <c r="AH1767" t="inlineStr">
        <is>
          <t>Quelle: Idealista</t>
        </is>
      </c>
    </row>
    <row r="1768">
      <c r="A1768" t="n">
        <v>1581</v>
      </c>
      <c r="B1768" t="inlineStr">
        <is>
          <t>Casa independiente</t>
        </is>
      </c>
      <c r="C1768" t="inlineStr">
        <is>
          <t>https://www.idealista.com/inmueble/108894960/</t>
        </is>
      </c>
      <c r="E1768" t="n">
        <v>5</v>
      </c>
      <c r="H1768" t="n">
        <v>437</v>
      </c>
      <c r="J1768" t="inlineStr">
        <is>
          <t>Cala d'Or, Santanyí</t>
        </is>
      </c>
      <c r="K1768" t="n">
        <v>58.4</v>
      </c>
      <c r="L1768" t="n">
        <v>56</v>
      </c>
      <c r="M1768" t="n">
        <v>21.9</v>
      </c>
      <c r="N1768" t="n">
        <v>32</v>
      </c>
      <c r="O1768" t="n">
        <v>96.59999999999999</v>
      </c>
      <c r="P1768" t="n">
        <v>84</v>
      </c>
      <c r="Q1768" t="n">
        <v>23.3</v>
      </c>
      <c r="R1768" t="n">
        <v>34</v>
      </c>
      <c r="S1768" t="n">
        <v>3750000</v>
      </c>
      <c r="T1768" t="n">
        <v>8581</v>
      </c>
      <c r="AH1768" t="inlineStr">
        <is>
          <t>Quelle: Idealista</t>
        </is>
      </c>
    </row>
    <row r="1769">
      <c r="A1769" t="n">
        <v>1582</v>
      </c>
      <c r="B1769" t="inlineStr">
        <is>
          <t>Casa de pueblo en Diseminado Poligono 4</t>
        </is>
      </c>
      <c r="C1769" t="inlineStr">
        <is>
          <t>https://www.idealista.com/inmueble/109894023/</t>
        </is>
      </c>
      <c r="E1769" t="n">
        <v>5</v>
      </c>
      <c r="H1769" t="n">
        <v>442</v>
      </c>
      <c r="J1769" t="inlineStr">
        <is>
          <t>Santanyí</t>
        </is>
      </c>
      <c r="K1769" t="n">
        <v>45.4</v>
      </c>
      <c r="L1769" t="n">
        <v>39</v>
      </c>
      <c r="M1769" t="n">
        <v>9</v>
      </c>
      <c r="N1769" t="n">
        <v>13</v>
      </c>
      <c r="O1769" t="n">
        <v>83.59999999999999</v>
      </c>
      <c r="P1769" t="n">
        <v>67</v>
      </c>
      <c r="Q1769" t="n">
        <v>9.699999999999999</v>
      </c>
      <c r="R1769" t="n">
        <v>15</v>
      </c>
      <c r="S1769" t="n">
        <v>2070000</v>
      </c>
      <c r="T1769" t="n">
        <v>4683</v>
      </c>
      <c r="AH1769" t="inlineStr">
        <is>
          <t>Quelle: Idealista</t>
        </is>
      </c>
    </row>
    <row r="1770">
      <c r="A1770" t="n">
        <v>1583</v>
      </c>
      <c r="B1770" t="inlineStr">
        <is>
          <t>Finca rústica</t>
        </is>
      </c>
      <c r="C1770" t="inlineStr">
        <is>
          <t>https://www.idealista.com/inmueble/109831644/</t>
        </is>
      </c>
      <c r="E1770" t="n">
        <v>5</v>
      </c>
      <c r="H1770" t="n">
        <v>393</v>
      </c>
      <c r="J1770" t="inlineStr">
        <is>
          <t>Cala d'Or, Santanyí</t>
        </is>
      </c>
      <c r="K1770" t="n">
        <v>58.4</v>
      </c>
      <c r="L1770" t="n">
        <v>56</v>
      </c>
      <c r="M1770" t="n">
        <v>21.9</v>
      </c>
      <c r="N1770" t="n">
        <v>32</v>
      </c>
      <c r="O1770" t="n">
        <v>96.59999999999999</v>
      </c>
      <c r="P1770" t="n">
        <v>84</v>
      </c>
      <c r="Q1770" t="n">
        <v>23.3</v>
      </c>
      <c r="R1770" t="n">
        <v>34</v>
      </c>
      <c r="S1770" t="n">
        <v>4250000</v>
      </c>
      <c r="T1770" t="n">
        <v>10814</v>
      </c>
      <c r="AH1770" t="inlineStr">
        <is>
          <t>Quelle: Idealista</t>
        </is>
      </c>
    </row>
    <row r="1771">
      <c r="A1771" t="n">
        <v>1584</v>
      </c>
      <c r="B1771" t="inlineStr">
        <is>
          <t>Casa independiente en calle Marquès de Comillas, 5 a</t>
        </is>
      </c>
      <c r="C1771" t="inlineStr">
        <is>
          <t>https://www.idealista.com/inmueble/106459851/</t>
        </is>
      </c>
      <c r="E1771" t="n">
        <v>5</v>
      </c>
      <c r="H1771" t="n">
        <v>500</v>
      </c>
      <c r="J1771" t="inlineStr">
        <is>
          <t>Cala d'Or, Santanyí</t>
        </is>
      </c>
      <c r="K1771" t="n">
        <v>58.4</v>
      </c>
      <c r="L1771" t="n">
        <v>56</v>
      </c>
      <c r="M1771" t="n">
        <v>21.9</v>
      </c>
      <c r="N1771" t="n">
        <v>32</v>
      </c>
      <c r="O1771" t="n">
        <v>96.59999999999999</v>
      </c>
      <c r="P1771" t="n">
        <v>84</v>
      </c>
      <c r="Q1771" t="n">
        <v>23.3</v>
      </c>
      <c r="R1771" t="n">
        <v>34</v>
      </c>
      <c r="S1771" t="n">
        <v>3950000</v>
      </c>
      <c r="T1771" t="n">
        <v>7900</v>
      </c>
      <c r="AH1771" t="inlineStr">
        <is>
          <t>Quelle: Idealista</t>
        </is>
      </c>
    </row>
    <row r="1772">
      <c r="A1772" t="n">
        <v>1585</v>
      </c>
      <c r="B1772" t="inlineStr">
        <is>
          <t>Casa independiente</t>
        </is>
      </c>
      <c r="C1772" t="inlineStr">
        <is>
          <t>https://www.idealista.com/inmueble/109791715/</t>
        </is>
      </c>
      <c r="E1772" t="n">
        <v>5</v>
      </c>
      <c r="H1772" t="n">
        <v>571</v>
      </c>
      <c r="J1772" t="inlineStr">
        <is>
          <t>Santanyí</t>
        </is>
      </c>
      <c r="K1772" t="n">
        <v>45.4</v>
      </c>
      <c r="L1772" t="n">
        <v>39</v>
      </c>
      <c r="M1772" t="n">
        <v>9</v>
      </c>
      <c r="N1772" t="n">
        <v>13</v>
      </c>
      <c r="O1772" t="n">
        <v>83.59999999999999</v>
      </c>
      <c r="P1772" t="n">
        <v>67</v>
      </c>
      <c r="Q1772" t="n">
        <v>9.699999999999999</v>
      </c>
      <c r="R1772" t="n">
        <v>15</v>
      </c>
      <c r="S1772" t="n">
        <v>2300000</v>
      </c>
      <c r="T1772" t="n">
        <v>4028</v>
      </c>
      <c r="AH1772" t="inlineStr">
        <is>
          <t>Quelle: Idealista</t>
        </is>
      </c>
    </row>
    <row r="1773">
      <c r="A1773" t="n">
        <v>1586</v>
      </c>
      <c r="B1773" t="inlineStr">
        <is>
          <t>Casa independiente</t>
        </is>
      </c>
      <c r="C1773" t="inlineStr">
        <is>
          <t>https://www.idealista.com/inmueble/109748584/</t>
        </is>
      </c>
      <c r="E1773" t="n">
        <v>5</v>
      </c>
      <c r="H1773" t="n">
        <v>396</v>
      </c>
      <c r="J1773" t="inlineStr">
        <is>
          <t>Santanyí</t>
        </is>
      </c>
      <c r="K1773" t="n">
        <v>45.4</v>
      </c>
      <c r="L1773" t="n">
        <v>39</v>
      </c>
      <c r="M1773" t="n">
        <v>9</v>
      </c>
      <c r="N1773" t="n">
        <v>13</v>
      </c>
      <c r="O1773" t="n">
        <v>83.59999999999999</v>
      </c>
      <c r="P1773" t="n">
        <v>67</v>
      </c>
      <c r="Q1773" t="n">
        <v>9.699999999999999</v>
      </c>
      <c r="R1773" t="n">
        <v>15</v>
      </c>
      <c r="S1773" t="n">
        <v>2120000</v>
      </c>
      <c r="T1773" t="n">
        <v>5354</v>
      </c>
      <c r="AH1773" t="inlineStr">
        <is>
          <t>Quelle: Idealista</t>
        </is>
      </c>
    </row>
    <row r="1774">
      <c r="A1774" t="n">
        <v>1587</v>
      </c>
      <c r="B1774" t="inlineStr">
        <is>
          <t>Casa rural</t>
        </is>
      </c>
      <c r="C1774" t="inlineStr">
        <is>
          <t>https://www.idealista.com/inmueble/109621409/</t>
        </is>
      </c>
      <c r="E1774" t="n">
        <v>5</v>
      </c>
      <c r="H1774" t="n">
        <v>400</v>
      </c>
      <c r="J1774" t="inlineStr">
        <is>
          <t>Cala d'Or, Santanyí</t>
        </is>
      </c>
      <c r="K1774" t="n">
        <v>58.4</v>
      </c>
      <c r="L1774" t="n">
        <v>56</v>
      </c>
      <c r="M1774" t="n">
        <v>21.9</v>
      </c>
      <c r="N1774" t="n">
        <v>32</v>
      </c>
      <c r="O1774" t="n">
        <v>96.59999999999999</v>
      </c>
      <c r="P1774" t="n">
        <v>84</v>
      </c>
      <c r="Q1774" t="n">
        <v>23.3</v>
      </c>
      <c r="R1774" t="n">
        <v>34</v>
      </c>
      <c r="S1774" t="n">
        <v>2800000</v>
      </c>
      <c r="T1774" t="n">
        <v>7000</v>
      </c>
      <c r="AH1774" t="inlineStr">
        <is>
          <t>Quelle: Idealista</t>
        </is>
      </c>
    </row>
    <row r="1775">
      <c r="A1775" t="n">
        <v>1588</v>
      </c>
      <c r="B1775" t="inlineStr">
        <is>
          <t>Casa independiente</t>
        </is>
      </c>
      <c r="C1775" t="inlineStr">
        <is>
          <t>https://www.idealista.com/inmueble/109523569/</t>
        </is>
      </c>
      <c r="E1775" t="n">
        <v>10</v>
      </c>
      <c r="H1775" t="n">
        <v>812</v>
      </c>
      <c r="J1775" t="inlineStr">
        <is>
          <t>Cala d'Or, Santanyí</t>
        </is>
      </c>
      <c r="K1775" t="n">
        <v>58.4</v>
      </c>
      <c r="L1775" t="n">
        <v>56</v>
      </c>
      <c r="M1775" t="n">
        <v>21.9</v>
      </c>
      <c r="N1775" t="n">
        <v>32</v>
      </c>
      <c r="O1775" t="n">
        <v>96.59999999999999</v>
      </c>
      <c r="P1775" t="n">
        <v>84</v>
      </c>
      <c r="Q1775" t="n">
        <v>23.3</v>
      </c>
      <c r="R1775" t="n">
        <v>34</v>
      </c>
      <c r="S1775" t="n">
        <v>3300000</v>
      </c>
      <c r="T1775" t="n">
        <v>4064</v>
      </c>
      <c r="AH1775" t="inlineStr">
        <is>
          <t>Quelle: Idealista</t>
        </is>
      </c>
    </row>
    <row r="1776">
      <c r="A1776" t="n">
        <v>1589</v>
      </c>
      <c r="B1776" t="inlineStr">
        <is>
          <t>Casa independiente</t>
        </is>
      </c>
      <c r="C1776" t="inlineStr">
        <is>
          <t>https://www.idealista.com/inmueble/109394390/</t>
        </is>
      </c>
      <c r="E1776" t="n">
        <v>8</v>
      </c>
      <c r="H1776" t="n">
        <v>515</v>
      </c>
      <c r="J1776" t="inlineStr">
        <is>
          <t>Cala d'Or, Santanyí</t>
        </is>
      </c>
      <c r="K1776" t="n">
        <v>58.4</v>
      </c>
      <c r="L1776" t="n">
        <v>56</v>
      </c>
      <c r="M1776" t="n">
        <v>21.9</v>
      </c>
      <c r="N1776" t="n">
        <v>32</v>
      </c>
      <c r="O1776" t="n">
        <v>96.59999999999999</v>
      </c>
      <c r="P1776" t="n">
        <v>84</v>
      </c>
      <c r="Q1776" t="n">
        <v>23.3</v>
      </c>
      <c r="R1776" t="n">
        <v>34</v>
      </c>
      <c r="S1776" t="n">
        <v>3500000</v>
      </c>
      <c r="T1776" t="n">
        <v>6796</v>
      </c>
      <c r="AH1776" t="inlineStr">
        <is>
          <t>Quelle: Idealista</t>
        </is>
      </c>
    </row>
    <row r="1777">
      <c r="A1777" t="n">
        <v>1590</v>
      </c>
      <c r="B1777" t="inlineStr">
        <is>
          <t>Finca rústica</t>
        </is>
      </c>
      <c r="C1777" t="inlineStr">
        <is>
          <t>https://www.idealista.com/inmueble/109393213/</t>
        </is>
      </c>
      <c r="E1777" t="n">
        <v>6</v>
      </c>
      <c r="H1777" t="n">
        <v>512</v>
      </c>
      <c r="J1777" t="inlineStr">
        <is>
          <t>Cala Santanyí, Santanyí</t>
        </is>
      </c>
      <c r="K1777" t="n">
        <v>50</v>
      </c>
      <c r="L1777" t="n">
        <v>45</v>
      </c>
      <c r="M1777" t="n">
        <v>12.5</v>
      </c>
      <c r="N1777" t="n">
        <v>17</v>
      </c>
      <c r="O1777" t="n">
        <v>88.2</v>
      </c>
      <c r="P1777" t="n">
        <v>73</v>
      </c>
      <c r="Q1777" t="n">
        <v>13.1</v>
      </c>
      <c r="R1777" t="n">
        <v>20</v>
      </c>
      <c r="S1777" t="n">
        <v>3900000</v>
      </c>
      <c r="T1777" t="n">
        <v>7617</v>
      </c>
      <c r="AH1777" t="inlineStr">
        <is>
          <t>Quelle: Idealista</t>
        </is>
      </c>
    </row>
    <row r="1778">
      <c r="A1778" t="n">
        <v>1591</v>
      </c>
      <c r="B1778" t="inlineStr">
        <is>
          <t>Finca rústica</t>
        </is>
      </c>
      <c r="C1778" t="inlineStr">
        <is>
          <t>https://www.idealista.com/inmueble/109370180/</t>
        </is>
      </c>
      <c r="E1778" t="n">
        <v>7</v>
      </c>
      <c r="H1778" t="n">
        <v>900</v>
      </c>
      <c r="J1778" t="inlineStr">
        <is>
          <t>Santanyí</t>
        </is>
      </c>
      <c r="K1778" t="n">
        <v>45.4</v>
      </c>
      <c r="L1778" t="n">
        <v>39</v>
      </c>
      <c r="M1778" t="n">
        <v>9</v>
      </c>
      <c r="N1778" t="n">
        <v>13</v>
      </c>
      <c r="O1778" t="n">
        <v>83.59999999999999</v>
      </c>
      <c r="P1778" t="n">
        <v>67</v>
      </c>
      <c r="Q1778" t="n">
        <v>9.699999999999999</v>
      </c>
      <c r="R1778" t="n">
        <v>15</v>
      </c>
      <c r="S1778" t="n">
        <v>3500000</v>
      </c>
      <c r="T1778" t="n">
        <v>3889</v>
      </c>
      <c r="AH1778" t="inlineStr">
        <is>
          <t>Quelle: Idealista</t>
        </is>
      </c>
    </row>
    <row r="1779">
      <c r="A1779" t="n">
        <v>1592</v>
      </c>
      <c r="B1779" t="inlineStr">
        <is>
          <t>Finca rústica</t>
        </is>
      </c>
      <c r="C1779" t="inlineStr">
        <is>
          <t>https://www.idealista.com/inmueble/109262786/</t>
        </is>
      </c>
      <c r="E1779" t="n">
        <v>5</v>
      </c>
      <c r="H1779" t="n">
        <v>550</v>
      </c>
      <c r="J1779" t="inlineStr">
        <is>
          <t>Portopetro, Santanyí</t>
        </is>
      </c>
      <c r="K1779" t="n">
        <v>55.4</v>
      </c>
      <c r="L1779" t="n">
        <v>50</v>
      </c>
      <c r="M1779" t="n">
        <v>19.1</v>
      </c>
      <c r="N1779" t="n">
        <v>26</v>
      </c>
      <c r="O1779" t="n">
        <v>93.59999999999999</v>
      </c>
      <c r="P1779" t="n">
        <v>77</v>
      </c>
      <c r="Q1779" t="n">
        <v>20.6</v>
      </c>
      <c r="R1779" t="n">
        <v>28</v>
      </c>
      <c r="S1779" t="n">
        <v>3150000</v>
      </c>
      <c r="T1779" t="n">
        <v>5727</v>
      </c>
      <c r="AH1779" t="inlineStr">
        <is>
          <t>Quelle: Idealista</t>
        </is>
      </c>
    </row>
    <row r="1780">
      <c r="A1780" t="n">
        <v>1593</v>
      </c>
      <c r="B1780" t="inlineStr">
        <is>
          <t>Finca rústica</t>
        </is>
      </c>
      <c r="C1780" t="inlineStr">
        <is>
          <t>https://www.idealista.com/inmueble/109262776/</t>
        </is>
      </c>
      <c r="E1780" t="n">
        <v>5</v>
      </c>
      <c r="H1780" t="n">
        <v>434</v>
      </c>
      <c r="J1780" t="inlineStr">
        <is>
          <t>Es Llombards, Santanyí</t>
        </is>
      </c>
      <c r="K1780" t="n">
        <v>49.1</v>
      </c>
      <c r="L1780" t="n">
        <v>44</v>
      </c>
      <c r="M1780" t="n">
        <v>5.4</v>
      </c>
      <c r="N1780" t="n">
        <v>9</v>
      </c>
      <c r="O1780" t="n">
        <v>87.3</v>
      </c>
      <c r="P1780" t="n">
        <v>72</v>
      </c>
      <c r="Q1780" t="n">
        <v>6.1</v>
      </c>
      <c r="R1780" t="n">
        <v>11</v>
      </c>
      <c r="S1780" t="n">
        <v>3200000</v>
      </c>
      <c r="T1780" t="n">
        <v>7373</v>
      </c>
      <c r="AH1780" t="inlineStr">
        <is>
          <t>Quelle: Idealista</t>
        </is>
      </c>
    </row>
    <row r="1781">
      <c r="A1781" t="n">
        <v>1594</v>
      </c>
      <c r="B1781" t="inlineStr">
        <is>
          <t>Finca rústica en Poligono 8</t>
        </is>
      </c>
      <c r="C1781" t="inlineStr">
        <is>
          <t>https://www.idealista.com/inmueble/109262760/</t>
        </is>
      </c>
      <c r="E1781" t="n">
        <v>7</v>
      </c>
      <c r="H1781" t="n">
        <v>880</v>
      </c>
      <c r="J1781" t="inlineStr">
        <is>
          <t>Cala d'Or, Santanyí</t>
        </is>
      </c>
      <c r="K1781" t="n">
        <v>58.4</v>
      </c>
      <c r="L1781" t="n">
        <v>56</v>
      </c>
      <c r="M1781" t="n">
        <v>21.9</v>
      </c>
      <c r="N1781" t="n">
        <v>32</v>
      </c>
      <c r="O1781" t="n">
        <v>96.59999999999999</v>
      </c>
      <c r="P1781" t="n">
        <v>84</v>
      </c>
      <c r="Q1781" t="n">
        <v>23.3</v>
      </c>
      <c r="R1781" t="n">
        <v>34</v>
      </c>
      <c r="S1781" t="n">
        <v>3000000</v>
      </c>
      <c r="T1781" t="n">
        <v>3409</v>
      </c>
      <c r="AH1781" t="inlineStr">
        <is>
          <t>Quelle: Idealista</t>
        </is>
      </c>
    </row>
    <row r="1782">
      <c r="A1782" t="n">
        <v>1595</v>
      </c>
      <c r="B1782" t="inlineStr">
        <is>
          <t>Casa independiente</t>
        </is>
      </c>
      <c r="C1782" t="inlineStr">
        <is>
          <t>https://www.idealista.com/inmueble/109262689/</t>
        </is>
      </c>
      <c r="E1782" t="n">
        <v>5</v>
      </c>
      <c r="H1782" t="n">
        <v>600</v>
      </c>
      <c r="J1782" t="inlineStr">
        <is>
          <t>Cala d'Or, Santanyí</t>
        </is>
      </c>
      <c r="K1782" t="n">
        <v>58.4</v>
      </c>
      <c r="L1782" t="n">
        <v>56</v>
      </c>
      <c r="M1782" t="n">
        <v>21.9</v>
      </c>
      <c r="N1782" t="n">
        <v>32</v>
      </c>
      <c r="O1782" t="n">
        <v>96.59999999999999</v>
      </c>
      <c r="P1782" t="n">
        <v>84</v>
      </c>
      <c r="Q1782" t="n">
        <v>23.3</v>
      </c>
      <c r="R1782" t="n">
        <v>34</v>
      </c>
      <c r="S1782" t="n">
        <v>3400000</v>
      </c>
      <c r="T1782" t="n">
        <v>5667</v>
      </c>
      <c r="AH1782" t="inlineStr">
        <is>
          <t>Quelle: Idealista</t>
        </is>
      </c>
    </row>
    <row r="1783">
      <c r="A1783" t="n">
        <v>1596</v>
      </c>
      <c r="B1783" t="inlineStr">
        <is>
          <t>Chalet adosado en CL d'En Magallanes (fg), 7</t>
        </is>
      </c>
      <c r="C1783" t="inlineStr">
        <is>
          <t>https://www.idealista.com/inmueble/109180121/</t>
        </is>
      </c>
      <c r="E1783" t="n">
        <v>5</v>
      </c>
      <c r="H1783" t="n">
        <v>279</v>
      </c>
      <c r="J1783" t="inlineStr">
        <is>
          <t>Cala Figuera, Santanyí</t>
        </is>
      </c>
      <c r="K1783" t="n">
        <v>51.2</v>
      </c>
      <c r="L1783" t="n">
        <v>46</v>
      </c>
      <c r="M1783" t="n">
        <v>13.7</v>
      </c>
      <c r="N1783" t="n">
        <v>18</v>
      </c>
      <c r="O1783" t="n">
        <v>89.40000000000001</v>
      </c>
      <c r="P1783" t="n">
        <v>74</v>
      </c>
      <c r="Q1783" t="n">
        <v>14.4</v>
      </c>
      <c r="R1783" t="n">
        <v>21</v>
      </c>
      <c r="S1783" t="n">
        <v>2659000</v>
      </c>
      <c r="T1783" t="n">
        <v>9530</v>
      </c>
      <c r="AH1783" t="inlineStr">
        <is>
          <t>Quelle: Idealista</t>
        </is>
      </c>
    </row>
    <row r="1784">
      <c r="A1784" t="n">
        <v>1597</v>
      </c>
      <c r="B1784" t="inlineStr">
        <is>
          <t>Finca rústica</t>
        </is>
      </c>
      <c r="C1784" t="inlineStr">
        <is>
          <t>https://www.idealista.com/inmueble/109134382/</t>
        </is>
      </c>
      <c r="E1784" t="n">
        <v>5</v>
      </c>
      <c r="H1784" t="n">
        <v>490</v>
      </c>
      <c r="J1784" t="inlineStr">
        <is>
          <t>Santanyí</t>
        </is>
      </c>
      <c r="K1784" t="n">
        <v>45.4</v>
      </c>
      <c r="L1784" t="n">
        <v>39</v>
      </c>
      <c r="M1784" t="n">
        <v>9</v>
      </c>
      <c r="N1784" t="n">
        <v>13</v>
      </c>
      <c r="O1784" t="n">
        <v>83.59999999999999</v>
      </c>
      <c r="P1784" t="n">
        <v>67</v>
      </c>
      <c r="Q1784" t="n">
        <v>9.699999999999999</v>
      </c>
      <c r="R1784" t="n">
        <v>15</v>
      </c>
      <c r="S1784" t="n">
        <v>2950000</v>
      </c>
      <c r="T1784" t="n">
        <v>6020</v>
      </c>
      <c r="AH1784" t="inlineStr">
        <is>
          <t>Quelle: Idealista</t>
        </is>
      </c>
    </row>
    <row r="1785">
      <c r="A1785" t="n">
        <v>1598</v>
      </c>
      <c r="B1785" t="inlineStr">
        <is>
          <t>Finca rústica</t>
        </is>
      </c>
      <c r="C1785" t="inlineStr">
        <is>
          <t>https://www.idealista.com/inmueble/109031663/</t>
        </is>
      </c>
      <c r="E1785" t="n">
        <v>8</v>
      </c>
      <c r="H1785" t="n">
        <v>830</v>
      </c>
      <c r="J1785" t="inlineStr">
        <is>
          <t>Santanyí</t>
        </is>
      </c>
      <c r="K1785" t="n">
        <v>45.4</v>
      </c>
      <c r="L1785" t="n">
        <v>39</v>
      </c>
      <c r="M1785" t="n">
        <v>9</v>
      </c>
      <c r="N1785" t="n">
        <v>13</v>
      </c>
      <c r="O1785" t="n">
        <v>83.59999999999999</v>
      </c>
      <c r="P1785" t="n">
        <v>67</v>
      </c>
      <c r="Q1785" t="n">
        <v>9.699999999999999</v>
      </c>
      <c r="R1785" t="n">
        <v>15</v>
      </c>
      <c r="S1785" t="n">
        <v>3500000</v>
      </c>
      <c r="T1785" t="n">
        <v>4217</v>
      </c>
      <c r="AH1785" t="inlineStr">
        <is>
          <t>Quelle: Idealista</t>
        </is>
      </c>
    </row>
    <row r="1786">
      <c r="A1786" t="n">
        <v>1599</v>
      </c>
      <c r="B1786" t="inlineStr">
        <is>
          <t>Casa independiente en calle de s'Escaire</t>
        </is>
      </c>
      <c r="C1786" t="inlineStr">
        <is>
          <t>https://www.idealista.com/inmueble/108950118/</t>
        </is>
      </c>
      <c r="E1786" t="n">
        <v>10</v>
      </c>
      <c r="H1786" t="n">
        <v>571</v>
      </c>
      <c r="J1786" t="inlineStr">
        <is>
          <t>Santanyí</t>
        </is>
      </c>
      <c r="K1786" t="n">
        <v>45.4</v>
      </c>
      <c r="L1786" t="n">
        <v>39</v>
      </c>
      <c r="M1786" t="n">
        <v>9</v>
      </c>
      <c r="N1786" t="n">
        <v>13</v>
      </c>
      <c r="O1786" t="n">
        <v>83.59999999999999</v>
      </c>
      <c r="P1786" t="n">
        <v>67</v>
      </c>
      <c r="Q1786" t="n">
        <v>9.699999999999999</v>
      </c>
      <c r="R1786" t="n">
        <v>15</v>
      </c>
      <c r="S1786" t="n">
        <v>2300000</v>
      </c>
      <c r="T1786" t="n">
        <v>4028</v>
      </c>
      <c r="AH1786" t="inlineStr">
        <is>
          <t>Quelle: Idealista</t>
        </is>
      </c>
    </row>
    <row r="1787">
      <c r="A1787" t="n">
        <v>1600</v>
      </c>
      <c r="B1787" t="inlineStr">
        <is>
          <t>Chalet en calle Castelnovo</t>
        </is>
      </c>
      <c r="C1787" t="inlineStr">
        <is>
          <t>https://www.idealista.com/inmueble/108894190/</t>
        </is>
      </c>
      <c r="E1787" t="n">
        <v>5</v>
      </c>
      <c r="H1787" t="n">
        <v>430</v>
      </c>
      <c r="J1787" t="inlineStr">
        <is>
          <t>Santanyí</t>
        </is>
      </c>
      <c r="K1787" t="n">
        <v>45.4</v>
      </c>
      <c r="L1787" t="n">
        <v>39</v>
      </c>
      <c r="M1787" t="n">
        <v>9</v>
      </c>
      <c r="N1787" t="n">
        <v>13</v>
      </c>
      <c r="O1787" t="n">
        <v>83.59999999999999</v>
      </c>
      <c r="P1787" t="n">
        <v>67</v>
      </c>
      <c r="Q1787" t="n">
        <v>9.699999999999999</v>
      </c>
      <c r="R1787" t="n">
        <v>15</v>
      </c>
      <c r="S1787" t="n">
        <v>2950000</v>
      </c>
      <c r="T1787" t="n">
        <v>6860</v>
      </c>
      <c r="AH1787" t="inlineStr">
        <is>
          <t>Quelle: Idealista</t>
        </is>
      </c>
    </row>
    <row r="1788">
      <c r="A1788" t="n">
        <v>1601</v>
      </c>
      <c r="B1788" t="inlineStr">
        <is>
          <t>Casa rural</t>
        </is>
      </c>
      <c r="C1788" t="inlineStr">
        <is>
          <t>https://www.idealista.com/inmueble/108881563/</t>
        </is>
      </c>
      <c r="E1788" t="n">
        <v>5</v>
      </c>
      <c r="H1788" t="n">
        <v>490</v>
      </c>
      <c r="J1788" t="inlineStr">
        <is>
          <t>Santanyí</t>
        </is>
      </c>
      <c r="K1788" t="n">
        <v>45.4</v>
      </c>
      <c r="L1788" t="n">
        <v>39</v>
      </c>
      <c r="M1788" t="n">
        <v>9</v>
      </c>
      <c r="N1788" t="n">
        <v>13</v>
      </c>
      <c r="O1788" t="n">
        <v>83.59999999999999</v>
      </c>
      <c r="P1788" t="n">
        <v>67</v>
      </c>
      <c r="Q1788" t="n">
        <v>9.699999999999999</v>
      </c>
      <c r="R1788" t="n">
        <v>15</v>
      </c>
      <c r="S1788" t="n">
        <v>2120000</v>
      </c>
      <c r="T1788" t="n">
        <v>4327</v>
      </c>
      <c r="AH1788" t="inlineStr">
        <is>
          <t>Quelle: Idealista</t>
        </is>
      </c>
    </row>
    <row r="1789">
      <c r="A1789" t="n">
        <v>1602</v>
      </c>
      <c r="B1789" t="inlineStr">
        <is>
          <t>Finca rústica</t>
        </is>
      </c>
      <c r="C1789" t="inlineStr">
        <is>
          <t>https://www.idealista.com/inmueble/108040453/</t>
        </is>
      </c>
      <c r="E1789" t="n">
        <v>7</v>
      </c>
      <c r="H1789" t="n">
        <v>830</v>
      </c>
      <c r="J1789" t="inlineStr">
        <is>
          <t>S'Alquería Blanca - Calonge, Santanyí</t>
        </is>
      </c>
      <c r="K1789" t="n">
        <v>54</v>
      </c>
      <c r="L1789" t="n">
        <v>49</v>
      </c>
      <c r="M1789" t="n">
        <v>17.7</v>
      </c>
      <c r="N1789" t="n">
        <v>25</v>
      </c>
      <c r="O1789" t="n">
        <v>92.2</v>
      </c>
      <c r="P1789" t="n">
        <v>76</v>
      </c>
      <c r="Q1789" t="n">
        <v>19.2</v>
      </c>
      <c r="R1789" t="n">
        <v>27</v>
      </c>
      <c r="S1789" t="n">
        <v>3500000</v>
      </c>
      <c r="T1789" t="n">
        <v>4217</v>
      </c>
      <c r="AH1789" t="inlineStr">
        <is>
          <t>Quelle: Idealista</t>
        </is>
      </c>
    </row>
    <row r="1790">
      <c r="A1790" t="n">
        <v>1603</v>
      </c>
      <c r="B1790" t="inlineStr">
        <is>
          <t>Chalet</t>
        </is>
      </c>
      <c r="C1790" t="inlineStr">
        <is>
          <t>https://www.idealista.com/inmueble/108028644/</t>
        </is>
      </c>
      <c r="E1790" t="n">
        <v>5</v>
      </c>
      <c r="H1790" t="n">
        <v>430</v>
      </c>
      <c r="J1790" t="inlineStr">
        <is>
          <t>Santanyí</t>
        </is>
      </c>
      <c r="K1790" t="n">
        <v>45.4</v>
      </c>
      <c r="L1790" t="n">
        <v>39</v>
      </c>
      <c r="M1790" t="n">
        <v>9</v>
      </c>
      <c r="N1790" t="n">
        <v>13</v>
      </c>
      <c r="O1790" t="n">
        <v>83.59999999999999</v>
      </c>
      <c r="P1790" t="n">
        <v>67</v>
      </c>
      <c r="Q1790" t="n">
        <v>9.699999999999999</v>
      </c>
      <c r="R1790" t="n">
        <v>15</v>
      </c>
      <c r="S1790" t="n">
        <v>3200000</v>
      </c>
      <c r="T1790" t="n">
        <v>7442</v>
      </c>
      <c r="AH1790" t="inlineStr">
        <is>
          <t>Quelle: Idealista</t>
        </is>
      </c>
    </row>
    <row r="1791">
      <c r="A1791" t="n">
        <v>1604</v>
      </c>
      <c r="B1791" t="inlineStr">
        <is>
          <t>Casa independiente</t>
        </is>
      </c>
      <c r="C1791" t="inlineStr">
        <is>
          <t>https://www.idealista.com/inmueble/107015241/</t>
        </is>
      </c>
      <c r="E1791" t="n">
        <v>5</v>
      </c>
      <c r="H1791" t="n">
        <v>488</v>
      </c>
      <c r="J1791" t="inlineStr">
        <is>
          <t>Santanyí</t>
        </is>
      </c>
      <c r="K1791" t="n">
        <v>45.4</v>
      </c>
      <c r="L1791" t="n">
        <v>39</v>
      </c>
      <c r="M1791" t="n">
        <v>9</v>
      </c>
      <c r="N1791" t="n">
        <v>13</v>
      </c>
      <c r="O1791" t="n">
        <v>83.59999999999999</v>
      </c>
      <c r="P1791" t="n">
        <v>67</v>
      </c>
      <c r="Q1791" t="n">
        <v>9.699999999999999</v>
      </c>
      <c r="R1791" t="n">
        <v>15</v>
      </c>
      <c r="S1791" t="n">
        <v>2950000</v>
      </c>
      <c r="T1791" t="n">
        <v>6045</v>
      </c>
      <c r="AH1791" t="inlineStr">
        <is>
          <t>Quelle: Idealista</t>
        </is>
      </c>
    </row>
    <row r="1792">
      <c r="A1792" t="n">
        <v>1605</v>
      </c>
      <c r="B1792" t="inlineStr">
        <is>
          <t>Casa independiente</t>
        </is>
      </c>
      <c r="C1792" t="inlineStr">
        <is>
          <t>https://www.idealista.com/inmueble/108697767/</t>
        </is>
      </c>
      <c r="E1792" t="n">
        <v>24</v>
      </c>
      <c r="H1792" t="n">
        <v>550</v>
      </c>
      <c r="J1792" t="inlineStr">
        <is>
          <t>Cala d'Or, Santanyí</t>
        </is>
      </c>
      <c r="K1792" t="n">
        <v>58.4</v>
      </c>
      <c r="L1792" t="n">
        <v>56</v>
      </c>
      <c r="M1792" t="n">
        <v>21.9</v>
      </c>
      <c r="N1792" t="n">
        <v>32</v>
      </c>
      <c r="O1792" t="n">
        <v>96.59999999999999</v>
      </c>
      <c r="P1792" t="n">
        <v>84</v>
      </c>
      <c r="Q1792" t="n">
        <v>23.3</v>
      </c>
      <c r="R1792" t="n">
        <v>34</v>
      </c>
      <c r="S1792" t="n">
        <v>3600000</v>
      </c>
      <c r="T1792" t="n">
        <v>6545</v>
      </c>
      <c r="AH1792" t="inlineStr">
        <is>
          <t>Quelle: Idealista</t>
        </is>
      </c>
    </row>
    <row r="1793">
      <c r="A1793" t="n">
        <v>1606</v>
      </c>
      <c r="B1793" t="inlineStr">
        <is>
          <t>Finca rústica en Diseminado Poligono 8</t>
        </is>
      </c>
      <c r="C1793" t="inlineStr">
        <is>
          <t>https://www.idealista.com/inmueble/108606340/</t>
        </is>
      </c>
      <c r="E1793" t="n">
        <v>6</v>
      </c>
      <c r="H1793" t="n">
        <v>444</v>
      </c>
      <c r="J1793" t="inlineStr">
        <is>
          <t>Cala d'Or, Santanyí</t>
        </is>
      </c>
      <c r="K1793" t="n">
        <v>58.4</v>
      </c>
      <c r="L1793" t="n">
        <v>56</v>
      </c>
      <c r="M1793" t="n">
        <v>21.9</v>
      </c>
      <c r="N1793" t="n">
        <v>32</v>
      </c>
      <c r="O1793" t="n">
        <v>96.59999999999999</v>
      </c>
      <c r="P1793" t="n">
        <v>84</v>
      </c>
      <c r="Q1793" t="n">
        <v>23.3</v>
      </c>
      <c r="R1793" t="n">
        <v>34</v>
      </c>
      <c r="S1793" t="n">
        <v>2800000</v>
      </c>
      <c r="T1793" t="n">
        <v>6306</v>
      </c>
      <c r="AH1793" t="inlineStr">
        <is>
          <t>Quelle: Idealista</t>
        </is>
      </c>
    </row>
    <row r="1794">
      <c r="A1794" t="n">
        <v>1607</v>
      </c>
      <c r="B1794" t="inlineStr">
        <is>
          <t>Casa rural</t>
        </is>
      </c>
      <c r="C1794" t="inlineStr">
        <is>
          <t>https://www.idealista.com/inmueble/108603034/</t>
        </is>
      </c>
      <c r="E1794" t="n">
        <v>6</v>
      </c>
      <c r="H1794" t="n">
        <v>449</v>
      </c>
      <c r="J1794" t="inlineStr">
        <is>
          <t>Portopetro, Santanyí</t>
        </is>
      </c>
      <c r="K1794" t="n">
        <v>55.4</v>
      </c>
      <c r="L1794" t="n">
        <v>50</v>
      </c>
      <c r="M1794" t="n">
        <v>19.1</v>
      </c>
      <c r="N1794" t="n">
        <v>26</v>
      </c>
      <c r="O1794" t="n">
        <v>93.59999999999999</v>
      </c>
      <c r="P1794" t="n">
        <v>77</v>
      </c>
      <c r="Q1794" t="n">
        <v>20.6</v>
      </c>
      <c r="R1794" t="n">
        <v>28</v>
      </c>
      <c r="S1794" t="n">
        <v>3800000</v>
      </c>
      <c r="T1794" t="n">
        <v>8463</v>
      </c>
      <c r="AH1794" t="inlineStr">
        <is>
          <t>Quelle: Idealista</t>
        </is>
      </c>
    </row>
    <row r="1795">
      <c r="A1795" t="n">
        <v>1608</v>
      </c>
      <c r="B1795" t="inlineStr">
        <is>
          <t>Finca rústica en Alqueria Blanca</t>
        </is>
      </c>
      <c r="C1795" t="inlineStr">
        <is>
          <t>https://www.idealista.com/inmueble/108516671/</t>
        </is>
      </c>
      <c r="E1795" t="n">
        <v>6</v>
      </c>
      <c r="H1795" t="n">
        <v>492</v>
      </c>
      <c r="J1795" t="inlineStr">
        <is>
          <t>S'Alquería Blanca - Calonge, Santanyí</t>
        </is>
      </c>
      <c r="K1795" t="n">
        <v>54</v>
      </c>
      <c r="L1795" t="n">
        <v>49</v>
      </c>
      <c r="M1795" t="n">
        <v>17.7</v>
      </c>
      <c r="N1795" t="n">
        <v>25</v>
      </c>
      <c r="O1795" t="n">
        <v>92.2</v>
      </c>
      <c r="P1795" t="n">
        <v>76</v>
      </c>
      <c r="Q1795" t="n">
        <v>19.2</v>
      </c>
      <c r="R1795" t="n">
        <v>27</v>
      </c>
      <c r="S1795" t="n">
        <v>3490000</v>
      </c>
      <c r="T1795" t="n">
        <v>7093</v>
      </c>
      <c r="AH1795" t="inlineStr">
        <is>
          <t>Quelle: Idealista</t>
        </is>
      </c>
    </row>
    <row r="1796">
      <c r="A1796" t="n">
        <v>1609</v>
      </c>
      <c r="B1796" t="inlineStr">
        <is>
          <t>Casa independiente</t>
        </is>
      </c>
      <c r="C1796" t="inlineStr">
        <is>
          <t>https://www.idealista.com/inmueble/107865083/</t>
        </is>
      </c>
      <c r="E1796" t="n">
        <v>7</v>
      </c>
      <c r="H1796" t="n">
        <v>243</v>
      </c>
      <c r="J1796" t="inlineStr">
        <is>
          <t>Cala Figuera, Santanyí</t>
        </is>
      </c>
      <c r="K1796" t="n">
        <v>51.2</v>
      </c>
      <c r="L1796" t="n">
        <v>46</v>
      </c>
      <c r="M1796" t="n">
        <v>13.7</v>
      </c>
      <c r="N1796" t="n">
        <v>18</v>
      </c>
      <c r="O1796" t="n">
        <v>89.40000000000001</v>
      </c>
      <c r="P1796" t="n">
        <v>74</v>
      </c>
      <c r="Q1796" t="n">
        <v>14.4</v>
      </c>
      <c r="R1796" t="n">
        <v>21</v>
      </c>
      <c r="S1796" t="n">
        <v>2750000</v>
      </c>
      <c r="T1796" t="n">
        <v>11317</v>
      </c>
      <c r="AH1796" t="inlineStr">
        <is>
          <t>Quelle: Idealista</t>
        </is>
      </c>
    </row>
    <row r="1797">
      <c r="A1797" t="n">
        <v>1610</v>
      </c>
      <c r="B1797" t="inlineStr">
        <is>
          <t>Finca rústica</t>
        </is>
      </c>
      <c r="C1797" t="inlineStr">
        <is>
          <t>https://www.idealista.com/inmueble/107898056/</t>
        </is>
      </c>
      <c r="E1797" t="n">
        <v>5</v>
      </c>
      <c r="H1797" t="n">
        <v>475</v>
      </c>
      <c r="J1797" t="inlineStr">
        <is>
          <t>Santanyí</t>
        </is>
      </c>
      <c r="K1797" t="n">
        <v>45.4</v>
      </c>
      <c r="L1797" t="n">
        <v>39</v>
      </c>
      <c r="M1797" t="n">
        <v>9</v>
      </c>
      <c r="N1797" t="n">
        <v>13</v>
      </c>
      <c r="O1797" t="n">
        <v>83.59999999999999</v>
      </c>
      <c r="P1797" t="n">
        <v>67</v>
      </c>
      <c r="Q1797" t="n">
        <v>9.699999999999999</v>
      </c>
      <c r="R1797" t="n">
        <v>15</v>
      </c>
      <c r="S1797" t="n">
        <v>3200000</v>
      </c>
      <c r="T1797" t="n">
        <v>6737</v>
      </c>
      <c r="AH1797" t="inlineStr">
        <is>
          <t>Quelle: Idealista</t>
        </is>
      </c>
    </row>
    <row r="1798">
      <c r="A1798" t="n">
        <v>1611</v>
      </c>
      <c r="B1798" t="inlineStr">
        <is>
          <t>Casa independiente</t>
        </is>
      </c>
      <c r="C1798" t="inlineStr">
        <is>
          <t>https://www.idealista.com/inmueble/107832984/</t>
        </is>
      </c>
      <c r="E1798" t="n">
        <v>5</v>
      </c>
      <c r="H1798" t="n">
        <v>569</v>
      </c>
      <c r="J1798" t="inlineStr">
        <is>
          <t>Santanyí</t>
        </is>
      </c>
      <c r="K1798" t="n">
        <v>45.4</v>
      </c>
      <c r="L1798" t="n">
        <v>39</v>
      </c>
      <c r="M1798" t="n">
        <v>9</v>
      </c>
      <c r="N1798" t="n">
        <v>13</v>
      </c>
      <c r="O1798" t="n">
        <v>83.59999999999999</v>
      </c>
      <c r="P1798" t="n">
        <v>67</v>
      </c>
      <c r="Q1798" t="n">
        <v>9.699999999999999</v>
      </c>
      <c r="R1798" t="n">
        <v>15</v>
      </c>
      <c r="S1798" t="n">
        <v>2950000</v>
      </c>
      <c r="T1798" t="n">
        <v>5185</v>
      </c>
      <c r="AH1798" t="inlineStr">
        <is>
          <t>Quelle: Idealista</t>
        </is>
      </c>
    </row>
    <row r="1799">
      <c r="A1799" t="n">
        <v>1612</v>
      </c>
      <c r="B1799" t="inlineStr">
        <is>
          <t>Finca rústica</t>
        </is>
      </c>
      <c r="C1799" t="inlineStr">
        <is>
          <t>https://www.idealista.com/inmueble/107666024/</t>
        </is>
      </c>
      <c r="E1799" t="n">
        <v>9</v>
      </c>
      <c r="H1799" t="n">
        <v>560</v>
      </c>
      <c r="J1799" t="inlineStr">
        <is>
          <t>Cala d'Or, Santanyí</t>
        </is>
      </c>
      <c r="K1799" t="n">
        <v>58.4</v>
      </c>
      <c r="L1799" t="n">
        <v>56</v>
      </c>
      <c r="M1799" t="n">
        <v>21.9</v>
      </c>
      <c r="N1799" t="n">
        <v>32</v>
      </c>
      <c r="O1799" t="n">
        <v>96.59999999999999</v>
      </c>
      <c r="P1799" t="n">
        <v>84</v>
      </c>
      <c r="Q1799" t="n">
        <v>23.3</v>
      </c>
      <c r="R1799" t="n">
        <v>34</v>
      </c>
      <c r="S1799" t="n">
        <v>2999000</v>
      </c>
      <c r="T1799" t="n">
        <v>5355</v>
      </c>
      <c r="AH1799" t="inlineStr">
        <is>
          <t>Quelle: Idealista</t>
        </is>
      </c>
    </row>
    <row r="1800">
      <c r="A1800" t="n">
        <v>1613</v>
      </c>
      <c r="B1800" t="inlineStr">
        <is>
          <t>Finca rústica</t>
        </is>
      </c>
      <c r="C1800" t="inlineStr">
        <is>
          <t>https://www.idealista.com/inmueble/90928128/</t>
        </is>
      </c>
      <c r="E1800" t="n">
        <v>5</v>
      </c>
      <c r="H1800" t="n">
        <v>480</v>
      </c>
      <c r="J1800" t="inlineStr">
        <is>
          <t>Santanyí</t>
        </is>
      </c>
      <c r="K1800" t="n">
        <v>45.4</v>
      </c>
      <c r="L1800" t="n">
        <v>39</v>
      </c>
      <c r="M1800" t="n">
        <v>9</v>
      </c>
      <c r="N1800" t="n">
        <v>13</v>
      </c>
      <c r="O1800" t="n">
        <v>83.59999999999999</v>
      </c>
      <c r="P1800" t="n">
        <v>67</v>
      </c>
      <c r="Q1800" t="n">
        <v>9.699999999999999</v>
      </c>
      <c r="R1800" t="n">
        <v>15</v>
      </c>
      <c r="S1800" t="n">
        <v>2950000</v>
      </c>
      <c r="T1800" t="n">
        <v>6146</v>
      </c>
      <c r="AH1800" t="inlineStr">
        <is>
          <t>Quelle: Idealista</t>
        </is>
      </c>
    </row>
    <row r="1801">
      <c r="A1801" t="n">
        <v>1614</v>
      </c>
      <c r="B1801" t="inlineStr">
        <is>
          <t>Casa independiente en Diseminado Poligono 4</t>
        </is>
      </c>
      <c r="C1801" t="inlineStr">
        <is>
          <t>https://www.idealista.com/inmueble/107076575/</t>
        </is>
      </c>
      <c r="E1801" t="n">
        <v>5</v>
      </c>
      <c r="H1801" t="n">
        <v>350</v>
      </c>
      <c r="J1801" t="inlineStr">
        <is>
          <t>Es Llombards, Santanyí</t>
        </is>
      </c>
      <c r="K1801" t="n">
        <v>49.1</v>
      </c>
      <c r="L1801" t="n">
        <v>44</v>
      </c>
      <c r="M1801" t="n">
        <v>5.4</v>
      </c>
      <c r="N1801" t="n">
        <v>9</v>
      </c>
      <c r="O1801" t="n">
        <v>87.3</v>
      </c>
      <c r="P1801" t="n">
        <v>72</v>
      </c>
      <c r="Q1801" t="n">
        <v>6.1</v>
      </c>
      <c r="R1801" t="n">
        <v>11</v>
      </c>
      <c r="S1801" t="n">
        <v>3250000</v>
      </c>
      <c r="T1801" t="n">
        <v>9286</v>
      </c>
      <c r="AH1801" t="inlineStr">
        <is>
          <t>Quelle: Idealista</t>
        </is>
      </c>
    </row>
    <row r="1802">
      <c r="A1802" t="n">
        <v>1615</v>
      </c>
      <c r="B1802" t="inlineStr">
        <is>
          <t>Casa independiente</t>
        </is>
      </c>
      <c r="C1802" t="inlineStr">
        <is>
          <t>https://www.idealista.com/inmueble/97279291/</t>
        </is>
      </c>
      <c r="E1802" t="n">
        <v>7</v>
      </c>
      <c r="H1802" t="n">
        <v>599</v>
      </c>
      <c r="J1802" t="inlineStr">
        <is>
          <t>Cala d'Or, Santanyí</t>
        </is>
      </c>
      <c r="K1802" t="n">
        <v>58.4</v>
      </c>
      <c r="L1802" t="n">
        <v>56</v>
      </c>
      <c r="M1802" t="n">
        <v>21.9</v>
      </c>
      <c r="N1802" t="n">
        <v>32</v>
      </c>
      <c r="O1802" t="n">
        <v>96.59999999999999</v>
      </c>
      <c r="P1802" t="n">
        <v>84</v>
      </c>
      <c r="Q1802" t="n">
        <v>23.3</v>
      </c>
      <c r="R1802" t="n">
        <v>34</v>
      </c>
      <c r="S1802" t="n">
        <v>4500000</v>
      </c>
      <c r="T1802" t="n">
        <v>7513</v>
      </c>
      <c r="AH1802" t="inlineStr">
        <is>
          <t>Quelle: Idealista</t>
        </is>
      </c>
    </row>
    <row r="1803">
      <c r="A1803" t="n">
        <v>1616</v>
      </c>
      <c r="B1803" t="inlineStr">
        <is>
          <t>Casa independiente en Ma-4012, 49</t>
        </is>
      </c>
      <c r="C1803" t="inlineStr">
        <is>
          <t>https://www.idealista.com/inmueble/107017029/</t>
        </is>
      </c>
      <c r="E1803" t="n">
        <v>5</v>
      </c>
      <c r="H1803" t="n">
        <v>500</v>
      </c>
      <c r="J1803" t="inlineStr">
        <is>
          <t>S'Alquería Blanca - Calonge, Santanyí</t>
        </is>
      </c>
      <c r="K1803" t="n">
        <v>54</v>
      </c>
      <c r="L1803" t="n">
        <v>49</v>
      </c>
      <c r="M1803" t="n">
        <v>17.7</v>
      </c>
      <c r="N1803" t="n">
        <v>25</v>
      </c>
      <c r="O1803" t="n">
        <v>92.2</v>
      </c>
      <c r="P1803" t="n">
        <v>76</v>
      </c>
      <c r="Q1803" t="n">
        <v>19.2</v>
      </c>
      <c r="R1803" t="n">
        <v>27</v>
      </c>
      <c r="S1803" t="n">
        <v>3650000</v>
      </c>
      <c r="T1803" t="n">
        <v>7300</v>
      </c>
      <c r="AH1803" t="inlineStr">
        <is>
          <t>Quelle: Idealista</t>
        </is>
      </c>
    </row>
    <row r="1804">
      <c r="A1804" t="n">
        <v>1617</v>
      </c>
      <c r="B1804" t="inlineStr">
        <is>
          <t>Casa rural</t>
        </is>
      </c>
      <c r="C1804" t="inlineStr">
        <is>
          <t>https://www.idealista.com/inmueble/106635600/</t>
        </is>
      </c>
      <c r="E1804" t="n">
        <v>5</v>
      </c>
      <c r="H1804" t="n">
        <v>685</v>
      </c>
      <c r="J1804" t="inlineStr">
        <is>
          <t>Santanyí</t>
        </is>
      </c>
      <c r="K1804" t="n">
        <v>45.4</v>
      </c>
      <c r="L1804" t="n">
        <v>39</v>
      </c>
      <c r="M1804" t="n">
        <v>9</v>
      </c>
      <c r="N1804" t="n">
        <v>13</v>
      </c>
      <c r="O1804" t="n">
        <v>83.59999999999999</v>
      </c>
      <c r="P1804" t="n">
        <v>67</v>
      </c>
      <c r="Q1804" t="n">
        <v>9.699999999999999</v>
      </c>
      <c r="R1804" t="n">
        <v>15</v>
      </c>
      <c r="S1804" t="n">
        <v>5490000</v>
      </c>
      <c r="T1804" t="n">
        <v>8015</v>
      </c>
      <c r="AH1804" t="inlineStr">
        <is>
          <t>Quelle: Idealista</t>
        </is>
      </c>
    </row>
    <row r="1805">
      <c r="A1805" t="n">
        <v>1618</v>
      </c>
      <c r="B1805" t="inlineStr">
        <is>
          <t>Casa rural</t>
        </is>
      </c>
      <c r="C1805" t="inlineStr">
        <is>
          <t>https://www.idealista.com/inmueble/101929477/</t>
        </is>
      </c>
      <c r="E1805" t="n">
        <v>5</v>
      </c>
      <c r="H1805" t="n">
        <v>340</v>
      </c>
      <c r="J1805" t="inlineStr">
        <is>
          <t>Es Llombards, Santanyí</t>
        </is>
      </c>
      <c r="K1805" t="n">
        <v>49.1</v>
      </c>
      <c r="L1805" t="n">
        <v>44</v>
      </c>
      <c r="M1805" t="n">
        <v>5.4</v>
      </c>
      <c r="N1805" t="n">
        <v>9</v>
      </c>
      <c r="O1805" t="n">
        <v>87.3</v>
      </c>
      <c r="P1805" t="n">
        <v>72</v>
      </c>
      <c r="Q1805" t="n">
        <v>6.1</v>
      </c>
      <c r="R1805" t="n">
        <v>11</v>
      </c>
      <c r="S1805" t="n">
        <v>2400000</v>
      </c>
      <c r="T1805" t="n">
        <v>7059</v>
      </c>
      <c r="AH1805" t="inlineStr">
        <is>
          <t>Quelle: Idealista</t>
        </is>
      </c>
    </row>
    <row r="1806">
      <c r="A1806" t="n">
        <v>1619</v>
      </c>
      <c r="B1806" t="inlineStr">
        <is>
          <t>Casa independiente</t>
        </is>
      </c>
      <c r="C1806" t="inlineStr">
        <is>
          <t>https://www.idealista.com/inmueble/106881493/</t>
        </is>
      </c>
      <c r="E1806" t="n">
        <v>5</v>
      </c>
      <c r="H1806" t="n">
        <v>488</v>
      </c>
      <c r="J1806" t="inlineStr">
        <is>
          <t>Santanyí</t>
        </is>
      </c>
      <c r="K1806" t="n">
        <v>45.4</v>
      </c>
      <c r="L1806" t="n">
        <v>39</v>
      </c>
      <c r="M1806" t="n">
        <v>9</v>
      </c>
      <c r="N1806" t="n">
        <v>13</v>
      </c>
      <c r="O1806" t="n">
        <v>83.59999999999999</v>
      </c>
      <c r="P1806" t="n">
        <v>67</v>
      </c>
      <c r="Q1806" t="n">
        <v>9.699999999999999</v>
      </c>
      <c r="R1806" t="n">
        <v>15</v>
      </c>
      <c r="S1806" t="n">
        <v>3200000</v>
      </c>
      <c r="T1806" t="n">
        <v>6557</v>
      </c>
      <c r="AH1806" t="inlineStr">
        <is>
          <t>Quelle: Idealista</t>
        </is>
      </c>
    </row>
    <row r="1807">
      <c r="A1807" t="n">
        <v>1620</v>
      </c>
      <c r="B1807" t="inlineStr">
        <is>
          <t>Chalet en avenida Punta Grossa</t>
        </is>
      </c>
      <c r="C1807" t="inlineStr">
        <is>
          <t>https://www.idealista.com/inmueble/104443007/</t>
        </is>
      </c>
      <c r="E1807" t="n">
        <v>12</v>
      </c>
      <c r="H1807" t="n">
        <v>700</v>
      </c>
      <c r="J1807" t="inlineStr">
        <is>
          <t>Cala d'Or, Santanyí</t>
        </is>
      </c>
      <c r="K1807" t="n">
        <v>58.4</v>
      </c>
      <c r="L1807" t="n">
        <v>56</v>
      </c>
      <c r="M1807" t="n">
        <v>21.9</v>
      </c>
      <c r="N1807" t="n">
        <v>32</v>
      </c>
      <c r="O1807" t="n">
        <v>96.59999999999999</v>
      </c>
      <c r="P1807" t="n">
        <v>84</v>
      </c>
      <c r="Q1807" t="n">
        <v>23.3</v>
      </c>
      <c r="R1807" t="n">
        <v>34</v>
      </c>
      <c r="S1807" t="n">
        <v>3600000</v>
      </c>
      <c r="T1807" t="n">
        <v>5143</v>
      </c>
      <c r="AH1807" t="inlineStr">
        <is>
          <t>Quelle: Idealista</t>
        </is>
      </c>
    </row>
    <row r="1808">
      <c r="A1808" t="n">
        <v>1621</v>
      </c>
      <c r="B1808" t="inlineStr">
        <is>
          <t>Casa rural</t>
        </is>
      </c>
      <c r="C1808" t="inlineStr">
        <is>
          <t>https://www.idealista.com/inmueble/106600830/</t>
        </is>
      </c>
      <c r="E1808" t="n">
        <v>5</v>
      </c>
      <c r="H1808" t="n">
        <v>696</v>
      </c>
      <c r="J1808" t="inlineStr">
        <is>
          <t>S'Alquería Blanca - Calonge, Santanyí</t>
        </is>
      </c>
      <c r="K1808" t="n">
        <v>54</v>
      </c>
      <c r="L1808" t="n">
        <v>49</v>
      </c>
      <c r="M1808" t="n">
        <v>17.7</v>
      </c>
      <c r="N1808" t="n">
        <v>25</v>
      </c>
      <c r="O1808" t="n">
        <v>92.2</v>
      </c>
      <c r="P1808" t="n">
        <v>76</v>
      </c>
      <c r="Q1808" t="n">
        <v>19.2</v>
      </c>
      <c r="R1808" t="n">
        <v>27</v>
      </c>
      <c r="S1808" t="n">
        <v>3150000</v>
      </c>
      <c r="T1808" t="n">
        <v>4526</v>
      </c>
      <c r="AH1808" t="inlineStr">
        <is>
          <t>Quelle: Idealista</t>
        </is>
      </c>
    </row>
    <row r="1809">
      <c r="A1809" t="n">
        <v>1622</v>
      </c>
      <c r="B1809" t="inlineStr">
        <is>
          <t>Finca rústica</t>
        </is>
      </c>
      <c r="C1809" t="inlineStr">
        <is>
          <t>https://www.idealista.com/inmueble/106691576/</t>
        </is>
      </c>
      <c r="E1809" t="n">
        <v>5</v>
      </c>
      <c r="H1809" t="n">
        <v>442</v>
      </c>
      <c r="J1809" t="inlineStr">
        <is>
          <t>Santanyí</t>
        </is>
      </c>
      <c r="K1809" t="n">
        <v>45.4</v>
      </c>
      <c r="L1809" t="n">
        <v>39</v>
      </c>
      <c r="M1809" t="n">
        <v>9</v>
      </c>
      <c r="N1809" t="n">
        <v>13</v>
      </c>
      <c r="O1809" t="n">
        <v>83.59999999999999</v>
      </c>
      <c r="P1809" t="n">
        <v>67</v>
      </c>
      <c r="Q1809" t="n">
        <v>9.699999999999999</v>
      </c>
      <c r="R1809" t="n">
        <v>15</v>
      </c>
      <c r="S1809" t="n">
        <v>2200000</v>
      </c>
      <c r="T1809" t="n">
        <v>4977</v>
      </c>
      <c r="AH1809" t="inlineStr">
        <is>
          <t>Quelle: Idealista</t>
        </is>
      </c>
    </row>
    <row r="1810">
      <c r="A1810" t="n">
        <v>1623</v>
      </c>
      <c r="B1810" t="inlineStr">
        <is>
          <t>Casa rural</t>
        </is>
      </c>
      <c r="C1810" t="inlineStr">
        <is>
          <t>https://www.idealista.com/inmueble/102697763/</t>
        </is>
      </c>
      <c r="E1810" t="n">
        <v>6</v>
      </c>
      <c r="H1810" t="n">
        <v>650</v>
      </c>
      <c r="J1810" t="inlineStr">
        <is>
          <t>Santanyí</t>
        </is>
      </c>
      <c r="K1810" t="n">
        <v>45.4</v>
      </c>
      <c r="L1810" t="n">
        <v>39</v>
      </c>
      <c r="M1810" t="n">
        <v>9</v>
      </c>
      <c r="N1810" t="n">
        <v>13</v>
      </c>
      <c r="O1810" t="n">
        <v>83.59999999999999</v>
      </c>
      <c r="P1810" t="n">
        <v>67</v>
      </c>
      <c r="Q1810" t="n">
        <v>9.699999999999999</v>
      </c>
      <c r="R1810" t="n">
        <v>15</v>
      </c>
      <c r="S1810" t="n">
        <v>3300000</v>
      </c>
      <c r="T1810" t="n">
        <v>5077</v>
      </c>
      <c r="AH1810" t="inlineStr">
        <is>
          <t>Quelle: Idealista</t>
        </is>
      </c>
    </row>
    <row r="1811">
      <c r="A1811" t="n">
        <v>1624</v>
      </c>
      <c r="B1811" t="inlineStr">
        <is>
          <t>Casa rural</t>
        </is>
      </c>
      <c r="C1811" t="inlineStr">
        <is>
          <t>https://www.idealista.com/inmueble/102364183/</t>
        </is>
      </c>
      <c r="E1811" t="n">
        <v>5</v>
      </c>
      <c r="H1811" t="n">
        <v>350</v>
      </c>
      <c r="J1811" t="inlineStr">
        <is>
          <t>Santanyí</t>
        </is>
      </c>
      <c r="K1811" t="n">
        <v>45.4</v>
      </c>
      <c r="L1811" t="n">
        <v>39</v>
      </c>
      <c r="M1811" t="n">
        <v>9</v>
      </c>
      <c r="N1811" t="n">
        <v>13</v>
      </c>
      <c r="O1811" t="n">
        <v>83.59999999999999</v>
      </c>
      <c r="P1811" t="n">
        <v>67</v>
      </c>
      <c r="Q1811" t="n">
        <v>9.699999999999999</v>
      </c>
      <c r="R1811" t="n">
        <v>15</v>
      </c>
      <c r="S1811" t="n">
        <v>2950000</v>
      </c>
      <c r="T1811" t="n">
        <v>8429</v>
      </c>
      <c r="AH1811" t="inlineStr">
        <is>
          <t>Quelle: Idealista</t>
        </is>
      </c>
    </row>
    <row r="1812">
      <c r="A1812" t="n">
        <v>1625</v>
      </c>
      <c r="B1812" t="inlineStr">
        <is>
          <t>Casa independiente</t>
        </is>
      </c>
      <c r="C1812" t="inlineStr">
        <is>
          <t>https://www.idealista.com/inmueble/105739762/</t>
        </is>
      </c>
      <c r="E1812" t="n">
        <v>5</v>
      </c>
      <c r="H1812" t="n">
        <v>492</v>
      </c>
      <c r="J1812" t="inlineStr">
        <is>
          <t>Santanyí</t>
        </is>
      </c>
      <c r="K1812" t="n">
        <v>45.4</v>
      </c>
      <c r="L1812" t="n">
        <v>39</v>
      </c>
      <c r="M1812" t="n">
        <v>9</v>
      </c>
      <c r="N1812" t="n">
        <v>13</v>
      </c>
      <c r="O1812" t="n">
        <v>83.59999999999999</v>
      </c>
      <c r="P1812" t="n">
        <v>67</v>
      </c>
      <c r="Q1812" t="n">
        <v>9.699999999999999</v>
      </c>
      <c r="R1812" t="n">
        <v>15</v>
      </c>
      <c r="S1812" t="n">
        <v>2200000</v>
      </c>
      <c r="T1812" t="n">
        <v>4472</v>
      </c>
      <c r="AH1812" t="inlineStr">
        <is>
          <t>Quelle: Idealista</t>
        </is>
      </c>
    </row>
    <row r="1813">
      <c r="A1813" t="n">
        <v>1626</v>
      </c>
      <c r="B1813" t="inlineStr">
        <is>
          <t>Casa rural</t>
        </is>
      </c>
      <c r="C1813" t="inlineStr">
        <is>
          <t>https://www.idealista.com/inmueble/105273979/</t>
        </is>
      </c>
      <c r="E1813" t="n">
        <v>6</v>
      </c>
      <c r="H1813" t="n">
        <v>444</v>
      </c>
      <c r="J1813" t="inlineStr">
        <is>
          <t>Cala d'Or, Santanyí</t>
        </is>
      </c>
      <c r="K1813" t="n">
        <v>58.4</v>
      </c>
      <c r="L1813" t="n">
        <v>56</v>
      </c>
      <c r="M1813" t="n">
        <v>21.9</v>
      </c>
      <c r="N1813" t="n">
        <v>32</v>
      </c>
      <c r="O1813" t="n">
        <v>96.59999999999999</v>
      </c>
      <c r="P1813" t="n">
        <v>84</v>
      </c>
      <c r="Q1813" t="n">
        <v>23.3</v>
      </c>
      <c r="R1813" t="n">
        <v>34</v>
      </c>
      <c r="S1813" t="n">
        <v>2800000</v>
      </c>
      <c r="T1813" t="n">
        <v>6306</v>
      </c>
      <c r="AH1813" t="inlineStr">
        <is>
          <t>Quelle: Idealista</t>
        </is>
      </c>
    </row>
    <row r="1814">
      <c r="A1814" t="n">
        <v>1627</v>
      </c>
      <c r="B1814" t="inlineStr">
        <is>
          <t>Casa rural</t>
        </is>
      </c>
      <c r="C1814" t="inlineStr">
        <is>
          <t>https://www.idealista.com/inmueble/102210938/</t>
        </is>
      </c>
      <c r="E1814" t="n">
        <v>5</v>
      </c>
      <c r="H1814" t="n">
        <v>375</v>
      </c>
      <c r="J1814" t="inlineStr">
        <is>
          <t>Cala Llombards, Santanyí</t>
        </is>
      </c>
      <c r="K1814" t="n">
        <v>51.7</v>
      </c>
      <c r="L1814" t="n">
        <v>48</v>
      </c>
      <c r="M1814" t="n">
        <v>10.5</v>
      </c>
      <c r="N1814" t="n">
        <v>17</v>
      </c>
      <c r="O1814" t="n">
        <v>89.90000000000001</v>
      </c>
      <c r="P1814" t="n">
        <v>76</v>
      </c>
      <c r="Q1814" t="n">
        <v>11.1</v>
      </c>
      <c r="R1814" t="n">
        <v>19</v>
      </c>
      <c r="S1814" t="n">
        <v>3200000</v>
      </c>
      <c r="T1814" t="n">
        <v>8533</v>
      </c>
      <c r="AH1814" t="inlineStr">
        <is>
          <t>Quelle: Idealista</t>
        </is>
      </c>
    </row>
    <row r="1815">
      <c r="A1815" t="n">
        <v>1628</v>
      </c>
      <c r="B1815" t="inlineStr">
        <is>
          <t>Finca rústica en camino de Na Borràs</t>
        </is>
      </c>
      <c r="C1815" t="inlineStr">
        <is>
          <t>https://www.idealista.com/inmueble/105089478/</t>
        </is>
      </c>
      <c r="E1815" t="n">
        <v>5</v>
      </c>
      <c r="H1815" t="n">
        <v>350</v>
      </c>
      <c r="J1815" t="inlineStr">
        <is>
          <t>Cala Llombards, Santanyí</t>
        </is>
      </c>
      <c r="K1815" t="n">
        <v>51.7</v>
      </c>
      <c r="L1815" t="n">
        <v>48</v>
      </c>
      <c r="M1815" t="n">
        <v>10.5</v>
      </c>
      <c r="N1815" t="n">
        <v>17</v>
      </c>
      <c r="O1815" t="n">
        <v>89.90000000000001</v>
      </c>
      <c r="P1815" t="n">
        <v>76</v>
      </c>
      <c r="Q1815" t="n">
        <v>11.1</v>
      </c>
      <c r="R1815" t="n">
        <v>19</v>
      </c>
      <c r="S1815" t="n">
        <v>3200000</v>
      </c>
      <c r="T1815" t="n">
        <v>9143</v>
      </c>
      <c r="AH1815" t="inlineStr">
        <is>
          <t>Quelle: Idealista</t>
        </is>
      </c>
    </row>
    <row r="1816">
      <c r="A1816" t="n">
        <v>1629</v>
      </c>
      <c r="B1816" t="inlineStr">
        <is>
          <t>Casa independiente</t>
        </is>
      </c>
      <c r="C1816" t="inlineStr">
        <is>
          <t>https://www.idealista.com/inmueble/104753267/</t>
        </is>
      </c>
      <c r="E1816" t="n">
        <v>5</v>
      </c>
      <c r="H1816" t="n">
        <v>618</v>
      </c>
      <c r="J1816" t="inlineStr">
        <is>
          <t>Portopetro, Santanyí</t>
        </is>
      </c>
      <c r="K1816" t="n">
        <v>55.4</v>
      </c>
      <c r="L1816" t="n">
        <v>50</v>
      </c>
      <c r="M1816" t="n">
        <v>19.1</v>
      </c>
      <c r="N1816" t="n">
        <v>26</v>
      </c>
      <c r="O1816" t="n">
        <v>93.59999999999999</v>
      </c>
      <c r="P1816" t="n">
        <v>77</v>
      </c>
      <c r="Q1816" t="n">
        <v>20.6</v>
      </c>
      <c r="R1816" t="n">
        <v>28</v>
      </c>
      <c r="S1816" t="n">
        <v>3200000</v>
      </c>
      <c r="T1816" t="n">
        <v>5178</v>
      </c>
      <c r="AH1816" t="inlineStr">
        <is>
          <t>Quelle: Idealista</t>
        </is>
      </c>
    </row>
    <row r="1817">
      <c r="A1817" t="n">
        <v>1630</v>
      </c>
      <c r="B1817" t="inlineStr">
        <is>
          <t>Casa rural</t>
        </is>
      </c>
      <c r="C1817" t="inlineStr">
        <is>
          <t>https://www.idealista.com/inmueble/104714633/</t>
        </is>
      </c>
      <c r="E1817" t="n">
        <v>5</v>
      </c>
      <c r="H1817" t="n">
        <v>400</v>
      </c>
      <c r="J1817" t="inlineStr">
        <is>
          <t>Santanyí</t>
        </is>
      </c>
      <c r="K1817" t="n">
        <v>45.4</v>
      </c>
      <c r="L1817" t="n">
        <v>39</v>
      </c>
      <c r="M1817" t="n">
        <v>9</v>
      </c>
      <c r="N1817" t="n">
        <v>13</v>
      </c>
      <c r="O1817" t="n">
        <v>83.59999999999999</v>
      </c>
      <c r="P1817" t="n">
        <v>67</v>
      </c>
      <c r="Q1817" t="n">
        <v>9.699999999999999</v>
      </c>
      <c r="R1817" t="n">
        <v>15</v>
      </c>
      <c r="S1817" t="n">
        <v>3950000</v>
      </c>
      <c r="T1817" t="n">
        <v>9875</v>
      </c>
      <c r="AH1817" t="inlineStr">
        <is>
          <t>Quelle: Idealista</t>
        </is>
      </c>
    </row>
    <row r="1818">
      <c r="A1818" t="n">
        <v>1631</v>
      </c>
      <c r="B1818" t="inlineStr">
        <is>
          <t>Casa independiente en calle de sa Dragonera</t>
        </is>
      </c>
      <c r="C1818" t="inlineStr">
        <is>
          <t>https://www.idealista.com/inmueble/104646263/</t>
        </is>
      </c>
      <c r="E1818" t="n">
        <v>6</v>
      </c>
      <c r="H1818" t="n">
        <v>550</v>
      </c>
      <c r="J1818" t="inlineStr">
        <is>
          <t>Cala d'Or, Santanyí</t>
        </is>
      </c>
      <c r="K1818" t="n">
        <v>58.4</v>
      </c>
      <c r="L1818" t="n">
        <v>56</v>
      </c>
      <c r="M1818" t="n">
        <v>21.9</v>
      </c>
      <c r="N1818" t="n">
        <v>32</v>
      </c>
      <c r="O1818" t="n">
        <v>96.59999999999999</v>
      </c>
      <c r="P1818" t="n">
        <v>84</v>
      </c>
      <c r="Q1818" t="n">
        <v>23.3</v>
      </c>
      <c r="R1818" t="n">
        <v>34</v>
      </c>
      <c r="S1818" t="n">
        <v>4500000</v>
      </c>
      <c r="T1818" t="n">
        <v>8182</v>
      </c>
      <c r="AH1818" t="inlineStr">
        <is>
          <t>Quelle: Idealista</t>
        </is>
      </c>
    </row>
    <row r="1819">
      <c r="A1819" t="n">
        <v>1632</v>
      </c>
      <c r="B1819" t="inlineStr">
        <is>
          <t>Casa independiente en calle de sa Goleta</t>
        </is>
      </c>
      <c r="C1819" t="inlineStr">
        <is>
          <t>https://www.idealista.com/inmueble/104417240/</t>
        </is>
      </c>
      <c r="E1819" t="n">
        <v>6</v>
      </c>
      <c r="H1819" t="n">
        <v>340</v>
      </c>
      <c r="J1819" t="inlineStr">
        <is>
          <t>Cala d'Or, Santanyí</t>
        </is>
      </c>
      <c r="K1819" t="n">
        <v>58.4</v>
      </c>
      <c r="L1819" t="n">
        <v>56</v>
      </c>
      <c r="M1819" t="n">
        <v>21.9</v>
      </c>
      <c r="N1819" t="n">
        <v>32</v>
      </c>
      <c r="O1819" t="n">
        <v>96.59999999999999</v>
      </c>
      <c r="P1819" t="n">
        <v>84</v>
      </c>
      <c r="Q1819" t="n">
        <v>23.3</v>
      </c>
      <c r="R1819" t="n">
        <v>34</v>
      </c>
      <c r="S1819" t="n">
        <v>2500000</v>
      </c>
      <c r="T1819" t="n">
        <v>7353</v>
      </c>
      <c r="AH1819" t="inlineStr">
        <is>
          <t>Quelle: Idealista</t>
        </is>
      </c>
    </row>
    <row r="1820">
      <c r="A1820" t="n">
        <v>1633</v>
      </c>
      <c r="B1820" t="inlineStr">
        <is>
          <t>Casa independiente en plaza Major, 2</t>
        </is>
      </c>
      <c r="C1820" t="inlineStr">
        <is>
          <t>https://www.idealista.com/inmueble/104385484/</t>
        </is>
      </c>
      <c r="E1820" t="n">
        <v>5</v>
      </c>
      <c r="H1820" t="n">
        <v>450</v>
      </c>
      <c r="J1820" t="inlineStr">
        <is>
          <t>Santanyí</t>
        </is>
      </c>
      <c r="K1820" t="n">
        <v>45.4</v>
      </c>
      <c r="L1820" t="n">
        <v>39</v>
      </c>
      <c r="M1820" t="n">
        <v>9</v>
      </c>
      <c r="N1820" t="n">
        <v>13</v>
      </c>
      <c r="O1820" t="n">
        <v>83.59999999999999</v>
      </c>
      <c r="P1820" t="n">
        <v>67</v>
      </c>
      <c r="Q1820" t="n">
        <v>9.699999999999999</v>
      </c>
      <c r="R1820" t="n">
        <v>15</v>
      </c>
      <c r="S1820" t="n">
        <v>3700000</v>
      </c>
      <c r="T1820" t="n">
        <v>8222</v>
      </c>
      <c r="AH1820" t="inlineStr">
        <is>
          <t>Quelle: Idealista</t>
        </is>
      </c>
    </row>
    <row r="1821">
      <c r="A1821" t="n">
        <v>1634</v>
      </c>
      <c r="B1821" t="inlineStr">
        <is>
          <t>Casa independiente en calle d'es Veler, 11</t>
        </is>
      </c>
      <c r="C1821" t="inlineStr">
        <is>
          <t>https://www.idealista.com/inmueble/104013180/</t>
        </is>
      </c>
      <c r="E1821" t="n">
        <v>6</v>
      </c>
      <c r="H1821" t="n">
        <v>340</v>
      </c>
      <c r="J1821" t="inlineStr">
        <is>
          <t>Cala d'Or, Santanyí</t>
        </is>
      </c>
      <c r="K1821" t="n">
        <v>58.4</v>
      </c>
      <c r="L1821" t="n">
        <v>56</v>
      </c>
      <c r="M1821" t="n">
        <v>21.9</v>
      </c>
      <c r="N1821" t="n">
        <v>32</v>
      </c>
      <c r="O1821" t="n">
        <v>96.59999999999999</v>
      </c>
      <c r="P1821" t="n">
        <v>84</v>
      </c>
      <c r="Q1821" t="n">
        <v>23.3</v>
      </c>
      <c r="R1821" t="n">
        <v>34</v>
      </c>
      <c r="S1821" t="n">
        <v>2500000</v>
      </c>
      <c r="T1821" t="n">
        <v>7353</v>
      </c>
      <c r="AH1821" t="inlineStr">
        <is>
          <t>Quelle: Idealista</t>
        </is>
      </c>
    </row>
    <row r="1822">
      <c r="A1822" t="n">
        <v>1635</v>
      </c>
      <c r="B1822" t="inlineStr">
        <is>
          <t>Finca rústica en camino De Sa Cova Des Gat</t>
        </is>
      </c>
      <c r="C1822" t="inlineStr">
        <is>
          <t>https://www.idealista.com/inmueble/103754205/</t>
        </is>
      </c>
      <c r="E1822" t="n">
        <v>5</v>
      </c>
      <c r="H1822" t="n">
        <v>750</v>
      </c>
      <c r="J1822" t="inlineStr">
        <is>
          <t>Portopetro, Santanyí</t>
        </is>
      </c>
      <c r="K1822" t="n">
        <v>55.4</v>
      </c>
      <c r="L1822" t="n">
        <v>50</v>
      </c>
      <c r="M1822" t="n">
        <v>19.1</v>
      </c>
      <c r="N1822" t="n">
        <v>26</v>
      </c>
      <c r="O1822" t="n">
        <v>93.59999999999999</v>
      </c>
      <c r="P1822" t="n">
        <v>77</v>
      </c>
      <c r="Q1822" t="n">
        <v>20.6</v>
      </c>
      <c r="R1822" t="n">
        <v>28</v>
      </c>
      <c r="S1822" t="n">
        <v>3150000</v>
      </c>
      <c r="T1822" t="n">
        <v>4200</v>
      </c>
      <c r="AH1822" t="inlineStr">
        <is>
          <t>Quelle: Idealista</t>
        </is>
      </c>
    </row>
    <row r="1823">
      <c r="A1823" t="n">
        <v>1636</v>
      </c>
      <c r="B1823" t="inlineStr">
        <is>
          <t>Finca rústica en carretera Diseminado Sector Num 2</t>
        </is>
      </c>
      <c r="C1823" t="inlineStr">
        <is>
          <t>https://www.idealista.com/inmueble/101977642/</t>
        </is>
      </c>
      <c r="E1823" t="n">
        <v>5</v>
      </c>
      <c r="H1823" t="n">
        <v>464</v>
      </c>
      <c r="J1823" t="inlineStr">
        <is>
          <t>Santanyí</t>
        </is>
      </c>
      <c r="K1823" t="n">
        <v>45.4</v>
      </c>
      <c r="L1823" t="n">
        <v>39</v>
      </c>
      <c r="M1823" t="n">
        <v>9</v>
      </c>
      <c r="N1823" t="n">
        <v>13</v>
      </c>
      <c r="O1823" t="n">
        <v>83.59999999999999</v>
      </c>
      <c r="P1823" t="n">
        <v>67</v>
      </c>
      <c r="Q1823" t="n">
        <v>9.699999999999999</v>
      </c>
      <c r="R1823" t="n">
        <v>15</v>
      </c>
      <c r="S1823" t="n">
        <v>2950000</v>
      </c>
      <c r="T1823" t="n">
        <v>6358</v>
      </c>
      <c r="AH1823" t="inlineStr">
        <is>
          <t>Quelle: Idealista</t>
        </is>
      </c>
    </row>
    <row r="1824">
      <c r="A1824" t="n">
        <v>1637</v>
      </c>
      <c r="B1824" t="inlineStr">
        <is>
          <t>Casa independiente en paseo de la Mar s/n</t>
        </is>
      </c>
      <c r="C1824" t="inlineStr">
        <is>
          <t>https://www.idealista.com/inmueble/103028962/</t>
        </is>
      </c>
      <c r="E1824" t="n">
        <v>5</v>
      </c>
      <c r="H1824" t="n">
        <v>300</v>
      </c>
      <c r="J1824" t="inlineStr">
        <is>
          <t>Cala Llombards, Santanyí</t>
        </is>
      </c>
      <c r="K1824" t="n">
        <v>51.7</v>
      </c>
      <c r="L1824" t="n">
        <v>48</v>
      </c>
      <c r="M1824" t="n">
        <v>10.5</v>
      </c>
      <c r="N1824" t="n">
        <v>17</v>
      </c>
      <c r="O1824" t="n">
        <v>89.90000000000001</v>
      </c>
      <c r="P1824" t="n">
        <v>76</v>
      </c>
      <c r="Q1824" t="n">
        <v>11.1</v>
      </c>
      <c r="R1824" t="n">
        <v>19</v>
      </c>
      <c r="S1824" t="n">
        <v>2800000</v>
      </c>
      <c r="T1824" t="n">
        <v>9333</v>
      </c>
      <c r="AH1824" t="inlineStr">
        <is>
          <t>Quelle: Idealista</t>
        </is>
      </c>
    </row>
    <row r="1825">
      <c r="A1825" t="n">
        <v>1638</v>
      </c>
      <c r="B1825" t="inlineStr">
        <is>
          <t>Casa independiente</t>
        </is>
      </c>
      <c r="C1825" t="inlineStr">
        <is>
          <t>https://www.idealista.com/inmueble/102514567/</t>
        </is>
      </c>
      <c r="E1825" t="n">
        <v>6</v>
      </c>
      <c r="H1825" t="n">
        <v>690</v>
      </c>
      <c r="J1825" t="inlineStr">
        <is>
          <t>Cala Santanyí, Santanyí</t>
        </is>
      </c>
      <c r="K1825" t="n">
        <v>50</v>
      </c>
      <c r="L1825" t="n">
        <v>45</v>
      </c>
      <c r="M1825" t="n">
        <v>12.5</v>
      </c>
      <c r="N1825" t="n">
        <v>17</v>
      </c>
      <c r="O1825" t="n">
        <v>88.2</v>
      </c>
      <c r="P1825" t="n">
        <v>73</v>
      </c>
      <c r="Q1825" t="n">
        <v>13.1</v>
      </c>
      <c r="R1825" t="n">
        <v>20</v>
      </c>
      <c r="S1825" t="n">
        <v>3300000</v>
      </c>
      <c r="T1825" t="n">
        <v>4783</v>
      </c>
      <c r="AH1825" t="inlineStr">
        <is>
          <t>Quelle: Idealista</t>
        </is>
      </c>
    </row>
    <row r="1826">
      <c r="A1826" t="n">
        <v>1639</v>
      </c>
      <c r="B1826" t="inlineStr">
        <is>
          <t>Finca rústica en carretera Santanyi</t>
        </is>
      </c>
      <c r="C1826" t="inlineStr">
        <is>
          <t>https://www.idealista.com/inmueble/102870414/</t>
        </is>
      </c>
      <c r="E1826" t="n">
        <v>5</v>
      </c>
      <c r="H1826" t="n">
        <v>442</v>
      </c>
      <c r="J1826" t="inlineStr">
        <is>
          <t>Santanyí</t>
        </is>
      </c>
      <c r="K1826" t="n">
        <v>45.4</v>
      </c>
      <c r="L1826" t="n">
        <v>39</v>
      </c>
      <c r="M1826" t="n">
        <v>9</v>
      </c>
      <c r="N1826" t="n">
        <v>13</v>
      </c>
      <c r="O1826" t="n">
        <v>83.59999999999999</v>
      </c>
      <c r="P1826" t="n">
        <v>67</v>
      </c>
      <c r="Q1826" t="n">
        <v>9.699999999999999</v>
      </c>
      <c r="R1826" t="n">
        <v>15</v>
      </c>
      <c r="S1826" t="n">
        <v>2200000</v>
      </c>
      <c r="T1826" t="n">
        <v>4977</v>
      </c>
      <c r="AH1826" t="inlineStr">
        <is>
          <t>Quelle: Idealista</t>
        </is>
      </c>
    </row>
    <row r="1827">
      <c r="A1827" t="n">
        <v>1640</v>
      </c>
      <c r="B1827" t="inlineStr">
        <is>
          <t>Finca rústica en Diseminado Poligono 5</t>
        </is>
      </c>
      <c r="C1827" t="inlineStr">
        <is>
          <t>https://www.idealista.com/inmueble/100339111/</t>
        </is>
      </c>
      <c r="E1827" t="n">
        <v>5</v>
      </c>
      <c r="H1827" t="n">
        <v>350</v>
      </c>
      <c r="J1827" t="inlineStr">
        <is>
          <t>Es Llombards, Santanyí</t>
        </is>
      </c>
      <c r="K1827" t="n">
        <v>49.1</v>
      </c>
      <c r="L1827" t="n">
        <v>44</v>
      </c>
      <c r="M1827" t="n">
        <v>5.4</v>
      </c>
      <c r="N1827" t="n">
        <v>9</v>
      </c>
      <c r="O1827" t="n">
        <v>87.3</v>
      </c>
      <c r="P1827" t="n">
        <v>72</v>
      </c>
      <c r="Q1827" t="n">
        <v>6.1</v>
      </c>
      <c r="R1827" t="n">
        <v>11</v>
      </c>
      <c r="S1827" t="n">
        <v>3200000</v>
      </c>
      <c r="T1827" t="n">
        <v>9143</v>
      </c>
      <c r="AH1827" t="inlineStr">
        <is>
          <t>Quelle: Idealista</t>
        </is>
      </c>
    </row>
    <row r="1828">
      <c r="A1828" t="n">
        <v>1641</v>
      </c>
      <c r="B1828" t="inlineStr">
        <is>
          <t>Finca rústica</t>
        </is>
      </c>
      <c r="C1828" t="inlineStr">
        <is>
          <t>https://www.idealista.com/inmueble/85513371/</t>
        </is>
      </c>
      <c r="E1828" t="n">
        <v>5</v>
      </c>
      <c r="H1828" t="n">
        <v>660</v>
      </c>
      <c r="J1828" t="inlineStr">
        <is>
          <t>Santanyí</t>
        </is>
      </c>
      <c r="K1828" t="n">
        <v>45.4</v>
      </c>
      <c r="L1828" t="n">
        <v>39</v>
      </c>
      <c r="M1828" t="n">
        <v>9</v>
      </c>
      <c r="N1828" t="n">
        <v>13</v>
      </c>
      <c r="O1828" t="n">
        <v>83.59999999999999</v>
      </c>
      <c r="P1828" t="n">
        <v>67</v>
      </c>
      <c r="Q1828" t="n">
        <v>9.699999999999999</v>
      </c>
      <c r="R1828" t="n">
        <v>15</v>
      </c>
      <c r="S1828" t="n">
        <v>3150000</v>
      </c>
      <c r="T1828" t="n">
        <v>4773</v>
      </c>
      <c r="AH1828" t="inlineStr">
        <is>
          <t>Quelle: Idealista</t>
        </is>
      </c>
    </row>
    <row r="1829">
      <c r="A1829" t="n">
        <v>1642</v>
      </c>
      <c r="B1829" t="inlineStr">
        <is>
          <t>Casa independiente</t>
        </is>
      </c>
      <c r="C1829" t="inlineStr">
        <is>
          <t>https://www.idealista.com/inmueble/101567809/</t>
        </is>
      </c>
      <c r="E1829" t="n">
        <v>6</v>
      </c>
      <c r="H1829" t="n">
        <v>674</v>
      </c>
      <c r="J1829" t="inlineStr">
        <is>
          <t>Cala Santanyí, Santanyí</t>
        </is>
      </c>
      <c r="K1829" t="n">
        <v>50</v>
      </c>
      <c r="L1829" t="n">
        <v>45</v>
      </c>
      <c r="M1829" t="n">
        <v>12.5</v>
      </c>
      <c r="N1829" t="n">
        <v>17</v>
      </c>
      <c r="O1829" t="n">
        <v>88.2</v>
      </c>
      <c r="P1829" t="n">
        <v>73</v>
      </c>
      <c r="Q1829" t="n">
        <v>13.1</v>
      </c>
      <c r="R1829" t="n">
        <v>20</v>
      </c>
      <c r="S1829" t="n">
        <v>3300000</v>
      </c>
      <c r="T1829" t="n">
        <v>4896</v>
      </c>
      <c r="AH1829" t="inlineStr">
        <is>
          <t>Quelle: Idealista</t>
        </is>
      </c>
    </row>
    <row r="1830">
      <c r="A1830" t="n">
        <v>1643</v>
      </c>
      <c r="B1830" t="inlineStr">
        <is>
          <t>Finca rústica en calle Sant Domingo</t>
        </is>
      </c>
      <c r="C1830" t="inlineStr">
        <is>
          <t>https://www.idealista.com/inmueble/101240432/</t>
        </is>
      </c>
      <c r="E1830" t="n">
        <v>5</v>
      </c>
      <c r="H1830" t="n">
        <v>450</v>
      </c>
      <c r="J1830" t="inlineStr">
        <is>
          <t>Es Llombards, Santanyí</t>
        </is>
      </c>
      <c r="K1830" t="n">
        <v>49.1</v>
      </c>
      <c r="L1830" t="n">
        <v>44</v>
      </c>
      <c r="M1830" t="n">
        <v>5.4</v>
      </c>
      <c r="N1830" t="n">
        <v>9</v>
      </c>
      <c r="O1830" t="n">
        <v>87.3</v>
      </c>
      <c r="P1830" t="n">
        <v>72</v>
      </c>
      <c r="Q1830" t="n">
        <v>6.1</v>
      </c>
      <c r="R1830" t="n">
        <v>11</v>
      </c>
      <c r="S1830" t="n">
        <v>3200000</v>
      </c>
      <c r="T1830" t="n">
        <v>7111</v>
      </c>
      <c r="AH1830" t="inlineStr">
        <is>
          <t>Quelle: Idealista</t>
        </is>
      </c>
    </row>
    <row r="1831">
      <c r="A1831" t="n">
        <v>1644</v>
      </c>
      <c r="B1831" t="inlineStr">
        <is>
          <t>Chalet</t>
        </is>
      </c>
      <c r="C1831" t="inlineStr">
        <is>
          <t>https://www.idealista.com/inmueble/100436028/</t>
        </is>
      </c>
      <c r="E1831" t="n">
        <v>6</v>
      </c>
      <c r="H1831" t="n">
        <v>715</v>
      </c>
      <c r="J1831" t="inlineStr">
        <is>
          <t>Santanyí</t>
        </is>
      </c>
      <c r="K1831" t="n">
        <v>45.4</v>
      </c>
      <c r="L1831" t="n">
        <v>39</v>
      </c>
      <c r="M1831" t="n">
        <v>9</v>
      </c>
      <c r="N1831" t="n">
        <v>13</v>
      </c>
      <c r="O1831" t="n">
        <v>83.59999999999999</v>
      </c>
      <c r="P1831" t="n">
        <v>67</v>
      </c>
      <c r="Q1831" t="n">
        <v>9.699999999999999</v>
      </c>
      <c r="R1831" t="n">
        <v>15</v>
      </c>
      <c r="S1831" t="n">
        <v>3300000</v>
      </c>
      <c r="T1831" t="n">
        <v>4615</v>
      </c>
      <c r="AH1831" t="inlineStr">
        <is>
          <t>Quelle: Idealista</t>
        </is>
      </c>
    </row>
    <row r="1832">
      <c r="A1832" t="n">
        <v>1645</v>
      </c>
      <c r="B1832" t="inlineStr">
        <is>
          <t>Finca rústica en poligono 5, 195</t>
        </is>
      </c>
      <c r="C1832" t="inlineStr">
        <is>
          <t>https://www.idealista.com/inmueble/99984569/</t>
        </is>
      </c>
      <c r="E1832" t="n">
        <v>5</v>
      </c>
      <c r="H1832" t="n">
        <v>500</v>
      </c>
      <c r="J1832" t="inlineStr">
        <is>
          <t>Es Llombards, Santanyí</t>
        </is>
      </c>
      <c r="K1832" t="n">
        <v>49.1</v>
      </c>
      <c r="L1832" t="n">
        <v>44</v>
      </c>
      <c r="M1832" t="n">
        <v>5.4</v>
      </c>
      <c r="N1832" t="n">
        <v>9</v>
      </c>
      <c r="O1832" t="n">
        <v>87.3</v>
      </c>
      <c r="P1832" t="n">
        <v>72</v>
      </c>
      <c r="Q1832" t="n">
        <v>6.1</v>
      </c>
      <c r="R1832" t="n">
        <v>11</v>
      </c>
      <c r="S1832" t="n">
        <v>3200000</v>
      </c>
      <c r="T1832" t="n">
        <v>6400</v>
      </c>
      <c r="AH1832" t="inlineStr">
        <is>
          <t>Quelle: Idealista</t>
        </is>
      </c>
    </row>
    <row r="1833">
      <c r="A1833" t="n">
        <v>1646</v>
      </c>
      <c r="B1833" t="inlineStr">
        <is>
          <t>Casa independiente en calle de sa Murada, 4</t>
        </is>
      </c>
      <c r="C1833" t="inlineStr">
        <is>
          <t>https://www.idealista.com/inmueble/99964792/</t>
        </is>
      </c>
      <c r="E1833" t="n">
        <v>8</v>
      </c>
      <c r="H1833" t="n">
        <v>549</v>
      </c>
      <c r="J1833" t="inlineStr">
        <is>
          <t>Cala d'Or, Santanyí</t>
        </is>
      </c>
      <c r="K1833" t="n">
        <v>58.4</v>
      </c>
      <c r="L1833" t="n">
        <v>56</v>
      </c>
      <c r="M1833" t="n">
        <v>21.9</v>
      </c>
      <c r="N1833" t="n">
        <v>32</v>
      </c>
      <c r="O1833" t="n">
        <v>96.59999999999999</v>
      </c>
      <c r="P1833" t="n">
        <v>84</v>
      </c>
      <c r="Q1833" t="n">
        <v>23.3</v>
      </c>
      <c r="R1833" t="n">
        <v>34</v>
      </c>
      <c r="S1833" t="n">
        <v>4600000</v>
      </c>
      <c r="T1833" t="n">
        <v>8379</v>
      </c>
      <c r="AH1833" t="inlineStr">
        <is>
          <t>Quelle: Idealista</t>
        </is>
      </c>
    </row>
    <row r="1834">
      <c r="A1834" t="n">
        <v>1647</v>
      </c>
      <c r="B1834" t="inlineStr">
        <is>
          <t>Casa independiente en calle Marquès de Comillas</t>
        </is>
      </c>
      <c r="C1834" t="inlineStr">
        <is>
          <t>https://www.idealista.com/inmueble/99269285/</t>
        </is>
      </c>
      <c r="E1834" t="n">
        <v>6</v>
      </c>
      <c r="H1834" t="n">
        <v>599</v>
      </c>
      <c r="J1834" t="inlineStr">
        <is>
          <t>Cala d'Or, Santanyí</t>
        </is>
      </c>
      <c r="K1834" t="n">
        <v>58.4</v>
      </c>
      <c r="L1834" t="n">
        <v>56</v>
      </c>
      <c r="M1834" t="n">
        <v>21.9</v>
      </c>
      <c r="N1834" t="n">
        <v>32</v>
      </c>
      <c r="O1834" t="n">
        <v>96.59999999999999</v>
      </c>
      <c r="P1834" t="n">
        <v>84</v>
      </c>
      <c r="Q1834" t="n">
        <v>23.3</v>
      </c>
      <c r="R1834" t="n">
        <v>34</v>
      </c>
      <c r="S1834" t="n">
        <v>4500000</v>
      </c>
      <c r="T1834" t="n">
        <v>7513</v>
      </c>
      <c r="AH1834" t="inlineStr">
        <is>
          <t>Quelle: Idealista</t>
        </is>
      </c>
    </row>
    <row r="1835">
      <c r="A1835" t="n">
        <v>1648</v>
      </c>
      <c r="B1835" t="inlineStr">
        <is>
          <t>Casa independiente en Diseminado Poligono 2</t>
        </is>
      </c>
      <c r="C1835" t="inlineStr">
        <is>
          <t>https://www.idealista.com/inmueble/99267979/</t>
        </is>
      </c>
      <c r="E1835" t="n">
        <v>5</v>
      </c>
      <c r="H1835" t="n">
        <v>300</v>
      </c>
      <c r="J1835" t="inlineStr">
        <is>
          <t>Santanyí</t>
        </is>
      </c>
      <c r="K1835" t="n">
        <v>45.4</v>
      </c>
      <c r="L1835" t="n">
        <v>39</v>
      </c>
      <c r="M1835" t="n">
        <v>9</v>
      </c>
      <c r="N1835" t="n">
        <v>13</v>
      </c>
      <c r="O1835" t="n">
        <v>83.59999999999999</v>
      </c>
      <c r="P1835" t="n">
        <v>67</v>
      </c>
      <c r="Q1835" t="n">
        <v>9.699999999999999</v>
      </c>
      <c r="R1835" t="n">
        <v>15</v>
      </c>
      <c r="S1835" t="n">
        <v>2680000</v>
      </c>
      <c r="T1835" t="n">
        <v>8933</v>
      </c>
      <c r="AH1835" t="inlineStr">
        <is>
          <t>Quelle: Idealista</t>
        </is>
      </c>
    </row>
    <row r="1836">
      <c r="A1836" t="n">
        <v>1649</v>
      </c>
      <c r="B1836" t="inlineStr">
        <is>
          <t>Finca rústica</t>
        </is>
      </c>
      <c r="C1836" t="inlineStr">
        <is>
          <t>https://www.idealista.com/inmueble/97829692/</t>
        </is>
      </c>
      <c r="E1836" t="n">
        <v>5</v>
      </c>
      <c r="H1836" t="n">
        <v>402</v>
      </c>
      <c r="J1836" t="inlineStr">
        <is>
          <t>Es Llombards, Santanyí</t>
        </is>
      </c>
      <c r="K1836" t="n">
        <v>49.1</v>
      </c>
      <c r="L1836" t="n">
        <v>44</v>
      </c>
      <c r="M1836" t="n">
        <v>5.4</v>
      </c>
      <c r="N1836" t="n">
        <v>9</v>
      </c>
      <c r="O1836" t="n">
        <v>87.3</v>
      </c>
      <c r="P1836" t="n">
        <v>72</v>
      </c>
      <c r="Q1836" t="n">
        <v>6.1</v>
      </c>
      <c r="R1836" t="n">
        <v>11</v>
      </c>
      <c r="S1836" t="n">
        <v>3700000</v>
      </c>
      <c r="T1836" t="n">
        <v>9204</v>
      </c>
      <c r="AH1836" t="inlineStr">
        <is>
          <t>Quelle: Idealista</t>
        </is>
      </c>
    </row>
    <row r="1837">
      <c r="A1837" t="n">
        <v>1650</v>
      </c>
      <c r="B1837" t="inlineStr">
        <is>
          <t>Finca rústica</t>
        </is>
      </c>
      <c r="C1837" t="inlineStr">
        <is>
          <t>https://www.idealista.com/inmueble/97829672/</t>
        </is>
      </c>
      <c r="E1837" t="n">
        <v>5</v>
      </c>
      <c r="H1837" t="n">
        <v>427</v>
      </c>
      <c r="J1837" t="inlineStr">
        <is>
          <t>Cala Santanyí, Santanyí</t>
        </is>
      </c>
      <c r="K1837" t="n">
        <v>50</v>
      </c>
      <c r="L1837" t="n">
        <v>45</v>
      </c>
      <c r="M1837" t="n">
        <v>12.5</v>
      </c>
      <c r="N1837" t="n">
        <v>17</v>
      </c>
      <c r="O1837" t="n">
        <v>88.2</v>
      </c>
      <c r="P1837" t="n">
        <v>73</v>
      </c>
      <c r="Q1837" t="n">
        <v>13.1</v>
      </c>
      <c r="R1837" t="n">
        <v>20</v>
      </c>
      <c r="S1837" t="n">
        <v>3200000</v>
      </c>
      <c r="T1837" t="n">
        <v>7494</v>
      </c>
      <c r="AH1837" t="inlineStr">
        <is>
          <t>Quelle: Idealista</t>
        </is>
      </c>
    </row>
    <row r="1838">
      <c r="A1838" t="n">
        <v>1651</v>
      </c>
      <c r="B1838" t="inlineStr">
        <is>
          <t>Casa rural</t>
        </is>
      </c>
      <c r="C1838" t="inlineStr">
        <is>
          <t>https://www.idealista.com/inmueble/97343762/</t>
        </is>
      </c>
      <c r="E1838" t="n">
        <v>6</v>
      </c>
      <c r="H1838" t="n">
        <v>565</v>
      </c>
      <c r="J1838" t="inlineStr">
        <is>
          <t>Santanyí</t>
        </is>
      </c>
      <c r="K1838" t="n">
        <v>45.4</v>
      </c>
      <c r="L1838" t="n">
        <v>39</v>
      </c>
      <c r="M1838" t="n">
        <v>9</v>
      </c>
      <c r="N1838" t="n">
        <v>13</v>
      </c>
      <c r="O1838" t="n">
        <v>83.59999999999999</v>
      </c>
      <c r="P1838" t="n">
        <v>67</v>
      </c>
      <c r="Q1838" t="n">
        <v>9.699999999999999</v>
      </c>
      <c r="R1838" t="n">
        <v>15</v>
      </c>
      <c r="S1838" t="n">
        <v>3300000</v>
      </c>
      <c r="T1838" t="n">
        <v>5841</v>
      </c>
      <c r="AH1838" t="inlineStr">
        <is>
          <t>Quelle: Idealista</t>
        </is>
      </c>
    </row>
    <row r="1839">
      <c r="A1839" t="n">
        <v>1652</v>
      </c>
      <c r="B1839" t="inlineStr">
        <is>
          <t>Casa independiente en calle Mallorca, 2</t>
        </is>
      </c>
      <c r="C1839" t="inlineStr">
        <is>
          <t>https://www.idealista.com/inmueble/96880202/</t>
        </is>
      </c>
      <c r="E1839" t="n">
        <v>8</v>
      </c>
      <c r="H1839" t="n">
        <v>643</v>
      </c>
      <c r="J1839" t="inlineStr">
        <is>
          <t>Cala d'Or, Santanyí</t>
        </is>
      </c>
      <c r="K1839" t="n">
        <v>58.4</v>
      </c>
      <c r="L1839" t="n">
        <v>56</v>
      </c>
      <c r="M1839" t="n">
        <v>21.9</v>
      </c>
      <c r="N1839" t="n">
        <v>32</v>
      </c>
      <c r="O1839" t="n">
        <v>96.59999999999999</v>
      </c>
      <c r="P1839" t="n">
        <v>84</v>
      </c>
      <c r="Q1839" t="n">
        <v>23.3</v>
      </c>
      <c r="R1839" t="n">
        <v>34</v>
      </c>
      <c r="S1839" t="n">
        <v>4500000</v>
      </c>
      <c r="T1839" t="n">
        <v>6998</v>
      </c>
      <c r="AH1839" t="inlineStr">
        <is>
          <t>Quelle: Idealista</t>
        </is>
      </c>
    </row>
    <row r="1840">
      <c r="A1840" t="n">
        <v>1653</v>
      </c>
      <c r="B1840" t="inlineStr">
        <is>
          <t>Finca rústica en Diseminado Poligono 4</t>
        </is>
      </c>
      <c r="C1840" t="inlineStr">
        <is>
          <t>https://www.idealista.com/inmueble/96758025/</t>
        </is>
      </c>
      <c r="E1840" t="n">
        <v>5</v>
      </c>
      <c r="H1840" t="n">
        <v>430</v>
      </c>
      <c r="J1840" t="inlineStr">
        <is>
          <t>Santanyí</t>
        </is>
      </c>
      <c r="K1840" t="n">
        <v>45.4</v>
      </c>
      <c r="L1840" t="n">
        <v>39</v>
      </c>
      <c r="M1840" t="n">
        <v>9</v>
      </c>
      <c r="N1840" t="n">
        <v>13</v>
      </c>
      <c r="O1840" t="n">
        <v>83.59999999999999</v>
      </c>
      <c r="P1840" t="n">
        <v>67</v>
      </c>
      <c r="Q1840" t="n">
        <v>9.699999999999999</v>
      </c>
      <c r="R1840" t="n">
        <v>15</v>
      </c>
      <c r="S1840" t="n">
        <v>2950000</v>
      </c>
      <c r="T1840" t="n">
        <v>6860</v>
      </c>
      <c r="AH1840" t="inlineStr">
        <is>
          <t>Quelle: Idealista</t>
        </is>
      </c>
    </row>
    <row r="1841">
      <c r="A1841" t="n">
        <v>1654</v>
      </c>
      <c r="B1841" t="inlineStr">
        <is>
          <t>Finca rústica</t>
        </is>
      </c>
      <c r="C1841" t="inlineStr">
        <is>
          <t>https://www.idealista.com/inmueble/90928182/</t>
        </is>
      </c>
      <c r="E1841" t="n">
        <v>5</v>
      </c>
      <c r="H1841" t="n">
        <v>703</v>
      </c>
      <c r="J1841" t="inlineStr">
        <is>
          <t>Portopetro, Santanyí</t>
        </is>
      </c>
      <c r="K1841" t="n">
        <v>55.4</v>
      </c>
      <c r="L1841" t="n">
        <v>50</v>
      </c>
      <c r="M1841" t="n">
        <v>19.1</v>
      </c>
      <c r="N1841" t="n">
        <v>26</v>
      </c>
      <c r="O1841" t="n">
        <v>93.59999999999999</v>
      </c>
      <c r="P1841" t="n">
        <v>77</v>
      </c>
      <c r="Q1841" t="n">
        <v>20.6</v>
      </c>
      <c r="R1841" t="n">
        <v>28</v>
      </c>
      <c r="S1841" t="n">
        <v>3150000</v>
      </c>
      <c r="T1841" t="n">
        <v>4481</v>
      </c>
      <c r="AH1841" t="inlineStr">
        <is>
          <t>Quelle: Idealista</t>
        </is>
      </c>
    </row>
    <row r="1842">
      <c r="A1842" t="n">
        <v>1655</v>
      </c>
      <c r="B1842" t="inlineStr">
        <is>
          <t>Finca rústica</t>
        </is>
      </c>
      <c r="C1842" t="inlineStr">
        <is>
          <t>https://www.idealista.com/inmueble/90997005/</t>
        </is>
      </c>
      <c r="E1842" t="n">
        <v>6</v>
      </c>
      <c r="H1842" t="n">
        <v>596</v>
      </c>
      <c r="J1842" t="inlineStr">
        <is>
          <t>Cala Santanyí, Santanyí</t>
        </is>
      </c>
      <c r="K1842" t="n">
        <v>50</v>
      </c>
      <c r="L1842" t="n">
        <v>45</v>
      </c>
      <c r="M1842" t="n">
        <v>12.5</v>
      </c>
      <c r="N1842" t="n">
        <v>17</v>
      </c>
      <c r="O1842" t="n">
        <v>88.2</v>
      </c>
      <c r="P1842" t="n">
        <v>73</v>
      </c>
      <c r="Q1842" t="n">
        <v>13.1</v>
      </c>
      <c r="R1842" t="n">
        <v>20</v>
      </c>
      <c r="S1842" t="n">
        <v>3300000</v>
      </c>
      <c r="T1842" t="n">
        <v>5537</v>
      </c>
      <c r="AH1842" t="inlineStr">
        <is>
          <t>Quelle: Idealista</t>
        </is>
      </c>
    </row>
    <row r="1843">
      <c r="A1843" t="n">
        <v>1656</v>
      </c>
      <c r="B1843" t="inlineStr">
        <is>
          <t>Casa independiente</t>
        </is>
      </c>
      <c r="C1843" t="inlineStr">
        <is>
          <t>https://www.idealista.com/inmueble/109766371/</t>
        </is>
      </c>
      <c r="E1843" t="n">
        <v>5</v>
      </c>
      <c r="H1843" t="n">
        <v>586</v>
      </c>
      <c r="J1843" t="inlineStr">
        <is>
          <t>Selva</t>
        </is>
      </c>
      <c r="K1843" t="n">
        <v>44.5</v>
      </c>
      <c r="L1843" t="n">
        <v>41</v>
      </c>
      <c r="M1843" t="n">
        <v>62.6</v>
      </c>
      <c r="N1843" t="n">
        <v>67</v>
      </c>
      <c r="O1843" t="n">
        <v>67.09999999999999</v>
      </c>
      <c r="P1843" t="n">
        <v>57</v>
      </c>
      <c r="Q1843" t="n">
        <v>60.3</v>
      </c>
      <c r="R1843" t="n">
        <v>64</v>
      </c>
      <c r="S1843" t="n">
        <v>2500000</v>
      </c>
      <c r="T1843" t="n">
        <v>4266</v>
      </c>
      <c r="AH1843" t="inlineStr">
        <is>
          <t>Quelle: Idealista</t>
        </is>
      </c>
    </row>
    <row r="1844">
      <c r="A1844" t="n">
        <v>1657</v>
      </c>
      <c r="B1844" t="inlineStr">
        <is>
          <t>Finca rústica</t>
        </is>
      </c>
      <c r="C1844" t="inlineStr">
        <is>
          <t>https://www.idealista.com/inmueble/109459487/</t>
        </is>
      </c>
      <c r="E1844" t="n">
        <v>5</v>
      </c>
      <c r="H1844" t="n">
        <v>405</v>
      </c>
      <c r="J1844" t="inlineStr">
        <is>
          <t>Selva</t>
        </is>
      </c>
      <c r="K1844" t="n">
        <v>44.5</v>
      </c>
      <c r="L1844" t="n">
        <v>41</v>
      </c>
      <c r="M1844" t="n">
        <v>62.6</v>
      </c>
      <c r="N1844" t="n">
        <v>67</v>
      </c>
      <c r="O1844" t="n">
        <v>67.09999999999999</v>
      </c>
      <c r="P1844" t="n">
        <v>57</v>
      </c>
      <c r="Q1844" t="n">
        <v>60.3</v>
      </c>
      <c r="R1844" t="n">
        <v>64</v>
      </c>
      <c r="S1844" t="n">
        <v>2250000</v>
      </c>
      <c r="T1844" t="n">
        <v>5556</v>
      </c>
      <c r="AH1844" t="inlineStr">
        <is>
          <t>Quelle: Idealista</t>
        </is>
      </c>
    </row>
    <row r="1845">
      <c r="A1845" t="n">
        <v>1658</v>
      </c>
      <c r="B1845" t="inlineStr">
        <is>
          <t>Finca rústica</t>
        </is>
      </c>
      <c r="C1845" t="inlineStr">
        <is>
          <t>https://www.idealista.com/inmueble/108310473/</t>
        </is>
      </c>
      <c r="E1845" t="n">
        <v>6</v>
      </c>
      <c r="H1845" t="n">
        <v>375</v>
      </c>
      <c r="J1845" t="inlineStr">
        <is>
          <t>Selva</t>
        </is>
      </c>
      <c r="K1845" t="n">
        <v>44.5</v>
      </c>
      <c r="L1845" t="n">
        <v>41</v>
      </c>
      <c r="M1845" t="n">
        <v>62.6</v>
      </c>
      <c r="N1845" t="n">
        <v>67</v>
      </c>
      <c r="O1845" t="n">
        <v>67.09999999999999</v>
      </c>
      <c r="P1845" t="n">
        <v>57</v>
      </c>
      <c r="Q1845" t="n">
        <v>60.3</v>
      </c>
      <c r="R1845" t="n">
        <v>64</v>
      </c>
      <c r="S1845" t="n">
        <v>2250000</v>
      </c>
      <c r="T1845" t="n">
        <v>6000</v>
      </c>
      <c r="AH1845" t="inlineStr">
        <is>
          <t>Quelle: Idealista</t>
        </is>
      </c>
    </row>
    <row r="1846">
      <c r="A1846" t="n">
        <v>1659</v>
      </c>
      <c r="B1846" t="inlineStr">
        <is>
          <t>Finca rústica</t>
        </is>
      </c>
      <c r="C1846" t="inlineStr">
        <is>
          <t>https://www.idealista.com/inmueble/106131124/</t>
        </is>
      </c>
      <c r="E1846" t="n">
        <v>5</v>
      </c>
      <c r="H1846" t="n">
        <v>456</v>
      </c>
      <c r="J1846" t="inlineStr">
        <is>
          <t>Selva</t>
        </is>
      </c>
      <c r="K1846" t="n">
        <v>44.5</v>
      </c>
      <c r="L1846" t="n">
        <v>41</v>
      </c>
      <c r="M1846" t="n">
        <v>62.6</v>
      </c>
      <c r="N1846" t="n">
        <v>67</v>
      </c>
      <c r="O1846" t="n">
        <v>67.09999999999999</v>
      </c>
      <c r="P1846" t="n">
        <v>57</v>
      </c>
      <c r="Q1846" t="n">
        <v>60.3</v>
      </c>
      <c r="R1846" t="n">
        <v>64</v>
      </c>
      <c r="S1846" t="n">
        <v>2900000</v>
      </c>
      <c r="T1846" t="n">
        <v>6360</v>
      </c>
      <c r="AH1846" t="inlineStr">
        <is>
          <t>Quelle: Idealista</t>
        </is>
      </c>
    </row>
    <row r="1847">
      <c r="A1847" t="n">
        <v>1660</v>
      </c>
      <c r="B1847" t="inlineStr">
        <is>
          <t>Chalet en via Sense Nom</t>
        </is>
      </c>
      <c r="C1847" t="inlineStr">
        <is>
          <t>https://www.idealista.com/inmueble/108417034/</t>
        </is>
      </c>
      <c r="E1847" t="n">
        <v>6</v>
      </c>
      <c r="H1847" t="n">
        <v>405</v>
      </c>
      <c r="J1847" t="inlineStr">
        <is>
          <t>Selva</t>
        </is>
      </c>
      <c r="K1847" t="n">
        <v>44.5</v>
      </c>
      <c r="L1847" t="n">
        <v>41</v>
      </c>
      <c r="M1847" t="n">
        <v>62.6</v>
      </c>
      <c r="N1847" t="n">
        <v>67</v>
      </c>
      <c r="O1847" t="n">
        <v>67.09999999999999</v>
      </c>
      <c r="P1847" t="n">
        <v>57</v>
      </c>
      <c r="Q1847" t="n">
        <v>60.3</v>
      </c>
      <c r="R1847" t="n">
        <v>64</v>
      </c>
      <c r="S1847" t="n">
        <v>3950000</v>
      </c>
      <c r="T1847" t="n">
        <v>9753</v>
      </c>
      <c r="AH1847" t="inlineStr">
        <is>
          <t>Quelle: Idealista</t>
        </is>
      </c>
    </row>
    <row r="1848">
      <c r="A1848" t="n">
        <v>1661</v>
      </c>
      <c r="B1848" t="inlineStr">
        <is>
          <t>Chalet</t>
        </is>
      </c>
      <c r="C1848" t="inlineStr">
        <is>
          <t>https://www.idealista.com/inmueble/107919944/</t>
        </is>
      </c>
      <c r="E1848" t="n">
        <v>5</v>
      </c>
      <c r="H1848" t="n">
        <v>612</v>
      </c>
      <c r="J1848" t="inlineStr">
        <is>
          <t>Selva</t>
        </is>
      </c>
      <c r="K1848" t="n">
        <v>44.5</v>
      </c>
      <c r="L1848" t="n">
        <v>41</v>
      </c>
      <c r="M1848" t="n">
        <v>62.6</v>
      </c>
      <c r="N1848" t="n">
        <v>67</v>
      </c>
      <c r="O1848" t="n">
        <v>67.09999999999999</v>
      </c>
      <c r="P1848" t="n">
        <v>57</v>
      </c>
      <c r="Q1848" t="n">
        <v>60.3</v>
      </c>
      <c r="R1848" t="n">
        <v>64</v>
      </c>
      <c r="S1848" t="n">
        <v>2800000</v>
      </c>
      <c r="T1848" t="n">
        <v>4575</v>
      </c>
      <c r="AH1848" t="inlineStr">
        <is>
          <t>Quelle: Idealista</t>
        </is>
      </c>
    </row>
    <row r="1849">
      <c r="A1849" t="n">
        <v>1662</v>
      </c>
      <c r="B1849" t="inlineStr">
        <is>
          <t>Casa rural</t>
        </is>
      </c>
      <c r="C1849" t="inlineStr">
        <is>
          <t>https://www.idealista.com/inmueble/106199172/</t>
        </is>
      </c>
      <c r="E1849" t="n">
        <v>6</v>
      </c>
      <c r="H1849" t="n">
        <v>700</v>
      </c>
      <c r="J1849" t="inlineStr">
        <is>
          <t>Selva</t>
        </is>
      </c>
      <c r="K1849" t="n">
        <v>44.5</v>
      </c>
      <c r="L1849" t="n">
        <v>41</v>
      </c>
      <c r="M1849" t="n">
        <v>62.6</v>
      </c>
      <c r="N1849" t="n">
        <v>67</v>
      </c>
      <c r="O1849" t="n">
        <v>67.09999999999999</v>
      </c>
      <c r="P1849" t="n">
        <v>57</v>
      </c>
      <c r="Q1849" t="n">
        <v>60.3</v>
      </c>
      <c r="R1849" t="n">
        <v>64</v>
      </c>
      <c r="S1849" t="n">
        <v>4950000</v>
      </c>
      <c r="T1849" t="n">
        <v>7071</v>
      </c>
      <c r="AH1849" t="inlineStr">
        <is>
          <t>Quelle: Idealista</t>
        </is>
      </c>
    </row>
    <row r="1850">
      <c r="A1850" t="n">
        <v>1663</v>
      </c>
      <c r="B1850" t="inlineStr">
        <is>
          <t>Casa rural</t>
        </is>
      </c>
      <c r="C1850" t="inlineStr">
        <is>
          <t>https://www.idealista.com/inmueble/106095310/</t>
        </is>
      </c>
      <c r="E1850" t="n">
        <v>10</v>
      </c>
      <c r="H1850" t="n">
        <v>600</v>
      </c>
      <c r="J1850" t="inlineStr">
        <is>
          <t>Selva</t>
        </is>
      </c>
      <c r="K1850" t="n">
        <v>44.5</v>
      </c>
      <c r="L1850" t="n">
        <v>41</v>
      </c>
      <c r="M1850" t="n">
        <v>62.6</v>
      </c>
      <c r="N1850" t="n">
        <v>67</v>
      </c>
      <c r="O1850" t="n">
        <v>67.09999999999999</v>
      </c>
      <c r="P1850" t="n">
        <v>57</v>
      </c>
      <c r="Q1850" t="n">
        <v>60.3</v>
      </c>
      <c r="R1850" t="n">
        <v>64</v>
      </c>
      <c r="S1850" t="n">
        <v>4995000</v>
      </c>
      <c r="T1850" t="n">
        <v>8325</v>
      </c>
      <c r="AH1850" t="inlineStr">
        <is>
          <t>Quelle: Idealista</t>
        </is>
      </c>
    </row>
    <row r="1851">
      <c r="A1851" t="n">
        <v>1664</v>
      </c>
      <c r="B1851" t="inlineStr">
        <is>
          <t>Casa independiente</t>
        </is>
      </c>
      <c r="C1851" t="inlineStr">
        <is>
          <t>https://www.idealista.com/inmueble/105615008/</t>
        </is>
      </c>
      <c r="E1851" t="n">
        <v>7</v>
      </c>
      <c r="H1851" t="n">
        <v>557</v>
      </c>
      <c r="J1851" t="inlineStr">
        <is>
          <t>Selva</t>
        </is>
      </c>
      <c r="K1851" t="n">
        <v>44.5</v>
      </c>
      <c r="L1851" t="n">
        <v>41</v>
      </c>
      <c r="M1851" t="n">
        <v>62.6</v>
      </c>
      <c r="N1851" t="n">
        <v>67</v>
      </c>
      <c r="O1851" t="n">
        <v>67.09999999999999</v>
      </c>
      <c r="P1851" t="n">
        <v>57</v>
      </c>
      <c r="Q1851" t="n">
        <v>60.3</v>
      </c>
      <c r="R1851" t="n">
        <v>64</v>
      </c>
      <c r="S1851" t="n">
        <v>4995000</v>
      </c>
      <c r="T1851" t="n">
        <v>8968</v>
      </c>
      <c r="AH1851" t="inlineStr">
        <is>
          <t>Quelle: Idealista</t>
        </is>
      </c>
    </row>
    <row r="1852">
      <c r="A1852" t="n">
        <v>1665</v>
      </c>
      <c r="B1852" t="inlineStr">
        <is>
          <t>Chalet</t>
        </is>
      </c>
      <c r="C1852" t="inlineStr">
        <is>
          <t>https://www.idealista.com/inmueble/97953807/</t>
        </is>
      </c>
      <c r="E1852" t="n">
        <v>5</v>
      </c>
      <c r="H1852" t="n">
        <v>1141</v>
      </c>
      <c r="J1852" t="inlineStr">
        <is>
          <t>Selva</t>
        </is>
      </c>
      <c r="K1852" t="n">
        <v>44.5</v>
      </c>
      <c r="L1852" t="n">
        <v>41</v>
      </c>
      <c r="M1852" t="n">
        <v>62.6</v>
      </c>
      <c r="N1852" t="n">
        <v>67</v>
      </c>
      <c r="O1852" t="n">
        <v>67.09999999999999</v>
      </c>
      <c r="P1852" t="n">
        <v>57</v>
      </c>
      <c r="Q1852" t="n">
        <v>60.3</v>
      </c>
      <c r="R1852" t="n">
        <v>64</v>
      </c>
      <c r="S1852" t="n">
        <v>2800000</v>
      </c>
      <c r="T1852" t="n">
        <v>2454</v>
      </c>
      <c r="AH1852" t="inlineStr">
        <is>
          <t>Quelle: Idealista</t>
        </is>
      </c>
    </row>
    <row r="1853">
      <c r="A1853" t="n">
        <v>1666</v>
      </c>
      <c r="B1853" t="inlineStr">
        <is>
          <t>Casa independiente</t>
        </is>
      </c>
      <c r="C1853" t="inlineStr">
        <is>
          <t>https://www.idealista.com/inmueble/97953798/</t>
        </is>
      </c>
      <c r="E1853" t="n">
        <v>5</v>
      </c>
      <c r="H1853" t="n">
        <v>456</v>
      </c>
      <c r="J1853" t="inlineStr">
        <is>
          <t>Selva</t>
        </is>
      </c>
      <c r="K1853" t="n">
        <v>44.5</v>
      </c>
      <c r="L1853" t="n">
        <v>41</v>
      </c>
      <c r="M1853" t="n">
        <v>62.6</v>
      </c>
      <c r="N1853" t="n">
        <v>67</v>
      </c>
      <c r="O1853" t="n">
        <v>67.09999999999999</v>
      </c>
      <c r="P1853" t="n">
        <v>57</v>
      </c>
      <c r="Q1853" t="n">
        <v>60.3</v>
      </c>
      <c r="R1853" t="n">
        <v>64</v>
      </c>
      <c r="S1853" t="n">
        <v>2900000</v>
      </c>
      <c r="T1853" t="n">
        <v>6360</v>
      </c>
      <c r="AH1853" t="inlineStr">
        <is>
          <t>Quelle: Idealista</t>
        </is>
      </c>
    </row>
    <row r="1854">
      <c r="A1854" t="n">
        <v>1667</v>
      </c>
      <c r="B1854" t="inlineStr">
        <is>
          <t>Casa independiente</t>
        </is>
      </c>
      <c r="C1854" t="inlineStr">
        <is>
          <t>https://www.idealista.com/inmueble/106560391/</t>
        </is>
      </c>
      <c r="E1854" t="n">
        <v>9</v>
      </c>
      <c r="H1854" t="n">
        <v>1706</v>
      </c>
      <c r="J1854" t="inlineStr">
        <is>
          <t>Sencelles</t>
        </is>
      </c>
      <c r="K1854" t="n">
        <v>34.2</v>
      </c>
      <c r="L1854" t="n">
        <v>32</v>
      </c>
      <c r="M1854" t="n">
        <v>46.4</v>
      </c>
      <c r="N1854" t="n">
        <v>50</v>
      </c>
      <c r="O1854" t="n">
        <v>56.8</v>
      </c>
      <c r="P1854" t="n">
        <v>48</v>
      </c>
      <c r="Q1854" t="n">
        <v>44.1</v>
      </c>
      <c r="R1854" t="n">
        <v>46</v>
      </c>
      <c r="S1854" t="n">
        <v>3900000</v>
      </c>
      <c r="T1854" t="n">
        <v>2286</v>
      </c>
      <c r="AH1854" t="inlineStr">
        <is>
          <t>Quelle: Idealista</t>
        </is>
      </c>
    </row>
    <row r="1855">
      <c r="A1855" t="n">
        <v>1668</v>
      </c>
      <c r="B1855" t="inlineStr">
        <is>
          <t>Casa independiente</t>
        </is>
      </c>
      <c r="C1855" t="inlineStr">
        <is>
          <t>https://www.idealista.com/inmueble/110095553/</t>
        </is>
      </c>
      <c r="E1855" t="n">
        <v>6</v>
      </c>
      <c r="H1855" t="n">
        <v>763</v>
      </c>
      <c r="J1855" t="inlineStr">
        <is>
          <t>Sencelles</t>
        </is>
      </c>
      <c r="K1855" t="n">
        <v>34.2</v>
      </c>
      <c r="L1855" t="n">
        <v>32</v>
      </c>
      <c r="M1855" t="n">
        <v>46.4</v>
      </c>
      <c r="N1855" t="n">
        <v>50</v>
      </c>
      <c r="O1855" t="n">
        <v>56.8</v>
      </c>
      <c r="P1855" t="n">
        <v>48</v>
      </c>
      <c r="Q1855" t="n">
        <v>44.1</v>
      </c>
      <c r="R1855" t="n">
        <v>46</v>
      </c>
      <c r="S1855" t="n">
        <v>3900000</v>
      </c>
      <c r="T1855" t="n">
        <v>5111</v>
      </c>
      <c r="AH1855" t="inlineStr">
        <is>
          <t>Quelle: Idealista</t>
        </is>
      </c>
    </row>
    <row r="1856">
      <c r="A1856" t="n">
        <v>1669</v>
      </c>
      <c r="B1856" t="inlineStr">
        <is>
          <t>Finca rústica</t>
        </is>
      </c>
      <c r="C1856" t="inlineStr">
        <is>
          <t>https://www.idealista.com/inmueble/109394375/</t>
        </is>
      </c>
      <c r="E1856" t="n">
        <v>5</v>
      </c>
      <c r="H1856" t="n">
        <v>496</v>
      </c>
      <c r="J1856" t="inlineStr">
        <is>
          <t>Sencelles</t>
        </is>
      </c>
      <c r="K1856" t="n">
        <v>34.2</v>
      </c>
      <c r="L1856" t="n">
        <v>32</v>
      </c>
      <c r="M1856" t="n">
        <v>46.4</v>
      </c>
      <c r="N1856" t="n">
        <v>50</v>
      </c>
      <c r="O1856" t="n">
        <v>56.8</v>
      </c>
      <c r="P1856" t="n">
        <v>48</v>
      </c>
      <c r="Q1856" t="n">
        <v>44.1</v>
      </c>
      <c r="R1856" t="n">
        <v>46</v>
      </c>
      <c r="S1856" t="n">
        <v>3500000</v>
      </c>
      <c r="T1856" t="n">
        <v>7056</v>
      </c>
      <c r="AH1856" t="inlineStr">
        <is>
          <t>Quelle: Idealista</t>
        </is>
      </c>
    </row>
    <row r="1857">
      <c r="A1857" t="n">
        <v>1670</v>
      </c>
      <c r="B1857" t="inlineStr">
        <is>
          <t>Finca rústica</t>
        </is>
      </c>
      <c r="C1857" t="inlineStr">
        <is>
          <t>https://www.idealista.com/inmueble/109531131/</t>
        </is>
      </c>
      <c r="E1857" t="n">
        <v>5</v>
      </c>
      <c r="H1857" t="n">
        <v>1450</v>
      </c>
      <c r="J1857" t="inlineStr">
        <is>
          <t>Sencelles</t>
        </is>
      </c>
      <c r="K1857" t="n">
        <v>34.2</v>
      </c>
      <c r="L1857" t="n">
        <v>32</v>
      </c>
      <c r="M1857" t="n">
        <v>46.4</v>
      </c>
      <c r="N1857" t="n">
        <v>50</v>
      </c>
      <c r="O1857" t="n">
        <v>56.8</v>
      </c>
      <c r="P1857" t="n">
        <v>48</v>
      </c>
      <c r="Q1857" t="n">
        <v>44.1</v>
      </c>
      <c r="R1857" t="n">
        <v>46</v>
      </c>
      <c r="S1857" t="n">
        <v>2100000</v>
      </c>
      <c r="T1857" t="n">
        <v>1448</v>
      </c>
      <c r="AH1857" t="inlineStr">
        <is>
          <t>Quelle: Idealista</t>
        </is>
      </c>
    </row>
    <row r="1858">
      <c r="A1858" t="n">
        <v>1671</v>
      </c>
      <c r="B1858" t="inlineStr">
        <is>
          <t>Casa independiente</t>
        </is>
      </c>
      <c r="C1858" t="inlineStr">
        <is>
          <t>https://www.idealista.com/inmueble/109407418/</t>
        </is>
      </c>
      <c r="E1858" t="n">
        <v>5</v>
      </c>
      <c r="H1858" t="n">
        <v>370</v>
      </c>
      <c r="J1858" t="inlineStr">
        <is>
          <t>Sencelles</t>
        </is>
      </c>
      <c r="K1858" t="n">
        <v>34.2</v>
      </c>
      <c r="L1858" t="n">
        <v>32</v>
      </c>
      <c r="M1858" t="n">
        <v>46.4</v>
      </c>
      <c r="N1858" t="n">
        <v>50</v>
      </c>
      <c r="O1858" t="n">
        <v>56.8</v>
      </c>
      <c r="P1858" t="n">
        <v>48</v>
      </c>
      <c r="Q1858" t="n">
        <v>44.1</v>
      </c>
      <c r="R1858" t="n">
        <v>46</v>
      </c>
      <c r="S1858" t="n">
        <v>4200000</v>
      </c>
      <c r="T1858" t="n">
        <v>11351</v>
      </c>
      <c r="AH1858" t="inlineStr">
        <is>
          <t>Quelle: Idealista</t>
        </is>
      </c>
    </row>
    <row r="1859">
      <c r="A1859" t="n">
        <v>1672</v>
      </c>
      <c r="B1859" t="inlineStr">
        <is>
          <t>Casa rural</t>
        </is>
      </c>
      <c r="C1859" t="inlineStr">
        <is>
          <t>https://www.idealista.com/inmueble/109355117/</t>
        </is>
      </c>
      <c r="E1859" t="n">
        <v>5</v>
      </c>
      <c r="H1859" t="n">
        <v>364</v>
      </c>
      <c r="J1859" t="inlineStr">
        <is>
          <t>Sencelles</t>
        </is>
      </c>
      <c r="K1859" t="n">
        <v>34.2</v>
      </c>
      <c r="L1859" t="n">
        <v>32</v>
      </c>
      <c r="M1859" t="n">
        <v>46.4</v>
      </c>
      <c r="N1859" t="n">
        <v>50</v>
      </c>
      <c r="O1859" t="n">
        <v>56.8</v>
      </c>
      <c r="P1859" t="n">
        <v>48</v>
      </c>
      <c r="Q1859" t="n">
        <v>44.1</v>
      </c>
      <c r="R1859" t="n">
        <v>46</v>
      </c>
      <c r="S1859" t="n">
        <v>4500000</v>
      </c>
      <c r="T1859" t="n">
        <v>12363</v>
      </c>
      <c r="AH1859" t="inlineStr">
        <is>
          <t>Quelle: Idealista</t>
        </is>
      </c>
    </row>
    <row r="1860">
      <c r="A1860" t="n">
        <v>1673</v>
      </c>
      <c r="B1860" t="inlineStr">
        <is>
          <t>Finca rústica en Diseminado Pol. 4, 35</t>
        </is>
      </c>
      <c r="C1860" t="inlineStr">
        <is>
          <t>https://www.idealista.com/inmueble/108930902/</t>
        </is>
      </c>
      <c r="E1860" t="n">
        <v>5</v>
      </c>
      <c r="H1860" t="n">
        <v>450</v>
      </c>
      <c r="J1860" t="inlineStr">
        <is>
          <t>Sencelles</t>
        </is>
      </c>
      <c r="K1860" t="n">
        <v>34.2</v>
      </c>
      <c r="L1860" t="n">
        <v>32</v>
      </c>
      <c r="M1860" t="n">
        <v>46.4</v>
      </c>
      <c r="N1860" t="n">
        <v>50</v>
      </c>
      <c r="O1860" t="n">
        <v>56.8</v>
      </c>
      <c r="P1860" t="n">
        <v>48</v>
      </c>
      <c r="Q1860" t="n">
        <v>44.1</v>
      </c>
      <c r="R1860" t="n">
        <v>46</v>
      </c>
      <c r="S1860" t="n">
        <v>2600000</v>
      </c>
      <c r="T1860" t="n">
        <v>5778</v>
      </c>
      <c r="AH1860" t="inlineStr">
        <is>
          <t>Quelle: Idealista</t>
        </is>
      </c>
    </row>
    <row r="1861">
      <c r="A1861" t="n">
        <v>1674</v>
      </c>
      <c r="B1861" t="inlineStr">
        <is>
          <t>Finca rústica</t>
        </is>
      </c>
      <c r="C1861" t="inlineStr">
        <is>
          <t>https://www.idealista.com/inmueble/108856413/</t>
        </is>
      </c>
      <c r="E1861" t="n">
        <v>5</v>
      </c>
      <c r="H1861" t="n">
        <v>492</v>
      </c>
      <c r="J1861" t="inlineStr">
        <is>
          <t>Sencelles</t>
        </is>
      </c>
      <c r="K1861" t="n">
        <v>34.2</v>
      </c>
      <c r="L1861" t="n">
        <v>32</v>
      </c>
      <c r="M1861" t="n">
        <v>46.4</v>
      </c>
      <c r="N1861" t="n">
        <v>50</v>
      </c>
      <c r="O1861" t="n">
        <v>56.8</v>
      </c>
      <c r="P1861" t="n">
        <v>48</v>
      </c>
      <c r="Q1861" t="n">
        <v>44.1</v>
      </c>
      <c r="R1861" t="n">
        <v>46</v>
      </c>
      <c r="S1861" t="n">
        <v>3500000</v>
      </c>
      <c r="T1861" t="n">
        <v>7114</v>
      </c>
      <c r="AH1861" t="inlineStr">
        <is>
          <t>Quelle: Idealista</t>
        </is>
      </c>
    </row>
    <row r="1862">
      <c r="A1862" t="n">
        <v>1675</v>
      </c>
      <c r="B1862" t="inlineStr">
        <is>
          <t>Casa rural</t>
        </is>
      </c>
      <c r="C1862" t="inlineStr">
        <is>
          <t>https://www.idealista.com/inmueble/108643926/</t>
        </is>
      </c>
      <c r="E1862" t="n">
        <v>6</v>
      </c>
      <c r="H1862" t="n">
        <v>425</v>
      </c>
      <c r="J1862" t="inlineStr">
        <is>
          <t>Sencelles</t>
        </is>
      </c>
      <c r="K1862" t="n">
        <v>34.2</v>
      </c>
      <c r="L1862" t="n">
        <v>32</v>
      </c>
      <c r="M1862" t="n">
        <v>46.4</v>
      </c>
      <c r="N1862" t="n">
        <v>50</v>
      </c>
      <c r="O1862" t="n">
        <v>56.8</v>
      </c>
      <c r="P1862" t="n">
        <v>48</v>
      </c>
      <c r="Q1862" t="n">
        <v>44.1</v>
      </c>
      <c r="R1862" t="n">
        <v>46</v>
      </c>
      <c r="S1862" t="n">
        <v>3250000</v>
      </c>
      <c r="T1862" t="n">
        <v>7647</v>
      </c>
      <c r="AH1862" t="inlineStr">
        <is>
          <t>Quelle: Idealista</t>
        </is>
      </c>
    </row>
    <row r="1863">
      <c r="A1863" t="n">
        <v>1676</v>
      </c>
      <c r="B1863" t="inlineStr">
        <is>
          <t>Casa independiente</t>
        </is>
      </c>
      <c r="C1863" t="inlineStr">
        <is>
          <t>https://www.idealista.com/inmueble/108577092/</t>
        </is>
      </c>
      <c r="E1863" t="n">
        <v>9</v>
      </c>
      <c r="H1863" t="n">
        <v>1706</v>
      </c>
      <c r="J1863" t="inlineStr">
        <is>
          <t>Sencelles</t>
        </is>
      </c>
      <c r="K1863" t="n">
        <v>34.2</v>
      </c>
      <c r="L1863" t="n">
        <v>32</v>
      </c>
      <c r="M1863" t="n">
        <v>46.4</v>
      </c>
      <c r="N1863" t="n">
        <v>50</v>
      </c>
      <c r="O1863" t="n">
        <v>56.8</v>
      </c>
      <c r="P1863" t="n">
        <v>48</v>
      </c>
      <c r="Q1863" t="n">
        <v>44.1</v>
      </c>
      <c r="R1863" t="n">
        <v>46</v>
      </c>
      <c r="S1863" t="n">
        <v>4500000</v>
      </c>
      <c r="T1863" t="n">
        <v>2638</v>
      </c>
      <c r="AH1863" t="inlineStr">
        <is>
          <t>Quelle: Idealista</t>
        </is>
      </c>
    </row>
    <row r="1864">
      <c r="A1864" t="n">
        <v>1677</v>
      </c>
      <c r="B1864" t="inlineStr">
        <is>
          <t>Casa rural</t>
        </is>
      </c>
      <c r="C1864" t="inlineStr">
        <is>
          <t>https://www.idealista.com/inmueble/107568578/</t>
        </is>
      </c>
      <c r="E1864" t="n">
        <v>6</v>
      </c>
      <c r="H1864" t="n">
        <v>680</v>
      </c>
      <c r="J1864" t="inlineStr">
        <is>
          <t>Sencelles</t>
        </is>
      </c>
      <c r="K1864" t="n">
        <v>34.2</v>
      </c>
      <c r="L1864" t="n">
        <v>32</v>
      </c>
      <c r="M1864" t="n">
        <v>46.4</v>
      </c>
      <c r="N1864" t="n">
        <v>50</v>
      </c>
      <c r="O1864" t="n">
        <v>56.8</v>
      </c>
      <c r="P1864" t="n">
        <v>48</v>
      </c>
      <c r="Q1864" t="n">
        <v>44.1</v>
      </c>
      <c r="R1864" t="n">
        <v>46</v>
      </c>
      <c r="S1864" t="n">
        <v>3900000</v>
      </c>
      <c r="T1864" t="n">
        <v>5735</v>
      </c>
      <c r="AH1864" t="inlineStr">
        <is>
          <t>Quelle: Idealista</t>
        </is>
      </c>
    </row>
    <row r="1865">
      <c r="A1865" t="n">
        <v>1678</v>
      </c>
      <c r="B1865" t="inlineStr">
        <is>
          <t>Finca rústica</t>
        </is>
      </c>
      <c r="C1865" t="inlineStr">
        <is>
          <t>https://www.idealista.com/inmueble/106500494/</t>
        </is>
      </c>
      <c r="E1865" t="n">
        <v>6</v>
      </c>
      <c r="H1865" t="n">
        <v>1180</v>
      </c>
      <c r="J1865" t="inlineStr">
        <is>
          <t>Sencelles</t>
        </is>
      </c>
      <c r="K1865" t="n">
        <v>34.2</v>
      </c>
      <c r="L1865" t="n">
        <v>32</v>
      </c>
      <c r="M1865" t="n">
        <v>46.4</v>
      </c>
      <c r="N1865" t="n">
        <v>50</v>
      </c>
      <c r="O1865" t="n">
        <v>56.8</v>
      </c>
      <c r="P1865" t="n">
        <v>48</v>
      </c>
      <c r="Q1865" t="n">
        <v>44.1</v>
      </c>
      <c r="R1865" t="n">
        <v>46</v>
      </c>
      <c r="S1865" t="n">
        <v>2450000</v>
      </c>
      <c r="T1865" t="n">
        <v>2076</v>
      </c>
      <c r="AH1865" t="inlineStr">
        <is>
          <t>Quelle: Idealista</t>
        </is>
      </c>
    </row>
    <row r="1866">
      <c r="A1866" t="n">
        <v>1679</v>
      </c>
      <c r="B1866" t="inlineStr">
        <is>
          <t>Finca rústica en calle Ruberts</t>
        </is>
      </c>
      <c r="C1866" t="inlineStr">
        <is>
          <t>https://www.idealista.com/inmueble/104530276/</t>
        </is>
      </c>
      <c r="E1866" t="n">
        <v>24</v>
      </c>
      <c r="H1866" t="n">
        <v>2134</v>
      </c>
      <c r="J1866" t="inlineStr">
        <is>
          <t>Sencelles</t>
        </is>
      </c>
      <c r="K1866" t="n">
        <v>34.2</v>
      </c>
      <c r="L1866" t="n">
        <v>32</v>
      </c>
      <c r="M1866" t="n">
        <v>46.4</v>
      </c>
      <c r="N1866" t="n">
        <v>50</v>
      </c>
      <c r="O1866" t="n">
        <v>56.8</v>
      </c>
      <c r="P1866" t="n">
        <v>48</v>
      </c>
      <c r="Q1866" t="n">
        <v>44.1</v>
      </c>
      <c r="R1866" t="n">
        <v>46</v>
      </c>
      <c r="S1866" t="n">
        <v>5800000</v>
      </c>
      <c r="T1866" t="n">
        <v>2718</v>
      </c>
      <c r="AH1866" t="inlineStr">
        <is>
          <t>Quelle: Idealista</t>
        </is>
      </c>
    </row>
    <row r="1867">
      <c r="A1867" t="n">
        <v>1680</v>
      </c>
      <c r="B1867" t="inlineStr">
        <is>
          <t>Casa rural</t>
        </is>
      </c>
      <c r="C1867" t="inlineStr">
        <is>
          <t>https://www.idealista.com/inmueble/101885581/</t>
        </is>
      </c>
      <c r="E1867" t="n">
        <v>12</v>
      </c>
      <c r="H1867" t="n">
        <v>1800</v>
      </c>
      <c r="J1867" t="inlineStr">
        <is>
          <t>Sencelles</t>
        </is>
      </c>
      <c r="K1867" t="n">
        <v>34.2</v>
      </c>
      <c r="L1867" t="n">
        <v>32</v>
      </c>
      <c r="M1867" t="n">
        <v>46.4</v>
      </c>
      <c r="N1867" t="n">
        <v>50</v>
      </c>
      <c r="O1867" t="n">
        <v>56.8</v>
      </c>
      <c r="P1867" t="n">
        <v>48</v>
      </c>
      <c r="Q1867" t="n">
        <v>44.1</v>
      </c>
      <c r="R1867" t="n">
        <v>46</v>
      </c>
      <c r="S1867" t="n">
        <v>5200000</v>
      </c>
      <c r="T1867" t="n">
        <v>2889</v>
      </c>
      <c r="AH1867" t="inlineStr">
        <is>
          <t>Quelle: Idealista</t>
        </is>
      </c>
    </row>
    <row r="1868">
      <c r="A1868" t="n">
        <v>1681</v>
      </c>
      <c r="B1868" t="inlineStr">
        <is>
          <t>Casa rural</t>
        </is>
      </c>
      <c r="C1868" t="inlineStr">
        <is>
          <t>https://www.idealista.com/inmueble/100125502/</t>
        </is>
      </c>
      <c r="E1868" t="n">
        <v>5</v>
      </c>
      <c r="H1868" t="n">
        <v>634</v>
      </c>
      <c r="J1868" t="inlineStr">
        <is>
          <t>Sencelles</t>
        </is>
      </c>
      <c r="K1868" t="n">
        <v>34.2</v>
      </c>
      <c r="L1868" t="n">
        <v>32</v>
      </c>
      <c r="M1868" t="n">
        <v>46.4</v>
      </c>
      <c r="N1868" t="n">
        <v>50</v>
      </c>
      <c r="O1868" t="n">
        <v>56.8</v>
      </c>
      <c r="P1868" t="n">
        <v>48</v>
      </c>
      <c r="Q1868" t="n">
        <v>44.1</v>
      </c>
      <c r="R1868" t="n">
        <v>46</v>
      </c>
      <c r="S1868" t="n">
        <v>3500000</v>
      </c>
      <c r="T1868" t="n">
        <v>5521</v>
      </c>
      <c r="AH1868" t="inlineStr">
        <is>
          <t>Quelle: Idealista</t>
        </is>
      </c>
    </row>
    <row r="1869">
      <c r="A1869" t="n">
        <v>1682</v>
      </c>
      <c r="B1869" t="inlineStr">
        <is>
          <t>Finca rústica en carretera Vieja de Sineu</t>
        </is>
      </c>
      <c r="C1869" t="inlineStr">
        <is>
          <t>https://www.idealista.com/inmueble/99421853/</t>
        </is>
      </c>
      <c r="E1869" t="n">
        <v>9</v>
      </c>
      <c r="H1869" t="n">
        <v>1969</v>
      </c>
      <c r="J1869" t="inlineStr">
        <is>
          <t>Sencelles</t>
        </is>
      </c>
      <c r="K1869" t="n">
        <v>34.2</v>
      </c>
      <c r="L1869" t="n">
        <v>32</v>
      </c>
      <c r="M1869" t="n">
        <v>46.4</v>
      </c>
      <c r="N1869" t="n">
        <v>50</v>
      </c>
      <c r="O1869" t="n">
        <v>56.8</v>
      </c>
      <c r="P1869" t="n">
        <v>48</v>
      </c>
      <c r="Q1869" t="n">
        <v>44.1</v>
      </c>
      <c r="R1869" t="n">
        <v>46</v>
      </c>
      <c r="S1869" t="n">
        <v>3000000</v>
      </c>
      <c r="T1869" t="n">
        <v>1524</v>
      </c>
      <c r="AH1869" t="inlineStr">
        <is>
          <t>Quelle: Idealista</t>
        </is>
      </c>
    </row>
    <row r="1870">
      <c r="A1870" t="n">
        <v>1683</v>
      </c>
      <c r="B1870" t="inlineStr">
        <is>
          <t>Casa independiente en camino d'es Campàs</t>
        </is>
      </c>
      <c r="C1870" t="inlineStr">
        <is>
          <t>https://www.idealista.com/inmueble/98544330/</t>
        </is>
      </c>
      <c r="E1870" t="n">
        <v>7</v>
      </c>
      <c r="H1870" t="n">
        <v>660</v>
      </c>
      <c r="J1870" t="inlineStr">
        <is>
          <t>Sencelles</t>
        </is>
      </c>
      <c r="K1870" t="n">
        <v>34.2</v>
      </c>
      <c r="L1870" t="n">
        <v>32</v>
      </c>
      <c r="M1870" t="n">
        <v>46.4</v>
      </c>
      <c r="N1870" t="n">
        <v>50</v>
      </c>
      <c r="O1870" t="n">
        <v>56.8</v>
      </c>
      <c r="P1870" t="n">
        <v>48</v>
      </c>
      <c r="Q1870" t="n">
        <v>44.1</v>
      </c>
      <c r="R1870" t="n">
        <v>46</v>
      </c>
      <c r="S1870" t="n">
        <v>2000000</v>
      </c>
      <c r="T1870" t="n">
        <v>3030</v>
      </c>
      <c r="AH1870" t="inlineStr">
        <is>
          <t>Quelle: Idealista</t>
        </is>
      </c>
    </row>
    <row r="1871">
      <c r="A1871" t="n">
        <v>1684</v>
      </c>
      <c r="B1871" t="inlineStr">
        <is>
          <t>Finca rústica en Diseminados Var, 322</t>
        </is>
      </c>
      <c r="C1871" t="inlineStr">
        <is>
          <t>https://www.idealista.com/inmueble/110388188/</t>
        </is>
      </c>
      <c r="E1871" t="n">
        <v>5</v>
      </c>
      <c r="H1871" t="n">
        <v>423</v>
      </c>
      <c r="J1871" t="inlineStr">
        <is>
          <t>Ses Salines (Mallorca)</t>
        </is>
      </c>
      <c r="K1871" t="n">
        <v>44.5</v>
      </c>
      <c r="L1871" t="n">
        <v>39</v>
      </c>
      <c r="M1871" t="n">
        <v>2.4</v>
      </c>
      <c r="N1871" t="n">
        <v>5</v>
      </c>
      <c r="O1871" t="n">
        <v>82.7</v>
      </c>
      <c r="P1871" t="n">
        <v>67</v>
      </c>
      <c r="Q1871" t="n">
        <v>2</v>
      </c>
      <c r="R1871" t="n">
        <v>5</v>
      </c>
      <c r="S1871" t="n">
        <v>3250000</v>
      </c>
      <c r="T1871" t="n">
        <v>7683</v>
      </c>
      <c r="AH1871" t="inlineStr">
        <is>
          <t>Quelle: Idealista</t>
        </is>
      </c>
    </row>
    <row r="1872">
      <c r="A1872" t="n">
        <v>1685</v>
      </c>
      <c r="B1872" t="inlineStr">
        <is>
          <t>Casa independiente en calle es Pedregar</t>
        </is>
      </c>
      <c r="C1872" t="inlineStr">
        <is>
          <t>https://www.idealista.com/inmueble/110223476/</t>
        </is>
      </c>
      <c r="E1872" t="n">
        <v>6</v>
      </c>
      <c r="H1872" t="n">
        <v>380</v>
      </c>
      <c r="J1872" t="inlineStr">
        <is>
          <t>Ses Salines (Mallorca)</t>
        </is>
      </c>
      <c r="K1872" t="n">
        <v>44.5</v>
      </c>
      <c r="L1872" t="n">
        <v>39</v>
      </c>
      <c r="M1872" t="n">
        <v>2.4</v>
      </c>
      <c r="N1872" t="n">
        <v>5</v>
      </c>
      <c r="O1872" t="n">
        <v>82.7</v>
      </c>
      <c r="P1872" t="n">
        <v>67</v>
      </c>
      <c r="Q1872" t="n">
        <v>2</v>
      </c>
      <c r="R1872" t="n">
        <v>5</v>
      </c>
      <c r="S1872" t="n">
        <v>5450000</v>
      </c>
      <c r="T1872" t="n">
        <v>14342</v>
      </c>
      <c r="AH1872" t="inlineStr">
        <is>
          <t>Quelle: Idealista</t>
        </is>
      </c>
    </row>
    <row r="1873">
      <c r="A1873" t="n">
        <v>1686</v>
      </c>
      <c r="B1873" t="inlineStr">
        <is>
          <t>Casa independiente en via Sense Nom</t>
        </is>
      </c>
      <c r="C1873" t="inlineStr">
        <is>
          <t>https://www.idealista.com/inmueble/110206864/</t>
        </is>
      </c>
      <c r="E1873" t="n">
        <v>6</v>
      </c>
      <c r="H1873" t="n">
        <v>380</v>
      </c>
      <c r="J1873" t="inlineStr">
        <is>
          <t>Ses Salines (Mallorca)</t>
        </is>
      </c>
      <c r="K1873" t="n">
        <v>44.5</v>
      </c>
      <c r="L1873" t="n">
        <v>39</v>
      </c>
      <c r="M1873" t="n">
        <v>2.4</v>
      </c>
      <c r="N1873" t="n">
        <v>5</v>
      </c>
      <c r="O1873" t="n">
        <v>82.7</v>
      </c>
      <c r="P1873" t="n">
        <v>67</v>
      </c>
      <c r="Q1873" t="n">
        <v>2</v>
      </c>
      <c r="R1873" t="n">
        <v>5</v>
      </c>
      <c r="S1873" t="n">
        <v>5450000</v>
      </c>
      <c r="T1873" t="n">
        <v>14342</v>
      </c>
      <c r="AH1873" t="inlineStr">
        <is>
          <t>Quelle: Idealista</t>
        </is>
      </c>
    </row>
    <row r="1874">
      <c r="A1874" t="n">
        <v>1687</v>
      </c>
      <c r="B1874" t="inlineStr">
        <is>
          <t>Finca rústica</t>
        </is>
      </c>
      <c r="C1874" t="inlineStr">
        <is>
          <t>https://www.idealista.com/inmueble/109455247/</t>
        </is>
      </c>
      <c r="E1874" t="n">
        <v>5</v>
      </c>
      <c r="H1874" t="n">
        <v>423</v>
      </c>
      <c r="J1874" t="inlineStr">
        <is>
          <t>Ses Salines (Mallorca)</t>
        </is>
      </c>
      <c r="K1874" t="n">
        <v>44.5</v>
      </c>
      <c r="L1874" t="n">
        <v>39</v>
      </c>
      <c r="M1874" t="n">
        <v>2.4</v>
      </c>
      <c r="N1874" t="n">
        <v>5</v>
      </c>
      <c r="O1874" t="n">
        <v>82.7</v>
      </c>
      <c r="P1874" t="n">
        <v>67</v>
      </c>
      <c r="Q1874" t="n">
        <v>2</v>
      </c>
      <c r="R1874" t="n">
        <v>5</v>
      </c>
      <c r="S1874" t="n">
        <v>3250000</v>
      </c>
      <c r="T1874" t="n">
        <v>7683</v>
      </c>
      <c r="AH1874" t="inlineStr">
        <is>
          <t>Quelle: Idealista</t>
        </is>
      </c>
    </row>
    <row r="1875">
      <c r="A1875" t="n">
        <v>1688</v>
      </c>
      <c r="B1875" t="inlineStr">
        <is>
          <t>Finca rústica</t>
        </is>
      </c>
      <c r="C1875" t="inlineStr">
        <is>
          <t>https://www.idealista.com/inmueble/109366033/</t>
        </is>
      </c>
      <c r="E1875" t="n">
        <v>5</v>
      </c>
      <c r="H1875" t="n">
        <v>525</v>
      </c>
      <c r="J1875" t="inlineStr">
        <is>
          <t>Ses Salines (Mallorca)</t>
        </is>
      </c>
      <c r="K1875" t="n">
        <v>44.5</v>
      </c>
      <c r="L1875" t="n">
        <v>39</v>
      </c>
      <c r="M1875" t="n">
        <v>2.4</v>
      </c>
      <c r="N1875" t="n">
        <v>5</v>
      </c>
      <c r="O1875" t="n">
        <v>82.7</v>
      </c>
      <c r="P1875" t="n">
        <v>67</v>
      </c>
      <c r="Q1875" t="n">
        <v>2</v>
      </c>
      <c r="R1875" t="n">
        <v>5</v>
      </c>
      <c r="S1875" t="n">
        <v>4295000</v>
      </c>
      <c r="T1875" t="n">
        <v>8181</v>
      </c>
      <c r="AH1875" t="inlineStr">
        <is>
          <t>Quelle: Idealista</t>
        </is>
      </c>
    </row>
    <row r="1876">
      <c r="A1876" t="n">
        <v>1689</v>
      </c>
      <c r="B1876" t="inlineStr">
        <is>
          <t>Casa independiente</t>
        </is>
      </c>
      <c r="C1876" t="inlineStr">
        <is>
          <t>https://www.idealista.com/inmueble/109365913/</t>
        </is>
      </c>
      <c r="E1876" t="n">
        <v>5</v>
      </c>
      <c r="H1876" t="n">
        <v>475</v>
      </c>
      <c r="J1876" t="inlineStr">
        <is>
          <t>Ses Salines (Mallorca)</t>
        </is>
      </c>
      <c r="K1876" t="n">
        <v>44.5</v>
      </c>
      <c r="L1876" t="n">
        <v>39</v>
      </c>
      <c r="M1876" t="n">
        <v>2.4</v>
      </c>
      <c r="N1876" t="n">
        <v>5</v>
      </c>
      <c r="O1876" t="n">
        <v>82.7</v>
      </c>
      <c r="P1876" t="n">
        <v>67</v>
      </c>
      <c r="Q1876" t="n">
        <v>2</v>
      </c>
      <c r="R1876" t="n">
        <v>5</v>
      </c>
      <c r="S1876" t="n">
        <v>3600000</v>
      </c>
      <c r="T1876" t="n">
        <v>7579</v>
      </c>
      <c r="AH1876" t="inlineStr">
        <is>
          <t>Quelle: Idealista</t>
        </is>
      </c>
    </row>
    <row r="1877">
      <c r="A1877" t="n">
        <v>1690</v>
      </c>
      <c r="B1877" t="inlineStr">
        <is>
          <t>Casa independiente en calle Cas Perets</t>
        </is>
      </c>
      <c r="C1877" t="inlineStr">
        <is>
          <t>https://www.idealista.com/inmueble/109017141/</t>
        </is>
      </c>
      <c r="E1877" t="n">
        <v>6</v>
      </c>
      <c r="H1877" t="n">
        <v>350</v>
      </c>
      <c r="J1877" t="inlineStr">
        <is>
          <t>Ses Salines (Mallorca)</t>
        </is>
      </c>
      <c r="K1877" t="n">
        <v>44.5</v>
      </c>
      <c r="L1877" t="n">
        <v>39</v>
      </c>
      <c r="M1877" t="n">
        <v>2.4</v>
      </c>
      <c r="N1877" t="n">
        <v>5</v>
      </c>
      <c r="O1877" t="n">
        <v>82.7</v>
      </c>
      <c r="P1877" t="n">
        <v>67</v>
      </c>
      <c r="Q1877" t="n">
        <v>2</v>
      </c>
      <c r="R1877" t="n">
        <v>5</v>
      </c>
      <c r="S1877" t="n">
        <v>3250000</v>
      </c>
      <c r="T1877" t="n">
        <v>9286</v>
      </c>
      <c r="AH1877" t="inlineStr">
        <is>
          <t>Quelle: Idealista</t>
        </is>
      </c>
    </row>
    <row r="1878">
      <c r="A1878" t="n">
        <v>1691</v>
      </c>
      <c r="B1878" t="inlineStr">
        <is>
          <t>Finca rústica</t>
        </is>
      </c>
      <c r="C1878" t="inlineStr">
        <is>
          <t>https://www.idealista.com/inmueble/108830426/</t>
        </is>
      </c>
      <c r="E1878" t="n">
        <v>5</v>
      </c>
      <c r="H1878" t="n">
        <v>668</v>
      </c>
      <c r="J1878" t="inlineStr">
        <is>
          <t>Ses Salines (Mallorca)</t>
        </is>
      </c>
      <c r="K1878" t="n">
        <v>44.5</v>
      </c>
      <c r="L1878" t="n">
        <v>39</v>
      </c>
      <c r="M1878" t="n">
        <v>2.4</v>
      </c>
      <c r="N1878" t="n">
        <v>5</v>
      </c>
      <c r="O1878" t="n">
        <v>82.7</v>
      </c>
      <c r="P1878" t="n">
        <v>67</v>
      </c>
      <c r="Q1878" t="n">
        <v>2</v>
      </c>
      <c r="R1878" t="n">
        <v>5</v>
      </c>
      <c r="S1878" t="n">
        <v>3250000</v>
      </c>
      <c r="T1878" t="n">
        <v>4865</v>
      </c>
      <c r="AH1878" t="inlineStr">
        <is>
          <t>Quelle: Idealista</t>
        </is>
      </c>
    </row>
    <row r="1879">
      <c r="A1879" t="n">
        <v>1692</v>
      </c>
      <c r="B1879" t="inlineStr">
        <is>
          <t>Casa independiente en calle Marina Gran</t>
        </is>
      </c>
      <c r="C1879" t="inlineStr">
        <is>
          <t>https://www.idealista.com/inmueble/108515881/</t>
        </is>
      </c>
      <c r="E1879" t="n">
        <v>6</v>
      </c>
      <c r="H1879" t="n">
        <v>418</v>
      </c>
      <c r="J1879" t="inlineStr">
        <is>
          <t>Ses Salines (Mallorca)</t>
        </is>
      </c>
      <c r="K1879" t="n">
        <v>44.5</v>
      </c>
      <c r="L1879" t="n">
        <v>39</v>
      </c>
      <c r="M1879" t="n">
        <v>2.4</v>
      </c>
      <c r="N1879" t="n">
        <v>5</v>
      </c>
      <c r="O1879" t="n">
        <v>82.7</v>
      </c>
      <c r="P1879" t="n">
        <v>67</v>
      </c>
      <c r="Q1879" t="n">
        <v>2</v>
      </c>
      <c r="R1879" t="n">
        <v>5</v>
      </c>
      <c r="S1879" t="n">
        <v>2750000</v>
      </c>
      <c r="T1879" t="n">
        <v>6579</v>
      </c>
      <c r="AH1879" t="inlineStr">
        <is>
          <t>Quelle: Idealista</t>
        </is>
      </c>
    </row>
    <row r="1880">
      <c r="A1880" t="n">
        <v>1693</v>
      </c>
      <c r="B1880" t="inlineStr">
        <is>
          <t>Finca rústica en calle Cas Perets</t>
        </is>
      </c>
      <c r="C1880" t="inlineStr">
        <is>
          <t>https://www.idealista.com/inmueble/108406921/</t>
        </is>
      </c>
      <c r="E1880" t="n">
        <v>7</v>
      </c>
      <c r="H1880" t="n">
        <v>512</v>
      </c>
      <c r="J1880" t="inlineStr">
        <is>
          <t>Ses Salines (Mallorca)</t>
        </is>
      </c>
      <c r="K1880" t="n">
        <v>44.5</v>
      </c>
      <c r="L1880" t="n">
        <v>39</v>
      </c>
      <c r="M1880" t="n">
        <v>2.4</v>
      </c>
      <c r="N1880" t="n">
        <v>5</v>
      </c>
      <c r="O1880" t="n">
        <v>82.7</v>
      </c>
      <c r="P1880" t="n">
        <v>67</v>
      </c>
      <c r="Q1880" t="n">
        <v>2</v>
      </c>
      <c r="R1880" t="n">
        <v>5</v>
      </c>
      <c r="S1880" t="n">
        <v>3800000</v>
      </c>
      <c r="T1880" t="n">
        <v>7422</v>
      </c>
      <c r="AH1880" t="inlineStr">
        <is>
          <t>Quelle: Idealista</t>
        </is>
      </c>
    </row>
    <row r="1881">
      <c r="A1881" t="n">
        <v>1694</v>
      </c>
      <c r="B1881" t="inlineStr">
        <is>
          <t>Casa independiente en calle Camplladó</t>
        </is>
      </c>
      <c r="C1881" t="inlineStr">
        <is>
          <t>https://www.idealista.com/inmueble/107749840/</t>
        </is>
      </c>
      <c r="E1881" t="n">
        <v>7</v>
      </c>
      <c r="H1881" t="n">
        <v>418</v>
      </c>
      <c r="J1881" t="inlineStr">
        <is>
          <t>Ses Salines (Mallorca)</t>
        </is>
      </c>
      <c r="K1881" t="n">
        <v>44.5</v>
      </c>
      <c r="L1881" t="n">
        <v>39</v>
      </c>
      <c r="M1881" t="n">
        <v>2.4</v>
      </c>
      <c r="N1881" t="n">
        <v>5</v>
      </c>
      <c r="O1881" t="n">
        <v>82.7</v>
      </c>
      <c r="P1881" t="n">
        <v>67</v>
      </c>
      <c r="Q1881" t="n">
        <v>2</v>
      </c>
      <c r="R1881" t="n">
        <v>5</v>
      </c>
      <c r="S1881" t="n">
        <v>2750000</v>
      </c>
      <c r="T1881" t="n">
        <v>6579</v>
      </c>
      <c r="AH1881" t="inlineStr">
        <is>
          <t>Quelle: Idealista</t>
        </is>
      </c>
    </row>
    <row r="1882">
      <c r="A1882" t="n">
        <v>1695</v>
      </c>
      <c r="B1882" t="inlineStr">
        <is>
          <t>Casa independiente</t>
        </is>
      </c>
      <c r="C1882" t="inlineStr">
        <is>
          <t>https://www.idealista.com/inmueble/107333025/</t>
        </is>
      </c>
      <c r="E1882" t="n">
        <v>7</v>
      </c>
      <c r="H1882" t="n">
        <v>415</v>
      </c>
      <c r="J1882" t="inlineStr">
        <is>
          <t>Ses Salines (Mallorca)</t>
        </is>
      </c>
      <c r="K1882" t="n">
        <v>44.5</v>
      </c>
      <c r="L1882" t="n">
        <v>39</v>
      </c>
      <c r="M1882" t="n">
        <v>2.4</v>
      </c>
      <c r="N1882" t="n">
        <v>5</v>
      </c>
      <c r="O1882" t="n">
        <v>82.7</v>
      </c>
      <c r="P1882" t="n">
        <v>67</v>
      </c>
      <c r="Q1882" t="n">
        <v>2</v>
      </c>
      <c r="R1882" t="n">
        <v>5</v>
      </c>
      <c r="S1882" t="n">
        <v>2750000</v>
      </c>
      <c r="T1882" t="n">
        <v>6627</v>
      </c>
      <c r="AH1882" t="inlineStr">
        <is>
          <t>Quelle: Idealista</t>
        </is>
      </c>
    </row>
    <row r="1883">
      <c r="A1883" t="n">
        <v>1696</v>
      </c>
      <c r="B1883" t="inlineStr">
        <is>
          <t>Finca rústica</t>
        </is>
      </c>
      <c r="C1883" t="inlineStr">
        <is>
          <t>https://www.idealista.com/inmueble/107100678/</t>
        </is>
      </c>
      <c r="E1883" t="n">
        <v>5</v>
      </c>
      <c r="H1883" t="n">
        <v>450</v>
      </c>
      <c r="J1883" t="inlineStr">
        <is>
          <t>Ses Salines (Mallorca)</t>
        </is>
      </c>
      <c r="K1883" t="n">
        <v>44.5</v>
      </c>
      <c r="L1883" t="n">
        <v>39</v>
      </c>
      <c r="M1883" t="n">
        <v>2.4</v>
      </c>
      <c r="N1883" t="n">
        <v>5</v>
      </c>
      <c r="O1883" t="n">
        <v>82.7</v>
      </c>
      <c r="P1883" t="n">
        <v>67</v>
      </c>
      <c r="Q1883" t="n">
        <v>2</v>
      </c>
      <c r="R1883" t="n">
        <v>5</v>
      </c>
      <c r="S1883" t="n">
        <v>2400000</v>
      </c>
      <c r="T1883" t="n">
        <v>5333</v>
      </c>
      <c r="AH1883" t="inlineStr">
        <is>
          <t>Quelle: Idealista</t>
        </is>
      </c>
    </row>
    <row r="1884">
      <c r="A1884" t="n">
        <v>1697</v>
      </c>
      <c r="B1884" t="inlineStr">
        <is>
          <t>Casa de pueblo en Major</t>
        </is>
      </c>
      <c r="C1884" t="inlineStr">
        <is>
          <t>https://www.idealista.com/inmueble/107061086/</t>
        </is>
      </c>
      <c r="E1884" t="n">
        <v>5</v>
      </c>
      <c r="H1884" t="n">
        <v>299</v>
      </c>
      <c r="J1884" t="inlineStr">
        <is>
          <t>Ses Salines (Mallorca)</t>
        </is>
      </c>
      <c r="K1884" t="n">
        <v>44.5</v>
      </c>
      <c r="L1884" t="n">
        <v>39</v>
      </c>
      <c r="M1884" t="n">
        <v>2.4</v>
      </c>
      <c r="N1884" t="n">
        <v>5</v>
      </c>
      <c r="O1884" t="n">
        <v>82.7</v>
      </c>
      <c r="P1884" t="n">
        <v>67</v>
      </c>
      <c r="Q1884" t="n">
        <v>2</v>
      </c>
      <c r="R1884" t="n">
        <v>5</v>
      </c>
      <c r="S1884" t="n">
        <v>2500000</v>
      </c>
      <c r="T1884" t="n">
        <v>8361</v>
      </c>
      <c r="AH1884" t="inlineStr">
        <is>
          <t>Quelle: Idealista</t>
        </is>
      </c>
    </row>
    <row r="1885">
      <c r="A1885" t="n">
        <v>1698</v>
      </c>
      <c r="B1885" t="inlineStr">
        <is>
          <t>Chalet adosado en plaza Sant Bartomeu</t>
        </is>
      </c>
      <c r="C1885" t="inlineStr">
        <is>
          <t>https://www.idealista.com/inmueble/106888370/</t>
        </is>
      </c>
      <c r="E1885" t="n">
        <v>5</v>
      </c>
      <c r="H1885" t="n">
        <v>450</v>
      </c>
      <c r="J1885" t="inlineStr">
        <is>
          <t>Ses Salines (Mallorca)</t>
        </is>
      </c>
      <c r="K1885" t="n">
        <v>44.5</v>
      </c>
      <c r="L1885" t="n">
        <v>39</v>
      </c>
      <c r="M1885" t="n">
        <v>2.4</v>
      </c>
      <c r="N1885" t="n">
        <v>5</v>
      </c>
      <c r="O1885" t="n">
        <v>82.7</v>
      </c>
      <c r="P1885" t="n">
        <v>67</v>
      </c>
      <c r="Q1885" t="n">
        <v>2</v>
      </c>
      <c r="R1885" t="n">
        <v>5</v>
      </c>
      <c r="S1885" t="n">
        <v>2500000</v>
      </c>
      <c r="T1885" t="n">
        <v>5556</v>
      </c>
      <c r="AH1885" t="inlineStr">
        <is>
          <t>Quelle: Idealista</t>
        </is>
      </c>
    </row>
    <row r="1886">
      <c r="A1886" t="n">
        <v>1699</v>
      </c>
      <c r="B1886" t="inlineStr">
        <is>
          <t>Casa independiente</t>
        </is>
      </c>
      <c r="C1886" t="inlineStr">
        <is>
          <t>https://www.idealista.com/inmueble/106626106/</t>
        </is>
      </c>
      <c r="E1886" t="n">
        <v>5</v>
      </c>
      <c r="H1886" t="n">
        <v>475</v>
      </c>
      <c r="J1886" t="inlineStr">
        <is>
          <t>Ses Salines (Mallorca)</t>
        </is>
      </c>
      <c r="K1886" t="n">
        <v>44.5</v>
      </c>
      <c r="L1886" t="n">
        <v>39</v>
      </c>
      <c r="M1886" t="n">
        <v>2.4</v>
      </c>
      <c r="N1886" t="n">
        <v>5</v>
      </c>
      <c r="O1886" t="n">
        <v>82.7</v>
      </c>
      <c r="P1886" t="n">
        <v>67</v>
      </c>
      <c r="Q1886" t="n">
        <v>2</v>
      </c>
      <c r="R1886" t="n">
        <v>5</v>
      </c>
      <c r="S1886" t="n">
        <v>3600000</v>
      </c>
      <c r="T1886" t="n">
        <v>7579</v>
      </c>
      <c r="AH1886" t="inlineStr">
        <is>
          <t>Quelle: Idealista</t>
        </is>
      </c>
    </row>
    <row r="1887">
      <c r="A1887" t="n">
        <v>1700</v>
      </c>
      <c r="B1887" t="inlineStr">
        <is>
          <t>Casa rural</t>
        </is>
      </c>
      <c r="C1887" t="inlineStr">
        <is>
          <t>https://www.idealista.com/inmueble/105823557/</t>
        </is>
      </c>
      <c r="E1887" t="n">
        <v>6</v>
      </c>
      <c r="H1887" t="n">
        <v>589</v>
      </c>
      <c r="J1887" t="inlineStr">
        <is>
          <t>Ses Salines (Mallorca)</t>
        </is>
      </c>
      <c r="K1887" t="n">
        <v>44.5</v>
      </c>
      <c r="L1887" t="n">
        <v>39</v>
      </c>
      <c r="M1887" t="n">
        <v>2.4</v>
      </c>
      <c r="N1887" t="n">
        <v>5</v>
      </c>
      <c r="O1887" t="n">
        <v>82.7</v>
      </c>
      <c r="P1887" t="n">
        <v>67</v>
      </c>
      <c r="Q1887" t="n">
        <v>2</v>
      </c>
      <c r="R1887" t="n">
        <v>5</v>
      </c>
      <c r="S1887" t="n">
        <v>3650000</v>
      </c>
      <c r="T1887" t="n">
        <v>6197</v>
      </c>
      <c r="AH1887" t="inlineStr">
        <is>
          <t>Quelle: Idealista</t>
        </is>
      </c>
    </row>
    <row r="1888">
      <c r="A1888" t="n">
        <v>1701</v>
      </c>
      <c r="B1888" t="inlineStr">
        <is>
          <t>Casa independiente en Diseminado Sa Carrotja</t>
        </is>
      </c>
      <c r="C1888" t="inlineStr">
        <is>
          <t>https://www.idealista.com/inmueble/102623174/</t>
        </is>
      </c>
      <c r="E1888" t="n">
        <v>5</v>
      </c>
      <c r="H1888" t="n">
        <v>681</v>
      </c>
      <c r="J1888" t="inlineStr">
        <is>
          <t>Ses Salines (Mallorca)</t>
        </is>
      </c>
      <c r="K1888" t="n">
        <v>44.5</v>
      </c>
      <c r="L1888" t="n">
        <v>39</v>
      </c>
      <c r="M1888" t="n">
        <v>2.4</v>
      </c>
      <c r="N1888" t="n">
        <v>5</v>
      </c>
      <c r="O1888" t="n">
        <v>82.7</v>
      </c>
      <c r="P1888" t="n">
        <v>67</v>
      </c>
      <c r="Q1888" t="n">
        <v>2</v>
      </c>
      <c r="R1888" t="n">
        <v>5</v>
      </c>
      <c r="S1888" t="n">
        <v>4295000</v>
      </c>
      <c r="T1888" t="n">
        <v>6307</v>
      </c>
      <c r="AH1888" t="inlineStr">
        <is>
          <t>Quelle: Idealista</t>
        </is>
      </c>
    </row>
    <row r="1889">
      <c r="A1889" t="n">
        <v>1702</v>
      </c>
      <c r="B1889" t="inlineStr">
        <is>
          <t>Finca rústica</t>
        </is>
      </c>
      <c r="C1889" t="inlineStr">
        <is>
          <t>https://www.idealista.com/inmueble/110411600/</t>
        </is>
      </c>
      <c r="E1889" t="n">
        <v>5</v>
      </c>
      <c r="H1889" t="n">
        <v>555</v>
      </c>
      <c r="J1889" t="inlineStr">
        <is>
          <t>Sineu</t>
        </is>
      </c>
      <c r="K1889" t="n">
        <v>34.8</v>
      </c>
      <c r="L1889" t="n">
        <v>35</v>
      </c>
      <c r="M1889" t="n">
        <v>42.6</v>
      </c>
      <c r="N1889" t="n">
        <v>44</v>
      </c>
      <c r="O1889" t="n">
        <v>66.59999999999999</v>
      </c>
      <c r="P1889" t="n">
        <v>56</v>
      </c>
      <c r="Q1889" t="n">
        <v>40.3</v>
      </c>
      <c r="R1889" t="n">
        <v>40</v>
      </c>
      <c r="S1889" t="n">
        <v>2150000</v>
      </c>
      <c r="T1889" t="n">
        <v>3874</v>
      </c>
      <c r="AH1889" t="inlineStr">
        <is>
          <t>Quelle: Idealista</t>
        </is>
      </c>
    </row>
    <row r="1890">
      <c r="A1890" t="n">
        <v>1703</v>
      </c>
      <c r="B1890" t="inlineStr">
        <is>
          <t>Finca rústica</t>
        </is>
      </c>
      <c r="C1890" t="inlineStr">
        <is>
          <t>https://www.idealista.com/inmueble/94837670/</t>
        </is>
      </c>
      <c r="E1890" t="n">
        <v>5</v>
      </c>
      <c r="H1890" t="n">
        <v>573</v>
      </c>
      <c r="J1890" t="inlineStr">
        <is>
          <t>Sineu</t>
        </is>
      </c>
      <c r="K1890" t="n">
        <v>34.8</v>
      </c>
      <c r="L1890" t="n">
        <v>35</v>
      </c>
      <c r="M1890" t="n">
        <v>42.6</v>
      </c>
      <c r="N1890" t="n">
        <v>44</v>
      </c>
      <c r="O1890" t="n">
        <v>66.59999999999999</v>
      </c>
      <c r="P1890" t="n">
        <v>56</v>
      </c>
      <c r="Q1890" t="n">
        <v>40.3</v>
      </c>
      <c r="R1890" t="n">
        <v>40</v>
      </c>
      <c r="S1890" t="n">
        <v>3150000</v>
      </c>
      <c r="T1890" t="n">
        <v>5497</v>
      </c>
      <c r="AH1890" t="inlineStr">
        <is>
          <t>Quelle: Idealista</t>
        </is>
      </c>
    </row>
    <row r="1891">
      <c r="A1891" t="n">
        <v>1704</v>
      </c>
      <c r="B1891" t="inlineStr">
        <is>
          <t>Casa independiente</t>
        </is>
      </c>
      <c r="C1891" t="inlineStr">
        <is>
          <t>https://www.idealista.com/inmueble/110311532/</t>
        </is>
      </c>
      <c r="E1891" t="n">
        <v>7</v>
      </c>
      <c r="H1891" t="n">
        <v>1000</v>
      </c>
      <c r="J1891" t="inlineStr">
        <is>
          <t>Sineu</t>
        </is>
      </c>
      <c r="K1891" t="n">
        <v>34.8</v>
      </c>
      <c r="L1891" t="n">
        <v>35</v>
      </c>
      <c r="M1891" t="n">
        <v>42.6</v>
      </c>
      <c r="N1891" t="n">
        <v>44</v>
      </c>
      <c r="O1891" t="n">
        <v>66.59999999999999</v>
      </c>
      <c r="P1891" t="n">
        <v>56</v>
      </c>
      <c r="Q1891" t="n">
        <v>40.3</v>
      </c>
      <c r="R1891" t="n">
        <v>40</v>
      </c>
      <c r="S1891" t="n">
        <v>2500000</v>
      </c>
      <c r="T1891" t="n">
        <v>2500</v>
      </c>
      <c r="AH1891" t="inlineStr">
        <is>
          <t>Quelle: Idealista</t>
        </is>
      </c>
    </row>
    <row r="1892">
      <c r="A1892" t="n">
        <v>1705</v>
      </c>
      <c r="B1892" t="inlineStr">
        <is>
          <t>Finca rústica</t>
        </is>
      </c>
      <c r="C1892" t="inlineStr">
        <is>
          <t>https://www.idealista.com/inmueble/109873504/</t>
        </is>
      </c>
      <c r="E1892" t="n">
        <v>5</v>
      </c>
      <c r="H1892" t="n">
        <v>1407</v>
      </c>
      <c r="J1892" t="inlineStr">
        <is>
          <t>Sineu</t>
        </is>
      </c>
      <c r="K1892" t="n">
        <v>34.8</v>
      </c>
      <c r="L1892" t="n">
        <v>35</v>
      </c>
      <c r="M1892" t="n">
        <v>42.6</v>
      </c>
      <c r="N1892" t="n">
        <v>44</v>
      </c>
      <c r="O1892" t="n">
        <v>66.59999999999999</v>
      </c>
      <c r="P1892" t="n">
        <v>56</v>
      </c>
      <c r="Q1892" t="n">
        <v>40.3</v>
      </c>
      <c r="R1892" t="n">
        <v>40</v>
      </c>
      <c r="S1892" t="n">
        <v>3150000</v>
      </c>
      <c r="T1892" t="n">
        <v>2239</v>
      </c>
      <c r="AH1892" t="inlineStr">
        <is>
          <t>Quelle: Idealista</t>
        </is>
      </c>
    </row>
    <row r="1893">
      <c r="A1893" t="n">
        <v>1706</v>
      </c>
      <c r="B1893" t="inlineStr">
        <is>
          <t>Finca rústica</t>
        </is>
      </c>
      <c r="C1893" t="inlineStr">
        <is>
          <t>https://www.idealista.com/inmueble/101758817/</t>
        </is>
      </c>
      <c r="E1893" t="n">
        <v>5</v>
      </c>
      <c r="H1893" t="n">
        <v>573</v>
      </c>
      <c r="J1893" t="inlineStr">
        <is>
          <t>Sineu</t>
        </is>
      </c>
      <c r="K1893" t="n">
        <v>34.8</v>
      </c>
      <c r="L1893" t="n">
        <v>35</v>
      </c>
      <c r="M1893" t="n">
        <v>42.6</v>
      </c>
      <c r="N1893" t="n">
        <v>44</v>
      </c>
      <c r="O1893" t="n">
        <v>66.59999999999999</v>
      </c>
      <c r="P1893" t="n">
        <v>56</v>
      </c>
      <c r="Q1893" t="n">
        <v>40.3</v>
      </c>
      <c r="R1893" t="n">
        <v>40</v>
      </c>
      <c r="S1893" t="n">
        <v>3150000</v>
      </c>
      <c r="T1893" t="n">
        <v>5497</v>
      </c>
      <c r="AH1893" t="inlineStr">
        <is>
          <t>Quelle: Idealista</t>
        </is>
      </c>
    </row>
    <row r="1894">
      <c r="A1894" t="n">
        <v>1707</v>
      </c>
      <c r="B1894" t="inlineStr">
        <is>
          <t>Finca rústica</t>
        </is>
      </c>
      <c r="C1894" t="inlineStr">
        <is>
          <t>https://www.idealista.com/inmueble/105726720/</t>
        </is>
      </c>
      <c r="E1894" t="n">
        <v>6</v>
      </c>
      <c r="H1894" t="n">
        <v>471</v>
      </c>
      <c r="J1894" t="inlineStr">
        <is>
          <t>Sineu</t>
        </is>
      </c>
      <c r="K1894" t="n">
        <v>34.8</v>
      </c>
      <c r="L1894" t="n">
        <v>35</v>
      </c>
      <c r="M1894" t="n">
        <v>42.6</v>
      </c>
      <c r="N1894" t="n">
        <v>44</v>
      </c>
      <c r="O1894" t="n">
        <v>66.59999999999999</v>
      </c>
      <c r="P1894" t="n">
        <v>56</v>
      </c>
      <c r="Q1894" t="n">
        <v>40.3</v>
      </c>
      <c r="R1894" t="n">
        <v>40</v>
      </c>
      <c r="S1894" t="n">
        <v>2500000</v>
      </c>
      <c r="T1894" t="n">
        <v>5308</v>
      </c>
      <c r="AH1894" t="inlineStr">
        <is>
          <t>Quelle: Idealista</t>
        </is>
      </c>
    </row>
    <row r="1895">
      <c r="A1895" t="n">
        <v>1708</v>
      </c>
      <c r="B1895" t="inlineStr">
        <is>
          <t>Finca rústica</t>
        </is>
      </c>
      <c r="C1895" t="inlineStr">
        <is>
          <t>https://www.idealista.com/inmueble/107929183/</t>
        </is>
      </c>
      <c r="E1895" t="n">
        <v>6</v>
      </c>
      <c r="H1895" t="n">
        <v>508</v>
      </c>
      <c r="J1895" t="inlineStr">
        <is>
          <t>Sineu</t>
        </is>
      </c>
      <c r="K1895" t="n">
        <v>34.8</v>
      </c>
      <c r="L1895" t="n">
        <v>35</v>
      </c>
      <c r="M1895" t="n">
        <v>42.6</v>
      </c>
      <c r="N1895" t="n">
        <v>44</v>
      </c>
      <c r="O1895" t="n">
        <v>66.59999999999999</v>
      </c>
      <c r="P1895" t="n">
        <v>56</v>
      </c>
      <c r="Q1895" t="n">
        <v>40.3</v>
      </c>
      <c r="R1895" t="n">
        <v>40</v>
      </c>
      <c r="S1895" t="n">
        <v>2500000</v>
      </c>
      <c r="T1895" t="n">
        <v>4921</v>
      </c>
      <c r="AH1895" t="inlineStr">
        <is>
          <t>Quelle: Idealista</t>
        </is>
      </c>
    </row>
    <row r="1896">
      <c r="A1896" t="n">
        <v>1709</v>
      </c>
      <c r="B1896" t="inlineStr">
        <is>
          <t>Finca rústica</t>
        </is>
      </c>
      <c r="C1896" t="inlineStr">
        <is>
          <t>https://www.idealista.com/inmueble/109035257/</t>
        </is>
      </c>
      <c r="E1896" t="n">
        <v>7</v>
      </c>
      <c r="H1896" t="n">
        <v>420</v>
      </c>
      <c r="J1896" t="inlineStr">
        <is>
          <t>Sineu</t>
        </is>
      </c>
      <c r="K1896" t="n">
        <v>34.8</v>
      </c>
      <c r="L1896" t="n">
        <v>35</v>
      </c>
      <c r="M1896" t="n">
        <v>42.6</v>
      </c>
      <c r="N1896" t="n">
        <v>44</v>
      </c>
      <c r="O1896" t="n">
        <v>66.59999999999999</v>
      </c>
      <c r="P1896" t="n">
        <v>56</v>
      </c>
      <c r="Q1896" t="n">
        <v>40.3</v>
      </c>
      <c r="R1896" t="n">
        <v>40</v>
      </c>
      <c r="S1896" t="n">
        <v>3995000</v>
      </c>
      <c r="T1896" t="n">
        <v>9512</v>
      </c>
      <c r="AH1896" t="inlineStr">
        <is>
          <t>Quelle: Idealista</t>
        </is>
      </c>
    </row>
    <row r="1897">
      <c r="A1897" t="n">
        <v>1710</v>
      </c>
      <c r="B1897" t="inlineStr">
        <is>
          <t>Casa rural en Poligono 11 Parcela 234 s/n</t>
        </is>
      </c>
      <c r="C1897" t="inlineStr">
        <is>
          <t>https://www.idealista.com/inmueble/108463003/</t>
        </is>
      </c>
      <c r="E1897" t="n">
        <v>5</v>
      </c>
      <c r="H1897" t="n">
        <v>1410</v>
      </c>
      <c r="J1897" t="inlineStr">
        <is>
          <t>Sineu</t>
        </is>
      </c>
      <c r="K1897" t="n">
        <v>34.8</v>
      </c>
      <c r="L1897" t="n">
        <v>35</v>
      </c>
      <c r="M1897" t="n">
        <v>42.6</v>
      </c>
      <c r="N1897" t="n">
        <v>44</v>
      </c>
      <c r="O1897" t="n">
        <v>66.59999999999999</v>
      </c>
      <c r="P1897" t="n">
        <v>56</v>
      </c>
      <c r="Q1897" t="n">
        <v>40.3</v>
      </c>
      <c r="R1897" t="n">
        <v>40</v>
      </c>
      <c r="S1897" t="n">
        <v>3150000</v>
      </c>
      <c r="T1897" t="n">
        <v>2234</v>
      </c>
      <c r="AH1897" t="inlineStr">
        <is>
          <t>Quelle: Idealista</t>
        </is>
      </c>
    </row>
    <row r="1898">
      <c r="A1898" t="n">
        <v>1711</v>
      </c>
      <c r="B1898" t="inlineStr">
        <is>
          <t>Casa independiente</t>
        </is>
      </c>
      <c r="C1898" t="inlineStr">
        <is>
          <t>https://www.idealista.com/inmueble/108349755/</t>
        </is>
      </c>
      <c r="E1898" t="n">
        <v>5</v>
      </c>
      <c r="H1898" t="n">
        <v>1407</v>
      </c>
      <c r="J1898" t="inlineStr">
        <is>
          <t>Sineu</t>
        </is>
      </c>
      <c r="K1898" t="n">
        <v>34.8</v>
      </c>
      <c r="L1898" t="n">
        <v>35</v>
      </c>
      <c r="M1898" t="n">
        <v>42.6</v>
      </c>
      <c r="N1898" t="n">
        <v>44</v>
      </c>
      <c r="O1898" t="n">
        <v>66.59999999999999</v>
      </c>
      <c r="P1898" t="n">
        <v>56</v>
      </c>
      <c r="Q1898" t="n">
        <v>40.3</v>
      </c>
      <c r="R1898" t="n">
        <v>40</v>
      </c>
      <c r="S1898" t="n">
        <v>3150000</v>
      </c>
      <c r="T1898" t="n">
        <v>2239</v>
      </c>
      <c r="AH1898" t="inlineStr">
        <is>
          <t>Quelle: Idealista</t>
        </is>
      </c>
    </row>
    <row r="1899">
      <c r="A1899" t="n">
        <v>1712</v>
      </c>
      <c r="B1899" t="inlineStr">
        <is>
          <t>Casa independiente</t>
        </is>
      </c>
      <c r="C1899" t="inlineStr">
        <is>
          <t>https://www.idealista.com/inmueble/106185635/</t>
        </is>
      </c>
      <c r="E1899" t="n">
        <v>5</v>
      </c>
      <c r="H1899" t="n">
        <v>496</v>
      </c>
      <c r="J1899" t="inlineStr">
        <is>
          <t>Sineu</t>
        </is>
      </c>
      <c r="K1899" t="n">
        <v>34.8</v>
      </c>
      <c r="L1899" t="n">
        <v>35</v>
      </c>
      <c r="M1899" t="n">
        <v>42.6</v>
      </c>
      <c r="N1899" t="n">
        <v>44</v>
      </c>
      <c r="O1899" t="n">
        <v>66.59999999999999</v>
      </c>
      <c r="P1899" t="n">
        <v>56</v>
      </c>
      <c r="Q1899" t="n">
        <v>40.3</v>
      </c>
      <c r="R1899" t="n">
        <v>40</v>
      </c>
      <c r="S1899" t="n">
        <v>2200000</v>
      </c>
      <c r="T1899" t="n">
        <v>4435</v>
      </c>
      <c r="AH1899" t="inlineStr">
        <is>
          <t>Quelle: Idealista</t>
        </is>
      </c>
    </row>
    <row r="1900">
      <c r="A1900" t="n">
        <v>1713</v>
      </c>
      <c r="B1900" t="inlineStr">
        <is>
          <t>Chalet en calle de la Creu</t>
        </is>
      </c>
      <c r="C1900" t="inlineStr">
        <is>
          <t>https://www.idealista.com/inmueble/105789997/</t>
        </is>
      </c>
      <c r="E1900" t="n">
        <v>5</v>
      </c>
      <c r="H1900" t="n">
        <v>500</v>
      </c>
      <c r="J1900" t="inlineStr">
        <is>
          <t>Sineu</t>
        </is>
      </c>
      <c r="K1900" t="n">
        <v>34.8</v>
      </c>
      <c r="L1900" t="n">
        <v>35</v>
      </c>
      <c r="M1900" t="n">
        <v>42.6</v>
      </c>
      <c r="N1900" t="n">
        <v>44</v>
      </c>
      <c r="O1900" t="n">
        <v>66.59999999999999</v>
      </c>
      <c r="P1900" t="n">
        <v>56</v>
      </c>
      <c r="Q1900" t="n">
        <v>40.3</v>
      </c>
      <c r="R1900" t="n">
        <v>40</v>
      </c>
      <c r="S1900" t="n">
        <v>2200000</v>
      </c>
      <c r="T1900" t="n">
        <v>4400</v>
      </c>
      <c r="AH1900" t="inlineStr">
        <is>
          <t>Quelle: Idealista</t>
        </is>
      </c>
    </row>
    <row r="1901">
      <c r="A1901" t="n">
        <v>1714</v>
      </c>
      <c r="B1901" t="inlineStr">
        <is>
          <t>Finca rústica</t>
        </is>
      </c>
      <c r="C1901" t="inlineStr">
        <is>
          <t>https://www.idealista.com/inmueble/103368292/</t>
        </is>
      </c>
      <c r="E1901" t="n">
        <v>5</v>
      </c>
      <c r="H1901" t="n">
        <v>1407</v>
      </c>
      <c r="J1901" t="inlineStr">
        <is>
          <t>Sineu</t>
        </is>
      </c>
      <c r="K1901" t="n">
        <v>34.8</v>
      </c>
      <c r="L1901" t="n">
        <v>35</v>
      </c>
      <c r="M1901" t="n">
        <v>42.6</v>
      </c>
      <c r="N1901" t="n">
        <v>44</v>
      </c>
      <c r="O1901" t="n">
        <v>66.59999999999999</v>
      </c>
      <c r="P1901" t="n">
        <v>56</v>
      </c>
      <c r="Q1901" t="n">
        <v>40.3</v>
      </c>
      <c r="R1901" t="n">
        <v>40</v>
      </c>
      <c r="S1901" t="n">
        <v>3150000</v>
      </c>
      <c r="T1901" t="n">
        <v>2239</v>
      </c>
      <c r="AH1901" t="inlineStr">
        <is>
          <t>Quelle: Idealista</t>
        </is>
      </c>
    </row>
    <row r="1902">
      <c r="A1902" t="n">
        <v>1715</v>
      </c>
      <c r="B1902" t="inlineStr">
        <is>
          <t>Finca rústica</t>
        </is>
      </c>
      <c r="C1902" t="inlineStr">
        <is>
          <t>https://www.idealista.com/inmueble/98333140/</t>
        </is>
      </c>
      <c r="E1902" t="n">
        <v>5</v>
      </c>
      <c r="H1902" t="n">
        <v>496</v>
      </c>
      <c r="J1902" t="inlineStr">
        <is>
          <t>Sineu</t>
        </is>
      </c>
      <c r="K1902" t="n">
        <v>34.8</v>
      </c>
      <c r="L1902" t="n">
        <v>35</v>
      </c>
      <c r="M1902" t="n">
        <v>42.6</v>
      </c>
      <c r="N1902" t="n">
        <v>44</v>
      </c>
      <c r="O1902" t="n">
        <v>66.59999999999999</v>
      </c>
      <c r="P1902" t="n">
        <v>56</v>
      </c>
      <c r="Q1902" t="n">
        <v>40.3</v>
      </c>
      <c r="R1902" t="n">
        <v>40</v>
      </c>
      <c r="S1902" t="n">
        <v>2200000</v>
      </c>
      <c r="T1902" t="n">
        <v>4435</v>
      </c>
      <c r="AH1902" t="inlineStr">
        <is>
          <t>Quelle: Idealista</t>
        </is>
      </c>
    </row>
    <row r="1903">
      <c r="A1903" t="n">
        <v>1716</v>
      </c>
      <c r="B1903" t="inlineStr">
        <is>
          <t>Casa independiente</t>
        </is>
      </c>
      <c r="C1903" t="inlineStr">
        <is>
          <t>https://www.idealista.com/inmueble/110436895/</t>
        </is>
      </c>
      <c r="E1903" t="n">
        <v>7</v>
      </c>
      <c r="H1903" t="n">
        <v>565</v>
      </c>
      <c r="J1903" t="inlineStr">
        <is>
          <t>Soller</t>
        </is>
      </c>
      <c r="K1903" t="n">
        <v>32.5</v>
      </c>
      <c r="L1903" t="n">
        <v>38</v>
      </c>
      <c r="M1903" t="n">
        <v>75.2</v>
      </c>
      <c r="N1903" t="n">
        <v>70</v>
      </c>
      <c r="O1903" t="n">
        <v>52.1</v>
      </c>
      <c r="P1903" t="n">
        <v>51</v>
      </c>
      <c r="Q1903" t="n">
        <v>72.90000000000001</v>
      </c>
      <c r="R1903" t="n">
        <v>67</v>
      </c>
      <c r="S1903" t="n">
        <v>3500000</v>
      </c>
      <c r="T1903" t="n">
        <v>6195</v>
      </c>
      <c r="AH1903" t="inlineStr">
        <is>
          <t>Quelle: Idealista</t>
        </is>
      </c>
    </row>
    <row r="1904">
      <c r="A1904" t="n">
        <v>1717</v>
      </c>
      <c r="B1904" t="inlineStr">
        <is>
          <t>Chalet adosado</t>
        </is>
      </c>
      <c r="C1904" t="inlineStr">
        <is>
          <t>https://www.idealista.com/inmueble/110413176/</t>
        </is>
      </c>
      <c r="E1904" t="n">
        <v>6</v>
      </c>
      <c r="H1904" t="n">
        <v>459</v>
      </c>
      <c r="J1904" t="inlineStr">
        <is>
          <t>Soller</t>
        </is>
      </c>
      <c r="K1904" t="n">
        <v>32.5</v>
      </c>
      <c r="L1904" t="n">
        <v>38</v>
      </c>
      <c r="M1904" t="n">
        <v>75.2</v>
      </c>
      <c r="N1904" t="n">
        <v>70</v>
      </c>
      <c r="O1904" t="n">
        <v>52.1</v>
      </c>
      <c r="P1904" t="n">
        <v>51</v>
      </c>
      <c r="Q1904" t="n">
        <v>72.90000000000001</v>
      </c>
      <c r="R1904" t="n">
        <v>67</v>
      </c>
      <c r="S1904" t="n">
        <v>2995000</v>
      </c>
      <c r="T1904" t="n">
        <v>6525</v>
      </c>
      <c r="AH1904" t="inlineStr">
        <is>
          <t>Quelle: Idealista</t>
        </is>
      </c>
    </row>
    <row r="1905">
      <c r="A1905" t="n">
        <v>1718</v>
      </c>
      <c r="B1905" t="inlineStr">
        <is>
          <t>Casa independiente</t>
        </is>
      </c>
      <c r="C1905" t="inlineStr">
        <is>
          <t>https://www.idealista.com/inmueble/106039338/</t>
        </is>
      </c>
      <c r="E1905" t="n">
        <v>7</v>
      </c>
      <c r="H1905" t="n">
        <v>504</v>
      </c>
      <c r="J1905" t="inlineStr">
        <is>
          <t>Soller</t>
        </is>
      </c>
      <c r="K1905" t="n">
        <v>32.5</v>
      </c>
      <c r="L1905" t="n">
        <v>38</v>
      </c>
      <c r="M1905" t="n">
        <v>75.2</v>
      </c>
      <c r="N1905" t="n">
        <v>70</v>
      </c>
      <c r="O1905" t="n">
        <v>52.1</v>
      </c>
      <c r="P1905" t="n">
        <v>51</v>
      </c>
      <c r="Q1905" t="n">
        <v>72.90000000000001</v>
      </c>
      <c r="R1905" t="n">
        <v>67</v>
      </c>
      <c r="S1905" t="n">
        <v>2990000</v>
      </c>
      <c r="T1905" t="n">
        <v>5933</v>
      </c>
      <c r="AH1905" t="inlineStr">
        <is>
          <t>Quelle: Idealista</t>
        </is>
      </c>
    </row>
    <row r="1906">
      <c r="A1906" t="n">
        <v>1719</v>
      </c>
      <c r="B1906" t="inlineStr">
        <is>
          <t>Casa independiente</t>
        </is>
      </c>
      <c r="C1906" t="inlineStr">
        <is>
          <t>https://www.idealista.com/inmueble/110280313/</t>
        </is>
      </c>
      <c r="E1906" t="n">
        <v>5</v>
      </c>
      <c r="H1906" t="n">
        <v>749</v>
      </c>
      <c r="J1906" t="inlineStr">
        <is>
          <t>Soller</t>
        </is>
      </c>
      <c r="K1906" t="n">
        <v>32.5</v>
      </c>
      <c r="L1906" t="n">
        <v>38</v>
      </c>
      <c r="M1906" t="n">
        <v>75.2</v>
      </c>
      <c r="N1906" t="n">
        <v>70</v>
      </c>
      <c r="O1906" t="n">
        <v>52.1</v>
      </c>
      <c r="P1906" t="n">
        <v>51</v>
      </c>
      <c r="Q1906" t="n">
        <v>72.90000000000001</v>
      </c>
      <c r="R1906" t="n">
        <v>67</v>
      </c>
      <c r="S1906" t="n">
        <v>5950000</v>
      </c>
      <c r="T1906" t="n">
        <v>7944</v>
      </c>
      <c r="AH1906" t="inlineStr">
        <is>
          <t>Quelle: Idealista</t>
        </is>
      </c>
    </row>
    <row r="1907">
      <c r="A1907" t="n">
        <v>1720</v>
      </c>
      <c r="B1907" t="inlineStr">
        <is>
          <t>Casa independiente</t>
        </is>
      </c>
      <c r="C1907" t="inlineStr">
        <is>
          <t>https://www.idealista.com/inmueble/109067689/</t>
        </is>
      </c>
      <c r="E1907" t="n">
        <v>11</v>
      </c>
      <c r="H1907" t="n">
        <v>649</v>
      </c>
      <c r="J1907" t="inlineStr">
        <is>
          <t>Soller</t>
        </is>
      </c>
      <c r="K1907" t="n">
        <v>32.5</v>
      </c>
      <c r="L1907" t="n">
        <v>38</v>
      </c>
      <c r="M1907" t="n">
        <v>75.2</v>
      </c>
      <c r="N1907" t="n">
        <v>70</v>
      </c>
      <c r="O1907" t="n">
        <v>52.1</v>
      </c>
      <c r="P1907" t="n">
        <v>51</v>
      </c>
      <c r="Q1907" t="n">
        <v>72.90000000000001</v>
      </c>
      <c r="R1907" t="n">
        <v>67</v>
      </c>
      <c r="S1907" t="n">
        <v>2700000</v>
      </c>
      <c r="T1907" t="n">
        <v>4160</v>
      </c>
      <c r="AH1907" t="inlineStr">
        <is>
          <t>Quelle: Idealista</t>
        </is>
      </c>
    </row>
    <row r="1908">
      <c r="A1908" t="n">
        <v>1721</v>
      </c>
      <c r="B1908" t="inlineStr">
        <is>
          <t>Chalet adosado</t>
        </is>
      </c>
      <c r="C1908" t="inlineStr">
        <is>
          <t>https://www.idealista.com/inmueble/110248173/</t>
        </is>
      </c>
      <c r="E1908" t="n">
        <v>6</v>
      </c>
      <c r="H1908" t="n">
        <v>825</v>
      </c>
      <c r="J1908" t="inlineStr">
        <is>
          <t>Soller</t>
        </is>
      </c>
      <c r="K1908" t="n">
        <v>32.5</v>
      </c>
      <c r="L1908" t="n">
        <v>38</v>
      </c>
      <c r="M1908" t="n">
        <v>75.2</v>
      </c>
      <c r="N1908" t="n">
        <v>70</v>
      </c>
      <c r="O1908" t="n">
        <v>52.1</v>
      </c>
      <c r="P1908" t="n">
        <v>51</v>
      </c>
      <c r="Q1908" t="n">
        <v>72.90000000000001</v>
      </c>
      <c r="R1908" t="n">
        <v>67</v>
      </c>
      <c r="S1908" t="n">
        <v>3300000</v>
      </c>
      <c r="T1908" t="n">
        <v>4000</v>
      </c>
      <c r="AH1908" t="inlineStr">
        <is>
          <t>Quelle: Idealista</t>
        </is>
      </c>
    </row>
    <row r="1909">
      <c r="A1909" t="n">
        <v>1722</v>
      </c>
      <c r="B1909" t="inlineStr">
        <is>
          <t>Casa rural</t>
        </is>
      </c>
      <c r="C1909" t="inlineStr">
        <is>
          <t>https://www.idealista.com/inmueble/110228245/</t>
        </is>
      </c>
      <c r="E1909" t="n">
        <v>7</v>
      </c>
      <c r="H1909" t="n">
        <v>432</v>
      </c>
      <c r="J1909" t="inlineStr">
        <is>
          <t>Soller</t>
        </is>
      </c>
      <c r="K1909" t="n">
        <v>32.5</v>
      </c>
      <c r="L1909" t="n">
        <v>38</v>
      </c>
      <c r="M1909" t="n">
        <v>75.2</v>
      </c>
      <c r="N1909" t="n">
        <v>70</v>
      </c>
      <c r="O1909" t="n">
        <v>52.1</v>
      </c>
      <c r="P1909" t="n">
        <v>51</v>
      </c>
      <c r="Q1909" t="n">
        <v>72.90000000000001</v>
      </c>
      <c r="R1909" t="n">
        <v>67</v>
      </c>
      <c r="S1909" t="n">
        <v>2990000</v>
      </c>
      <c r="T1909" t="n">
        <v>6921</v>
      </c>
      <c r="AH1909" t="inlineStr">
        <is>
          <t>Quelle: Idealista</t>
        </is>
      </c>
    </row>
    <row r="1910">
      <c r="A1910" t="n">
        <v>1723</v>
      </c>
      <c r="B1910" t="inlineStr">
        <is>
          <t>Casa de pueblo</t>
        </is>
      </c>
      <c r="C1910" t="inlineStr">
        <is>
          <t>https://www.idealista.com/inmueble/97648057/</t>
        </is>
      </c>
      <c r="E1910" t="n">
        <v>6</v>
      </c>
      <c r="H1910" t="n">
        <v>240</v>
      </c>
      <c r="J1910" t="inlineStr">
        <is>
          <t>Soller</t>
        </is>
      </c>
      <c r="K1910" t="n">
        <v>32.5</v>
      </c>
      <c r="L1910" t="n">
        <v>38</v>
      </c>
      <c r="M1910" t="n">
        <v>75.2</v>
      </c>
      <c r="N1910" t="n">
        <v>70</v>
      </c>
      <c r="O1910" t="n">
        <v>52.1</v>
      </c>
      <c r="P1910" t="n">
        <v>51</v>
      </c>
      <c r="Q1910" t="n">
        <v>72.90000000000001</v>
      </c>
      <c r="R1910" t="n">
        <v>67</v>
      </c>
      <c r="S1910" t="n">
        <v>2000000</v>
      </c>
      <c r="T1910" t="n">
        <v>8333</v>
      </c>
      <c r="AH1910" t="inlineStr">
        <is>
          <t>Quelle: Idealista</t>
        </is>
      </c>
    </row>
    <row r="1911">
      <c r="A1911" t="n">
        <v>1724</v>
      </c>
      <c r="B1911" t="inlineStr">
        <is>
          <t>Chalet pareado</t>
        </is>
      </c>
      <c r="C1911" t="inlineStr">
        <is>
          <t>https://www.idealista.com/inmueble/106725596/</t>
        </is>
      </c>
      <c r="E1911" t="n">
        <v>6</v>
      </c>
      <c r="H1911" t="n">
        <v>365</v>
      </c>
      <c r="J1911" t="inlineStr">
        <is>
          <t>Soller</t>
        </is>
      </c>
      <c r="K1911" t="n">
        <v>32.5</v>
      </c>
      <c r="L1911" t="n">
        <v>38</v>
      </c>
      <c r="M1911" t="n">
        <v>75.2</v>
      </c>
      <c r="N1911" t="n">
        <v>70</v>
      </c>
      <c r="O1911" t="n">
        <v>52.1</v>
      </c>
      <c r="P1911" t="n">
        <v>51</v>
      </c>
      <c r="Q1911" t="n">
        <v>72.90000000000001</v>
      </c>
      <c r="R1911" t="n">
        <v>67</v>
      </c>
      <c r="S1911" t="n">
        <v>2995000</v>
      </c>
      <c r="T1911" t="n">
        <v>8205</v>
      </c>
      <c r="AH1911" t="inlineStr">
        <is>
          <t>Quelle: Idealista</t>
        </is>
      </c>
    </row>
    <row r="1912">
      <c r="A1912" t="n">
        <v>1725</v>
      </c>
      <c r="B1912" t="inlineStr">
        <is>
          <t>Casa independiente</t>
        </is>
      </c>
      <c r="C1912" t="inlineStr">
        <is>
          <t>https://www.idealista.com/inmueble/109798603/</t>
        </is>
      </c>
      <c r="E1912" t="n">
        <v>6</v>
      </c>
      <c r="H1912" t="n">
        <v>1254</v>
      </c>
      <c r="J1912" t="inlineStr">
        <is>
          <t>Soller</t>
        </is>
      </c>
      <c r="K1912" t="n">
        <v>32.5</v>
      </c>
      <c r="L1912" t="n">
        <v>38</v>
      </c>
      <c r="M1912" t="n">
        <v>75.2</v>
      </c>
      <c r="N1912" t="n">
        <v>70</v>
      </c>
      <c r="O1912" t="n">
        <v>52.1</v>
      </c>
      <c r="P1912" t="n">
        <v>51</v>
      </c>
      <c r="Q1912" t="n">
        <v>72.90000000000001</v>
      </c>
      <c r="R1912" t="n">
        <v>67</v>
      </c>
      <c r="S1912" t="n">
        <v>3500000</v>
      </c>
      <c r="T1912" t="n">
        <v>2791</v>
      </c>
      <c r="AH1912" t="inlineStr">
        <is>
          <t>Quelle: Idealista</t>
        </is>
      </c>
    </row>
    <row r="1913">
      <c r="A1913" t="n">
        <v>1726</v>
      </c>
      <c r="B1913" t="inlineStr">
        <is>
          <t>Finca rústica</t>
        </is>
      </c>
      <c r="C1913" t="inlineStr">
        <is>
          <t>https://www.idealista.com/inmueble/109723517/</t>
        </is>
      </c>
      <c r="E1913" t="n">
        <v>10</v>
      </c>
      <c r="H1913" t="n">
        <v>21115</v>
      </c>
      <c r="J1913" t="inlineStr">
        <is>
          <t>Soller</t>
        </is>
      </c>
      <c r="K1913" t="n">
        <v>32.5</v>
      </c>
      <c r="L1913" t="n">
        <v>38</v>
      </c>
      <c r="M1913" t="n">
        <v>75.2</v>
      </c>
      <c r="N1913" t="n">
        <v>70</v>
      </c>
      <c r="O1913" t="n">
        <v>52.1</v>
      </c>
      <c r="P1913" t="n">
        <v>51</v>
      </c>
      <c r="Q1913" t="n">
        <v>72.90000000000001</v>
      </c>
      <c r="R1913" t="n">
        <v>67</v>
      </c>
      <c r="S1913" t="n">
        <v>5000000</v>
      </c>
      <c r="T1913" t="n">
        <v>237</v>
      </c>
      <c r="AH1913" t="inlineStr">
        <is>
          <t>Quelle: Idealista</t>
        </is>
      </c>
    </row>
    <row r="1914">
      <c r="A1914" t="n">
        <v>1727</v>
      </c>
      <c r="B1914" t="inlineStr">
        <is>
          <t>Casa independiente</t>
        </is>
      </c>
      <c r="C1914" t="inlineStr">
        <is>
          <t>https://www.idealista.com/inmueble/109580073/</t>
        </is>
      </c>
      <c r="E1914" t="n">
        <v>5</v>
      </c>
      <c r="H1914" t="n">
        <v>543</v>
      </c>
      <c r="J1914" t="inlineStr">
        <is>
          <t>Soller</t>
        </is>
      </c>
      <c r="K1914" t="n">
        <v>32.5</v>
      </c>
      <c r="L1914" t="n">
        <v>38</v>
      </c>
      <c r="M1914" t="n">
        <v>75.2</v>
      </c>
      <c r="N1914" t="n">
        <v>70</v>
      </c>
      <c r="O1914" t="n">
        <v>52.1</v>
      </c>
      <c r="P1914" t="n">
        <v>51</v>
      </c>
      <c r="Q1914" t="n">
        <v>72.90000000000001</v>
      </c>
      <c r="R1914" t="n">
        <v>67</v>
      </c>
      <c r="S1914" t="n">
        <v>2700000</v>
      </c>
      <c r="T1914" t="n">
        <v>4972</v>
      </c>
      <c r="AH1914" t="inlineStr">
        <is>
          <t>Quelle: Idealista</t>
        </is>
      </c>
    </row>
    <row r="1915">
      <c r="A1915" t="n">
        <v>1728</v>
      </c>
      <c r="B1915" t="inlineStr">
        <is>
          <t>Casa independiente</t>
        </is>
      </c>
      <c r="C1915" t="inlineStr">
        <is>
          <t>https://www.idealista.com/inmueble/104514059/</t>
        </is>
      </c>
      <c r="E1915" t="n">
        <v>7</v>
      </c>
      <c r="H1915" t="n">
        <v>432</v>
      </c>
      <c r="J1915" t="inlineStr">
        <is>
          <t>Soller</t>
        </is>
      </c>
      <c r="K1915" t="n">
        <v>32.5</v>
      </c>
      <c r="L1915" t="n">
        <v>38</v>
      </c>
      <c r="M1915" t="n">
        <v>75.2</v>
      </c>
      <c r="N1915" t="n">
        <v>70</v>
      </c>
      <c r="O1915" t="n">
        <v>52.1</v>
      </c>
      <c r="P1915" t="n">
        <v>51</v>
      </c>
      <c r="Q1915" t="n">
        <v>72.90000000000001</v>
      </c>
      <c r="R1915" t="n">
        <v>67</v>
      </c>
      <c r="S1915" t="n">
        <v>2990000</v>
      </c>
      <c r="T1915" t="n">
        <v>6921</v>
      </c>
      <c r="AH1915" t="inlineStr">
        <is>
          <t>Quelle: Idealista</t>
        </is>
      </c>
    </row>
    <row r="1916">
      <c r="A1916" t="n">
        <v>1729</v>
      </c>
      <c r="B1916" t="inlineStr">
        <is>
          <t>Casa independiente</t>
        </is>
      </c>
      <c r="C1916" t="inlineStr">
        <is>
          <t>https://www.idealista.com/inmueble/109370482/</t>
        </is>
      </c>
      <c r="E1916" t="n">
        <v>11</v>
      </c>
      <c r="H1916" t="n">
        <v>649</v>
      </c>
      <c r="J1916" t="inlineStr">
        <is>
          <t>Soller</t>
        </is>
      </c>
      <c r="K1916" t="n">
        <v>32.5</v>
      </c>
      <c r="L1916" t="n">
        <v>38</v>
      </c>
      <c r="M1916" t="n">
        <v>75.2</v>
      </c>
      <c r="N1916" t="n">
        <v>70</v>
      </c>
      <c r="O1916" t="n">
        <v>52.1</v>
      </c>
      <c r="P1916" t="n">
        <v>51</v>
      </c>
      <c r="Q1916" t="n">
        <v>72.90000000000001</v>
      </c>
      <c r="R1916" t="n">
        <v>67</v>
      </c>
      <c r="S1916" t="n">
        <v>2700000</v>
      </c>
      <c r="T1916" t="n">
        <v>4160</v>
      </c>
      <c r="AH1916" t="inlineStr">
        <is>
          <t>Quelle: Idealista</t>
        </is>
      </c>
    </row>
    <row r="1917">
      <c r="A1917" t="n">
        <v>1730</v>
      </c>
      <c r="B1917" t="inlineStr">
        <is>
          <t>Chalet adosado en paseo Es Traves</t>
        </is>
      </c>
      <c r="C1917" t="inlineStr">
        <is>
          <t>https://www.idealista.com/inmueble/108037230/</t>
        </is>
      </c>
      <c r="E1917" t="n">
        <v>7</v>
      </c>
      <c r="H1917" t="n">
        <v>400</v>
      </c>
      <c r="J1917" t="inlineStr">
        <is>
          <t>Soller</t>
        </is>
      </c>
      <c r="K1917" t="n">
        <v>32.5</v>
      </c>
      <c r="L1917" t="n">
        <v>38</v>
      </c>
      <c r="M1917" t="n">
        <v>75.2</v>
      </c>
      <c r="N1917" t="n">
        <v>70</v>
      </c>
      <c r="O1917" t="n">
        <v>52.1</v>
      </c>
      <c r="P1917" t="n">
        <v>51</v>
      </c>
      <c r="Q1917" t="n">
        <v>72.90000000000001</v>
      </c>
      <c r="R1917" t="n">
        <v>67</v>
      </c>
      <c r="S1917" t="n">
        <v>2900000</v>
      </c>
      <c r="T1917" t="n">
        <v>7250</v>
      </c>
      <c r="AH1917" t="inlineStr">
        <is>
          <t>Quelle: Idealista</t>
        </is>
      </c>
    </row>
    <row r="1918">
      <c r="A1918" t="n">
        <v>1731</v>
      </c>
      <c r="B1918" t="inlineStr">
        <is>
          <t>Masía</t>
        </is>
      </c>
      <c r="C1918" t="inlineStr">
        <is>
          <t>https://www.idealista.com/inmueble/107156947/</t>
        </is>
      </c>
      <c r="E1918" t="n">
        <v>7</v>
      </c>
      <c r="H1918" t="n">
        <v>621</v>
      </c>
      <c r="J1918" t="inlineStr">
        <is>
          <t>Soller</t>
        </is>
      </c>
      <c r="K1918" t="n">
        <v>32.5</v>
      </c>
      <c r="L1918" t="n">
        <v>38</v>
      </c>
      <c r="M1918" t="n">
        <v>75.2</v>
      </c>
      <c r="N1918" t="n">
        <v>70</v>
      </c>
      <c r="O1918" t="n">
        <v>52.1</v>
      </c>
      <c r="P1918" t="n">
        <v>51</v>
      </c>
      <c r="Q1918" t="n">
        <v>72.90000000000001</v>
      </c>
      <c r="R1918" t="n">
        <v>67</v>
      </c>
      <c r="S1918" t="n">
        <v>5500000</v>
      </c>
      <c r="T1918" t="n">
        <v>8857</v>
      </c>
      <c r="AH1918" t="inlineStr">
        <is>
          <t>Quelle: Idealista</t>
        </is>
      </c>
    </row>
    <row r="1919">
      <c r="A1919" t="n">
        <v>1732</v>
      </c>
      <c r="B1919" t="inlineStr">
        <is>
          <t>Finca rústica en camino de Cas Patró Lau</t>
        </is>
      </c>
      <c r="C1919" t="inlineStr">
        <is>
          <t>https://www.idealista.com/inmueble/106107249/</t>
        </is>
      </c>
      <c r="E1919" t="n">
        <v>10</v>
      </c>
      <c r="H1919" t="n">
        <v>965</v>
      </c>
      <c r="J1919" t="inlineStr">
        <is>
          <t>Soller</t>
        </is>
      </c>
      <c r="K1919" t="n">
        <v>32.5</v>
      </c>
      <c r="L1919" t="n">
        <v>38</v>
      </c>
      <c r="M1919" t="n">
        <v>75.2</v>
      </c>
      <c r="N1919" t="n">
        <v>70</v>
      </c>
      <c r="O1919" t="n">
        <v>52.1</v>
      </c>
      <c r="P1919" t="n">
        <v>51</v>
      </c>
      <c r="Q1919" t="n">
        <v>72.90000000000001</v>
      </c>
      <c r="R1919" t="n">
        <v>67</v>
      </c>
      <c r="S1919" t="n">
        <v>5000000</v>
      </c>
      <c r="T1919" t="n">
        <v>5181</v>
      </c>
      <c r="AH1919" t="inlineStr">
        <is>
          <t>Quelle: Idealista</t>
        </is>
      </c>
    </row>
    <row r="1920">
      <c r="A1920" t="n">
        <v>1733</v>
      </c>
      <c r="B1920" t="inlineStr">
        <is>
          <t>Casa rural</t>
        </is>
      </c>
      <c r="C1920" t="inlineStr">
        <is>
          <t>https://www.idealista.com/inmueble/106690612/</t>
        </is>
      </c>
      <c r="E1920" t="n">
        <v>10</v>
      </c>
      <c r="H1920" t="n">
        <v>965</v>
      </c>
      <c r="J1920" t="inlineStr">
        <is>
          <t>Soller</t>
        </is>
      </c>
      <c r="K1920" t="n">
        <v>32.5</v>
      </c>
      <c r="L1920" t="n">
        <v>38</v>
      </c>
      <c r="M1920" t="n">
        <v>75.2</v>
      </c>
      <c r="N1920" t="n">
        <v>70</v>
      </c>
      <c r="O1920" t="n">
        <v>52.1</v>
      </c>
      <c r="P1920" t="n">
        <v>51</v>
      </c>
      <c r="Q1920" t="n">
        <v>72.90000000000001</v>
      </c>
      <c r="R1920" t="n">
        <v>67</v>
      </c>
      <c r="S1920" t="n">
        <v>5000000</v>
      </c>
      <c r="T1920" t="n">
        <v>5181</v>
      </c>
      <c r="AH1920" t="inlineStr">
        <is>
          <t>Quelle: Idealista</t>
        </is>
      </c>
    </row>
    <row r="1921">
      <c r="A1921" t="n">
        <v>1734</v>
      </c>
      <c r="B1921" t="inlineStr">
        <is>
          <t>Casa independiente</t>
        </is>
      </c>
      <c r="C1921" t="inlineStr">
        <is>
          <t>https://www.idealista.com/inmueble/108858119/</t>
        </is>
      </c>
      <c r="E1921" t="n">
        <v>5</v>
      </c>
      <c r="H1921" t="n">
        <v>115</v>
      </c>
      <c r="J1921" t="inlineStr">
        <is>
          <t>Soller</t>
        </is>
      </c>
      <c r="K1921" t="n">
        <v>32.5</v>
      </c>
      <c r="L1921" t="n">
        <v>38</v>
      </c>
      <c r="M1921" t="n">
        <v>75.2</v>
      </c>
      <c r="N1921" t="n">
        <v>70</v>
      </c>
      <c r="O1921" t="n">
        <v>52.1</v>
      </c>
      <c r="P1921" t="n">
        <v>51</v>
      </c>
      <c r="Q1921" t="n">
        <v>72.90000000000001</v>
      </c>
      <c r="R1921" t="n">
        <v>67</v>
      </c>
      <c r="S1921" t="n">
        <v>2900000</v>
      </c>
      <c r="T1921" t="n">
        <v>25217</v>
      </c>
      <c r="AH1921" t="inlineStr">
        <is>
          <t>Quelle: Idealista</t>
        </is>
      </c>
    </row>
    <row r="1922">
      <c r="A1922" t="n">
        <v>1735</v>
      </c>
      <c r="B1922" t="inlineStr">
        <is>
          <t>Chalet</t>
        </is>
      </c>
      <c r="C1922" t="inlineStr">
        <is>
          <t>https://www.idealista.com/inmueble/108573118/</t>
        </is>
      </c>
      <c r="E1922" t="n">
        <v>7</v>
      </c>
      <c r="H1922" t="n">
        <v>512</v>
      </c>
      <c r="J1922" t="inlineStr">
        <is>
          <t>Soller</t>
        </is>
      </c>
      <c r="K1922" t="n">
        <v>32.5</v>
      </c>
      <c r="L1922" t="n">
        <v>38</v>
      </c>
      <c r="M1922" t="n">
        <v>75.2</v>
      </c>
      <c r="N1922" t="n">
        <v>70</v>
      </c>
      <c r="O1922" t="n">
        <v>52.1</v>
      </c>
      <c r="P1922" t="n">
        <v>51</v>
      </c>
      <c r="Q1922" t="n">
        <v>72.90000000000001</v>
      </c>
      <c r="R1922" t="n">
        <v>67</v>
      </c>
      <c r="S1922" t="n">
        <v>2999000</v>
      </c>
      <c r="T1922" t="n">
        <v>5857</v>
      </c>
      <c r="AH1922" t="inlineStr">
        <is>
          <t>Quelle: Idealista</t>
        </is>
      </c>
    </row>
    <row r="1923">
      <c r="A1923" t="n">
        <v>1736</v>
      </c>
      <c r="B1923" t="inlineStr">
        <is>
          <t>Casa independiente</t>
        </is>
      </c>
      <c r="C1923" t="inlineStr">
        <is>
          <t>https://www.idealista.com/inmueble/108495011/</t>
        </is>
      </c>
      <c r="E1923" t="n">
        <v>7</v>
      </c>
      <c r="H1923" t="n">
        <v>430</v>
      </c>
      <c r="J1923" t="inlineStr">
        <is>
          <t>Soller</t>
        </is>
      </c>
      <c r="K1923" t="n">
        <v>32.5</v>
      </c>
      <c r="L1923" t="n">
        <v>38</v>
      </c>
      <c r="M1923" t="n">
        <v>75.2</v>
      </c>
      <c r="N1923" t="n">
        <v>70</v>
      </c>
      <c r="O1923" t="n">
        <v>52.1</v>
      </c>
      <c r="P1923" t="n">
        <v>51</v>
      </c>
      <c r="Q1923" t="n">
        <v>72.90000000000001</v>
      </c>
      <c r="R1923" t="n">
        <v>67</v>
      </c>
      <c r="S1923" t="n">
        <v>2999000</v>
      </c>
      <c r="T1923" t="n">
        <v>6974</v>
      </c>
      <c r="AH1923" t="inlineStr">
        <is>
          <t>Quelle: Idealista</t>
        </is>
      </c>
    </row>
    <row r="1924">
      <c r="A1924" t="n">
        <v>1737</v>
      </c>
      <c r="B1924" t="inlineStr">
        <is>
          <t>Casa independiente</t>
        </is>
      </c>
      <c r="C1924" t="inlineStr">
        <is>
          <t>https://www.idealista.com/inmueble/108168345/</t>
        </is>
      </c>
      <c r="E1924" t="n">
        <v>7</v>
      </c>
      <c r="H1924" t="n">
        <v>412</v>
      </c>
      <c r="J1924" t="inlineStr">
        <is>
          <t>Soller</t>
        </is>
      </c>
      <c r="K1924" t="n">
        <v>32.5</v>
      </c>
      <c r="L1924" t="n">
        <v>38</v>
      </c>
      <c r="M1924" t="n">
        <v>75.2</v>
      </c>
      <c r="N1924" t="n">
        <v>70</v>
      </c>
      <c r="O1924" t="n">
        <v>52.1</v>
      </c>
      <c r="P1924" t="n">
        <v>51</v>
      </c>
      <c r="Q1924" t="n">
        <v>72.90000000000001</v>
      </c>
      <c r="R1924" t="n">
        <v>67</v>
      </c>
      <c r="S1924" t="n">
        <v>2990000</v>
      </c>
      <c r="T1924" t="n">
        <v>7257</v>
      </c>
      <c r="AH1924" t="inlineStr">
        <is>
          <t>Quelle: Idealista</t>
        </is>
      </c>
    </row>
    <row r="1925">
      <c r="A1925" t="n">
        <v>1738</v>
      </c>
      <c r="B1925" t="inlineStr">
        <is>
          <t>Casa independiente</t>
        </is>
      </c>
      <c r="C1925" t="inlineStr">
        <is>
          <t>https://www.idealista.com/inmueble/108453935/</t>
        </is>
      </c>
      <c r="E1925" t="n">
        <v>10</v>
      </c>
      <c r="H1925" t="n">
        <v>825</v>
      </c>
      <c r="J1925" t="inlineStr">
        <is>
          <t>Soller</t>
        </is>
      </c>
      <c r="K1925" t="n">
        <v>32.5</v>
      </c>
      <c r="L1925" t="n">
        <v>38</v>
      </c>
      <c r="M1925" t="n">
        <v>75.2</v>
      </c>
      <c r="N1925" t="n">
        <v>70</v>
      </c>
      <c r="O1925" t="n">
        <v>52.1</v>
      </c>
      <c r="P1925" t="n">
        <v>51</v>
      </c>
      <c r="Q1925" t="n">
        <v>72.90000000000001</v>
      </c>
      <c r="R1925" t="n">
        <v>67</v>
      </c>
      <c r="S1925" t="n">
        <v>3300000</v>
      </c>
      <c r="T1925" t="n">
        <v>4000</v>
      </c>
      <c r="AH1925" t="inlineStr">
        <is>
          <t>Quelle: Idealista</t>
        </is>
      </c>
    </row>
    <row r="1926">
      <c r="A1926" t="n">
        <v>1739</v>
      </c>
      <c r="B1926" t="inlineStr">
        <is>
          <t>Chalet adosado</t>
        </is>
      </c>
      <c r="C1926" t="inlineStr">
        <is>
          <t>https://www.idealista.com/inmueble/108438924/</t>
        </is>
      </c>
      <c r="E1926" t="n">
        <v>5</v>
      </c>
      <c r="H1926" t="n">
        <v>730</v>
      </c>
      <c r="J1926" t="inlineStr">
        <is>
          <t>Soller</t>
        </is>
      </c>
      <c r="K1926" t="n">
        <v>32.5</v>
      </c>
      <c r="L1926" t="n">
        <v>38</v>
      </c>
      <c r="M1926" t="n">
        <v>75.2</v>
      </c>
      <c r="N1926" t="n">
        <v>70</v>
      </c>
      <c r="O1926" t="n">
        <v>52.1</v>
      </c>
      <c r="P1926" t="n">
        <v>51</v>
      </c>
      <c r="Q1926" t="n">
        <v>72.90000000000001</v>
      </c>
      <c r="R1926" t="n">
        <v>67</v>
      </c>
      <c r="S1926" t="n">
        <v>5950000</v>
      </c>
      <c r="T1926" t="n">
        <v>8151</v>
      </c>
      <c r="AH1926" t="inlineStr">
        <is>
          <t>Quelle: Idealista</t>
        </is>
      </c>
    </row>
    <row r="1927">
      <c r="A1927" t="n">
        <v>1740</v>
      </c>
      <c r="B1927" t="inlineStr">
        <is>
          <t>Finca rústica en Urbanisation Bens d'Avall D 11, 11</t>
        </is>
      </c>
      <c r="C1927" t="inlineStr">
        <is>
          <t>https://www.idealista.com/inmueble/94542557/</t>
        </is>
      </c>
      <c r="E1927" t="n">
        <v>6</v>
      </c>
      <c r="H1927" t="n">
        <v>334</v>
      </c>
      <c r="J1927" t="inlineStr">
        <is>
          <t>Soller</t>
        </is>
      </c>
      <c r="K1927" t="n">
        <v>32.5</v>
      </c>
      <c r="L1927" t="n">
        <v>38</v>
      </c>
      <c r="M1927" t="n">
        <v>75.2</v>
      </c>
      <c r="N1927" t="n">
        <v>70</v>
      </c>
      <c r="O1927" t="n">
        <v>52.1</v>
      </c>
      <c r="P1927" t="n">
        <v>51</v>
      </c>
      <c r="Q1927" t="n">
        <v>72.90000000000001</v>
      </c>
      <c r="R1927" t="n">
        <v>67</v>
      </c>
      <c r="S1927" t="n">
        <v>3200000</v>
      </c>
      <c r="T1927" t="n">
        <v>9581</v>
      </c>
      <c r="AH1927" t="inlineStr">
        <is>
          <t>Quelle: Idealista</t>
        </is>
      </c>
    </row>
    <row r="1928">
      <c r="A1928" t="n">
        <v>1741</v>
      </c>
      <c r="B1928" t="inlineStr">
        <is>
          <t>Finca rústica</t>
        </is>
      </c>
      <c r="C1928" t="inlineStr">
        <is>
          <t>https://www.idealista.com/inmueble/107057257/</t>
        </is>
      </c>
      <c r="E1928" t="n">
        <v>5</v>
      </c>
      <c r="H1928" t="n">
        <v>600</v>
      </c>
      <c r="J1928" t="inlineStr">
        <is>
          <t>Soller</t>
        </is>
      </c>
      <c r="K1928" t="n">
        <v>32.5</v>
      </c>
      <c r="L1928" t="n">
        <v>38</v>
      </c>
      <c r="M1928" t="n">
        <v>75.2</v>
      </c>
      <c r="N1928" t="n">
        <v>70</v>
      </c>
      <c r="O1928" t="n">
        <v>52.1</v>
      </c>
      <c r="P1928" t="n">
        <v>51</v>
      </c>
      <c r="Q1928" t="n">
        <v>72.90000000000001</v>
      </c>
      <c r="R1928" t="n">
        <v>67</v>
      </c>
      <c r="S1928" t="n">
        <v>3255000</v>
      </c>
      <c r="T1928" t="n">
        <v>5425</v>
      </c>
      <c r="AH1928" t="inlineStr">
        <is>
          <t>Quelle: Idealista</t>
        </is>
      </c>
    </row>
    <row r="1929">
      <c r="A1929" t="n">
        <v>1742</v>
      </c>
      <c r="B1929" t="inlineStr">
        <is>
          <t>Chalet adosado</t>
        </is>
      </c>
      <c r="C1929" t="inlineStr">
        <is>
          <t>https://www.idealista.com/inmueble/107057338/</t>
        </is>
      </c>
      <c r="E1929" t="n">
        <v>6</v>
      </c>
      <c r="H1929" t="n">
        <v>365</v>
      </c>
      <c r="J1929" t="inlineStr">
        <is>
          <t>Soller</t>
        </is>
      </c>
      <c r="K1929" t="n">
        <v>32.5</v>
      </c>
      <c r="L1929" t="n">
        <v>38</v>
      </c>
      <c r="M1929" t="n">
        <v>75.2</v>
      </c>
      <c r="N1929" t="n">
        <v>70</v>
      </c>
      <c r="O1929" t="n">
        <v>52.1</v>
      </c>
      <c r="P1929" t="n">
        <v>51</v>
      </c>
      <c r="Q1929" t="n">
        <v>72.90000000000001</v>
      </c>
      <c r="R1929" t="n">
        <v>67</v>
      </c>
      <c r="S1929" t="n">
        <v>2995000</v>
      </c>
      <c r="T1929" t="n">
        <v>8205</v>
      </c>
      <c r="AH1929" t="inlineStr">
        <is>
          <t>Quelle: Idealista</t>
        </is>
      </c>
    </row>
    <row r="1930">
      <c r="A1930" t="n">
        <v>1743</v>
      </c>
      <c r="B1930" t="inlineStr">
        <is>
          <t>Chalet adosado en calle del Capità Angelats</t>
        </is>
      </c>
      <c r="C1930" t="inlineStr">
        <is>
          <t>https://www.idealista.com/inmueble/108299259/</t>
        </is>
      </c>
      <c r="E1930" t="n">
        <v>6</v>
      </c>
      <c r="H1930" t="n">
        <v>365</v>
      </c>
      <c r="J1930" t="inlineStr">
        <is>
          <t>Soller</t>
        </is>
      </c>
      <c r="K1930" t="n">
        <v>32.5</v>
      </c>
      <c r="L1930" t="n">
        <v>38</v>
      </c>
      <c r="M1930" t="n">
        <v>75.2</v>
      </c>
      <c r="N1930" t="n">
        <v>70</v>
      </c>
      <c r="O1930" t="n">
        <v>52.1</v>
      </c>
      <c r="P1930" t="n">
        <v>51</v>
      </c>
      <c r="Q1930" t="n">
        <v>72.90000000000001</v>
      </c>
      <c r="R1930" t="n">
        <v>67</v>
      </c>
      <c r="S1930" t="n">
        <v>2995000</v>
      </c>
      <c r="T1930" t="n">
        <v>8205</v>
      </c>
      <c r="AH1930" t="inlineStr">
        <is>
          <t>Quelle: Idealista</t>
        </is>
      </c>
    </row>
    <row r="1931">
      <c r="A1931" t="n">
        <v>1744</v>
      </c>
      <c r="B1931" t="inlineStr">
        <is>
          <t>Chalet adosado</t>
        </is>
      </c>
      <c r="C1931" t="inlineStr">
        <is>
          <t>https://www.idealista.com/inmueble/108292632/</t>
        </is>
      </c>
      <c r="E1931" t="n">
        <v>7</v>
      </c>
      <c r="H1931" t="n">
        <v>331</v>
      </c>
      <c r="J1931" t="inlineStr">
        <is>
          <t>Soller</t>
        </is>
      </c>
      <c r="K1931" t="n">
        <v>32.5</v>
      </c>
      <c r="L1931" t="n">
        <v>38</v>
      </c>
      <c r="M1931" t="n">
        <v>75.2</v>
      </c>
      <c r="N1931" t="n">
        <v>70</v>
      </c>
      <c r="O1931" t="n">
        <v>52.1</v>
      </c>
      <c r="P1931" t="n">
        <v>51</v>
      </c>
      <c r="Q1931" t="n">
        <v>72.90000000000001</v>
      </c>
      <c r="R1931" t="n">
        <v>67</v>
      </c>
      <c r="S1931" t="n">
        <v>2900000</v>
      </c>
      <c r="T1931" t="n">
        <v>8761</v>
      </c>
      <c r="AH1931" t="inlineStr">
        <is>
          <t>Quelle: Idealista</t>
        </is>
      </c>
    </row>
    <row r="1932">
      <c r="A1932" t="n">
        <v>1745</v>
      </c>
      <c r="B1932" t="inlineStr">
        <is>
          <t>Chalet pareado</t>
        </is>
      </c>
      <c r="C1932" t="inlineStr">
        <is>
          <t>https://www.idealista.com/inmueble/107580607/</t>
        </is>
      </c>
      <c r="E1932" t="n">
        <v>5</v>
      </c>
      <c r="H1932" t="n">
        <v>328</v>
      </c>
      <c r="J1932" t="inlineStr">
        <is>
          <t>Soller</t>
        </is>
      </c>
      <c r="K1932" t="n">
        <v>32.5</v>
      </c>
      <c r="L1932" t="n">
        <v>38</v>
      </c>
      <c r="M1932" t="n">
        <v>75.2</v>
      </c>
      <c r="N1932" t="n">
        <v>70</v>
      </c>
      <c r="O1932" t="n">
        <v>52.1</v>
      </c>
      <c r="P1932" t="n">
        <v>51</v>
      </c>
      <c r="Q1932" t="n">
        <v>72.90000000000001</v>
      </c>
      <c r="R1932" t="n">
        <v>67</v>
      </c>
      <c r="S1932" t="n">
        <v>6450000</v>
      </c>
      <c r="T1932" t="n">
        <v>19665</v>
      </c>
      <c r="AH1932" t="inlineStr">
        <is>
          <t>Quelle: Idealista</t>
        </is>
      </c>
    </row>
    <row r="1933">
      <c r="A1933" t="n">
        <v>1746</v>
      </c>
      <c r="B1933" t="inlineStr">
        <is>
          <t>Caserón</t>
        </is>
      </c>
      <c r="C1933" t="inlineStr">
        <is>
          <t>https://www.idealista.com/inmueble/105041178/</t>
        </is>
      </c>
      <c r="E1933" t="n">
        <v>6</v>
      </c>
      <c r="H1933" t="n">
        <v>825</v>
      </c>
      <c r="J1933" t="inlineStr">
        <is>
          <t>Soller</t>
        </is>
      </c>
      <c r="K1933" t="n">
        <v>32.5</v>
      </c>
      <c r="L1933" t="n">
        <v>38</v>
      </c>
      <c r="M1933" t="n">
        <v>75.2</v>
      </c>
      <c r="N1933" t="n">
        <v>70</v>
      </c>
      <c r="O1933" t="n">
        <v>52.1</v>
      </c>
      <c r="P1933" t="n">
        <v>51</v>
      </c>
      <c r="Q1933" t="n">
        <v>72.90000000000001</v>
      </c>
      <c r="R1933" t="n">
        <v>67</v>
      </c>
      <c r="S1933" t="n">
        <v>3300000</v>
      </c>
      <c r="T1933" t="n">
        <v>4000</v>
      </c>
      <c r="AH1933" t="inlineStr">
        <is>
          <t>Quelle: Idealista</t>
        </is>
      </c>
    </row>
    <row r="1934">
      <c r="A1934" t="n">
        <v>1747</v>
      </c>
      <c r="B1934" t="inlineStr">
        <is>
          <t>Chalet pareado en calle Joan Baptista Ensenyat</t>
        </is>
      </c>
      <c r="C1934" t="inlineStr">
        <is>
          <t>https://www.idealista.com/inmueble/107876458/</t>
        </is>
      </c>
      <c r="E1934" t="n">
        <v>6</v>
      </c>
      <c r="H1934" t="n">
        <v>685</v>
      </c>
      <c r="J1934" t="inlineStr">
        <is>
          <t>Soller</t>
        </is>
      </c>
      <c r="K1934" t="n">
        <v>32.5</v>
      </c>
      <c r="L1934" t="n">
        <v>38</v>
      </c>
      <c r="M1934" t="n">
        <v>75.2</v>
      </c>
      <c r="N1934" t="n">
        <v>70</v>
      </c>
      <c r="O1934" t="n">
        <v>52.1</v>
      </c>
      <c r="P1934" t="n">
        <v>51</v>
      </c>
      <c r="Q1934" t="n">
        <v>72.90000000000001</v>
      </c>
      <c r="R1934" t="n">
        <v>67</v>
      </c>
      <c r="S1934" t="n">
        <v>5950000</v>
      </c>
      <c r="T1934" t="n">
        <v>8686</v>
      </c>
      <c r="AH1934" t="inlineStr">
        <is>
          <t>Quelle: Idealista</t>
        </is>
      </c>
    </row>
    <row r="1935">
      <c r="A1935" t="n">
        <v>1748</v>
      </c>
      <c r="B1935" t="inlineStr">
        <is>
          <t>Casa rural</t>
        </is>
      </c>
      <c r="C1935" t="inlineStr">
        <is>
          <t>https://www.idealista.com/inmueble/107875076/</t>
        </is>
      </c>
      <c r="E1935" t="n">
        <v>11</v>
      </c>
      <c r="H1935" t="n">
        <v>650</v>
      </c>
      <c r="J1935" t="inlineStr">
        <is>
          <t>Soller</t>
        </is>
      </c>
      <c r="K1935" t="n">
        <v>32.5</v>
      </c>
      <c r="L1935" t="n">
        <v>38</v>
      </c>
      <c r="M1935" t="n">
        <v>75.2</v>
      </c>
      <c r="N1935" t="n">
        <v>70</v>
      </c>
      <c r="O1935" t="n">
        <v>52.1</v>
      </c>
      <c r="P1935" t="n">
        <v>51</v>
      </c>
      <c r="Q1935" t="n">
        <v>72.90000000000001</v>
      </c>
      <c r="R1935" t="n">
        <v>67</v>
      </c>
      <c r="S1935" t="n">
        <v>2700000</v>
      </c>
      <c r="T1935" t="n">
        <v>4154</v>
      </c>
      <c r="AH1935" t="inlineStr">
        <is>
          <t>Quelle: Idealista</t>
        </is>
      </c>
    </row>
    <row r="1936">
      <c r="A1936" t="n">
        <v>1749</v>
      </c>
      <c r="B1936" t="inlineStr">
        <is>
          <t>Casa independiente en camino de Cas Patró Lau</t>
        </is>
      </c>
      <c r="C1936" t="inlineStr">
        <is>
          <t>https://www.idealista.com/inmueble/107796985/</t>
        </is>
      </c>
      <c r="E1936" t="n">
        <v>8</v>
      </c>
      <c r="H1936" t="n">
        <v>990</v>
      </c>
      <c r="J1936" t="inlineStr">
        <is>
          <t>Soller</t>
        </is>
      </c>
      <c r="K1936" t="n">
        <v>32.5</v>
      </c>
      <c r="L1936" t="n">
        <v>38</v>
      </c>
      <c r="M1936" t="n">
        <v>75.2</v>
      </c>
      <c r="N1936" t="n">
        <v>70</v>
      </c>
      <c r="O1936" t="n">
        <v>52.1</v>
      </c>
      <c r="P1936" t="n">
        <v>51</v>
      </c>
      <c r="Q1936" t="n">
        <v>72.90000000000001</v>
      </c>
      <c r="R1936" t="n">
        <v>67</v>
      </c>
      <c r="S1936" t="n">
        <v>5000000</v>
      </c>
      <c r="T1936" t="n">
        <v>5051</v>
      </c>
      <c r="AH1936" t="inlineStr">
        <is>
          <t>Quelle: Idealista</t>
        </is>
      </c>
    </row>
    <row r="1937">
      <c r="A1937" t="n">
        <v>1750</v>
      </c>
      <c r="B1937" t="inlineStr">
        <is>
          <t>Chalet</t>
        </is>
      </c>
      <c r="C1937" t="inlineStr">
        <is>
          <t>https://www.idealista.com/inmueble/105158335/</t>
        </is>
      </c>
      <c r="E1937" t="n">
        <v>5</v>
      </c>
      <c r="H1937" t="n">
        <v>320</v>
      </c>
      <c r="J1937" t="inlineStr">
        <is>
          <t>Soller</t>
        </is>
      </c>
      <c r="K1937" t="n">
        <v>32.5</v>
      </c>
      <c r="L1937" t="n">
        <v>38</v>
      </c>
      <c r="M1937" t="n">
        <v>75.2</v>
      </c>
      <c r="N1937" t="n">
        <v>70</v>
      </c>
      <c r="O1937" t="n">
        <v>52.1</v>
      </c>
      <c r="P1937" t="n">
        <v>51</v>
      </c>
      <c r="Q1937" t="n">
        <v>72.90000000000001</v>
      </c>
      <c r="R1937" t="n">
        <v>67</v>
      </c>
      <c r="S1937" t="n">
        <v>6450000</v>
      </c>
      <c r="T1937" t="n">
        <v>20156</v>
      </c>
      <c r="AH1937" t="inlineStr">
        <is>
          <t>Quelle: Idealista</t>
        </is>
      </c>
    </row>
    <row r="1938">
      <c r="A1938" t="n">
        <v>1751</v>
      </c>
      <c r="B1938" t="inlineStr">
        <is>
          <t>Casa independiente</t>
        </is>
      </c>
      <c r="C1938" t="inlineStr">
        <is>
          <t>https://www.idealista.com/inmueble/105229734/</t>
        </is>
      </c>
      <c r="E1938" t="n">
        <v>5</v>
      </c>
      <c r="H1938" t="n">
        <v>328</v>
      </c>
      <c r="J1938" t="inlineStr">
        <is>
          <t>Soller</t>
        </is>
      </c>
      <c r="K1938" t="n">
        <v>32.5</v>
      </c>
      <c r="L1938" t="n">
        <v>38</v>
      </c>
      <c r="M1938" t="n">
        <v>75.2</v>
      </c>
      <c r="N1938" t="n">
        <v>70</v>
      </c>
      <c r="O1938" t="n">
        <v>52.1</v>
      </c>
      <c r="P1938" t="n">
        <v>51</v>
      </c>
      <c r="Q1938" t="n">
        <v>72.90000000000001</v>
      </c>
      <c r="R1938" t="n">
        <v>67</v>
      </c>
      <c r="S1938" t="n">
        <v>6450000</v>
      </c>
      <c r="T1938" t="n">
        <v>19665</v>
      </c>
      <c r="AH1938" t="inlineStr">
        <is>
          <t>Quelle: Idealista</t>
        </is>
      </c>
    </row>
    <row r="1939">
      <c r="A1939" t="n">
        <v>1752</v>
      </c>
      <c r="B1939" t="inlineStr">
        <is>
          <t>Chalet pareado en carretera Diseminado Sector Num 4</t>
        </is>
      </c>
      <c r="C1939" t="inlineStr">
        <is>
          <t>https://www.idealista.com/inmueble/107326633/</t>
        </is>
      </c>
      <c r="E1939" t="n">
        <v>10</v>
      </c>
      <c r="H1939" t="n">
        <v>965</v>
      </c>
      <c r="J1939" t="inlineStr">
        <is>
          <t>Soller</t>
        </is>
      </c>
      <c r="K1939" t="n">
        <v>32.5</v>
      </c>
      <c r="L1939" t="n">
        <v>38</v>
      </c>
      <c r="M1939" t="n">
        <v>75.2</v>
      </c>
      <c r="N1939" t="n">
        <v>70</v>
      </c>
      <c r="O1939" t="n">
        <v>52.1</v>
      </c>
      <c r="P1939" t="n">
        <v>51</v>
      </c>
      <c r="Q1939" t="n">
        <v>72.90000000000001</v>
      </c>
      <c r="R1939" t="n">
        <v>67</v>
      </c>
      <c r="S1939" t="n">
        <v>5000000</v>
      </c>
      <c r="T1939" t="n">
        <v>5181</v>
      </c>
      <c r="AH1939" t="inlineStr">
        <is>
          <t>Quelle: Idealista</t>
        </is>
      </c>
    </row>
    <row r="1940">
      <c r="A1940" t="n">
        <v>1753</v>
      </c>
      <c r="B1940" t="inlineStr">
        <is>
          <t>Casa independiente en Urbanizacion Bens d'Avall-c.deia, 99</t>
        </is>
      </c>
      <c r="C1940" t="inlineStr">
        <is>
          <t>https://www.idealista.com/inmueble/107232530/</t>
        </is>
      </c>
      <c r="E1940" t="n">
        <v>6</v>
      </c>
      <c r="H1940" t="n">
        <v>334</v>
      </c>
      <c r="J1940" t="inlineStr">
        <is>
          <t>Soller</t>
        </is>
      </c>
      <c r="K1940" t="n">
        <v>32.5</v>
      </c>
      <c r="L1940" t="n">
        <v>38</v>
      </c>
      <c r="M1940" t="n">
        <v>75.2</v>
      </c>
      <c r="N1940" t="n">
        <v>70</v>
      </c>
      <c r="O1940" t="n">
        <v>52.1</v>
      </c>
      <c r="P1940" t="n">
        <v>51</v>
      </c>
      <c r="Q1940" t="n">
        <v>72.90000000000001</v>
      </c>
      <c r="R1940" t="n">
        <v>67</v>
      </c>
      <c r="S1940" t="n">
        <v>3200000</v>
      </c>
      <c r="T1940" t="n">
        <v>9581</v>
      </c>
      <c r="AH1940" t="inlineStr">
        <is>
          <t>Quelle: Idealista</t>
        </is>
      </c>
    </row>
    <row r="1941">
      <c r="A1941" t="n">
        <v>1754</v>
      </c>
      <c r="B1941" t="inlineStr">
        <is>
          <t>Finca rústica en camino de sa Figuera</t>
        </is>
      </c>
      <c r="C1941" t="inlineStr">
        <is>
          <t>https://www.idealista.com/inmueble/107185300/</t>
        </is>
      </c>
      <c r="E1941" t="n">
        <v>6</v>
      </c>
      <c r="H1941" t="n">
        <v>620</v>
      </c>
      <c r="J1941" t="inlineStr">
        <is>
          <t>Soller</t>
        </is>
      </c>
      <c r="K1941" t="n">
        <v>32.5</v>
      </c>
      <c r="L1941" t="n">
        <v>38</v>
      </c>
      <c r="M1941" t="n">
        <v>75.2</v>
      </c>
      <c r="N1941" t="n">
        <v>70</v>
      </c>
      <c r="O1941" t="n">
        <v>52.1</v>
      </c>
      <c r="P1941" t="n">
        <v>51</v>
      </c>
      <c r="Q1941" t="n">
        <v>72.90000000000001</v>
      </c>
      <c r="R1941" t="n">
        <v>67</v>
      </c>
      <c r="S1941" t="n">
        <v>4500000</v>
      </c>
      <c r="T1941" t="n">
        <v>7258</v>
      </c>
      <c r="AH1941" t="inlineStr">
        <is>
          <t>Quelle: Idealista</t>
        </is>
      </c>
    </row>
    <row r="1942">
      <c r="A1942" t="n">
        <v>1755</v>
      </c>
      <c r="B1942" t="inlineStr">
        <is>
          <t>Casa rural</t>
        </is>
      </c>
      <c r="C1942" t="inlineStr">
        <is>
          <t>https://www.idealista.com/inmueble/107155990/</t>
        </is>
      </c>
      <c r="E1942" t="n">
        <v>10</v>
      </c>
      <c r="H1942" t="n">
        <v>965</v>
      </c>
      <c r="J1942" t="inlineStr">
        <is>
          <t>Soller</t>
        </is>
      </c>
      <c r="K1942" t="n">
        <v>32.5</v>
      </c>
      <c r="L1942" t="n">
        <v>38</v>
      </c>
      <c r="M1942" t="n">
        <v>75.2</v>
      </c>
      <c r="N1942" t="n">
        <v>70</v>
      </c>
      <c r="O1942" t="n">
        <v>52.1</v>
      </c>
      <c r="P1942" t="n">
        <v>51</v>
      </c>
      <c r="Q1942" t="n">
        <v>72.90000000000001</v>
      </c>
      <c r="R1942" t="n">
        <v>67</v>
      </c>
      <c r="S1942" t="n">
        <v>5000000</v>
      </c>
      <c r="T1942" t="n">
        <v>5181</v>
      </c>
      <c r="AH1942" t="inlineStr">
        <is>
          <t>Quelle: Idealista</t>
        </is>
      </c>
    </row>
    <row r="1943">
      <c r="A1943" t="n">
        <v>1756</v>
      </c>
      <c r="B1943" t="inlineStr">
        <is>
          <t>Chalet adosado en calle del Capità Angelats</t>
        </is>
      </c>
      <c r="C1943" t="inlineStr">
        <is>
          <t>https://www.idealista.com/inmueble/107074788/</t>
        </is>
      </c>
      <c r="E1943" t="n">
        <v>6</v>
      </c>
      <c r="H1943" t="n">
        <v>365</v>
      </c>
      <c r="J1943" t="inlineStr">
        <is>
          <t>Soller</t>
        </is>
      </c>
      <c r="K1943" t="n">
        <v>32.5</v>
      </c>
      <c r="L1943" t="n">
        <v>38</v>
      </c>
      <c r="M1943" t="n">
        <v>75.2</v>
      </c>
      <c r="N1943" t="n">
        <v>70</v>
      </c>
      <c r="O1943" t="n">
        <v>52.1</v>
      </c>
      <c r="P1943" t="n">
        <v>51</v>
      </c>
      <c r="Q1943" t="n">
        <v>72.90000000000001</v>
      </c>
      <c r="R1943" t="n">
        <v>67</v>
      </c>
      <c r="S1943" t="n">
        <v>2995000</v>
      </c>
      <c r="T1943" t="n">
        <v>8205</v>
      </c>
      <c r="AH1943" t="inlineStr">
        <is>
          <t>Quelle: Idealista</t>
        </is>
      </c>
    </row>
    <row r="1944">
      <c r="A1944" t="n">
        <v>1757</v>
      </c>
      <c r="B1944" t="inlineStr">
        <is>
          <t>Casa independiente</t>
        </is>
      </c>
      <c r="C1944" t="inlineStr">
        <is>
          <t>https://www.idealista.com/inmueble/107073954/</t>
        </is>
      </c>
      <c r="E1944" t="n">
        <v>5</v>
      </c>
      <c r="H1944" t="n">
        <v>600</v>
      </c>
      <c r="J1944" t="inlineStr">
        <is>
          <t>Soller</t>
        </is>
      </c>
      <c r="K1944" t="n">
        <v>32.5</v>
      </c>
      <c r="L1944" t="n">
        <v>38</v>
      </c>
      <c r="M1944" t="n">
        <v>75.2</v>
      </c>
      <c r="N1944" t="n">
        <v>70</v>
      </c>
      <c r="O1944" t="n">
        <v>52.1</v>
      </c>
      <c r="P1944" t="n">
        <v>51</v>
      </c>
      <c r="Q1944" t="n">
        <v>72.90000000000001</v>
      </c>
      <c r="R1944" t="n">
        <v>67</v>
      </c>
      <c r="S1944" t="n">
        <v>3225000</v>
      </c>
      <c r="T1944" t="n">
        <v>5375</v>
      </c>
      <c r="AH1944" t="inlineStr">
        <is>
          <t>Quelle: Idealista</t>
        </is>
      </c>
    </row>
    <row r="1945">
      <c r="A1945" t="n">
        <v>1758</v>
      </c>
      <c r="B1945" t="inlineStr">
        <is>
          <t>Casa independiente</t>
        </is>
      </c>
      <c r="C1945" t="inlineStr">
        <is>
          <t>https://www.idealista.com/inmueble/107073952/</t>
        </is>
      </c>
      <c r="E1945" t="n">
        <v>8</v>
      </c>
      <c r="H1945" t="n">
        <v>643</v>
      </c>
      <c r="J1945" t="inlineStr">
        <is>
          <t>Soller</t>
        </is>
      </c>
      <c r="K1945" t="n">
        <v>32.5</v>
      </c>
      <c r="L1945" t="n">
        <v>38</v>
      </c>
      <c r="M1945" t="n">
        <v>75.2</v>
      </c>
      <c r="N1945" t="n">
        <v>70</v>
      </c>
      <c r="O1945" t="n">
        <v>52.1</v>
      </c>
      <c r="P1945" t="n">
        <v>51</v>
      </c>
      <c r="Q1945" t="n">
        <v>72.90000000000001</v>
      </c>
      <c r="R1945" t="n">
        <v>67</v>
      </c>
      <c r="S1945" t="n">
        <v>2350000</v>
      </c>
      <c r="T1945" t="n">
        <v>3655</v>
      </c>
      <c r="AH1945" t="inlineStr">
        <is>
          <t>Quelle: Idealista</t>
        </is>
      </c>
    </row>
    <row r="1946">
      <c r="A1946" t="n">
        <v>1759</v>
      </c>
      <c r="B1946" t="inlineStr">
        <is>
          <t>Casa rural</t>
        </is>
      </c>
      <c r="C1946" t="inlineStr">
        <is>
          <t>https://www.idealista.com/inmueble/107019749/</t>
        </is>
      </c>
      <c r="E1946" t="n">
        <v>10</v>
      </c>
      <c r="H1946" t="n">
        <v>965</v>
      </c>
      <c r="J1946" t="inlineStr">
        <is>
          <t>Soller</t>
        </is>
      </c>
      <c r="K1946" t="n">
        <v>32.5</v>
      </c>
      <c r="L1946" t="n">
        <v>38</v>
      </c>
      <c r="M1946" t="n">
        <v>75.2</v>
      </c>
      <c r="N1946" t="n">
        <v>70</v>
      </c>
      <c r="O1946" t="n">
        <v>52.1</v>
      </c>
      <c r="P1946" t="n">
        <v>51</v>
      </c>
      <c r="Q1946" t="n">
        <v>72.90000000000001</v>
      </c>
      <c r="R1946" t="n">
        <v>67</v>
      </c>
      <c r="S1946" t="n">
        <v>5000000</v>
      </c>
      <c r="T1946" t="n">
        <v>5181</v>
      </c>
      <c r="AH1946" t="inlineStr">
        <is>
          <t>Quelle: Idealista</t>
        </is>
      </c>
    </row>
    <row r="1947">
      <c r="A1947" t="n">
        <v>1760</v>
      </c>
      <c r="B1947" t="inlineStr">
        <is>
          <t>Finca rústica en Ma-11</t>
        </is>
      </c>
      <c r="C1947" t="inlineStr">
        <is>
          <t>https://www.idealista.com/inmueble/106614963/</t>
        </is>
      </c>
      <c r="E1947" t="n">
        <v>6</v>
      </c>
      <c r="H1947" t="n">
        <v>5321</v>
      </c>
      <c r="J1947" t="inlineStr">
        <is>
          <t>Soller</t>
        </is>
      </c>
      <c r="K1947" t="n">
        <v>32.5</v>
      </c>
      <c r="L1947" t="n">
        <v>38</v>
      </c>
      <c r="M1947" t="n">
        <v>75.2</v>
      </c>
      <c r="N1947" t="n">
        <v>70</v>
      </c>
      <c r="O1947" t="n">
        <v>52.1</v>
      </c>
      <c r="P1947" t="n">
        <v>51</v>
      </c>
      <c r="Q1947" t="n">
        <v>72.90000000000001</v>
      </c>
      <c r="R1947" t="n">
        <v>67</v>
      </c>
      <c r="S1947" t="n">
        <v>2394000</v>
      </c>
      <c r="T1947" t="n">
        <v>450</v>
      </c>
      <c r="AH1947" t="inlineStr">
        <is>
          <t>Quelle: Idealista</t>
        </is>
      </c>
    </row>
    <row r="1948">
      <c r="A1948" t="n">
        <v>1761</v>
      </c>
      <c r="B1948" t="inlineStr">
        <is>
          <t>Chalet</t>
        </is>
      </c>
      <c r="C1948" t="inlineStr">
        <is>
          <t>https://www.idealista.com/inmueble/103542717/</t>
        </is>
      </c>
      <c r="E1948" t="n">
        <v>6</v>
      </c>
      <c r="H1948" t="n">
        <v>825</v>
      </c>
      <c r="J1948" t="inlineStr">
        <is>
          <t>Soller</t>
        </is>
      </c>
      <c r="K1948" t="n">
        <v>32.5</v>
      </c>
      <c r="L1948" t="n">
        <v>38</v>
      </c>
      <c r="M1948" t="n">
        <v>75.2</v>
      </c>
      <c r="N1948" t="n">
        <v>70</v>
      </c>
      <c r="O1948" t="n">
        <v>52.1</v>
      </c>
      <c r="P1948" t="n">
        <v>51</v>
      </c>
      <c r="Q1948" t="n">
        <v>72.90000000000001</v>
      </c>
      <c r="R1948" t="n">
        <v>67</v>
      </c>
      <c r="S1948" t="n">
        <v>3300000</v>
      </c>
      <c r="T1948" t="n">
        <v>4000</v>
      </c>
      <c r="AH1948" t="inlineStr">
        <is>
          <t>Quelle: Idealista</t>
        </is>
      </c>
    </row>
    <row r="1949">
      <c r="A1949" t="n">
        <v>1762</v>
      </c>
      <c r="B1949" t="inlineStr">
        <is>
          <t>Chalet en camino de sa Figuera</t>
        </is>
      </c>
      <c r="C1949" t="inlineStr">
        <is>
          <t>https://www.idealista.com/inmueble/103227507/</t>
        </is>
      </c>
      <c r="E1949" t="n">
        <v>7</v>
      </c>
      <c r="H1949" t="n">
        <v>621</v>
      </c>
      <c r="J1949" t="inlineStr">
        <is>
          <t>Soller</t>
        </is>
      </c>
      <c r="K1949" t="n">
        <v>32.5</v>
      </c>
      <c r="L1949" t="n">
        <v>38</v>
      </c>
      <c r="M1949" t="n">
        <v>75.2</v>
      </c>
      <c r="N1949" t="n">
        <v>70</v>
      </c>
      <c r="O1949" t="n">
        <v>52.1</v>
      </c>
      <c r="P1949" t="n">
        <v>51</v>
      </c>
      <c r="Q1949" t="n">
        <v>72.90000000000001</v>
      </c>
      <c r="R1949" t="n">
        <v>67</v>
      </c>
      <c r="S1949" t="n">
        <v>4500000</v>
      </c>
      <c r="T1949" t="n">
        <v>7246</v>
      </c>
      <c r="AH1949" t="inlineStr">
        <is>
          <t>Quelle: Idealista</t>
        </is>
      </c>
    </row>
    <row r="1950">
      <c r="A1950" t="n">
        <v>1763</v>
      </c>
      <c r="B1950" t="inlineStr">
        <is>
          <t>Casa independiente</t>
        </is>
      </c>
      <c r="C1950" t="inlineStr">
        <is>
          <t>https://www.idealista.com/inmueble/106134104/</t>
        </is>
      </c>
      <c r="E1950" t="n">
        <v>10</v>
      </c>
      <c r="H1950" t="n">
        <v>965</v>
      </c>
      <c r="J1950" t="inlineStr">
        <is>
          <t>Soller</t>
        </is>
      </c>
      <c r="K1950" t="n">
        <v>32.5</v>
      </c>
      <c r="L1950" t="n">
        <v>38</v>
      </c>
      <c r="M1950" t="n">
        <v>75.2</v>
      </c>
      <c r="N1950" t="n">
        <v>70</v>
      </c>
      <c r="O1950" t="n">
        <v>52.1</v>
      </c>
      <c r="P1950" t="n">
        <v>51</v>
      </c>
      <c r="Q1950" t="n">
        <v>72.90000000000001</v>
      </c>
      <c r="R1950" t="n">
        <v>67</v>
      </c>
      <c r="S1950" t="n">
        <v>5000000</v>
      </c>
      <c r="T1950" t="n">
        <v>5181</v>
      </c>
      <c r="AH1950" t="inlineStr">
        <is>
          <t>Quelle: Idealista</t>
        </is>
      </c>
    </row>
    <row r="1951">
      <c r="A1951" t="n">
        <v>1764</v>
      </c>
      <c r="B1951" t="inlineStr">
        <is>
          <t>Casa rural</t>
        </is>
      </c>
      <c r="C1951" t="inlineStr">
        <is>
          <t>https://www.idealista.com/inmueble/105952107/</t>
        </is>
      </c>
      <c r="E1951" t="n">
        <v>5</v>
      </c>
      <c r="H1951" t="n">
        <v>419</v>
      </c>
      <c r="J1951" t="inlineStr">
        <is>
          <t>Soller</t>
        </is>
      </c>
      <c r="K1951" t="n">
        <v>32.5</v>
      </c>
      <c r="L1951" t="n">
        <v>38</v>
      </c>
      <c r="M1951" t="n">
        <v>75.2</v>
      </c>
      <c r="N1951" t="n">
        <v>70</v>
      </c>
      <c r="O1951" t="n">
        <v>52.1</v>
      </c>
      <c r="P1951" t="n">
        <v>51</v>
      </c>
      <c r="Q1951" t="n">
        <v>72.90000000000001</v>
      </c>
      <c r="R1951" t="n">
        <v>67</v>
      </c>
      <c r="S1951" t="n">
        <v>2750000</v>
      </c>
      <c r="T1951" t="n">
        <v>6563</v>
      </c>
      <c r="AH1951" t="inlineStr">
        <is>
          <t>Quelle: Idealista</t>
        </is>
      </c>
    </row>
    <row r="1952">
      <c r="A1952" t="n">
        <v>1765</v>
      </c>
      <c r="B1952" t="inlineStr">
        <is>
          <t>Casa independiente</t>
        </is>
      </c>
      <c r="C1952" t="inlineStr">
        <is>
          <t>https://www.idealista.com/inmueble/105856347/</t>
        </is>
      </c>
      <c r="E1952" t="n">
        <v>5</v>
      </c>
      <c r="H1952" t="n">
        <v>600</v>
      </c>
      <c r="J1952" t="inlineStr">
        <is>
          <t>Soller</t>
        </is>
      </c>
      <c r="K1952" t="n">
        <v>32.5</v>
      </c>
      <c r="L1952" t="n">
        <v>38</v>
      </c>
      <c r="M1952" t="n">
        <v>75.2</v>
      </c>
      <c r="N1952" t="n">
        <v>70</v>
      </c>
      <c r="O1952" t="n">
        <v>52.1</v>
      </c>
      <c r="P1952" t="n">
        <v>51</v>
      </c>
      <c r="Q1952" t="n">
        <v>72.90000000000001</v>
      </c>
      <c r="R1952" t="n">
        <v>67</v>
      </c>
      <c r="S1952" t="n">
        <v>2150000</v>
      </c>
      <c r="T1952" t="n">
        <v>3583</v>
      </c>
      <c r="AH1952" t="inlineStr">
        <is>
          <t>Quelle: Idealista</t>
        </is>
      </c>
    </row>
    <row r="1953">
      <c r="A1953" t="n">
        <v>1766</v>
      </c>
      <c r="B1953" t="inlineStr">
        <is>
          <t>Casa independiente</t>
        </is>
      </c>
      <c r="C1953" t="inlineStr">
        <is>
          <t>https://www.idealista.com/inmueble/105856292/</t>
        </is>
      </c>
      <c r="E1953" t="n">
        <v>5</v>
      </c>
      <c r="H1953" t="n">
        <v>600</v>
      </c>
      <c r="J1953" t="inlineStr">
        <is>
          <t>Soller</t>
        </is>
      </c>
      <c r="K1953" t="n">
        <v>32.5</v>
      </c>
      <c r="L1953" t="n">
        <v>38</v>
      </c>
      <c r="M1953" t="n">
        <v>75.2</v>
      </c>
      <c r="N1953" t="n">
        <v>70</v>
      </c>
      <c r="O1953" t="n">
        <v>52.1</v>
      </c>
      <c r="P1953" t="n">
        <v>51</v>
      </c>
      <c r="Q1953" t="n">
        <v>72.90000000000001</v>
      </c>
      <c r="R1953" t="n">
        <v>67</v>
      </c>
      <c r="S1953" t="n">
        <v>3580000</v>
      </c>
      <c r="T1953" t="n">
        <v>5967</v>
      </c>
      <c r="AH1953" t="inlineStr">
        <is>
          <t>Quelle: Idealista</t>
        </is>
      </c>
    </row>
    <row r="1954">
      <c r="A1954" t="n">
        <v>1767</v>
      </c>
      <c r="B1954" t="inlineStr">
        <is>
          <t>Finca rústica</t>
        </is>
      </c>
      <c r="C1954" t="inlineStr">
        <is>
          <t>https://www.idealista.com/inmueble/105687623/</t>
        </is>
      </c>
      <c r="E1954" t="n">
        <v>7</v>
      </c>
      <c r="H1954" t="n">
        <v>508</v>
      </c>
      <c r="J1954" t="inlineStr">
        <is>
          <t>Soller</t>
        </is>
      </c>
      <c r="K1954" t="n">
        <v>32.5</v>
      </c>
      <c r="L1954" t="n">
        <v>38</v>
      </c>
      <c r="M1954" t="n">
        <v>75.2</v>
      </c>
      <c r="N1954" t="n">
        <v>70</v>
      </c>
      <c r="O1954" t="n">
        <v>52.1</v>
      </c>
      <c r="P1954" t="n">
        <v>51</v>
      </c>
      <c r="Q1954" t="n">
        <v>72.90000000000001</v>
      </c>
      <c r="R1954" t="n">
        <v>67</v>
      </c>
      <c r="S1954" t="n">
        <v>3990000</v>
      </c>
      <c r="T1954" t="n">
        <v>7854</v>
      </c>
      <c r="AH1954" t="inlineStr">
        <is>
          <t>Quelle: Idealista</t>
        </is>
      </c>
    </row>
    <row r="1955">
      <c r="A1955" t="n">
        <v>1768</v>
      </c>
      <c r="B1955" t="inlineStr">
        <is>
          <t>Finca rústica</t>
        </is>
      </c>
      <c r="C1955" t="inlineStr">
        <is>
          <t>https://www.idealista.com/inmueble/104839675/</t>
        </is>
      </c>
      <c r="E1955" t="n">
        <v>7</v>
      </c>
      <c r="H1955" t="n">
        <v>621</v>
      </c>
      <c r="J1955" t="inlineStr">
        <is>
          <t>Soller</t>
        </is>
      </c>
      <c r="K1955" t="n">
        <v>32.5</v>
      </c>
      <c r="L1955" t="n">
        <v>38</v>
      </c>
      <c r="M1955" t="n">
        <v>75.2</v>
      </c>
      <c r="N1955" t="n">
        <v>70</v>
      </c>
      <c r="O1955" t="n">
        <v>52.1</v>
      </c>
      <c r="P1955" t="n">
        <v>51</v>
      </c>
      <c r="Q1955" t="n">
        <v>72.90000000000001</v>
      </c>
      <c r="R1955" t="n">
        <v>67</v>
      </c>
      <c r="S1955" t="n">
        <v>4500000</v>
      </c>
      <c r="T1955" t="n">
        <v>7246</v>
      </c>
      <c r="AH1955" t="inlineStr">
        <is>
          <t>Quelle: Idealista</t>
        </is>
      </c>
    </row>
    <row r="1956">
      <c r="A1956" t="n">
        <v>1769</v>
      </c>
      <c r="B1956" t="inlineStr">
        <is>
          <t>Finca rústica</t>
        </is>
      </c>
      <c r="C1956" t="inlineStr">
        <is>
          <t>https://www.idealista.com/inmueble/101968785/</t>
        </is>
      </c>
      <c r="E1956" t="n">
        <v>10</v>
      </c>
      <c r="H1956" t="n">
        <v>965</v>
      </c>
      <c r="J1956" t="inlineStr">
        <is>
          <t>Soller</t>
        </is>
      </c>
      <c r="K1956" t="n">
        <v>32.5</v>
      </c>
      <c r="L1956" t="n">
        <v>38</v>
      </c>
      <c r="M1956" t="n">
        <v>75.2</v>
      </c>
      <c r="N1956" t="n">
        <v>70</v>
      </c>
      <c r="O1956" t="n">
        <v>52.1</v>
      </c>
      <c r="P1956" t="n">
        <v>51</v>
      </c>
      <c r="Q1956" t="n">
        <v>72.90000000000001</v>
      </c>
      <c r="R1956" t="n">
        <v>67</v>
      </c>
      <c r="S1956" t="n">
        <v>5000000</v>
      </c>
      <c r="T1956" t="n">
        <v>5181</v>
      </c>
      <c r="AH1956" t="inlineStr">
        <is>
          <t>Quelle: Idealista</t>
        </is>
      </c>
    </row>
    <row r="1957">
      <c r="A1957" t="n">
        <v>1770</v>
      </c>
      <c r="B1957" t="inlineStr">
        <is>
          <t>Casa independiente en calle Poligono 1</t>
        </is>
      </c>
      <c r="C1957" t="inlineStr">
        <is>
          <t>https://www.idealista.com/inmueble/104808739/</t>
        </is>
      </c>
      <c r="E1957" t="n">
        <v>6</v>
      </c>
      <c r="H1957" t="n">
        <v>494</v>
      </c>
      <c r="J1957" t="inlineStr">
        <is>
          <t>Soller</t>
        </is>
      </c>
      <c r="K1957" t="n">
        <v>32.5</v>
      </c>
      <c r="L1957" t="n">
        <v>38</v>
      </c>
      <c r="M1957" t="n">
        <v>75.2</v>
      </c>
      <c r="N1957" t="n">
        <v>70</v>
      </c>
      <c r="O1957" t="n">
        <v>52.1</v>
      </c>
      <c r="P1957" t="n">
        <v>51</v>
      </c>
      <c r="Q1957" t="n">
        <v>72.90000000000001</v>
      </c>
      <c r="R1957" t="n">
        <v>67</v>
      </c>
      <c r="S1957" t="n">
        <v>2395000</v>
      </c>
      <c r="T1957" t="n">
        <v>4848</v>
      </c>
      <c r="AH1957" t="inlineStr">
        <is>
          <t>Quelle: Idealista</t>
        </is>
      </c>
    </row>
    <row r="1958">
      <c r="A1958" t="n">
        <v>1771</v>
      </c>
      <c r="B1958" t="inlineStr">
        <is>
          <t>Casa independiente en paseo de la playa</t>
        </is>
      </c>
      <c r="C1958" t="inlineStr">
        <is>
          <t>https://www.idealista.com/inmueble/99471418/</t>
        </is>
      </c>
      <c r="E1958" t="n">
        <v>7</v>
      </c>
      <c r="H1958" t="n">
        <v>385</v>
      </c>
      <c r="J1958" t="inlineStr">
        <is>
          <t>Soller</t>
        </is>
      </c>
      <c r="K1958" t="n">
        <v>32.5</v>
      </c>
      <c r="L1958" t="n">
        <v>38</v>
      </c>
      <c r="M1958" t="n">
        <v>75.2</v>
      </c>
      <c r="N1958" t="n">
        <v>70</v>
      </c>
      <c r="O1958" t="n">
        <v>52.1</v>
      </c>
      <c r="P1958" t="n">
        <v>51</v>
      </c>
      <c r="Q1958" t="n">
        <v>72.90000000000001</v>
      </c>
      <c r="R1958" t="n">
        <v>67</v>
      </c>
      <c r="S1958" t="n">
        <v>3500000</v>
      </c>
      <c r="T1958" t="n">
        <v>9091</v>
      </c>
      <c r="AH1958" t="inlineStr">
        <is>
          <t>Quelle: Idealista</t>
        </is>
      </c>
    </row>
    <row r="1959">
      <c r="A1959" t="n">
        <v>1772</v>
      </c>
      <c r="B1959" t="inlineStr">
        <is>
          <t>Casa independiente</t>
        </is>
      </c>
      <c r="C1959" t="inlineStr">
        <is>
          <t>https://www.idealista.com/inmueble/104295053/</t>
        </is>
      </c>
      <c r="E1959" t="n">
        <v>10</v>
      </c>
      <c r="H1959" t="n">
        <v>965</v>
      </c>
      <c r="J1959" t="inlineStr">
        <is>
          <t>Soller</t>
        </is>
      </c>
      <c r="K1959" t="n">
        <v>32.5</v>
      </c>
      <c r="L1959" t="n">
        <v>38</v>
      </c>
      <c r="M1959" t="n">
        <v>75.2</v>
      </c>
      <c r="N1959" t="n">
        <v>70</v>
      </c>
      <c r="O1959" t="n">
        <v>52.1</v>
      </c>
      <c r="P1959" t="n">
        <v>51</v>
      </c>
      <c r="Q1959" t="n">
        <v>72.90000000000001</v>
      </c>
      <c r="R1959" t="n">
        <v>67</v>
      </c>
      <c r="S1959" t="n">
        <v>4750000</v>
      </c>
      <c r="T1959" t="n">
        <v>4922</v>
      </c>
      <c r="AH1959" t="inlineStr">
        <is>
          <t>Quelle: Idealista</t>
        </is>
      </c>
    </row>
    <row r="1960">
      <c r="A1960" t="n">
        <v>1773</v>
      </c>
      <c r="B1960" t="inlineStr">
        <is>
          <t>Chalet pareado en Traves, 30</t>
        </is>
      </c>
      <c r="C1960" t="inlineStr">
        <is>
          <t>https://www.idealista.com/inmueble/103726009/</t>
        </is>
      </c>
      <c r="E1960" t="n">
        <v>7</v>
      </c>
      <c r="H1960" t="n">
        <v>330</v>
      </c>
      <c r="J1960" t="inlineStr">
        <is>
          <t>Soller</t>
        </is>
      </c>
      <c r="K1960" t="n">
        <v>32.5</v>
      </c>
      <c r="L1960" t="n">
        <v>38</v>
      </c>
      <c r="M1960" t="n">
        <v>75.2</v>
      </c>
      <c r="N1960" t="n">
        <v>70</v>
      </c>
      <c r="O1960" t="n">
        <v>52.1</v>
      </c>
      <c r="P1960" t="n">
        <v>51</v>
      </c>
      <c r="Q1960" t="n">
        <v>72.90000000000001</v>
      </c>
      <c r="R1960" t="n">
        <v>67</v>
      </c>
      <c r="S1960" t="n">
        <v>2900000</v>
      </c>
      <c r="T1960" t="n">
        <v>8788</v>
      </c>
      <c r="AH1960" t="inlineStr">
        <is>
          <t>Quelle: Idealista</t>
        </is>
      </c>
    </row>
    <row r="1961">
      <c r="A1961" t="n">
        <v>1774</v>
      </c>
      <c r="B1961" t="inlineStr">
        <is>
          <t>Casa independiente</t>
        </is>
      </c>
      <c r="C1961" t="inlineStr">
        <is>
          <t>https://www.idealista.com/inmueble/100924962/</t>
        </is>
      </c>
      <c r="E1961" t="n">
        <v>7</v>
      </c>
      <c r="H1961" t="n">
        <v>365</v>
      </c>
      <c r="J1961" t="inlineStr">
        <is>
          <t>Soller</t>
        </is>
      </c>
      <c r="K1961" t="n">
        <v>32.5</v>
      </c>
      <c r="L1961" t="n">
        <v>38</v>
      </c>
      <c r="M1961" t="n">
        <v>75.2</v>
      </c>
      <c r="N1961" t="n">
        <v>70</v>
      </c>
      <c r="O1961" t="n">
        <v>52.1</v>
      </c>
      <c r="P1961" t="n">
        <v>51</v>
      </c>
      <c r="Q1961" t="n">
        <v>72.90000000000001</v>
      </c>
      <c r="R1961" t="n">
        <v>67</v>
      </c>
      <c r="S1961" t="n">
        <v>3500000</v>
      </c>
      <c r="T1961" t="n">
        <v>9589</v>
      </c>
      <c r="AH1961" t="inlineStr">
        <is>
          <t>Quelle: Idealista</t>
        </is>
      </c>
    </row>
    <row r="1962">
      <c r="A1962" t="n">
        <v>1775</v>
      </c>
      <c r="B1962" t="inlineStr">
        <is>
          <t>Finca rústica</t>
        </is>
      </c>
      <c r="C1962" t="inlineStr">
        <is>
          <t>https://www.idealista.com/inmueble/101168429/</t>
        </is>
      </c>
      <c r="E1962" t="n">
        <v>5</v>
      </c>
      <c r="H1962" t="n">
        <v>600</v>
      </c>
      <c r="J1962" t="inlineStr">
        <is>
          <t>Soller</t>
        </is>
      </c>
      <c r="K1962" t="n">
        <v>32.5</v>
      </c>
      <c r="L1962" t="n">
        <v>38</v>
      </c>
      <c r="M1962" t="n">
        <v>75.2</v>
      </c>
      <c r="N1962" t="n">
        <v>70</v>
      </c>
      <c r="O1962" t="n">
        <v>52.1</v>
      </c>
      <c r="P1962" t="n">
        <v>51</v>
      </c>
      <c r="Q1962" t="n">
        <v>72.90000000000001</v>
      </c>
      <c r="R1962" t="n">
        <v>67</v>
      </c>
      <c r="S1962" t="n">
        <v>3580000</v>
      </c>
      <c r="T1962" t="n">
        <v>5967</v>
      </c>
      <c r="AH1962" t="inlineStr">
        <is>
          <t>Quelle: Idealista</t>
        </is>
      </c>
    </row>
    <row r="1963">
      <c r="A1963" t="n">
        <v>1776</v>
      </c>
      <c r="B1963" t="inlineStr">
        <is>
          <t>Chalet</t>
        </is>
      </c>
      <c r="C1963" t="inlineStr">
        <is>
          <t>https://www.idealista.com/inmueble/101017403/</t>
        </is>
      </c>
      <c r="E1963" t="n">
        <v>5</v>
      </c>
      <c r="H1963" t="n">
        <v>600</v>
      </c>
      <c r="J1963" t="inlineStr">
        <is>
          <t>Soller</t>
        </is>
      </c>
      <c r="K1963" t="n">
        <v>32.5</v>
      </c>
      <c r="L1963" t="n">
        <v>38</v>
      </c>
      <c r="M1963" t="n">
        <v>75.2</v>
      </c>
      <c r="N1963" t="n">
        <v>70</v>
      </c>
      <c r="O1963" t="n">
        <v>52.1</v>
      </c>
      <c r="P1963" t="n">
        <v>51</v>
      </c>
      <c r="Q1963" t="n">
        <v>72.90000000000001</v>
      </c>
      <c r="R1963" t="n">
        <v>67</v>
      </c>
      <c r="S1963" t="n">
        <v>3580500</v>
      </c>
      <c r="T1963" t="n">
        <v>5968</v>
      </c>
      <c r="AH1963" t="inlineStr">
        <is>
          <t>Quelle: Idealista</t>
        </is>
      </c>
    </row>
    <row r="1964">
      <c r="A1964" t="n">
        <v>1777</v>
      </c>
      <c r="B1964" t="inlineStr">
        <is>
          <t>Chalet</t>
        </is>
      </c>
      <c r="C1964" t="inlineStr">
        <is>
          <t>https://www.idealista.com/inmueble/99283753/</t>
        </is>
      </c>
      <c r="E1964" t="n">
        <v>6</v>
      </c>
      <c r="H1964" t="n">
        <v>620</v>
      </c>
      <c r="J1964" t="inlineStr">
        <is>
          <t>Soller</t>
        </is>
      </c>
      <c r="K1964" t="n">
        <v>32.5</v>
      </c>
      <c r="L1964" t="n">
        <v>38</v>
      </c>
      <c r="M1964" t="n">
        <v>75.2</v>
      </c>
      <c r="N1964" t="n">
        <v>70</v>
      </c>
      <c r="O1964" t="n">
        <v>52.1</v>
      </c>
      <c r="P1964" t="n">
        <v>51</v>
      </c>
      <c r="Q1964" t="n">
        <v>72.90000000000001</v>
      </c>
      <c r="R1964" t="n">
        <v>67</v>
      </c>
      <c r="S1964" t="n">
        <v>5500000</v>
      </c>
      <c r="T1964" t="n">
        <v>8871</v>
      </c>
      <c r="AH1964" t="inlineStr">
        <is>
          <t>Quelle: Idealista</t>
        </is>
      </c>
    </row>
    <row r="1965">
      <c r="A1965" t="n">
        <v>1778</v>
      </c>
      <c r="B1965" t="inlineStr">
        <is>
          <t>Casa independiente</t>
        </is>
      </c>
      <c r="C1965" t="inlineStr">
        <is>
          <t>https://www.idealista.com/inmueble/95586432/</t>
        </is>
      </c>
      <c r="E1965" t="n">
        <v>6</v>
      </c>
      <c r="H1965" t="n">
        <v>382</v>
      </c>
      <c r="J1965" t="inlineStr">
        <is>
          <t>Soller</t>
        </is>
      </c>
      <c r="K1965" t="n">
        <v>32.5</v>
      </c>
      <c r="L1965" t="n">
        <v>38</v>
      </c>
      <c r="M1965" t="n">
        <v>75.2</v>
      </c>
      <c r="N1965" t="n">
        <v>70</v>
      </c>
      <c r="O1965" t="n">
        <v>52.1</v>
      </c>
      <c r="P1965" t="n">
        <v>51</v>
      </c>
      <c r="Q1965" t="n">
        <v>72.90000000000001</v>
      </c>
      <c r="R1965" t="n">
        <v>67</v>
      </c>
      <c r="S1965" t="n">
        <v>3500000</v>
      </c>
      <c r="T1965" t="n">
        <v>9162</v>
      </c>
      <c r="AH1965" t="inlineStr">
        <is>
          <t>Quelle: Idealista</t>
        </is>
      </c>
    </row>
    <row r="1966">
      <c r="A1966" t="n">
        <v>1779</v>
      </c>
      <c r="B1966" t="inlineStr">
        <is>
          <t>Casa rural</t>
        </is>
      </c>
      <c r="C1966" t="inlineStr">
        <is>
          <t>https://www.idealista.com/inmueble/97497928/</t>
        </is>
      </c>
      <c r="E1966" t="n">
        <v>7</v>
      </c>
      <c r="H1966" t="n">
        <v>620</v>
      </c>
      <c r="J1966" t="inlineStr">
        <is>
          <t>Soller</t>
        </is>
      </c>
      <c r="K1966" t="n">
        <v>32.5</v>
      </c>
      <c r="L1966" t="n">
        <v>38</v>
      </c>
      <c r="M1966" t="n">
        <v>75.2</v>
      </c>
      <c r="N1966" t="n">
        <v>70</v>
      </c>
      <c r="O1966" t="n">
        <v>52.1</v>
      </c>
      <c r="P1966" t="n">
        <v>51</v>
      </c>
      <c r="Q1966" t="n">
        <v>72.90000000000001</v>
      </c>
      <c r="R1966" t="n">
        <v>67</v>
      </c>
      <c r="S1966" t="n">
        <v>4500000</v>
      </c>
      <c r="T1966" t="n">
        <v>7258</v>
      </c>
      <c r="AH1966" t="inlineStr">
        <is>
          <t>Quelle: Idealista</t>
        </is>
      </c>
    </row>
    <row r="1967">
      <c r="A1967" t="n">
        <v>1780</v>
      </c>
      <c r="B1967" t="inlineStr">
        <is>
          <t>Chalet</t>
        </is>
      </c>
      <c r="C1967" t="inlineStr">
        <is>
          <t>https://www.idealista.com/inmueble/97549443/</t>
        </is>
      </c>
      <c r="E1967" t="n">
        <v>8</v>
      </c>
      <c r="H1967" t="n">
        <v>1025</v>
      </c>
      <c r="J1967" t="inlineStr">
        <is>
          <t>Soller</t>
        </is>
      </c>
      <c r="K1967" t="n">
        <v>32.5</v>
      </c>
      <c r="L1967" t="n">
        <v>38</v>
      </c>
      <c r="M1967" t="n">
        <v>75.2</v>
      </c>
      <c r="N1967" t="n">
        <v>70</v>
      </c>
      <c r="O1967" t="n">
        <v>52.1</v>
      </c>
      <c r="P1967" t="n">
        <v>51</v>
      </c>
      <c r="Q1967" t="n">
        <v>72.90000000000001</v>
      </c>
      <c r="R1967" t="n">
        <v>67</v>
      </c>
      <c r="S1967" t="n">
        <v>3650000</v>
      </c>
      <c r="T1967" t="n">
        <v>3561</v>
      </c>
      <c r="AH1967" t="inlineStr">
        <is>
          <t>Quelle: Idealista</t>
        </is>
      </c>
    </row>
    <row r="1968">
      <c r="A1968" t="n">
        <v>1781</v>
      </c>
      <c r="B1968" t="inlineStr">
        <is>
          <t>Chalet</t>
        </is>
      </c>
      <c r="C1968" t="inlineStr">
        <is>
          <t>https://www.idealista.com/inmueble/98418586/</t>
        </is>
      </c>
      <c r="E1968" t="n">
        <v>7</v>
      </c>
      <c r="H1968" t="n">
        <v>330</v>
      </c>
      <c r="J1968" t="inlineStr">
        <is>
          <t>Soller</t>
        </is>
      </c>
      <c r="K1968" t="n">
        <v>32.5</v>
      </c>
      <c r="L1968" t="n">
        <v>38</v>
      </c>
      <c r="M1968" t="n">
        <v>75.2</v>
      </c>
      <c r="N1968" t="n">
        <v>70</v>
      </c>
      <c r="O1968" t="n">
        <v>52.1</v>
      </c>
      <c r="P1968" t="n">
        <v>51</v>
      </c>
      <c r="Q1968" t="n">
        <v>72.90000000000001</v>
      </c>
      <c r="R1968" t="n">
        <v>67</v>
      </c>
      <c r="S1968" t="n">
        <v>2900000</v>
      </c>
      <c r="T1968" t="n">
        <v>8788</v>
      </c>
      <c r="AH1968" t="inlineStr">
        <is>
          <t>Quelle: Idealista</t>
        </is>
      </c>
    </row>
    <row r="1969">
      <c r="A1969" t="n">
        <v>1782</v>
      </c>
      <c r="B1969" t="inlineStr">
        <is>
          <t>Chalet adosado en camino de sa Vinyassa</t>
        </is>
      </c>
      <c r="C1969" t="inlineStr">
        <is>
          <t>https://www.idealista.com/inmueble/97362448/</t>
        </is>
      </c>
      <c r="E1969" t="n">
        <v>5</v>
      </c>
      <c r="H1969" t="n">
        <v>450</v>
      </c>
      <c r="J1969" t="inlineStr">
        <is>
          <t>Soller</t>
        </is>
      </c>
      <c r="K1969" t="n">
        <v>32.5</v>
      </c>
      <c r="L1969" t="n">
        <v>38</v>
      </c>
      <c r="M1969" t="n">
        <v>75.2</v>
      </c>
      <c r="N1969" t="n">
        <v>70</v>
      </c>
      <c r="O1969" t="n">
        <v>52.1</v>
      </c>
      <c r="P1969" t="n">
        <v>51</v>
      </c>
      <c r="Q1969" t="n">
        <v>72.90000000000001</v>
      </c>
      <c r="R1969" t="n">
        <v>67</v>
      </c>
      <c r="S1969" t="n">
        <v>2200000</v>
      </c>
      <c r="T1969" t="n">
        <v>4889</v>
      </c>
      <c r="AH1969" t="inlineStr">
        <is>
          <t>Quelle: Idealista</t>
        </is>
      </c>
    </row>
    <row r="1970">
      <c r="A1970" t="n">
        <v>1783</v>
      </c>
      <c r="B1970" t="inlineStr">
        <is>
          <t>Chalet adosado en Ma-2123</t>
        </is>
      </c>
      <c r="C1970" t="inlineStr">
        <is>
          <t>https://www.idealista.com/inmueble/97162464/</t>
        </is>
      </c>
      <c r="E1970" t="n">
        <v>6</v>
      </c>
      <c r="H1970" t="n">
        <v>500</v>
      </c>
      <c r="J1970" t="inlineStr">
        <is>
          <t>Soller</t>
        </is>
      </c>
      <c r="K1970" t="n">
        <v>32.5</v>
      </c>
      <c r="L1970" t="n">
        <v>38</v>
      </c>
      <c r="M1970" t="n">
        <v>75.2</v>
      </c>
      <c r="N1970" t="n">
        <v>70</v>
      </c>
      <c r="O1970" t="n">
        <v>52.1</v>
      </c>
      <c r="P1970" t="n">
        <v>51</v>
      </c>
      <c r="Q1970" t="n">
        <v>72.90000000000001</v>
      </c>
      <c r="R1970" t="n">
        <v>67</v>
      </c>
      <c r="S1970" t="n">
        <v>2100000</v>
      </c>
      <c r="T1970" t="n">
        <v>4200</v>
      </c>
      <c r="AH1970" t="inlineStr">
        <is>
          <t>Quelle: Idealista</t>
        </is>
      </c>
    </row>
    <row r="1971">
      <c r="A1971" t="n">
        <v>1784</v>
      </c>
      <c r="B1971" t="inlineStr">
        <is>
          <t>Chalet</t>
        </is>
      </c>
      <c r="C1971" t="inlineStr">
        <is>
          <t>https://www.idealista.com/inmueble/91417789/</t>
        </is>
      </c>
      <c r="E1971" t="n">
        <v>7</v>
      </c>
      <c r="H1971" t="n">
        <v>331</v>
      </c>
      <c r="J1971" t="inlineStr">
        <is>
          <t>Soller</t>
        </is>
      </c>
      <c r="K1971" t="n">
        <v>32.5</v>
      </c>
      <c r="L1971" t="n">
        <v>38</v>
      </c>
      <c r="M1971" t="n">
        <v>75.2</v>
      </c>
      <c r="N1971" t="n">
        <v>70</v>
      </c>
      <c r="O1971" t="n">
        <v>52.1</v>
      </c>
      <c r="P1971" t="n">
        <v>51</v>
      </c>
      <c r="Q1971" t="n">
        <v>72.90000000000001</v>
      </c>
      <c r="R1971" t="n">
        <v>67</v>
      </c>
      <c r="S1971" t="n">
        <v>2900000</v>
      </c>
      <c r="T1971" t="n">
        <v>8761</v>
      </c>
      <c r="AH1971" t="inlineStr">
        <is>
          <t>Quelle: Idealista</t>
        </is>
      </c>
    </row>
    <row r="1972">
      <c r="A1972" t="n">
        <v>1785</v>
      </c>
      <c r="B1972" t="inlineStr">
        <is>
          <t>Casa independiente</t>
        </is>
      </c>
      <c r="C1972" t="inlineStr">
        <is>
          <t>https://www.idealista.com/inmueble/93515981/</t>
        </is>
      </c>
      <c r="E1972" t="n">
        <v>7</v>
      </c>
      <c r="H1972" t="n">
        <v>365</v>
      </c>
      <c r="J1972" t="inlineStr">
        <is>
          <t>Soller</t>
        </is>
      </c>
      <c r="K1972" t="n">
        <v>32.5</v>
      </c>
      <c r="L1972" t="n">
        <v>38</v>
      </c>
      <c r="M1972" t="n">
        <v>75.2</v>
      </c>
      <c r="N1972" t="n">
        <v>70</v>
      </c>
      <c r="O1972" t="n">
        <v>52.1</v>
      </c>
      <c r="P1972" t="n">
        <v>51</v>
      </c>
      <c r="Q1972" t="n">
        <v>72.90000000000001</v>
      </c>
      <c r="R1972" t="n">
        <v>67</v>
      </c>
      <c r="S1972" t="n">
        <v>3500000</v>
      </c>
      <c r="T1972" t="n">
        <v>9589</v>
      </c>
      <c r="AH1972" t="inlineStr">
        <is>
          <t>Quelle: Idealista</t>
        </is>
      </c>
    </row>
    <row r="1973">
      <c r="A1973" t="n">
        <v>1786</v>
      </c>
      <c r="B1973" t="inlineStr">
        <is>
          <t>Casa independiente</t>
        </is>
      </c>
      <c r="C1973" t="inlineStr">
        <is>
          <t>https://www.idealista.com/inmueble/92356014/</t>
        </is>
      </c>
      <c r="E1973" t="n">
        <v>7</v>
      </c>
      <c r="H1973" t="n">
        <v>330</v>
      </c>
      <c r="J1973" t="inlineStr">
        <is>
          <t>Soller</t>
        </is>
      </c>
      <c r="K1973" t="n">
        <v>32.5</v>
      </c>
      <c r="L1973" t="n">
        <v>38</v>
      </c>
      <c r="M1973" t="n">
        <v>75.2</v>
      </c>
      <c r="N1973" t="n">
        <v>70</v>
      </c>
      <c r="O1973" t="n">
        <v>52.1</v>
      </c>
      <c r="P1973" t="n">
        <v>51</v>
      </c>
      <c r="Q1973" t="n">
        <v>72.90000000000001</v>
      </c>
      <c r="R1973" t="n">
        <v>67</v>
      </c>
      <c r="S1973" t="n">
        <v>2900000</v>
      </c>
      <c r="T1973" t="n">
        <v>8788</v>
      </c>
      <c r="AH1973" t="inlineStr">
        <is>
          <t>Quelle: Idealista</t>
        </is>
      </c>
    </row>
    <row r="1974">
      <c r="A1974" t="n">
        <v>1787</v>
      </c>
      <c r="B1974" t="inlineStr">
        <is>
          <t>Chalet</t>
        </is>
      </c>
      <c r="C1974" t="inlineStr">
        <is>
          <t>https://www.idealista.com/inmueble/90928349/</t>
        </is>
      </c>
      <c r="E1974" t="n">
        <v>7</v>
      </c>
      <c r="H1974" t="n">
        <v>400</v>
      </c>
      <c r="J1974" t="inlineStr">
        <is>
          <t>Soller</t>
        </is>
      </c>
      <c r="K1974" t="n">
        <v>32.5</v>
      </c>
      <c r="L1974" t="n">
        <v>38</v>
      </c>
      <c r="M1974" t="n">
        <v>75.2</v>
      </c>
      <c r="N1974" t="n">
        <v>70</v>
      </c>
      <c r="O1974" t="n">
        <v>52.1</v>
      </c>
      <c r="P1974" t="n">
        <v>51</v>
      </c>
      <c r="Q1974" t="n">
        <v>72.90000000000001</v>
      </c>
      <c r="R1974" t="n">
        <v>67</v>
      </c>
      <c r="S1974" t="n">
        <v>3500000</v>
      </c>
      <c r="T1974" t="n">
        <v>8750</v>
      </c>
      <c r="AH1974" t="inlineStr">
        <is>
          <t>Quelle: Idealista</t>
        </is>
      </c>
    </row>
    <row r="1975">
      <c r="A1975" t="n">
        <v>1788</v>
      </c>
      <c r="B1975" t="inlineStr">
        <is>
          <t>Casa rural</t>
        </is>
      </c>
      <c r="C1975" t="inlineStr">
        <is>
          <t>https://www.idealista.com/inmueble/108680791/</t>
        </is>
      </c>
      <c r="E1975" t="n">
        <v>5</v>
      </c>
      <c r="H1975" t="n">
        <v>380</v>
      </c>
      <c r="J1975" t="inlineStr">
        <is>
          <t>Son Carrio</t>
        </is>
      </c>
      <c r="K1975" t="n">
        <v>60.7</v>
      </c>
      <c r="L1975" t="n">
        <v>52</v>
      </c>
      <c r="M1975" t="n">
        <v>50.4</v>
      </c>
      <c r="N1975" t="n">
        <v>55</v>
      </c>
      <c r="O1975" t="n">
        <v>95</v>
      </c>
      <c r="P1975" t="n">
        <v>77</v>
      </c>
      <c r="Q1975" t="n">
        <v>48.1</v>
      </c>
      <c r="R1975" t="n">
        <v>52</v>
      </c>
      <c r="S1975" t="n">
        <v>2900000</v>
      </c>
      <c r="T1975" t="n">
        <v>7632</v>
      </c>
      <c r="AH1975" t="inlineStr">
        <is>
          <t>Quelle: Idealista</t>
        </is>
      </c>
    </row>
    <row r="1976">
      <c r="A1976" t="n">
        <v>1789</v>
      </c>
      <c r="B1976" t="inlineStr">
        <is>
          <t>Finca rústica</t>
        </is>
      </c>
      <c r="C1976" t="inlineStr">
        <is>
          <t>https://www.idealista.com/inmueble/107002142/</t>
        </is>
      </c>
      <c r="E1976" t="n">
        <v>8</v>
      </c>
      <c r="H1976" t="n">
        <v>1400</v>
      </c>
      <c r="J1976" t="inlineStr">
        <is>
          <t>Son Carrio</t>
        </is>
      </c>
      <c r="K1976" t="n">
        <v>60.7</v>
      </c>
      <c r="L1976" t="n">
        <v>52</v>
      </c>
      <c r="M1976" t="n">
        <v>50.4</v>
      </c>
      <c r="N1976" t="n">
        <v>55</v>
      </c>
      <c r="O1976" t="n">
        <v>95</v>
      </c>
      <c r="P1976" t="n">
        <v>77</v>
      </c>
      <c r="Q1976" t="n">
        <v>48.1</v>
      </c>
      <c r="R1976" t="n">
        <v>52</v>
      </c>
      <c r="S1976" t="n">
        <v>2920000</v>
      </c>
      <c r="T1976" t="n">
        <v>2086</v>
      </c>
      <c r="AH1976" t="inlineStr">
        <is>
          <t>Quelle: Idealista</t>
        </is>
      </c>
    </row>
    <row r="1977">
      <c r="A1977" t="n">
        <v>1790</v>
      </c>
      <c r="B1977" t="inlineStr">
        <is>
          <t>Finca rústica</t>
        </is>
      </c>
      <c r="C1977" t="inlineStr">
        <is>
          <t>https://www.idealista.com/inmueble/109900977/</t>
        </is>
      </c>
      <c r="E1977" t="n">
        <v>7</v>
      </c>
      <c r="H1977" t="n">
        <v>545</v>
      </c>
      <c r="J1977" t="inlineStr">
        <is>
          <t>Son Servera</t>
        </is>
      </c>
      <c r="K1977" t="n">
        <v>65.3</v>
      </c>
      <c r="L1977" t="n">
        <v>57</v>
      </c>
      <c r="M1977" t="n">
        <v>60.7</v>
      </c>
      <c r="N1977" t="n">
        <v>60</v>
      </c>
      <c r="O1977" t="n">
        <v>99.5</v>
      </c>
      <c r="P1977" t="n">
        <v>82</v>
      </c>
      <c r="Q1977" t="n">
        <v>58.4</v>
      </c>
      <c r="R1977" t="n">
        <v>57</v>
      </c>
      <c r="S1977" t="n">
        <v>3100000</v>
      </c>
      <c r="T1977" t="n">
        <v>5688</v>
      </c>
      <c r="AH1977" t="inlineStr">
        <is>
          <t>Quelle: Idealista</t>
        </is>
      </c>
    </row>
    <row r="1978">
      <c r="A1978" t="n">
        <v>1791</v>
      </c>
      <c r="B1978" t="inlineStr">
        <is>
          <t>Casa independiente en Polígono Parcela</t>
        </is>
      </c>
      <c r="C1978" t="inlineStr">
        <is>
          <t>https://www.idealista.com/inmueble/109858692/</t>
        </is>
      </c>
      <c r="E1978" t="n">
        <v>6</v>
      </c>
      <c r="H1978" t="n">
        <v>488</v>
      </c>
      <c r="J1978" t="inlineStr">
        <is>
          <t>Son Servera</t>
        </is>
      </c>
      <c r="K1978" t="n">
        <v>65.3</v>
      </c>
      <c r="L1978" t="n">
        <v>57</v>
      </c>
      <c r="M1978" t="n">
        <v>60.7</v>
      </c>
      <c r="N1978" t="n">
        <v>60</v>
      </c>
      <c r="O1978" t="n">
        <v>99.5</v>
      </c>
      <c r="P1978" t="n">
        <v>82</v>
      </c>
      <c r="Q1978" t="n">
        <v>58.4</v>
      </c>
      <c r="R1978" t="n">
        <v>57</v>
      </c>
      <c r="S1978" t="n">
        <v>2655000</v>
      </c>
      <c r="T1978" t="n">
        <v>5441</v>
      </c>
      <c r="AH1978" t="inlineStr">
        <is>
          <t>Quelle: Idealista</t>
        </is>
      </c>
    </row>
    <row r="1979">
      <c r="A1979" t="n">
        <v>1792</v>
      </c>
      <c r="B1979" t="inlineStr">
        <is>
          <t>Finca rústica en Ma-4040</t>
        </is>
      </c>
      <c r="C1979" t="inlineStr">
        <is>
          <t>https://www.idealista.com/inmueble/109503240/</t>
        </is>
      </c>
      <c r="E1979" t="n">
        <v>7</v>
      </c>
      <c r="H1979" t="n">
        <v>545</v>
      </c>
      <c r="J1979" t="inlineStr">
        <is>
          <t>Son Servera</t>
        </is>
      </c>
      <c r="K1979" t="n">
        <v>65.3</v>
      </c>
      <c r="L1979" t="n">
        <v>57</v>
      </c>
      <c r="M1979" t="n">
        <v>60.7</v>
      </c>
      <c r="N1979" t="n">
        <v>60</v>
      </c>
      <c r="O1979" t="n">
        <v>99.5</v>
      </c>
      <c r="P1979" t="n">
        <v>82</v>
      </c>
      <c r="Q1979" t="n">
        <v>58.4</v>
      </c>
      <c r="R1979" t="n">
        <v>57</v>
      </c>
      <c r="S1979" t="n">
        <v>3100000</v>
      </c>
      <c r="T1979" t="n">
        <v>5688</v>
      </c>
      <c r="AH1979" t="inlineStr">
        <is>
          <t>Quelle: Idealista</t>
        </is>
      </c>
    </row>
    <row r="1980">
      <c r="A1980" t="n">
        <v>1793</v>
      </c>
      <c r="B1980" t="inlineStr">
        <is>
          <t>Finca rústica</t>
        </is>
      </c>
      <c r="C1980" t="inlineStr">
        <is>
          <t>https://www.idealista.com/inmueble/109475741/</t>
        </is>
      </c>
      <c r="E1980" t="n">
        <v>6</v>
      </c>
      <c r="H1980" t="n">
        <v>488</v>
      </c>
      <c r="J1980" t="inlineStr">
        <is>
          <t>Son Servera</t>
        </is>
      </c>
      <c r="K1980" t="n">
        <v>65.3</v>
      </c>
      <c r="L1980" t="n">
        <v>57</v>
      </c>
      <c r="M1980" t="n">
        <v>60.7</v>
      </c>
      <c r="N1980" t="n">
        <v>60</v>
      </c>
      <c r="O1980" t="n">
        <v>99.5</v>
      </c>
      <c r="P1980" t="n">
        <v>82</v>
      </c>
      <c r="Q1980" t="n">
        <v>58.4</v>
      </c>
      <c r="R1980" t="n">
        <v>57</v>
      </c>
      <c r="S1980" t="n">
        <v>2655000</v>
      </c>
      <c r="T1980" t="n">
        <v>5441</v>
      </c>
      <c r="AH1980" t="inlineStr">
        <is>
          <t>Quelle: Idealista</t>
        </is>
      </c>
    </row>
    <row r="1981">
      <c r="A1981" t="n">
        <v>1794</v>
      </c>
      <c r="B1981" t="inlineStr">
        <is>
          <t>Casa independiente en Ma-4040</t>
        </is>
      </c>
      <c r="C1981" t="inlineStr">
        <is>
          <t>https://www.idealista.com/inmueble/109463413/</t>
        </is>
      </c>
      <c r="E1981" t="n">
        <v>7</v>
      </c>
      <c r="H1981" t="n">
        <v>500</v>
      </c>
      <c r="J1981" t="inlineStr">
        <is>
          <t>Son Servera</t>
        </is>
      </c>
      <c r="K1981" t="n">
        <v>65.3</v>
      </c>
      <c r="L1981" t="n">
        <v>57</v>
      </c>
      <c r="M1981" t="n">
        <v>60.7</v>
      </c>
      <c r="N1981" t="n">
        <v>60</v>
      </c>
      <c r="O1981" t="n">
        <v>99.5</v>
      </c>
      <c r="P1981" t="n">
        <v>82</v>
      </c>
      <c r="Q1981" t="n">
        <v>58.4</v>
      </c>
      <c r="R1981" t="n">
        <v>57</v>
      </c>
      <c r="S1981" t="n">
        <v>3100000</v>
      </c>
      <c r="T1981" t="n">
        <v>6200</v>
      </c>
      <c r="AH1981" t="inlineStr">
        <is>
          <t>Quelle: Idealista</t>
        </is>
      </c>
    </row>
    <row r="1982">
      <c r="A1982" t="n">
        <v>1795</v>
      </c>
      <c r="B1982" t="inlineStr">
        <is>
          <t>Casa rural</t>
        </is>
      </c>
      <c r="C1982" t="inlineStr">
        <is>
          <t>https://www.idealista.com/inmueble/109246607/</t>
        </is>
      </c>
      <c r="E1982" t="n">
        <v>7</v>
      </c>
      <c r="H1982" t="n">
        <v>545</v>
      </c>
      <c r="J1982" t="inlineStr">
        <is>
          <t>Son Servera</t>
        </is>
      </c>
      <c r="K1982" t="n">
        <v>65.3</v>
      </c>
      <c r="L1982" t="n">
        <v>57</v>
      </c>
      <c r="M1982" t="n">
        <v>60.7</v>
      </c>
      <c r="N1982" t="n">
        <v>60</v>
      </c>
      <c r="O1982" t="n">
        <v>99.5</v>
      </c>
      <c r="P1982" t="n">
        <v>82</v>
      </c>
      <c r="Q1982" t="n">
        <v>58.4</v>
      </c>
      <c r="R1982" t="n">
        <v>57</v>
      </c>
      <c r="S1982" t="n">
        <v>3100000</v>
      </c>
      <c r="T1982" t="n">
        <v>5688</v>
      </c>
      <c r="AH1982" t="inlineStr">
        <is>
          <t>Quelle: Idealista</t>
        </is>
      </c>
    </row>
    <row r="1983">
      <c r="A1983" t="n">
        <v>1796</v>
      </c>
      <c r="B1983" t="inlineStr">
        <is>
          <t>Casa rural</t>
        </is>
      </c>
      <c r="C1983" t="inlineStr">
        <is>
          <t>https://www.idealista.com/inmueble/107020232/</t>
        </is>
      </c>
      <c r="E1983" t="n">
        <v>7</v>
      </c>
      <c r="H1983" t="n">
        <v>550</v>
      </c>
      <c r="J1983" t="inlineStr">
        <is>
          <t>Son Servera</t>
        </is>
      </c>
      <c r="K1983" t="n">
        <v>65.3</v>
      </c>
      <c r="L1983" t="n">
        <v>57</v>
      </c>
      <c r="M1983" t="n">
        <v>60.7</v>
      </c>
      <c r="N1983" t="n">
        <v>60</v>
      </c>
      <c r="O1983" t="n">
        <v>99.5</v>
      </c>
      <c r="P1983" t="n">
        <v>82</v>
      </c>
      <c r="Q1983" t="n">
        <v>58.4</v>
      </c>
      <c r="R1983" t="n">
        <v>57</v>
      </c>
      <c r="S1983" t="n">
        <v>3100000</v>
      </c>
      <c r="T1983" t="n">
        <v>5636</v>
      </c>
      <c r="AH1983" t="inlineStr">
        <is>
          <t>Quelle: Idealista</t>
        </is>
      </c>
    </row>
    <row r="1984">
      <c r="A1984" t="n">
        <v>1797</v>
      </c>
      <c r="B1984" t="inlineStr">
        <is>
          <t>Casa independiente en Parcela 125, polígono 17 s/n</t>
        </is>
      </c>
      <c r="C1984" t="inlineStr">
        <is>
          <t>https://www.idealista.com/obra-nueva/109050612/</t>
        </is>
      </c>
      <c r="E1984" t="n">
        <v>7</v>
      </c>
      <c r="H1984" t="n">
        <v>545</v>
      </c>
      <c r="J1984" t="inlineStr">
        <is>
          <t>Son Servera</t>
        </is>
      </c>
      <c r="K1984" t="n">
        <v>65.3</v>
      </c>
      <c r="L1984" t="n">
        <v>57</v>
      </c>
      <c r="M1984" t="n">
        <v>60.7</v>
      </c>
      <c r="N1984" t="n">
        <v>60</v>
      </c>
      <c r="O1984" t="n">
        <v>99.5</v>
      </c>
      <c r="P1984" t="n">
        <v>82</v>
      </c>
      <c r="Q1984" t="n">
        <v>58.4</v>
      </c>
      <c r="R1984" t="n">
        <v>57</v>
      </c>
      <c r="S1984" t="n">
        <v>3100000</v>
      </c>
      <c r="T1984" t="n">
        <v>5688</v>
      </c>
      <c r="AH1984" t="inlineStr">
        <is>
          <t>Quelle: Idealista</t>
        </is>
      </c>
    </row>
    <row r="1985">
      <c r="A1985" t="n">
        <v>1798</v>
      </c>
      <c r="B1985" t="inlineStr">
        <is>
          <t>Finca rústica</t>
        </is>
      </c>
      <c r="C1985" t="inlineStr">
        <is>
          <t>https://www.idealista.com/inmueble/104590247/</t>
        </is>
      </c>
      <c r="E1985" t="n">
        <v>6</v>
      </c>
      <c r="H1985" t="n">
        <v>488</v>
      </c>
      <c r="J1985" t="inlineStr">
        <is>
          <t>Son Servera</t>
        </is>
      </c>
      <c r="K1985" t="n">
        <v>65.3</v>
      </c>
      <c r="L1985" t="n">
        <v>57</v>
      </c>
      <c r="M1985" t="n">
        <v>60.7</v>
      </c>
      <c r="N1985" t="n">
        <v>60</v>
      </c>
      <c r="O1985" t="n">
        <v>99.5</v>
      </c>
      <c r="P1985" t="n">
        <v>82</v>
      </c>
      <c r="Q1985" t="n">
        <v>58.4</v>
      </c>
      <c r="R1985" t="n">
        <v>57</v>
      </c>
      <c r="S1985" t="n">
        <v>2655000</v>
      </c>
      <c r="T1985" t="n">
        <v>5441</v>
      </c>
      <c r="AH1985" t="inlineStr">
        <is>
          <t>Quelle: Idealista</t>
        </is>
      </c>
    </row>
    <row r="1986">
      <c r="A1986" t="n">
        <v>1799</v>
      </c>
      <c r="B1986" t="inlineStr">
        <is>
          <t>Casa independiente</t>
        </is>
      </c>
      <c r="C1986" t="inlineStr">
        <is>
          <t>https://www.idealista.com/inmueble/106549455/</t>
        </is>
      </c>
      <c r="E1986" t="n">
        <v>5</v>
      </c>
      <c r="H1986" t="n">
        <v>595</v>
      </c>
      <c r="J1986" t="inlineStr">
        <is>
          <t>Son Servera</t>
        </is>
      </c>
      <c r="K1986" t="n">
        <v>65.3</v>
      </c>
      <c r="L1986" t="n">
        <v>57</v>
      </c>
      <c r="M1986" t="n">
        <v>60.7</v>
      </c>
      <c r="N1986" t="n">
        <v>60</v>
      </c>
      <c r="O1986" t="n">
        <v>99.5</v>
      </c>
      <c r="P1986" t="n">
        <v>82</v>
      </c>
      <c r="Q1986" t="n">
        <v>58.4</v>
      </c>
      <c r="R1986" t="n">
        <v>57</v>
      </c>
      <c r="S1986" t="n">
        <v>2900000</v>
      </c>
      <c r="T1986" t="n">
        <v>4874</v>
      </c>
      <c r="AH1986" t="inlineStr">
        <is>
          <t>Quelle: Idealista</t>
        </is>
      </c>
    </row>
    <row r="1987">
      <c r="A1987" t="n">
        <v>1800</v>
      </c>
      <c r="B1987" t="inlineStr">
        <is>
          <t>Chalet</t>
        </is>
      </c>
      <c r="C1987" t="inlineStr">
        <is>
          <t>https://www.idealista.com/inmueble/102289112/</t>
        </is>
      </c>
      <c r="E1987" t="n">
        <v>7</v>
      </c>
      <c r="H1987" t="n">
        <v>683</v>
      </c>
      <c r="J1987" t="inlineStr">
        <is>
          <t>Son Servera</t>
        </is>
      </c>
      <c r="K1987" t="n">
        <v>65.3</v>
      </c>
      <c r="L1987" t="n">
        <v>57</v>
      </c>
      <c r="M1987" t="n">
        <v>60.7</v>
      </c>
      <c r="N1987" t="n">
        <v>60</v>
      </c>
      <c r="O1987" t="n">
        <v>99.5</v>
      </c>
      <c r="P1987" t="n">
        <v>82</v>
      </c>
      <c r="Q1987" t="n">
        <v>58.4</v>
      </c>
      <c r="R1987" t="n">
        <v>57</v>
      </c>
      <c r="S1987" t="n">
        <v>4900000</v>
      </c>
      <c r="T1987" t="n">
        <v>7174</v>
      </c>
      <c r="AH1987" t="inlineStr">
        <is>
          <t>Quelle: Idealista</t>
        </is>
      </c>
    </row>
    <row r="1988">
      <c r="A1988" t="n">
        <v>1801</v>
      </c>
      <c r="B1988" t="inlineStr">
        <is>
          <t>Casa independiente en Diseminado Pula Ss, 389</t>
        </is>
      </c>
      <c r="C1988" t="inlineStr">
        <is>
          <t>https://www.idealista.com/inmueble/104726138/</t>
        </is>
      </c>
      <c r="E1988" t="n">
        <v>7</v>
      </c>
      <c r="H1988" t="n">
        <v>545</v>
      </c>
      <c r="J1988" t="inlineStr">
        <is>
          <t>Son Servera</t>
        </is>
      </c>
      <c r="K1988" t="n">
        <v>65.3</v>
      </c>
      <c r="L1988" t="n">
        <v>57</v>
      </c>
      <c r="M1988" t="n">
        <v>60.7</v>
      </c>
      <c r="N1988" t="n">
        <v>60</v>
      </c>
      <c r="O1988" t="n">
        <v>99.5</v>
      </c>
      <c r="P1988" t="n">
        <v>82</v>
      </c>
      <c r="Q1988" t="n">
        <v>58.4</v>
      </c>
      <c r="R1988" t="n">
        <v>57</v>
      </c>
      <c r="S1988" t="n">
        <v>3100000</v>
      </c>
      <c r="T1988" t="n">
        <v>5688</v>
      </c>
      <c r="AH1988" t="inlineStr">
        <is>
          <t>Quelle: Idealista</t>
        </is>
      </c>
    </row>
    <row r="1989">
      <c r="A1989" t="n">
        <v>1802</v>
      </c>
      <c r="B1989" t="inlineStr">
        <is>
          <t>Casa rural</t>
        </is>
      </c>
      <c r="C1989" t="inlineStr">
        <is>
          <t>https://www.idealista.com/inmueble/103061195/</t>
        </is>
      </c>
      <c r="E1989" t="n">
        <v>6</v>
      </c>
      <c r="H1989" t="n">
        <v>420</v>
      </c>
      <c r="J1989" t="inlineStr">
        <is>
          <t>Son Servera</t>
        </is>
      </c>
      <c r="K1989" t="n">
        <v>65.3</v>
      </c>
      <c r="L1989" t="n">
        <v>57</v>
      </c>
      <c r="M1989" t="n">
        <v>60.7</v>
      </c>
      <c r="N1989" t="n">
        <v>60</v>
      </c>
      <c r="O1989" t="n">
        <v>99.5</v>
      </c>
      <c r="P1989" t="n">
        <v>82</v>
      </c>
      <c r="Q1989" t="n">
        <v>58.4</v>
      </c>
      <c r="R1989" t="n">
        <v>57</v>
      </c>
      <c r="S1989" t="n">
        <v>2655000</v>
      </c>
      <c r="T1989" t="n">
        <v>6321</v>
      </c>
      <c r="AH1989" t="inlineStr">
        <is>
          <t>Quelle: Idealista</t>
        </is>
      </c>
    </row>
    <row r="1990">
      <c r="A1990" t="n">
        <v>1803</v>
      </c>
      <c r="B1990" t="inlineStr">
        <is>
          <t>Finca rústica en major</t>
        </is>
      </c>
      <c r="C1990" t="inlineStr">
        <is>
          <t>https://www.idealista.com/inmueble/100020040/</t>
        </is>
      </c>
      <c r="E1990" t="n">
        <v>5</v>
      </c>
      <c r="H1990" t="n">
        <v>291</v>
      </c>
      <c r="J1990" t="inlineStr">
        <is>
          <t>Son Servera</t>
        </is>
      </c>
      <c r="K1990" t="n">
        <v>65.3</v>
      </c>
      <c r="L1990" t="n">
        <v>57</v>
      </c>
      <c r="M1990" t="n">
        <v>60.7</v>
      </c>
      <c r="N1990" t="n">
        <v>60</v>
      </c>
      <c r="O1990" t="n">
        <v>99.5</v>
      </c>
      <c r="P1990" t="n">
        <v>82</v>
      </c>
      <c r="Q1990" t="n">
        <v>58.4</v>
      </c>
      <c r="R1990" t="n">
        <v>57</v>
      </c>
      <c r="S1990" t="n">
        <v>3500000</v>
      </c>
      <c r="T1990" t="n">
        <v>12027</v>
      </c>
      <c r="AH1990" t="inlineStr">
        <is>
          <t>Quelle: Idealista</t>
        </is>
      </c>
    </row>
    <row r="1991">
      <c r="A1991" t="n">
        <v>1804</v>
      </c>
      <c r="B1991" t="inlineStr">
        <is>
          <t>Casa independiente</t>
        </is>
      </c>
      <c r="C1991" t="inlineStr">
        <is>
          <t>https://www.idealista.com/inmueble/110450415/</t>
        </is>
      </c>
      <c r="E1991" t="n">
        <v>8</v>
      </c>
      <c r="H1991" t="n">
        <v>830</v>
      </c>
      <c r="J1991" t="inlineStr">
        <is>
          <t>Valldemossa</t>
        </is>
      </c>
      <c r="K1991" t="n">
        <v>27.2</v>
      </c>
      <c r="L1991" t="n">
        <v>32</v>
      </c>
      <c r="M1991" t="n">
        <v>69.90000000000001</v>
      </c>
      <c r="N1991" t="n">
        <v>64</v>
      </c>
      <c r="O1991" t="n">
        <v>45.5</v>
      </c>
      <c r="P1991" t="n">
        <v>44</v>
      </c>
      <c r="Q1991" t="n">
        <v>67.59999999999999</v>
      </c>
      <c r="R1991" t="n">
        <v>61</v>
      </c>
      <c r="S1991" t="n">
        <v>2750000</v>
      </c>
      <c r="T1991" t="n">
        <v>3313</v>
      </c>
      <c r="AH1991" t="inlineStr">
        <is>
          <t>Quelle: Idealista</t>
        </is>
      </c>
    </row>
    <row r="1992">
      <c r="A1992" t="n">
        <v>1805</v>
      </c>
      <c r="B1992" t="inlineStr">
        <is>
          <t>Casa independiente</t>
        </is>
      </c>
      <c r="C1992" t="inlineStr">
        <is>
          <t>https://www.idealista.com/inmueble/109725159/</t>
        </is>
      </c>
      <c r="E1992" t="n">
        <v>5</v>
      </c>
      <c r="H1992" t="n">
        <v>422</v>
      </c>
      <c r="J1992" t="inlineStr">
        <is>
          <t>Valldemossa</t>
        </is>
      </c>
      <c r="K1992" t="n">
        <v>27.2</v>
      </c>
      <c r="L1992" t="n">
        <v>32</v>
      </c>
      <c r="M1992" t="n">
        <v>69.90000000000001</v>
      </c>
      <c r="N1992" t="n">
        <v>64</v>
      </c>
      <c r="O1992" t="n">
        <v>45.5</v>
      </c>
      <c r="P1992" t="n">
        <v>44</v>
      </c>
      <c r="Q1992" t="n">
        <v>67.59999999999999</v>
      </c>
      <c r="R1992" t="n">
        <v>61</v>
      </c>
      <c r="S1992" t="n">
        <v>3700000</v>
      </c>
      <c r="T1992" t="n">
        <v>8768</v>
      </c>
      <c r="AH1992" t="inlineStr">
        <is>
          <t>Quelle: Idealista</t>
        </is>
      </c>
    </row>
    <row r="1993">
      <c r="A1993" t="n">
        <v>1806</v>
      </c>
      <c r="B1993" t="inlineStr">
        <is>
          <t>Casa rural</t>
        </is>
      </c>
      <c r="C1993" t="inlineStr">
        <is>
          <t>https://www.idealista.com/inmueble/109423111/</t>
        </is>
      </c>
      <c r="E1993" t="n">
        <v>7</v>
      </c>
      <c r="H1993" t="n">
        <v>1079</v>
      </c>
      <c r="J1993" t="inlineStr">
        <is>
          <t>Valldemossa</t>
        </is>
      </c>
      <c r="K1993" t="n">
        <v>27.2</v>
      </c>
      <c r="L1993" t="n">
        <v>32</v>
      </c>
      <c r="M1993" t="n">
        <v>69.90000000000001</v>
      </c>
      <c r="N1993" t="n">
        <v>64</v>
      </c>
      <c r="O1993" t="n">
        <v>45.5</v>
      </c>
      <c r="P1993" t="n">
        <v>44</v>
      </c>
      <c r="Q1993" t="n">
        <v>67.59999999999999</v>
      </c>
      <c r="R1993" t="n">
        <v>61</v>
      </c>
      <c r="S1993" t="n">
        <v>3600000</v>
      </c>
      <c r="T1993" t="n">
        <v>3336</v>
      </c>
      <c r="AH1993" t="inlineStr">
        <is>
          <t>Quelle: Idealista</t>
        </is>
      </c>
    </row>
    <row r="1994">
      <c r="A1994" t="n">
        <v>1807</v>
      </c>
      <c r="B1994" t="inlineStr">
        <is>
          <t>Casa independiente</t>
        </is>
      </c>
      <c r="C1994" t="inlineStr">
        <is>
          <t>https://www.idealista.com/inmueble/109242408/</t>
        </is>
      </c>
      <c r="E1994" t="n">
        <v>6</v>
      </c>
      <c r="H1994" t="n">
        <v>755</v>
      </c>
      <c r="J1994" t="inlineStr">
        <is>
          <t>Valldemossa</t>
        </is>
      </c>
      <c r="K1994" t="n">
        <v>27.2</v>
      </c>
      <c r="L1994" t="n">
        <v>32</v>
      </c>
      <c r="M1994" t="n">
        <v>69.90000000000001</v>
      </c>
      <c r="N1994" t="n">
        <v>64</v>
      </c>
      <c r="O1994" t="n">
        <v>45.5</v>
      </c>
      <c r="P1994" t="n">
        <v>44</v>
      </c>
      <c r="Q1994" t="n">
        <v>67.59999999999999</v>
      </c>
      <c r="R1994" t="n">
        <v>61</v>
      </c>
      <c r="S1994" t="n">
        <v>3600000</v>
      </c>
      <c r="T1994" t="n">
        <v>4768</v>
      </c>
      <c r="AH1994" t="inlineStr">
        <is>
          <t>Quelle: Idealista</t>
        </is>
      </c>
    </row>
    <row r="1995">
      <c r="A1995" t="n">
        <v>1808</v>
      </c>
      <c r="B1995" t="inlineStr">
        <is>
          <t>Casa independiente</t>
        </is>
      </c>
      <c r="C1995" t="inlineStr">
        <is>
          <t>https://www.idealista.com/inmueble/108858245/</t>
        </is>
      </c>
      <c r="E1995" t="n">
        <v>5</v>
      </c>
      <c r="H1995" t="n">
        <v>365</v>
      </c>
      <c r="J1995" t="inlineStr">
        <is>
          <t>Valldemossa</t>
        </is>
      </c>
      <c r="K1995" t="n">
        <v>27.2</v>
      </c>
      <c r="L1995" t="n">
        <v>32</v>
      </c>
      <c r="M1995" t="n">
        <v>69.90000000000001</v>
      </c>
      <c r="N1995" t="n">
        <v>64</v>
      </c>
      <c r="O1995" t="n">
        <v>45.5</v>
      </c>
      <c r="P1995" t="n">
        <v>44</v>
      </c>
      <c r="Q1995" t="n">
        <v>67.59999999999999</v>
      </c>
      <c r="R1995" t="n">
        <v>61</v>
      </c>
      <c r="S1995" t="n">
        <v>3700000</v>
      </c>
      <c r="T1995" t="n">
        <v>10137</v>
      </c>
      <c r="AH1995" t="inlineStr">
        <is>
          <t>Quelle: Idealista</t>
        </is>
      </c>
    </row>
    <row r="1996">
      <c r="A1996" t="n">
        <v>1809</v>
      </c>
      <c r="B1996" t="inlineStr">
        <is>
          <t>Casa rural</t>
        </is>
      </c>
      <c r="C1996" t="inlineStr">
        <is>
          <t>https://www.idealista.com/inmueble/108514380/</t>
        </is>
      </c>
      <c r="E1996" t="n">
        <v>7</v>
      </c>
      <c r="H1996" t="n">
        <v>628</v>
      </c>
      <c r="J1996" t="inlineStr">
        <is>
          <t>Valldemossa</t>
        </is>
      </c>
      <c r="K1996" t="n">
        <v>27.2</v>
      </c>
      <c r="L1996" t="n">
        <v>32</v>
      </c>
      <c r="M1996" t="n">
        <v>69.90000000000001</v>
      </c>
      <c r="N1996" t="n">
        <v>64</v>
      </c>
      <c r="O1996" t="n">
        <v>45.5</v>
      </c>
      <c r="P1996" t="n">
        <v>44</v>
      </c>
      <c r="Q1996" t="n">
        <v>67.59999999999999</v>
      </c>
      <c r="R1996" t="n">
        <v>61</v>
      </c>
      <c r="S1996" t="n">
        <v>2600000</v>
      </c>
      <c r="T1996" t="n">
        <v>4140</v>
      </c>
      <c r="AH1996" t="inlineStr">
        <is>
          <t>Quelle: Idealista</t>
        </is>
      </c>
    </row>
    <row r="1997">
      <c r="A1997" t="n">
        <v>1810</v>
      </c>
      <c r="B1997" t="inlineStr">
        <is>
          <t>Chalet</t>
        </is>
      </c>
      <c r="C1997" t="inlineStr">
        <is>
          <t>https://www.idealista.com/inmueble/108037905/</t>
        </is>
      </c>
      <c r="E1997" t="n">
        <v>7</v>
      </c>
      <c r="H1997" t="n">
        <v>1079</v>
      </c>
      <c r="J1997" t="inlineStr">
        <is>
          <t>Valldemossa</t>
        </is>
      </c>
      <c r="K1997" t="n">
        <v>27.2</v>
      </c>
      <c r="L1997" t="n">
        <v>32</v>
      </c>
      <c r="M1997" t="n">
        <v>69.90000000000001</v>
      </c>
      <c r="N1997" t="n">
        <v>64</v>
      </c>
      <c r="O1997" t="n">
        <v>45.5</v>
      </c>
      <c r="P1997" t="n">
        <v>44</v>
      </c>
      <c r="Q1997" t="n">
        <v>67.59999999999999</v>
      </c>
      <c r="R1997" t="n">
        <v>61</v>
      </c>
      <c r="S1997" t="n">
        <v>3750000</v>
      </c>
      <c r="T1997" t="n">
        <v>3475</v>
      </c>
      <c r="AH1997" t="inlineStr">
        <is>
          <t>Quelle: Idealista</t>
        </is>
      </c>
    </row>
    <row r="1998">
      <c r="A1998" t="n">
        <v>1811</v>
      </c>
      <c r="B1998" t="inlineStr">
        <is>
          <t>Casa independiente</t>
        </is>
      </c>
      <c r="C1998" t="inlineStr">
        <is>
          <t>https://www.idealista.com/inmueble/107897135/</t>
        </is>
      </c>
      <c r="E1998" t="n">
        <v>5</v>
      </c>
      <c r="H1998" t="n">
        <v>422</v>
      </c>
      <c r="J1998" t="inlineStr">
        <is>
          <t>Valldemossa</t>
        </is>
      </c>
      <c r="K1998" t="n">
        <v>27.2</v>
      </c>
      <c r="L1998" t="n">
        <v>32</v>
      </c>
      <c r="M1998" t="n">
        <v>69.90000000000001</v>
      </c>
      <c r="N1998" t="n">
        <v>64</v>
      </c>
      <c r="O1998" t="n">
        <v>45.5</v>
      </c>
      <c r="P1998" t="n">
        <v>44</v>
      </c>
      <c r="Q1998" t="n">
        <v>67.59999999999999</v>
      </c>
      <c r="R1998" t="n">
        <v>61</v>
      </c>
      <c r="S1998" t="n">
        <v>3700000</v>
      </c>
      <c r="T1998" t="n">
        <v>8768</v>
      </c>
      <c r="AH1998" t="inlineStr">
        <is>
          <t>Quelle: Idealista</t>
        </is>
      </c>
    </row>
    <row r="1999">
      <c r="A1999" t="n">
        <v>1812</v>
      </c>
      <c r="B1999" t="inlineStr">
        <is>
          <t>Casa independiente</t>
        </is>
      </c>
      <c r="C1999" t="inlineStr">
        <is>
          <t>https://www.idealista.com/inmueble/105718163/</t>
        </is>
      </c>
      <c r="E1999" t="n">
        <v>5</v>
      </c>
      <c r="H1999" t="n">
        <v>422</v>
      </c>
      <c r="J1999" t="inlineStr">
        <is>
          <t>Valldemossa</t>
        </is>
      </c>
      <c r="K1999" t="n">
        <v>27.2</v>
      </c>
      <c r="L1999" t="n">
        <v>32</v>
      </c>
      <c r="M1999" t="n">
        <v>69.90000000000001</v>
      </c>
      <c r="N1999" t="n">
        <v>64</v>
      </c>
      <c r="O1999" t="n">
        <v>45.5</v>
      </c>
      <c r="P1999" t="n">
        <v>44</v>
      </c>
      <c r="Q1999" t="n">
        <v>67.59999999999999</v>
      </c>
      <c r="R1999" t="n">
        <v>61</v>
      </c>
      <c r="S1999" t="n">
        <v>3700000</v>
      </c>
      <c r="T1999" t="n">
        <v>8768</v>
      </c>
      <c r="AH1999" t="inlineStr">
        <is>
          <t>Quelle: Idealista</t>
        </is>
      </c>
    </row>
    <row r="2000">
      <c r="A2000" t="n">
        <v>1813</v>
      </c>
      <c r="B2000" t="inlineStr">
        <is>
          <t>Chalet</t>
        </is>
      </c>
      <c r="C2000" t="inlineStr">
        <is>
          <t>https://www.idealista.com/inmueble/104492281/</t>
        </is>
      </c>
      <c r="E2000" t="n">
        <v>5</v>
      </c>
      <c r="H2000" t="n">
        <v>422</v>
      </c>
      <c r="J2000" t="inlineStr">
        <is>
          <t>Valldemossa</t>
        </is>
      </c>
      <c r="K2000" t="n">
        <v>27.2</v>
      </c>
      <c r="L2000" t="n">
        <v>32</v>
      </c>
      <c r="M2000" t="n">
        <v>69.90000000000001</v>
      </c>
      <c r="N2000" t="n">
        <v>64</v>
      </c>
      <c r="O2000" t="n">
        <v>45.5</v>
      </c>
      <c r="P2000" t="n">
        <v>44</v>
      </c>
      <c r="Q2000" t="n">
        <v>67.59999999999999</v>
      </c>
      <c r="R2000" t="n">
        <v>61</v>
      </c>
      <c r="S2000" t="n">
        <v>3700000</v>
      </c>
      <c r="T2000" t="n">
        <v>8768</v>
      </c>
      <c r="AH2000" t="inlineStr">
        <is>
          <t>Quelle: Idealista</t>
        </is>
      </c>
    </row>
    <row r="2001">
      <c r="A2001" t="n">
        <v>1814</v>
      </c>
      <c r="B2001" t="inlineStr">
        <is>
          <t>Finca rústica</t>
        </is>
      </c>
      <c r="C2001" t="inlineStr">
        <is>
          <t>https://www.idealista.com/inmueble/102819835/</t>
        </is>
      </c>
      <c r="E2001" t="n">
        <v>5</v>
      </c>
      <c r="H2001" t="n">
        <v>384</v>
      </c>
      <c r="J2001" t="inlineStr">
        <is>
          <t>Valldemossa</t>
        </is>
      </c>
      <c r="K2001" t="n">
        <v>27.2</v>
      </c>
      <c r="L2001" t="n">
        <v>32</v>
      </c>
      <c r="M2001" t="n">
        <v>69.90000000000001</v>
      </c>
      <c r="N2001" t="n">
        <v>64</v>
      </c>
      <c r="O2001" t="n">
        <v>45.5</v>
      </c>
      <c r="P2001" t="n">
        <v>44</v>
      </c>
      <c r="Q2001" t="n">
        <v>67.59999999999999</v>
      </c>
      <c r="R2001" t="n">
        <v>61</v>
      </c>
      <c r="S2001" t="n">
        <v>3700000</v>
      </c>
      <c r="T2001" t="n">
        <v>9635</v>
      </c>
      <c r="AH2001" t="inlineStr">
        <is>
          <t>Quelle: Idealista</t>
        </is>
      </c>
    </row>
    <row r="2002">
      <c r="A2002" t="n">
        <v>1815</v>
      </c>
      <c r="B2002" t="inlineStr">
        <is>
          <t>Casa independiente</t>
        </is>
      </c>
      <c r="C2002" t="inlineStr">
        <is>
          <t>https://www.idealista.com/inmueble/40398649/</t>
        </is>
      </c>
      <c r="E2002" t="n">
        <v>9</v>
      </c>
      <c r="H2002" t="n">
        <v>580</v>
      </c>
      <c r="J2002" t="inlineStr">
        <is>
          <t>Valldemossa</t>
        </is>
      </c>
      <c r="K2002" t="n">
        <v>27.2</v>
      </c>
      <c r="L2002" t="n">
        <v>32</v>
      </c>
      <c r="M2002" t="n">
        <v>69.90000000000001</v>
      </c>
      <c r="N2002" t="n">
        <v>64</v>
      </c>
      <c r="O2002" t="n">
        <v>45.5</v>
      </c>
      <c r="P2002" t="n">
        <v>44</v>
      </c>
      <c r="Q2002" t="n">
        <v>67.59999999999999</v>
      </c>
      <c r="R2002" t="n">
        <v>61</v>
      </c>
      <c r="S2002" t="n">
        <v>2335000</v>
      </c>
      <c r="T2002" t="n">
        <v>4026</v>
      </c>
      <c r="AH2002" t="inlineStr">
        <is>
          <t>Quelle: Idealista</t>
        </is>
      </c>
    </row>
    <row r="2003">
      <c r="A2003" t="n">
        <v>1816</v>
      </c>
      <c r="B2003" t="inlineStr">
        <is>
          <t>Finca rústica</t>
        </is>
      </c>
      <c r="C2003" t="inlineStr">
        <is>
          <t>https://www.idealista.com/inmueble/95964503/</t>
        </is>
      </c>
      <c r="E2003" t="n">
        <v>20</v>
      </c>
      <c r="H2003" t="n">
        <v>2947</v>
      </c>
      <c r="J2003" t="inlineStr">
        <is>
          <t>Villafranca de Bonany</t>
        </is>
      </c>
      <c r="K2003" t="n">
        <v>37.1</v>
      </c>
      <c r="L2003" t="n">
        <v>33</v>
      </c>
      <c r="M2003" t="n">
        <v>35.2</v>
      </c>
      <c r="N2003" t="n">
        <v>38</v>
      </c>
      <c r="O2003" t="n">
        <v>71.3</v>
      </c>
      <c r="P2003" t="n">
        <v>57</v>
      </c>
      <c r="Q2003" t="n">
        <v>32.9</v>
      </c>
      <c r="R2003" t="n">
        <v>34</v>
      </c>
      <c r="S2003" t="n">
        <v>2780000</v>
      </c>
      <c r="T2003" t="n">
        <v>943</v>
      </c>
      <c r="AH2003" t="inlineStr">
        <is>
          <t>Quelle: Idealista</t>
        </is>
      </c>
    </row>
    <row r="2004">
      <c r="A2004" t="n">
        <v>1817</v>
      </c>
      <c r="B2004" t="inlineStr">
        <is>
          <t>Finca rústica</t>
        </is>
      </c>
      <c r="C2004" t="inlineStr">
        <is>
          <t>https://www.idealista.com/inmueble/107628401/</t>
        </is>
      </c>
      <c r="E2004" t="n">
        <v>38</v>
      </c>
      <c r="H2004" t="n">
        <v>2947</v>
      </c>
      <c r="J2004" t="inlineStr">
        <is>
          <t>Villafranca de Bonany</t>
        </is>
      </c>
      <c r="K2004" t="n">
        <v>37.1</v>
      </c>
      <c r="L2004" t="n">
        <v>33</v>
      </c>
      <c r="M2004" t="n">
        <v>35.2</v>
      </c>
      <c r="N2004" t="n">
        <v>38</v>
      </c>
      <c r="O2004" t="n">
        <v>71.3</v>
      </c>
      <c r="P2004" t="n">
        <v>57</v>
      </c>
      <c r="Q2004" t="n">
        <v>32.9</v>
      </c>
      <c r="R2004" t="n">
        <v>34</v>
      </c>
      <c r="S2004" t="n">
        <v>5295000</v>
      </c>
      <c r="T2004" t="n">
        <v>1797</v>
      </c>
      <c r="AH2004" t="inlineStr">
        <is>
          <t>Quelle: Idealista</t>
        </is>
      </c>
    </row>
    <row r="2005">
      <c r="A2005" t="n">
        <v>1818</v>
      </c>
      <c r="B2005" t="inlineStr">
        <is>
          <t>Finca rústica</t>
        </is>
      </c>
      <c r="C2005" t="inlineStr">
        <is>
          <t>https://www.idealista.com/inmueble/106625101/</t>
        </is>
      </c>
      <c r="E2005" t="n">
        <v>5</v>
      </c>
      <c r="H2005" t="n">
        <v>430</v>
      </c>
      <c r="J2005" t="inlineStr">
        <is>
          <t>Villafranca de Bonany</t>
        </is>
      </c>
      <c r="K2005" t="n">
        <v>37.1</v>
      </c>
      <c r="L2005" t="n">
        <v>33</v>
      </c>
      <c r="M2005" t="n">
        <v>35.2</v>
      </c>
      <c r="N2005" t="n">
        <v>38</v>
      </c>
      <c r="O2005" t="n">
        <v>71.3</v>
      </c>
      <c r="P2005" t="n">
        <v>57</v>
      </c>
      <c r="Q2005" t="n">
        <v>32.9</v>
      </c>
      <c r="R2005" t="n">
        <v>34</v>
      </c>
      <c r="S2005" t="n">
        <v>2250000</v>
      </c>
      <c r="T2005" t="n">
        <v>5233</v>
      </c>
      <c r="AH2005" t="inlineStr">
        <is>
          <t>Quelle: Idealista</t>
        </is>
      </c>
    </row>
    <row r="2006">
      <c r="A2006" t="n">
        <v>1819</v>
      </c>
      <c r="B2006" t="inlineStr">
        <is>
          <t>Property type</t>
        </is>
      </c>
      <c r="C2006" t="inlineStr">
        <is>
          <t>https://www.green-acres.es/en/blog/living-valencia</t>
        </is>
      </c>
      <c r="E2006" t="n">
        <v>3</v>
      </c>
      <c r="J2006" t="inlineStr">
        <is>
          <t>Mallorca</t>
        </is>
      </c>
      <c r="AH2006" t="inlineStr">
        <is>
          <t>Quelle: Green-Acres</t>
        </is>
      </c>
    </row>
    <row r="2007">
      <c r="A2007" t="n">
        <v>1820</v>
      </c>
      <c r="B2007" t="inlineStr">
        <is>
          <t>New building</t>
        </is>
      </c>
      <c r="C2007" t="inlineStr">
        <is>
          <t>https://english.habitaclia.com//english.habitaclia.com/new_building-province-mallorca.htm</t>
        </is>
      </c>
      <c r="J2007" t="inlineStr">
        <is>
          <t>Mallorca</t>
        </is>
      </c>
      <c r="AH2007" t="inlineStr">
        <is>
          <t>Quelle: Habitaclia</t>
        </is>
      </c>
    </row>
    <row r="2008">
      <c r="A2008" t="n">
        <v>1821</v>
      </c>
      <c r="B2008" t="inlineStr">
        <is>
          <t>Rent</t>
        </is>
      </c>
      <c r="C2008" t="inlineStr">
        <is>
          <t>https://english.habitaclia.com//english.habitaclia.com/rent-province-mallorca.htm</t>
        </is>
      </c>
      <c r="J2008" t="inlineStr">
        <is>
          <t>Mallorca</t>
        </is>
      </c>
      <c r="AH2008" t="inlineStr">
        <is>
          <t>Quelle: Habitaclia</t>
        </is>
      </c>
    </row>
    <row r="2009">
      <c r="A2009" t="n">
        <v>1822</v>
      </c>
      <c r="B2009" t="inlineStr">
        <is>
          <t>Transfer</t>
        </is>
      </c>
      <c r="C2009" t="inlineStr">
        <is>
          <t>https://english.habitaclia.com//english.habitaclia.com/transfer.htm</t>
        </is>
      </c>
      <c r="J2009" t="inlineStr">
        <is>
          <t>Mallorca</t>
        </is>
      </c>
      <c r="AH2009" t="inlineStr">
        <is>
          <t>Quelle: Habitaclia</t>
        </is>
      </c>
    </row>
    <row r="2010">
      <c r="A2010" t="n">
        <v>1823</v>
      </c>
      <c r="B2010" t="inlineStr">
        <is>
          <t>Homes</t>
        </is>
      </c>
      <c r="C2010" t="inlineStr">
        <is>
          <t>https://english.habitaclia.com//english.habitaclia.com/homes-province-mallorca.htm</t>
        </is>
      </c>
      <c r="J2010" t="inlineStr">
        <is>
          <t>Mallorca</t>
        </is>
      </c>
      <c r="AH2010" t="inlineStr">
        <is>
          <t>Quelle: Habitaclia</t>
        </is>
      </c>
    </row>
    <row r="2011">
      <c r="A2011" t="n">
        <v>1824</v>
      </c>
      <c r="B2011" t="inlineStr">
        <is>
          <t>Flats</t>
        </is>
      </c>
      <c r="C2011" t="inlineStr">
        <is>
          <t>https://english.habitaclia.com//english.habitaclia.com/flats-province-mallorca.htm</t>
        </is>
      </c>
      <c r="J2011" t="inlineStr">
        <is>
          <t>Mallorca</t>
        </is>
      </c>
      <c r="AH2011" t="inlineStr">
        <is>
          <t>Quelle: Habitaclia</t>
        </is>
      </c>
    </row>
    <row r="2012">
      <c r="A2012" t="n">
        <v>1825</v>
      </c>
      <c r="B2012" t="inlineStr">
        <is>
          <t>Duplex</t>
        </is>
      </c>
      <c r="C2012" t="inlineStr">
        <is>
          <t>https://english.habitaclia.com//english.habitaclia.com/duplex-province-mallorca.htm</t>
        </is>
      </c>
      <c r="J2012" t="inlineStr">
        <is>
          <t>Mallorca</t>
        </is>
      </c>
      <c r="AH2012" t="inlineStr">
        <is>
          <t>Quelle: Habitaclia</t>
        </is>
      </c>
    </row>
    <row r="2013">
      <c r="A2013" t="n">
        <v>1826</v>
      </c>
      <c r="B2013" t="inlineStr">
        <is>
          <t>Houses</t>
        </is>
      </c>
      <c r="C2013" t="inlineStr">
        <is>
          <t>https://english.habitaclia.com//english.habitaclia.com/houses-province-mallorca.htm</t>
        </is>
      </c>
      <c r="J2013" t="inlineStr">
        <is>
          <t>Mallorca</t>
        </is>
      </c>
      <c r="AH2013" t="inlineStr">
        <is>
          <t>Quelle: Habitaclia</t>
        </is>
      </c>
    </row>
    <row r="2014">
      <c r="A2014" t="n">
        <v>1827</v>
      </c>
      <c r="B2014" t="inlineStr">
        <is>
          <t>Penthouses</t>
        </is>
      </c>
      <c r="C2014" t="inlineStr">
        <is>
          <t>https://english.habitaclia.com//english.habitaclia.com/penthouses-province-mallorca.htm</t>
        </is>
      </c>
      <c r="J2014" t="inlineStr">
        <is>
          <t>Mallorca</t>
        </is>
      </c>
      <c r="AH2014" t="inlineStr">
        <is>
          <t>Quelle: Habitaclia</t>
        </is>
      </c>
    </row>
    <row r="2015">
      <c r="A2015" t="n">
        <v>1828</v>
      </c>
      <c r="B2015" t="inlineStr">
        <is>
          <t>Office spaces</t>
        </is>
      </c>
      <c r="C2015" t="inlineStr">
        <is>
          <t>https://english.habitaclia.com//english.habitaclia.com/office_spaces-province-mallorca.htm</t>
        </is>
      </c>
      <c r="J2015" t="inlineStr">
        <is>
          <t>Mallorca</t>
        </is>
      </c>
      <c r="AH2015" t="inlineStr">
        <is>
          <t>Quelle: Habitaclia</t>
        </is>
      </c>
    </row>
    <row r="2016">
      <c r="A2016" t="n">
        <v>1829</v>
      </c>
      <c r="B2016" t="inlineStr">
        <is>
          <t>Business Premises</t>
        </is>
      </c>
      <c r="C2016" t="inlineStr">
        <is>
          <t>https://english.habitaclia.com//english.habitaclia.com/business_premises-province-mallorca.htm</t>
        </is>
      </c>
      <c r="J2016" t="inlineStr">
        <is>
          <t>Mallorca</t>
        </is>
      </c>
      <c r="AH2016" t="inlineStr">
        <is>
          <t>Quelle: Habitaclia</t>
        </is>
      </c>
    </row>
    <row r="2017">
      <c r="A2017" t="n">
        <v>1830</v>
      </c>
      <c r="B2017" t="inlineStr">
        <is>
          <t>Industrials</t>
        </is>
      </c>
      <c r="C2017" t="inlineStr">
        <is>
          <t>https://english.habitaclia.com//english.habitaclia.com/industrials-province-mallorca.htm</t>
        </is>
      </c>
      <c r="J2017" t="inlineStr">
        <is>
          <t>Mallorca</t>
        </is>
      </c>
      <c r="AH2017" t="inlineStr">
        <is>
          <t>Quelle: Habitaclia</t>
        </is>
      </c>
    </row>
    <row r="2018">
      <c r="A2018" t="n">
        <v>1831</v>
      </c>
      <c r="B2018" t="inlineStr">
        <is>
          <t>Lands and Plots</t>
        </is>
      </c>
      <c r="C2018" t="inlineStr">
        <is>
          <t>https://english.habitaclia.com//english.habitaclia.com/lands_and_plots-province-mallorca.htm</t>
        </is>
      </c>
      <c r="J2018" t="inlineStr">
        <is>
          <t>Mallorca</t>
        </is>
      </c>
      <c r="AH2018" t="inlineStr">
        <is>
          <t>Quelle: Habitaclia</t>
        </is>
      </c>
    </row>
    <row r="2019">
      <c r="A2019" t="n">
        <v>1832</v>
      </c>
      <c r="B2019" t="inlineStr">
        <is>
          <t>Parkings</t>
        </is>
      </c>
      <c r="C2019" t="inlineStr">
        <is>
          <t>https://english.habitaclia.com//english.habitaclia.com/parkings-province-mallorca.htm</t>
        </is>
      </c>
      <c r="J2019" t="inlineStr">
        <is>
          <t>Mallorca</t>
        </is>
      </c>
      <c r="AH2019" t="inlineStr">
        <is>
          <t>Quelle: Habitaclia</t>
        </is>
      </c>
    </row>
    <row r="2020">
      <c r="A2020" t="n">
        <v>1833</v>
      </c>
      <c r="B2020" t="inlineStr">
        <is>
          <t>Investments</t>
        </is>
      </c>
      <c r="C2020" t="inlineStr">
        <is>
          <t>https://english.habitaclia.com//english.habitaclia.com/investments-province-mallorca.htm</t>
        </is>
      </c>
      <c r="J2020" t="inlineStr">
        <is>
          <t>Mallorca</t>
        </is>
      </c>
      <c r="AH2020" t="inlineStr">
        <is>
          <t>Quelle: Habitaclia</t>
        </is>
      </c>
    </row>
    <row r="2021">
      <c r="A2021" t="n">
        <v>1834</v>
      </c>
      <c r="B2021" t="inlineStr">
        <is>
          <t>Unique properties</t>
        </is>
      </c>
      <c r="C2021" t="inlineStr">
        <is>
          <t>https://english.habitaclia.com//english.habitaclia.com/unique_properties-province-mallorca.htm</t>
        </is>
      </c>
      <c r="J2021" t="inlineStr">
        <is>
          <t>Mallorca</t>
        </is>
      </c>
      <c r="AH2021" t="inlineStr">
        <is>
          <t>Quelle: Habitaclia</t>
        </is>
      </c>
    </row>
    <row r="2022">
      <c r="A2022" t="n">
        <v>1835</v>
      </c>
      <c r="B2022" t="inlineStr">
        <is>
          <t>Commercial properties</t>
        </is>
      </c>
      <c r="C2022" t="inlineStr">
        <is>
          <t>https://english.habitaclia.com//english.habitaclia.com/commercial_properties-province-mallorca.htm</t>
        </is>
      </c>
      <c r="J2022" t="inlineStr">
        <is>
          <t>Mallorca</t>
        </is>
      </c>
      <c r="AH2022" t="inlineStr">
        <is>
          <t>Quelle: Habitaclia</t>
        </is>
      </c>
    </row>
    <row r="2023">
      <c r="A2023" t="n">
        <v>1836</v>
      </c>
      <c r="B2023" t="inlineStr">
        <is>
          <t>Post your ad
It´s free!</t>
        </is>
      </c>
      <c r="C2023" t="inlineStr">
        <is>
          <t>https://english.habitaclia.com//english.habitaclia.com/hab_cliente/venderinmueble.htm</t>
        </is>
      </c>
      <c r="J2023" t="inlineStr">
        <is>
          <t>Mallorca</t>
        </is>
      </c>
      <c r="AH2023" t="inlineStr">
        <is>
          <t>Quelle: Habitaclia</t>
        </is>
      </c>
    </row>
    <row r="2024">
      <c r="A2024" t="n">
        <v>1837</v>
      </c>
      <c r="B2024" t="inlineStr">
        <is>
          <t>Contact habitaclia</t>
        </is>
      </c>
      <c r="C2024" t="inlineStr">
        <is>
          <t>https://english.habitaclia.com//english.habitaclia.com/hab_cliente/tuopinion.htm</t>
        </is>
      </c>
      <c r="J2024" t="inlineStr">
        <is>
          <t>Mallorca</t>
        </is>
      </c>
      <c r="AH2024" t="inlineStr">
        <is>
          <t>Quelle: Habitaclia</t>
        </is>
      </c>
    </row>
    <row r="2025">
      <c r="A2025" t="n">
        <v>1838</v>
      </c>
      <c r="B2025" t="inlineStr">
        <is>
          <t>Frequently asked questions</t>
        </is>
      </c>
      <c r="C2025" t="inlineStr">
        <is>
          <t>https://english.habitaclia.com//english.habitaclia.com/hab_cliente/faq.htm</t>
        </is>
      </c>
      <c r="J2025" t="inlineStr">
        <is>
          <t>Mallorca</t>
        </is>
      </c>
      <c r="AH2025" t="inlineStr">
        <is>
          <t>Quelle: Habitaclia</t>
        </is>
      </c>
    </row>
    <row r="2026">
      <c r="A2026" t="n">
        <v>1839</v>
      </c>
      <c r="B2026" t="inlineStr">
        <is>
          <t>Habitaclia Property</t>
        </is>
      </c>
      <c r="C2026" t="inlineStr">
        <is>
          <t>https://english.habitaclia.com//english.habitaclia.com/buy-home-in-mallorca/vistamapa.htm</t>
        </is>
      </c>
      <c r="J2026" t="inlineStr">
        <is>
          <t>Mallorca</t>
        </is>
      </c>
      <c r="AH2026" t="inlineStr">
        <is>
          <t>Quelle: Habitaclia</t>
        </is>
      </c>
    </row>
    <row r="2027">
      <c r="A2027" t="n">
        <v>1840</v>
      </c>
      <c r="B2027" t="inlineStr">
        <is>
          <t>Chalet in Carrer de francesc vidal i sureda 111. 4 chalets obra nueva la bonanova en venta – 4 chale</t>
        </is>
      </c>
      <c r="C2027" t="inlineStr">
        <is>
          <t>https://english.habitaclia.com//english.habitaclia.com/buy-chalet_house-street_de_francesc_vidal_i_sureda_111_la_bonanova-palma_de_mallorca-i11740003998602.htm?f=&amp;geo=pv&amp;from=list&amp;lo=55</t>
        </is>
      </c>
      <c r="E2027" t="n">
        <v>4</v>
      </c>
      <c r="J2027" t="inlineStr">
        <is>
          <t>Mallorca</t>
        </is>
      </c>
      <c r="AH2027" t="inlineStr">
        <is>
          <t>Quelle: Habitaclia</t>
        </is>
      </c>
    </row>
    <row r="2028">
      <c r="A2028" t="n">
        <v>1841</v>
      </c>
      <c r="B2028" t="inlineStr">
        <is>
          <t>Penthouse in Port D´Andratx. Ático con vistas al mar y montañas en exclusivo complejo de puer</t>
        </is>
      </c>
      <c r="C2028" t="inlineStr">
        <is>
          <t>https://english.habitaclia.com//english.habitaclia.com/buy-penthouse-port_d_andratx-andratx-i30150000012065.htm?f=&amp;geo=pv&amp;from=list&amp;lo=55</t>
        </is>
      </c>
      <c r="E2028" t="n">
        <v>2</v>
      </c>
      <c r="J2028" t="inlineStr">
        <is>
          <t>Mallorca</t>
        </is>
      </c>
      <c r="AH2028" t="inlineStr">
        <is>
          <t>Quelle: Habitaclia</t>
        </is>
      </c>
    </row>
    <row r="2029">
      <c r="A2029" t="n">
        <v>1842</v>
      </c>
      <c r="B2029" t="inlineStr">
        <is>
          <t>Chalet in El Terreno. Exclusiva y elegante villa de lujo a los pies del castillo de be</t>
        </is>
      </c>
      <c r="C2029" t="inlineStr">
        <is>
          <t>https://english.habitaclia.com//english.habitaclia.com/buy-chalet_house-el_terreno-palma_de_mallorca-i30150000012036.htm?f=&amp;geo=pv&amp;from=list&amp;lo=55</t>
        </is>
      </c>
      <c r="E2029" t="n">
        <v>5</v>
      </c>
      <c r="J2029" t="inlineStr">
        <is>
          <t>Mallorca</t>
        </is>
      </c>
      <c r="K2029" t="n">
        <v>47.4</v>
      </c>
      <c r="L2029" t="n">
        <v>40</v>
      </c>
      <c r="M2029" t="n">
        <v>51.8</v>
      </c>
      <c r="N2029" t="n">
        <v>55</v>
      </c>
      <c r="O2029" t="n">
        <v>70</v>
      </c>
      <c r="P2029" t="n">
        <v>56</v>
      </c>
      <c r="Q2029" t="n">
        <v>49.5</v>
      </c>
      <c r="R2029" t="n">
        <v>51</v>
      </c>
      <c r="AH2029" t="inlineStr">
        <is>
          <t>Quelle: Habitaclia</t>
        </is>
      </c>
    </row>
    <row r="2030">
      <c r="A2030" t="n">
        <v>1843</v>
      </c>
      <c r="B2030" t="inlineStr">
        <is>
          <t>See all their ads</t>
        </is>
      </c>
      <c r="C2030" t="inlineStr">
        <is>
          <t>https://english.habitaclia.com/real_estate-first_mallorca_30150_1/listacliente.htm?p=I-buy-home-X-X-X-X-X-X-X-X</t>
        </is>
      </c>
      <c r="J2030" t="inlineStr">
        <is>
          <t>Mallorca</t>
        </is>
      </c>
      <c r="AH2030" t="inlineStr">
        <is>
          <t>Quelle: Habitaclia</t>
        </is>
      </c>
    </row>
    <row r="2031">
      <c r="A2031" t="n">
        <v>1844</v>
      </c>
      <c r="B2031" t="inlineStr">
        <is>
          <t>Flat in Los Almendros-Son Rapinya. Piso de 3 habitaciones con balcón en son xigala.</t>
        </is>
      </c>
      <c r="C2031" t="inlineStr">
        <is>
          <t>https://english.habitaclia.com//english.habitaclia.com/buy-flat-los_almendros_son_rapinya-palma_de_mallorca-i14964000001457.htm?f=&amp;geo=pv&amp;from=list&amp;lo=55</t>
        </is>
      </c>
      <c r="E2031" t="n">
        <v>3</v>
      </c>
      <c r="J2031" t="inlineStr">
        <is>
          <t>Mallorca</t>
        </is>
      </c>
      <c r="AH2031" t="inlineStr">
        <is>
          <t>Quelle: Habitaclia</t>
        </is>
      </c>
    </row>
    <row r="2032">
      <c r="A2032" t="n">
        <v>1845</v>
      </c>
      <c r="B2032" t="inlineStr">
        <is>
          <t>Flat in Son Armadams. Magnífico piso con terraza y parking en son espanyoletson armada</t>
        </is>
      </c>
      <c r="C2032" t="inlineStr">
        <is>
          <t>https://english.habitaclia.com//english.habitaclia.com/buy-flat-son_armadams-palma_de_mallorca-i45464000000449.htm?f=&amp;geo=pv&amp;from=list&amp;lo=55</t>
        </is>
      </c>
      <c r="E2032" t="n">
        <v>4</v>
      </c>
      <c r="J2032" t="inlineStr">
        <is>
          <t>Mallorca</t>
        </is>
      </c>
      <c r="AH2032" t="inlineStr">
        <is>
          <t>Quelle: Habitaclia</t>
        </is>
      </c>
    </row>
    <row r="2033">
      <c r="A2033" t="n">
        <v>1846</v>
      </c>
      <c r="B2033" t="inlineStr">
        <is>
          <t>Penthouse in Cales de Mallorca. Ático con solárium privado y vistas en calas de mallorca</t>
        </is>
      </c>
      <c r="C2033" t="inlineStr">
        <is>
          <t>https://english.habitaclia.com//english.habitaclia.com/buy-penthouse-cales_de_mallorca-manacor-i29615004116200.htm?f=&amp;geo=pv&amp;from=list&amp;lo=55</t>
        </is>
      </c>
      <c r="E2033" t="n">
        <v>2</v>
      </c>
      <c r="J2033" t="inlineStr">
        <is>
          <t>Mallorca</t>
        </is>
      </c>
      <c r="AH2033" t="inlineStr">
        <is>
          <t>Quelle: Habitaclia</t>
        </is>
      </c>
    </row>
    <row r="2034">
      <c r="A2034" t="n">
        <v>1847</v>
      </c>
      <c r="B2034" t="inlineStr">
        <is>
          <t>Flat Paseo mallorca. En palma de mallorca</t>
        </is>
      </c>
      <c r="C2034" t="inlineStr">
        <is>
          <t>https://english.habitaclia.com//english.habitaclia.com/buy-flat-camp_d_en_serralta-palma_de_mallorca-i42464000000229.htm?f=&amp;geo=pv&amp;from=list&amp;lo=55</t>
        </is>
      </c>
      <c r="E2034" t="n">
        <v>3</v>
      </c>
      <c r="J2034" t="inlineStr">
        <is>
          <t>Mallorca</t>
        </is>
      </c>
      <c r="AH2034" t="inlineStr">
        <is>
          <t>Quelle: Habitaclia</t>
        </is>
      </c>
    </row>
    <row r="2035">
      <c r="A2035" t="n">
        <v>1848</v>
      </c>
      <c r="B2035" t="inlineStr">
        <is>
          <t>Flat Carrer eivissa. Acogedor, coqueto y elegante apartamento en la cala de portals v</t>
        </is>
      </c>
      <c r="C2035" t="inlineStr">
        <is>
          <t>https://english.habitaclia.com//english.habitaclia.com/buy-flat-sol_de_mallorca-calvia-i10731004366060.htm?f=&amp;geo=pv&amp;from=list&amp;lo=55</t>
        </is>
      </c>
      <c r="E2035" t="n">
        <v>1</v>
      </c>
      <c r="J2035" t="inlineStr">
        <is>
          <t>Mallorca</t>
        </is>
      </c>
      <c r="AH2035" t="inlineStr">
        <is>
          <t>Quelle: Habitaclia</t>
        </is>
      </c>
    </row>
    <row r="2036">
      <c r="A2036" t="n">
        <v>1849</v>
      </c>
      <c r="B2036" t="inlineStr">
        <is>
          <t>Flat Montevideo. Se vende cuarto piso con ascensor reformado en palma.</t>
        </is>
      </c>
      <c r="C2036" t="inlineStr">
        <is>
          <t>https://english.habitaclia.com//english.habitaclia.com/buy-flat-poligon_de_llevant-palma_de_mallorca-i46863000000233.htm?f=&amp;geo=pv&amp;from=list&amp;lo=55</t>
        </is>
      </c>
      <c r="E2036" t="n">
        <v>2</v>
      </c>
      <c r="J2036" t="inlineStr">
        <is>
          <t>Mallorca</t>
        </is>
      </c>
      <c r="AH2036" t="inlineStr">
        <is>
          <t>Quelle: Habitaclia</t>
        </is>
      </c>
    </row>
    <row r="2037">
      <c r="A2037" t="n">
        <v>1850</v>
      </c>
      <c r="B2037" t="inlineStr">
        <is>
          <t>Flat in Porto Pi. Piso en torre pelaires porto pi</t>
        </is>
      </c>
      <c r="C2037" t="inlineStr">
        <is>
          <t>https://english.habitaclia.com//english.habitaclia.com/buy-flat-porto_pi-palma_de_mallorca-i45464000000463.htm?f=&amp;geo=pv&amp;from=list&amp;lo=55</t>
        </is>
      </c>
      <c r="E2037" t="n">
        <v>3</v>
      </c>
      <c r="J2037" t="inlineStr">
        <is>
          <t>Mallorca</t>
        </is>
      </c>
      <c r="AH2037" t="inlineStr">
        <is>
          <t>Quelle: Habitaclia</t>
        </is>
      </c>
    </row>
    <row r="2038">
      <c r="A2038" t="n">
        <v>1851</v>
      </c>
      <c r="B2038" t="inlineStr">
        <is>
          <t>Towny house in Ses Palmeres. Encantadora propiedad pareada en ses palmeres, llucmajor</t>
        </is>
      </c>
      <c r="C2038" t="inlineStr">
        <is>
          <t>https://english.habitaclia.com//english.habitaclia.com/buy-towny_house-ses_palmeres-llucmajor-i29528000000878.htm?f=&amp;geo=pv&amp;from=list&amp;lo=55</t>
        </is>
      </c>
      <c r="E2038" t="n">
        <v>4</v>
      </c>
      <c r="J2038" t="inlineStr">
        <is>
          <t>Mallorca</t>
        </is>
      </c>
      <c r="AH2038" t="inlineStr">
        <is>
          <t>Quelle: Habitaclia</t>
        </is>
      </c>
    </row>
    <row r="2039">
      <c r="A2039" t="n">
        <v>1852</v>
      </c>
      <c r="B2039" t="inlineStr">
        <is>
          <t>Semi detached house in Pollença Poble. Casa en el casco antiguo de pollensa</t>
        </is>
      </c>
      <c r="C2039" t="inlineStr">
        <is>
          <t>https://english.habitaclia.com//english.habitaclia.com/buy-semi_detached_house-pollenca_poble-pollensa-i13823000001143.htm?f=&amp;geo=pv&amp;from=list&amp;lo=55</t>
        </is>
      </c>
      <c r="E2039" t="n">
        <v>3</v>
      </c>
      <c r="J2039" t="inlineStr">
        <is>
          <t>Mallorca</t>
        </is>
      </c>
      <c r="AH2039" t="inlineStr">
        <is>
          <t>Quelle: Habitaclia</t>
        </is>
      </c>
    </row>
    <row r="2040">
      <c r="A2040" t="n">
        <v>1853</v>
      </c>
      <c r="B2040" t="inlineStr">
        <is>
          <t>Flat in Carrer aragó 226. Promoción aragó, 226</t>
        </is>
      </c>
      <c r="C2040" t="inlineStr">
        <is>
          <t>https://english.habitaclia.com//english.habitaclia.com/buy-flat-street_arago_226_es_rafal_vell-palma_de_mallorca-i657004402652.htm?f=&amp;geo=pv&amp;from=list&amp;lo=55</t>
        </is>
      </c>
      <c r="E2040" t="n">
        <v>3</v>
      </c>
      <c r="J2040" t="inlineStr">
        <is>
          <t>Mallorca</t>
        </is>
      </c>
      <c r="AH2040" t="inlineStr">
        <is>
          <t>Quelle: Habitaclia</t>
        </is>
      </c>
    </row>
    <row r="2041">
      <c r="A2041" t="n">
        <v>1854</v>
      </c>
      <c r="B2041" t="inlineStr">
        <is>
          <t>Flat in Gran Via de Colom. Piso obra nueva 2012 a estrenar</t>
        </is>
      </c>
      <c r="C2041" t="inlineStr">
        <is>
          <t>https://english.habitaclia.com//english.habitaclia.com/buy-flat-gran_via_de_colom-inca-i31842000000782.htm?f=&amp;geo=pv&amp;from=list&amp;lo=55</t>
        </is>
      </c>
      <c r="E2041" t="n">
        <v>3</v>
      </c>
      <c r="J2041" t="inlineStr">
        <is>
          <t>Mallorca</t>
        </is>
      </c>
      <c r="AH2041" t="inlineStr">
        <is>
          <t>Quelle: Habitaclia</t>
        </is>
      </c>
    </row>
    <row r="2042">
      <c r="A2042" t="n">
        <v>1855</v>
      </c>
      <c r="B2042" t="inlineStr">
        <is>
          <t>House in Centro. Encantadora vivienda independiente en pleno centro de inca</t>
        </is>
      </c>
      <c r="C2042" t="inlineStr">
        <is>
          <t>https://english.habitaclia.com//english.habitaclia.com/buy-house-centro-inca-i31842000000774.htm?f=&amp;geo=pv&amp;from=list&amp;lo=55</t>
        </is>
      </c>
      <c r="E2042" t="n">
        <v>3</v>
      </c>
      <c r="J2042" t="inlineStr">
        <is>
          <t>Mallorca</t>
        </is>
      </c>
      <c r="AH2042" t="inlineStr">
        <is>
          <t>Quelle: Habitaclia</t>
        </is>
      </c>
    </row>
    <row r="2043">
      <c r="A2043" t="n">
        <v>1856</v>
      </c>
      <c r="B2043" t="inlineStr">
        <is>
          <t>2</t>
        </is>
      </c>
      <c r="C2043" t="inlineStr">
        <is>
          <t>https://english.habitaclia.com//english.habitaclia.com/homes-province-mallorca-1.htm</t>
        </is>
      </c>
      <c r="E2043" t="n">
        <v>4</v>
      </c>
      <c r="J2043" t="inlineStr">
        <is>
          <t>Mallorca</t>
        </is>
      </c>
      <c r="AH2043" t="inlineStr">
        <is>
          <t>Quelle: Habitaclia</t>
        </is>
      </c>
    </row>
    <row r="2044">
      <c r="A2044" t="n">
        <v>1857</v>
      </c>
      <c r="B2044" t="inlineStr">
        <is>
          <t>3</t>
        </is>
      </c>
      <c r="C2044" t="inlineStr">
        <is>
          <t>https://english.habitaclia.com//english.habitaclia.com/homes-province-mallorca-2.htm</t>
        </is>
      </c>
      <c r="E2044" t="n">
        <v>4</v>
      </c>
      <c r="J2044" t="inlineStr">
        <is>
          <t>Mallorca</t>
        </is>
      </c>
      <c r="AH2044" t="inlineStr">
        <is>
          <t>Quelle: Habitaclia</t>
        </is>
      </c>
    </row>
    <row r="2045">
      <c r="A2045" t="n">
        <v>1858</v>
      </c>
      <c r="B2045" t="inlineStr">
        <is>
          <t>4</t>
        </is>
      </c>
      <c r="C2045" t="inlineStr">
        <is>
          <t>https://english.habitaclia.com//english.habitaclia.com/homes-province-mallorca-3.htm</t>
        </is>
      </c>
      <c r="E2045" t="n">
        <v>4</v>
      </c>
      <c r="J2045" t="inlineStr">
        <is>
          <t>Mallorca</t>
        </is>
      </c>
      <c r="AH2045" t="inlineStr">
        <is>
          <t>Quelle: Habitaclia</t>
        </is>
      </c>
    </row>
    <row r="2046">
      <c r="A2046" t="n">
        <v>1859</v>
      </c>
      <c r="B2046" t="inlineStr">
        <is>
          <t>641</t>
        </is>
      </c>
      <c r="C2046" t="inlineStr">
        <is>
          <t>https://english.habitaclia.com//english.habitaclia.com/homes-province-mallorca-640.htm</t>
        </is>
      </c>
      <c r="E2046" t="n">
        <v>4</v>
      </c>
      <c r="J2046" t="inlineStr">
        <is>
          <t>Mallorca</t>
        </is>
      </c>
      <c r="AH2046" t="inlineStr">
        <is>
          <t>Quelle: Habitaclia</t>
        </is>
      </c>
    </row>
    <row r="2047">
      <c r="A2047" t="n">
        <v>1860</v>
      </c>
      <c r="B2047" t="inlineStr">
        <is>
          <t>Real Estates in Mallorca</t>
        </is>
      </c>
      <c r="C2047" t="inlineStr">
        <is>
          <t>https://english.habitaclia.com//english.habitaclia.com/real-estate-in-mallorca/inmobiliarias.htm</t>
        </is>
      </c>
      <c r="E2047" t="n">
        <v>4</v>
      </c>
      <c r="J2047" t="inlineStr">
        <is>
          <t>Mallorca</t>
        </is>
      </c>
      <c r="AH2047" t="inlineStr">
        <is>
          <t>Quelle: Habitaclia</t>
        </is>
      </c>
    </row>
    <row r="2048">
      <c r="A2048" t="n">
        <v>1861</v>
      </c>
      <c r="B2048" t="inlineStr">
        <is>
          <t>Homes of private individuals in Mallorca</t>
        </is>
      </c>
      <c r="C2048" t="inlineStr">
        <is>
          <t>https://english.habitaclia.com//english.habitaclia.com/homes-privateindividuals-province-mallorca.htm</t>
        </is>
      </c>
      <c r="E2048" t="n">
        <v>4</v>
      </c>
      <c r="J2048" t="inlineStr">
        <is>
          <t>Mallorca</t>
        </is>
      </c>
      <c r="AH2048" t="inlineStr">
        <is>
          <t>Quelle: Habitaclia</t>
        </is>
      </c>
    </row>
    <row r="2049">
      <c r="A2049" t="n">
        <v>1862</v>
      </c>
      <c r="B2049" t="inlineStr">
        <is>
          <t>Homes of banks in Mallorca</t>
        </is>
      </c>
      <c r="C2049" t="inlineStr">
        <is>
          <t>https://english.habitaclia.com//english.habitaclia.com/homes-banks-province-mallorca.htm</t>
        </is>
      </c>
      <c r="E2049" t="n">
        <v>4</v>
      </c>
      <c r="J2049" t="inlineStr">
        <is>
          <t>Mallorca</t>
        </is>
      </c>
      <c r="AH2049" t="inlineStr">
        <is>
          <t>Quelle: Habitaclia</t>
        </is>
      </c>
    </row>
    <row r="2050">
      <c r="A2050" t="n">
        <v>1863</v>
      </c>
      <c r="B2050" t="inlineStr">
        <is>
          <t>Homes second hand in Mallorca</t>
        </is>
      </c>
      <c r="C2050" t="inlineStr">
        <is>
          <t>https://english.habitaclia.com//english.habitaclia.com/homes-secondhand-province-mallorca.htm</t>
        </is>
      </c>
      <c r="E2050" t="n">
        <v>4</v>
      </c>
      <c r="J2050" t="inlineStr">
        <is>
          <t>Mallorca</t>
        </is>
      </c>
      <c r="AH2050" t="inlineStr">
        <is>
          <t>Quelle: Habitaclia</t>
        </is>
      </c>
    </row>
    <row r="2051">
      <c r="A2051" t="n">
        <v>1864</v>
      </c>
      <c r="B2051" t="inlineStr">
        <is>
          <t>Homes of private individuals with terrace in Mallorca</t>
        </is>
      </c>
      <c r="C2051" t="inlineStr">
        <is>
          <t>https://english.habitaclia.com//english.habitaclia.com/homes-privateindividuals_terrace-province-mallorca.htm</t>
        </is>
      </c>
      <c r="E2051" t="n">
        <v>4</v>
      </c>
      <c r="J2051" t="inlineStr">
        <is>
          <t>Mallorca</t>
        </is>
      </c>
      <c r="AH2051" t="inlineStr">
        <is>
          <t>Quelle: Habitaclia</t>
        </is>
      </c>
    </row>
    <row r="2052">
      <c r="A2052" t="n">
        <v>1865</v>
      </c>
      <c r="B2052" t="inlineStr">
        <is>
          <t>Homes cheap in Mallorca</t>
        </is>
      </c>
      <c r="C2052" t="inlineStr">
        <is>
          <t>https://english.habitaclia.com//english.habitaclia.com/homes-cheap-province-mallorca.htm</t>
        </is>
      </c>
      <c r="E2052" t="n">
        <v>4</v>
      </c>
      <c r="J2052" t="inlineStr">
        <is>
          <t>Mallorca</t>
        </is>
      </c>
      <c r="AH2052" t="inlineStr">
        <is>
          <t>Quelle: Habitaclia</t>
        </is>
      </c>
    </row>
    <row r="2053">
      <c r="A2053" t="n">
        <v>1866</v>
      </c>
      <c r="B2053" t="inlineStr">
        <is>
          <t>new property</t>
        </is>
      </c>
      <c r="C2053" t="inlineStr">
        <is>
          <t>https://english.habitaclia.com//english.habitaclia.com/homes-newproperty-province-mallorca.htm</t>
        </is>
      </c>
      <c r="E2053" t="n">
        <v>4</v>
      </c>
      <c r="J2053" t="inlineStr">
        <is>
          <t>Mallorca</t>
        </is>
      </c>
      <c r="AH2053" t="inlineStr">
        <is>
          <t>Quelle: Habitaclia</t>
        </is>
      </c>
    </row>
    <row r="2054">
      <c r="A2054" t="n">
        <v>1867</v>
      </c>
      <c r="B2054" t="inlineStr">
        <is>
          <t>bargain prices</t>
        </is>
      </c>
      <c r="C2054" t="inlineStr">
        <is>
          <t>https://english.habitaclia.com//english.habitaclia.com/homes-bargainprices-province-mallorca.htm</t>
        </is>
      </c>
      <c r="E2054" t="n">
        <v>4</v>
      </c>
      <c r="J2054" t="inlineStr">
        <is>
          <t>Mallorca</t>
        </is>
      </c>
      <c r="AH2054" t="inlineStr">
        <is>
          <t>Quelle: Habitaclia</t>
        </is>
      </c>
    </row>
    <row r="2055">
      <c r="A2055" t="n">
        <v>1868</v>
      </c>
      <c r="B2055" t="inlineStr">
        <is>
          <t>with car park</t>
        </is>
      </c>
      <c r="C2055" t="inlineStr">
        <is>
          <t>https://english.habitaclia.com//english.habitaclia.com/homes-carpark-province-mallorca.htm</t>
        </is>
      </c>
      <c r="E2055" t="n">
        <v>4</v>
      </c>
      <c r="J2055" t="inlineStr">
        <is>
          <t>Mallorca</t>
        </is>
      </c>
      <c r="AH2055" t="inlineStr">
        <is>
          <t>Quelle: Habitaclia</t>
        </is>
      </c>
    </row>
    <row r="2056">
      <c r="A2056" t="n">
        <v>1869</v>
      </c>
      <c r="B2056" t="inlineStr">
        <is>
          <t>with swimming pool</t>
        </is>
      </c>
      <c r="C2056" t="inlineStr">
        <is>
          <t>https://english.habitaclia.com//english.habitaclia.com/homes-swimmingpool-province-mallorca.htm</t>
        </is>
      </c>
      <c r="E2056" t="n">
        <v>4</v>
      </c>
      <c r="J2056" t="inlineStr">
        <is>
          <t>Mallorca</t>
        </is>
      </c>
      <c r="AH2056" t="inlineStr">
        <is>
          <t>Quelle: Habitaclia</t>
        </is>
      </c>
    </row>
    <row r="2057">
      <c r="A2057" t="n">
        <v>1870</v>
      </c>
      <c r="B2057" t="inlineStr">
        <is>
          <t>with terrace</t>
        </is>
      </c>
      <c r="C2057" t="inlineStr">
        <is>
          <t>https://english.habitaclia.com//english.habitaclia.com/homes-terrace-province-mallorca.htm</t>
        </is>
      </c>
      <c r="E2057" t="n">
        <v>4</v>
      </c>
      <c r="J2057" t="inlineStr">
        <is>
          <t>Mallorca</t>
        </is>
      </c>
      <c r="AH2057" t="inlineStr">
        <is>
          <t>Quelle: Habitaclia</t>
        </is>
      </c>
    </row>
    <row r="2058">
      <c r="A2058" t="n">
        <v>1871</v>
      </c>
      <c r="B2058" t="inlineStr">
        <is>
          <t>with garden</t>
        </is>
      </c>
      <c r="C2058" t="inlineStr">
        <is>
          <t>https://english.habitaclia.com//english.habitaclia.com/homes-garden-province-mallorca.htm</t>
        </is>
      </c>
      <c r="E2058" t="n">
        <v>4</v>
      </c>
      <c r="J2058" t="inlineStr">
        <is>
          <t>Mallorca</t>
        </is>
      </c>
      <c r="AH2058" t="inlineStr">
        <is>
          <t>Quelle: Habitaclia</t>
        </is>
      </c>
    </row>
    <row r="2059">
      <c r="A2059" t="n">
        <v>1872</v>
      </c>
      <c r="B2059" t="inlineStr">
        <is>
          <t>with lift</t>
        </is>
      </c>
      <c r="C2059" t="inlineStr">
        <is>
          <t>https://english.habitaclia.com//english.habitaclia.com/homes-lift-province-mallorca.htm</t>
        </is>
      </c>
      <c r="E2059" t="n">
        <v>4</v>
      </c>
      <c r="J2059" t="inlineStr">
        <is>
          <t>Mallorca</t>
        </is>
      </c>
      <c r="AH2059" t="inlineStr">
        <is>
          <t>Quelle: Habitaclia</t>
        </is>
      </c>
    </row>
    <row r="2060">
      <c r="A2060" t="n">
        <v>1873</v>
      </c>
      <c r="B2060" t="inlineStr">
        <is>
          <t>with fireplace</t>
        </is>
      </c>
      <c r="C2060" t="inlineStr">
        <is>
          <t>https://english.habitaclia.com//english.habitaclia.com/homes-fireplace-province-mallorca.htm</t>
        </is>
      </c>
      <c r="E2060" t="n">
        <v>4</v>
      </c>
      <c r="J2060" t="inlineStr">
        <is>
          <t>Mallorca</t>
        </is>
      </c>
      <c r="AH2060" t="inlineStr">
        <is>
          <t>Quelle: Habitaclia</t>
        </is>
      </c>
    </row>
    <row r="2061">
      <c r="A2061" t="n">
        <v>1874</v>
      </c>
      <c r="B2061" t="inlineStr">
        <is>
          <t>near public transport</t>
        </is>
      </c>
      <c r="C2061" t="inlineStr">
        <is>
          <t>https://english.habitaclia.com//english.habitaclia.com/homes-neartransport-province-mallorca.htm</t>
        </is>
      </c>
      <c r="E2061" t="n">
        <v>4</v>
      </c>
      <c r="J2061" t="inlineStr">
        <is>
          <t>Mallorca</t>
        </is>
      </c>
      <c r="AH2061" t="inlineStr">
        <is>
          <t>Quelle: Habitaclia</t>
        </is>
      </c>
    </row>
    <row r="2062">
      <c r="A2062" t="n">
        <v>1875</v>
      </c>
      <c r="B2062" t="inlineStr">
        <is>
          <t>Press room</t>
        </is>
      </c>
      <c r="C2062" t="inlineStr">
        <is>
          <t>https://english.habitaclia.com//english.habitaclia.com/about/press-room.htm</t>
        </is>
      </c>
      <c r="J2062" t="inlineStr">
        <is>
          <t>Mallorca</t>
        </is>
      </c>
      <c r="AH2062" t="inlineStr">
        <is>
          <t>Quelle: Habitaclia</t>
        </is>
      </c>
    </row>
    <row r="2063">
      <c r="A2063" t="n">
        <v>1876</v>
      </c>
      <c r="B2063" t="inlineStr">
        <is>
          <t>Habitaclia alerts</t>
        </is>
      </c>
      <c r="C2063" t="inlineStr">
        <is>
          <t>https://english.habitaclia.com//english.habitaclia.com/hab_usuarios/infoalertas.htm</t>
        </is>
      </c>
      <c r="J2063" t="inlineStr">
        <is>
          <t>Mallorca</t>
        </is>
      </c>
      <c r="AH2063" t="inlineStr">
        <is>
          <t>Quelle: Habitaclia</t>
        </is>
      </c>
    </row>
    <row r="2064">
      <c r="A2064" t="n">
        <v>1877</v>
      </c>
      <c r="B2064" t="inlineStr">
        <is>
          <t>Work with us</t>
        </is>
      </c>
      <c r="C2064" t="inlineStr">
        <is>
          <t>https://english.habitaclia.com//english.habitaclia.com/about/work-with-us.htm</t>
        </is>
      </c>
      <c r="J2064" t="inlineStr">
        <is>
          <t>Mallorca</t>
        </is>
      </c>
      <c r="AH2064" t="inlineStr">
        <is>
          <t>Quelle: Habitaclia</t>
        </is>
      </c>
    </row>
    <row r="2065">
      <c r="A2065" t="n">
        <v>1878</v>
      </c>
      <c r="B2065" t="inlineStr">
        <is>
          <t>New build</t>
        </is>
      </c>
      <c r="C2065" t="inlineStr">
        <is>
          <t>https://english.habitaclia.com//english.habitaclia.com/new_building.htm</t>
        </is>
      </c>
      <c r="J2065" t="inlineStr">
        <is>
          <t>Mallorca</t>
        </is>
      </c>
      <c r="AH2065" t="inlineStr">
        <is>
          <t>Quelle: Habitaclia</t>
        </is>
      </c>
    </row>
    <row r="2066">
      <c r="A2066" t="n">
        <v>1879</v>
      </c>
      <c r="B2066" t="inlineStr">
        <is>
          <t>Rentals</t>
        </is>
      </c>
      <c r="C2066" t="inlineStr">
        <is>
          <t>https://english.habitaclia.com//english.habitaclia.com/rent.htm</t>
        </is>
      </c>
      <c r="J2066" t="inlineStr">
        <is>
          <t>Mallorca</t>
        </is>
      </c>
      <c r="AH2066" t="inlineStr">
        <is>
          <t>Quelle: Habitaclia</t>
        </is>
      </c>
    </row>
    <row r="2067">
      <c r="A2067" t="n">
        <v>1880</v>
      </c>
      <c r="B2067" t="inlineStr">
        <is>
          <t>Flats Bancs</t>
        </is>
      </c>
      <c r="C2067" t="inlineStr">
        <is>
          <t>https://english.habitaclia.com//english.habitaclia.com/flats-banks.htm</t>
        </is>
      </c>
      <c r="J2067" t="inlineStr">
        <is>
          <t>Mallorca</t>
        </is>
      </c>
      <c r="AH2067" t="inlineStr">
        <is>
          <t>Quelle: Habitaclia</t>
        </is>
      </c>
    </row>
    <row r="2068">
      <c r="A2068" t="n">
        <v>1881</v>
      </c>
      <c r="B2068" t="inlineStr">
        <is>
          <t>Costs calculation</t>
        </is>
      </c>
      <c r="C2068" t="inlineStr">
        <is>
          <t>https://english.habitaclia.com//english.habitaclia.com/simulador/calcgastos.htm</t>
        </is>
      </c>
      <c r="J2068" t="inlineStr">
        <is>
          <t>Mallorca</t>
        </is>
      </c>
      <c r="AH2068" t="inlineStr">
        <is>
          <t>Quelle: Habitaclia</t>
        </is>
      </c>
    </row>
    <row r="2069">
      <c r="A2069" t="n">
        <v>1882</v>
      </c>
      <c r="B2069" t="inlineStr">
        <is>
          <t>Tax savings</t>
        </is>
      </c>
      <c r="C2069" t="inlineStr">
        <is>
          <t>https://english.habitaclia.com//english.habitaclia.com/simulador/ahorrofiscal.htm</t>
        </is>
      </c>
      <c r="J2069" t="inlineStr">
        <is>
          <t>Mallorca</t>
        </is>
      </c>
      <c r="AH2069" t="inlineStr">
        <is>
          <t>Quelle: Habitaclia</t>
        </is>
      </c>
    </row>
    <row r="2070">
      <c r="A2070" t="n">
        <v>1883</v>
      </c>
      <c r="B2070" t="inlineStr">
        <is>
          <t>Your website</t>
        </is>
      </c>
      <c r="C2070" t="inlineStr">
        <is>
          <t>https://english.habitaclia.com//english.habitaclia.com/hab_cliente/profesionales.htm</t>
        </is>
      </c>
      <c r="J2070" t="inlineStr">
        <is>
          <t>Mallorca</t>
        </is>
      </c>
      <c r="AH2070" t="inlineStr">
        <is>
          <t>Quelle: Habitaclia</t>
        </is>
      </c>
    </row>
    <row r="2071">
      <c r="A2071" t="n">
        <v>1884</v>
      </c>
      <c r="B2071" t="inlineStr">
        <is>
          <t>Castellano</t>
        </is>
      </c>
      <c r="C2071" t="inlineStr">
        <is>
          <t>https://www.habitaclia.com/viviendas-provincia-mallorca.htm</t>
        </is>
      </c>
      <c r="J2071" t="inlineStr">
        <is>
          <t>Mallorca</t>
        </is>
      </c>
      <c r="AH2071" t="inlineStr">
        <is>
          <t>Quelle: Habitaclia</t>
        </is>
      </c>
    </row>
    <row r="2072">
      <c r="A2072" t="n">
        <v>1885</v>
      </c>
      <c r="B2072" t="inlineStr">
        <is>
          <t>Català</t>
        </is>
      </c>
      <c r="C2072" t="inlineStr">
        <is>
          <t>https://english.habitaclia.com//catala.habitaclia.com/habitatges-provincia-mallorca.htm</t>
        </is>
      </c>
      <c r="J2072" t="inlineStr">
        <is>
          <t>Mallorca</t>
        </is>
      </c>
      <c r="AH2072" t="inlineStr">
        <is>
          <t>Quelle: Habitaclia</t>
        </is>
      </c>
    </row>
    <row r="2073">
      <c r="A2073" t="n">
        <v>1886</v>
      </c>
      <c r="B2073" t="inlineStr">
        <is>
          <t>Français</t>
        </is>
      </c>
      <c r="C2073" t="inlineStr">
        <is>
          <t>https://english.habitaclia.com//francaise.habitaclia.com/logements-province-mallorca.htm</t>
        </is>
      </c>
      <c r="J2073" t="inlineStr">
        <is>
          <t>Mallorca</t>
        </is>
      </c>
      <c r="AH2073" t="inlineStr">
        <is>
          <t>Quelle: Habitaclia</t>
        </is>
      </c>
    </row>
    <row r="2074">
      <c r="A2074" t="n">
        <v>1887</v>
      </c>
      <c r="B2074" t="inlineStr">
        <is>
          <t>Deutsch</t>
        </is>
      </c>
      <c r="C2074" t="inlineStr">
        <is>
          <t>https://english.habitaclia.com//deutsch.habitaclia.com/wohnungen-provinz-mallorca.htm</t>
        </is>
      </c>
      <c r="J2074" t="inlineStr">
        <is>
          <t>Mallorca</t>
        </is>
      </c>
      <c r="AH2074" t="inlineStr">
        <is>
          <t>Quelle: Habitaclia</t>
        </is>
      </c>
    </row>
    <row r="2075">
      <c r="A2075" t="n">
        <v>1888</v>
      </c>
      <c r="B2075" t="inlineStr">
        <is>
          <t>Italiano</t>
        </is>
      </c>
      <c r="C2075" t="inlineStr">
        <is>
          <t>https://english.habitaclia.com//italiano.habitaclia.com/abitazioni-province-mallorca.htm</t>
        </is>
      </c>
      <c r="J2075" t="inlineStr">
        <is>
          <t>Mallorca</t>
        </is>
      </c>
      <c r="AH2075" t="inlineStr">
        <is>
          <t>Quelle: Habitaclia</t>
        </is>
      </c>
    </row>
    <row r="2076">
      <c r="A2076" t="n">
        <v>1889</v>
      </c>
      <c r="B2076" t="inlineStr">
        <is>
          <t>Barcelona</t>
        </is>
      </c>
      <c r="C2076" t="inlineStr">
        <is>
          <t>https://english.habitaclia.com//english.habitaclia.com/barcelona/flats-houses-barcelona-i.htm</t>
        </is>
      </c>
      <c r="J2076" t="inlineStr">
        <is>
          <t>Mallorca</t>
        </is>
      </c>
      <c r="AH2076" t="inlineStr">
        <is>
          <t>Quelle: Habitaclia</t>
        </is>
      </c>
    </row>
    <row r="2077">
      <c r="A2077" t="n">
        <v>1890</v>
      </c>
      <c r="B2077" t="inlineStr">
        <is>
          <t>Girona</t>
        </is>
      </c>
      <c r="C2077" t="inlineStr">
        <is>
          <t>https://english.habitaclia.com//english.habitaclia.com/girona/flats-houses-girona-i.htm</t>
        </is>
      </c>
      <c r="J2077" t="inlineStr">
        <is>
          <t>Mallorca</t>
        </is>
      </c>
      <c r="AH2077" t="inlineStr">
        <is>
          <t>Quelle: Habitaclia</t>
        </is>
      </c>
    </row>
    <row r="2078">
      <c r="A2078" t="n">
        <v>1891</v>
      </c>
      <c r="B2078" t="inlineStr">
        <is>
          <t>Tarragona</t>
        </is>
      </c>
      <c r="C2078" t="inlineStr">
        <is>
          <t>https://english.habitaclia.com//english.habitaclia.com/tarragona/flats-houses-tarragona-i.htm</t>
        </is>
      </c>
      <c r="J2078" t="inlineStr">
        <is>
          <t>Mallorca</t>
        </is>
      </c>
      <c r="AH2078" t="inlineStr">
        <is>
          <t>Quelle: Habitaclia</t>
        </is>
      </c>
    </row>
    <row r="2079">
      <c r="A2079" t="n">
        <v>1892</v>
      </c>
      <c r="B2079" t="inlineStr">
        <is>
          <t>Lleida</t>
        </is>
      </c>
      <c r="C2079" t="inlineStr">
        <is>
          <t>https://english.habitaclia.com//english.habitaclia.com/lleida/flats-houses-lleida-i.htm</t>
        </is>
      </c>
      <c r="J2079" t="inlineStr">
        <is>
          <t>Mallorca</t>
        </is>
      </c>
      <c r="AH2079" t="inlineStr">
        <is>
          <t>Quelle: Habitaclia</t>
        </is>
      </c>
    </row>
    <row r="2080">
      <c r="A2080" t="n">
        <v>1893</v>
      </c>
      <c r="B2080" t="inlineStr">
        <is>
          <t>Mallorca</t>
        </is>
      </c>
      <c r="C2080" t="inlineStr">
        <is>
          <t>https://english.habitaclia.com//english.habitaclia.com/mallorca/flats-houses-mallorca-i.htm</t>
        </is>
      </c>
      <c r="J2080" t="inlineStr">
        <is>
          <t>Mallorca</t>
        </is>
      </c>
      <c r="AH2080" t="inlineStr">
        <is>
          <t>Quelle: Habitaclia</t>
        </is>
      </c>
    </row>
    <row r="2081">
      <c r="A2081" t="n">
        <v>1894</v>
      </c>
      <c r="B2081" t="inlineStr">
        <is>
          <t>Menorca</t>
        </is>
      </c>
      <c r="C2081" t="inlineStr">
        <is>
          <t>https://english.habitaclia.com//english.habitaclia.com/menorca/flats-houses-menorca-i.htm</t>
        </is>
      </c>
      <c r="J2081" t="inlineStr">
        <is>
          <t>Mallorca</t>
        </is>
      </c>
      <c r="AH2081" t="inlineStr">
        <is>
          <t>Quelle: Habitaclia</t>
        </is>
      </c>
    </row>
    <row r="2082">
      <c r="A2082" t="n">
        <v>1895</v>
      </c>
      <c r="B2082" t="inlineStr">
        <is>
          <t>Ibiza</t>
        </is>
      </c>
      <c r="C2082" t="inlineStr">
        <is>
          <t>https://english.habitaclia.com//english.habitaclia.com/ibiza/flats-houses-ibiza-i.htm</t>
        </is>
      </c>
      <c r="J2082" t="inlineStr">
        <is>
          <t>Mallorca</t>
        </is>
      </c>
      <c r="AH2082" t="inlineStr">
        <is>
          <t>Quelle: Habitaclia</t>
        </is>
      </c>
    </row>
    <row r="2083">
      <c r="A2083" t="n">
        <v>1896</v>
      </c>
      <c r="B2083" t="inlineStr">
        <is>
          <t>Andorra</t>
        </is>
      </c>
      <c r="C2083" t="inlineStr">
        <is>
          <t>https://english.habitaclia.com//english.habitaclia.com/andorra/flats-houses-andorra-i.htm</t>
        </is>
      </c>
      <c r="J2083" t="inlineStr">
        <is>
          <t>Mallorca</t>
        </is>
      </c>
      <c r="AH2083" t="inlineStr">
        <is>
          <t>Quelle: Habitaclia</t>
        </is>
      </c>
    </row>
    <row r="2084">
      <c r="A2084" t="n">
        <v>1897</v>
      </c>
      <c r="B2084" t="inlineStr">
        <is>
          <t>Valencia</t>
        </is>
      </c>
      <c r="C2084" t="inlineStr">
        <is>
          <t>https://english.habitaclia.com//english.habitaclia.com/valencia/flats-houses-valencia-i.htm</t>
        </is>
      </c>
      <c r="J2084" t="inlineStr">
        <is>
          <t>Mallorca</t>
        </is>
      </c>
      <c r="AH2084" t="inlineStr">
        <is>
          <t>Quelle: Habitaclia</t>
        </is>
      </c>
    </row>
    <row r="2085">
      <c r="A2085" t="n">
        <v>1898</v>
      </c>
      <c r="B2085" t="inlineStr">
        <is>
          <t>Castellón</t>
        </is>
      </c>
      <c r="C2085" t="inlineStr">
        <is>
          <t>https://english.habitaclia.com//english.habitaclia.com/castellon/flats-houses-castellon-i.htm</t>
        </is>
      </c>
      <c r="J2085" t="inlineStr">
        <is>
          <t>Mallorca</t>
        </is>
      </c>
      <c r="AH2085" t="inlineStr">
        <is>
          <t>Quelle: Habitaclia</t>
        </is>
      </c>
    </row>
    <row r="2086">
      <c r="A2086" t="n">
        <v>1899</v>
      </c>
      <c r="B2086" t="inlineStr">
        <is>
          <t>Alicante</t>
        </is>
      </c>
      <c r="C2086" t="inlineStr">
        <is>
          <t>https://english.habitaclia.com//english.habitaclia.com/alicante/flats-houses-alicante-i.htm</t>
        </is>
      </c>
      <c r="J2086" t="inlineStr">
        <is>
          <t>Mallorca</t>
        </is>
      </c>
      <c r="AH2086" t="inlineStr">
        <is>
          <t>Quelle: Habitaclia</t>
        </is>
      </c>
    </row>
    <row r="2087">
      <c r="A2087" t="n">
        <v>1900</v>
      </c>
      <c r="B2087" t="inlineStr">
        <is>
          <t>Rent Industrial buildings Mallorca</t>
        </is>
      </c>
      <c r="C2087" t="inlineStr">
        <is>
          <t>https://english.habitaclia.com//english.habitaclia.com/rent-industrial_buildings-province-mallorca.htm</t>
        </is>
      </c>
      <c r="J2087" t="inlineStr">
        <is>
          <t>Mallorca</t>
        </is>
      </c>
      <c r="AH2087" t="inlineStr">
        <is>
          <t>Quelle: Habitaclia</t>
        </is>
      </c>
    </row>
    <row r="2088">
      <c r="A2088" t="n">
        <v>1901</v>
      </c>
      <c r="B2088" t="inlineStr">
        <is>
          <t>Industrial plots Mallorca</t>
        </is>
      </c>
      <c r="C2088" t="inlineStr">
        <is>
          <t>https://english.habitaclia.com//english.habitaclia.com/industrial_plots-province-mallorca.htm</t>
        </is>
      </c>
      <c r="J2088" t="inlineStr">
        <is>
          <t>Mallorca</t>
        </is>
      </c>
      <c r="AH2088" t="inlineStr">
        <is>
          <t>Quelle: Habitaclia</t>
        </is>
      </c>
    </row>
    <row r="2089">
      <c r="A2089" t="n">
        <v>1902</v>
      </c>
      <c r="B2089" t="inlineStr">
        <is>
          <t>Rent Car parkings Mallorca</t>
        </is>
      </c>
      <c r="C2089" t="inlineStr">
        <is>
          <t>https://english.habitaclia.com//english.habitaclia.com/rent-car_parkings-province-mallorca.htm</t>
        </is>
      </c>
      <c r="J2089" t="inlineStr">
        <is>
          <t>Mallorca</t>
        </is>
      </c>
      <c r="AH2089" t="inlineStr">
        <is>
          <t>Quelle: Habitaclia</t>
        </is>
      </c>
    </row>
    <row r="2090">
      <c r="A2090" t="n">
        <v>1903</v>
      </c>
      <c r="B2090" t="inlineStr">
        <is>
          <t>Industrial buildings Mallorca</t>
        </is>
      </c>
      <c r="C2090" t="inlineStr">
        <is>
          <t>https://english.habitaclia.com//english.habitaclia.com/industrial_buildings-province-mallorca.htm</t>
        </is>
      </c>
      <c r="J2090" t="inlineStr">
        <is>
          <t>Mallorca</t>
        </is>
      </c>
      <c r="AH2090" t="inlineStr">
        <is>
          <t>Quelle: Habitaclia</t>
        </is>
      </c>
    </row>
    <row r="2091">
      <c r="A2091" t="n">
        <v>1904</v>
      </c>
      <c r="B2091" t="inlineStr">
        <is>
          <t>Akitivitäten</t>
        </is>
      </c>
      <c r="C2091" t="inlineStr">
        <is>
          <t>https://immobilien.abc-mallorca.de//www.abc-mallorca.de/aktivitaeten/</t>
        </is>
      </c>
      <c r="J2091" t="inlineStr">
        <is>
          <t>Mallorca</t>
        </is>
      </c>
      <c r="AH2091" t="inlineStr">
        <is>
          <t>Quelle: abc-mallorca</t>
        </is>
      </c>
    </row>
    <row r="2092">
      <c r="A2092" t="n">
        <v>1905</v>
      </c>
      <c r="B2092" t="inlineStr">
        <is>
          <t>Restaurants</t>
        </is>
      </c>
      <c r="C2092" t="inlineStr">
        <is>
          <t>https://immobilien.abc-mallorca.de//www.abc-mallorca.de/restaurants/</t>
        </is>
      </c>
      <c r="J2092" t="inlineStr">
        <is>
          <t>Mallorca</t>
        </is>
      </c>
      <c r="AH2092" t="inlineStr">
        <is>
          <t>Quelle: abc-mallorca</t>
        </is>
      </c>
    </row>
    <row r="2093">
      <c r="A2093" t="n">
        <v>1906</v>
      </c>
      <c r="B2093" t="inlineStr">
        <is>
          <t>Villen mit Meerblick</t>
        </is>
      </c>
      <c r="C2093" t="inlineStr">
        <is>
          <t>https://immobilien.abc-mallorca.de/suchmaschine?SelectedPropertyFeatures=79&amp;SelectedPropertyTypes=2</t>
        </is>
      </c>
      <c r="J2093" t="inlineStr">
        <is>
          <t>Mallorca</t>
        </is>
      </c>
      <c r="AH2093" t="inlineStr">
        <is>
          <t>Quelle: abc-mallorca</t>
        </is>
      </c>
    </row>
    <row r="2094">
      <c r="A2094" t="n">
        <v>1907</v>
      </c>
      <c r="B2094" t="inlineStr">
        <is>
          <t>Umwerfende Appartments</t>
        </is>
      </c>
      <c r="C2094" t="inlineStr">
        <is>
          <t>https://immobilien.abc-mallorca.de/suchmaschine?SelectedPropertyTypes=3</t>
        </is>
      </c>
      <c r="J2094" t="inlineStr">
        <is>
          <t>Mallorca</t>
        </is>
      </c>
      <c r="AH2094" t="inlineStr">
        <is>
          <t>Quelle: abc-mallorca</t>
        </is>
      </c>
    </row>
    <row r="2095">
      <c r="A2095" t="n">
        <v>1908</v>
      </c>
      <c r="B2095" t="inlineStr">
        <is>
          <t>Inspirierende Landhäuser</t>
        </is>
      </c>
      <c r="C2095" t="inlineStr">
        <is>
          <t>https://immobilien.abc-mallorca.de/suchmaschine?SelectedPropertyTypes=4</t>
        </is>
      </c>
      <c r="J2095" t="inlineStr">
        <is>
          <t>Mallorca</t>
        </is>
      </c>
      <c r="AH2095" t="inlineStr">
        <is>
          <t>Quelle: abc-mallorca</t>
        </is>
      </c>
    </row>
    <row r="2096">
      <c r="A2096" t="n">
        <v>1909</v>
      </c>
      <c r="B2096" t="inlineStr">
        <is>
          <t>Immobilien auf Mallorca</t>
        </is>
      </c>
      <c r="C2096" t="inlineStr">
        <is>
          <t>https://immobilien.abc-mallorca.de/suchmaschine?SelectedSaleFrequency=1</t>
        </is>
      </c>
      <c r="J2096" t="inlineStr">
        <is>
          <t>Mallorca</t>
        </is>
      </c>
      <c r="AH2096" t="inlineStr">
        <is>
          <t>Quelle: abc-mallorca</t>
        </is>
      </c>
    </row>
    <row r="2097">
      <c r="A2097" t="n">
        <v>1910</v>
      </c>
      <c r="B2097" t="inlineStr">
        <is>
          <t>Mallorcas Villen</t>
        </is>
      </c>
      <c r="C2097" t="inlineStr">
        <is>
          <t>https://immobilien.abc-mallorca.de/suchmaschine?SelectedPropertyTypes=2</t>
        </is>
      </c>
      <c r="J2097" t="inlineStr">
        <is>
          <t>Mallorca</t>
        </is>
      </c>
      <c r="AH2097" t="inlineStr">
        <is>
          <t>Quelle: abc-mallorca</t>
        </is>
      </c>
    </row>
    <row r="2098">
      <c r="A2098" t="n">
        <v>1911</v>
      </c>
      <c r="B2098" t="inlineStr">
        <is>
          <t>Fincas auf Mallorca</t>
        </is>
      </c>
      <c r="C2098" t="inlineStr">
        <is>
          <t>https://immobilien.abc-mallorca.de/suchmaschine?SelectedSaleFrequency=1&amp;SelectedPropertyTypes=4</t>
        </is>
      </c>
      <c r="J2098" t="inlineStr">
        <is>
          <t>Mallorca</t>
        </is>
      </c>
      <c r="AH2098" t="inlineStr">
        <is>
          <t>Quelle: abc-mallorca</t>
        </is>
      </c>
    </row>
    <row r="2099">
      <c r="A2099" t="n">
        <v>1912</v>
      </c>
      <c r="B2099" t="inlineStr">
        <is>
          <t>Leben &amp; Wohnen auf Mallorca</t>
        </is>
      </c>
      <c r="C2099" t="inlineStr">
        <is>
          <t>https://www.abc-mallorca.com/living-mallorca/</t>
        </is>
      </c>
      <c r="J2099" t="inlineStr">
        <is>
          <t>Mallorca</t>
        </is>
      </c>
      <c r="AH2099" t="inlineStr">
        <is>
          <t>Quelle: abc-mallorca</t>
        </is>
      </c>
    </row>
    <row r="2100">
      <c r="A2100" t="n">
        <v>1913</v>
      </c>
      <c r="B2100" t="inlineStr">
        <is>
          <t>Mallorcas Top-Orte zum Leben</t>
        </is>
      </c>
      <c r="C2100" t="inlineStr">
        <is>
          <t>https://www.abc-mallorca.com/mallorcas-best-areas-live/</t>
        </is>
      </c>
      <c r="J2100" t="inlineStr">
        <is>
          <t>Mallorca</t>
        </is>
      </c>
      <c r="AH2100" t="inlineStr">
        <is>
          <t>Quelle: abc-mallorca</t>
        </is>
      </c>
    </row>
    <row r="2101">
      <c r="A2101" t="n">
        <v>1914</v>
      </c>
      <c r="B2101" t="inlineStr">
        <is>
          <t>Gratis Newsletter</t>
        </is>
      </c>
      <c r="C2101" t="inlineStr">
        <is>
          <t>https://www.abc-mallorca.com/subscribe-now/</t>
        </is>
      </c>
      <c r="J2101" t="inlineStr">
        <is>
          <t>Mallorca</t>
        </is>
      </c>
      <c r="AH2101" t="inlineStr">
        <is>
          <t>Quelle: abc-mallorca</t>
        </is>
      </c>
    </row>
    <row r="2102">
      <c r="A2102" t="n">
        <v>1915</v>
      </c>
      <c r="B2102" t="inlineStr">
        <is>
          <t>Über abcMallorca</t>
        </is>
      </c>
      <c r="C2102" t="inlineStr">
        <is>
          <t>https://www.abc-mallorca.com/about-abc-mallorca-com/</t>
        </is>
      </c>
      <c r="J2102" t="inlineStr">
        <is>
          <t>Mallorca</t>
        </is>
      </c>
      <c r="AH2102" t="inlineStr">
        <is>
          <t>Quelle: abc-mallorca</t>
        </is>
      </c>
    </row>
    <row r="2103">
      <c r="A2103" t="n">
        <v>1916</v>
      </c>
      <c r="B2103" t="inlineStr">
        <is>
          <t>Datenschutzbestimmungen</t>
        </is>
      </c>
      <c r="C2103" t="inlineStr">
        <is>
          <t>https://www.abc-mallorca.com/privacy-policy/</t>
        </is>
      </c>
      <c r="J2103" t="inlineStr">
        <is>
          <t>Mallorca</t>
        </is>
      </c>
      <c r="AH2103" t="inlineStr">
        <is>
          <t>Quelle: abc-mallorca</t>
        </is>
      </c>
    </row>
    <row r="2104">
      <c r="A2104" t="n">
        <v>1917</v>
      </c>
      <c r="B2104" t="inlineStr">
        <is>
          <t>Nutzungsbedingungen</t>
        </is>
      </c>
      <c r="C2104" t="inlineStr">
        <is>
          <t>https://www.abc-mallorca.com/terms-of-use/</t>
        </is>
      </c>
      <c r="J2104" t="inlineStr">
        <is>
          <t>Mallorca</t>
        </is>
      </c>
      <c r="AH2104" t="inlineStr">
        <is>
          <t>Quelle: abc-mallorca</t>
        </is>
      </c>
    </row>
    <row r="2105">
      <c r="A2105" t="n">
        <v>1918</v>
      </c>
      <c r="B2105" t="inlineStr">
        <is>
          <t>More photos</t>
        </is>
      </c>
      <c r="C2105" t="inlineStr">
        <is>
          <t>https://www.thinkspain.com/property-for-sale/6680705</t>
        </is>
      </c>
      <c r="E2105" t="n">
        <v>6</v>
      </c>
      <c r="J2105" t="inlineStr">
        <is>
          <t>Ses</t>
        </is>
      </c>
      <c r="K2105" t="n">
        <v>47.4</v>
      </c>
      <c r="L2105" t="n">
        <v>40</v>
      </c>
      <c r="M2105" t="n">
        <v>51.8</v>
      </c>
      <c r="N2105" t="n">
        <v>55</v>
      </c>
      <c r="O2105" t="n">
        <v>70</v>
      </c>
      <c r="P2105" t="n">
        <v>56</v>
      </c>
      <c r="Q2105" t="n">
        <v>49.5</v>
      </c>
      <c r="R2105" t="n">
        <v>51</v>
      </c>
      <c r="S2105" t="n">
        <v>1300000</v>
      </c>
      <c r="AH2105" t="inlineStr">
        <is>
          <t>Quelle: ThinkSpain</t>
        </is>
      </c>
    </row>
    <row r="2106">
      <c r="A2106" t="n">
        <v>1919</v>
      </c>
      <c r="B2106" t="inlineStr">
        <is>
          <t>More photos</t>
        </is>
      </c>
      <c r="C2106" t="inlineStr">
        <is>
          <t>https://www.thinkspain.com/property-for-sale/8744409</t>
        </is>
      </c>
      <c r="E2106" t="n">
        <v>4</v>
      </c>
      <c r="J2106" t="inlineStr">
        <is>
          <t>Selva</t>
        </is>
      </c>
      <c r="K2106" t="n">
        <v>44.5</v>
      </c>
      <c r="L2106" t="n">
        <v>41</v>
      </c>
      <c r="M2106" t="n">
        <v>62.6</v>
      </c>
      <c r="N2106" t="n">
        <v>67</v>
      </c>
      <c r="O2106" t="n">
        <v>67.09999999999999</v>
      </c>
      <c r="P2106" t="n">
        <v>57</v>
      </c>
      <c r="Q2106" t="n">
        <v>60.3</v>
      </c>
      <c r="R2106" t="n">
        <v>64</v>
      </c>
      <c r="S2106" t="n">
        <v>4250000</v>
      </c>
      <c r="AH2106" t="inlineStr">
        <is>
          <t>Quelle: ThinkSpain</t>
        </is>
      </c>
    </row>
    <row r="2107">
      <c r="A2107" t="n">
        <v>1920</v>
      </c>
      <c r="B2107" t="inlineStr">
        <is>
          <t>More photos</t>
        </is>
      </c>
      <c r="C2107" t="inlineStr">
        <is>
          <t>https://www.thinkspain.com/property-for-sale/8458607</t>
        </is>
      </c>
      <c r="E2107" t="n">
        <v>6</v>
      </c>
      <c r="J2107" t="inlineStr">
        <is>
          <t>Canyamel</t>
        </is>
      </c>
      <c r="K2107" t="n">
        <v>74.7</v>
      </c>
      <c r="L2107" t="n">
        <v>65</v>
      </c>
      <c r="M2107" t="n">
        <v>70.09999999999999</v>
      </c>
      <c r="N2107" t="n">
        <v>68</v>
      </c>
      <c r="O2107" t="n">
        <v>108.9</v>
      </c>
      <c r="P2107" t="n">
        <v>90</v>
      </c>
      <c r="Q2107" t="n">
        <v>67.8</v>
      </c>
      <c r="R2107" t="n">
        <v>65</v>
      </c>
      <c r="S2107" t="n">
        <v>2200000</v>
      </c>
      <c r="AH2107" t="inlineStr">
        <is>
          <t>Quelle: ThinkSpain</t>
        </is>
      </c>
    </row>
    <row r="2108">
      <c r="A2108" t="n">
        <v>1921</v>
      </c>
      <c r="B2108" t="inlineStr">
        <is>
          <t>More photos</t>
        </is>
      </c>
      <c r="C2108" t="inlineStr">
        <is>
          <t>https://www.thinkspain.com/property-for-sale/5712001</t>
        </is>
      </c>
      <c r="E2108" t="n">
        <v>84</v>
      </c>
      <c r="J2108" t="inlineStr">
        <is>
          <t>Valldemosa</t>
        </is>
      </c>
      <c r="K2108" t="n">
        <v>27.2</v>
      </c>
      <c r="L2108" t="n">
        <v>32</v>
      </c>
      <c r="M2108" t="n">
        <v>69.90000000000001</v>
      </c>
      <c r="N2108" t="n">
        <v>64</v>
      </c>
      <c r="O2108" t="n">
        <v>45.5</v>
      </c>
      <c r="P2108" t="n">
        <v>44</v>
      </c>
      <c r="Q2108" t="n">
        <v>67.59999999999999</v>
      </c>
      <c r="R2108" t="n">
        <v>61</v>
      </c>
      <c r="S2108" t="n">
        <v>23000000</v>
      </c>
      <c r="AH2108" t="inlineStr">
        <is>
          <t>Quelle: ThinkSpain</t>
        </is>
      </c>
    </row>
    <row r="2109">
      <c r="A2109" t="n">
        <v>1922</v>
      </c>
      <c r="B2109" t="inlineStr">
        <is>
          <t>More photos</t>
        </is>
      </c>
      <c r="C2109" t="inlineStr">
        <is>
          <t>https://www.thinkspain.com/property-for-sale/8408954</t>
        </is>
      </c>
      <c r="E2109" t="n">
        <v>6</v>
      </c>
      <c r="J2109" t="inlineStr">
        <is>
          <t>Marratx</t>
        </is>
      </c>
      <c r="K2109" t="n">
        <v>13</v>
      </c>
      <c r="L2109" t="n">
        <v>17</v>
      </c>
      <c r="M2109" t="n">
        <v>56.3</v>
      </c>
      <c r="N2109" t="n">
        <v>50</v>
      </c>
      <c r="O2109" t="n">
        <v>40.6</v>
      </c>
      <c r="P2109" t="n">
        <v>34</v>
      </c>
      <c r="Q2109" t="n">
        <v>54</v>
      </c>
      <c r="R2109" t="n">
        <v>46</v>
      </c>
      <c r="S2109" t="n">
        <v>2300000</v>
      </c>
      <c r="AH2109" t="inlineStr">
        <is>
          <t>Quelle: ThinkSpain</t>
        </is>
      </c>
    </row>
    <row r="2110">
      <c r="A2110" t="n">
        <v>1923</v>
      </c>
      <c r="B2110" t="inlineStr">
        <is>
          <t>More photos</t>
        </is>
      </c>
      <c r="C2110" t="inlineStr">
        <is>
          <t>https://www.thinkspain.com/property-for-sale/8614042</t>
        </is>
      </c>
      <c r="E2110" t="n">
        <v>4</v>
      </c>
      <c r="J2110" t="inlineStr">
        <is>
          <t>Art</t>
        </is>
      </c>
      <c r="K2110" t="n">
        <v>47.4</v>
      </c>
      <c r="L2110" t="n">
        <v>40</v>
      </c>
      <c r="M2110" t="n">
        <v>51.8</v>
      </c>
      <c r="N2110" t="n">
        <v>55</v>
      </c>
      <c r="O2110" t="n">
        <v>70</v>
      </c>
      <c r="P2110" t="n">
        <v>56</v>
      </c>
      <c r="Q2110" t="n">
        <v>49.5</v>
      </c>
      <c r="R2110" t="n">
        <v>51</v>
      </c>
      <c r="S2110" t="n">
        <v>4600000</v>
      </c>
      <c r="AH2110" t="inlineStr">
        <is>
          <t>Quelle: ThinkSpain</t>
        </is>
      </c>
    </row>
    <row r="2111">
      <c r="A2111" t="n">
        <v>1924</v>
      </c>
      <c r="B2111" t="inlineStr">
        <is>
          <t>More photos</t>
        </is>
      </c>
      <c r="C2111" t="inlineStr">
        <is>
          <t>https://www.thinkspain.com/property-for-sale/8942734</t>
        </is>
      </c>
      <c r="E2111" t="n">
        <v>3</v>
      </c>
      <c r="J2111" t="inlineStr">
        <is>
          <t>Calonge</t>
        </is>
      </c>
      <c r="K2111" t="n">
        <v>54</v>
      </c>
      <c r="L2111" t="n">
        <v>49</v>
      </c>
      <c r="M2111" t="n">
        <v>17.7</v>
      </c>
      <c r="N2111" t="n">
        <v>25</v>
      </c>
      <c r="O2111" t="n">
        <v>92.2</v>
      </c>
      <c r="P2111" t="n">
        <v>76</v>
      </c>
      <c r="Q2111" t="n">
        <v>19.2</v>
      </c>
      <c r="R2111" t="n">
        <v>27</v>
      </c>
      <c r="S2111" t="n">
        <v>3000000</v>
      </c>
      <c r="AH2111" t="inlineStr">
        <is>
          <t>Quelle: ThinkSpain</t>
        </is>
      </c>
    </row>
    <row r="2112">
      <c r="A2112" t="n">
        <v>1925</v>
      </c>
      <c r="B2112" t="inlineStr">
        <is>
          <t>More photos</t>
        </is>
      </c>
      <c r="C2112" t="inlineStr">
        <is>
          <t>https://www.thinkspain.com/property-for-sale/6727762</t>
        </is>
      </c>
      <c r="E2112" t="n">
        <v>4</v>
      </c>
      <c r="J2112" t="inlineStr">
        <is>
          <t>Ses</t>
        </is>
      </c>
      <c r="K2112" t="n">
        <v>47.4</v>
      </c>
      <c r="L2112" t="n">
        <v>40</v>
      </c>
      <c r="M2112" t="n">
        <v>51.8</v>
      </c>
      <c r="N2112" t="n">
        <v>55</v>
      </c>
      <c r="O2112" t="n">
        <v>70</v>
      </c>
      <c r="P2112" t="n">
        <v>56</v>
      </c>
      <c r="Q2112" t="n">
        <v>49.5</v>
      </c>
      <c r="R2112" t="n">
        <v>51</v>
      </c>
      <c r="S2112" t="n">
        <v>2400000</v>
      </c>
      <c r="AH2112" t="inlineStr">
        <is>
          <t>Quelle: ThinkSpain</t>
        </is>
      </c>
    </row>
    <row r="2113">
      <c r="A2113" t="n">
        <v>1926</v>
      </c>
      <c r="B2113" t="inlineStr">
        <is>
          <t>More photos</t>
        </is>
      </c>
      <c r="C2113" t="inlineStr">
        <is>
          <t>https://www.thinkspain.com/property-for-sale/9114446</t>
        </is>
      </c>
      <c r="E2113" t="n">
        <v>4</v>
      </c>
      <c r="J2113" t="inlineStr">
        <is>
          <t>Llucmajor</t>
        </is>
      </c>
      <c r="S2113" t="n">
        <v>770000</v>
      </c>
      <c r="AH2113" t="inlineStr">
        <is>
          <t>Quelle: ThinkSpain</t>
        </is>
      </c>
    </row>
    <row r="2114">
      <c r="A2114" t="n">
        <v>1927</v>
      </c>
      <c r="B2114" t="inlineStr">
        <is>
          <t>More photos</t>
        </is>
      </c>
      <c r="C2114" t="inlineStr">
        <is>
          <t>https://www.thinkspain.com/property-for-sale/8742732</t>
        </is>
      </c>
      <c r="E2114" t="n">
        <v>3</v>
      </c>
      <c r="J2114" t="inlineStr">
        <is>
          <t>Ses</t>
        </is>
      </c>
      <c r="K2114" t="n">
        <v>47.4</v>
      </c>
      <c r="L2114" t="n">
        <v>40</v>
      </c>
      <c r="M2114" t="n">
        <v>51.8</v>
      </c>
      <c r="N2114" t="n">
        <v>55</v>
      </c>
      <c r="O2114" t="n">
        <v>70</v>
      </c>
      <c r="P2114" t="n">
        <v>56</v>
      </c>
      <c r="Q2114" t="n">
        <v>49.5</v>
      </c>
      <c r="R2114" t="n">
        <v>51</v>
      </c>
      <c r="S2114" t="n">
        <v>1995000</v>
      </c>
      <c r="AH2114" t="inlineStr">
        <is>
          <t>Quelle: ThinkSpain</t>
        </is>
      </c>
    </row>
    <row r="2115">
      <c r="A2115" t="n">
        <v>1928</v>
      </c>
      <c r="B2115" t="inlineStr">
        <is>
          <t>More photos</t>
        </is>
      </c>
      <c r="C2115" t="inlineStr">
        <is>
          <t>https://www.thinkspain.com/property-for-sale/8530062</t>
        </is>
      </c>
      <c r="E2115" t="n">
        <v>5</v>
      </c>
      <c r="J2115" t="inlineStr">
        <is>
          <t>Cala</t>
        </is>
      </c>
      <c r="K2115" t="n">
        <v>78.09999999999999</v>
      </c>
      <c r="L2115" t="n">
        <v>68</v>
      </c>
      <c r="M2115" t="n">
        <v>73.5</v>
      </c>
      <c r="N2115" t="n">
        <v>71</v>
      </c>
      <c r="O2115" t="n">
        <v>112.3</v>
      </c>
      <c r="P2115" t="n">
        <v>93</v>
      </c>
      <c r="Q2115" t="n">
        <v>71.2</v>
      </c>
      <c r="R2115" t="n">
        <v>68</v>
      </c>
      <c r="S2115" t="n">
        <v>3100000</v>
      </c>
      <c r="AH2115" t="inlineStr">
        <is>
          <t>Quelle: ThinkSpain</t>
        </is>
      </c>
    </row>
    <row r="2116">
      <c r="A2116" t="n">
        <v>1929</v>
      </c>
      <c r="B2116" t="inlineStr">
        <is>
          <t>More photos</t>
        </is>
      </c>
      <c r="C2116" t="inlineStr">
        <is>
          <t>https://www.thinkspain.com/property-for-sale/7100646</t>
        </is>
      </c>
      <c r="E2116" t="n">
        <v>1</v>
      </c>
      <c r="J2116" t="inlineStr">
        <is>
          <t>Pollensa</t>
        </is>
      </c>
      <c r="K2116" t="n">
        <v>60.6</v>
      </c>
      <c r="L2116" t="n">
        <v>47</v>
      </c>
      <c r="M2116" t="n">
        <v>78.7</v>
      </c>
      <c r="N2116" t="n">
        <v>74</v>
      </c>
      <c r="O2116" t="n">
        <v>83.2</v>
      </c>
      <c r="P2116" t="n">
        <v>63</v>
      </c>
      <c r="Q2116" t="n">
        <v>76.40000000000001</v>
      </c>
      <c r="R2116" t="n">
        <v>70</v>
      </c>
      <c r="S2116" t="n">
        <v>1800000</v>
      </c>
      <c r="AH2116" t="inlineStr">
        <is>
          <t>Quelle: ThinkSpain</t>
        </is>
      </c>
    </row>
    <row r="2117">
      <c r="A2117" t="n">
        <v>1930</v>
      </c>
      <c r="B2117" t="inlineStr">
        <is>
          <t>Finca/Country House for sale in Ses Salines</t>
        </is>
      </c>
      <c r="C2117" t="inlineStr">
        <is>
          <t>https://www.thinkspain.com/property-for-sale/7940942</t>
        </is>
      </c>
      <c r="E2117" t="n">
        <v>3</v>
      </c>
      <c r="J2117" t="inlineStr">
        <is>
          <t>Ses</t>
        </is>
      </c>
      <c r="K2117" t="n">
        <v>47.4</v>
      </c>
      <c r="L2117" t="n">
        <v>40</v>
      </c>
      <c r="M2117" t="n">
        <v>51.8</v>
      </c>
      <c r="N2117" t="n">
        <v>55</v>
      </c>
      <c r="O2117" t="n">
        <v>70</v>
      </c>
      <c r="P2117" t="n">
        <v>56</v>
      </c>
      <c r="Q2117" t="n">
        <v>49.5</v>
      </c>
      <c r="R2117" t="n">
        <v>51</v>
      </c>
      <c r="S2117" t="n">
        <v>3500000</v>
      </c>
      <c r="AH2117" t="inlineStr">
        <is>
          <t>Quelle: ThinkSpain</t>
        </is>
      </c>
    </row>
    <row r="2118">
      <c r="A2118" t="n">
        <v>1931</v>
      </c>
      <c r="B2118" t="inlineStr">
        <is>
          <t>More photos</t>
        </is>
      </c>
      <c r="C2118" t="inlineStr">
        <is>
          <t>https://www.thinkspain.com/property-for-sale/6243332</t>
        </is>
      </c>
      <c r="E2118" t="n">
        <v>3</v>
      </c>
      <c r="J2118" t="inlineStr">
        <is>
          <t>Mallorca</t>
        </is>
      </c>
      <c r="K2118" t="n">
        <v>47.4</v>
      </c>
      <c r="L2118" t="n">
        <v>40</v>
      </c>
      <c r="M2118" t="n">
        <v>51.8</v>
      </c>
      <c r="N2118" t="n">
        <v>55</v>
      </c>
      <c r="O2118" t="n">
        <v>70</v>
      </c>
      <c r="P2118" t="n">
        <v>56</v>
      </c>
      <c r="Q2118" t="n">
        <v>49.5</v>
      </c>
      <c r="R2118" t="n">
        <v>51</v>
      </c>
      <c r="S2118" t="n">
        <v>1400000</v>
      </c>
      <c r="AH2118" t="inlineStr">
        <is>
          <t>Quelle: ThinkSpain</t>
        </is>
      </c>
    </row>
    <row r="2119">
      <c r="A2119" t="n">
        <v>1932</v>
      </c>
      <c r="B2119" t="inlineStr">
        <is>
          <t>More photos</t>
        </is>
      </c>
      <c r="C2119" t="inlineStr">
        <is>
          <t>https://www.thinkspain.com/property-for-sale/9354506</t>
        </is>
      </c>
      <c r="E2119" t="n">
        <v>3</v>
      </c>
      <c r="J2119" t="inlineStr">
        <is>
          <t>Binissalem</t>
        </is>
      </c>
      <c r="S2119" t="n">
        <v>750000</v>
      </c>
      <c r="AH2119" t="inlineStr">
        <is>
          <t>Quelle: ThinkSpain</t>
        </is>
      </c>
    </row>
    <row r="2120">
      <c r="A2120" t="n">
        <v>1933</v>
      </c>
      <c r="B2120" t="inlineStr">
        <is>
          <t>More photos</t>
        </is>
      </c>
      <c r="C2120" t="inlineStr">
        <is>
          <t>https://www.thinkspain.com/property-for-sale/9552284</t>
        </is>
      </c>
      <c r="E2120" t="n">
        <v>5</v>
      </c>
      <c r="J2120" t="inlineStr">
        <is>
          <t>Campos</t>
        </is>
      </c>
      <c r="K2120" t="n">
        <v>32.9</v>
      </c>
      <c r="L2120" t="n">
        <v>28</v>
      </c>
      <c r="M2120" t="n">
        <v>14.6</v>
      </c>
      <c r="N2120" t="n">
        <v>18</v>
      </c>
      <c r="O2120" t="n">
        <v>71.09999999999999</v>
      </c>
      <c r="P2120" t="n">
        <v>56</v>
      </c>
      <c r="Q2120" t="n">
        <v>12.3</v>
      </c>
      <c r="R2120" t="n">
        <v>14</v>
      </c>
      <c r="S2120" t="n">
        <v>2490000</v>
      </c>
      <c r="AH2120" t="inlineStr">
        <is>
          <t>Quelle: ThinkSpain</t>
        </is>
      </c>
    </row>
    <row r="2121">
      <c r="A2121" t="n">
        <v>1934</v>
      </c>
      <c r="B2121" t="inlineStr">
        <is>
          <t>More photos</t>
        </is>
      </c>
      <c r="C2121" t="inlineStr">
        <is>
          <t>https://www.thinkspain.com/property-for-sale/9141439</t>
        </is>
      </c>
      <c r="E2121" t="n">
        <v>5</v>
      </c>
      <c r="J2121" t="inlineStr">
        <is>
          <t>Cala d</t>
        </is>
      </c>
      <c r="K2121" t="n">
        <v>58.4</v>
      </c>
      <c r="L2121" t="n">
        <v>56</v>
      </c>
      <c r="M2121" t="n">
        <v>21.9</v>
      </c>
      <c r="N2121" t="n">
        <v>32</v>
      </c>
      <c r="O2121" t="n">
        <v>96.59999999999999</v>
      </c>
      <c r="P2121" t="n">
        <v>84</v>
      </c>
      <c r="Q2121" t="n">
        <v>23.3</v>
      </c>
      <c r="R2121" t="n">
        <v>34</v>
      </c>
      <c r="S2121" t="n">
        <v>1900000</v>
      </c>
      <c r="AH2121" t="inlineStr">
        <is>
          <t>Quelle: ThinkSpain</t>
        </is>
      </c>
    </row>
    <row r="2122">
      <c r="A2122" t="n">
        <v>1935</v>
      </c>
      <c r="B2122" t="inlineStr">
        <is>
          <t>More photos</t>
        </is>
      </c>
      <c r="C2122" t="inlineStr">
        <is>
          <t>https://www.thinkspain.com/property-for-sale/9210460</t>
        </is>
      </c>
      <c r="E2122" t="n">
        <v>5</v>
      </c>
      <c r="J2122" t="inlineStr">
        <is>
          <t>Sa</t>
        </is>
      </c>
      <c r="K2122" t="n">
        <v>47.4</v>
      </c>
      <c r="L2122" t="n">
        <v>40</v>
      </c>
      <c r="M2122" t="n">
        <v>51.8</v>
      </c>
      <c r="N2122" t="n">
        <v>55</v>
      </c>
      <c r="O2122" t="n">
        <v>70</v>
      </c>
      <c r="P2122" t="n">
        <v>56</v>
      </c>
      <c r="Q2122" t="n">
        <v>49.5</v>
      </c>
      <c r="R2122" t="n">
        <v>51</v>
      </c>
      <c r="S2122" t="n">
        <v>1690000</v>
      </c>
      <c r="AH2122" t="inlineStr">
        <is>
          <t>Quelle: ThinkSpain</t>
        </is>
      </c>
    </row>
    <row r="2123">
      <c r="A2123" t="n">
        <v>1936</v>
      </c>
      <c r="B2123" t="inlineStr">
        <is>
          <t>More photos</t>
        </is>
      </c>
      <c r="C2123" t="inlineStr">
        <is>
          <t>https://www.thinkspain.com/property-for-sale/9175600</t>
        </is>
      </c>
      <c r="E2123" t="n">
        <v>4</v>
      </c>
      <c r="J2123" t="inlineStr">
        <is>
          <t>Costa de</t>
        </is>
      </c>
      <c r="K2123" t="n">
        <v>12.5</v>
      </c>
      <c r="L2123" t="n">
        <v>15</v>
      </c>
      <c r="M2123" t="n">
        <v>55.2</v>
      </c>
      <c r="N2123" t="n">
        <v>48</v>
      </c>
      <c r="O2123" t="n">
        <v>32.6</v>
      </c>
      <c r="P2123" t="n">
        <v>30</v>
      </c>
      <c r="Q2123" t="n">
        <v>52.9</v>
      </c>
      <c r="R2123" t="n">
        <v>44</v>
      </c>
      <c r="S2123" t="n">
        <v>2229000</v>
      </c>
      <c r="AH2123" t="inlineStr">
        <is>
          <t>Quelle: ThinkSpain</t>
        </is>
      </c>
    </row>
    <row r="2124">
      <c r="A2124" t="n">
        <v>1937</v>
      </c>
      <c r="B2124" t="inlineStr">
        <is>
          <t>More photos</t>
        </is>
      </c>
      <c r="C2124" t="inlineStr">
        <is>
          <t>https://www.thinkspain.com/property-for-sale/9399802</t>
        </is>
      </c>
      <c r="E2124" t="n">
        <v>3</v>
      </c>
      <c r="J2124" t="inlineStr">
        <is>
          <t>Es</t>
        </is>
      </c>
      <c r="K2124" t="n">
        <v>47.4</v>
      </c>
      <c r="L2124" t="n">
        <v>40</v>
      </c>
      <c r="M2124" t="n">
        <v>51.8</v>
      </c>
      <c r="N2124" t="n">
        <v>55</v>
      </c>
      <c r="O2124" t="n">
        <v>70</v>
      </c>
      <c r="P2124" t="n">
        <v>56</v>
      </c>
      <c r="Q2124" t="n">
        <v>49.5</v>
      </c>
      <c r="R2124" t="n">
        <v>51</v>
      </c>
      <c r="S2124" t="n">
        <v>1095000</v>
      </c>
      <c r="AH2124" t="inlineStr">
        <is>
          <t>Quelle: ThinkSpain</t>
        </is>
      </c>
    </row>
    <row r="2125">
      <c r="A2125" t="n">
        <v>1938</v>
      </c>
      <c r="B2125" t="inlineStr">
        <is>
          <t>More photos</t>
        </is>
      </c>
      <c r="C2125" t="inlineStr">
        <is>
          <t>https://www.thinkspain.com/property-for-sale/9002525</t>
        </is>
      </c>
      <c r="E2125" t="n">
        <v>4</v>
      </c>
      <c r="J2125" t="inlineStr">
        <is>
          <t>Santa</t>
        </is>
      </c>
      <c r="K2125" t="n">
        <v>47.4</v>
      </c>
      <c r="L2125" t="n">
        <v>40</v>
      </c>
      <c r="M2125" t="n">
        <v>51.8</v>
      </c>
      <c r="N2125" t="n">
        <v>55</v>
      </c>
      <c r="O2125" t="n">
        <v>70</v>
      </c>
      <c r="P2125" t="n">
        <v>56</v>
      </c>
      <c r="Q2125" t="n">
        <v>49.5</v>
      </c>
      <c r="R2125" t="n">
        <v>51</v>
      </c>
      <c r="S2125" t="n">
        <v>2630000</v>
      </c>
      <c r="AH2125" t="inlineStr">
        <is>
          <t>Quelle: ThinkSpain</t>
        </is>
      </c>
    </row>
    <row r="2126">
      <c r="A2126" t="n">
        <v>1939</v>
      </c>
      <c r="B2126" t="inlineStr">
        <is>
          <t>More photos</t>
        </is>
      </c>
      <c r="C2126" t="inlineStr">
        <is>
          <t>https://www.thinkspain.com/property-for-sale/9397823</t>
        </is>
      </c>
      <c r="E2126" t="n">
        <v>4</v>
      </c>
      <c r="J2126" t="inlineStr">
        <is>
          <t>Costa de</t>
        </is>
      </c>
      <c r="K2126" t="n">
        <v>12.5</v>
      </c>
      <c r="L2126" t="n">
        <v>15</v>
      </c>
      <c r="M2126" t="n">
        <v>55.2</v>
      </c>
      <c r="N2126" t="n">
        <v>48</v>
      </c>
      <c r="O2126" t="n">
        <v>32.6</v>
      </c>
      <c r="P2126" t="n">
        <v>30</v>
      </c>
      <c r="Q2126" t="n">
        <v>52.9</v>
      </c>
      <c r="R2126" t="n">
        <v>44</v>
      </c>
      <c r="S2126" t="n">
        <v>1200000</v>
      </c>
      <c r="AH2126" t="inlineStr">
        <is>
          <t>Quelle: ThinkSpain</t>
        </is>
      </c>
    </row>
    <row r="2127">
      <c r="A2127" t="n">
        <v>1940</v>
      </c>
      <c r="B2127" t="inlineStr">
        <is>
          <t>More photos</t>
        </is>
      </c>
      <c r="C2127" t="inlineStr">
        <is>
          <t>https://www.thinkspain.com/property-for-sale/9535482</t>
        </is>
      </c>
      <c r="E2127" t="n">
        <v>4</v>
      </c>
      <c r="J2127" t="inlineStr">
        <is>
          <t>Cala d</t>
        </is>
      </c>
      <c r="K2127" t="n">
        <v>58.4</v>
      </c>
      <c r="L2127" t="n">
        <v>56</v>
      </c>
      <c r="M2127" t="n">
        <v>21.9</v>
      </c>
      <c r="N2127" t="n">
        <v>32</v>
      </c>
      <c r="O2127" t="n">
        <v>96.59999999999999</v>
      </c>
      <c r="P2127" t="n">
        <v>84</v>
      </c>
      <c r="Q2127" t="n">
        <v>23.3</v>
      </c>
      <c r="R2127" t="n">
        <v>34</v>
      </c>
      <c r="S2127" t="n">
        <v>1600000</v>
      </c>
      <c r="AH2127" t="inlineStr">
        <is>
          <t>Quelle: ThinkSpain</t>
        </is>
      </c>
    </row>
    <row r="2128">
      <c r="A2128" t="n">
        <v>1941</v>
      </c>
      <c r="B2128" t="inlineStr">
        <is>
          <t>More photos</t>
        </is>
      </c>
      <c r="C2128" t="inlineStr">
        <is>
          <t>https://www.thinkspain.com/property-for-sale/9000989</t>
        </is>
      </c>
      <c r="E2128" t="n">
        <v>4</v>
      </c>
      <c r="J2128" t="inlineStr">
        <is>
          <t>Cala d</t>
        </is>
      </c>
      <c r="K2128" t="n">
        <v>58.4</v>
      </c>
      <c r="L2128" t="n">
        <v>56</v>
      </c>
      <c r="M2128" t="n">
        <v>21.9</v>
      </c>
      <c r="N2128" t="n">
        <v>32</v>
      </c>
      <c r="O2128" t="n">
        <v>96.59999999999999</v>
      </c>
      <c r="P2128" t="n">
        <v>84</v>
      </c>
      <c r="Q2128" t="n">
        <v>23.3</v>
      </c>
      <c r="R2128" t="n">
        <v>34</v>
      </c>
      <c r="S2128" t="n">
        <v>1225000</v>
      </c>
      <c r="AH2128" t="inlineStr">
        <is>
          <t>Quelle: ThinkSpain</t>
        </is>
      </c>
    </row>
    <row r="2129">
      <c r="A2129" t="n">
        <v>1942</v>
      </c>
      <c r="B2129" t="inlineStr">
        <is>
          <t>More photos</t>
        </is>
      </c>
      <c r="C2129" t="inlineStr">
        <is>
          <t>https://www.thinkspain.com/property-for-sale/8891959</t>
        </is>
      </c>
      <c r="E2129" t="n">
        <v>4</v>
      </c>
      <c r="J2129" t="inlineStr">
        <is>
          <t>Santa</t>
        </is>
      </c>
      <c r="K2129" t="n">
        <v>47.4</v>
      </c>
      <c r="L2129" t="n">
        <v>40</v>
      </c>
      <c r="M2129" t="n">
        <v>51.8</v>
      </c>
      <c r="N2129" t="n">
        <v>55</v>
      </c>
      <c r="O2129" t="n">
        <v>70</v>
      </c>
      <c r="P2129" t="n">
        <v>56</v>
      </c>
      <c r="Q2129" t="n">
        <v>49.5</v>
      </c>
      <c r="R2129" t="n">
        <v>51</v>
      </c>
      <c r="S2129" t="n">
        <v>3800000</v>
      </c>
      <c r="AH2129" t="inlineStr">
        <is>
          <t>Quelle: ThinkSpain</t>
        </is>
      </c>
    </row>
    <row r="2130">
      <c r="A2130" t="n">
        <v>1943</v>
      </c>
      <c r="B2130" t="inlineStr">
        <is>
          <t>More photos</t>
        </is>
      </c>
      <c r="C2130" t="inlineStr">
        <is>
          <t>https://www.thinkspain.com/property-for-sale/6636742</t>
        </is>
      </c>
      <c r="E2130" t="n">
        <v>12</v>
      </c>
      <c r="J2130" t="inlineStr">
        <is>
          <t>Felanitx</t>
        </is>
      </c>
      <c r="K2130" t="n">
        <v>45</v>
      </c>
      <c r="L2130" t="n">
        <v>40</v>
      </c>
      <c r="M2130" t="n">
        <v>26.8</v>
      </c>
      <c r="N2130" t="n">
        <v>30</v>
      </c>
      <c r="O2130" t="n">
        <v>83.2</v>
      </c>
      <c r="P2130" t="n">
        <v>68</v>
      </c>
      <c r="Q2130" t="n">
        <v>24.5</v>
      </c>
      <c r="R2130" t="n">
        <v>26</v>
      </c>
      <c r="S2130" t="n">
        <v>1100000</v>
      </c>
      <c r="AH2130" t="inlineStr">
        <is>
          <t>Quelle: ThinkSpain</t>
        </is>
      </c>
    </row>
    <row r="2131">
      <c r="A2131" t="n">
        <v>1944</v>
      </c>
      <c r="B2131" t="inlineStr">
        <is>
          <t>More photos</t>
        </is>
      </c>
      <c r="C2131" t="inlineStr">
        <is>
          <t>https://www.thinkspain.com/property-for-sale/8458665</t>
        </is>
      </c>
      <c r="E2131" t="n">
        <v>7</v>
      </c>
      <c r="J2131" t="inlineStr">
        <is>
          <t>Son</t>
        </is>
      </c>
      <c r="K2131" t="n">
        <v>47.4</v>
      </c>
      <c r="L2131" t="n">
        <v>40</v>
      </c>
      <c r="M2131" t="n">
        <v>51.8</v>
      </c>
      <c r="N2131" t="n">
        <v>55</v>
      </c>
      <c r="O2131" t="n">
        <v>70</v>
      </c>
      <c r="P2131" t="n">
        <v>56</v>
      </c>
      <c r="Q2131" t="n">
        <v>49.5</v>
      </c>
      <c r="R2131" t="n">
        <v>51</v>
      </c>
      <c r="S2131" t="n">
        <v>5200000</v>
      </c>
      <c r="AH2131" t="inlineStr">
        <is>
          <t>Quelle: ThinkSpain</t>
        </is>
      </c>
    </row>
    <row r="2132">
      <c r="A2132" t="n">
        <v>1945</v>
      </c>
      <c r="B2132" t="inlineStr">
        <is>
          <t>More photos</t>
        </is>
      </c>
      <c r="C2132" t="inlineStr">
        <is>
          <t>https://www.thinkspain.com/property-for-sale/7774378</t>
        </is>
      </c>
      <c r="E2132" t="n">
        <v>4</v>
      </c>
      <c r="J2132" t="inlineStr">
        <is>
          <t>Cala d</t>
        </is>
      </c>
      <c r="K2132" t="n">
        <v>58.4</v>
      </c>
      <c r="L2132" t="n">
        <v>56</v>
      </c>
      <c r="M2132" t="n">
        <v>21.9</v>
      </c>
      <c r="N2132" t="n">
        <v>32</v>
      </c>
      <c r="O2132" t="n">
        <v>96.59999999999999</v>
      </c>
      <c r="P2132" t="n">
        <v>84</v>
      </c>
      <c r="Q2132" t="n">
        <v>23.3</v>
      </c>
      <c r="R2132" t="n">
        <v>34</v>
      </c>
      <c r="S2132" t="n">
        <v>2500000</v>
      </c>
      <c r="AH2132" t="inlineStr">
        <is>
          <t>Quelle: ThinkSpain</t>
        </is>
      </c>
    </row>
    <row r="2133">
      <c r="A2133" t="n">
        <v>1946</v>
      </c>
      <c r="B2133" t="inlineStr">
        <is>
          <t>More photos</t>
        </is>
      </c>
      <c r="C2133" t="inlineStr">
        <is>
          <t>https://www.thinkspain.com/property-for-sale/8572369</t>
        </is>
      </c>
      <c r="E2133" t="n">
        <v>5</v>
      </c>
      <c r="J2133" t="inlineStr">
        <is>
          <t>Sant</t>
        </is>
      </c>
      <c r="K2133" t="n">
        <v>47.4</v>
      </c>
      <c r="L2133" t="n">
        <v>40</v>
      </c>
      <c r="M2133" t="n">
        <v>51.8</v>
      </c>
      <c r="N2133" t="n">
        <v>55</v>
      </c>
      <c r="O2133" t="n">
        <v>70</v>
      </c>
      <c r="P2133" t="n">
        <v>56</v>
      </c>
      <c r="Q2133" t="n">
        <v>49.5</v>
      </c>
      <c r="R2133" t="n">
        <v>51</v>
      </c>
      <c r="S2133" t="n">
        <v>1290000</v>
      </c>
      <c r="AH2133" t="inlineStr">
        <is>
          <t>Quelle: ThinkSpain</t>
        </is>
      </c>
    </row>
    <row r="2134">
      <c r="A2134" t="n">
        <v>1947</v>
      </c>
      <c r="B2134" t="inlineStr">
        <is>
          <t>More photos</t>
        </is>
      </c>
      <c r="C2134" t="inlineStr">
        <is>
          <t>https://www.thinkspain.com/property-for-sale/9027249</t>
        </is>
      </c>
      <c r="E2134" t="n">
        <v>6</v>
      </c>
      <c r="J2134" t="inlineStr">
        <is>
          <t>Puerto de</t>
        </is>
      </c>
      <c r="K2134" t="n">
        <v>11</v>
      </c>
      <c r="L2134" t="n">
        <v>17</v>
      </c>
      <c r="M2134" t="n">
        <v>53.8</v>
      </c>
      <c r="N2134" t="n">
        <v>50</v>
      </c>
      <c r="O2134" t="n">
        <v>31.5</v>
      </c>
      <c r="P2134" t="n">
        <v>35</v>
      </c>
      <c r="Q2134" t="n">
        <v>51.5</v>
      </c>
      <c r="R2134" t="n">
        <v>46</v>
      </c>
      <c r="S2134" t="n">
        <v>12900000</v>
      </c>
      <c r="AH2134" t="inlineStr">
        <is>
          <t>Quelle: ThinkSpain</t>
        </is>
      </c>
    </row>
    <row r="2135">
      <c r="A2135" t="n">
        <v>1948</v>
      </c>
      <c r="B2135" t="inlineStr">
        <is>
          <t>Villa for sale in Cala Llombards, Santanyí</t>
        </is>
      </c>
      <c r="C2135" t="inlineStr">
        <is>
          <t>https://www.thinkspain.com/property-for-sale/9321477</t>
        </is>
      </c>
      <c r="E2135" t="n">
        <v>4</v>
      </c>
      <c r="J2135" t="inlineStr">
        <is>
          <t>Cala</t>
        </is>
      </c>
      <c r="K2135" t="n">
        <v>78.09999999999999</v>
      </c>
      <c r="L2135" t="n">
        <v>68</v>
      </c>
      <c r="M2135" t="n">
        <v>73.5</v>
      </c>
      <c r="N2135" t="n">
        <v>71</v>
      </c>
      <c r="O2135" t="n">
        <v>112.3</v>
      </c>
      <c r="P2135" t="n">
        <v>93</v>
      </c>
      <c r="Q2135" t="n">
        <v>71.2</v>
      </c>
      <c r="R2135" t="n">
        <v>68</v>
      </c>
      <c r="S2135" t="n">
        <v>1950000</v>
      </c>
      <c r="AH2135" t="inlineStr">
        <is>
          <t>Quelle: ThinkSpain</t>
        </is>
      </c>
    </row>
    <row r="2136">
      <c r="A2136" t="n">
        <v>1949</v>
      </c>
      <c r="B2136" t="inlineStr">
        <is>
          <t>More photos</t>
        </is>
      </c>
      <c r="C2136" t="inlineStr">
        <is>
          <t>https://www.thinkspain.com/property-for-sale/8654580</t>
        </is>
      </c>
      <c r="E2136" t="n">
        <v>3</v>
      </c>
      <c r="J2136" t="inlineStr">
        <is>
          <t>Cala d</t>
        </is>
      </c>
      <c r="K2136" t="n">
        <v>58.4</v>
      </c>
      <c r="L2136" t="n">
        <v>56</v>
      </c>
      <c r="M2136" t="n">
        <v>21.9</v>
      </c>
      <c r="N2136" t="n">
        <v>32</v>
      </c>
      <c r="O2136" t="n">
        <v>96.59999999999999</v>
      </c>
      <c r="P2136" t="n">
        <v>84</v>
      </c>
      <c r="Q2136" t="n">
        <v>23.3</v>
      </c>
      <c r="R2136" t="n">
        <v>34</v>
      </c>
      <c r="S2136" t="n">
        <v>1250000</v>
      </c>
      <c r="AH2136" t="inlineStr">
        <is>
          <t>Quelle: ThinkSpain</t>
        </is>
      </c>
    </row>
    <row r="2137">
      <c r="A2137" t="n">
        <v>1950</v>
      </c>
      <c r="B2137" t="inlineStr">
        <is>
          <t>Luxury Homes The Balearic Islands</t>
        </is>
      </c>
      <c r="C2137" t="inlineStr">
        <is>
          <t>https://www.green-acres.es/house/the-balearic-islands-province</t>
        </is>
      </c>
      <c r="J2137" t="inlineStr">
        <is>
          <t>Mallorca</t>
        </is>
      </c>
      <c r="AH2137" t="inlineStr">
        <is>
          <t>Quelle: Green-Acres</t>
        </is>
      </c>
    </row>
    <row r="2138">
      <c r="A2138" t="n">
        <v>1951</v>
      </c>
      <c r="B2138" t="inlineStr">
        <is>
          <t>Country homes The Balearic Islands</t>
        </is>
      </c>
      <c r="C2138" t="inlineStr">
        <is>
          <t>https://www.green-acres.es/country-house/the-balearic-islands</t>
        </is>
      </c>
      <c r="J2138" t="inlineStr">
        <is>
          <t>Mallorca</t>
        </is>
      </c>
      <c r="AH2138" t="inlineStr">
        <is>
          <t>Quelle: Green-Acres</t>
        </is>
      </c>
    </row>
    <row r="2139">
      <c r="A2139" t="n">
        <v>1952</v>
      </c>
      <c r="B2139" t="inlineStr">
        <is>
          <t>Country homes The Balearic Islands</t>
        </is>
      </c>
      <c r="C2139" t="inlineStr">
        <is>
          <t>https://www.green-acres.es/country-house/the-balearic-islands-province</t>
        </is>
      </c>
      <c r="J2139" t="inlineStr">
        <is>
          <t>Mallorca</t>
        </is>
      </c>
      <c r="AH2139" t="inlineStr">
        <is>
          <t>Quelle: Green-Acres</t>
        </is>
      </c>
    </row>
    <row r="2140">
      <c r="A2140" t="n">
        <v>1953</v>
      </c>
      <c r="B2140" t="inlineStr">
        <is>
          <t>Country homes Barrio Creus des Magres</t>
        </is>
      </c>
      <c r="C2140" t="inlineStr">
        <is>
          <t>https://www.green-acres.es/country-house/barrio-creus-des-magres</t>
        </is>
      </c>
      <c r="J2140" t="inlineStr">
        <is>
          <t>Mallorca</t>
        </is>
      </c>
      <c r="AH2140" t="inlineStr">
        <is>
          <t>Quelle: Green-Acres</t>
        </is>
      </c>
    </row>
    <row r="2141">
      <c r="A2141" t="n">
        <v>1954</v>
      </c>
      <c r="B2141" t="inlineStr">
        <is>
          <t>Yaencontre Property</t>
        </is>
      </c>
      <c r="C2141" t="inlineStr">
        <is>
          <t>https://crm.inmovilla.com/fotosvr/tour.php?cod=28021108.10578</t>
        </is>
      </c>
      <c r="J2141" t="inlineStr">
        <is>
          <t>Mallorca</t>
        </is>
      </c>
      <c r="AH2141" t="inlineStr">
        <is>
          <t>Quelle: Yaencontré</t>
        </is>
      </c>
    </row>
    <row r="2142">
      <c r="A2142" t="n">
        <v>1955</v>
      </c>
      <c r="B2142" t="inlineStr">
        <is>
          <t>Yaencontre Property</t>
        </is>
      </c>
      <c r="C2142" t="inlineStr">
        <is>
          <t>https://my.matterport.com/show/?m=LtZUni7fTGu</t>
        </is>
      </c>
      <c r="J2142" t="inlineStr">
        <is>
          <t>Mallorca</t>
        </is>
      </c>
      <c r="AH2142" t="inlineStr">
        <is>
          <t>Quelle: Yaencontré</t>
        </is>
      </c>
    </row>
    <row r="2143">
      <c r="A2143" t="n">
        <v>1956</v>
      </c>
      <c r="B2143" t="inlineStr">
        <is>
          <t>Marratxi, House</t>
        </is>
      </c>
      <c r="C2143" t="inlineStr">
        <is>
          <t>https://www.aplaceinthesun.com/property/details/ap4023344/spcrm3844</t>
        </is>
      </c>
      <c r="J2143" t="inlineStr">
        <is>
          <t>Mallorca</t>
        </is>
      </c>
      <c r="K2143" t="n">
        <v>47.4</v>
      </c>
      <c r="L2143" t="n">
        <v>40</v>
      </c>
      <c r="M2143" t="n">
        <v>51.8</v>
      </c>
      <c r="N2143" t="n">
        <v>55</v>
      </c>
      <c r="O2143" t="n">
        <v>70</v>
      </c>
      <c r="P2143" t="n">
        <v>56</v>
      </c>
      <c r="Q2143" t="n">
        <v>49.5</v>
      </c>
      <c r="R2143" t="n">
        <v>51</v>
      </c>
      <c r="S2143" t="n">
        <v>1222707</v>
      </c>
      <c r="AH2143" t="inlineStr">
        <is>
          <t>Quelle: A Place in the Sun</t>
        </is>
      </c>
    </row>
    <row r="2144">
      <c r="A2144" t="n">
        <v>1957</v>
      </c>
      <c r="B2144" t="inlineStr">
        <is>
          <t>Puerto Pollensa, Penthouse</t>
        </is>
      </c>
      <c r="C2144" t="inlineStr">
        <is>
          <t>https://www.aplaceinthesun.com/property/details/ap3885511/3-bed-penthouse-for-sale-in-puerto-pollensa-mallorca-spain</t>
        </is>
      </c>
      <c r="E2144" t="n">
        <v>3</v>
      </c>
      <c r="J2144" t="inlineStr">
        <is>
          <t>Puerto Pollensa Mallorca Spain</t>
        </is>
      </c>
      <c r="K2144" t="n">
        <v>66.90000000000001</v>
      </c>
      <c r="L2144" t="n">
        <v>52</v>
      </c>
      <c r="M2144" t="n">
        <v>85</v>
      </c>
      <c r="N2144" t="n">
        <v>78</v>
      </c>
      <c r="O2144" t="n">
        <v>89.5</v>
      </c>
      <c r="P2144" t="n">
        <v>68</v>
      </c>
      <c r="Q2144" t="n">
        <v>82.7</v>
      </c>
      <c r="R2144" t="n">
        <v>75</v>
      </c>
      <c r="S2144" t="n">
        <v>2270742</v>
      </c>
      <c r="AH2144" t="inlineStr">
        <is>
          <t>Quelle: A Place in the Sun</t>
        </is>
      </c>
    </row>
    <row r="2145">
      <c r="A2145" t="n">
        <v>1958</v>
      </c>
      <c r="B2145" t="inlineStr">
        <is>
          <t>Palma de Mallorca, Property</t>
        </is>
      </c>
      <c r="C2145" t="inlineStr">
        <is>
          <t>https://www.aplaceinthesun.com/property/details/ap4104607/property-for-sale-in-palma-de-mallorca-mallorca-spain</t>
        </is>
      </c>
      <c r="J2145" t="inlineStr">
        <is>
          <t>Palma De Mallorca Mallorca Spain</t>
        </is>
      </c>
      <c r="S2145" t="n">
        <v>26201</v>
      </c>
      <c r="AH2145" t="inlineStr">
        <is>
          <t>Quelle: A Place in the Sun</t>
        </is>
      </c>
    </row>
    <row r="2146">
      <c r="A2146" t="n">
        <v>1959</v>
      </c>
      <c r="B2146" t="inlineStr">
        <is>
          <t>Mallorca, Villa</t>
        </is>
      </c>
      <c r="C2146" t="inlineStr">
        <is>
          <t>https://www.aplaceinthesun.com/property/details/ap4103701/3-bed-villa-for-sale-in-mallorca-balearic-islands-spain</t>
        </is>
      </c>
      <c r="E2146" t="n">
        <v>3</v>
      </c>
      <c r="J2146" t="inlineStr">
        <is>
          <t>Mallorca Balearic Islands Spain</t>
        </is>
      </c>
      <c r="S2146" t="n">
        <v>775546</v>
      </c>
      <c r="AH2146" t="inlineStr">
        <is>
          <t>Quelle: A Place in the Sun</t>
        </is>
      </c>
    </row>
    <row r="2147">
      <c r="A2147" t="n">
        <v>1960</v>
      </c>
      <c r="B2147" t="inlineStr">
        <is>
          <t>Santa Ponsa, Villa</t>
        </is>
      </c>
      <c r="C2147" t="inlineStr">
        <is>
          <t>https://www.aplaceinthesun.com/property/details/ap4103699/a-modern-villa-gem-in-nova-santa-ponsa</t>
        </is>
      </c>
      <c r="J2147" t="inlineStr">
        <is>
          <t>Mallorca</t>
        </is>
      </c>
      <c r="K2147" t="n">
        <v>47.4</v>
      </c>
      <c r="L2147" t="n">
        <v>40</v>
      </c>
      <c r="M2147" t="n">
        <v>51.8</v>
      </c>
      <c r="N2147" t="n">
        <v>55</v>
      </c>
      <c r="O2147" t="n">
        <v>70</v>
      </c>
      <c r="P2147" t="n">
        <v>56</v>
      </c>
      <c r="Q2147" t="n">
        <v>49.5</v>
      </c>
      <c r="R2147" t="n">
        <v>51</v>
      </c>
      <c r="S2147" t="n">
        <v>2576419</v>
      </c>
      <c r="AH2147" t="inlineStr">
        <is>
          <t>Quelle: A Place in the Sun</t>
        </is>
      </c>
    </row>
    <row r="2148">
      <c r="A2148" t="n">
        <v>1961</v>
      </c>
      <c r="B2148" t="inlineStr">
        <is>
          <t>Felanitx, Apartment</t>
        </is>
      </c>
      <c r="C2148" t="inlineStr">
        <is>
          <t>https://www.aplaceinthesun.com/property/details/ap4025342/apartment-for-sale-in-felanitx-mallorca-spain</t>
        </is>
      </c>
      <c r="J2148" t="inlineStr">
        <is>
          <t>Felanitx Mallorca Spain</t>
        </is>
      </c>
      <c r="S2148" t="n">
        <v>303930</v>
      </c>
      <c r="AH2148" t="inlineStr">
        <is>
          <t>Quelle: A Place in the Sun</t>
        </is>
      </c>
    </row>
    <row r="2149">
      <c r="A2149" t="n">
        <v>1962</v>
      </c>
      <c r="B2149" t="inlineStr">
        <is>
          <t>Palma de Mallorca, Apartment</t>
        </is>
      </c>
      <c r="C2149" t="inlineStr">
        <is>
          <t>https://www.aplaceinthesun.com/property/details/ap4089900/sea-view-apartments-with-pool-in-cala-major</t>
        </is>
      </c>
      <c r="J2149" t="inlineStr">
        <is>
          <t>Mallorca</t>
        </is>
      </c>
      <c r="K2149" t="n">
        <v>47.4</v>
      </c>
      <c r="L2149" t="n">
        <v>40</v>
      </c>
      <c r="M2149" t="n">
        <v>51.8</v>
      </c>
      <c r="N2149" t="n">
        <v>55</v>
      </c>
      <c r="O2149" t="n">
        <v>70</v>
      </c>
      <c r="P2149" t="n">
        <v>56</v>
      </c>
      <c r="Q2149" t="n">
        <v>49.5</v>
      </c>
      <c r="R2149" t="n">
        <v>51</v>
      </c>
      <c r="S2149" t="n">
        <v>1266376</v>
      </c>
      <c r="AH2149" t="inlineStr">
        <is>
          <t>Quelle: A Place in the Sun</t>
        </is>
      </c>
    </row>
    <row r="2150">
      <c r="A2150" t="n">
        <v>1963</v>
      </c>
      <c r="B2150" t="inlineStr">
        <is>
          <t>Calvià, Apartment</t>
        </is>
      </c>
      <c r="C2150" t="inlineStr">
        <is>
          <t>https://www.aplaceinthesun.com/property/details/ap4103412/spcrm4584</t>
        </is>
      </c>
      <c r="J2150" t="inlineStr">
        <is>
          <t>Mallorca</t>
        </is>
      </c>
      <c r="S2150" t="n">
        <v>470742</v>
      </c>
      <c r="AH2150" t="inlineStr">
        <is>
          <t>Quelle: A Place in the Sun</t>
        </is>
      </c>
    </row>
    <row r="2151">
      <c r="A2151" t="n">
        <v>1964</v>
      </c>
      <c r="B2151" t="inlineStr">
        <is>
          <t>Cala d'Or, Apartment</t>
        </is>
      </c>
      <c r="C2151" t="inlineStr">
        <is>
          <t>https://www.aplaceinthesun.com/property/details/ap4101266/4-bed-apartment-for-sale-in-cala-d-or-mallorca-spain</t>
        </is>
      </c>
      <c r="E2151" t="n">
        <v>4</v>
      </c>
      <c r="J2151" t="inlineStr">
        <is>
          <t>Cala D Or Mallorca Spain</t>
        </is>
      </c>
      <c r="K2151" t="n">
        <v>58.4</v>
      </c>
      <c r="L2151" t="n">
        <v>56</v>
      </c>
      <c r="M2151" t="n">
        <v>21.9</v>
      </c>
      <c r="N2151" t="n">
        <v>32</v>
      </c>
      <c r="O2151" t="n">
        <v>96.59999999999999</v>
      </c>
      <c r="P2151" t="n">
        <v>84</v>
      </c>
      <c r="Q2151" t="n">
        <v>23.3</v>
      </c>
      <c r="R2151" t="n">
        <v>34</v>
      </c>
      <c r="S2151" t="n">
        <v>1131004</v>
      </c>
      <c r="AH2151" t="inlineStr">
        <is>
          <t>Quelle: A Place in the Sun</t>
        </is>
      </c>
    </row>
    <row r="2152">
      <c r="A2152" t="n">
        <v>1965</v>
      </c>
      <c r="B2152" t="inlineStr">
        <is>
          <t>Palma de Mallorca, Property</t>
        </is>
      </c>
      <c r="C2152" t="inlineStr">
        <is>
          <t>https://www.aplaceinthesun.com/property/details/ap4101201/5-bed-property-for-sale-in-palma-de-mallorca-mallorca-spain</t>
        </is>
      </c>
      <c r="E2152" t="n">
        <v>5</v>
      </c>
      <c r="J2152" t="inlineStr">
        <is>
          <t>Palma De Mallorca Mallorca Spain</t>
        </is>
      </c>
      <c r="K2152" t="n">
        <v>9.699999999999999</v>
      </c>
      <c r="L2152" t="n">
        <v>14</v>
      </c>
      <c r="M2152" t="n">
        <v>52.5</v>
      </c>
      <c r="N2152" t="n">
        <v>47</v>
      </c>
      <c r="O2152" t="n">
        <v>32.1</v>
      </c>
      <c r="P2152" t="n">
        <v>36</v>
      </c>
      <c r="Q2152" t="n">
        <v>50.2</v>
      </c>
      <c r="R2152" t="n">
        <v>44</v>
      </c>
      <c r="S2152" t="n">
        <v>322271</v>
      </c>
      <c r="AH2152" t="inlineStr">
        <is>
          <t>Quelle: A Place in the Sun</t>
        </is>
      </c>
    </row>
    <row r="2153">
      <c r="A2153" t="n">
        <v>1966</v>
      </c>
      <c r="B2153" t="inlineStr">
        <is>
          <t>Esporles, Villa</t>
        </is>
      </c>
      <c r="C2153" t="inlineStr">
        <is>
          <t>https://www.aplaceinthesun.com/property/details/ap4097681/5-bed-villa-for-sale-in-esporles-mallorca-spain</t>
        </is>
      </c>
      <c r="E2153" t="n">
        <v>5</v>
      </c>
      <c r="J2153" t="inlineStr">
        <is>
          <t>Esporles Mallorca Spain</t>
        </is>
      </c>
      <c r="K2153" t="n">
        <v>24.9</v>
      </c>
      <c r="L2153" t="n">
        <v>27</v>
      </c>
      <c r="M2153" t="n">
        <v>67.59999999999999</v>
      </c>
      <c r="N2153" t="n">
        <v>60</v>
      </c>
      <c r="O2153" t="n">
        <v>43.2</v>
      </c>
      <c r="P2153" t="n">
        <v>40</v>
      </c>
      <c r="Q2153" t="n">
        <v>65.3</v>
      </c>
      <c r="R2153" t="n">
        <v>57</v>
      </c>
      <c r="S2153" t="n">
        <v>1441048</v>
      </c>
      <c r="AH2153" t="inlineStr">
        <is>
          <t>Quelle: A Place in the Sun</t>
        </is>
      </c>
    </row>
    <row r="2154">
      <c r="A2154" t="n">
        <v>1967</v>
      </c>
      <c r="B2154" t="inlineStr">
        <is>
          <t>Calvià, Flat</t>
        </is>
      </c>
      <c r="C2154" t="inlineStr">
        <is>
          <t>https://www.aplaceinthesun.com/property/details/ap4096165/2-bed-flat-for-sale-in-calvia-mallorca-spain</t>
        </is>
      </c>
      <c r="E2154" t="n">
        <v>2</v>
      </c>
      <c r="J2154" t="inlineStr">
        <is>
          <t>Calvia Mallorca Spain</t>
        </is>
      </c>
      <c r="S2154" t="n">
        <v>243668</v>
      </c>
      <c r="AH2154" t="inlineStr">
        <is>
          <t>Quelle: A Place in the Sun</t>
        </is>
      </c>
    </row>
    <row r="2155">
      <c r="A2155" t="n">
        <v>1968</v>
      </c>
      <c r="B2155" t="inlineStr">
        <is>
          <t>Manacor, Finca</t>
        </is>
      </c>
      <c r="C2155" t="inlineStr">
        <is>
          <t>https://www.aplaceinthesun.com/property/details/ap4095645/6-bed-finca-for-sale-in-manacor-mallorca-spain</t>
        </is>
      </c>
      <c r="E2155" t="n">
        <v>6</v>
      </c>
      <c r="J2155" t="inlineStr">
        <is>
          <t>Manacor Mallorca Spain</t>
        </is>
      </c>
      <c r="K2155" t="n">
        <v>49.2</v>
      </c>
      <c r="L2155" t="n">
        <v>44</v>
      </c>
      <c r="M2155" t="n">
        <v>40.3</v>
      </c>
      <c r="N2155" t="n">
        <v>45</v>
      </c>
      <c r="O2155" t="n">
        <v>83.40000000000001</v>
      </c>
      <c r="P2155" t="n">
        <v>68</v>
      </c>
      <c r="Q2155" t="n">
        <v>38</v>
      </c>
      <c r="R2155" t="n">
        <v>41</v>
      </c>
      <c r="S2155" t="n">
        <v>2008734</v>
      </c>
      <c r="AH2155" t="inlineStr">
        <is>
          <t>Quelle: A Place in the Sun</t>
        </is>
      </c>
    </row>
    <row r="2156">
      <c r="A2156" t="n">
        <v>1969</v>
      </c>
      <c r="B2156" t="inlineStr">
        <is>
          <t>Cala d'Or, Penthouse</t>
        </is>
      </c>
      <c r="C2156" t="inlineStr">
        <is>
          <t>https://www.aplaceinthesun.com/property/details/ap4095620/2-bed-penthouse-for-sale-in-cala-d-or-mallorca-spain</t>
        </is>
      </c>
      <c r="E2156" t="n">
        <v>2</v>
      </c>
      <c r="J2156" t="inlineStr">
        <is>
          <t>Cala D Or Mallorca Spain</t>
        </is>
      </c>
      <c r="S2156" t="n">
        <v>348035</v>
      </c>
      <c r="AH2156" t="inlineStr">
        <is>
          <t>Quelle: A Place in the Sun</t>
        </is>
      </c>
    </row>
    <row r="2157">
      <c r="A2157" t="n">
        <v>1970</v>
      </c>
      <c r="B2157" t="inlineStr">
        <is>
          <t>Port D'andratx, Penthouse</t>
        </is>
      </c>
      <c r="C2157" t="inlineStr">
        <is>
          <t>https://www.aplaceinthesun.com/property/details/ap4095446/4-bed-penthouse-for-sale-in-port-d-andratx-mallorca-spain</t>
        </is>
      </c>
      <c r="E2157" t="n">
        <v>4</v>
      </c>
      <c r="J2157" t="inlineStr">
        <is>
          <t>Port D Andratx Mallorca Spain</t>
        </is>
      </c>
      <c r="K2157" t="n">
        <v>43.5</v>
      </c>
      <c r="L2157" t="n">
        <v>38</v>
      </c>
      <c r="M2157" t="n">
        <v>86.2</v>
      </c>
      <c r="N2157" t="n">
        <v>71</v>
      </c>
      <c r="O2157" t="n">
        <v>6.3</v>
      </c>
      <c r="P2157" t="n">
        <v>11</v>
      </c>
      <c r="Q2157" t="n">
        <v>83.90000000000001</v>
      </c>
      <c r="R2157" t="n">
        <v>68</v>
      </c>
      <c r="S2157" t="n">
        <v>1484716</v>
      </c>
      <c r="AH2157" t="inlineStr">
        <is>
          <t>Quelle: A Place in the Sun</t>
        </is>
      </c>
    </row>
    <row r="2158">
      <c r="A2158" t="n">
        <v>1971</v>
      </c>
      <c r="B2158" t="inlineStr">
        <is>
          <t>Mallorca, Townhouse</t>
        </is>
      </c>
      <c r="C2158" t="inlineStr">
        <is>
          <t>https://www.aplaceinthesun.com/property/details/ap4095403/3-bed-townhouse-for-sale-in-mallorca-balearic-islands-spain</t>
        </is>
      </c>
      <c r="E2158" t="n">
        <v>3</v>
      </c>
      <c r="J2158" t="inlineStr">
        <is>
          <t>Mallorca Balearic Islands Spain</t>
        </is>
      </c>
      <c r="S2158" t="n">
        <v>432314</v>
      </c>
      <c r="AH2158" t="inlineStr">
        <is>
          <t>Quelle: A Place in the Sun</t>
        </is>
      </c>
    </row>
    <row r="2159">
      <c r="A2159" t="n">
        <v>1972</v>
      </c>
      <c r="B2159" t="inlineStr">
        <is>
          <t>Mallorca, Townhouse</t>
        </is>
      </c>
      <c r="C2159" t="inlineStr">
        <is>
          <t>https://www.aplaceinthesun.com/property/details/ap4095402/4-bed-townhouse-for-sale-in-mallorca-balearic-islands-spain</t>
        </is>
      </c>
      <c r="E2159" t="n">
        <v>4</v>
      </c>
      <c r="J2159" t="inlineStr">
        <is>
          <t>Mallorca Balearic Islands Spain</t>
        </is>
      </c>
      <c r="S2159" t="n">
        <v>641921</v>
      </c>
      <c r="AH2159" t="inlineStr">
        <is>
          <t>Quelle: A Place in the Sun</t>
        </is>
      </c>
    </row>
    <row r="2160">
      <c r="A2160" t="n">
        <v>1973</v>
      </c>
      <c r="B2160" t="inlineStr">
        <is>
          <t>Sa Pobla, Property</t>
        </is>
      </c>
      <c r="C2160" t="inlineStr">
        <is>
          <t>https://www.aplaceinthesun.com/property/details/ap4095177/property-for-sale-in-sa-pobla-mallorca-spain</t>
        </is>
      </c>
      <c r="J2160" t="inlineStr">
        <is>
          <t>Sa Pobla Mallorca Spain</t>
        </is>
      </c>
      <c r="S2160" t="n">
        <v>148472</v>
      </c>
      <c r="AH2160" t="inlineStr">
        <is>
          <t>Quelle: A Place in the Sun</t>
        </is>
      </c>
    </row>
    <row r="2161">
      <c r="A2161" t="n">
        <v>1974</v>
      </c>
      <c r="B2161" t="inlineStr">
        <is>
          <t>Cala Egos, Apartment</t>
        </is>
      </c>
      <c r="C2161" t="inlineStr">
        <is>
          <t>https://www.aplaceinthesun.com/property/details/ap3992614/1-bed-apartment-for-sale-in-cala-egos-mallorca-spain</t>
        </is>
      </c>
      <c r="E2161" t="n">
        <v>1</v>
      </c>
      <c r="J2161" t="inlineStr">
        <is>
          <t>Cala Egos Mallorca Spain</t>
        </is>
      </c>
      <c r="S2161" t="n">
        <v>251092</v>
      </c>
      <c r="AH2161" t="inlineStr">
        <is>
          <t>Quelle: A Place in the Sun</t>
        </is>
      </c>
    </row>
    <row r="2162">
      <c r="A2162" t="n">
        <v>1975</v>
      </c>
      <c r="B2162" t="inlineStr">
        <is>
          <t>Es Forti, House/Villa</t>
        </is>
      </c>
      <c r="C2162" t="inlineStr">
        <is>
          <t>https://www.aplaceinthesun.com/property/details/ap4048340/4-bed-house-villa-for-sale-in-es-forti-mallorca-spain</t>
        </is>
      </c>
      <c r="E2162" t="n">
        <v>4</v>
      </c>
      <c r="J2162" t="inlineStr">
        <is>
          <t>Es Forti Mallorca Spain</t>
        </is>
      </c>
      <c r="K2162" t="n">
        <v>57.7</v>
      </c>
      <c r="L2162" t="n">
        <v>54</v>
      </c>
      <c r="M2162" t="n">
        <v>21.4</v>
      </c>
      <c r="N2162" t="n">
        <v>30</v>
      </c>
      <c r="O2162" t="n">
        <v>95.90000000000001</v>
      </c>
      <c r="P2162" t="n">
        <v>82</v>
      </c>
      <c r="Q2162" t="n">
        <v>22.9</v>
      </c>
      <c r="R2162" t="n">
        <v>32</v>
      </c>
      <c r="S2162" t="n">
        <v>1528384</v>
      </c>
      <c r="AH2162" t="inlineStr">
        <is>
          <t>Quelle: A Place in the Sun</t>
        </is>
      </c>
    </row>
    <row r="2163">
      <c r="A2163" t="n">
        <v>1976</v>
      </c>
      <c r="B2163" t="inlineStr">
        <is>
          <t>Santanyí, Apartment</t>
        </is>
      </c>
      <c r="C2163" t="inlineStr">
        <is>
          <t>https://www.aplaceinthesun.com/property/details/ap4026416/1-bed-apartment-for-sale-in-santanyi-mallorca-spain</t>
        </is>
      </c>
      <c r="E2163" t="n">
        <v>1</v>
      </c>
      <c r="J2163" t="inlineStr">
        <is>
          <t>Santanyi Mallorca Spain</t>
        </is>
      </c>
      <c r="S2163" t="n">
        <v>322707</v>
      </c>
      <c r="AH2163" t="inlineStr">
        <is>
          <t>Quelle: A Place in the Sun</t>
        </is>
      </c>
    </row>
    <row r="2164">
      <c r="A2164" t="n">
        <v>1977</v>
      </c>
      <c r="B2164" t="inlineStr">
        <is>
          <t>Cala Egos, Apartment</t>
        </is>
      </c>
      <c r="C2164" t="inlineStr">
        <is>
          <t>https://www.aplaceinthesun.com/property/details/ap4036009/2-bed-apartment-for-sale-in-cala-egos-mallorca-spain</t>
        </is>
      </c>
      <c r="E2164" t="n">
        <v>2</v>
      </c>
      <c r="J2164" t="inlineStr">
        <is>
          <t>Cala Egos Mallorca Spain</t>
        </is>
      </c>
      <c r="S2164" t="n">
        <v>348472</v>
      </c>
      <c r="AH2164" t="inlineStr">
        <is>
          <t>Quelle: A Place in the Sun</t>
        </is>
      </c>
    </row>
    <row r="2165">
      <c r="A2165" t="n">
        <v>1978</v>
      </c>
      <c r="B2165" t="inlineStr">
        <is>
          <t>Cala Egos, House/Villa</t>
        </is>
      </c>
      <c r="C2165" t="inlineStr">
        <is>
          <t>https://www.aplaceinthesun.com/property/details/ap3960074/3-bed-house-villa-for-sale-in-cala-egos-mallorca-spain</t>
        </is>
      </c>
      <c r="E2165" t="n">
        <v>3</v>
      </c>
      <c r="J2165" t="inlineStr">
        <is>
          <t>Cala Egos Mallorca Spain</t>
        </is>
      </c>
      <c r="S2165" t="n">
        <v>567249</v>
      </c>
      <c r="AH2165" t="inlineStr">
        <is>
          <t>Quelle: A Place in the Sun</t>
        </is>
      </c>
    </row>
    <row r="2166">
      <c r="A2166" t="n">
        <v>1979</v>
      </c>
      <c r="B2166" t="inlineStr">
        <is>
          <t>Cala d'Or, Penthouse</t>
        </is>
      </c>
      <c r="C2166" t="inlineStr">
        <is>
          <t>https://www.aplaceinthesun.com/property/details/ap4090920/2-bed-penthouse-for-sale-in-cala-d-or-mallorca-spain</t>
        </is>
      </c>
      <c r="E2166" t="n">
        <v>2</v>
      </c>
      <c r="J2166" t="inlineStr">
        <is>
          <t>Cala D Or Mallorca Spain</t>
        </is>
      </c>
      <c r="S2166" t="n">
        <v>451965</v>
      </c>
      <c r="AH2166" t="inlineStr">
        <is>
          <t>Quelle: A Place in the Sun</t>
        </is>
      </c>
    </row>
    <row r="2167">
      <c r="A2167" t="n">
        <v>1980</v>
      </c>
      <c r="B2167" t="inlineStr">
        <is>
          <t>Palma de Mallorca, Semi-Detached</t>
        </is>
      </c>
      <c r="C2167" t="inlineStr">
        <is>
          <t>https://www.aplaceinthesun.com/property/details/ap4090979/11-bed-semi-detached-for-sale-in-palma-de-mallorca-mallorca-spain</t>
        </is>
      </c>
      <c r="E2167" t="n">
        <v>11</v>
      </c>
      <c r="J2167" t="inlineStr">
        <is>
          <t>Palma De Mallorca Mallorca Spain</t>
        </is>
      </c>
      <c r="K2167" t="n">
        <v>9.699999999999999</v>
      </c>
      <c r="L2167" t="n">
        <v>14</v>
      </c>
      <c r="M2167" t="n">
        <v>52.5</v>
      </c>
      <c r="N2167" t="n">
        <v>47</v>
      </c>
      <c r="O2167" t="n">
        <v>32.1</v>
      </c>
      <c r="P2167" t="n">
        <v>36</v>
      </c>
      <c r="Q2167" t="n">
        <v>50.2</v>
      </c>
      <c r="R2167" t="n">
        <v>44</v>
      </c>
      <c r="S2167" t="n">
        <v>3056769</v>
      </c>
      <c r="AH2167" t="inlineStr">
        <is>
          <t>Quelle: A Place in the Sun</t>
        </is>
      </c>
    </row>
    <row r="2168">
      <c r="A2168" t="n">
        <v>1981</v>
      </c>
      <c r="B2168" t="inlineStr">
        <is>
          <t>Llubí, House</t>
        </is>
      </c>
      <c r="C2168" t="inlineStr">
        <is>
          <t>https://www.aplaceinthesun.com/property/details/ap3864850/spcrm3025</t>
        </is>
      </c>
      <c r="J2168" t="inlineStr">
        <is>
          <t>Mallorca</t>
        </is>
      </c>
      <c r="S2168" t="n">
        <v>855895</v>
      </c>
      <c r="AH2168" t="inlineStr">
        <is>
          <t>Quelle: A Place in the Sun</t>
        </is>
      </c>
    </row>
    <row r="2169">
      <c r="A2169" t="n">
        <v>1982</v>
      </c>
      <c r="B2169" t="inlineStr">
        <is>
          <t>Andratx, Apartment</t>
        </is>
      </c>
      <c r="C2169" t="inlineStr">
        <is>
          <t>https://www.aplaceinthesun.com/property/details/ap3881937/spcrm3241</t>
        </is>
      </c>
      <c r="J2169" t="inlineStr">
        <is>
          <t>Mallorca</t>
        </is>
      </c>
      <c r="S2169" t="n">
        <v>694323</v>
      </c>
      <c r="AH2169" t="inlineStr">
        <is>
          <t>Quelle: A Place in the Sun</t>
        </is>
      </c>
    </row>
    <row r="2170">
      <c r="A2170" t="n">
        <v>1983</v>
      </c>
      <c r="B2170" t="inlineStr">
        <is>
          <t>Palma de Mallorca, Apartment</t>
        </is>
      </c>
      <c r="C2170" t="inlineStr">
        <is>
          <t>https://www.aplaceinthesun.com/property/details/ap3992753/spcrm3793</t>
        </is>
      </c>
      <c r="J2170" t="inlineStr">
        <is>
          <t>Mallorca</t>
        </is>
      </c>
      <c r="K2170" t="n">
        <v>47.4</v>
      </c>
      <c r="L2170" t="n">
        <v>40</v>
      </c>
      <c r="M2170" t="n">
        <v>51.8</v>
      </c>
      <c r="N2170" t="n">
        <v>55</v>
      </c>
      <c r="O2170" t="n">
        <v>70</v>
      </c>
      <c r="P2170" t="n">
        <v>56</v>
      </c>
      <c r="Q2170" t="n">
        <v>49.5</v>
      </c>
      <c r="R2170" t="n">
        <v>51</v>
      </c>
      <c r="S2170" t="n">
        <v>1353712</v>
      </c>
      <c r="AH2170" t="inlineStr">
        <is>
          <t>Quelle: A Place in the Sun</t>
        </is>
      </c>
    </row>
    <row r="2171">
      <c r="A2171" t="n">
        <v>1984</v>
      </c>
      <c r="B2171" t="inlineStr">
        <is>
          <t>Cala d'Or, Villa</t>
        </is>
      </c>
      <c r="C2171" t="inlineStr">
        <is>
          <t>https://www.aplaceinthesun.com/property/details/ap4070223/8-bed-villa-for-sale-in-cala-d-or-mallorca-spain</t>
        </is>
      </c>
      <c r="E2171" t="n">
        <v>8</v>
      </c>
      <c r="J2171" t="inlineStr">
        <is>
          <t>Cala D Or Mallorca Spain</t>
        </is>
      </c>
      <c r="K2171" t="n">
        <v>58.4</v>
      </c>
      <c r="L2171" t="n">
        <v>56</v>
      </c>
      <c r="M2171" t="n">
        <v>21.9</v>
      </c>
      <c r="N2171" t="n">
        <v>32</v>
      </c>
      <c r="O2171" t="n">
        <v>96.59999999999999</v>
      </c>
      <c r="P2171" t="n">
        <v>84</v>
      </c>
      <c r="Q2171" t="n">
        <v>23.3</v>
      </c>
      <c r="R2171" t="n">
        <v>34</v>
      </c>
      <c r="S2171" t="n">
        <v>3056769</v>
      </c>
      <c r="AH2171" t="inlineStr">
        <is>
          <t>Quelle: A Place in the Sun</t>
        </is>
      </c>
    </row>
    <row r="2172">
      <c r="A2172" t="n">
        <v>1985</v>
      </c>
      <c r="B2172" t="inlineStr">
        <is>
          <t>Santa Margalida, Plot</t>
        </is>
      </c>
      <c r="C2172" t="inlineStr">
        <is>
          <t>https://www.aplaceinthesun.com/property/details/ap4070114/spcrm4417</t>
        </is>
      </c>
      <c r="J2172" t="inlineStr">
        <is>
          <t>Mallorca</t>
        </is>
      </c>
      <c r="S2172" t="n">
        <v>208734</v>
      </c>
      <c r="AH2172" t="inlineStr">
        <is>
          <t>Quelle: A Place in the Sun</t>
        </is>
      </c>
    </row>
    <row r="2173">
      <c r="A2173" t="n">
        <v>1986</v>
      </c>
      <c r="B2173" t="inlineStr">
        <is>
          <t>Palma de Mallorca, Penthouse</t>
        </is>
      </c>
      <c r="C2173" t="inlineStr">
        <is>
          <t>https://www.aplaceinthesun.com/property/details/ap3866475/spcrm3035</t>
        </is>
      </c>
      <c r="J2173" t="inlineStr">
        <is>
          <t>Mallorca</t>
        </is>
      </c>
      <c r="S2173" t="n">
        <v>781659</v>
      </c>
      <c r="AH2173" t="inlineStr">
        <is>
          <t>Quelle: A Place in the Sun</t>
        </is>
      </c>
    </row>
    <row r="2174">
      <c r="A2174" t="n">
        <v>1987</v>
      </c>
      <c r="B2174" t="inlineStr">
        <is>
          <t>Felanitx, Townhouse</t>
        </is>
      </c>
      <c r="C2174" t="inlineStr">
        <is>
          <t>https://www.aplaceinthesun.com/property/details/ap3997092/spcrm3861</t>
        </is>
      </c>
      <c r="J2174" t="inlineStr">
        <is>
          <t>Mallorca</t>
        </is>
      </c>
      <c r="S2174" t="n">
        <v>336245</v>
      </c>
      <c r="AH2174" t="inlineStr">
        <is>
          <t>Quelle: A Place in the Sun</t>
        </is>
      </c>
    </row>
    <row r="2175">
      <c r="A2175" t="n">
        <v>1988</v>
      </c>
      <c r="B2175" t="inlineStr">
        <is>
          <t>Binissalem, Finca</t>
        </is>
      </c>
      <c r="C2175" t="inlineStr">
        <is>
          <t>https://www.aplaceinthesun.com/property/details/ap4075038/3-bed-finca-for-sale-in-binissalem-mallorca-spain</t>
        </is>
      </c>
      <c r="E2175" t="n">
        <v>3</v>
      </c>
      <c r="J2175" t="inlineStr">
        <is>
          <t>Binissalem Mallorca Spain</t>
        </is>
      </c>
      <c r="S2175" t="n">
        <v>566812</v>
      </c>
      <c r="AH2175" t="inlineStr">
        <is>
          <t>Quelle: A Place in the Sun</t>
        </is>
      </c>
    </row>
    <row r="2176">
      <c r="A2176" t="n">
        <v>1989</v>
      </c>
      <c r="B2176" t="inlineStr">
        <is>
          <t>Colònia de Sant Jordi, Apartment</t>
        </is>
      </c>
      <c r="C2176" t="inlineStr">
        <is>
          <t>https://www.aplaceinthesun.com/property/details/ap4079702/beautiful-luxury-home-in-colonia-de-sant-jordi</t>
        </is>
      </c>
      <c r="J2176" t="inlineStr">
        <is>
          <t>Mallorca</t>
        </is>
      </c>
      <c r="S2176" t="n">
        <v>772926</v>
      </c>
      <c r="AH2176" t="inlineStr">
        <is>
          <t>Quelle: A Place in the Sun</t>
        </is>
      </c>
    </row>
    <row r="2177">
      <c r="A2177" t="n">
        <v>1990</v>
      </c>
      <c r="B2177" t="inlineStr">
        <is>
          <t>Capdepera, Apartment</t>
        </is>
      </c>
      <c r="C2177" t="inlineStr">
        <is>
          <t>https://www.aplaceinthesun.com/property/details/ap3997079/spcrm3548</t>
        </is>
      </c>
      <c r="J2177" t="inlineStr">
        <is>
          <t>Mallorca</t>
        </is>
      </c>
      <c r="S2177" t="n">
        <v>414847</v>
      </c>
      <c r="AH2177" t="inlineStr">
        <is>
          <t>Quelle: A Place in the Sun</t>
        </is>
      </c>
    </row>
    <row r="2178">
      <c r="A2178" t="n">
        <v>1991</v>
      </c>
      <c r="B2178" t="inlineStr">
        <is>
          <t>Banyalbufar, Plot</t>
        </is>
      </c>
      <c r="C2178" t="inlineStr">
        <is>
          <t>https://www.aplaceinthesun.com/property/details/ap4038099/spcrm4233</t>
        </is>
      </c>
      <c r="J2178" t="inlineStr">
        <is>
          <t>Mallorca</t>
        </is>
      </c>
      <c r="S2178" t="n">
        <v>205240</v>
      </c>
      <c r="AH2178" t="inlineStr">
        <is>
          <t>Quelle: A Place in the Sun</t>
        </is>
      </c>
    </row>
    <row r="2179">
      <c r="A2179" t="n">
        <v>1992</v>
      </c>
      <c r="B2179" t="inlineStr">
        <is>
          <t>Palma de Mallorca, Apartment</t>
        </is>
      </c>
      <c r="C2179" t="inlineStr">
        <is>
          <t>https://www.aplaceinthesun.com/property/details/ap3957658/spcrm3617</t>
        </is>
      </c>
      <c r="J2179" t="inlineStr">
        <is>
          <t>Mallorca</t>
        </is>
      </c>
      <c r="S2179" t="n">
        <v>685590</v>
      </c>
      <c r="AH2179" t="inlineStr">
        <is>
          <t>Quelle: A Place in the Sun</t>
        </is>
      </c>
    </row>
    <row r="2180">
      <c r="A2180" t="n">
        <v>1993</v>
      </c>
      <c r="B2180" t="inlineStr">
        <is>
          <t>Alaró, Townhouse</t>
        </is>
      </c>
      <c r="C2180" t="inlineStr">
        <is>
          <t>https://www.aplaceinthesun.com/property/details/ap4082368/spcrm4468</t>
        </is>
      </c>
      <c r="J2180" t="inlineStr">
        <is>
          <t>Mallorca</t>
        </is>
      </c>
      <c r="K2180" t="n">
        <v>47.4</v>
      </c>
      <c r="L2180" t="n">
        <v>40</v>
      </c>
      <c r="M2180" t="n">
        <v>51.8</v>
      </c>
      <c r="N2180" t="n">
        <v>55</v>
      </c>
      <c r="O2180" t="n">
        <v>70</v>
      </c>
      <c r="P2180" t="n">
        <v>56</v>
      </c>
      <c r="Q2180" t="n">
        <v>49.5</v>
      </c>
      <c r="R2180" t="n">
        <v>51</v>
      </c>
      <c r="S2180" t="n">
        <v>1048035</v>
      </c>
      <c r="AH2180" t="inlineStr">
        <is>
          <t>Quelle: A Place in the Sun</t>
        </is>
      </c>
    </row>
    <row r="2181">
      <c r="A2181" t="n">
        <v>1994</v>
      </c>
      <c r="B2181" t="inlineStr">
        <is>
          <t>Palma de Mallorca, Apartment</t>
        </is>
      </c>
      <c r="C2181" t="inlineStr">
        <is>
          <t>https://www.aplaceinthesun.com/property/details/ap3386877/sppa1506</t>
        </is>
      </c>
      <c r="J2181" t="inlineStr">
        <is>
          <t>Mallorca</t>
        </is>
      </c>
      <c r="S2181" t="n">
        <v>435808</v>
      </c>
      <c r="AH2181" t="inlineStr">
        <is>
          <t>Quelle: A Place in the Sun</t>
        </is>
      </c>
    </row>
    <row r="2182">
      <c r="A2182" t="n">
        <v>1995</v>
      </c>
      <c r="B2182" t="inlineStr">
        <is>
          <t>Manacor, House</t>
        </is>
      </c>
      <c r="C2182" t="inlineStr">
        <is>
          <t>https://www.aplaceinthesun.com/property/details/ap3402744/sppa1536</t>
        </is>
      </c>
      <c r="J2182" t="inlineStr">
        <is>
          <t>Mallorca</t>
        </is>
      </c>
      <c r="S2182" t="n">
        <v>697817</v>
      </c>
      <c r="AH2182" t="inlineStr">
        <is>
          <t>Quelle: A Place in the Sun</t>
        </is>
      </c>
    </row>
    <row r="2183">
      <c r="A2183" t="n">
        <v>1996</v>
      </c>
      <c r="B2183" t="inlineStr">
        <is>
          <t>Palma de Mallorca, House</t>
        </is>
      </c>
      <c r="C2183" t="inlineStr">
        <is>
          <t>https://www.aplaceinthesun.com/property/details/ap3129804/strandpa3000</t>
        </is>
      </c>
      <c r="J2183" t="inlineStr">
        <is>
          <t>Mallorca</t>
        </is>
      </c>
      <c r="K2183" t="n">
        <v>47.4</v>
      </c>
      <c r="L2183" t="n">
        <v>40</v>
      </c>
      <c r="M2183" t="n">
        <v>51.8</v>
      </c>
      <c r="N2183" t="n">
        <v>55</v>
      </c>
      <c r="O2183" t="n">
        <v>70</v>
      </c>
      <c r="P2183" t="n">
        <v>56</v>
      </c>
      <c r="Q2183" t="n">
        <v>49.5</v>
      </c>
      <c r="R2183" t="n">
        <v>51</v>
      </c>
      <c r="S2183" t="n">
        <v>1078603</v>
      </c>
      <c r="AH2183" t="inlineStr">
        <is>
          <t>Quelle: A Place in the Sun</t>
        </is>
      </c>
    </row>
    <row r="2184">
      <c r="A2184" t="n">
        <v>1997</v>
      </c>
      <c r="B2184" t="inlineStr">
        <is>
          <t>Villafranca de Bonany, House</t>
        </is>
      </c>
      <c r="C2184" t="inlineStr">
        <is>
          <t>https://www.aplaceinthesun.com/property/details/ap4043882/spcrm4251</t>
        </is>
      </c>
      <c r="J2184" t="inlineStr">
        <is>
          <t>Mallorca</t>
        </is>
      </c>
      <c r="S2184" t="n">
        <v>432314</v>
      </c>
      <c r="AH2184" t="inlineStr">
        <is>
          <t>Quelle: A Place in the Sun</t>
        </is>
      </c>
    </row>
    <row r="2185">
      <c r="A2185" t="n">
        <v>1998</v>
      </c>
      <c r="B2185" t="inlineStr">
        <is>
          <t>Palma de Mallorca, Commercial</t>
        </is>
      </c>
      <c r="C2185" t="inlineStr">
        <is>
          <t>https://www.aplaceinthesun.com/property/details/ap4055033/spcrm3901</t>
        </is>
      </c>
      <c r="J2185" t="inlineStr">
        <is>
          <t>Mallorca</t>
        </is>
      </c>
      <c r="S2185" t="n">
        <v>39301</v>
      </c>
      <c r="AH2185" t="inlineStr">
        <is>
          <t>Quelle: A Place in the Sun</t>
        </is>
      </c>
    </row>
    <row r="2186">
      <c r="A2186" t="n">
        <v>1999</v>
      </c>
      <c r="B2186" t="inlineStr">
        <is>
          <t>Palma de Mallorca, Apartment</t>
        </is>
      </c>
      <c r="C2186" t="inlineStr">
        <is>
          <t>https://www.aplaceinthesun.com/property/details/ap4089902/2-bed-apartment-for-sale-in-palma-de-mallorca-mallorca-spain</t>
        </is>
      </c>
      <c r="E2186" t="n">
        <v>2</v>
      </c>
      <c r="J2186" t="inlineStr">
        <is>
          <t>Palma De Mallorca Mallorca Spain</t>
        </is>
      </c>
      <c r="K2186" t="n">
        <v>9.699999999999999</v>
      </c>
      <c r="L2186" t="n">
        <v>14</v>
      </c>
      <c r="M2186" t="n">
        <v>52.5</v>
      </c>
      <c r="N2186" t="n">
        <v>47</v>
      </c>
      <c r="O2186" t="n">
        <v>32.1</v>
      </c>
      <c r="P2186" t="n">
        <v>36</v>
      </c>
      <c r="Q2186" t="n">
        <v>50.2</v>
      </c>
      <c r="R2186" t="n">
        <v>44</v>
      </c>
      <c r="S2186" t="n">
        <v>1310044</v>
      </c>
      <c r="AH2186" t="inlineStr">
        <is>
          <t>Quelle: A Place in the Sun</t>
        </is>
      </c>
    </row>
    <row r="2187">
      <c r="A2187" t="n">
        <v>2000</v>
      </c>
      <c r="B2187" t="inlineStr">
        <is>
          <t>Palma de Mallorca, Apartment</t>
        </is>
      </c>
      <c r="C2187" t="inlineStr">
        <is>
          <t>https://www.aplaceinthesun.com/property/details/ap4089899/brand-new-penthouse-in-cala-major-with-sea-views</t>
        </is>
      </c>
      <c r="J2187" t="inlineStr">
        <is>
          <t>Mallorca</t>
        </is>
      </c>
      <c r="K2187" t="n">
        <v>47.4</v>
      </c>
      <c r="L2187" t="n">
        <v>40</v>
      </c>
      <c r="M2187" t="n">
        <v>51.8</v>
      </c>
      <c r="N2187" t="n">
        <v>55</v>
      </c>
      <c r="O2187" t="n">
        <v>70</v>
      </c>
      <c r="P2187" t="n">
        <v>56</v>
      </c>
      <c r="Q2187" t="n">
        <v>49.5</v>
      </c>
      <c r="R2187" t="n">
        <v>51</v>
      </c>
      <c r="S2187" t="n">
        <v>1742358</v>
      </c>
      <c r="AH2187" t="inlineStr">
        <is>
          <t>Quelle: A Place in the Sun</t>
        </is>
      </c>
    </row>
    <row r="2188">
      <c r="A2188" t="n">
        <v>2001</v>
      </c>
      <c r="B2188" t="inlineStr">
        <is>
          <t>Alaró, Villa</t>
        </is>
      </c>
      <c r="C2188" t="inlineStr">
        <is>
          <t>https://www.aplaceinthesun.com/property/details/ap4037262/11-bed-villa-for-sale-in-alaro-mallorca-spain</t>
        </is>
      </c>
      <c r="E2188" t="n">
        <v>11</v>
      </c>
      <c r="J2188" t="inlineStr">
        <is>
          <t>Alaro Mallorca Spain</t>
        </is>
      </c>
      <c r="K2188" t="n">
        <v>33.4</v>
      </c>
      <c r="L2188" t="n">
        <v>33</v>
      </c>
      <c r="M2188" t="n">
        <v>76.09999999999999</v>
      </c>
      <c r="N2188" t="n">
        <v>66</v>
      </c>
      <c r="O2188" t="n">
        <v>55.9</v>
      </c>
      <c r="P2188" t="n">
        <v>49</v>
      </c>
      <c r="Q2188" t="n">
        <v>73.8</v>
      </c>
      <c r="R2188" t="n">
        <v>62</v>
      </c>
      <c r="S2188" t="n">
        <v>13100437</v>
      </c>
      <c r="AH2188" t="inlineStr">
        <is>
          <t>Quelle: A Place in the Sun</t>
        </is>
      </c>
    </row>
    <row r="2189">
      <c r="A2189" t="n">
        <v>2002</v>
      </c>
      <c r="B2189" t="inlineStr">
        <is>
          <t>Palma de Mallorca, Penthouse</t>
        </is>
      </c>
      <c r="C2189" t="inlineStr">
        <is>
          <t>https://www.aplaceinthesun.com/property/details/ap4089681/2-bed-penthouse-for-sale-in-palma-de-mallorca-mallorca-spain</t>
        </is>
      </c>
      <c r="E2189" t="n">
        <v>2</v>
      </c>
      <c r="J2189" t="inlineStr">
        <is>
          <t>Palma De Mallorca Mallorca Spain</t>
        </is>
      </c>
      <c r="S2189" t="n">
        <v>567686</v>
      </c>
      <c r="AH2189" t="inlineStr">
        <is>
          <t>Quelle: A Place in the Sun</t>
        </is>
      </c>
    </row>
    <row r="2190">
      <c r="A2190" t="n">
        <v>2003</v>
      </c>
      <c r="B2190" t="inlineStr">
        <is>
          <t>Calvià, Flat</t>
        </is>
      </c>
      <c r="C2190" t="inlineStr">
        <is>
          <t>https://www.aplaceinthesun.com/property/details/ap4089682/2-bed-flat-for-sale-in-calvia-mallorca-spain</t>
        </is>
      </c>
      <c r="E2190" t="n">
        <v>2</v>
      </c>
      <c r="J2190" t="inlineStr">
        <is>
          <t>Calvia Mallorca Spain</t>
        </is>
      </c>
      <c r="S2190" t="n">
        <v>458515</v>
      </c>
      <c r="AH2190" t="inlineStr">
        <is>
          <t>Quelle: A Place in the Sun</t>
        </is>
      </c>
    </row>
    <row r="2191">
      <c r="A2191" t="n">
        <v>2004</v>
      </c>
      <c r="B2191" t="inlineStr">
        <is>
          <t>Muro, House</t>
        </is>
      </c>
      <c r="C2191" t="inlineStr">
        <is>
          <t>https://www.aplaceinthesun.com/property/details/ap4088417/2-bed-house-for-sale-in-muro-mallorca-spain</t>
        </is>
      </c>
      <c r="E2191" t="n">
        <v>2</v>
      </c>
      <c r="J2191" t="inlineStr">
        <is>
          <t>Muro Mallorca Spain</t>
        </is>
      </c>
      <c r="S2191" t="n">
        <v>462882</v>
      </c>
      <c r="AH2191" t="inlineStr">
        <is>
          <t>Quelle: A Place in the Sun</t>
        </is>
      </c>
    </row>
    <row r="2192">
      <c r="A2192" t="n">
        <v>2005</v>
      </c>
      <c r="B2192" t="inlineStr">
        <is>
          <t>Palma de Mallorca, Flat</t>
        </is>
      </c>
      <c r="C2192" t="inlineStr">
        <is>
          <t>https://www.aplaceinthesun.com/property/details/ap4086229/4-bed-flat-for-sale-in-palma-de-mallorca-mallorca-spain</t>
        </is>
      </c>
      <c r="E2192" t="n">
        <v>4</v>
      </c>
      <c r="J2192" t="inlineStr">
        <is>
          <t>Palma De Mallorca Mallorca Spain</t>
        </is>
      </c>
      <c r="S2192" t="n">
        <v>694323</v>
      </c>
      <c r="AH2192" t="inlineStr">
        <is>
          <t>Quelle: A Place in the Sun</t>
        </is>
      </c>
    </row>
    <row r="2193">
      <c r="A2193" t="n">
        <v>2006</v>
      </c>
      <c r="B2193" t="inlineStr">
        <is>
          <t>Palma de Mallorca, Flat</t>
        </is>
      </c>
      <c r="C2193" t="inlineStr">
        <is>
          <t>https://www.aplaceinthesun.com/property/details/ap4083856/4-bed-flat-for-sale-in-palma-de-mallorca-mallorca-spain</t>
        </is>
      </c>
      <c r="E2193" t="n">
        <v>4</v>
      </c>
      <c r="J2193" t="inlineStr">
        <is>
          <t>Palma De Mallorca Mallorca Spain</t>
        </is>
      </c>
      <c r="S2193" t="n">
        <v>698253</v>
      </c>
      <c r="AH2193" t="inlineStr">
        <is>
          <t>Quelle: A Place in the Sun</t>
        </is>
      </c>
    </row>
    <row r="2194">
      <c r="A2194" t="n">
        <v>2007</v>
      </c>
      <c r="B2194" t="inlineStr">
        <is>
          <t>Palma de Mallorca, Flat</t>
        </is>
      </c>
      <c r="C2194" t="inlineStr">
        <is>
          <t>https://www.aplaceinthesun.com/property/details/ap4083740/3-bed-flat-for-sale-in-palma-de-mallorca-mallorca-spain</t>
        </is>
      </c>
      <c r="E2194" t="n">
        <v>3</v>
      </c>
      <c r="J2194" t="inlineStr">
        <is>
          <t>Palma De Mallorca Mallorca Spain</t>
        </is>
      </c>
      <c r="K2194" t="n">
        <v>9.699999999999999</v>
      </c>
      <c r="L2194" t="n">
        <v>14</v>
      </c>
      <c r="M2194" t="n">
        <v>52.5</v>
      </c>
      <c r="N2194" t="n">
        <v>47</v>
      </c>
      <c r="O2194" t="n">
        <v>32.1</v>
      </c>
      <c r="P2194" t="n">
        <v>36</v>
      </c>
      <c r="Q2194" t="n">
        <v>50.2</v>
      </c>
      <c r="R2194" t="n">
        <v>44</v>
      </c>
      <c r="S2194" t="n">
        <v>1200873</v>
      </c>
      <c r="AH2194" t="inlineStr">
        <is>
          <t>Quelle: A Place in the Sun</t>
        </is>
      </c>
    </row>
    <row r="2195">
      <c r="A2195" t="n">
        <v>2008</v>
      </c>
      <c r="B2195" t="inlineStr">
        <is>
          <t>Muro, House</t>
        </is>
      </c>
      <c r="C2195" t="inlineStr">
        <is>
          <t>https://www.aplaceinthesun.com/property/details/ap4082362/2-bed-house-for-sale-in-muro-mallorca-spain</t>
        </is>
      </c>
      <c r="E2195" t="n">
        <v>2</v>
      </c>
      <c r="J2195" t="inlineStr">
        <is>
          <t>Muro Mallorca Spain</t>
        </is>
      </c>
      <c r="S2195" t="n">
        <v>314410</v>
      </c>
      <c r="AH2195" t="inlineStr">
        <is>
          <t>Quelle: A Place in the Sun</t>
        </is>
      </c>
    </row>
    <row r="2196">
      <c r="A2196" t="n">
        <v>2009</v>
      </c>
      <c r="B2196" t="inlineStr">
        <is>
          <t>Cala d'Or, Penthouse</t>
        </is>
      </c>
      <c r="C2196" t="inlineStr">
        <is>
          <t>https://www.aplaceinthesun.com/property/details/ap4023720/3-bed-penthouse-for-sale-in-cala-d-or-mallorca-spain</t>
        </is>
      </c>
      <c r="E2196" t="n">
        <v>3</v>
      </c>
      <c r="J2196" t="inlineStr">
        <is>
          <t>Cala D Or Mallorca Spain</t>
        </is>
      </c>
      <c r="S2196" t="n">
        <v>436245</v>
      </c>
      <c r="AH2196" t="inlineStr">
        <is>
          <t>Quelle: A Place in the Sun</t>
        </is>
      </c>
    </row>
    <row r="2197">
      <c r="A2197" t="n">
        <v>2010</v>
      </c>
      <c r="B2197" t="inlineStr">
        <is>
          <t>APTS Property</t>
        </is>
      </c>
      <c r="C2197" t="inlineStr">
        <is>
          <t>https://www.aplaceinthesun.com/property/details/ap3908003/spcrm3246</t>
        </is>
      </c>
      <c r="J2197" t="inlineStr">
        <is>
          <t>Mallorca</t>
        </is>
      </c>
      <c r="AH2197" t="inlineStr">
        <is>
          <t>Quelle: A Place in the Sun</t>
        </is>
      </c>
    </row>
    <row r="2198">
      <c r="A2198" t="n">
        <v>2011</v>
      </c>
      <c r="B2198" t="inlineStr">
        <is>
          <t>APTS Property</t>
        </is>
      </c>
      <c r="C2198" t="inlineStr">
        <is>
          <t>https://www.aplaceinthesun.com/property/details/ap3256496/3-bed-apartment-for-sale-in-arta-mallorca-spain</t>
        </is>
      </c>
      <c r="E2198" t="n">
        <v>3</v>
      </c>
      <c r="J2198" t="inlineStr">
        <is>
          <t>Arta Mallorca Spain</t>
        </is>
      </c>
      <c r="AH2198" t="inlineStr">
        <is>
          <t>Quelle: A Place in the Sun</t>
        </is>
      </c>
    </row>
    <row r="2199">
      <c r="A2199" t="n">
        <v>2012</v>
      </c>
      <c r="B2199" t="inlineStr">
        <is>
          <t>APTS Property</t>
        </is>
      </c>
      <c r="C2199" t="inlineStr">
        <is>
          <t>https://www.aplaceinthesun.com/property/details/ap4079381/3-bed-property-for-sale-in-porreres-mallorca-spain</t>
        </is>
      </c>
      <c r="E2199" t="n">
        <v>3</v>
      </c>
      <c r="J2199" t="inlineStr">
        <is>
          <t>Porreres Mallorca Spain</t>
        </is>
      </c>
      <c r="AH2199" t="inlineStr">
        <is>
          <t>Quelle: A Place in the Sun</t>
        </is>
      </c>
    </row>
    <row r="2200">
      <c r="A2200" t="n">
        <v>2013</v>
      </c>
      <c r="B2200" t="inlineStr">
        <is>
          <t>APTS Property</t>
        </is>
      </c>
      <c r="C2200" t="inlineStr">
        <is>
          <t>https://www.aplaceinthesun.com/property/details/ap4002849/apartment-for-sale-in-felanitx-mallorca-spain</t>
        </is>
      </c>
      <c r="J2200" t="inlineStr">
        <is>
          <t>Felanitx Mallorca Spain</t>
        </is>
      </c>
      <c r="AH2200" t="inlineStr">
        <is>
          <t>Quelle: A Place in the Sun</t>
        </is>
      </c>
    </row>
    <row r="2201">
      <c r="A2201" t="n">
        <v>2014</v>
      </c>
      <c r="B2201" t="inlineStr">
        <is>
          <t>APTS Property</t>
        </is>
      </c>
      <c r="C2201" t="inlineStr">
        <is>
          <t>https://www.aplaceinthesun.com/property/details/ap4078486/3-bed-property-for-sale-in-palma-de-mallorca-mallorca-spain</t>
        </is>
      </c>
      <c r="E2201" t="n">
        <v>3</v>
      </c>
      <c r="J2201" t="inlineStr">
        <is>
          <t>Palma De Mallorca Mallorca Spain</t>
        </is>
      </c>
      <c r="AH2201" t="inlineStr">
        <is>
          <t>Quelle: A Place in the Sun</t>
        </is>
      </c>
    </row>
    <row r="2202">
      <c r="A2202" t="n">
        <v>2015</v>
      </c>
      <c r="B2202" t="inlineStr">
        <is>
          <t>APTS Property</t>
        </is>
      </c>
      <c r="C2202" t="inlineStr">
        <is>
          <t>https://www.aplaceinthesun.com/property/details/ap4078488/5-bed-villa-for-sale-in-andratx-mallorca-spain</t>
        </is>
      </c>
      <c r="E2202" t="n">
        <v>5</v>
      </c>
      <c r="J2202" t="inlineStr">
        <is>
          <t>Andratx Mallorca Spain</t>
        </is>
      </c>
      <c r="K2202" t="n">
        <v>40.3</v>
      </c>
      <c r="L2202" t="n">
        <v>36</v>
      </c>
      <c r="M2202" t="n">
        <v>83</v>
      </c>
      <c r="N2202" t="n">
        <v>68</v>
      </c>
      <c r="O2202" t="n">
        <v>2.7</v>
      </c>
      <c r="P2202" t="n">
        <v>7</v>
      </c>
      <c r="Q2202" t="n">
        <v>80.7</v>
      </c>
      <c r="R2202" t="n">
        <v>65</v>
      </c>
      <c r="AH2202" t="inlineStr">
        <is>
          <t>Quelle: A Place in the Sun</t>
        </is>
      </c>
    </row>
    <row r="2203">
      <c r="A2203" t="n">
        <v>2016</v>
      </c>
      <c r="B2203" t="inlineStr">
        <is>
          <t>APTS Property</t>
        </is>
      </c>
      <c r="C2203" t="inlineStr">
        <is>
          <t>https://www.aplaceinthesun.com/property/details/ap4077526/plot-for-sale-in-manacor-mallorca-spain</t>
        </is>
      </c>
      <c r="J2203" t="inlineStr">
        <is>
          <t>Manacor Mallorca Spain</t>
        </is>
      </c>
      <c r="AH2203" t="inlineStr">
        <is>
          <t>Quelle: A Place in the Sun</t>
        </is>
      </c>
    </row>
    <row r="2204">
      <c r="A2204" t="n">
        <v>2017</v>
      </c>
      <c r="B2204" t="inlineStr">
        <is>
          <t>APTS Property</t>
        </is>
      </c>
      <c r="C2204" t="inlineStr">
        <is>
          <t>https://www.aplaceinthesun.com/property/details/ap4075549/2-bed-flat-for-sale-in-palma-de-mallorca-mallorca-spain</t>
        </is>
      </c>
      <c r="E2204" t="n">
        <v>2</v>
      </c>
      <c r="J2204" t="inlineStr">
        <is>
          <t>Palma De Mallorca Mallorca Spain</t>
        </is>
      </c>
      <c r="AH2204" t="inlineStr">
        <is>
          <t>Quelle: A Place in the Sun</t>
        </is>
      </c>
    </row>
    <row r="2205">
      <c r="A2205" t="n">
        <v>2018</v>
      </c>
      <c r="B2205" t="inlineStr">
        <is>
          <t>APTS Property</t>
        </is>
      </c>
      <c r="C2205" t="inlineStr">
        <is>
          <t>https://www.aplaceinthesun.com/property/details/ap4075487/5-bed-villa-for-sale-in-santanyi-mallorca-spain</t>
        </is>
      </c>
      <c r="E2205" t="n">
        <v>5</v>
      </c>
      <c r="J2205" t="inlineStr">
        <is>
          <t>Santanyi Mallorca Spain</t>
        </is>
      </c>
      <c r="K2205" t="n">
        <v>45.4</v>
      </c>
      <c r="L2205" t="n">
        <v>39</v>
      </c>
      <c r="M2205" t="n">
        <v>9</v>
      </c>
      <c r="N2205" t="n">
        <v>13</v>
      </c>
      <c r="O2205" t="n">
        <v>83.59999999999999</v>
      </c>
      <c r="P2205" t="n">
        <v>67</v>
      </c>
      <c r="Q2205" t="n">
        <v>9.699999999999999</v>
      </c>
      <c r="R2205" t="n">
        <v>15</v>
      </c>
      <c r="AH2205" t="inlineStr">
        <is>
          <t>Quelle: A Place in the Sun</t>
        </is>
      </c>
    </row>
    <row r="2206">
      <c r="A2206" t="n">
        <v>2019</v>
      </c>
      <c r="B2206" t="inlineStr">
        <is>
          <t>APTS Property</t>
        </is>
      </c>
      <c r="C2206" t="inlineStr">
        <is>
          <t>https://www.aplaceinthesun.com/property/details/ap4075488/3-bed-villa-for-sale-in-costa-de-la-calma-mallorca-spain</t>
        </is>
      </c>
      <c r="E2206" t="n">
        <v>3</v>
      </c>
      <c r="J2206" t="inlineStr">
        <is>
          <t>Costa De La Calma Mallorca Spain</t>
        </is>
      </c>
      <c r="AH2206" t="inlineStr">
        <is>
          <t>Quelle: A Place in the Sun</t>
        </is>
      </c>
    </row>
    <row r="2207">
      <c r="A2207" t="n">
        <v>2020</v>
      </c>
      <c r="B2207" t="inlineStr">
        <is>
          <t>APTS Property</t>
        </is>
      </c>
      <c r="C2207" t="inlineStr">
        <is>
          <t>https://www.aplaceinthesun.com/property/details/ap4075485/6-bed-villa-for-sale-in-montuiri-mallorca-spain</t>
        </is>
      </c>
      <c r="E2207" t="n">
        <v>6</v>
      </c>
      <c r="J2207" t="inlineStr">
        <is>
          <t>Montuiri Mallorca Spain</t>
        </is>
      </c>
      <c r="K2207" t="n">
        <v>27.9</v>
      </c>
      <c r="L2207" t="n">
        <v>28</v>
      </c>
      <c r="M2207" t="n">
        <v>32.5</v>
      </c>
      <c r="N2207" t="n">
        <v>36</v>
      </c>
      <c r="O2207" t="n">
        <v>62.1</v>
      </c>
      <c r="P2207" t="n">
        <v>52</v>
      </c>
      <c r="Q2207" t="n">
        <v>30.2</v>
      </c>
      <c r="R2207" t="n">
        <v>32</v>
      </c>
      <c r="AH2207" t="inlineStr">
        <is>
          <t>Quelle: A Place in the Sun</t>
        </is>
      </c>
    </row>
    <row r="2208">
      <c r="A2208" t="n">
        <v>2021</v>
      </c>
      <c r="B2208" t="inlineStr">
        <is>
          <t>APTS Property</t>
        </is>
      </c>
      <c r="C2208" t="inlineStr">
        <is>
          <t>https://www.aplaceinthesun.com/property/details/ap4075418/3-bed-penthouse-for-sale-in-puerto-pollensa-mallorca-spain</t>
        </is>
      </c>
      <c r="E2208" t="n">
        <v>3</v>
      </c>
      <c r="J2208" t="inlineStr">
        <is>
          <t>Puerto Pollensa Mallorca Spain</t>
        </is>
      </c>
      <c r="AH2208" t="inlineStr">
        <is>
          <t>Quelle: A Place in the Sun</t>
        </is>
      </c>
    </row>
    <row r="2209">
      <c r="A2209" t="n">
        <v>2022</v>
      </c>
      <c r="B2209" t="inlineStr">
        <is>
          <t>APTS Property</t>
        </is>
      </c>
      <c r="C2209" t="inlineStr">
        <is>
          <t>https://www.aplaceinthesun.com/property/details/ap4075417/6-bed-townhouse-for-sale-in-soller-mallorca-spain</t>
        </is>
      </c>
      <c r="E2209" t="n">
        <v>6</v>
      </c>
      <c r="J2209" t="inlineStr">
        <is>
          <t>Soller Mallorca Spain</t>
        </is>
      </c>
      <c r="K2209" t="n">
        <v>32.5</v>
      </c>
      <c r="L2209" t="n">
        <v>38</v>
      </c>
      <c r="M2209" t="n">
        <v>75.2</v>
      </c>
      <c r="N2209" t="n">
        <v>70</v>
      </c>
      <c r="O2209" t="n">
        <v>52.1</v>
      </c>
      <c r="P2209" t="n">
        <v>51</v>
      </c>
      <c r="Q2209" t="n">
        <v>72.90000000000001</v>
      </c>
      <c r="R2209" t="n">
        <v>67</v>
      </c>
      <c r="AH2209" t="inlineStr">
        <is>
          <t>Quelle: A Place in the Sun</t>
        </is>
      </c>
    </row>
    <row r="2210">
      <c r="A2210" t="n">
        <v>2023</v>
      </c>
      <c r="B2210" t="inlineStr">
        <is>
          <t>APTS Property</t>
        </is>
      </c>
      <c r="C2210" t="inlineStr">
        <is>
          <t>https://www.aplaceinthesun.com/property/details/ap4075381/2-bed-apartment-for-sale-in-son-espanyolet-mallorca-spain</t>
        </is>
      </c>
      <c r="E2210" t="n">
        <v>2</v>
      </c>
      <c r="J2210" t="inlineStr">
        <is>
          <t>Son Espanyolet Mallorca Spain</t>
        </is>
      </c>
      <c r="AH2210" t="inlineStr">
        <is>
          <t>Quelle: A Place in the Sun</t>
        </is>
      </c>
    </row>
    <row r="2211">
      <c r="A2211" t="n">
        <v>2024</v>
      </c>
      <c r="B2211" t="inlineStr">
        <is>
          <t>APTS Property</t>
        </is>
      </c>
      <c r="C2211" t="inlineStr">
        <is>
          <t>https://www.aplaceinthesun.com/property/details/ap4075382/11-bed-townhouse-for-sale-in-palma-de-mallorca-mallorca-spain</t>
        </is>
      </c>
      <c r="E2211" t="n">
        <v>11</v>
      </c>
      <c r="J2211" t="inlineStr">
        <is>
          <t>Palma De Mallorca Mallorca Spain</t>
        </is>
      </c>
      <c r="K2211" t="n">
        <v>9.699999999999999</v>
      </c>
      <c r="L2211" t="n">
        <v>14</v>
      </c>
      <c r="M2211" t="n">
        <v>52.5</v>
      </c>
      <c r="N2211" t="n">
        <v>47</v>
      </c>
      <c r="O2211" t="n">
        <v>32.1</v>
      </c>
      <c r="P2211" t="n">
        <v>36</v>
      </c>
      <c r="Q2211" t="n">
        <v>50.2</v>
      </c>
      <c r="R2211" t="n">
        <v>44</v>
      </c>
      <c r="AH2211" t="inlineStr">
        <is>
          <t>Quelle: A Place in the Sun</t>
        </is>
      </c>
    </row>
    <row r="2212">
      <c r="A2212" t="n">
        <v>2025</v>
      </c>
      <c r="B2212" t="inlineStr">
        <is>
          <t>APTS Property</t>
        </is>
      </c>
      <c r="C2212" t="inlineStr">
        <is>
          <t>https://www.aplaceinthesun.com/property/details/ap4075355/2-bed-apartment-for-sale-in-illetas-mallorca-spain</t>
        </is>
      </c>
      <c r="E2212" t="n">
        <v>2</v>
      </c>
      <c r="J2212" t="inlineStr">
        <is>
          <t>Illetas Mallorca Spain</t>
        </is>
      </c>
      <c r="AH2212" t="inlineStr">
        <is>
          <t>Quelle: A Place in the Sun</t>
        </is>
      </c>
    </row>
    <row r="2213">
      <c r="A2213" t="n">
        <v>2026</v>
      </c>
      <c r="B2213" t="inlineStr">
        <is>
          <t>APTS Property</t>
        </is>
      </c>
      <c r="C2213" t="inlineStr">
        <is>
          <t>https://www.aplaceinthesun.com/property/details/ap4072698/3-bed-property-for-sale-in-puerto-pollensa-mallorca-spain</t>
        </is>
      </c>
      <c r="E2213" t="n">
        <v>3</v>
      </c>
      <c r="J2213" t="inlineStr">
        <is>
          <t>Puerto Pollensa Mallorca Spain</t>
        </is>
      </c>
      <c r="AH2213" t="inlineStr">
        <is>
          <t>Quelle: A Place in the Sun</t>
        </is>
      </c>
    </row>
    <row r="2214">
      <c r="A2214" t="n">
        <v>2027</v>
      </c>
      <c r="B2214" t="inlineStr">
        <is>
          <t>APTS Property</t>
        </is>
      </c>
      <c r="C2214" t="inlineStr">
        <is>
          <t>https://www.aplaceinthesun.com/property/details/ap4066453/3-bed-duplex-for-sale-in-palma-de-mallorca-mallorca-spain</t>
        </is>
      </c>
      <c r="E2214" t="n">
        <v>3</v>
      </c>
      <c r="J2214" t="inlineStr">
        <is>
          <t>Palma De Mallorca Mallorca Spain</t>
        </is>
      </c>
      <c r="AH2214" t="inlineStr">
        <is>
          <t>Quelle: A Place in the Sun</t>
        </is>
      </c>
    </row>
    <row r="2215">
      <c r="A2215" t="n">
        <v>2028</v>
      </c>
      <c r="B2215" t="inlineStr">
        <is>
          <t>APTS Property</t>
        </is>
      </c>
      <c r="C2215" t="inlineStr">
        <is>
          <t>https://www.aplaceinthesun.com/property/details/ap4066447/5-bed-villa-for-sale-in-palma-de-mallorca-mallorca-spain</t>
        </is>
      </c>
      <c r="E2215" t="n">
        <v>5</v>
      </c>
      <c r="J2215" t="inlineStr">
        <is>
          <t>Palma De Mallorca Mallorca Spain</t>
        </is>
      </c>
      <c r="K2215" t="n">
        <v>9.699999999999999</v>
      </c>
      <c r="L2215" t="n">
        <v>14</v>
      </c>
      <c r="M2215" t="n">
        <v>52.5</v>
      </c>
      <c r="N2215" t="n">
        <v>47</v>
      </c>
      <c r="O2215" t="n">
        <v>32.1</v>
      </c>
      <c r="P2215" t="n">
        <v>36</v>
      </c>
      <c r="Q2215" t="n">
        <v>50.2</v>
      </c>
      <c r="R2215" t="n">
        <v>44</v>
      </c>
      <c r="AH2215" t="inlineStr">
        <is>
          <t>Quelle: A Place in the Sun</t>
        </is>
      </c>
    </row>
    <row r="2216">
      <c r="A2216" t="n">
        <v>2029</v>
      </c>
      <c r="B2216" t="inlineStr">
        <is>
          <t>APTS Property</t>
        </is>
      </c>
      <c r="C2216" t="inlineStr">
        <is>
          <t>https://www.aplaceinthesun.com/property/details/ap4066273/spcrm4379</t>
        </is>
      </c>
      <c r="J2216" t="inlineStr">
        <is>
          <t>Mallorca</t>
        </is>
      </c>
      <c r="AH2216" t="inlineStr">
        <is>
          <t>Quelle: A Place in the Sun</t>
        </is>
      </c>
    </row>
    <row r="2217">
      <c r="A2217" t="n">
        <v>2030</v>
      </c>
      <c r="B2217" t="inlineStr">
        <is>
          <t>APTS Property</t>
        </is>
      </c>
      <c r="C2217" t="inlineStr">
        <is>
          <t>https://www.aplaceinthesun.com/property/details/ap4002258/spcrm3910</t>
        </is>
      </c>
      <c r="J2217" t="inlineStr">
        <is>
          <t>Mallorca</t>
        </is>
      </c>
      <c r="AH2217" t="inlineStr">
        <is>
          <t>Quelle: A Place in the Sun</t>
        </is>
      </c>
    </row>
    <row r="2218">
      <c r="A2218" t="n">
        <v>2031</v>
      </c>
      <c r="B2218" t="inlineStr">
        <is>
          <t>APTS Property</t>
        </is>
      </c>
      <c r="C2218" t="inlineStr">
        <is>
          <t>https://www.aplaceinthesun.com/property/details/ap4005640/spcrm3891</t>
        </is>
      </c>
      <c r="J2218" t="inlineStr">
        <is>
          <t>Mallorca</t>
        </is>
      </c>
      <c r="AH2218" t="inlineStr">
        <is>
          <t>Quelle: A Place in the Sun</t>
        </is>
      </c>
    </row>
    <row r="2219">
      <c r="A2219" t="n">
        <v>2032</v>
      </c>
      <c r="B2219" t="inlineStr">
        <is>
          <t>APTS Property</t>
        </is>
      </c>
      <c r="C2219" t="inlineStr">
        <is>
          <t>https://www.aplaceinthesun.com/property/details/ap3857890/spcrm3038</t>
        </is>
      </c>
      <c r="J2219" t="inlineStr">
        <is>
          <t>Mallorca</t>
        </is>
      </c>
      <c r="AH2219" t="inlineStr">
        <is>
          <t>Quelle: A Place in the Sun</t>
        </is>
      </c>
    </row>
    <row r="2220">
      <c r="A2220" t="n">
        <v>2033</v>
      </c>
      <c r="B2220" t="inlineStr">
        <is>
          <t>APTS Property</t>
        </is>
      </c>
      <c r="C2220" t="inlineStr">
        <is>
          <t>https://www.aplaceinthesun.com/property/details/ap3977606/spcrm3796</t>
        </is>
      </c>
      <c r="J2220" t="inlineStr">
        <is>
          <t>Mallorca</t>
        </is>
      </c>
      <c r="AH2220" t="inlineStr">
        <is>
          <t>Quelle: A Place in the Sun</t>
        </is>
      </c>
    </row>
    <row r="2221">
      <c r="A2221" t="n">
        <v>2034</v>
      </c>
      <c r="B2221" t="inlineStr">
        <is>
          <t>APTS Property</t>
        </is>
      </c>
      <c r="C2221" t="inlineStr">
        <is>
          <t>https://www.aplaceinthesun.com/property/details/ap3868050/spcrm3148</t>
        </is>
      </c>
      <c r="J2221" t="inlineStr">
        <is>
          <t>Mallorca</t>
        </is>
      </c>
      <c r="AH2221" t="inlineStr">
        <is>
          <t>Quelle: A Place in the Sun</t>
        </is>
      </c>
    </row>
    <row r="2222">
      <c r="A2222" t="n">
        <v>2035</v>
      </c>
      <c r="B2222" t="inlineStr">
        <is>
          <t>APTS Property</t>
        </is>
      </c>
      <c r="C2222" t="inlineStr">
        <is>
          <t>https://www.aplaceinthesun.com/property/details/ap3933260/3-bed-flat-for-sale-in-palma-de-mallorca-mallorca-spain</t>
        </is>
      </c>
      <c r="E2222" t="n">
        <v>3</v>
      </c>
      <c r="J2222" t="inlineStr">
        <is>
          <t>Palma De Mallorca Mallorca Spain</t>
        </is>
      </c>
      <c r="AH2222" t="inlineStr">
        <is>
          <t>Quelle: A Place in the Sun</t>
        </is>
      </c>
    </row>
    <row r="2223">
      <c r="A2223" t="n">
        <v>2036</v>
      </c>
      <c r="B2223" t="inlineStr">
        <is>
          <t>APTS Property</t>
        </is>
      </c>
      <c r="C2223" t="inlineStr">
        <is>
          <t>https://www.aplaceinthesun.com/property/details/ap4050360/spcrm4308</t>
        </is>
      </c>
      <c r="J2223" t="inlineStr">
        <is>
          <t>Mallorca</t>
        </is>
      </c>
      <c r="AH2223" t="inlineStr">
        <is>
          <t>Quelle: A Place in the Sun</t>
        </is>
      </c>
    </row>
    <row r="2224">
      <c r="A2224" t="n">
        <v>2037</v>
      </c>
      <c r="B2224" t="inlineStr">
        <is>
          <t>APTS Property</t>
        </is>
      </c>
      <c r="C2224" t="inlineStr">
        <is>
          <t>https://www.aplaceinthesun.com/property/details/ap4063009/villa-santa-ponsa-with-endless-possibilities</t>
        </is>
      </c>
      <c r="J2224" t="inlineStr">
        <is>
          <t>Mallorca</t>
        </is>
      </c>
      <c r="AH2224" t="inlineStr">
        <is>
          <t>Quelle: A Place in the Sun</t>
        </is>
      </c>
    </row>
    <row r="2225">
      <c r="A2225" t="n">
        <v>2038</v>
      </c>
      <c r="B2225" t="inlineStr">
        <is>
          <t>APTS Property</t>
        </is>
      </c>
      <c r="C2225" t="inlineStr">
        <is>
          <t>https://www.aplaceinthesun.com/property/details/ap3983116/2-bed-apartment-for-sale-in-paguera-mallorca-spain</t>
        </is>
      </c>
      <c r="E2225" t="n">
        <v>2</v>
      </c>
      <c r="J2225" t="inlineStr">
        <is>
          <t>Paguera Mallorca Spain</t>
        </is>
      </c>
      <c r="AH2225" t="inlineStr">
        <is>
          <t>Quelle: A Place in the Sun</t>
        </is>
      </c>
    </row>
    <row r="2226">
      <c r="A2226" t="n">
        <v>2039</v>
      </c>
      <c r="B2226" t="inlineStr">
        <is>
          <t>APTS Property</t>
        </is>
      </c>
      <c r="C2226" t="inlineStr">
        <is>
          <t>https://www.aplaceinthesun.com/property/details/ap2717989/exclusive-new-villa-with-sea-views-in-alcanada</t>
        </is>
      </c>
      <c r="J2226" t="inlineStr">
        <is>
          <t>Mallorca</t>
        </is>
      </c>
      <c r="AH2226" t="inlineStr">
        <is>
          <t>Quelle: A Place in the Sun</t>
        </is>
      </c>
    </row>
    <row r="2227">
      <c r="A2227" t="n">
        <v>2040</v>
      </c>
      <c r="B2227" t="inlineStr">
        <is>
          <t>APTS Property</t>
        </is>
      </c>
      <c r="C2227" t="inlineStr">
        <is>
          <t>https://www.aplaceinthesun.com/property/details/ap4064287/2-bed-village-house-for-sale-in-petra-mallorca-spain</t>
        </is>
      </c>
      <c r="E2227" t="n">
        <v>2</v>
      </c>
      <c r="J2227" t="inlineStr">
        <is>
          <t>Petra Mallorca Spain</t>
        </is>
      </c>
      <c r="AH2227" t="inlineStr">
        <is>
          <t>Quelle: A Place in the Sun</t>
        </is>
      </c>
    </row>
    <row r="2228">
      <c r="A2228" t="n">
        <v>2041</v>
      </c>
      <c r="B2228" t="inlineStr">
        <is>
          <t>APTS Property</t>
        </is>
      </c>
      <c r="C2228" t="inlineStr">
        <is>
          <t>https://www.aplaceinthesun.com/property/details/ap4013211/2-bed-apartment-for-sale-in-genova-mallorca-spain</t>
        </is>
      </c>
      <c r="E2228" t="n">
        <v>2</v>
      </c>
      <c r="J2228" t="inlineStr">
        <is>
          <t>Genova Mallorca Spain</t>
        </is>
      </c>
      <c r="AH2228" t="inlineStr">
        <is>
          <t>Quelle: A Place in the Sun</t>
        </is>
      </c>
    </row>
    <row r="2229">
      <c r="A2229" t="n">
        <v>2042</v>
      </c>
      <c r="B2229" t="inlineStr">
        <is>
          <t>APTS Property</t>
        </is>
      </c>
      <c r="C2229" t="inlineStr">
        <is>
          <t>https://www.aplaceinthesun.com/property/details/ap4060884/4-bed-house-for-sale-in-palma-de-mallorca-mallorca-spain</t>
        </is>
      </c>
      <c r="E2229" t="n">
        <v>4</v>
      </c>
      <c r="J2229" t="inlineStr">
        <is>
          <t>Palma De Mallorca Mallorca Spain</t>
        </is>
      </c>
      <c r="AH2229" t="inlineStr">
        <is>
          <t>Quelle: A Place in the Sun</t>
        </is>
      </c>
    </row>
    <row r="2230">
      <c r="A2230" t="n">
        <v>2043</v>
      </c>
      <c r="B2230" t="inlineStr">
        <is>
          <t>APTS Property</t>
        </is>
      </c>
      <c r="C2230" t="inlineStr">
        <is>
          <t>https://www.aplaceinthesun.com/property/details/ap4057188/3-bed-property-for-sale-in-marratxi-mallorca-spain</t>
        </is>
      </c>
      <c r="E2230" t="n">
        <v>3</v>
      </c>
      <c r="J2230" t="inlineStr">
        <is>
          <t>Marratxi Mallorca Spain</t>
        </is>
      </c>
      <c r="AH2230" t="inlineStr">
        <is>
          <t>Quelle: A Place in the Sun</t>
        </is>
      </c>
    </row>
    <row r="2231">
      <c r="A2231" t="n">
        <v>2044</v>
      </c>
      <c r="B2231" t="inlineStr">
        <is>
          <t>APTS Property</t>
        </is>
      </c>
      <c r="C2231" t="inlineStr">
        <is>
          <t>https://www.aplaceinthesun.com/property/details/ap4045546/4-bed-villa-for-sale-in-costitx-mallorca-spain</t>
        </is>
      </c>
      <c r="E2231" t="n">
        <v>4</v>
      </c>
      <c r="J2231" t="inlineStr">
        <is>
          <t>Costitx Mallorca Spain</t>
        </is>
      </c>
      <c r="AH2231" t="inlineStr">
        <is>
          <t>Quelle: A Place in the Sun</t>
        </is>
      </c>
    </row>
    <row r="2232">
      <c r="A2232" t="n">
        <v>2045</v>
      </c>
      <c r="B2232" t="inlineStr">
        <is>
          <t>APTS Property</t>
        </is>
      </c>
      <c r="C2232" t="inlineStr">
        <is>
          <t>https://www.aplaceinthesun.com/property/details/ap4055035/spcrm4352</t>
        </is>
      </c>
      <c r="J2232" t="inlineStr">
        <is>
          <t>Mallorca</t>
        </is>
      </c>
      <c r="AH2232" t="inlineStr">
        <is>
          <t>Quelle: A Place in the Sun</t>
        </is>
      </c>
    </row>
    <row r="2233">
      <c r="A2233" t="n">
        <v>2046</v>
      </c>
      <c r="B2233" t="inlineStr">
        <is>
          <t>APTS Property</t>
        </is>
      </c>
      <c r="C2233" t="inlineStr">
        <is>
          <t>https://www.aplaceinthesun.com/property/details/ap4054224/spcrm3397</t>
        </is>
      </c>
      <c r="J2233" t="inlineStr">
        <is>
          <t>Mallorca</t>
        </is>
      </c>
      <c r="AH2233" t="inlineStr">
        <is>
          <t>Quelle: A Place in the Sun</t>
        </is>
      </c>
    </row>
    <row r="2234">
      <c r="A2234" t="n">
        <v>2047</v>
      </c>
      <c r="B2234" t="inlineStr">
        <is>
          <t>APTS Property</t>
        </is>
      </c>
      <c r="C2234" t="inlineStr">
        <is>
          <t>https://www.aplaceinthesun.com/property/details/ap4054186/1-bed-apartment-for-sale-in-cala-d-or-mallorca-spain</t>
        </is>
      </c>
      <c r="E2234" t="n">
        <v>1</v>
      </c>
      <c r="J2234" t="inlineStr">
        <is>
          <t>Cala D Or Mallorca Spain</t>
        </is>
      </c>
      <c r="AH2234" t="inlineStr">
        <is>
          <t>Quelle: A Place in the Sun</t>
        </is>
      </c>
    </row>
    <row r="2235">
      <c r="A2235" t="n">
        <v>2048</v>
      </c>
      <c r="B2235" t="inlineStr">
        <is>
          <t>APTS Property</t>
        </is>
      </c>
      <c r="C2235" t="inlineStr">
        <is>
          <t>https://www.aplaceinthesun.com/property/details/ap3730318/spcrm2230</t>
        </is>
      </c>
      <c r="J2235" t="inlineStr">
        <is>
          <t>Mallorca</t>
        </is>
      </c>
      <c r="AH2235" t="inlineStr">
        <is>
          <t>Quelle: A Place in the Sun</t>
        </is>
      </c>
    </row>
    <row r="2236">
      <c r="A2236" t="n">
        <v>2049</v>
      </c>
      <c r="B2236" t="inlineStr">
        <is>
          <t>APTS Property</t>
        </is>
      </c>
      <c r="C2236" t="inlineStr">
        <is>
          <t>https://www.aplaceinthesun.com/property/details/ap4022481/spcrm4067</t>
        </is>
      </c>
      <c r="J2236" t="inlineStr">
        <is>
          <t>Mallorca</t>
        </is>
      </c>
      <c r="AH2236" t="inlineStr">
        <is>
          <t>Quelle: A Place in the Sun</t>
        </is>
      </c>
    </row>
    <row r="2237">
      <c r="A2237" t="n">
        <v>2050</v>
      </c>
      <c r="B2237" t="inlineStr">
        <is>
          <t>APTS Property</t>
        </is>
      </c>
      <c r="C2237" t="inlineStr">
        <is>
          <t>https://www.aplaceinthesun.com/property/details/ap3953485/spcrm3616</t>
        </is>
      </c>
      <c r="J2237" t="inlineStr">
        <is>
          <t>Mallorca</t>
        </is>
      </c>
      <c r="AH2237" t="inlineStr">
        <is>
          <t>Quelle: A Place in the Sun</t>
        </is>
      </c>
    </row>
    <row r="2238">
      <c r="A2238" t="n">
        <v>2051</v>
      </c>
      <c r="B2238" t="inlineStr">
        <is>
          <t>APTS Property</t>
        </is>
      </c>
      <c r="C2238" t="inlineStr">
        <is>
          <t>https://www.aplaceinthesun.com/property/details/ap3845773/spcrm3004</t>
        </is>
      </c>
      <c r="J2238" t="inlineStr">
        <is>
          <t>Mallorca</t>
        </is>
      </c>
      <c r="AH2238" t="inlineStr">
        <is>
          <t>Quelle: A Place in the Sun</t>
        </is>
      </c>
    </row>
    <row r="2239">
      <c r="A2239" t="n">
        <v>2052</v>
      </c>
      <c r="B2239" t="inlineStr">
        <is>
          <t>APTS Property</t>
        </is>
      </c>
      <c r="C2239" t="inlineStr">
        <is>
          <t>https://www.aplaceinthesun.com/property/details/ap4053381/spcrm4289</t>
        </is>
      </c>
      <c r="J2239" t="inlineStr">
        <is>
          <t>Mallorca</t>
        </is>
      </c>
      <c r="AH2239" t="inlineStr">
        <is>
          <t>Quelle: A Place in the Sun</t>
        </is>
      </c>
    </row>
    <row r="2240">
      <c r="A2240" t="n">
        <v>2053</v>
      </c>
      <c r="B2240" t="inlineStr">
        <is>
          <t>APTS Property</t>
        </is>
      </c>
      <c r="C2240" t="inlineStr">
        <is>
          <t>https://www.aplaceinthesun.com/property/details/ap4052599/2-bed-townhouse-for-sale-in-pollenca-mallorca-spain</t>
        </is>
      </c>
      <c r="E2240" t="n">
        <v>2</v>
      </c>
      <c r="J2240" t="inlineStr">
        <is>
          <t>Pollenca Mallorca Spain</t>
        </is>
      </c>
      <c r="AH2240" t="inlineStr">
        <is>
          <t>Quelle: A Place in the Sun</t>
        </is>
      </c>
    </row>
    <row r="2241">
      <c r="A2241" t="n">
        <v>2054</v>
      </c>
      <c r="B2241" t="inlineStr">
        <is>
          <t>APTS Property</t>
        </is>
      </c>
      <c r="C2241" t="inlineStr">
        <is>
          <t>https://www.aplaceinthesun.com/property/details/ap4052152/3-bed-flat-for-sale-in-port-d-andratx-mallorca-spain</t>
        </is>
      </c>
      <c r="E2241" t="n">
        <v>3</v>
      </c>
      <c r="J2241" t="inlineStr">
        <is>
          <t>Port D Andratx Mallorca Spain</t>
        </is>
      </c>
      <c r="AH2241" t="inlineStr">
        <is>
          <t>Quelle: A Place in the Sun</t>
        </is>
      </c>
    </row>
    <row r="2242">
      <c r="A2242" t="n">
        <v>2055</v>
      </c>
      <c r="B2242" t="inlineStr">
        <is>
          <t>APTS Property</t>
        </is>
      </c>
      <c r="C2242" t="inlineStr">
        <is>
          <t>https://www.aplaceinthesun.com/property/details/ap4052144/2-bed-penthouse-for-sale-in-port-d-andratx-mallorca-spain</t>
        </is>
      </c>
      <c r="E2242" t="n">
        <v>2</v>
      </c>
      <c r="J2242" t="inlineStr">
        <is>
          <t>Port D Andratx Mallorca Spain</t>
        </is>
      </c>
      <c r="AH2242" t="inlineStr">
        <is>
          <t>Quelle: A Place in the Sun</t>
        </is>
      </c>
    </row>
    <row r="2243">
      <c r="A2243" t="n">
        <v>2056</v>
      </c>
      <c r="B2243" t="inlineStr">
        <is>
          <t>APTS Property</t>
        </is>
      </c>
      <c r="C2243" t="inlineStr">
        <is>
          <t>https://www.aplaceinthesun.com/property/details/ap4051569/3-bed-commercial-for-sale-in-cala-egos-mallorca-spain</t>
        </is>
      </c>
      <c r="E2243" t="n">
        <v>3</v>
      </c>
      <c r="J2243" t="inlineStr">
        <is>
          <t>Cala Egos Mallorca Spain</t>
        </is>
      </c>
      <c r="AH2243" t="inlineStr">
        <is>
          <t>Quelle: A Place in the Sun</t>
        </is>
      </c>
    </row>
    <row r="2244">
      <c r="A2244" t="n">
        <v>2057</v>
      </c>
      <c r="B2244" t="inlineStr">
        <is>
          <t>APTS Property</t>
        </is>
      </c>
      <c r="C2244" t="inlineStr">
        <is>
          <t>https://www.aplaceinthesun.com/property/details/ap4047783/3-bed-penthouse-for-sale-in-palma-de-mallorca-mallorca-spain</t>
        </is>
      </c>
      <c r="E2244" t="n">
        <v>3</v>
      </c>
      <c r="J2244" t="inlineStr">
        <is>
          <t>Palma De Mallorca Mallorca Spain</t>
        </is>
      </c>
      <c r="AH2244" t="inlineStr">
        <is>
          <t>Quelle: A Place in the Sun</t>
        </is>
      </c>
    </row>
    <row r="2245">
      <c r="A2245" t="n">
        <v>2058</v>
      </c>
      <c r="B2245" t="inlineStr">
        <is>
          <t>APTS Property</t>
        </is>
      </c>
      <c r="C2245" t="inlineStr">
        <is>
          <t>https://www.aplaceinthesun.com/property/details/ap4043208/4-bed-property-for-sale-in-alcudia-mallorca-spain</t>
        </is>
      </c>
      <c r="E2245" t="n">
        <v>4</v>
      </c>
      <c r="J2245" t="inlineStr">
        <is>
          <t>Alcudia Mallorca Spain</t>
        </is>
      </c>
      <c r="AH2245" t="inlineStr">
        <is>
          <t>Quelle: A Place in the Sun</t>
        </is>
      </c>
    </row>
    <row r="2246">
      <c r="A2246" t="n">
        <v>2059</v>
      </c>
      <c r="B2246" t="inlineStr">
        <is>
          <t>APTS Property</t>
        </is>
      </c>
      <c r="C2246" t="inlineStr">
        <is>
          <t>https://www.aplaceinthesun.com/property/details/ap4042810/plot-for-sale-in-alqueria-blanca-mallorca-spain</t>
        </is>
      </c>
      <c r="J2246" t="inlineStr">
        <is>
          <t>Alqueria Blanca Mallorca Spain</t>
        </is>
      </c>
      <c r="AH2246" t="inlineStr">
        <is>
          <t>Quelle: A Place in the Sun</t>
        </is>
      </c>
    </row>
    <row r="2247">
      <c r="A2247" t="n">
        <v>2060</v>
      </c>
      <c r="B2247" t="inlineStr">
        <is>
          <t>APTS Property</t>
        </is>
      </c>
      <c r="C2247" t="inlineStr">
        <is>
          <t>https://www.aplaceinthesun.com/property/details/ap4042076/beautiful-luxury-home-in-arta</t>
        </is>
      </c>
      <c r="J2247" t="inlineStr">
        <is>
          <t>Mallorca</t>
        </is>
      </c>
      <c r="AH2247" t="inlineStr">
        <is>
          <t>Quelle: A Place in the Sun</t>
        </is>
      </c>
    </row>
    <row r="2248">
      <c r="A2248" t="n">
        <v>2061</v>
      </c>
      <c r="B2248" t="inlineStr">
        <is>
          <t>APTS Property</t>
        </is>
      </c>
      <c r="C2248" t="inlineStr">
        <is>
          <t>https://www.aplaceinthesun.com/property/details/ap4041628/6-bed-house-for-sale-in-santa-eugenia-mallorca-spain</t>
        </is>
      </c>
      <c r="E2248" t="n">
        <v>6</v>
      </c>
      <c r="J2248" t="inlineStr">
        <is>
          <t>Santa Eugenia Mallorca Spain</t>
        </is>
      </c>
      <c r="K2248" t="n">
        <v>28.5</v>
      </c>
      <c r="L2248" t="n">
        <v>25</v>
      </c>
      <c r="M2248" t="n">
        <v>48.2</v>
      </c>
      <c r="N2248" t="n">
        <v>48</v>
      </c>
      <c r="O2248" t="n">
        <v>51.1</v>
      </c>
      <c r="P2248" t="n">
        <v>42</v>
      </c>
      <c r="Q2248" t="n">
        <v>45.9</v>
      </c>
      <c r="R2248" t="n">
        <v>44</v>
      </c>
      <c r="AH2248" t="inlineStr">
        <is>
          <t>Quelle: A Place in the Sun</t>
        </is>
      </c>
    </row>
    <row r="2249">
      <c r="A2249" t="n">
        <v>2062</v>
      </c>
      <c r="B2249" t="inlineStr">
        <is>
          <t>APTS Property</t>
        </is>
      </c>
      <c r="C2249" t="inlineStr">
        <is>
          <t>https://www.aplaceinthesun.com/property/details/ap4039812/2-bed-flat-for-sale-in-palma-de-mallorca-mallorca-spain</t>
        </is>
      </c>
      <c r="E2249" t="n">
        <v>2</v>
      </c>
      <c r="J2249" t="inlineStr">
        <is>
          <t>Palma De Mallorca Mallorca Spain</t>
        </is>
      </c>
      <c r="AH2249" t="inlineStr">
        <is>
          <t>Quelle: A Place in the Sun</t>
        </is>
      </c>
    </row>
    <row r="2250">
      <c r="A2250" t="n">
        <v>2063</v>
      </c>
      <c r="B2250" t="inlineStr">
        <is>
          <t>APTS Property</t>
        </is>
      </c>
      <c r="C2250" t="inlineStr">
        <is>
          <t>https://www.aplaceinthesun.com/property/details/ap4039810/2-bed-flat-for-sale-in-capdepera-mallorca-spain</t>
        </is>
      </c>
      <c r="E2250" t="n">
        <v>2</v>
      </c>
      <c r="J2250" t="inlineStr">
        <is>
          <t>Capdepera Mallorca Spain</t>
        </is>
      </c>
      <c r="AH2250" t="inlineStr">
        <is>
          <t>Quelle: A Place in the Sun</t>
        </is>
      </c>
    </row>
    <row r="2251">
      <c r="A2251" t="n">
        <v>2064</v>
      </c>
      <c r="B2251" t="inlineStr">
        <is>
          <t>APTS Property</t>
        </is>
      </c>
      <c r="C2251" t="inlineStr">
        <is>
          <t>https://www.aplaceinthesun.com/property/details/ap4039811/3-bed-villa-for-sale-in-calvia-mallorca-spain</t>
        </is>
      </c>
      <c r="E2251" t="n">
        <v>3</v>
      </c>
      <c r="J2251" t="inlineStr">
        <is>
          <t>Calvia Mallorca Spain</t>
        </is>
      </c>
      <c r="AH2251" t="inlineStr">
        <is>
          <t>Quelle: A Place in the Sun</t>
        </is>
      </c>
    </row>
    <row r="2252">
      <c r="A2252" t="n">
        <v>2065</v>
      </c>
      <c r="B2252" t="inlineStr">
        <is>
          <t>APTS Property</t>
        </is>
      </c>
      <c r="C2252" t="inlineStr">
        <is>
          <t>https://www.aplaceinthesun.com/property/details/ap4037584/spcrm4214</t>
        </is>
      </c>
      <c r="J2252" t="inlineStr">
        <is>
          <t>Mallorca</t>
        </is>
      </c>
      <c r="AH2252" t="inlineStr">
        <is>
          <t>Quelle: A Place in the Sun</t>
        </is>
      </c>
    </row>
    <row r="2253">
      <c r="A2253" t="n">
        <v>2066</v>
      </c>
      <c r="B2253" t="inlineStr">
        <is>
          <t>APTS Property</t>
        </is>
      </c>
      <c r="C2253" t="inlineStr">
        <is>
          <t>https://www.aplaceinthesun.com/property/details/ap4037251/prime-golfside-estate-in-santa-ponsa</t>
        </is>
      </c>
      <c r="J2253" t="inlineStr">
        <is>
          <t>Mallorca</t>
        </is>
      </c>
      <c r="AH2253" t="inlineStr">
        <is>
          <t>Quelle: A Place in the Sun</t>
        </is>
      </c>
    </row>
    <row r="2254">
      <c r="A2254" t="n">
        <v>2067</v>
      </c>
      <c r="B2254" t="inlineStr">
        <is>
          <t>APTS Property</t>
        </is>
      </c>
      <c r="C2254" t="inlineStr">
        <is>
          <t>https://www.aplaceinthesun.com/property/details/ap4037252/8-bed-house-for-sale-in-binissalem-mallorca-spain</t>
        </is>
      </c>
      <c r="E2254" t="n">
        <v>8</v>
      </c>
      <c r="J2254" t="inlineStr">
        <is>
          <t>Binissalem Mallorca Spain</t>
        </is>
      </c>
      <c r="K2254" t="n">
        <v>31.5</v>
      </c>
      <c r="L2254" t="n">
        <v>29</v>
      </c>
      <c r="M2254" t="n">
        <v>74.3</v>
      </c>
      <c r="N2254" t="n">
        <v>62</v>
      </c>
      <c r="O2254" t="n">
        <v>54.1</v>
      </c>
      <c r="P2254" t="n">
        <v>45</v>
      </c>
      <c r="Q2254" t="n">
        <v>72</v>
      </c>
      <c r="R2254" t="n">
        <v>58</v>
      </c>
      <c r="AH2254" t="inlineStr">
        <is>
          <t>Quelle: A Place in the Sun</t>
        </is>
      </c>
    </row>
    <row r="2255">
      <c r="A2255" t="n">
        <v>2068</v>
      </c>
      <c r="B2255" t="inlineStr">
        <is>
          <t>APTS Property</t>
        </is>
      </c>
      <c r="C2255" t="inlineStr">
        <is>
          <t>https://www.aplaceinthesun.com/property/details/ap4037253/luxury-new-build-designer-villa-in-portals-nous</t>
        </is>
      </c>
      <c r="J2255" t="inlineStr">
        <is>
          <t>Mallorca</t>
        </is>
      </c>
      <c r="AH2255" t="inlineStr">
        <is>
          <t>Quelle: A Place in the Sun</t>
        </is>
      </c>
    </row>
    <row r="2256">
      <c r="A2256" t="n">
        <v>2069</v>
      </c>
      <c r="B2256" t="inlineStr">
        <is>
          <t>APTS Property</t>
        </is>
      </c>
      <c r="C2256" t="inlineStr">
        <is>
          <t>https://www.aplaceinthesun.com/property/details/ap4036499/beautiful-luxury-home-in-arta</t>
        </is>
      </c>
      <c r="J2256" t="inlineStr">
        <is>
          <t>Mallorca</t>
        </is>
      </c>
      <c r="AH2256" t="inlineStr">
        <is>
          <t>Quelle: A Place in the Sun</t>
        </is>
      </c>
    </row>
    <row r="2257">
      <c r="A2257" t="n">
        <v>2070</v>
      </c>
      <c r="B2257" t="inlineStr">
        <is>
          <t>APTS Property</t>
        </is>
      </c>
      <c r="C2257" t="inlineStr">
        <is>
          <t>https://www.aplaceinthesun.com/property/details/ap4036496/4-bed-villa-for-sale-in-santa-eulalia-del-rio-mallorca-spain</t>
        </is>
      </c>
      <c r="E2257" t="n">
        <v>4</v>
      </c>
      <c r="J2257" t="inlineStr">
        <is>
          <t>Santa Eulalia Del Rio Mallorca Spain</t>
        </is>
      </c>
      <c r="AH2257" t="inlineStr">
        <is>
          <t>Quelle: A Place in the Sun</t>
        </is>
      </c>
    </row>
    <row r="2258">
      <c r="A2258" t="n">
        <v>2071</v>
      </c>
      <c r="B2258" t="inlineStr">
        <is>
          <t>APTS Property</t>
        </is>
      </c>
      <c r="C2258" t="inlineStr">
        <is>
          <t>https://www.aplaceinthesun.com/property/details/ap4036495/5-bed-villa-for-sale-in-santa-eulalia-del-rio-mallorca-spain</t>
        </is>
      </c>
      <c r="E2258" t="n">
        <v>5</v>
      </c>
      <c r="J2258" t="inlineStr">
        <is>
          <t>Santa Eulalia Del Rio Mallorca Spain</t>
        </is>
      </c>
      <c r="K2258" t="n">
        <v>47.4</v>
      </c>
      <c r="L2258" t="n">
        <v>40</v>
      </c>
      <c r="M2258" t="n">
        <v>51.8</v>
      </c>
      <c r="N2258" t="n">
        <v>55</v>
      </c>
      <c r="O2258" t="n">
        <v>70</v>
      </c>
      <c r="P2258" t="n">
        <v>56</v>
      </c>
      <c r="Q2258" t="n">
        <v>49.5</v>
      </c>
      <c r="R2258" t="n">
        <v>51</v>
      </c>
      <c r="AH2258" t="inlineStr">
        <is>
          <t>Quelle: A Place in the Sun</t>
        </is>
      </c>
    </row>
    <row r="2259">
      <c r="A2259" t="n">
        <v>2072</v>
      </c>
      <c r="B2259" t="inlineStr">
        <is>
          <t>APTS Property</t>
        </is>
      </c>
      <c r="C2259" t="inlineStr">
        <is>
          <t>https://www.aplaceinthesun.com/property/details/ap4036233/4-bed-property-for-sale-in-felanitx-mallorca-spain</t>
        </is>
      </c>
      <c r="E2259" t="n">
        <v>4</v>
      </c>
      <c r="J2259" t="inlineStr">
        <is>
          <t>Felanitx Mallorca Spain</t>
        </is>
      </c>
      <c r="AH2259" t="inlineStr">
        <is>
          <t>Quelle: A Place in the Sun</t>
        </is>
      </c>
    </row>
    <row r="2260">
      <c r="A2260" t="n">
        <v>2073</v>
      </c>
      <c r="B2260" t="inlineStr">
        <is>
          <t>APTS Property</t>
        </is>
      </c>
      <c r="C2260" t="inlineStr">
        <is>
          <t>https://www.aplaceinthesun.com/property/details/ap4036234/3-bed-duplex-for-sale-in-calvia-mallorca-spain</t>
        </is>
      </c>
      <c r="E2260" t="n">
        <v>3</v>
      </c>
      <c r="J2260" t="inlineStr">
        <is>
          <t>Calvia Mallorca Spain</t>
        </is>
      </c>
      <c r="AH2260" t="inlineStr">
        <is>
          <t>Quelle: A Place in the Sun</t>
        </is>
      </c>
    </row>
    <row r="2261">
      <c r="A2261" t="n">
        <v>2074</v>
      </c>
      <c r="B2261" t="inlineStr">
        <is>
          <t>APTS Property</t>
        </is>
      </c>
      <c r="C2261" t="inlineStr">
        <is>
          <t>https://www.aplaceinthesun.com/property/details/ap4035593/4-bed-villa-for-sale-in-santa-eulalia-del-rio-mallorca-spain</t>
        </is>
      </c>
      <c r="E2261" t="n">
        <v>4</v>
      </c>
      <c r="J2261" t="inlineStr">
        <is>
          <t>Santa Eulalia Del Rio Mallorca Spain</t>
        </is>
      </c>
      <c r="AH2261" t="inlineStr">
        <is>
          <t>Quelle: A Place in the Sun</t>
        </is>
      </c>
    </row>
    <row r="2262">
      <c r="A2262" t="n">
        <v>2075</v>
      </c>
      <c r="B2262" t="inlineStr">
        <is>
          <t>APTS Property</t>
        </is>
      </c>
      <c r="C2262" t="inlineStr">
        <is>
          <t>https://www.aplaceinthesun.com/property/details/ap4033171/beautiful-luxury-home-in-arta</t>
        </is>
      </c>
      <c r="J2262" t="inlineStr">
        <is>
          <t>Mallorca</t>
        </is>
      </c>
      <c r="AH2262" t="inlineStr">
        <is>
          <t>Quelle: A Place in the Sun</t>
        </is>
      </c>
    </row>
    <row r="2263">
      <c r="A2263" t="n">
        <v>2076</v>
      </c>
      <c r="B2263" t="inlineStr">
        <is>
          <t>APTS Property</t>
        </is>
      </c>
      <c r="C2263" t="inlineStr">
        <is>
          <t>https://www.aplaceinthesun.com/property/details/ap4025485/4-bed-property-for-sale-in-palma-de-mallorca-mallorca-spain</t>
        </is>
      </c>
      <c r="E2263" t="n">
        <v>4</v>
      </c>
      <c r="J2263" t="inlineStr">
        <is>
          <t>Palma De Mallorca Mallorca Spain</t>
        </is>
      </c>
      <c r="AH2263" t="inlineStr">
        <is>
          <t>Quelle: A Place in the Sun</t>
        </is>
      </c>
    </row>
    <row r="2264">
      <c r="A2264" t="n">
        <v>2077</v>
      </c>
      <c r="B2264" t="inlineStr">
        <is>
          <t>APTS Property</t>
        </is>
      </c>
      <c r="C2264" t="inlineStr">
        <is>
          <t>https://www.aplaceinthesun.com/property/details/ap4025146/3-bed-villa-for-sale-in-mallorca-balearic-islands-spain</t>
        </is>
      </c>
      <c r="E2264" t="n">
        <v>3</v>
      </c>
      <c r="J2264" t="inlineStr">
        <is>
          <t>Mallorca Balearic Islands Spain</t>
        </is>
      </c>
      <c r="AH2264" t="inlineStr">
        <is>
          <t>Quelle: A Place in the Sun</t>
        </is>
      </c>
    </row>
    <row r="2265">
      <c r="A2265" t="n">
        <v>2078</v>
      </c>
      <c r="B2265" t="inlineStr">
        <is>
          <t>APTS Property</t>
        </is>
      </c>
      <c r="C2265" t="inlineStr">
        <is>
          <t>https://www.aplaceinthesun.com/property/details/ap3989037/5-bed-semi-detached-for-sale-in-llucmajor-mallorca-spain</t>
        </is>
      </c>
      <c r="E2265" t="n">
        <v>5</v>
      </c>
      <c r="J2265" t="inlineStr">
        <is>
          <t>Llucmajor Mallorca Spain</t>
        </is>
      </c>
      <c r="K2265" t="n">
        <v>22</v>
      </c>
      <c r="L2265" t="n">
        <v>21</v>
      </c>
      <c r="M2265" t="n">
        <v>28.2</v>
      </c>
      <c r="N2265" t="n">
        <v>33</v>
      </c>
      <c r="O2265" t="n">
        <v>60.2</v>
      </c>
      <c r="P2265" t="n">
        <v>48</v>
      </c>
      <c r="Q2265" t="n">
        <v>25.9</v>
      </c>
      <c r="R2265" t="n">
        <v>29</v>
      </c>
      <c r="AH2265" t="inlineStr">
        <is>
          <t>Quelle: A Place in the Sun</t>
        </is>
      </c>
    </row>
    <row r="2266">
      <c r="A2266" t="n">
        <v>2079</v>
      </c>
      <c r="B2266" t="inlineStr">
        <is>
          <t>APTS Property</t>
        </is>
      </c>
      <c r="C2266" t="inlineStr">
        <is>
          <t>https://www.aplaceinthesun.com/property/details/ap4016266/3-bed-apartment-for-sale-in-palma-de-mallorca-mallorca-spain</t>
        </is>
      </c>
      <c r="E2266" t="n">
        <v>3</v>
      </c>
      <c r="J2266" t="inlineStr">
        <is>
          <t>Palma De Mallorca Mallorca Spain</t>
        </is>
      </c>
      <c r="AH2266" t="inlineStr">
        <is>
          <t>Quelle: A Place in the Sun</t>
        </is>
      </c>
    </row>
    <row r="2267">
      <c r="A2267" t="n">
        <v>2080</v>
      </c>
      <c r="B2267" t="inlineStr">
        <is>
          <t>APTS Property</t>
        </is>
      </c>
      <c r="C2267" t="inlineStr">
        <is>
          <t>https://www.aplaceinthesun.com/property/details/ap4022845/2-bed-apartment-for-sale-in-cala-d-or-mallorca-spain</t>
        </is>
      </c>
      <c r="E2267" t="n">
        <v>2</v>
      </c>
      <c r="J2267" t="inlineStr">
        <is>
          <t>Cala D Or Mallorca Spain</t>
        </is>
      </c>
      <c r="AH2267" t="inlineStr">
        <is>
          <t>Quelle: A Place in the Sun</t>
        </is>
      </c>
    </row>
    <row r="2268">
      <c r="A2268" t="n">
        <v>2081</v>
      </c>
      <c r="B2268" t="inlineStr">
        <is>
          <t>APTS Property</t>
        </is>
      </c>
      <c r="C2268" t="inlineStr">
        <is>
          <t>https://www.aplaceinthesun.com/property/details/ap4022387/5-bed-property-for-sale-in-pollenca-mallorca-spain</t>
        </is>
      </c>
      <c r="E2268" t="n">
        <v>5</v>
      </c>
      <c r="J2268" t="inlineStr">
        <is>
          <t>Pollenca Mallorca Spain</t>
        </is>
      </c>
      <c r="K2268" t="n">
        <v>60.6</v>
      </c>
      <c r="L2268" t="n">
        <v>47</v>
      </c>
      <c r="M2268" t="n">
        <v>78.7</v>
      </c>
      <c r="N2268" t="n">
        <v>74</v>
      </c>
      <c r="O2268" t="n">
        <v>83.2</v>
      </c>
      <c r="P2268" t="n">
        <v>63</v>
      </c>
      <c r="Q2268" t="n">
        <v>76.40000000000001</v>
      </c>
      <c r="R2268" t="n">
        <v>70</v>
      </c>
      <c r="AH2268" t="inlineStr">
        <is>
          <t>Quelle: A Place in the Sun</t>
        </is>
      </c>
    </row>
    <row r="2269">
      <c r="A2269" t="n">
        <v>2082</v>
      </c>
      <c r="B2269" t="inlineStr">
        <is>
          <t>APTS Property</t>
        </is>
      </c>
      <c r="C2269" t="inlineStr">
        <is>
          <t>https://www.aplaceinthesun.com/property/details/ap4019548/3-bed-property-for-sale-in-palma-de-mallorca-mallorca-spain</t>
        </is>
      </c>
      <c r="E2269" t="n">
        <v>3</v>
      </c>
      <c r="J2269" t="inlineStr">
        <is>
          <t>Palma De Mallorca Mallorca Spain</t>
        </is>
      </c>
      <c r="AH2269" t="inlineStr">
        <is>
          <t>Quelle: A Place in the Sun</t>
        </is>
      </c>
    </row>
    <row r="2270">
      <c r="A2270" t="n">
        <v>2083</v>
      </c>
      <c r="B2270" t="inlineStr">
        <is>
          <t>APTS Property</t>
        </is>
      </c>
      <c r="C2270" t="inlineStr">
        <is>
          <t>https://www.aplaceinthesun.com/property/details/ap4018764/3-bed-country-house-for-sale-in-felanitx-mallorca-spain</t>
        </is>
      </c>
      <c r="E2270" t="n">
        <v>3</v>
      </c>
      <c r="J2270" t="inlineStr">
        <is>
          <t>Felanitx Mallorca Spain</t>
        </is>
      </c>
      <c r="AH2270" t="inlineStr">
        <is>
          <t>Quelle: A Place in the Sun</t>
        </is>
      </c>
    </row>
    <row r="2271">
      <c r="A2271" t="n">
        <v>2084</v>
      </c>
      <c r="B2271" t="inlineStr">
        <is>
          <t>APTS Property</t>
        </is>
      </c>
      <c r="C2271" t="inlineStr">
        <is>
          <t>https://www.aplaceinthesun.com/property/details/ap3933253/3-bed-flat-for-sale-in-palma-de-mallorca-mallorca-spain</t>
        </is>
      </c>
      <c r="E2271" t="n">
        <v>3</v>
      </c>
      <c r="J2271" t="inlineStr">
        <is>
          <t>Palma De Mallorca Mallorca Spain</t>
        </is>
      </c>
      <c r="AH2271" t="inlineStr">
        <is>
          <t>Quelle: A Place in the Sun</t>
        </is>
      </c>
    </row>
    <row r="2272">
      <c r="A2272" t="n">
        <v>2085</v>
      </c>
      <c r="B2272" t="inlineStr">
        <is>
          <t>APTS Property</t>
        </is>
      </c>
      <c r="C2272" t="inlineStr">
        <is>
          <t>https://www.aplaceinthesun.com/property/details/ap3964626/2-bed-house-for-sale-in-palma-de-mallorca-mallorca-spain</t>
        </is>
      </c>
      <c r="E2272" t="n">
        <v>2</v>
      </c>
      <c r="J2272" t="inlineStr">
        <is>
          <t>Palma De Mallorca Mallorca Spain</t>
        </is>
      </c>
      <c r="AH2272" t="inlineStr">
        <is>
          <t>Quelle: A Place in the Sun</t>
        </is>
      </c>
    </row>
    <row r="2273">
      <c r="A2273" t="n">
        <v>2086</v>
      </c>
      <c r="B2273" t="inlineStr">
        <is>
          <t>APTS Property</t>
        </is>
      </c>
      <c r="C2273" t="inlineStr">
        <is>
          <t>https://www.aplaceinthesun.com/property/details/ap4018036/2-bed-villa-for-sale-in-manacor-mallorca-spain</t>
        </is>
      </c>
      <c r="E2273" t="n">
        <v>2</v>
      </c>
      <c r="J2273" t="inlineStr">
        <is>
          <t>Manacor Mallorca Spain</t>
        </is>
      </c>
      <c r="AH2273" t="inlineStr">
        <is>
          <t>Quelle: A Place in the Sun</t>
        </is>
      </c>
    </row>
    <row r="2274">
      <c r="A2274" t="n">
        <v>2087</v>
      </c>
      <c r="B2274" t="inlineStr">
        <is>
          <t>APTS Property</t>
        </is>
      </c>
      <c r="C2274" t="inlineStr">
        <is>
          <t>https://www.aplaceinthesun.com/property/details/ap4014255/4-bed-townhouse-for-sale-in-pollenca-mallorca-spain</t>
        </is>
      </c>
      <c r="E2274" t="n">
        <v>4</v>
      </c>
      <c r="J2274" t="inlineStr">
        <is>
          <t>Pollenca Mallorca Spain</t>
        </is>
      </c>
      <c r="AH2274" t="inlineStr">
        <is>
          <t>Quelle: A Place in the Sun</t>
        </is>
      </c>
    </row>
    <row r="2275">
      <c r="A2275" t="n">
        <v>2088</v>
      </c>
      <c r="B2275" t="inlineStr">
        <is>
          <t>APTS Property</t>
        </is>
      </c>
      <c r="C2275" t="inlineStr">
        <is>
          <t>https://www.aplaceinthesun.com/property/details/ap4013040/3-bed-apartment-for-sale-in-cala-d-or-mallorca-spain</t>
        </is>
      </c>
      <c r="E2275" t="n">
        <v>3</v>
      </c>
      <c r="J2275" t="inlineStr">
        <is>
          <t>Cala D Or Mallorca Spain</t>
        </is>
      </c>
      <c r="AH2275" t="inlineStr">
        <is>
          <t>Quelle: A Place in the Sun</t>
        </is>
      </c>
    </row>
    <row r="2276">
      <c r="A2276" t="n">
        <v>2089</v>
      </c>
      <c r="B2276" t="inlineStr">
        <is>
          <t>APTS Property</t>
        </is>
      </c>
      <c r="C2276" t="inlineStr">
        <is>
          <t>https://www.aplaceinthesun.com/property/details/ap4011536/4-bed-townhouse-for-sale-in-pollenca-mallorca-spain</t>
        </is>
      </c>
      <c r="E2276" t="n">
        <v>4</v>
      </c>
      <c r="J2276" t="inlineStr">
        <is>
          <t>Pollenca Mallorca Spain</t>
        </is>
      </c>
      <c r="AH2276" t="inlineStr">
        <is>
          <t>Quelle: A Place in the Sun</t>
        </is>
      </c>
    </row>
    <row r="2277">
      <c r="A2277" t="n">
        <v>2090</v>
      </c>
      <c r="B2277" t="inlineStr">
        <is>
          <t>APTS Property</t>
        </is>
      </c>
      <c r="C2277" t="inlineStr">
        <is>
          <t>https://www.aplaceinthesun.com/property/details/ap4008569/4-bed-chalet-for-sale-in-pollenca-mallorca-spain</t>
        </is>
      </c>
      <c r="E2277" t="n">
        <v>4</v>
      </c>
      <c r="J2277" t="inlineStr">
        <is>
          <t>Pollenca Mallorca Spain</t>
        </is>
      </c>
      <c r="AH2277" t="inlineStr">
        <is>
          <t>Quelle: A Place in the Sun</t>
        </is>
      </c>
    </row>
    <row r="2278">
      <c r="A2278" t="n">
        <v>2091</v>
      </c>
      <c r="B2278" t="inlineStr">
        <is>
          <t>APTS Property</t>
        </is>
      </c>
      <c r="C2278" t="inlineStr">
        <is>
          <t>https://www.aplaceinthesun.com/property/details/ap4006308/6-bed-property-for-sale-in-llucmajor-mallorca-spain</t>
        </is>
      </c>
      <c r="E2278" t="n">
        <v>6</v>
      </c>
      <c r="J2278" t="inlineStr">
        <is>
          <t>Llucmajor Mallorca Spain</t>
        </is>
      </c>
      <c r="K2278" t="n">
        <v>22</v>
      </c>
      <c r="L2278" t="n">
        <v>21</v>
      </c>
      <c r="M2278" t="n">
        <v>28.2</v>
      </c>
      <c r="N2278" t="n">
        <v>33</v>
      </c>
      <c r="O2278" t="n">
        <v>60.2</v>
      </c>
      <c r="P2278" t="n">
        <v>48</v>
      </c>
      <c r="Q2278" t="n">
        <v>25.9</v>
      </c>
      <c r="R2278" t="n">
        <v>29</v>
      </c>
      <c r="AH2278" t="inlineStr">
        <is>
          <t>Quelle: A Place in the Sun</t>
        </is>
      </c>
    </row>
    <row r="2279">
      <c r="A2279" t="n">
        <v>2092</v>
      </c>
      <c r="B2279" t="inlineStr">
        <is>
          <t>APTS Property</t>
        </is>
      </c>
      <c r="C2279" t="inlineStr">
        <is>
          <t>https://www.aplaceinthesun.com/property/details/ap3998994/land-for-sale-in-santanyi-mallorca-spain</t>
        </is>
      </c>
      <c r="J2279" t="inlineStr">
        <is>
          <t>Santanyi Mallorca Spain</t>
        </is>
      </c>
      <c r="AH2279" t="inlineStr">
        <is>
          <t>Quelle: A Place in the Sun</t>
        </is>
      </c>
    </row>
    <row r="2280">
      <c r="A2280" t="n">
        <v>2093</v>
      </c>
      <c r="B2280" t="inlineStr">
        <is>
          <t>APTS Property</t>
        </is>
      </c>
      <c r="C2280" t="inlineStr">
        <is>
          <t>https://www.aplaceinthesun.com/property/details/ap3983661/2-bed-apartment-for-sale-in-cala-egos-mallorca-spain</t>
        </is>
      </c>
      <c r="E2280" t="n">
        <v>2</v>
      </c>
      <c r="J2280" t="inlineStr">
        <is>
          <t>Cala Egos Mallorca Spain</t>
        </is>
      </c>
      <c r="AH2280" t="inlineStr">
        <is>
          <t>Quelle: A Place in the Sun</t>
        </is>
      </c>
    </row>
    <row r="2281">
      <c r="A2281" t="n">
        <v>2094</v>
      </c>
      <c r="B2281" t="inlineStr">
        <is>
          <t>APTS Property</t>
        </is>
      </c>
      <c r="C2281" t="inlineStr">
        <is>
          <t>https://www.aplaceinthesun.com/property/details/ap3990325/sppa1509</t>
        </is>
      </c>
      <c r="J2281" t="inlineStr">
        <is>
          <t>Mallorca</t>
        </is>
      </c>
      <c r="AH2281" t="inlineStr">
        <is>
          <t>Quelle: A Place in the Sun</t>
        </is>
      </c>
    </row>
    <row r="2282">
      <c r="A2282" t="n">
        <v>2095</v>
      </c>
      <c r="B2282" t="inlineStr">
        <is>
          <t>APTS Property</t>
        </is>
      </c>
      <c r="C2282" t="inlineStr">
        <is>
          <t>https://www.aplaceinthesun.com/property/details/ap3986771/spcrm3834</t>
        </is>
      </c>
      <c r="J2282" t="inlineStr">
        <is>
          <t>Mallorca</t>
        </is>
      </c>
      <c r="AH2282" t="inlineStr">
        <is>
          <t>Quelle: A Place in the Sun</t>
        </is>
      </c>
    </row>
    <row r="2283">
      <c r="A2283" t="n">
        <v>2096</v>
      </c>
      <c r="B2283" t="inlineStr">
        <is>
          <t>APTS Property</t>
        </is>
      </c>
      <c r="C2283" t="inlineStr">
        <is>
          <t>https://www.aplaceinthesun.com/property/details/ap3911286/spcrm3435</t>
        </is>
      </c>
      <c r="J2283" t="inlineStr">
        <is>
          <t>Mallorca</t>
        </is>
      </c>
      <c r="AH2283" t="inlineStr">
        <is>
          <t>Quelle: A Place in the Sun</t>
        </is>
      </c>
    </row>
    <row r="2284">
      <c r="A2284" t="n">
        <v>2097</v>
      </c>
      <c r="B2284" t="inlineStr">
        <is>
          <t>APTS Property</t>
        </is>
      </c>
      <c r="C2284" t="inlineStr">
        <is>
          <t>https://www.aplaceinthesun.com/property/details/ap3923770/spcrm3436</t>
        </is>
      </c>
      <c r="J2284" t="inlineStr">
        <is>
          <t>Mallorca</t>
        </is>
      </c>
      <c r="AH2284" t="inlineStr">
        <is>
          <t>Quelle: A Place in the Sun</t>
        </is>
      </c>
    </row>
    <row r="2285">
      <c r="A2285" t="n">
        <v>2098</v>
      </c>
      <c r="B2285" t="inlineStr">
        <is>
          <t>APTS Property</t>
        </is>
      </c>
      <c r="C2285" t="inlineStr">
        <is>
          <t>https://www.aplaceinthesun.com/property/details/ap3948002/spcrm3596</t>
        </is>
      </c>
      <c r="J2285" t="inlineStr">
        <is>
          <t>Mallorca</t>
        </is>
      </c>
      <c r="AH2285" t="inlineStr">
        <is>
          <t>Quelle: A Place in the Sun</t>
        </is>
      </c>
    </row>
    <row r="2286">
      <c r="A2286" t="n">
        <v>2099</v>
      </c>
      <c r="B2286" t="inlineStr">
        <is>
          <t>APTS Property</t>
        </is>
      </c>
      <c r="C2286" t="inlineStr">
        <is>
          <t>https://www.aplaceinthesun.com/property/details/ap3661128/spcrm1694</t>
        </is>
      </c>
      <c r="J2286" t="inlineStr">
        <is>
          <t>Mallorca</t>
        </is>
      </c>
      <c r="AH2286" t="inlineStr">
        <is>
          <t>Quelle: A Place in the Sun</t>
        </is>
      </c>
    </row>
    <row r="2287">
      <c r="A2287" t="n">
        <v>2100</v>
      </c>
      <c r="B2287" t="inlineStr">
        <is>
          <t>APTS Property</t>
        </is>
      </c>
      <c r="C2287" t="inlineStr">
        <is>
          <t>https://www.aplaceinthesun.com/property/details/ap3996735/3-bed-townhouse-for-sale-in-mallorca-balearic-islands-spain</t>
        </is>
      </c>
      <c r="E2287" t="n">
        <v>3</v>
      </c>
      <c r="J2287" t="inlineStr">
        <is>
          <t>Mallorca Balearic Islands Spain</t>
        </is>
      </c>
      <c r="AH2287" t="inlineStr">
        <is>
          <t>Quelle: A Place in the Sun</t>
        </is>
      </c>
    </row>
    <row r="2288">
      <c r="A2288" t="n">
        <v>2101</v>
      </c>
      <c r="B2288" t="inlineStr">
        <is>
          <t>APTS Property</t>
        </is>
      </c>
      <c r="C2288" t="inlineStr">
        <is>
          <t>https://www.aplaceinthesun.com/property/details/ap3993935/4-bed-villa-for-sale-in-cala-sant-vicenc-mallorca-spain</t>
        </is>
      </c>
      <c r="E2288" t="n">
        <v>4</v>
      </c>
      <c r="J2288" t="inlineStr">
        <is>
          <t>Cala Sant Vicenc Mallorca Spain</t>
        </is>
      </c>
      <c r="AH2288" t="inlineStr">
        <is>
          <t>Quelle: A Place in the Sun</t>
        </is>
      </c>
    </row>
    <row r="2289">
      <c r="A2289" t="n">
        <v>2102</v>
      </c>
      <c r="B2289" t="inlineStr">
        <is>
          <t>APTS Property</t>
        </is>
      </c>
      <c r="C2289" t="inlineStr">
        <is>
          <t>https://www.aplaceinthesun.com/property/details/ap3993600/3-bed-semi-detached-for-sale-in-andratx-mallorca-spain</t>
        </is>
      </c>
      <c r="E2289" t="n">
        <v>3</v>
      </c>
      <c r="J2289" t="inlineStr">
        <is>
          <t>Andratx Mallorca Spain</t>
        </is>
      </c>
      <c r="AH2289" t="inlineStr">
        <is>
          <t>Quelle: A Place in the Sun</t>
        </is>
      </c>
    </row>
    <row r="2290">
      <c r="A2290" t="n">
        <v>2103</v>
      </c>
      <c r="B2290" t="inlineStr">
        <is>
          <t>APTS Property</t>
        </is>
      </c>
      <c r="C2290" t="inlineStr">
        <is>
          <t>https://www.aplaceinthesun.com/property/details/ap3992103/5-bed-finca-for-sale-in-pollenca-mallorca-spain</t>
        </is>
      </c>
      <c r="E2290" t="n">
        <v>5</v>
      </c>
      <c r="J2290" t="inlineStr">
        <is>
          <t>Pollenca Mallorca Spain</t>
        </is>
      </c>
      <c r="K2290" t="n">
        <v>60.6</v>
      </c>
      <c r="L2290" t="n">
        <v>47</v>
      </c>
      <c r="M2290" t="n">
        <v>78.7</v>
      </c>
      <c r="N2290" t="n">
        <v>74</v>
      </c>
      <c r="O2290" t="n">
        <v>83.2</v>
      </c>
      <c r="P2290" t="n">
        <v>63</v>
      </c>
      <c r="Q2290" t="n">
        <v>76.40000000000001</v>
      </c>
      <c r="R2290" t="n">
        <v>70</v>
      </c>
      <c r="AH2290" t="inlineStr">
        <is>
          <t>Quelle: A Place in the Sun</t>
        </is>
      </c>
    </row>
    <row r="2291">
      <c r="A2291" t="n">
        <v>2104</v>
      </c>
      <c r="B2291" t="inlineStr">
        <is>
          <t>APTS Property</t>
        </is>
      </c>
      <c r="C2291" t="inlineStr">
        <is>
          <t>https://www.aplaceinthesun.com/property/details/ap3992100/3-bed-townhouse-for-sale-in-mallorca-balearic-islands-spain</t>
        </is>
      </c>
      <c r="E2291" t="n">
        <v>3</v>
      </c>
      <c r="J2291" t="inlineStr">
        <is>
          <t>Mallorca Balearic Islands Spain</t>
        </is>
      </c>
      <c r="AH2291" t="inlineStr">
        <is>
          <t>Quelle: A Place in the Sun</t>
        </is>
      </c>
    </row>
    <row r="2292">
      <c r="A2292" t="n">
        <v>2105</v>
      </c>
      <c r="B2292" t="inlineStr">
        <is>
          <t>APTS Property</t>
        </is>
      </c>
      <c r="C2292" t="inlineStr">
        <is>
          <t>https://www.aplaceinthesun.com/property/details/ap3990776/4-bed-villa-for-sale-in-pollenca-mallorca-spain</t>
        </is>
      </c>
      <c r="E2292" t="n">
        <v>4</v>
      </c>
      <c r="J2292" t="inlineStr">
        <is>
          <t>Pollenca Mallorca Spain</t>
        </is>
      </c>
      <c r="AH2292" t="inlineStr">
        <is>
          <t>Quelle: A Place in the Sun</t>
        </is>
      </c>
    </row>
    <row r="2293">
      <c r="A2293" t="n">
        <v>2106</v>
      </c>
      <c r="B2293" t="inlineStr">
        <is>
          <t>APTS Property</t>
        </is>
      </c>
      <c r="C2293" t="inlineStr">
        <is>
          <t>https://www.aplaceinthesun.com/property/details/ap3989038/4-bed-property-for-sale-in-selva-mallorca-spain</t>
        </is>
      </c>
      <c r="E2293" t="n">
        <v>4</v>
      </c>
      <c r="J2293" t="inlineStr">
        <is>
          <t>Selva Mallorca Spain</t>
        </is>
      </c>
      <c r="AH2293" t="inlineStr">
        <is>
          <t>Quelle: A Place in the Sun</t>
        </is>
      </c>
    </row>
    <row r="2294">
      <c r="A2294" t="n">
        <v>2107</v>
      </c>
      <c r="B2294" t="inlineStr">
        <is>
          <t>APTS Property</t>
        </is>
      </c>
      <c r="C2294" t="inlineStr">
        <is>
          <t>https://www.aplaceinthesun.com/property/details/ap3988189/2-bed-flat-for-sale-in-calvia-mallorca-spain</t>
        </is>
      </c>
      <c r="E2294" t="n">
        <v>2</v>
      </c>
      <c r="J2294" t="inlineStr">
        <is>
          <t>Calvia Mallorca Spain</t>
        </is>
      </c>
      <c r="AH2294" t="inlineStr">
        <is>
          <t>Quelle: A Place in the Sun</t>
        </is>
      </c>
    </row>
    <row r="2295">
      <c r="A2295" t="n">
        <v>2108</v>
      </c>
      <c r="B2295" t="inlineStr">
        <is>
          <t>APTS Property</t>
        </is>
      </c>
      <c r="C2295" t="inlineStr">
        <is>
          <t>https://www.aplaceinthesun.com/property/details/ap3986860/studio-for-sale-in-porto-colom-mallorca-spain</t>
        </is>
      </c>
      <c r="J2295" t="inlineStr">
        <is>
          <t>Porto Colom Mallorca Spain</t>
        </is>
      </c>
      <c r="AH2295" t="inlineStr">
        <is>
          <t>Quelle: A Place in the Sun</t>
        </is>
      </c>
    </row>
    <row r="2296">
      <c r="A2296" t="n">
        <v>2109</v>
      </c>
      <c r="B2296" t="inlineStr">
        <is>
          <t>APTS Property</t>
        </is>
      </c>
      <c r="C2296" t="inlineStr">
        <is>
          <t>https://www.aplaceinthesun.com/property/details/ap3986858/1-bed-apartment-for-sale-in-porto-colom-mallorca-spain</t>
        </is>
      </c>
      <c r="E2296" t="n">
        <v>1</v>
      </c>
      <c r="J2296" t="inlineStr">
        <is>
          <t>Porto Colom Mallorca Spain</t>
        </is>
      </c>
      <c r="AH2296" t="inlineStr">
        <is>
          <t>Quelle: A Place in the Sun</t>
        </is>
      </c>
    </row>
    <row r="2297">
      <c r="A2297" t="n">
        <v>2110</v>
      </c>
      <c r="B2297" t="inlineStr">
        <is>
          <t>APTS Property</t>
        </is>
      </c>
      <c r="C2297" t="inlineStr">
        <is>
          <t>https://www.aplaceinthesun.com/property/details/ap3986859/studio-for-sale-in-porto-colom-mallorca-spain</t>
        </is>
      </c>
      <c r="J2297" t="inlineStr">
        <is>
          <t>Porto Colom Mallorca Spain</t>
        </is>
      </c>
      <c r="AH2297" t="inlineStr">
        <is>
          <t>Quelle: A Place in the Sun</t>
        </is>
      </c>
    </row>
    <row r="2298">
      <c r="A2298" t="n">
        <v>2111</v>
      </c>
      <c r="B2298" t="inlineStr">
        <is>
          <t>APTS Property</t>
        </is>
      </c>
      <c r="C2298" t="inlineStr">
        <is>
          <t>https://www.aplaceinthesun.com/property/details/ap3932527/2-bed-apartment-for-sale-in-cala-d-or-mallorca-spain</t>
        </is>
      </c>
      <c r="E2298" t="n">
        <v>2</v>
      </c>
      <c r="J2298" t="inlineStr">
        <is>
          <t>Cala D Or Mallorca Spain</t>
        </is>
      </c>
      <c r="AH2298" t="inlineStr">
        <is>
          <t>Quelle: A Place in the Sun</t>
        </is>
      </c>
    </row>
    <row r="2299">
      <c r="A2299" t="n">
        <v>2112</v>
      </c>
      <c r="B2299" t="inlineStr">
        <is>
          <t>APTS Property</t>
        </is>
      </c>
      <c r="C2299" t="inlineStr">
        <is>
          <t>https://www.aplaceinthesun.com/property/details/ap3930120/spcrm3211</t>
        </is>
      </c>
      <c r="J2299" t="inlineStr">
        <is>
          <t>Mallorca</t>
        </is>
      </c>
      <c r="AH2299" t="inlineStr">
        <is>
          <t>Quelle: A Place in the Sun</t>
        </is>
      </c>
    </row>
    <row r="2300">
      <c r="A2300" t="n">
        <v>2113</v>
      </c>
      <c r="B2300" t="inlineStr">
        <is>
          <t>APTS Property</t>
        </is>
      </c>
      <c r="C2300" t="inlineStr">
        <is>
          <t>https://www.aplaceinthesun.com/property/details/ap3484629/spcrm1023</t>
        </is>
      </c>
      <c r="J2300" t="inlineStr">
        <is>
          <t>Mallorca</t>
        </is>
      </c>
      <c r="AH2300" t="inlineStr">
        <is>
          <t>Quelle: A Place in the Sun</t>
        </is>
      </c>
    </row>
    <row r="2301">
      <c r="A2301" t="n">
        <v>2114</v>
      </c>
      <c r="B2301" t="inlineStr">
        <is>
          <t>APTS Property</t>
        </is>
      </c>
      <c r="C2301" t="inlineStr">
        <is>
          <t>https://www.aplaceinthesun.com/property/details/ap3958611/3-bed-property-for-sale-in-palma-de-mallorca-mallorca-spain</t>
        </is>
      </c>
      <c r="E2301" t="n">
        <v>3</v>
      </c>
      <c r="J2301" t="inlineStr">
        <is>
          <t>Palma De Mallorca Mallorca Spain</t>
        </is>
      </c>
      <c r="AH2301" t="inlineStr">
        <is>
          <t>Quelle: A Place in the Sun</t>
        </is>
      </c>
    </row>
    <row r="2302">
      <c r="A2302" t="n">
        <v>2115</v>
      </c>
      <c r="B2302" t="inlineStr">
        <is>
          <t>APTS Property</t>
        </is>
      </c>
      <c r="C2302" t="inlineStr">
        <is>
          <t>https://www.aplaceinthesun.com/property/details/ap3922381/2-bed-villa-for-sale-in-cala-d-or-mallorca-spain</t>
        </is>
      </c>
      <c r="E2302" t="n">
        <v>2</v>
      </c>
      <c r="J2302" t="inlineStr">
        <is>
          <t>Cala D Or Mallorca Spain</t>
        </is>
      </c>
      <c r="AH2302" t="inlineStr">
        <is>
          <t>Quelle: A Place in the Sun</t>
        </is>
      </c>
    </row>
    <row r="2303">
      <c r="A2303" t="n">
        <v>2116</v>
      </c>
      <c r="B2303" t="inlineStr">
        <is>
          <t>APTS Property</t>
        </is>
      </c>
      <c r="C2303" t="inlineStr">
        <is>
          <t>https://www.aplaceinthesun.com/property/details/ap3950539/8-bed-country-house-for-sale-in-binissalem-mallorca-spain</t>
        </is>
      </c>
      <c r="E2303" t="n">
        <v>8</v>
      </c>
      <c r="J2303" t="inlineStr">
        <is>
          <t>Binissalem Mallorca Spain</t>
        </is>
      </c>
      <c r="K2303" t="n">
        <v>31.5</v>
      </c>
      <c r="L2303" t="n">
        <v>29</v>
      </c>
      <c r="M2303" t="n">
        <v>74.3</v>
      </c>
      <c r="N2303" t="n">
        <v>62</v>
      </c>
      <c r="O2303" t="n">
        <v>54.1</v>
      </c>
      <c r="P2303" t="n">
        <v>45</v>
      </c>
      <c r="Q2303" t="n">
        <v>72</v>
      </c>
      <c r="R2303" t="n">
        <v>58</v>
      </c>
      <c r="AH2303" t="inlineStr">
        <is>
          <t>Quelle: A Place in the Sun</t>
        </is>
      </c>
    </row>
    <row r="2304">
      <c r="A2304" t="n">
        <v>2117</v>
      </c>
      <c r="B2304" t="inlineStr">
        <is>
          <t>APTS Property</t>
        </is>
      </c>
      <c r="C2304" t="inlineStr">
        <is>
          <t>https://www.aplaceinthesun.com/property/details/ap3945301/3-bed-house-for-sale-in-esporles-mallorca-spain</t>
        </is>
      </c>
      <c r="E2304" t="n">
        <v>3</v>
      </c>
      <c r="J2304" t="inlineStr">
        <is>
          <t>Esporles Mallorca Spain</t>
        </is>
      </c>
      <c r="AH2304" t="inlineStr">
        <is>
          <t>Quelle: A Place in the Sun</t>
        </is>
      </c>
    </row>
    <row r="2305">
      <c r="A2305" t="n">
        <v>2118</v>
      </c>
      <c r="B2305" t="inlineStr">
        <is>
          <t>APTS Property</t>
        </is>
      </c>
      <c r="C2305" t="inlineStr">
        <is>
          <t>https://www.aplaceinthesun.com/property/details/ap3944166/3-bed-flat-for-sale-in-marratxi-mallorca-spain</t>
        </is>
      </c>
      <c r="E2305" t="n">
        <v>3</v>
      </c>
      <c r="J2305" t="inlineStr">
        <is>
          <t>Marratxi Mallorca Spain</t>
        </is>
      </c>
      <c r="AH2305" t="inlineStr">
        <is>
          <t>Quelle: A Place in the Sun</t>
        </is>
      </c>
    </row>
    <row r="2306">
      <c r="A2306" t="n">
        <v>2119</v>
      </c>
      <c r="B2306" t="inlineStr">
        <is>
          <t>APTS Property</t>
        </is>
      </c>
      <c r="C2306" t="inlineStr">
        <is>
          <t>https://www.aplaceinthesun.com/property/details/ap3943926/3-bed-apartment-for-sale-in-santa-margalida-mallorca-spain</t>
        </is>
      </c>
      <c r="E2306" t="n">
        <v>3</v>
      </c>
      <c r="J2306" t="inlineStr">
        <is>
          <t>Santa Margalida Mallorca Spain</t>
        </is>
      </c>
      <c r="AH2306" t="inlineStr">
        <is>
          <t>Quelle: A Place in the Sun</t>
        </is>
      </c>
    </row>
    <row r="2307">
      <c r="A2307" t="n">
        <v>2120</v>
      </c>
      <c r="B2307" t="inlineStr">
        <is>
          <t>APTS Property</t>
        </is>
      </c>
      <c r="C2307" t="inlineStr">
        <is>
          <t>https://www.aplaceinthesun.com/property/details/ap3942116/4-bed-villa-for-sale-in-costitx-mallorca-spain</t>
        </is>
      </c>
      <c r="E2307" t="n">
        <v>4</v>
      </c>
      <c r="J2307" t="inlineStr">
        <is>
          <t>Costitx Mallorca Spain</t>
        </is>
      </c>
      <c r="AH2307" t="inlineStr">
        <is>
          <t>Quelle: A Place in the Sun</t>
        </is>
      </c>
    </row>
    <row r="2308">
      <c r="A2308" t="n">
        <v>2121</v>
      </c>
      <c r="B2308" t="inlineStr">
        <is>
          <t>APTS Property</t>
        </is>
      </c>
      <c r="C2308" t="inlineStr">
        <is>
          <t>https://www.aplaceinthesun.com/property/details/ap3936773/2-bed-townhouse-for-sale-in-mallorca-balearic-islands-spain</t>
        </is>
      </c>
      <c r="E2308" t="n">
        <v>2</v>
      </c>
      <c r="J2308" t="inlineStr">
        <is>
          <t>Mallorca Balearic Islands Spain</t>
        </is>
      </c>
      <c r="AH2308" t="inlineStr">
        <is>
          <t>Quelle: A Place in the Sun</t>
        </is>
      </c>
    </row>
    <row r="2309">
      <c r="A2309" t="n">
        <v>2122</v>
      </c>
      <c r="B2309" t="inlineStr">
        <is>
          <t>APTS Property</t>
        </is>
      </c>
      <c r="C2309" t="inlineStr">
        <is>
          <t>https://www.aplaceinthesun.com/property/details/ap3936770/4-bed-townhouse-for-sale-in-mallorca-balearic-islands-spain</t>
        </is>
      </c>
      <c r="E2309" t="n">
        <v>4</v>
      </c>
      <c r="J2309" t="inlineStr">
        <is>
          <t>Mallorca Balearic Islands Spain</t>
        </is>
      </c>
      <c r="AH2309" t="inlineStr">
        <is>
          <t>Quelle: A Place in the Sun</t>
        </is>
      </c>
    </row>
    <row r="2310">
      <c r="A2310" t="n">
        <v>2123</v>
      </c>
      <c r="B2310" t="inlineStr">
        <is>
          <t>APTS Property</t>
        </is>
      </c>
      <c r="C2310" t="inlineStr">
        <is>
          <t>https://www.aplaceinthesun.com/property/details/ap3934324/unique-loft-style-house-with-character-in-genova</t>
        </is>
      </c>
      <c r="J2310" t="inlineStr">
        <is>
          <t>Mallorca</t>
        </is>
      </c>
      <c r="AH2310" t="inlineStr">
        <is>
          <t>Quelle: A Place in the Sun</t>
        </is>
      </c>
    </row>
    <row r="2311">
      <c r="A2311" t="n">
        <v>2124</v>
      </c>
      <c r="B2311" t="inlineStr">
        <is>
          <t>APTS Property</t>
        </is>
      </c>
      <c r="C2311" t="inlineStr">
        <is>
          <t>https://www.aplaceinthesun.com/property/details/ap3845778/spcrm3001</t>
        </is>
      </c>
      <c r="J2311" t="inlineStr">
        <is>
          <t>Mallorca</t>
        </is>
      </c>
      <c r="AH2311" t="inlineStr">
        <is>
          <t>Quelle: A Place in the Sun</t>
        </is>
      </c>
    </row>
    <row r="2312">
      <c r="A2312" t="n">
        <v>2125</v>
      </c>
      <c r="B2312" t="inlineStr">
        <is>
          <t>APTS Property</t>
        </is>
      </c>
      <c r="C2312" t="inlineStr">
        <is>
          <t>https://www.aplaceinthesun.com/property/details/ap3845777/spcrm3002</t>
        </is>
      </c>
      <c r="J2312" t="inlineStr">
        <is>
          <t>Mallorca</t>
        </is>
      </c>
      <c r="AH2312" t="inlineStr">
        <is>
          <t>Quelle: A Place in the Sun</t>
        </is>
      </c>
    </row>
    <row r="2313">
      <c r="A2313" t="n">
        <v>2126</v>
      </c>
      <c r="B2313" t="inlineStr">
        <is>
          <t>APTS Property</t>
        </is>
      </c>
      <c r="C2313" t="inlineStr">
        <is>
          <t>https://www.aplaceinthesun.com/property/details/ap3933274/3-bed-penthouse-for-sale-in-santa-margalida-mallorca-spain</t>
        </is>
      </c>
      <c r="E2313" t="n">
        <v>3</v>
      </c>
      <c r="J2313" t="inlineStr">
        <is>
          <t>Santa Margalida Mallorca Spain</t>
        </is>
      </c>
      <c r="AH2313" t="inlineStr">
        <is>
          <t>Quelle: A Place in the Sun</t>
        </is>
      </c>
    </row>
    <row r="2314">
      <c r="A2314" t="n">
        <v>2127</v>
      </c>
      <c r="B2314" t="inlineStr">
        <is>
          <t>APTS Property</t>
        </is>
      </c>
      <c r="C2314" t="inlineStr">
        <is>
          <t>https://www.aplaceinthesun.com/property/details/ap3933273/3-bed-flat-for-sale-in-andratx-mallorca-spain</t>
        </is>
      </c>
      <c r="E2314" t="n">
        <v>3</v>
      </c>
      <c r="J2314" t="inlineStr">
        <is>
          <t>Andratx Mallorca Spain</t>
        </is>
      </c>
      <c r="AH2314" t="inlineStr">
        <is>
          <t>Quelle: A Place in the Sun</t>
        </is>
      </c>
    </row>
    <row r="2315">
      <c r="A2315" t="n">
        <v>2128</v>
      </c>
      <c r="B2315" t="inlineStr">
        <is>
          <t>APTS Property</t>
        </is>
      </c>
      <c r="C2315" t="inlineStr">
        <is>
          <t>https://www.aplaceinthesun.com/property/details/ap3933270/4-bed-penthouse-for-sale-in-calvia-mallorca-spain</t>
        </is>
      </c>
      <c r="E2315" t="n">
        <v>4</v>
      </c>
      <c r="J2315" t="inlineStr">
        <is>
          <t>Calvia Mallorca Spain</t>
        </is>
      </c>
      <c r="AH2315" t="inlineStr">
        <is>
          <t>Quelle: A Place in the Sun</t>
        </is>
      </c>
    </row>
    <row r="2316">
      <c r="A2316" t="n">
        <v>2129</v>
      </c>
      <c r="B2316" t="inlineStr">
        <is>
          <t>APTS Property</t>
        </is>
      </c>
      <c r="C2316" t="inlineStr">
        <is>
          <t>https://www.aplaceinthesun.com/property/details/ap3933266/4-bed-village-house-for-sale-in-costitx-mallorca-spain</t>
        </is>
      </c>
      <c r="E2316" t="n">
        <v>4</v>
      </c>
      <c r="J2316" t="inlineStr">
        <is>
          <t>Costitx Mallorca Spain</t>
        </is>
      </c>
      <c r="AH2316" t="inlineStr">
        <is>
          <t>Quelle: A Place in the Sun</t>
        </is>
      </c>
    </row>
    <row r="2317">
      <c r="A2317" t="n">
        <v>2130</v>
      </c>
      <c r="B2317" t="inlineStr">
        <is>
          <t>APTS Property</t>
        </is>
      </c>
      <c r="C2317" t="inlineStr">
        <is>
          <t>https://www.aplaceinthesun.com/property/details/ap3933259/2-bed-flat-for-sale-in-palma-de-mallorca-mallorca-spain</t>
        </is>
      </c>
      <c r="E2317" t="n">
        <v>2</v>
      </c>
      <c r="J2317" t="inlineStr">
        <is>
          <t>Palma De Mallorca Mallorca Spain</t>
        </is>
      </c>
      <c r="AH2317" t="inlineStr">
        <is>
          <t>Quelle: A Place in the Sun</t>
        </is>
      </c>
    </row>
    <row r="2318">
      <c r="A2318" t="n">
        <v>2131</v>
      </c>
      <c r="B2318" t="inlineStr">
        <is>
          <t>APTS Property</t>
        </is>
      </c>
      <c r="C2318" t="inlineStr">
        <is>
          <t>https://www.aplaceinthesun.com/property/details/ap3933249/2-bed-flat-for-sale-in-santanyi-mallorca-spain</t>
        </is>
      </c>
      <c r="E2318" t="n">
        <v>2</v>
      </c>
      <c r="J2318" t="inlineStr">
        <is>
          <t>Santanyi Mallorca Spain</t>
        </is>
      </c>
      <c r="AH2318" t="inlineStr">
        <is>
          <t>Quelle: A Place in the Sun</t>
        </is>
      </c>
    </row>
    <row r="2319">
      <c r="A2319" t="n">
        <v>2132</v>
      </c>
      <c r="B2319" t="inlineStr">
        <is>
          <t>APTS Property</t>
        </is>
      </c>
      <c r="C2319" t="inlineStr">
        <is>
          <t>https://www.aplaceinthesun.com/property/details/ap3930545/3-bed-townhouse-for-sale-in-palma-de-mallorca-mallorca-spain</t>
        </is>
      </c>
      <c r="E2319" t="n">
        <v>3</v>
      </c>
      <c r="J2319" t="inlineStr">
        <is>
          <t>Palma De Mallorca Mallorca Spain</t>
        </is>
      </c>
      <c r="AH2319" t="inlineStr">
        <is>
          <t>Quelle: A Place in the Sun</t>
        </is>
      </c>
    </row>
    <row r="2320">
      <c r="A2320" t="n">
        <v>2133</v>
      </c>
      <c r="B2320" t="inlineStr">
        <is>
          <t>APTS Property</t>
        </is>
      </c>
      <c r="C2320" t="inlineStr">
        <is>
          <t>https://www.aplaceinthesun.com/property/details/ap3930542/3-bed-villa-for-sale-in-cas-catala-mallorca-spain</t>
        </is>
      </c>
      <c r="E2320" t="n">
        <v>3</v>
      </c>
      <c r="J2320" t="inlineStr">
        <is>
          <t>Cas Catala Mallorca Spain</t>
        </is>
      </c>
      <c r="AH2320" t="inlineStr">
        <is>
          <t>Quelle: A Place in the Sun</t>
        </is>
      </c>
    </row>
    <row r="2321">
      <c r="A2321" t="n">
        <v>2134</v>
      </c>
      <c r="B2321" t="inlineStr">
        <is>
          <t>APTS Property</t>
        </is>
      </c>
      <c r="C2321" t="inlineStr">
        <is>
          <t>https://www.aplaceinthesun.com/property/details/ap3930540/triplex-penthouse-with-sea-views</t>
        </is>
      </c>
      <c r="J2321" t="inlineStr">
        <is>
          <t>Mallorca</t>
        </is>
      </c>
      <c r="AH2321" t="inlineStr">
        <is>
          <t>Quelle: A Place in the Sun</t>
        </is>
      </c>
    </row>
    <row r="2322">
      <c r="A2322" t="n">
        <v>2135</v>
      </c>
      <c r="B2322" t="inlineStr">
        <is>
          <t>APTS Property</t>
        </is>
      </c>
      <c r="C2322" t="inlineStr">
        <is>
          <t>https://www.aplaceinthesun.com/property/details/ap3930406/3-bed-chalet-for-sale-in-pollenca-mallorca-spain</t>
        </is>
      </c>
      <c r="E2322" t="n">
        <v>3</v>
      </c>
      <c r="J2322" t="inlineStr">
        <is>
          <t>Pollenca Mallorca Spain</t>
        </is>
      </c>
      <c r="AH2322" t="inlineStr">
        <is>
          <t>Quelle: A Place in the Sun</t>
        </is>
      </c>
    </row>
    <row r="2323">
      <c r="A2323" t="n">
        <v>2136</v>
      </c>
      <c r="B2323" t="inlineStr">
        <is>
          <t>APTS Property</t>
        </is>
      </c>
      <c r="C2323" t="inlineStr">
        <is>
          <t>https://www.aplaceinthesun.com/property/details/ap3914553/6-bed-village-house-for-sale-in-cala-d-or-mallorca-spain</t>
        </is>
      </c>
      <c r="E2323" t="n">
        <v>6</v>
      </c>
      <c r="J2323" t="inlineStr">
        <is>
          <t>Cala D Or Mallorca Spain</t>
        </is>
      </c>
      <c r="K2323" t="n">
        <v>58.4</v>
      </c>
      <c r="L2323" t="n">
        <v>56</v>
      </c>
      <c r="M2323" t="n">
        <v>21.9</v>
      </c>
      <c r="N2323" t="n">
        <v>32</v>
      </c>
      <c r="O2323" t="n">
        <v>96.59999999999999</v>
      </c>
      <c r="P2323" t="n">
        <v>84</v>
      </c>
      <c r="Q2323" t="n">
        <v>23.3</v>
      </c>
      <c r="R2323" t="n">
        <v>34</v>
      </c>
      <c r="AH2323" t="inlineStr">
        <is>
          <t>Quelle: A Place in the Sun</t>
        </is>
      </c>
    </row>
    <row r="2324">
      <c r="A2324" t="n">
        <v>2137</v>
      </c>
      <c r="B2324" t="inlineStr">
        <is>
          <t>APTS Property</t>
        </is>
      </c>
      <c r="C2324" t="inlineStr">
        <is>
          <t>https://www.aplaceinthesun.com/property/details/ap3922320/7-bed-chalet-for-sale-in-cala-d-or-mallorca-spain</t>
        </is>
      </c>
      <c r="E2324" t="n">
        <v>7</v>
      </c>
      <c r="J2324" t="inlineStr">
        <is>
          <t>Cala D Or Mallorca Spain</t>
        </is>
      </c>
      <c r="K2324" t="n">
        <v>58.4</v>
      </c>
      <c r="L2324" t="n">
        <v>56</v>
      </c>
      <c r="M2324" t="n">
        <v>21.9</v>
      </c>
      <c r="N2324" t="n">
        <v>32</v>
      </c>
      <c r="O2324" t="n">
        <v>96.59999999999999</v>
      </c>
      <c r="P2324" t="n">
        <v>84</v>
      </c>
      <c r="Q2324" t="n">
        <v>23.3</v>
      </c>
      <c r="R2324" t="n">
        <v>34</v>
      </c>
      <c r="AH2324" t="inlineStr">
        <is>
          <t>Quelle: A Place in the Sun</t>
        </is>
      </c>
    </row>
    <row r="2325">
      <c r="A2325" t="n">
        <v>2138</v>
      </c>
      <c r="B2325" t="inlineStr">
        <is>
          <t>APTS Property</t>
        </is>
      </c>
      <c r="C2325" t="inlineStr">
        <is>
          <t>https://www.aplaceinthesun.com/property/details/ap3921227/2-bed-villa-detached-for-sale-in-paguera-mallorca-spain</t>
        </is>
      </c>
      <c r="E2325" t="n">
        <v>2</v>
      </c>
      <c r="J2325" t="inlineStr">
        <is>
          <t>Paguera Mallorca Spain</t>
        </is>
      </c>
      <c r="AH2325" t="inlineStr">
        <is>
          <t>Quelle: A Place in the Sun</t>
        </is>
      </c>
    </row>
    <row r="2326">
      <c r="A2326" t="n">
        <v>2139</v>
      </c>
      <c r="B2326" t="inlineStr">
        <is>
          <t>APTS Property</t>
        </is>
      </c>
      <c r="C2326" t="inlineStr">
        <is>
          <t>https://www.aplaceinthesun.com/property/details/ap3910193/plot-for-sale-in-selva-mallorca-spain</t>
        </is>
      </c>
      <c r="J2326" t="inlineStr">
        <is>
          <t>Selva Mallorca Spain</t>
        </is>
      </c>
      <c r="AH2326" t="inlineStr">
        <is>
          <t>Quelle: A Place in the Sun</t>
        </is>
      </c>
    </row>
    <row r="2327">
      <c r="A2327" t="n">
        <v>2140</v>
      </c>
      <c r="B2327" t="inlineStr">
        <is>
          <t>APTS Property</t>
        </is>
      </c>
      <c r="C2327" t="inlineStr">
        <is>
          <t>https://www.aplaceinthesun.com/property/details/ap3905610/1-bed-apartment-for-sale-in-peguera-mallorca-spain</t>
        </is>
      </c>
      <c r="E2327" t="n">
        <v>1</v>
      </c>
      <c r="J2327" t="inlineStr">
        <is>
          <t>Peguera Mallorca Spain</t>
        </is>
      </c>
      <c r="AH2327" t="inlineStr">
        <is>
          <t>Quelle: A Place in the Sun</t>
        </is>
      </c>
    </row>
    <row r="2328">
      <c r="A2328" t="n">
        <v>2141</v>
      </c>
      <c r="B2328" t="inlineStr">
        <is>
          <t>APTS Property</t>
        </is>
      </c>
      <c r="C2328" t="inlineStr">
        <is>
          <t>https://www.aplaceinthesun.com/property/details/ap3905606/2-bed-penthouse-for-sale-in-andratx-mallorca-spain</t>
        </is>
      </c>
      <c r="E2328" t="n">
        <v>2</v>
      </c>
      <c r="J2328" t="inlineStr">
        <is>
          <t>Andratx Mallorca Spain</t>
        </is>
      </c>
      <c r="AH2328" t="inlineStr">
        <is>
          <t>Quelle: A Place in the Sun</t>
        </is>
      </c>
    </row>
    <row r="2329">
      <c r="A2329" t="n">
        <v>2142</v>
      </c>
      <c r="B2329" t="inlineStr">
        <is>
          <t>APTS Property</t>
        </is>
      </c>
      <c r="C2329" t="inlineStr">
        <is>
          <t>https://www.aplaceinthesun.com/property/details/ap3902376/3-bed-house-for-sale-in-camp-de-mar-mallorca-spain</t>
        </is>
      </c>
      <c r="E2329" t="n">
        <v>3</v>
      </c>
      <c r="J2329" t="inlineStr">
        <is>
          <t>Camp De Mar Mallorca Spain</t>
        </is>
      </c>
      <c r="AH2329" t="inlineStr">
        <is>
          <t>Quelle: A Place in the Sun</t>
        </is>
      </c>
    </row>
    <row r="2330">
      <c r="A2330" t="n">
        <v>2143</v>
      </c>
      <c r="B2330" t="inlineStr">
        <is>
          <t>APTS Property</t>
        </is>
      </c>
      <c r="C2330" t="inlineStr">
        <is>
          <t>https://www.aplaceinthesun.com/property/details/ap3893044/1-bed-apartment-for-sale-in-cala-fornells-mallorca-spain</t>
        </is>
      </c>
      <c r="E2330" t="n">
        <v>1</v>
      </c>
      <c r="J2330" t="inlineStr">
        <is>
          <t>Cala Fornells Mallorca Spain</t>
        </is>
      </c>
      <c r="AH2330" t="inlineStr">
        <is>
          <t>Quelle: A Place in the Sun</t>
        </is>
      </c>
    </row>
    <row r="2331">
      <c r="A2331" t="n">
        <v>2144</v>
      </c>
      <c r="B2331" t="inlineStr">
        <is>
          <t>APTS Property</t>
        </is>
      </c>
      <c r="C2331" t="inlineStr">
        <is>
          <t>https://www.aplaceinthesun.com/property/details/ap3885513/3-bed-property-for-sale-in-puerto-pollensa-mallorca-spain</t>
        </is>
      </c>
      <c r="E2331" t="n">
        <v>3</v>
      </c>
      <c r="J2331" t="inlineStr">
        <is>
          <t>Puerto Pollensa Mallorca Spain</t>
        </is>
      </c>
      <c r="AH2331" t="inlineStr">
        <is>
          <t>Quelle: A Place in the Sun</t>
        </is>
      </c>
    </row>
    <row r="2332">
      <c r="A2332" t="n">
        <v>2145</v>
      </c>
      <c r="B2332" t="inlineStr">
        <is>
          <t>APTS Property</t>
        </is>
      </c>
      <c r="C2332" t="inlineStr">
        <is>
          <t>https://www.aplaceinthesun.com/property/details/ap3885515/3-bed-apartment-for-sale-in-puerto-pollensa-mallorca-spain</t>
        </is>
      </c>
      <c r="E2332" t="n">
        <v>3</v>
      </c>
      <c r="J2332" t="inlineStr">
        <is>
          <t>Puerto Pollensa Mallorca Spain</t>
        </is>
      </c>
      <c r="AH2332" t="inlineStr">
        <is>
          <t>Quelle: A Place in the Sun</t>
        </is>
      </c>
    </row>
    <row r="2333">
      <c r="A2333" t="n">
        <v>2146</v>
      </c>
      <c r="B2333" t="inlineStr">
        <is>
          <t>APTS Property</t>
        </is>
      </c>
      <c r="C2333" t="inlineStr">
        <is>
          <t>https://www.aplaceinthesun.com/property/details/ap3484627/spcrm1022</t>
        </is>
      </c>
      <c r="J2333" t="inlineStr">
        <is>
          <t>Mallorca</t>
        </is>
      </c>
      <c r="AH2333" t="inlineStr">
        <is>
          <t>Quelle: A Place in the Sun</t>
        </is>
      </c>
    </row>
    <row r="2334">
      <c r="A2334" t="n">
        <v>2147</v>
      </c>
      <c r="B2334" t="inlineStr">
        <is>
          <t>APTS Property</t>
        </is>
      </c>
      <c r="C2334" t="inlineStr">
        <is>
          <t>https://www.aplaceinthesun.com/property/details/ap1997907/7-bed-finca-for-sale-in-pollenca-mallorca-spain</t>
        </is>
      </c>
      <c r="E2334" t="n">
        <v>7</v>
      </c>
      <c r="J2334" t="inlineStr">
        <is>
          <t>Pollenca Mallorca Spain</t>
        </is>
      </c>
      <c r="K2334" t="n">
        <v>60.6</v>
      </c>
      <c r="L2334" t="n">
        <v>47</v>
      </c>
      <c r="M2334" t="n">
        <v>78.7</v>
      </c>
      <c r="N2334" t="n">
        <v>74</v>
      </c>
      <c r="O2334" t="n">
        <v>83.2</v>
      </c>
      <c r="P2334" t="n">
        <v>63</v>
      </c>
      <c r="Q2334" t="n">
        <v>76.40000000000001</v>
      </c>
      <c r="R2334" t="n">
        <v>70</v>
      </c>
      <c r="AH2334" t="inlineStr">
        <is>
          <t>Quelle: A Place in the Sun</t>
        </is>
      </c>
    </row>
    <row r="2335">
      <c r="A2335" t="n">
        <v>2148</v>
      </c>
      <c r="B2335" t="inlineStr">
        <is>
          <t>APTS Property</t>
        </is>
      </c>
      <c r="C2335" t="inlineStr">
        <is>
          <t>https://www.aplaceinthesun.com/property/details/ap1899766/5-bed-finca-for-sale-in-pollenca-mallorca-spain</t>
        </is>
      </c>
      <c r="E2335" t="n">
        <v>5</v>
      </c>
      <c r="J2335" t="inlineStr">
        <is>
          <t>Pollenca Mallorca Spain</t>
        </is>
      </c>
      <c r="K2335" t="n">
        <v>60.6</v>
      </c>
      <c r="L2335" t="n">
        <v>47</v>
      </c>
      <c r="M2335" t="n">
        <v>78.7</v>
      </c>
      <c r="N2335" t="n">
        <v>74</v>
      </c>
      <c r="O2335" t="n">
        <v>83.2</v>
      </c>
      <c r="P2335" t="n">
        <v>63</v>
      </c>
      <c r="Q2335" t="n">
        <v>76.40000000000001</v>
      </c>
      <c r="R2335" t="n">
        <v>70</v>
      </c>
      <c r="AH2335" t="inlineStr">
        <is>
          <t>Quelle: A Place in the Sun</t>
        </is>
      </c>
    </row>
    <row r="2336">
      <c r="A2336" t="n">
        <v>2149</v>
      </c>
      <c r="B2336" t="inlineStr">
        <is>
          <t>APTS Property</t>
        </is>
      </c>
      <c r="C2336" t="inlineStr">
        <is>
          <t>https://www.aplaceinthesun.com/property/details/ap2327899/4-bed-finca-for-sale-in-pollenca-mallorca-spain</t>
        </is>
      </c>
      <c r="E2336" t="n">
        <v>4</v>
      </c>
      <c r="J2336" t="inlineStr">
        <is>
          <t>Pollenca Mallorca Spain</t>
        </is>
      </c>
      <c r="AH2336" t="inlineStr">
        <is>
          <t>Quelle: A Place in the Sun</t>
        </is>
      </c>
    </row>
    <row r="2337">
      <c r="A2337" t="n">
        <v>2150</v>
      </c>
      <c r="B2337" t="inlineStr">
        <is>
          <t>APTS Property</t>
        </is>
      </c>
      <c r="C2337" t="inlineStr">
        <is>
          <t>https://www.aplaceinthesun.com/property/details/ap2699648/3-bed-chalet-for-sale-in-alcudia-mallorca-spain</t>
        </is>
      </c>
      <c r="E2337" t="n">
        <v>3</v>
      </c>
      <c r="J2337" t="inlineStr">
        <is>
          <t>Alcudia Mallorca Spain</t>
        </is>
      </c>
      <c r="AH2337" t="inlineStr">
        <is>
          <t>Quelle: A Place in the Sun</t>
        </is>
      </c>
    </row>
    <row r="2338">
      <c r="A2338" t="n">
        <v>2151</v>
      </c>
      <c r="B2338" t="inlineStr">
        <is>
          <t>APTS Property</t>
        </is>
      </c>
      <c r="C2338" t="inlineStr">
        <is>
          <t>https://www.aplaceinthesun.com/property/details/ap2762936/4-bed-townhouse-for-sale-in-mallorca-balearic-islands-spain</t>
        </is>
      </c>
      <c r="E2338" t="n">
        <v>4</v>
      </c>
      <c r="J2338" t="inlineStr">
        <is>
          <t>Mallorca Balearic Islands Spain</t>
        </is>
      </c>
      <c r="AH2338" t="inlineStr">
        <is>
          <t>Quelle: A Place in the Sun</t>
        </is>
      </c>
    </row>
    <row r="2339">
      <c r="A2339" t="n">
        <v>2152</v>
      </c>
      <c r="B2339" t="inlineStr">
        <is>
          <t>APTS Property</t>
        </is>
      </c>
      <c r="C2339" t="inlineStr">
        <is>
          <t>https://www.aplaceinthesun.com/property/details/ap2762937/4-bed-townhouse-for-sale-in-alcudia-mallorca-spain</t>
        </is>
      </c>
      <c r="E2339" t="n">
        <v>4</v>
      </c>
      <c r="J2339" t="inlineStr">
        <is>
          <t>Alcudia Mallorca Spain</t>
        </is>
      </c>
      <c r="AH2339" t="inlineStr">
        <is>
          <t>Quelle: A Place in the Sun</t>
        </is>
      </c>
    </row>
    <row r="2340">
      <c r="A2340" t="n">
        <v>2153</v>
      </c>
      <c r="B2340" t="inlineStr">
        <is>
          <t>APTS Property</t>
        </is>
      </c>
      <c r="C2340" t="inlineStr">
        <is>
          <t>https://www.aplaceinthesun.com/property/details/ap2745845/4-bed-finca-for-sale-in-alcudia-mallorca-spain</t>
        </is>
      </c>
      <c r="E2340" t="n">
        <v>4</v>
      </c>
      <c r="J2340" t="inlineStr">
        <is>
          <t>Alcudia Mallorca Spain</t>
        </is>
      </c>
      <c r="AH2340" t="inlineStr">
        <is>
          <t>Quelle: A Place in the Sun</t>
        </is>
      </c>
    </row>
    <row r="2341">
      <c r="A2341" t="n">
        <v>2154</v>
      </c>
      <c r="B2341" t="inlineStr">
        <is>
          <t>APTS Property</t>
        </is>
      </c>
      <c r="C2341" t="inlineStr">
        <is>
          <t>https://www.aplaceinthesun.com/property/details/ap3822732/2-bed-apartment-for-sale-in-palma-de-mallorca-mallorca-spain</t>
        </is>
      </c>
      <c r="E2341" t="n">
        <v>2</v>
      </c>
      <c r="J2341" t="inlineStr">
        <is>
          <t>Palma De Mallorca Mallorca Spain</t>
        </is>
      </c>
      <c r="AH2341" t="inlineStr">
        <is>
          <t>Quelle: A Place in the Sun</t>
        </is>
      </c>
    </row>
    <row r="2342">
      <c r="A2342" t="n">
        <v>2155</v>
      </c>
      <c r="B2342" t="inlineStr">
        <is>
          <t>APTS Property</t>
        </is>
      </c>
      <c r="C2342" t="inlineStr">
        <is>
          <t>https://www.aplaceinthesun.com/property/details/ap3809950/4-bed-finca-for-sale-in-muro-mallorca-spain</t>
        </is>
      </c>
      <c r="E2342" t="n">
        <v>4</v>
      </c>
      <c r="J2342" t="inlineStr">
        <is>
          <t>Muro Mallorca Spain</t>
        </is>
      </c>
      <c r="AH2342" t="inlineStr">
        <is>
          <t>Quelle: A Place in the Sun</t>
        </is>
      </c>
    </row>
    <row r="2343">
      <c r="A2343" t="n">
        <v>2156</v>
      </c>
      <c r="B2343" t="inlineStr">
        <is>
          <t>APTS Property</t>
        </is>
      </c>
      <c r="C2343" t="inlineStr">
        <is>
          <t>https://www.aplaceinthesun.com/property/details/ap3808894/4-bed-chalet-for-sale-in-alcudia-mallorca-spain</t>
        </is>
      </c>
      <c r="E2343" t="n">
        <v>4</v>
      </c>
      <c r="J2343" t="inlineStr">
        <is>
          <t>Alcudia Mallorca Spain</t>
        </is>
      </c>
      <c r="AH2343" t="inlineStr">
        <is>
          <t>Quelle: A Place in the Sun</t>
        </is>
      </c>
    </row>
    <row r="2344">
      <c r="A2344" t="n">
        <v>2157</v>
      </c>
      <c r="B2344" t="inlineStr">
        <is>
          <t>APTS Property</t>
        </is>
      </c>
      <c r="C2344" t="inlineStr">
        <is>
          <t>https://www.aplaceinthesun.com/property/details/ap3807071/townhouse-for-sale-in-santanyi-650-000-</t>
        </is>
      </c>
      <c r="J2344" t="inlineStr">
        <is>
          <t xml:space="preserve">Santanyi 650 000 </t>
        </is>
      </c>
      <c r="AH2344" t="inlineStr">
        <is>
          <t>Quelle: A Place in the Sun</t>
        </is>
      </c>
    </row>
    <row r="2345">
      <c r="A2345" t="n">
        <v>2158</v>
      </c>
      <c r="B2345" t="inlineStr">
        <is>
          <t>APTS Property</t>
        </is>
      </c>
      <c r="C2345" t="inlineStr">
        <is>
          <t>https://www.aplaceinthesun.com/property/details/ap3801972/4-bed-townhouse-for-sale-in-mallorca-balearic-islands-spain</t>
        </is>
      </c>
      <c r="E2345" t="n">
        <v>4</v>
      </c>
      <c r="J2345" t="inlineStr">
        <is>
          <t>Mallorca Balearic Islands Spain</t>
        </is>
      </c>
      <c r="AH2345" t="inlineStr">
        <is>
          <t>Quelle: A Place in the Sun</t>
        </is>
      </c>
    </row>
    <row r="2346">
      <c r="A2346" t="n">
        <v>2159</v>
      </c>
      <c r="B2346" t="inlineStr">
        <is>
          <t>APTS Property</t>
        </is>
      </c>
      <c r="C2346" t="inlineStr">
        <is>
          <t>https://www.aplaceinthesun.com/property/details/ap3217457/3-bed-villa-for-sale-in-colonia-de-sant-pere-mallorca-spain</t>
        </is>
      </c>
      <c r="E2346" t="n">
        <v>3</v>
      </c>
      <c r="J2346" t="inlineStr">
        <is>
          <t>Colonia De Sant Pere Mallorca Spain</t>
        </is>
      </c>
      <c r="AH2346" t="inlineStr">
        <is>
          <t>Quelle: A Place in the Sun</t>
        </is>
      </c>
    </row>
    <row r="2347">
      <c r="A2347" t="n">
        <v>2160</v>
      </c>
      <c r="B2347" t="inlineStr">
        <is>
          <t>APTS Property</t>
        </is>
      </c>
      <c r="C2347" t="inlineStr">
        <is>
          <t>https://www.aplaceinthesun.com/property/details/ap3774374/property-for-sale-in-puerto-pollensa-mallorca-spain</t>
        </is>
      </c>
      <c r="J2347" t="inlineStr">
        <is>
          <t>Puerto Pollensa Mallorca Spain</t>
        </is>
      </c>
      <c r="AH2347" t="inlineStr">
        <is>
          <t>Quelle: A Place in the Sun</t>
        </is>
      </c>
    </row>
    <row r="2348">
      <c r="A2348" t="n">
        <v>2161</v>
      </c>
      <c r="B2348" t="inlineStr">
        <is>
          <t>APTS Property</t>
        </is>
      </c>
      <c r="C2348" t="inlineStr">
        <is>
          <t>https://www.aplaceinthesun.com/property/details/ap3774375/property-for-sale-in-alcudia-mallorca-spain</t>
        </is>
      </c>
      <c r="J2348" t="inlineStr">
        <is>
          <t>Alcudia Mallorca Spain</t>
        </is>
      </c>
      <c r="AH2348" t="inlineStr">
        <is>
          <t>Quelle: A Place in the Sun</t>
        </is>
      </c>
    </row>
    <row r="2349">
      <c r="A2349" t="n">
        <v>2162</v>
      </c>
      <c r="B2349" t="inlineStr">
        <is>
          <t>APTS Property</t>
        </is>
      </c>
      <c r="C2349" t="inlineStr">
        <is>
          <t>https://www.aplaceinthesun.com/property/details/ap3663879/unique-luxury-villa-4-200-000-</t>
        </is>
      </c>
      <c r="J2349" t="inlineStr">
        <is>
          <t>Mallorca</t>
        </is>
      </c>
      <c r="AH2349" t="inlineStr">
        <is>
          <t>Quelle: A Place in the Sun</t>
        </is>
      </c>
    </row>
    <row r="2350">
      <c r="A2350" t="n">
        <v>2163</v>
      </c>
      <c r="B2350" t="inlineStr">
        <is>
          <t>APTS Property</t>
        </is>
      </c>
      <c r="C2350" t="inlineStr">
        <is>
          <t>https://www.aplaceinthesun.com/property/details/ap3640956/6-bed-finca-for-sale-in-alcudia-mallorca-spain</t>
        </is>
      </c>
      <c r="E2350" t="n">
        <v>6</v>
      </c>
      <c r="J2350" t="inlineStr">
        <is>
          <t>Alcudia Mallorca Spain</t>
        </is>
      </c>
      <c r="K2350" t="n">
        <v>61.6</v>
      </c>
      <c r="L2350" t="n">
        <v>47</v>
      </c>
      <c r="M2350" t="n">
        <v>79.7</v>
      </c>
      <c r="N2350" t="n">
        <v>74</v>
      </c>
      <c r="O2350" t="n">
        <v>84.2</v>
      </c>
      <c r="P2350" t="n">
        <v>63</v>
      </c>
      <c r="Q2350" t="n">
        <v>77.40000000000001</v>
      </c>
      <c r="R2350" t="n">
        <v>70</v>
      </c>
      <c r="AH2350" t="inlineStr">
        <is>
          <t>Quelle: A Place in the Sun</t>
        </is>
      </c>
    </row>
    <row r="2351">
      <c r="A2351" t="n">
        <v>2164</v>
      </c>
      <c r="B2351" t="inlineStr">
        <is>
          <t>APTS Property</t>
        </is>
      </c>
      <c r="C2351" t="inlineStr">
        <is>
          <t>https://www.aplaceinthesun.com/property/details/ap3260753/3-bed-finca-for-sale-in-pollenca-mallorca-spain</t>
        </is>
      </c>
      <c r="E2351" t="n">
        <v>3</v>
      </c>
      <c r="J2351" t="inlineStr">
        <is>
          <t>Pollenca Mallorca Spain</t>
        </is>
      </c>
      <c r="AH2351" t="inlineStr">
        <is>
          <t>Quelle: A Place in the Sun</t>
        </is>
      </c>
    </row>
    <row r="2352">
      <c r="A2352" t="n">
        <v>2165</v>
      </c>
      <c r="B2352" t="inlineStr">
        <is>
          <t>APTS Property</t>
        </is>
      </c>
      <c r="C2352" t="inlineStr">
        <is>
          <t>https://www.aplaceinthesun.com/property/details/ap3616479/4-bed-property-for-sale-in-puerto-pollensa-mallorca-spain</t>
        </is>
      </c>
      <c r="E2352" t="n">
        <v>4</v>
      </c>
      <c r="J2352" t="inlineStr">
        <is>
          <t>Puerto Pollensa Mallorca Spain</t>
        </is>
      </c>
      <c r="AH2352" t="inlineStr">
        <is>
          <t>Quelle: A Place in the Sun</t>
        </is>
      </c>
    </row>
    <row r="2353">
      <c r="A2353" t="n">
        <v>2166</v>
      </c>
      <c r="B2353" t="inlineStr">
        <is>
          <t>APTS Property</t>
        </is>
      </c>
      <c r="C2353" t="inlineStr">
        <is>
          <t>https://www.aplaceinthesun.com/property/details/ap3625769/4-bed-finca-for-sale-in-selva-mallorca-spain</t>
        </is>
      </c>
      <c r="E2353" t="n">
        <v>4</v>
      </c>
      <c r="J2353" t="inlineStr">
        <is>
          <t>Selva Mallorca Spain</t>
        </is>
      </c>
      <c r="AH2353" t="inlineStr">
        <is>
          <t>Quelle: A Place in the Sun</t>
        </is>
      </c>
    </row>
    <row r="2354">
      <c r="A2354" t="n">
        <v>2167</v>
      </c>
      <c r="B2354" t="inlineStr">
        <is>
          <t>APTS Property</t>
        </is>
      </c>
      <c r="C2354" t="inlineStr">
        <is>
          <t>https://www.aplaceinthesun.com/property/details/ap3625762/4-bed-villa-for-sale-in-manacor-mallorca-spain</t>
        </is>
      </c>
      <c r="E2354" t="n">
        <v>4</v>
      </c>
      <c r="J2354" t="inlineStr">
        <is>
          <t>Manacor Mallorca Spain</t>
        </is>
      </c>
      <c r="AH2354" t="inlineStr">
        <is>
          <t>Quelle: A Place in the Sun</t>
        </is>
      </c>
    </row>
    <row r="2355">
      <c r="A2355" t="n">
        <v>2168</v>
      </c>
      <c r="B2355" t="inlineStr">
        <is>
          <t>APTS Property</t>
        </is>
      </c>
      <c r="C2355" t="inlineStr">
        <is>
          <t>https://www.aplaceinthesun.com/property/details/ap3624262/7-bed-property-for-sale-in-escorca-mallorca-spain</t>
        </is>
      </c>
      <c r="E2355" t="n">
        <v>7</v>
      </c>
      <c r="J2355" t="inlineStr">
        <is>
          <t>Escorca Mallorca Spain</t>
        </is>
      </c>
      <c r="K2355" t="n">
        <v>57.6</v>
      </c>
      <c r="L2355" t="n">
        <v>61</v>
      </c>
      <c r="M2355" t="n">
        <v>75.7</v>
      </c>
      <c r="N2355" t="n">
        <v>87</v>
      </c>
      <c r="O2355" t="n">
        <v>80.2</v>
      </c>
      <c r="P2355" t="n">
        <v>77</v>
      </c>
      <c r="Q2355" t="n">
        <v>73.40000000000001</v>
      </c>
      <c r="R2355" t="n">
        <v>83</v>
      </c>
      <c r="AH2355" t="inlineStr">
        <is>
          <t>Quelle: A Place in the Sun</t>
        </is>
      </c>
    </row>
    <row r="2356">
      <c r="A2356" t="n">
        <v>2169</v>
      </c>
      <c r="B2356" t="inlineStr">
        <is>
          <t>APTS Property</t>
        </is>
      </c>
      <c r="C2356" t="inlineStr">
        <is>
          <t>https://www.aplaceinthesun.com/property/details/ap3616478/7-bed-finca-for-sale-in-escorca-mallorca-spain</t>
        </is>
      </c>
      <c r="E2356" t="n">
        <v>7</v>
      </c>
      <c r="J2356" t="inlineStr">
        <is>
          <t>Escorca Mallorca Spain</t>
        </is>
      </c>
      <c r="K2356" t="n">
        <v>57.6</v>
      </c>
      <c r="L2356" t="n">
        <v>61</v>
      </c>
      <c r="M2356" t="n">
        <v>75.7</v>
      </c>
      <c r="N2356" t="n">
        <v>87</v>
      </c>
      <c r="O2356" t="n">
        <v>80.2</v>
      </c>
      <c r="P2356" t="n">
        <v>77</v>
      </c>
      <c r="Q2356" t="n">
        <v>73.40000000000001</v>
      </c>
      <c r="R2356" t="n">
        <v>83</v>
      </c>
      <c r="AH2356" t="inlineStr">
        <is>
          <t>Quelle: A Place in the Sun</t>
        </is>
      </c>
    </row>
    <row r="2357">
      <c r="A2357" t="n">
        <v>2170</v>
      </c>
      <c r="B2357" t="inlineStr">
        <is>
          <t>APTS Property</t>
        </is>
      </c>
      <c r="C2357" t="inlineStr">
        <is>
          <t>https://www.aplaceinthesun.com/property/details/ap3491398/3-bed-finca-for-sale-in-pollenca-mallorca-spain</t>
        </is>
      </c>
      <c r="E2357" t="n">
        <v>3</v>
      </c>
      <c r="J2357" t="inlineStr">
        <is>
          <t>Pollenca Mallorca Spain</t>
        </is>
      </c>
      <c r="AH2357" t="inlineStr">
        <is>
          <t>Quelle: A Place in the Sun</t>
        </is>
      </c>
    </row>
    <row r="2358">
      <c r="A2358" t="n">
        <v>2171</v>
      </c>
      <c r="B2358" t="inlineStr">
        <is>
          <t>APTS Property</t>
        </is>
      </c>
      <c r="C2358" t="inlineStr">
        <is>
          <t>https://www.aplaceinthesun.com/property/details/ap3312992/4-bed-chalet-for-sale-in-alcudia-mallorca-spain</t>
        </is>
      </c>
      <c r="E2358" t="n">
        <v>4</v>
      </c>
      <c r="J2358" t="inlineStr">
        <is>
          <t>Alcudia Mallorca Spain</t>
        </is>
      </c>
      <c r="AH2358" t="inlineStr">
        <is>
          <t>Quelle: A Place in the Sun</t>
        </is>
      </c>
    </row>
    <row r="2359">
      <c r="A2359" t="n">
        <v>2172</v>
      </c>
      <c r="B2359" t="inlineStr">
        <is>
          <t>APTS Property</t>
        </is>
      </c>
      <c r="C2359" t="inlineStr">
        <is>
          <t>https://www.aplaceinthesun.com/property/details/ap3296031/terraced-villa-cala-d-or</t>
        </is>
      </c>
      <c r="J2359" t="inlineStr">
        <is>
          <t>Mallorca</t>
        </is>
      </c>
      <c r="AH2359" t="inlineStr">
        <is>
          <t>Quelle: A Place in the Sun</t>
        </is>
      </c>
    </row>
    <row r="2360">
      <c r="A2360" t="n">
        <v>2173</v>
      </c>
      <c r="B2360" t="inlineStr">
        <is>
          <t>APTS Property</t>
        </is>
      </c>
      <c r="C2360" t="inlineStr">
        <is>
          <t>https://www.aplaceinthesun.com/property/details/ap3267158/4-bed-townhouse-for-sale-in-mallorca-balearic-islands-spain</t>
        </is>
      </c>
      <c r="E2360" t="n">
        <v>4</v>
      </c>
      <c r="J2360" t="inlineStr">
        <is>
          <t>Mallorca Balearic Islands Spain</t>
        </is>
      </c>
      <c r="AH2360" t="inlineStr">
        <is>
          <t>Quelle: A Place in the Sun</t>
        </is>
      </c>
    </row>
    <row r="2361">
      <c r="A2361" t="n">
        <v>2174</v>
      </c>
      <c r="B2361" t="inlineStr">
        <is>
          <t>APTS Property</t>
        </is>
      </c>
      <c r="C2361" t="inlineStr">
        <is>
          <t>https://www.aplaceinthesun.com/property/details/ap3256497/3-bed-property-for-sale-in-arta-mallorca-spain</t>
        </is>
      </c>
      <c r="E2361" t="n">
        <v>3</v>
      </c>
      <c r="J2361" t="inlineStr">
        <is>
          <t>Arta Mallorca Spain</t>
        </is>
      </c>
      <c r="AH2361" t="inlineStr">
        <is>
          <t>Quelle: A Place in the Sun</t>
        </is>
      </c>
    </row>
    <row r="2362">
      <c r="A2362" t="n">
        <v>2175</v>
      </c>
      <c r="B2362" t="inlineStr">
        <is>
          <t>APTS Property</t>
        </is>
      </c>
      <c r="C2362" t="inlineStr">
        <is>
          <t>https://www.aplaceinthesun.com/property/details/ap3253731/2-bed-villa-for-sale-in-manacor-mallorca-spain</t>
        </is>
      </c>
      <c r="E2362" t="n">
        <v>2</v>
      </c>
      <c r="J2362" t="inlineStr">
        <is>
          <t>Manacor Mallorca Spain</t>
        </is>
      </c>
      <c r="AH2362" t="inlineStr">
        <is>
          <t>Quelle: A Place in the Sun</t>
        </is>
      </c>
    </row>
    <row r="2363">
      <c r="A2363" t="n">
        <v>2176</v>
      </c>
      <c r="B2363" t="inlineStr">
        <is>
          <t>APTS Property</t>
        </is>
      </c>
      <c r="C2363" t="inlineStr">
        <is>
          <t>https://www.aplaceinthesun.com/property/details/ap3253730/3-bed-villa-for-sale-in-manacor-mallorca-spain</t>
        </is>
      </c>
      <c r="E2363" t="n">
        <v>3</v>
      </c>
      <c r="J2363" t="inlineStr">
        <is>
          <t>Manacor Mallorca Spain</t>
        </is>
      </c>
      <c r="AH2363" t="inlineStr">
        <is>
          <t>Quelle: A Place in the Sun</t>
        </is>
      </c>
    </row>
    <row r="2364">
      <c r="A2364" t="n">
        <v>2177</v>
      </c>
      <c r="B2364" t="inlineStr">
        <is>
          <t>APTS Property</t>
        </is>
      </c>
      <c r="C2364" t="inlineStr">
        <is>
          <t>https://www.aplaceinthesun.com/property/details/ap3250283/4-bed-property-for-sale-in-santanyi-mallorca-spain</t>
        </is>
      </c>
      <c r="E2364" t="n">
        <v>4</v>
      </c>
      <c r="J2364" t="inlineStr">
        <is>
          <t>Santanyi Mallorca Spain</t>
        </is>
      </c>
      <c r="AH2364" t="inlineStr">
        <is>
          <t>Quelle: A Place in the Sun</t>
        </is>
      </c>
    </row>
    <row r="2365">
      <c r="A2365" t="n">
        <v>2178</v>
      </c>
      <c r="B2365" t="inlineStr">
        <is>
          <t>APTS Property</t>
        </is>
      </c>
      <c r="C2365" t="inlineStr">
        <is>
          <t>https://www.aplaceinthesun.com/property/details/ap3241016/urban-plot-cala-d-or</t>
        </is>
      </c>
      <c r="J2365" t="inlineStr">
        <is>
          <t>Mallorca</t>
        </is>
      </c>
      <c r="AH2365" t="inlineStr">
        <is>
          <t>Quelle: A Place in the Sun</t>
        </is>
      </c>
    </row>
    <row r="2366">
      <c r="A2366" t="n">
        <v>2179</v>
      </c>
      <c r="B2366" t="inlineStr">
        <is>
          <t>APTS Property</t>
        </is>
      </c>
      <c r="C2366" t="inlineStr">
        <is>
          <t>https://www.aplaceinthesun.com/property/details/ap3240952/plot-near-cas-concos</t>
        </is>
      </c>
      <c r="J2366" t="inlineStr">
        <is>
          <t>Mallorca</t>
        </is>
      </c>
      <c r="AH2366" t="inlineStr">
        <is>
          <t>Quelle: A Place in the Sun</t>
        </is>
      </c>
    </row>
    <row r="2367">
      <c r="A2367" t="n">
        <v>2180</v>
      </c>
      <c r="B2367" t="inlineStr">
        <is>
          <t>APTS Property</t>
        </is>
      </c>
      <c r="C2367" t="inlineStr">
        <is>
          <t>https://www.aplaceinthesun.com/property/details/ap3222188/5-bed-finca-for-sale-in-pollenca-mallorca-spain</t>
        </is>
      </c>
      <c r="E2367" t="n">
        <v>5</v>
      </c>
      <c r="J2367" t="inlineStr">
        <is>
          <t>Pollenca Mallorca Spain</t>
        </is>
      </c>
      <c r="K2367" t="n">
        <v>60.6</v>
      </c>
      <c r="L2367" t="n">
        <v>47</v>
      </c>
      <c r="M2367" t="n">
        <v>78.7</v>
      </c>
      <c r="N2367" t="n">
        <v>74</v>
      </c>
      <c r="O2367" t="n">
        <v>83.2</v>
      </c>
      <c r="P2367" t="n">
        <v>63</v>
      </c>
      <c r="Q2367" t="n">
        <v>76.40000000000001</v>
      </c>
      <c r="R2367" t="n">
        <v>70</v>
      </c>
      <c r="AH2367" t="inlineStr">
        <is>
          <t>Quelle: A Place in the Sun</t>
        </is>
      </c>
    </row>
    <row r="2368">
      <c r="A2368" t="n">
        <v>2181</v>
      </c>
      <c r="B2368" t="inlineStr">
        <is>
          <t>APTS Property</t>
        </is>
      </c>
      <c r="C2368" t="inlineStr">
        <is>
          <t>https://www.aplaceinthesun.com/property/details/ap3165883/6-bed-villa-for-sale-in-alcudia-mallorca-spain</t>
        </is>
      </c>
      <c r="E2368" t="n">
        <v>6</v>
      </c>
      <c r="J2368" t="inlineStr">
        <is>
          <t>Alcudia Mallorca Spain</t>
        </is>
      </c>
      <c r="K2368" t="n">
        <v>61.6</v>
      </c>
      <c r="L2368" t="n">
        <v>47</v>
      </c>
      <c r="M2368" t="n">
        <v>79.7</v>
      </c>
      <c r="N2368" t="n">
        <v>74</v>
      </c>
      <c r="O2368" t="n">
        <v>84.2</v>
      </c>
      <c r="P2368" t="n">
        <v>63</v>
      </c>
      <c r="Q2368" t="n">
        <v>77.40000000000001</v>
      </c>
      <c r="R2368" t="n">
        <v>70</v>
      </c>
      <c r="AH2368" t="inlineStr">
        <is>
          <t>Quelle: A Place in the Sun</t>
        </is>
      </c>
    </row>
    <row r="2369">
      <c r="A2369" t="n">
        <v>2182</v>
      </c>
      <c r="B2369" t="inlineStr">
        <is>
          <t>APTS Property</t>
        </is>
      </c>
      <c r="C2369" t="inlineStr">
        <is>
          <t>https://www.aplaceinthesun.com/property/details/ap3093886/4-bed-property-for-sale-in-illetas-mallorca-spain</t>
        </is>
      </c>
      <c r="E2369" t="n">
        <v>4</v>
      </c>
      <c r="J2369" t="inlineStr">
        <is>
          <t>Illetas Mallorca Spain</t>
        </is>
      </c>
      <c r="AH2369" t="inlineStr">
        <is>
          <t>Quelle: A Place in the Sun</t>
        </is>
      </c>
    </row>
    <row r="2370">
      <c r="A2370" t="n">
        <v>2183</v>
      </c>
      <c r="B2370" t="inlineStr">
        <is>
          <t>APTS Property</t>
        </is>
      </c>
      <c r="C2370" t="inlineStr">
        <is>
          <t>https://www.aplaceinthesun.com/property/details/ap2947424/3-bed-apartment-for-sale-in-alcudia-mallorca-spain</t>
        </is>
      </c>
      <c r="E2370" t="n">
        <v>3</v>
      </c>
      <c r="J2370" t="inlineStr">
        <is>
          <t>Alcudia Mallorca Spain</t>
        </is>
      </c>
      <c r="AH2370" t="inlineStr">
        <is>
          <t>Quelle: A Place in the Sun</t>
        </is>
      </c>
    </row>
    <row r="2371">
      <c r="A2371" t="n">
        <v>2184</v>
      </c>
      <c r="B2371" t="inlineStr">
        <is>
          <t>APTS Property</t>
        </is>
      </c>
      <c r="C2371" t="inlineStr">
        <is>
          <t>https://www.aplaceinthesun.com/property/details/ap2985948/5-bed-finca-for-sale-in-puerto-pollensa-mallorca-spain</t>
        </is>
      </c>
      <c r="E2371" t="n">
        <v>5</v>
      </c>
      <c r="J2371" t="inlineStr">
        <is>
          <t>Puerto Pollensa Mallorca Spain</t>
        </is>
      </c>
      <c r="K2371" t="n">
        <v>66.90000000000001</v>
      </c>
      <c r="L2371" t="n">
        <v>52</v>
      </c>
      <c r="M2371" t="n">
        <v>85</v>
      </c>
      <c r="N2371" t="n">
        <v>78</v>
      </c>
      <c r="O2371" t="n">
        <v>89.5</v>
      </c>
      <c r="P2371" t="n">
        <v>68</v>
      </c>
      <c r="Q2371" t="n">
        <v>82.7</v>
      </c>
      <c r="R2371" t="n">
        <v>75</v>
      </c>
      <c r="AH2371" t="inlineStr">
        <is>
          <t>Quelle: A Place in the Sun</t>
        </is>
      </c>
    </row>
    <row r="2372">
      <c r="A2372" t="n">
        <v>2185</v>
      </c>
      <c r="B2372" t="inlineStr">
        <is>
          <t>APTS Property</t>
        </is>
      </c>
      <c r="C2372" t="inlineStr">
        <is>
          <t>https://www.aplaceinthesun.com/property/details/ap3076184/3-bed-property-for-sale-in-puerto-pollensa-mallorca-spain</t>
        </is>
      </c>
      <c r="E2372" t="n">
        <v>3</v>
      </c>
      <c r="J2372" t="inlineStr">
        <is>
          <t>Puerto Pollensa Mallorca Spain</t>
        </is>
      </c>
      <c r="AH2372" t="inlineStr">
        <is>
          <t>Quelle: A Place in the Sun</t>
        </is>
      </c>
    </row>
    <row r="2373">
      <c r="A2373" t="n">
        <v>2186</v>
      </c>
      <c r="B2373" t="inlineStr">
        <is>
          <t>APTS Property</t>
        </is>
      </c>
      <c r="C2373" t="inlineStr">
        <is>
          <t>https://www.aplaceinthesun.com/property/details/ap3074982/3-bed-townhouse-for-sale-in-puerto-pollensa-mallorca-spain</t>
        </is>
      </c>
      <c r="E2373" t="n">
        <v>3</v>
      </c>
      <c r="J2373" t="inlineStr">
        <is>
          <t>Puerto Pollensa Mallorca Spain</t>
        </is>
      </c>
      <c r="AH2373" t="inlineStr">
        <is>
          <t>Quelle: A Place in the Sun</t>
        </is>
      </c>
    </row>
    <row r="2374">
      <c r="A2374" t="n">
        <v>2187</v>
      </c>
      <c r="B2374" t="inlineStr">
        <is>
          <t>APTS Property</t>
        </is>
      </c>
      <c r="C2374" t="inlineStr">
        <is>
          <t>https://www.aplaceinthesun.com/property/details/ap3072901/5-bed-chalet-for-sale-in-alcudia-mallorca-spain</t>
        </is>
      </c>
      <c r="E2374" t="n">
        <v>5</v>
      </c>
      <c r="J2374" t="inlineStr">
        <is>
          <t>Alcudia Mallorca Spain</t>
        </is>
      </c>
      <c r="K2374" t="n">
        <v>61.6</v>
      </c>
      <c r="L2374" t="n">
        <v>47</v>
      </c>
      <c r="M2374" t="n">
        <v>79.7</v>
      </c>
      <c r="N2374" t="n">
        <v>74</v>
      </c>
      <c r="O2374" t="n">
        <v>84.2</v>
      </c>
      <c r="P2374" t="n">
        <v>63</v>
      </c>
      <c r="Q2374" t="n">
        <v>77.40000000000001</v>
      </c>
      <c r="R2374" t="n">
        <v>70</v>
      </c>
      <c r="AH2374" t="inlineStr">
        <is>
          <t>Quelle: A Place in the Sun</t>
        </is>
      </c>
    </row>
    <row r="2375">
      <c r="A2375" t="n">
        <v>2188</v>
      </c>
      <c r="B2375" t="inlineStr">
        <is>
          <t>APTS Property</t>
        </is>
      </c>
      <c r="C2375" t="inlineStr">
        <is>
          <t>https://www.aplaceinthesun.com/property/details/ap3047707/6-bed-townhouse-for-sale-in-pollenca-mallorca-spain</t>
        </is>
      </c>
      <c r="E2375" t="n">
        <v>6</v>
      </c>
      <c r="J2375" t="inlineStr">
        <is>
          <t>Pollenca Mallorca Spain</t>
        </is>
      </c>
      <c r="K2375" t="n">
        <v>60.6</v>
      </c>
      <c r="L2375" t="n">
        <v>47</v>
      </c>
      <c r="M2375" t="n">
        <v>78.7</v>
      </c>
      <c r="N2375" t="n">
        <v>74</v>
      </c>
      <c r="O2375" t="n">
        <v>83.2</v>
      </c>
      <c r="P2375" t="n">
        <v>63</v>
      </c>
      <c r="Q2375" t="n">
        <v>76.40000000000001</v>
      </c>
      <c r="R2375" t="n">
        <v>70</v>
      </c>
      <c r="AH2375" t="inlineStr">
        <is>
          <t>Quelle: A Place in the Sun</t>
        </is>
      </c>
    </row>
    <row r="2376">
      <c r="A2376" t="n">
        <v>2189</v>
      </c>
      <c r="B2376" t="inlineStr">
        <is>
          <t>APTS Property</t>
        </is>
      </c>
      <c r="C2376" t="inlineStr">
        <is>
          <t>https://www.aplaceinthesun.com/property/details/ap3038538/5-bed-chalet-for-sale-in-alcudia-mallorca-spain</t>
        </is>
      </c>
      <c r="E2376" t="n">
        <v>5</v>
      </c>
      <c r="J2376" t="inlineStr">
        <is>
          <t>Alcudia Mallorca Spain</t>
        </is>
      </c>
      <c r="K2376" t="n">
        <v>61.6</v>
      </c>
      <c r="L2376" t="n">
        <v>47</v>
      </c>
      <c r="M2376" t="n">
        <v>79.7</v>
      </c>
      <c r="N2376" t="n">
        <v>74</v>
      </c>
      <c r="O2376" t="n">
        <v>84.2</v>
      </c>
      <c r="P2376" t="n">
        <v>63</v>
      </c>
      <c r="Q2376" t="n">
        <v>77.40000000000001</v>
      </c>
      <c r="R2376" t="n">
        <v>70</v>
      </c>
      <c r="AH2376" t="inlineStr">
        <is>
          <t>Quelle: A Place in the Sun</t>
        </is>
      </c>
    </row>
    <row r="2377">
      <c r="A2377" t="n">
        <v>2190</v>
      </c>
      <c r="B2377" t="inlineStr">
        <is>
          <t>APTS Property</t>
        </is>
      </c>
      <c r="C2377" t="inlineStr">
        <is>
          <t>https://www.aplaceinthesun.com/property/details/ap2953279/5-bed-chalet-for-sale-in-puerto-pollensa-mallorca-spain</t>
        </is>
      </c>
      <c r="E2377" t="n">
        <v>5</v>
      </c>
      <c r="J2377" t="inlineStr">
        <is>
          <t>Puerto Pollensa Mallorca Spain</t>
        </is>
      </c>
      <c r="K2377" t="n">
        <v>66.90000000000001</v>
      </c>
      <c r="L2377" t="n">
        <v>52</v>
      </c>
      <c r="M2377" t="n">
        <v>85</v>
      </c>
      <c r="N2377" t="n">
        <v>78</v>
      </c>
      <c r="O2377" t="n">
        <v>89.5</v>
      </c>
      <c r="P2377" t="n">
        <v>68</v>
      </c>
      <c r="Q2377" t="n">
        <v>82.7</v>
      </c>
      <c r="R2377" t="n">
        <v>75</v>
      </c>
      <c r="AH2377" t="inlineStr">
        <is>
          <t>Quelle: A Place in the Sun</t>
        </is>
      </c>
    </row>
    <row r="2378">
      <c r="A2378" t="n">
        <v>2191</v>
      </c>
      <c r="B2378" t="inlineStr">
        <is>
          <t>APTS Property</t>
        </is>
      </c>
      <c r="C2378" t="inlineStr">
        <is>
          <t>https://www.aplaceinthesun.com/property/details/ap2943030/4-bed-townhouse-for-sale-in-costitx-mallorca-spain</t>
        </is>
      </c>
      <c r="E2378" t="n">
        <v>4</v>
      </c>
      <c r="J2378" t="inlineStr">
        <is>
          <t>Costitx Mallorca Spain</t>
        </is>
      </c>
      <c r="AH2378" t="inlineStr">
        <is>
          <t>Quelle: A Place in the Sun</t>
        </is>
      </c>
    </row>
    <row r="2379">
      <c r="A2379" t="n">
        <v>2192</v>
      </c>
      <c r="B2379" t="inlineStr">
        <is>
          <t>APTS Property</t>
        </is>
      </c>
      <c r="C2379" t="inlineStr">
        <is>
          <t>https://www.aplaceinthesun.com/property/details/ap2922163/4-bed-villa-for-sale-in-alcudia-mallorca-spain</t>
        </is>
      </c>
      <c r="E2379" t="n">
        <v>4</v>
      </c>
      <c r="J2379" t="inlineStr">
        <is>
          <t>Alcudia Mallorca Spain</t>
        </is>
      </c>
      <c r="AH2379" t="inlineStr">
        <is>
          <t>Quelle: A Place in the Sun</t>
        </is>
      </c>
    </row>
    <row r="2380">
      <c r="A2380" t="n">
        <v>2193</v>
      </c>
      <c r="B2380" t="inlineStr">
        <is>
          <t>APTS Property</t>
        </is>
      </c>
      <c r="C2380" t="inlineStr">
        <is>
          <t>https://www.aplaceinthesun.com/property/details/ap2825327/3-bed-penthouse-for-sale-in-alcudia-mallorca-spain</t>
        </is>
      </c>
      <c r="E2380" t="n">
        <v>3</v>
      </c>
      <c r="J2380" t="inlineStr">
        <is>
          <t>Alcudia Mallorca Spain</t>
        </is>
      </c>
      <c r="AH2380" t="inlineStr">
        <is>
          <t>Quelle: A Place in the Sun</t>
        </is>
      </c>
    </row>
    <row r="2381">
      <c r="A2381" t="n">
        <v>2194</v>
      </c>
      <c r="B2381" t="inlineStr">
        <is>
          <t>APTS Property</t>
        </is>
      </c>
      <c r="C2381" t="inlineStr">
        <is>
          <t>https://www.aplaceinthesun.com/property/details/ap2763695/16-bed-property-for-sale-in-pollenca-mallorca-spain</t>
        </is>
      </c>
      <c r="E2381" t="n">
        <v>16</v>
      </c>
      <c r="J2381" t="inlineStr">
        <is>
          <t>Pollenca Mallorca Spain</t>
        </is>
      </c>
      <c r="K2381" t="n">
        <v>60.6</v>
      </c>
      <c r="L2381" t="n">
        <v>47</v>
      </c>
      <c r="M2381" t="n">
        <v>78.7</v>
      </c>
      <c r="N2381" t="n">
        <v>74</v>
      </c>
      <c r="O2381" t="n">
        <v>83.2</v>
      </c>
      <c r="P2381" t="n">
        <v>63</v>
      </c>
      <c r="Q2381" t="n">
        <v>76.40000000000001</v>
      </c>
      <c r="R2381" t="n">
        <v>70</v>
      </c>
      <c r="AH2381" t="inlineStr">
        <is>
          <t>Quelle: A Place in the Sun</t>
        </is>
      </c>
    </row>
    <row r="2382">
      <c r="A2382" t="n">
        <v>2195</v>
      </c>
      <c r="B2382" t="inlineStr">
        <is>
          <t>APTS Property</t>
        </is>
      </c>
      <c r="C2382" t="inlineStr">
        <is>
          <t>https://www.aplaceinthesun.com/property/details/ap2510231/6-bed-villa-for-sale-in-puerto-pollensa-mallorca-spain</t>
        </is>
      </c>
      <c r="E2382" t="n">
        <v>6</v>
      </c>
      <c r="J2382" t="inlineStr">
        <is>
          <t>Puerto Pollensa Mallorca Spain</t>
        </is>
      </c>
      <c r="K2382" t="n">
        <v>66.90000000000001</v>
      </c>
      <c r="L2382" t="n">
        <v>52</v>
      </c>
      <c r="M2382" t="n">
        <v>85</v>
      </c>
      <c r="N2382" t="n">
        <v>78</v>
      </c>
      <c r="O2382" t="n">
        <v>89.5</v>
      </c>
      <c r="P2382" t="n">
        <v>68</v>
      </c>
      <c r="Q2382" t="n">
        <v>82.7</v>
      </c>
      <c r="R2382" t="n">
        <v>75</v>
      </c>
      <c r="AH2382" t="inlineStr">
        <is>
          <t>Quelle: A Place in the Sun</t>
        </is>
      </c>
    </row>
    <row r="2383">
      <c r="A2383" t="n">
        <v>2196</v>
      </c>
      <c r="B2383" t="inlineStr">
        <is>
          <t>APTS Property</t>
        </is>
      </c>
      <c r="C2383" t="inlineStr">
        <is>
          <t>https://www.aplaceinthesun.com/property/details/ap2309291/3-bed-property-for-sale-in-pollenca-mallorca-spain</t>
        </is>
      </c>
      <c r="E2383" t="n">
        <v>3</v>
      </c>
      <c r="J2383" t="inlineStr">
        <is>
          <t>Pollenca Mallorca Spain</t>
        </is>
      </c>
      <c r="AH2383" t="inlineStr">
        <is>
          <t>Quelle: A Place in the Sun</t>
        </is>
      </c>
    </row>
    <row r="2384">
      <c r="A2384" t="n">
        <v>2197</v>
      </c>
      <c r="B2384" t="inlineStr">
        <is>
          <t>Home</t>
        </is>
      </c>
      <c r="C2384" t="inlineStr">
        <is>
          <t>https://www.prestigepropertygroup.com/mallorca/buy/?bedrooms=5</t>
        </is>
      </c>
      <c r="AH2384" t="inlineStr">
        <is>
          <t>Quelle: Prestige Property Group</t>
        </is>
      </c>
    </row>
    <row r="2385">
      <c r="A2385" t="n">
        <v>2198</v>
      </c>
      <c r="C2385" t="inlineStr">
        <is>
          <t>https://www.minkner.com/kaufen/?zimmer_min=5</t>
        </is>
      </c>
      <c r="AH2385" t="inlineStr">
        <is>
          <t>Quelle: Minkner &amp; Bonitz</t>
        </is>
      </c>
    </row>
    <row r="2386">
      <c r="A2386" t="n">
        <v>2199</v>
      </c>
      <c r="B2386" t="inlineStr">
        <is>
          <t>Subasta SUB-JA-2026-257742</t>
        </is>
      </c>
      <c r="C2386" t="inlineStr">
        <is>
          <t>https://subastas.boe.es/detalleSubasta.php?idSub=SUB-JA-2026-257742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86" t="inlineStr">
        <is>
          <t>PALMA DE MALLORCA</t>
        </is>
      </c>
      <c r="S2386" t="n">
        <v>738000</v>
      </c>
      <c r="AH2386" t="inlineStr">
        <is>
          <t>Quelle: BOE Subastas</t>
        </is>
      </c>
    </row>
    <row r="2387">
      <c r="A2387" t="n">
        <v>2200</v>
      </c>
      <c r="B2387" t="inlineStr">
        <is>
          <t>Subasta SUB-JA-2020-162585</t>
        </is>
      </c>
      <c r="C2387" t="inlineStr">
        <is>
          <t>https://subastas.boe.es/detalleSubasta.php?idSub=SUB-JA-2020-162585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87" t="inlineStr">
        <is>
          <t>PALMA DE MALLORCA</t>
        </is>
      </c>
      <c r="AH2387" t="inlineStr">
        <is>
          <t>Quelle: BOE Subastas</t>
        </is>
      </c>
    </row>
    <row r="2388">
      <c r="A2388" t="n">
        <v>2201</v>
      </c>
      <c r="B2388" t="inlineStr">
        <is>
          <t>Subasta SUB-JA-2025-250937</t>
        </is>
      </c>
      <c r="C2388" t="inlineStr">
        <is>
          <t>https://subastas.boe.es/detalleSubasta.php?idSub=SUB-JA-2025-250937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88" t="inlineStr">
        <is>
          <t>MAO</t>
        </is>
      </c>
      <c r="S2388" t="n">
        <v>258019.89</v>
      </c>
      <c r="AH2388" t="inlineStr">
        <is>
          <t>Quelle: BOE Subastas</t>
        </is>
      </c>
    </row>
    <row r="2389">
      <c r="A2389" t="n">
        <v>2202</v>
      </c>
      <c r="B2389" t="inlineStr">
        <is>
          <t>Subasta SUB-JA-2026-256633</t>
        </is>
      </c>
      <c r="C2389" t="inlineStr">
        <is>
          <t>https://subastas.boe.es/detalleSubasta.php?idSub=SUB-JA-2026-256633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89" t="inlineStr">
        <is>
          <t>PALMA DE MALLORCA</t>
        </is>
      </c>
      <c r="S2389" t="n">
        <v>200000</v>
      </c>
      <c r="AH2389" t="inlineStr">
        <is>
          <t>Quelle: BOE Subastas</t>
        </is>
      </c>
    </row>
    <row r="2390">
      <c r="A2390" t="n">
        <v>2203</v>
      </c>
      <c r="B2390" t="inlineStr">
        <is>
          <t>Subasta SUB-JA-2026-257124</t>
        </is>
      </c>
      <c r="C2390" t="inlineStr">
        <is>
          <t>https://subastas.boe.es/detalleSubasta.php?idSub=SUB-JA-2026-257124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0" t="inlineStr">
        <is>
          <t>PALMA DE MALLORCA</t>
        </is>
      </c>
      <c r="AH2390" t="inlineStr">
        <is>
          <t>Quelle: BOE Subastas</t>
        </is>
      </c>
    </row>
    <row r="2391">
      <c r="A2391" t="n">
        <v>2204</v>
      </c>
      <c r="B2391" t="inlineStr">
        <is>
          <t>Subasta SUB-AT-2026-25R0786001055</t>
        </is>
      </c>
      <c r="C2391" t="inlineStr">
        <is>
          <t>https://subastas.boe.es/detalleSubasta.php?idSub=SUB-AT-2026-25R0786001055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1" t="inlineStr">
        <is>
          <t>Baleares</t>
        </is>
      </c>
      <c r="S2391" t="n">
        <v>56832.75</v>
      </c>
      <c r="AH2391" t="inlineStr">
        <is>
          <t>Quelle: BOE Subastas</t>
        </is>
      </c>
    </row>
    <row r="2392">
      <c r="A2392" t="n">
        <v>2205</v>
      </c>
      <c r="B2392" t="inlineStr">
        <is>
          <t>Subasta SUB-AT-2026-25R0786001057</t>
        </is>
      </c>
      <c r="C2392" t="inlineStr">
        <is>
          <t>https://subastas.boe.es/detalleSubasta.php?idSub=SUB-AT-2026-25R0786001057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2" t="inlineStr">
        <is>
          <t>Baleares</t>
        </is>
      </c>
      <c r="S2392" t="n">
        <v>52828.45</v>
      </c>
      <c r="AH2392" t="inlineStr">
        <is>
          <t>Quelle: BOE Subastas</t>
        </is>
      </c>
    </row>
    <row r="2393">
      <c r="A2393" t="n">
        <v>2206</v>
      </c>
      <c r="B2393" t="inlineStr">
        <is>
          <t>Subasta SUB-AT-2026-25R0786001062</t>
        </is>
      </c>
      <c r="C2393" t="inlineStr">
        <is>
          <t>https://subastas.boe.es/detalleSubasta.php?idSub=SUB-AT-2026-25R0786001062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3" t="inlineStr">
        <is>
          <t>Baleares</t>
        </is>
      </c>
      <c r="S2393" t="n">
        <v>202506.15</v>
      </c>
      <c r="AH2393" t="inlineStr">
        <is>
          <t>Quelle: BOE Subastas</t>
        </is>
      </c>
    </row>
    <row r="2394">
      <c r="A2394" t="n">
        <v>2207</v>
      </c>
      <c r="B2394" t="inlineStr">
        <is>
          <t>Subasta SUB-AT-2026-25R0786001063</t>
        </is>
      </c>
      <c r="C2394" t="inlineStr">
        <is>
          <t>https://subastas.boe.es/detalleSubasta.php?idSub=SUB-AT-2026-25R0786001063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4" t="inlineStr">
        <is>
          <t>Baleares</t>
        </is>
      </c>
      <c r="S2394" t="n">
        <v>32676.29</v>
      </c>
      <c r="AH2394" t="inlineStr">
        <is>
          <t>Quelle: BOE Subastas</t>
        </is>
      </c>
    </row>
    <row r="2395">
      <c r="A2395" t="n">
        <v>2208</v>
      </c>
      <c r="B2395" t="inlineStr">
        <is>
          <t>Subasta SUB-AT-2026-25R0786001065</t>
        </is>
      </c>
      <c r="C2395" t="inlineStr">
        <is>
          <t>https://subastas.boe.es/detalleSubasta.php?idSub=SUB-AT-2026-25R0786001065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5" t="inlineStr">
        <is>
          <t>Baleares</t>
        </is>
      </c>
      <c r="K2395" t="n">
        <v>47.4</v>
      </c>
      <c r="L2395" t="n">
        <v>40</v>
      </c>
      <c r="M2395" t="n">
        <v>51.8</v>
      </c>
      <c r="N2395" t="n">
        <v>55</v>
      </c>
      <c r="O2395" t="n">
        <v>70</v>
      </c>
      <c r="P2395" t="n">
        <v>56</v>
      </c>
      <c r="Q2395" t="n">
        <v>49.5</v>
      </c>
      <c r="R2395" t="n">
        <v>51</v>
      </c>
      <c r="S2395" t="n">
        <v>1206939.21</v>
      </c>
      <c r="AH2395" t="inlineStr">
        <is>
          <t>Quelle: BOE Subastas</t>
        </is>
      </c>
    </row>
    <row r="2396">
      <c r="A2396" t="n">
        <v>2209</v>
      </c>
      <c r="B2396" t="inlineStr">
        <is>
          <t>Subasta SUB-AT-2026-25R0786001066</t>
        </is>
      </c>
      <c r="C2396" t="inlineStr">
        <is>
          <t>https://subastas.boe.es/detalleSubasta.php?idSub=SUB-AT-2026-25R0786001066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6" t="inlineStr">
        <is>
          <t>Baleares</t>
        </is>
      </c>
      <c r="S2396" t="n">
        <v>131099.94</v>
      </c>
      <c r="AH2396" t="inlineStr">
        <is>
          <t>Quelle: BOE Subastas</t>
        </is>
      </c>
    </row>
    <row r="2397">
      <c r="A2397" t="n">
        <v>2210</v>
      </c>
      <c r="B2397" t="inlineStr">
        <is>
          <t>Subasta SUB-JA-2025-241792</t>
        </is>
      </c>
      <c r="C2397" t="inlineStr">
        <is>
          <t>https://subastas.boe.es/detalleSubasta.php?idSub=SUB-JA-2025-241792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7" t="inlineStr">
        <is>
          <t>PALMA DE MALLORCA</t>
        </is>
      </c>
      <c r="S2397" t="n">
        <v>123766.5</v>
      </c>
      <c r="AH2397" t="inlineStr">
        <is>
          <t>Quelle: BOE Subastas</t>
        </is>
      </c>
    </row>
    <row r="2398">
      <c r="A2398" t="n">
        <v>2211</v>
      </c>
      <c r="B2398" t="inlineStr">
        <is>
          <t>Subasta SUB-NH-2026-1586107</t>
        </is>
      </c>
      <c r="C2398" t="inlineStr">
        <is>
          <t>https://subastas.boe.es/detalleSubasta.php?idSub=SUB-NH-2026-1586107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J2398" t="inlineStr">
        <is>
          <t>Baleares</t>
        </is>
      </c>
      <c r="S2398" t="n">
        <v>164046.14</v>
      </c>
      <c r="AH2398" t="inlineStr">
        <is>
          <t>Quelle: BOE Subastas</t>
        </is>
      </c>
    </row>
    <row r="2399">
      <c r="A2399" t="n">
        <v>2212</v>
      </c>
      <c r="B2399" t="inlineStr">
        <is>
          <t>My shortlist</t>
        </is>
      </c>
      <c r="C2399" t="inlineStr">
        <is>
          <t>https://www.portamallorquina.com/property/shortlist/1/</t>
        </is>
      </c>
      <c r="AH2399" t="inlineStr">
        <is>
          <t>Quelle: Porta Mallorquina</t>
        </is>
      </c>
    </row>
    <row r="2400">
      <c r="A2400" t="n">
        <v>2213</v>
      </c>
      <c r="B2400" t="inlineStr">
        <is>
          <t>Mallorca property: Latest offers</t>
        </is>
      </c>
      <c r="C2400" t="inlineStr">
        <is>
          <t>https://www.portamallorquina.com/property/latest/</t>
        </is>
      </c>
      <c r="AH2400" t="inlineStr">
        <is>
          <t>Quelle: Porta Mallorquina</t>
        </is>
      </c>
    </row>
    <row r="2401">
      <c r="A2401" t="n">
        <v>2214</v>
      </c>
      <c r="B2401" t="inlineStr">
        <is>
          <t>Villas for sale in Mallorca</t>
        </is>
      </c>
      <c r="C2401" t="inlineStr">
        <is>
          <t>https://www.portamallorquina.com/property/villas/</t>
        </is>
      </c>
      <c r="AH2401" t="inlineStr">
        <is>
          <t>Quelle: Porta Mallorquina</t>
        </is>
      </c>
    </row>
    <row r="2402">
      <c r="A2402" t="n">
        <v>2215</v>
      </c>
      <c r="B2402" t="inlineStr">
        <is>
          <t>Fincas for sale in Mallorca</t>
        </is>
      </c>
      <c r="C2402" t="inlineStr">
        <is>
          <t>https://www.portamallorquina.com/property/fincas/</t>
        </is>
      </c>
      <c r="AH2402" t="inlineStr">
        <is>
          <t>Quelle: Porta Mallorquina</t>
        </is>
      </c>
    </row>
    <row r="2403">
      <c r="A2403" t="n">
        <v>2216</v>
      </c>
      <c r="B2403" t="inlineStr">
        <is>
          <t>Houses for sale in Mallorca</t>
        </is>
      </c>
      <c r="C2403" t="inlineStr">
        <is>
          <t>https://www.portamallorquina.com/property/houses/</t>
        </is>
      </c>
      <c r="AH2403" t="inlineStr">
        <is>
          <t>Quelle: Porta Mallorquina</t>
        </is>
      </c>
    </row>
    <row r="2404">
      <c r="A2404" t="n">
        <v>2217</v>
      </c>
      <c r="B2404" t="inlineStr">
        <is>
          <t>Apartments for sale in Mallorca</t>
        </is>
      </c>
      <c r="C2404" t="inlineStr">
        <is>
          <t>https://www.portamallorquina.com/property/apartments/</t>
        </is>
      </c>
      <c r="AH2404" t="inlineStr">
        <is>
          <t>Quelle: Porta Mallorquina</t>
        </is>
      </c>
    </row>
    <row r="2405">
      <c r="A2405" t="n">
        <v>2218</v>
      </c>
      <c r="B2405" t="inlineStr">
        <is>
          <t>Penthouses for sale in Mallorca</t>
        </is>
      </c>
      <c r="C2405" t="inlineStr">
        <is>
          <t>https://www.portamallorquina.com/property/penthouses/</t>
        </is>
      </c>
      <c r="AH2405" t="inlineStr">
        <is>
          <t>Quelle: Porta Mallorquina</t>
        </is>
      </c>
    </row>
    <row r="2406">
      <c r="A2406" t="n">
        <v>2219</v>
      </c>
      <c r="B2406" t="inlineStr">
        <is>
          <t>Plots for sale in Mallorca</t>
        </is>
      </c>
      <c r="C2406" t="inlineStr">
        <is>
          <t>https://www.portamallorquina.com/property/plots/</t>
        </is>
      </c>
      <c r="AH2406" t="inlineStr">
        <is>
          <t>Quelle: Porta Mallorquina</t>
        </is>
      </c>
    </row>
    <row r="2407">
      <c r="A2407" t="n">
        <v>2220</v>
      </c>
      <c r="B2407" t="inlineStr">
        <is>
          <t>Luxury real estate in Mallorca</t>
        </is>
      </c>
      <c r="C2407" t="inlineStr">
        <is>
          <t>https://www.portamallorquina.com/property/luxury-real-estate/</t>
        </is>
      </c>
      <c r="AH2407" t="inlineStr">
        <is>
          <t>Quelle: Porta Mallorquina</t>
        </is>
      </c>
    </row>
    <row r="2408">
      <c r="A2408" t="n">
        <v>2221</v>
      </c>
      <c r="B2408" t="inlineStr">
        <is>
          <t>Newly-built properties in Mallorca</t>
        </is>
      </c>
      <c r="C2408" t="inlineStr">
        <is>
          <t>https://www.portamallorquina.com/property/newly-built/</t>
        </is>
      </c>
      <c r="AH2408" t="inlineStr">
        <is>
          <t>Quelle: Porta Mallorquina</t>
        </is>
      </c>
    </row>
    <row r="2409">
      <c r="A2409" t="n">
        <v>2222</v>
      </c>
      <c r="B2409" t="inlineStr">
        <is>
          <t>Properties with holiday license</t>
        </is>
      </c>
      <c r="C2409" t="inlineStr">
        <is>
          <t>https://www.portamallorquina.com/property/holiday-license/</t>
        </is>
      </c>
      <c r="AH2409" t="inlineStr">
        <is>
          <t>Quelle: Porta Mallorquina</t>
        </is>
      </c>
    </row>
    <row r="2410">
      <c r="A2410" t="n">
        <v>2223</v>
      </c>
      <c r="B2410" t="inlineStr">
        <is>
          <t>Long term rental in Mallorca</t>
        </is>
      </c>
      <c r="C2410" t="inlineStr">
        <is>
          <t>https://www.portamallorquina.com/property/rent/</t>
        </is>
      </c>
      <c r="AH2410" t="inlineStr">
        <is>
          <t>Quelle: Porta Mallorquina</t>
        </is>
      </c>
    </row>
    <row r="2411">
      <c r="A2411" t="n">
        <v>2224</v>
      </c>
      <c r="B2411" t="inlineStr">
        <is>
          <t>Property for sale Palma Oldtown</t>
        </is>
      </c>
      <c r="C2411" t="inlineStr">
        <is>
          <t>https://www.portamallorquina.com/property/sale/palma-de-mallorca-old-town/</t>
        </is>
      </c>
      <c r="AH2411" t="inlineStr">
        <is>
          <t>Quelle: Porta Mallorquina</t>
        </is>
      </c>
    </row>
    <row r="2412">
      <c r="A2412" t="n">
        <v>2225</v>
      </c>
      <c r="B2412" t="inlineStr">
        <is>
          <t>Property for sale Pollensa</t>
        </is>
      </c>
      <c r="C2412" t="inlineStr">
        <is>
          <t>https://www.portamallorquina.com/property/sale/pollensa/</t>
        </is>
      </c>
      <c r="AH2412" t="inlineStr">
        <is>
          <t>Quelle: Porta Mallorquina</t>
        </is>
      </c>
    </row>
    <row r="2413">
      <c r="A2413" t="n">
        <v>2226</v>
      </c>
      <c r="B2413" t="inlineStr">
        <is>
          <t>Property for sale Alcudia</t>
        </is>
      </c>
      <c r="C2413" t="inlineStr">
        <is>
          <t>https://www.portamallorquina.com/property/sale/alcudia/</t>
        </is>
      </c>
      <c r="AH2413" t="inlineStr">
        <is>
          <t>Quelle: Porta Mallorquina</t>
        </is>
      </c>
    </row>
    <row r="2414">
      <c r="A2414" t="n">
        <v>2227</v>
      </c>
      <c r="B2414" t="inlineStr">
        <is>
          <t>Property for sale Santa Ponsa</t>
        </is>
      </c>
      <c r="C2414" t="inlineStr">
        <is>
          <t>https://www.portamallorquina.com/property/sale/santa-ponsa/</t>
        </is>
      </c>
      <c r="AH2414" t="inlineStr">
        <is>
          <t>Quelle: Porta Mallorquina</t>
        </is>
      </c>
    </row>
    <row r="2415">
      <c r="A2415" t="n">
        <v>2228</v>
      </c>
      <c r="B2415" t="inlineStr">
        <is>
          <t>Property for sale Port Andratx</t>
        </is>
      </c>
      <c r="C2415" t="inlineStr">
        <is>
          <t>https://www.portamallorquina.com/property/sale/puerto-andratx/</t>
        </is>
      </c>
      <c r="AH2415" t="inlineStr">
        <is>
          <t>Quelle: Porta Mallorquina</t>
        </is>
      </c>
    </row>
    <row r="2416">
      <c r="A2416" t="n">
        <v>2229</v>
      </c>
      <c r="B2416" t="inlineStr">
        <is>
          <t>Property in Portals Nous</t>
        </is>
      </c>
      <c r="C2416" t="inlineStr">
        <is>
          <t>https://www.portamallorquina.com/property/sale/portals-nous/</t>
        </is>
      </c>
      <c r="AH2416" t="inlineStr">
        <is>
          <t>Quelle: Porta Mallorquina</t>
        </is>
      </c>
    </row>
    <row r="2417">
      <c r="A2417" t="n">
        <v>2230</v>
      </c>
      <c r="B2417" t="inlineStr">
        <is>
          <t>Property in Arta</t>
        </is>
      </c>
      <c r="C2417" t="inlineStr">
        <is>
          <t>https://www.portamallorquina.com/property/sale/arta/</t>
        </is>
      </c>
      <c r="AH2417" t="inlineStr">
        <is>
          <t>Quelle: Porta Mallorquina</t>
        </is>
      </c>
    </row>
    <row r="2418">
      <c r="A2418" t="n">
        <v>2231</v>
      </c>
      <c r="B2418" t="inlineStr">
        <is>
          <t>Property in Soller</t>
        </is>
      </c>
      <c r="C2418" t="inlineStr">
        <is>
          <t>https://www.portamallorquina.com/property/sale/soller/</t>
        </is>
      </c>
      <c r="AH2418" t="inlineStr">
        <is>
          <t>Quelle: Porta Mallorquina</t>
        </is>
      </c>
    </row>
    <row r="2419">
      <c r="A2419" t="n">
        <v>2232</v>
      </c>
      <c r="B2419" t="inlineStr">
        <is>
          <t>Property in Valldemossa</t>
        </is>
      </c>
      <c r="C2419" t="inlineStr">
        <is>
          <t>https://www.portamallorquina.com/property/sale/valldemossa/</t>
        </is>
      </c>
      <c r="AH2419" t="inlineStr">
        <is>
          <t>Quelle: Porta Mallorquina</t>
        </is>
      </c>
    </row>
    <row r="2420">
      <c r="A2420" t="n">
        <v>2233</v>
      </c>
      <c r="B2420" t="inlineStr">
        <is>
          <t>Property in Santanyi</t>
        </is>
      </c>
      <c r="C2420" t="inlineStr">
        <is>
          <t>https://www.portamallorquina.com/property/sale/santanyi/</t>
        </is>
      </c>
      <c r="AH2420" t="inlineStr">
        <is>
          <t>Quelle: Porta Mallorquina</t>
        </is>
      </c>
    </row>
    <row r="2421">
      <c r="A2421" t="n">
        <v>2234</v>
      </c>
      <c r="B2421" t="inlineStr">
        <is>
          <t>Property in Llucmajor</t>
        </is>
      </c>
      <c r="C2421" t="inlineStr">
        <is>
          <t>https://www.portamallorquina.com/property/sale/llucmajor/</t>
        </is>
      </c>
      <c r="AH2421" t="inlineStr">
        <is>
          <t>Quelle: Porta Mallorquina</t>
        </is>
      </c>
    </row>
    <row r="2422">
      <c r="A2422" t="n">
        <v>2235</v>
      </c>
      <c r="B2422" t="inlineStr">
        <is>
          <t>Property in Alaro</t>
        </is>
      </c>
      <c r="C2422" t="inlineStr">
        <is>
          <t>https://www.portamallorquina.com/property/sale/alaro/</t>
        </is>
      </c>
      <c r="AH2422" t="inlineStr">
        <is>
          <t>Quelle: Porta Mallorquina</t>
        </is>
      </c>
    </row>
    <row r="2423">
      <c r="A2423" t="n">
        <v>2236</v>
      </c>
      <c r="B2423" t="inlineStr">
        <is>
          <t>Property in Santa Maria del Cami</t>
        </is>
      </c>
      <c r="C2423" t="inlineStr">
        <is>
          <t>https://www.portamallorquina.com/property/sale/santa-maria-del-cami/</t>
        </is>
      </c>
      <c r="AH2423" t="inlineStr">
        <is>
          <t>Quelle: Porta Mallorquina</t>
        </is>
      </c>
    </row>
    <row r="2424">
      <c r="A2424" t="n">
        <v>2237</v>
      </c>
      <c r="B2424" t="inlineStr">
        <is>
          <t>Online property valuation Mallorca</t>
        </is>
      </c>
      <c r="C2424" t="inlineStr">
        <is>
          <t>https://www.portamallorquina.com/property-valuation-mallorca.html</t>
        </is>
      </c>
      <c r="AH2424" t="inlineStr">
        <is>
          <t>Quelle: Porta Mallorquina</t>
        </is>
      </c>
    </row>
    <row r="2425">
      <c r="A2425" t="n">
        <v>2238</v>
      </c>
      <c r="B2425" t="inlineStr">
        <is>
          <t>Property management Mallorca</t>
        </is>
      </c>
      <c r="C2425" t="inlineStr">
        <is>
          <t>https://www.portamallorquina.com/property-management.html</t>
        </is>
      </c>
      <c r="AH2425" t="inlineStr">
        <is>
          <t>Quelle: Porta Mallorquina</t>
        </is>
      </c>
    </row>
    <row r="2426">
      <c r="A2426" t="n">
        <v>2239</v>
      </c>
      <c r="B2426" t="inlineStr">
        <is>
          <t>Buying property in Majorca</t>
        </is>
      </c>
      <c r="C2426" t="inlineStr">
        <is>
          <t>https://www.portamallorquina.com/blog/buying-property-in-majorca-tips-for-buyers/</t>
        </is>
      </c>
      <c r="AH2426" t="inlineStr">
        <is>
          <t>Quelle: Porta Mallorquina</t>
        </is>
      </c>
    </row>
    <row r="2427">
      <c r="A2427" t="n">
        <v>2240</v>
      </c>
      <c r="B2427" t="inlineStr">
        <is>
          <t>Selling property in Majorca</t>
        </is>
      </c>
      <c r="C2427" t="inlineStr">
        <is>
          <t>https://www.portamallorquina.com/blog/useful-tips-for-selling-property-in-majorca/</t>
        </is>
      </c>
      <c r="AH2427" t="inlineStr">
        <is>
          <t>Quelle: Porta Mallorquina</t>
        </is>
      </c>
    </row>
    <row r="2428">
      <c r="A2428" t="n">
        <v>2241</v>
      </c>
      <c r="B2428" t="inlineStr">
        <is>
          <t>Mallorca – mehr als ein Zuhause. Ein Lebensgefühl</t>
        </is>
      </c>
      <c r="C2428" t="inlineStr">
        <is>
          <t>https://www.dahlercompany.com/de/spanien/mallorca-campos/wohnimmobilien/hotel-or-restaurant/exklusiver-familienlandsitz-mit-professioneller-reitanlage/DC-MSO-1880</t>
        </is>
      </c>
      <c r="AH2428" t="inlineStr">
        <is>
          <t>Quelle: DAHLER Company</t>
        </is>
      </c>
    </row>
    <row r="2429">
      <c r="A2429" t="n">
        <v>2242</v>
      </c>
      <c r="B2429" t="inlineStr">
        <is>
          <t>Solar Urbano Venta Sant Julià de Lòria</t>
        </is>
      </c>
      <c r="C2429" t="inlineStr">
        <is>
          <t>https://www.coldwellbanker.es/sant-julia-de-loria/solar-urbano-venta-sant-julia-de-loria</t>
        </is>
      </c>
      <c r="S2429" t="n">
        <v>1266000</v>
      </c>
      <c r="AH2429" t="inlineStr">
        <is>
          <t>Quelle: Coldwell Banker</t>
        </is>
      </c>
    </row>
    <row r="2430">
      <c r="A2430" t="n">
        <v>2243</v>
      </c>
      <c r="B2430" t="inlineStr">
        <is>
          <t>Solar Urbano Venta Sant Julià de Lòria</t>
        </is>
      </c>
      <c r="C2430" t="inlineStr">
        <is>
          <t>https://www.coldwellbanker.es/propiedades/?habitaciones=5&amp;zona=mallorca</t>
        </is>
      </c>
      <c r="S2430" t="n">
        <v>1266000</v>
      </c>
      <c r="AH2430" t="inlineStr">
        <is>
          <t>Quelle: Coldwell Banker</t>
        </is>
      </c>
    </row>
    <row r="2431">
      <c r="A2431" t="n">
        <v>2244</v>
      </c>
      <c r="B2431" t="inlineStr">
        <is>
          <t>Local comercial Venta Sant Julià de Lòria</t>
        </is>
      </c>
      <c r="C2431" t="inlineStr">
        <is>
          <t>https://www.coldwellbanker.es/sant-julia-de-loria/local-comercial-venta-sant-julia-de-loria</t>
        </is>
      </c>
      <c r="S2431" t="n">
        <v>307000</v>
      </c>
      <c r="AH2431" t="inlineStr">
        <is>
          <t>Quelle: Coldwell Banker</t>
        </is>
      </c>
    </row>
    <row r="2432">
      <c r="A2432" t="n">
        <v>2245</v>
      </c>
      <c r="B2432" t="inlineStr">
        <is>
          <t>Local comercial Venta Sant Julià de Lòria</t>
        </is>
      </c>
      <c r="C2432" t="inlineStr">
        <is>
          <t>https://www.coldwellbanker.es/sant-julia-de-loria/00267-5210-local-comercial-venta-sant-julia-de-loria</t>
        </is>
      </c>
      <c r="S2432" t="n">
        <v>269500</v>
      </c>
      <c r="AH2432" t="inlineStr">
        <is>
          <t>Quelle: Coldwell Banker</t>
        </is>
      </c>
    </row>
    <row r="2433">
      <c r="A2433" t="n">
        <v>2246</v>
      </c>
      <c r="B2433" t="inlineStr">
        <is>
          <t>Wunderschöne moderne Villa direkt am Wasser</t>
        </is>
      </c>
      <c r="C2433" t="inlineStr">
        <is>
          <t>https://www.engelvoelkers.com/de/de/exposes/61f9a02f-adfa-5626-ac21-270fd273c5e1</t>
        </is>
      </c>
      <c r="AH2433" t="inlineStr">
        <is>
          <t>Quelle: Engel &amp; Völkers</t>
        </is>
      </c>
    </row>
    <row r="2434">
      <c r="A2434" t="n">
        <v>2247</v>
      </c>
      <c r="B2434" t="inlineStr">
        <is>
          <t>Sea View | Presidential 5BR | Ultra Luxurious</t>
        </is>
      </c>
      <c r="C2434" t="inlineStr">
        <is>
          <t>https://www.engelvoelkers.com/de/de/exposes/310533c4-383a-5de9-8c0c-a62e6ad51ca9</t>
        </is>
      </c>
      <c r="AH2434" t="inlineStr">
        <is>
          <t>Quelle: Engel &amp; Völkers</t>
        </is>
      </c>
    </row>
    <row r="2435">
      <c r="A2435" t="n">
        <v>2248</v>
      </c>
      <c r="B2435" t="inlineStr">
        <is>
          <t>Exklusive Auswahl an Luxusanwesen in Bunyola</t>
        </is>
      </c>
      <c r="C2435" t="inlineStr">
        <is>
          <t>https://www.engelvoelkers.com/de/de/exposes/a4a2101e-0e9c-5229-a67e-2cc0e8dba31e</t>
        </is>
      </c>
      <c r="AH2435" t="inlineStr">
        <is>
          <t>Quelle: Engel &amp; Völkers</t>
        </is>
      </c>
    </row>
    <row r="2436">
      <c r="A2436" t="n">
        <v>2249</v>
      </c>
      <c r="B2436" t="inlineStr">
        <is>
          <t>Seien Sie schneller informiert als andere</t>
        </is>
      </c>
      <c r="C2436" t="inlineStr">
        <is>
          <t>https://www.engelvoelkers.com/de/de/propertysearch?businessArea[]=residential&amp;currency=EUR&amp;hasSessionBounds=true&amp;measurementSystem=metric&amp;page=1&amp;propertyMarketingType[]=sale&amp;searchMode=classic&amp;searchRadius=0&amp;sortingOptions[]=SALES_PRICE_DESC</t>
        </is>
      </c>
      <c r="AH2436" t="inlineStr">
        <is>
          <t>Quelle: Engel &amp; Völkers</t>
        </is>
      </c>
    </row>
    <row r="2437">
      <c r="A2437" t="n">
        <v>2250</v>
      </c>
      <c r="B2437" t="inlineStr">
        <is>
          <t>Arctic One</t>
        </is>
      </c>
      <c r="C2437" t="inlineStr">
        <is>
          <t>https://www.engelvoelkers.com/de/de/exposes/3aac9e8e-7bf5-544d-8863-297db934c806</t>
        </is>
      </c>
      <c r="AH2437" t="inlineStr">
        <is>
          <t>Quelle: Engel &amp; Völkers</t>
        </is>
      </c>
    </row>
    <row r="2438">
      <c r="A2438" t="n">
        <v>2251</v>
      </c>
      <c r="B2438" t="inlineStr">
        <is>
          <t>Villa Bellagio - ein architektonisches Meisterwerk in Marbella</t>
        </is>
      </c>
      <c r="C2438" t="inlineStr">
        <is>
          <t>https://www.engelvoelkers.com/de/de/exposes/8bb15f3e-648d-51e8-914b-83c4ac719757</t>
        </is>
      </c>
      <c r="AH2438" t="inlineStr">
        <is>
          <t>Quelle: Engel &amp; Völkers</t>
        </is>
      </c>
    </row>
    <row r="2439">
      <c r="A2439" t="n">
        <v>2252</v>
      </c>
      <c r="B2439" t="inlineStr">
        <is>
          <t>Außergewöhnliches Grundstück in erster Linie von Solanas</t>
        </is>
      </c>
      <c r="C2439" t="inlineStr">
        <is>
          <t>https://www.engelvoelkers.com/de/de/exposes/7aba7b74-f4cd-5a5c-b53a-99df7f89e41e</t>
        </is>
      </c>
      <c r="AH2439" t="inlineStr">
        <is>
          <t>Quelle: Engel &amp; Völkers</t>
        </is>
      </c>
    </row>
    <row r="2440">
      <c r="A2440" t="n">
        <v>2253</v>
      </c>
      <c r="B2440" t="inlineStr">
        <is>
          <t>Schloss Merlinge - Königliches Anwesen</t>
        </is>
      </c>
      <c r="C2440" t="inlineStr">
        <is>
          <t>https://www.engelvoelkers.com/de/de/exposes/eb5bcdb7-2b29-5b1d-b5af-7a36a0b30cc1</t>
        </is>
      </c>
      <c r="AH2440" t="inlineStr">
        <is>
          <t>Quelle: Engel &amp; Völkers</t>
        </is>
      </c>
    </row>
    <row r="2441">
      <c r="A2441" t="n">
        <v>2254</v>
      </c>
      <c r="B2441" t="inlineStr">
        <is>
          <t>Exceptional property - stunning manor house with lake view and access</t>
        </is>
      </c>
      <c r="C2441" t="inlineStr">
        <is>
          <t>https://www.engelvoelkers.com/de/de/exposes/170fa277-d0c6-550f-b95c-8d101125ff90</t>
        </is>
      </c>
      <c r="AH2441" t="inlineStr">
        <is>
          <t>Quelle: Engel &amp; Völkers</t>
        </is>
      </c>
    </row>
    <row r="2442">
      <c r="A2442" t="n">
        <v>2255</v>
      </c>
      <c r="B2442" t="inlineStr">
        <is>
          <t>Architectural Masterpiece with Buttermilk Mountain Views</t>
        </is>
      </c>
      <c r="C2442" t="inlineStr">
        <is>
          <t>https://www.engelvoelkers.com/de/de/exposes/47a221bf-fa56-557f-95a7-736c46e4c4a5</t>
        </is>
      </c>
      <c r="AH2442" t="inlineStr">
        <is>
          <t>Quelle: Engel &amp; Völkers</t>
        </is>
      </c>
    </row>
    <row r="2443">
      <c r="A2443" t="n">
        <v>2256</v>
      </c>
      <c r="B2443" t="inlineStr">
        <is>
          <t>Exklusive Luxusvilla mit Alpenpanorama: Ihr royales Refugium im Fürstentum Liechtenstein</t>
        </is>
      </c>
      <c r="C2443" t="inlineStr">
        <is>
          <t>https://www.engelvoelkers.com/de/de/exposes/6adf72d9-a965-5eb1-8fb3-c9a2c7682715</t>
        </is>
      </c>
      <c r="AH2443" t="inlineStr">
        <is>
          <t>Quelle: Engel &amp; Völkers</t>
        </is>
      </c>
    </row>
    <row r="2444">
      <c r="A2444" t="n">
        <v>2257</v>
      </c>
      <c r="B2444" t="inlineStr">
        <is>
          <t>Ein Meisterwerk der Extraklasse – mit 50-Meter-Schwimmkanal und Meerblick</t>
        </is>
      </c>
      <c r="C2444" t="inlineStr">
        <is>
          <t>https://www.engelvoelkers.com/de/de/exposes/b171ad24-41f1-566a-962b-822165836db7</t>
        </is>
      </c>
      <c r="AH2444" t="inlineStr">
        <is>
          <t>Quelle: Engel &amp; Völkers</t>
        </is>
      </c>
    </row>
    <row r="2445">
      <c r="A2445" t="n">
        <v>2258</v>
      </c>
      <c r="B2445" t="inlineStr">
        <is>
          <t>Property in Woodland, Minnesota, USA</t>
        </is>
      </c>
      <c r="C2445" t="inlineStr">
        <is>
          <t>https://www.engelvoelkers.com/de/de/exposes/19cf0918-f4b7-570e-af55-cc3cf9444208</t>
        </is>
      </c>
      <c r="AH2445" t="inlineStr">
        <is>
          <t>Quelle: Engel &amp; Völkers</t>
        </is>
      </c>
    </row>
    <row r="2446">
      <c r="A2446" t="n">
        <v>2259</v>
      </c>
      <c r="B2446" t="inlineStr">
        <is>
          <t>A Legacy Estate on Lake Minnetonka</t>
        </is>
      </c>
      <c r="C2446" t="inlineStr">
        <is>
          <t>https://www.engelvoelkers.com/de/de/exposes/3649a560-5f10-5868-bd18-9790c1d002d9</t>
        </is>
      </c>
      <c r="AH2446" t="inlineStr">
        <is>
          <t>Quelle: Engel &amp; Völkers</t>
        </is>
      </c>
    </row>
    <row r="2447">
      <c r="A2447" t="n">
        <v>2260</v>
      </c>
      <c r="B2447" t="inlineStr">
        <is>
          <t>Elegant Winery Estate on Pritchard Hill</t>
        </is>
      </c>
      <c r="C2447" t="inlineStr">
        <is>
          <t>https://www.engelvoelkers.com/de/de/exposes/dd79230d-84fa-5895-b765-013067b804ea</t>
        </is>
      </c>
      <c r="AH2447" t="inlineStr">
        <is>
          <t>Quelle: Engel &amp; Völkers</t>
        </is>
      </c>
    </row>
    <row r="2448">
      <c r="A2448" t="n">
        <v>2261</v>
      </c>
      <c r="B2448" t="inlineStr">
        <is>
          <t>INVESTMENT: Tourism Project</t>
        </is>
      </c>
      <c r="C2448" t="inlineStr">
        <is>
          <t>https://www.engelvoelkers.com/de/de/exposes/5f163971-0978-56e3-8d6e-bd8b44d836fd</t>
        </is>
      </c>
      <c r="AH2448" t="inlineStr">
        <is>
          <t>Quelle: Engel &amp; Völkers</t>
        </is>
      </c>
    </row>
    <row r="2449">
      <c r="A2449" t="n">
        <v>2262</v>
      </c>
      <c r="B2449" t="inlineStr">
        <is>
          <t>Exklusiver Landsitz in Kitzbühel – Ihre private Rückzugsoase</t>
        </is>
      </c>
      <c r="C2449" t="inlineStr">
        <is>
          <t>https://www.engelvoelkers.com/de/de/exposes/48b9bea4-793b-5b9a-a511-2e3f53b5cb2b</t>
        </is>
      </c>
      <c r="AH2449" t="inlineStr">
        <is>
          <t>Quelle: Engel &amp; Völkers</t>
        </is>
      </c>
    </row>
    <row r="2450">
      <c r="A2450" t="n">
        <v>2263</v>
      </c>
      <c r="B2450" t="inlineStr">
        <is>
          <t>Einzigartiges Anwesen in idyllischer Lage</t>
        </is>
      </c>
      <c r="C2450" t="inlineStr">
        <is>
          <t>https://www.engelvoelkers.com/de/de/exposes/05b918c4-97eb-5b0a-bf4c-df1583da8aa8</t>
        </is>
      </c>
      <c r="AH2450" t="inlineStr">
        <is>
          <t>Quelle: Engel &amp; Völkers</t>
        </is>
      </c>
    </row>
    <row r="2451">
      <c r="A2451" t="n">
        <v>2264</v>
      </c>
      <c r="B2451" t="inlineStr">
        <is>
          <t>Einzigartiges Anwesen "Casa Ullastre"</t>
        </is>
      </c>
      <c r="C2451" t="inlineStr">
        <is>
          <t>https://www.engelvoelkers.com/de/de/exposes/7eb16a0a-2ff1-5504-b044-9cb4ccee7c56</t>
        </is>
      </c>
      <c r="AH2451" t="inlineStr">
        <is>
          <t>Quelle: Engel &amp; Völkers</t>
        </is>
      </c>
    </row>
    <row r="2452">
      <c r="A2452" t="n">
        <v>2265</v>
      </c>
      <c r="B2452" t="inlineStr">
        <is>
          <t>Exklusive Luxusvilla mit direktem Meerzugang</t>
        </is>
      </c>
      <c r="C2452" t="inlineStr">
        <is>
          <t>https://www.engelvoelkers.com/de/de/exposes/a4559ca6-a701-566c-94d8-f5ffd4412daf</t>
        </is>
      </c>
      <c r="AH2452" t="inlineStr">
        <is>
          <t>Quelle: Engel &amp; Völkers</t>
        </is>
      </c>
    </row>
    <row r="2453">
      <c r="A2453" t="n">
        <v>2266</v>
      </c>
      <c r="B2453" t="inlineStr">
        <is>
          <t>Sky Mansion Penthouse | Bugatti Branded Residences</t>
        </is>
      </c>
      <c r="C2453" t="inlineStr">
        <is>
          <t>https://www.engelvoelkers.com/de/de/exposes/2d68417c-1446-5961-8f97-e46f8e1e246f</t>
        </is>
      </c>
      <c r="AH2453" t="inlineStr">
        <is>
          <t>Quelle: Engel &amp; Völkers</t>
        </is>
      </c>
    </row>
    <row r="2454">
      <c r="A2454" t="n">
        <v>2267</v>
      </c>
      <c r="B2454" t="inlineStr">
        <is>
          <t>One of a kind - Einzigartiges Gesamtkunstwerk aus Architektur und Natur direkt am Meer</t>
        </is>
      </c>
      <c r="C2454" t="inlineStr">
        <is>
          <t>https://www.engelvoelkers.com/de/de/exposes/502ab131-5d4a-5802-8301-0041d1f439dc</t>
        </is>
      </c>
      <c r="AH2454" t="inlineStr">
        <is>
          <t>Quelle: Engel &amp; Völkers</t>
        </is>
      </c>
    </row>
    <row r="2455">
      <c r="A2455" t="n">
        <v>2268</v>
      </c>
      <c r="B2455" t="inlineStr">
        <is>
          <t>Secret sale – Collina d’Oro</t>
        </is>
      </c>
      <c r="C2455" t="inlineStr">
        <is>
          <t>https://www.engelvoelkers.com/de/de/exposes/31b5a8c9-4ca2-5235-ba17-dace52bf1d44</t>
        </is>
      </c>
      <c r="AH2455" t="inlineStr">
        <is>
          <t>Quelle: Engel &amp; Völkers</t>
        </is>
      </c>
    </row>
    <row r="2456">
      <c r="A2456" t="n">
        <v>2269</v>
      </c>
      <c r="B2456" t="inlineStr">
        <is>
          <t>Villa Solitaire - Außergewöhnliche Designer Villa</t>
        </is>
      </c>
      <c r="C2456" t="inlineStr">
        <is>
          <t>https://www.engelvoelkers.com/de/de/exposes/e5a6789d-19cc-59ac-b0fc-fa5c02a0526c</t>
        </is>
      </c>
      <c r="AH2456" t="inlineStr">
        <is>
          <t>Quelle: Engel &amp; Völkers</t>
        </is>
      </c>
    </row>
    <row r="2457">
      <c r="A2457" t="n">
        <v>2270</v>
      </c>
      <c r="B2457" t="inlineStr">
        <is>
          <t>Moscari</t>
        </is>
      </c>
      <c r="C2457" t="inlineStr">
        <is>
          <t>https://www.fincallorca.com/alquiler-vacacional/moscari-ema109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57" t="inlineStr">
        <is>
          <t>Quelle: Fincallorca</t>
        </is>
      </c>
    </row>
    <row r="2458">
      <c r="A2458" t="n">
        <v>2271</v>
      </c>
      <c r="B2458" t="inlineStr">
        <is>
          <t>ES MOLINAR, Palma de Mallorca</t>
        </is>
      </c>
      <c r="C2458" t="inlineStr">
        <is>
          <t>https://www.fincallorca.com/alquiler-vacacional/es-molinar-palma-de-mallorca-eml352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58" t="inlineStr">
        <is>
          <t>Quelle: Fincallorca</t>
        </is>
      </c>
    </row>
    <row r="2459">
      <c r="A2459" t="n">
        <v>2272</v>
      </c>
      <c r="B2459" t="inlineStr">
        <is>
          <t>Alcudia</t>
        </is>
      </c>
      <c r="C2459" t="inlineStr">
        <is>
          <t>https://www.fincallorca.com/alquiler-vacacional/alcudia-eml892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59" t="inlineStr">
        <is>
          <t>Quelle: Fincallorca</t>
        </is>
      </c>
    </row>
    <row r="2460">
      <c r="A2460" t="n">
        <v>2273</v>
      </c>
      <c r="B2460" t="inlineStr">
        <is>
          <t>Alcudia</t>
        </is>
      </c>
      <c r="C2460" t="inlineStr">
        <is>
          <t>https://www.fincallorca.com/alquiler-vacacional/alcudia-eml435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0" t="inlineStr">
        <is>
          <t>Quelle: Fincallorca</t>
        </is>
      </c>
    </row>
    <row r="2461">
      <c r="A2461" t="n">
        <v>2274</v>
      </c>
      <c r="B2461" t="inlineStr">
        <is>
          <t>Estellencs</t>
        </is>
      </c>
      <c r="C2461" t="inlineStr">
        <is>
          <t>https://www.fincallorca.com/alquiler-vacacional/estellencs-eml500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1" t="inlineStr">
        <is>
          <t>Quelle: Fincallorca</t>
        </is>
      </c>
    </row>
    <row r="2462">
      <c r="A2462" t="n">
        <v>2275</v>
      </c>
      <c r="B2462" t="inlineStr">
        <is>
          <t>SON REINES, Muro</t>
        </is>
      </c>
      <c r="C2462" t="inlineStr">
        <is>
          <t>https://www.fincallorca.com/alquiler-vacacional/son-reines-muro-eml358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2" t="inlineStr">
        <is>
          <t>Quelle: Fincallorca</t>
        </is>
      </c>
    </row>
    <row r="2463">
      <c r="A2463" t="n">
        <v>2276</v>
      </c>
      <c r="B2463" t="inlineStr">
        <is>
          <t>Alaró</t>
        </is>
      </c>
      <c r="C2463" t="inlineStr">
        <is>
          <t>https://www.fincallorca.com/alquiler-vacacional/alar-eml526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3" t="inlineStr">
        <is>
          <t>Quelle: Fincallorca</t>
        </is>
      </c>
    </row>
    <row r="2464">
      <c r="A2464" t="n">
        <v>2277</v>
      </c>
      <c r="B2464" t="inlineStr">
        <is>
          <t>Llucmajor-Badia Blava</t>
        </is>
      </c>
      <c r="C2464" t="inlineStr">
        <is>
          <t>https://www.fincallorca.com/alquiler-vacacional/llucmajor-badia-blava-eml142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4" t="inlineStr">
        <is>
          <t>Quelle: Fincallorca</t>
        </is>
      </c>
    </row>
    <row r="2465">
      <c r="A2465" t="n">
        <v>2278</v>
      </c>
      <c r="B2465" t="inlineStr">
        <is>
          <t>Son Carrio</t>
        </is>
      </c>
      <c r="C2465" t="inlineStr">
        <is>
          <t>https://www.fincallorca.com/alquiler-vacacional/son-carrio-ema137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5" t="inlineStr">
        <is>
          <t>Quelle: Fincallorca</t>
        </is>
      </c>
    </row>
    <row r="2466">
      <c r="A2466" t="n">
        <v>2279</v>
      </c>
      <c r="B2466" t="inlineStr">
        <is>
          <t>Sa Punta Portocolom</t>
        </is>
      </c>
      <c r="C2466" t="inlineStr">
        <is>
          <t>https://www.fincallorca.com/alquiler-vacacional/sa-punta-portocolom-eml487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6" t="inlineStr">
        <is>
          <t>Quelle: Fincallorca</t>
        </is>
      </c>
    </row>
    <row r="2467">
      <c r="A2467" t="n">
        <v>2280</v>
      </c>
      <c r="B2467" t="inlineStr">
        <is>
          <t>Marratxi - Palma</t>
        </is>
      </c>
      <c r="C2467" t="inlineStr">
        <is>
          <t>https://www.fincallorca.com/alquiler-vacacional/marratxi-palma-ema972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7" t="inlineStr">
        <is>
          <t>Quelle: Fincallorca</t>
        </is>
      </c>
    </row>
    <row r="2468">
      <c r="A2468" t="n">
        <v>2281</v>
      </c>
      <c r="B2468" t="inlineStr">
        <is>
          <t>Sineu</t>
        </is>
      </c>
      <c r="C2468" t="inlineStr">
        <is>
          <t>https://www.fincallorca.com/alquiler-vacacional/sineu-eml846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AH2468" t="inlineStr">
        <is>
          <t>Quelle: Fincallorca</t>
        </is>
      </c>
    </row>
    <row r="2469">
      <c r="A2469" t="n">
        <v>2282</v>
      </c>
      <c r="B2469" t="inlineStr">
        <is>
          <t>¿Necesitas ayuda?</t>
        </is>
      </c>
      <c r="C2469" t="inlineStr">
        <is>
          <t>https://www.novasol-vacaciones.es/faq</t>
        </is>
      </c>
      <c r="AH2469" t="inlineStr">
        <is>
          <t>Quelle: Fincallorca</t>
        </is>
      </c>
    </row>
    <row r="2470">
      <c r="A2470" t="n">
        <v>2283</v>
      </c>
      <c r="B2470" t="inlineStr">
        <is>
          <t>Casa en venta en c. es convent, 8,Manacor,Illes Balears</t>
        </is>
      </c>
      <c r="C2470" t="inlineStr">
        <is>
          <t>https://www.servihabitat.com/es/venta/vivienda-casa/illesbalears-islademallorca-manacor/60493541</t>
        </is>
      </c>
      <c r="H2470" t="n">
        <v>248</v>
      </c>
      <c r="J2470" t="inlineStr">
        <is>
          <t>Manacor</t>
        </is>
      </c>
      <c r="S2470" t="n">
        <v>164900</v>
      </c>
      <c r="T2470" t="n">
        <v>665</v>
      </c>
      <c r="AH2470" t="inlineStr">
        <is>
          <t>Quelle: Servihabitat</t>
        </is>
      </c>
    </row>
    <row r="2471">
      <c r="A2471" t="n">
        <v>2284</v>
      </c>
      <c r="B2471" t="inlineStr">
        <is>
          <t>Piso en venta en c. campanet, 36,Inca,Illes Balears</t>
        </is>
      </c>
      <c r="C2471" t="inlineStr">
        <is>
          <t>https://www.servihabitat.com/es/venta/vivienda-piso/illesbalears-islademallorca-inca/60774522</t>
        </is>
      </c>
      <c r="H2471" t="n">
        <v>109</v>
      </c>
      <c r="J2471" t="inlineStr">
        <is>
          <t>Inca</t>
        </is>
      </c>
      <c r="S2471" t="n">
        <v>280000</v>
      </c>
      <c r="T2471" t="n">
        <v>2569</v>
      </c>
      <c r="AH2471" t="inlineStr">
        <is>
          <t>Quelle: Servihabitat</t>
        </is>
      </c>
    </row>
    <row r="2472">
      <c r="A2472" t="n">
        <v>2285</v>
      </c>
      <c r="B2472" t="inlineStr">
        <is>
          <t>Vivienda en venta en c. poligono 27 parcela 16, 27,Manacor,Illes Balears</t>
        </is>
      </c>
      <c r="C2472" t="inlineStr">
        <is>
          <t>https://www.servihabitat.com/es/venta/vivienda/illesbalears-islademallorca-manacor/60789714</t>
        </is>
      </c>
      <c r="H2472" t="n">
        <v>215</v>
      </c>
      <c r="J2472" t="inlineStr">
        <is>
          <t>Manacor</t>
        </is>
      </c>
      <c r="S2472" t="n">
        <v>54000</v>
      </c>
      <c r="T2472" t="n">
        <v>251</v>
      </c>
      <c r="AH2472" t="inlineStr">
        <is>
          <t>Quelle: Servihabitat</t>
        </is>
      </c>
    </row>
    <row r="2473">
      <c r="A2473" t="n">
        <v>2286</v>
      </c>
      <c r="B2473" t="inlineStr">
        <is>
          <t>Vivienda en venta en avda. platges de muro, 401,Muro,Illes Balears</t>
        </is>
      </c>
      <c r="C2473" t="inlineStr">
        <is>
          <t>https://www.servihabitat.com/es/venta/vivienda/illesbalears-islademallorca-muro/60634876</t>
        </is>
      </c>
      <c r="H2473" t="n">
        <v>78</v>
      </c>
      <c r="J2473" t="inlineStr">
        <is>
          <t>Muro</t>
        </is>
      </c>
      <c r="S2473" t="n">
        <v>325000</v>
      </c>
      <c r="T2473" t="n">
        <v>4167</v>
      </c>
      <c r="AH2473" t="inlineStr">
        <is>
          <t>Quelle: Servihabitat</t>
        </is>
      </c>
    </row>
    <row r="2474">
      <c r="A2474" t="n">
        <v>2287</v>
      </c>
      <c r="B2474" t="inlineStr">
        <is>
          <t>Piso en venta en c. des llebeig, 20,Felanitx,Illes Balears</t>
        </is>
      </c>
      <c r="C2474" t="inlineStr">
        <is>
          <t>https://www.servihabitat.com/es/venta/vivienda-piso/illesbalears-islademallorca-felanitx/60580993</t>
        </is>
      </c>
      <c r="H2474" t="n">
        <v>166</v>
      </c>
      <c r="J2474" t="inlineStr">
        <is>
          <t>Felanitx</t>
        </is>
      </c>
      <c r="S2474" t="n">
        <v>128300</v>
      </c>
      <c r="T2474" t="n">
        <v>773</v>
      </c>
      <c r="AH2474" t="inlineStr">
        <is>
          <t>Quelle: Servihabitat</t>
        </is>
      </c>
    </row>
    <row r="2475">
      <c r="A2475" t="n">
        <v>2288</v>
      </c>
      <c r="B2475" t="inlineStr">
        <is>
          <t>Vivienda en venta en c. maria antonia salva, 56b,Palma De Mallorca,Illes Balears</t>
        </is>
      </c>
      <c r="C2475" t="inlineStr">
        <is>
          <t>https://www.servihabitat.com/es/venta/vivienda/illesbalears-islademallorca-palmademallorca/60597740</t>
        </is>
      </c>
      <c r="H2475" t="n">
        <v>169</v>
      </c>
      <c r="J2475" t="inlineStr">
        <is>
          <t>Palmademallorca</t>
        </is>
      </c>
      <c r="S2475" t="n">
        <v>445000</v>
      </c>
      <c r="T2475" t="n">
        <v>2633</v>
      </c>
      <c r="AH2475" t="inlineStr">
        <is>
          <t>Quelle: Servihabitat</t>
        </is>
      </c>
    </row>
    <row r="2476">
      <c r="A2476" t="n">
        <v>2289</v>
      </c>
      <c r="B2476" t="inlineStr">
        <is>
          <t>Piso en venta en plaza esplanada, 73-75,Mao,Illes Balears</t>
        </is>
      </c>
      <c r="C2476" t="inlineStr">
        <is>
          <t>https://www.servihabitat.com/es/venta/vivienda-piso/illesbalears-islademenorca-mao/60450838</t>
        </is>
      </c>
      <c r="H2476" t="n">
        <v>55</v>
      </c>
      <c r="J2476" t="inlineStr">
        <is>
          <t>Mallorca</t>
        </is>
      </c>
      <c r="AH2476" t="inlineStr">
        <is>
          <t>Quelle: Servihabitat</t>
        </is>
      </c>
    </row>
    <row r="2477">
      <c r="A2477" t="n">
        <v>2290</v>
      </c>
      <c r="B2477" t="inlineStr">
        <is>
          <t>Planta baja en venta en c. cami des castell, 26,Mao,Illes Balears</t>
        </is>
      </c>
      <c r="C2477" t="inlineStr">
        <is>
          <t>https://www.servihabitat.com/es/venta/vivienda-plantabaja/illesbalears-islademenorca-mao/60486012</t>
        </is>
      </c>
      <c r="E2477" t="n">
        <v>1</v>
      </c>
      <c r="H2477" t="n">
        <v>340</v>
      </c>
      <c r="J2477" t="inlineStr">
        <is>
          <t>Maó</t>
        </is>
      </c>
      <c r="AH2477" t="inlineStr">
        <is>
          <t>Quelle: Servihabitat</t>
        </is>
      </c>
    </row>
    <row r="2478">
      <c r="A2478" t="n">
        <v>2291</v>
      </c>
      <c r="B2478" t="inlineStr">
        <is>
          <t>Alquilar</t>
        </is>
      </c>
      <c r="C2478" t="inlineStr">
        <is>
          <t>https://www.haya.es/es/alquiler-inmuebles</t>
        </is>
      </c>
      <c r="J2478" t="inlineStr">
        <is>
          <t>Mallorca</t>
        </is>
      </c>
      <c r="AH2478" t="inlineStr">
        <is>
          <t>Quelle: Haya Real Estate</t>
        </is>
      </c>
    </row>
    <row r="2479">
      <c r="A2479" t="n">
        <v>2292</v>
      </c>
      <c r="B2479" t="inlineStr">
        <is>
          <t>Vender</t>
        </is>
      </c>
      <c r="C2479" t="inlineStr">
        <is>
          <t>https://www.haya.es/es/venta-inmuebles</t>
        </is>
      </c>
      <c r="J2479" t="inlineStr">
        <is>
          <t>Mallorca</t>
        </is>
      </c>
      <c r="AH2479" t="inlineStr">
        <is>
          <t>Quelle: Haya Real Estate</t>
        </is>
      </c>
    </row>
    <row r="2480">
      <c r="A2480" t="n">
        <v>2293</v>
      </c>
      <c r="B2480" t="inlineStr">
        <is>
          <t>Cómo comprar</t>
        </is>
      </c>
      <c r="C2480" t="inlineStr">
        <is>
          <t>https://www.haya.es/es/como-comprar-inmuebles</t>
        </is>
      </c>
      <c r="J2480" t="inlineStr">
        <is>
          <t>Mallorca</t>
        </is>
      </c>
      <c r="AH2480" t="inlineStr">
        <is>
          <t>Quelle: Haya Real Estate</t>
        </is>
      </c>
    </row>
    <row r="2481">
      <c r="A2481" t="n">
        <v>2294</v>
      </c>
      <c r="B2481" t="inlineStr">
        <is>
          <t>Cómo alquilar</t>
        </is>
      </c>
      <c r="C2481" t="inlineStr">
        <is>
          <t>https://www.haya.es/es/como-alquilar-inmuebles</t>
        </is>
      </c>
      <c r="J2481" t="inlineStr">
        <is>
          <t>Mallorca</t>
        </is>
      </c>
      <c r="AH2481" t="inlineStr">
        <is>
          <t>Quelle: Haya Real Estate</t>
        </is>
      </c>
    </row>
    <row r="2482">
      <c r="A2482" t="n">
        <v>2295</v>
      </c>
      <c r="B2482" t="inlineStr">
        <is>
          <t>Haya Real Estate Inmueble</t>
        </is>
      </c>
      <c r="C2482" t="inlineStr">
        <is>
          <t>https://api.whatsapp.com/send?text=Hola, he visto este inmueble en Solvia https://www.solvia.es/es/propiedades/comprar/chalet-adosado-sant-josep-de-sa-talaia-3-dormitorios-38415-48244</t>
        </is>
      </c>
      <c r="J2482" t="inlineStr">
        <is>
          <t>Mallorca</t>
        </is>
      </c>
      <c r="AH2482" t="inlineStr">
        <is>
          <t>Quelle: Haya Real Estate</t>
        </is>
      </c>
    </row>
    <row r="2483">
      <c r="A2483" t="n">
        <v>2296</v>
      </c>
      <c r="B2483" t="inlineStr">
        <is>
          <t>Haya Real Estate Inmueble</t>
        </is>
      </c>
      <c r="C2483" t="inlineStr">
        <is>
          <t>https://telegram.me/share/url?text=Hola, he visto este inmueble en Solvia https://www.solvia.es/es/propiedades/comprar/chalet-adosado-sant-josep-de-sa-talaia-3-dormitorios-38415-48244&amp;url=https://www.solvia.es/es/propiedades/comprar/chalet-adosado-sant-josep-de-sa-talaia-3-dormitorios-38415-48244</t>
        </is>
      </c>
      <c r="J2483" t="inlineStr">
        <is>
          <t>Mallorca</t>
        </is>
      </c>
      <c r="AH2483" t="inlineStr">
        <is>
          <t>Quelle: Haya Real Estate</t>
        </is>
      </c>
    </row>
    <row r="2484">
      <c r="A2484" t="n">
        <v>2297</v>
      </c>
      <c r="B2484" t="inlineStr">
        <is>
          <t>Haya Real Estate Inmueble</t>
        </is>
      </c>
      <c r="C2484" t="inlineStr">
        <is>
          <t>https://api.whatsapp.com/send?text=Hola, he visto este inmueble en Solvia https://www.solvia.es/es/propiedades/comprar/chalet-independiente-santanyi-7-dormitorios-143066-179160</t>
        </is>
      </c>
      <c r="J2484" t="inlineStr">
        <is>
          <t>Mallorca</t>
        </is>
      </c>
      <c r="AH2484" t="inlineStr">
        <is>
          <t>Quelle: Haya Real Estate</t>
        </is>
      </c>
    </row>
    <row r="2485">
      <c r="A2485" t="n">
        <v>2298</v>
      </c>
      <c r="B2485" t="inlineStr">
        <is>
          <t>Haya Real Estate Inmueble</t>
        </is>
      </c>
      <c r="C2485" t="inlineStr">
        <is>
          <t>https://telegram.me/share/url?text=Hola, he visto este inmueble en Solvia https://www.solvia.es/es/propiedades/comprar/chalet-independiente-santanyi-7-dormitorios-143066-179160&amp;url=https://www.solvia.es/es/propiedades/comprar/chalet-independiente-santanyi-7-dormitorios-143066-179160</t>
        </is>
      </c>
      <c r="J2485" t="inlineStr">
        <is>
          <t>Mallorca</t>
        </is>
      </c>
      <c r="AH2485" t="inlineStr">
        <is>
          <t>Quelle: Haya Real Estate</t>
        </is>
      </c>
    </row>
    <row r="2486">
      <c r="A2486" t="n">
        <v>2299</v>
      </c>
      <c r="B2486" t="inlineStr">
        <is>
          <t>Haya Real Estate Inmueble</t>
        </is>
      </c>
      <c r="C2486" t="inlineStr">
        <is>
          <t>https://api.whatsapp.com/send?text=Hola, he visto este inmueble en Solvia https://www.solvia.es/es/propiedades/comprar/chalet-adosado-felanitx-2-dormitorios-155002-192297</t>
        </is>
      </c>
      <c r="J2486" t="inlineStr">
        <is>
          <t>Mallorca</t>
        </is>
      </c>
      <c r="AH2486" t="inlineStr">
        <is>
          <t>Quelle: Haya Real Estate</t>
        </is>
      </c>
    </row>
    <row r="2487">
      <c r="A2487" t="n">
        <v>2300</v>
      </c>
      <c r="B2487" t="inlineStr">
        <is>
          <t>Haya Real Estate Inmueble</t>
        </is>
      </c>
      <c r="C2487" t="inlineStr">
        <is>
          <t>https://telegram.me/share/url?text=Hola, he visto este inmueble en Solvia https://www.solvia.es/es/propiedades/comprar/chalet-adosado-felanitx-2-dormitorios-155002-192297&amp;url=https://www.solvia.es/es/propiedades/comprar/chalet-adosado-felanitx-2-dormitorios-155002-192297</t>
        </is>
      </c>
      <c r="J2487" t="inlineStr">
        <is>
          <t>Mallorca</t>
        </is>
      </c>
      <c r="AH2487" t="inlineStr">
        <is>
          <t>Quelle: Haya Real Estate</t>
        </is>
      </c>
    </row>
    <row r="2488">
      <c r="A2488" t="n">
        <v>2301</v>
      </c>
      <c r="B2488" t="inlineStr">
        <is>
          <t>Haya Real Estate Inmueble</t>
        </is>
      </c>
      <c r="C2488" t="inlineStr">
        <is>
          <t>https://api.whatsapp.com/send?text=Hola, he visto este inmueble en Solvia https://www.solvia.es/es/propiedades/comprar/chalet-independiente-andratx-6-dormitorios-76521-97309</t>
        </is>
      </c>
      <c r="J2488" t="inlineStr">
        <is>
          <t>Mallorca</t>
        </is>
      </c>
      <c r="AH2488" t="inlineStr">
        <is>
          <t>Quelle: Haya Real Estate</t>
        </is>
      </c>
    </row>
    <row r="2489">
      <c r="A2489" t="n">
        <v>2302</v>
      </c>
      <c r="B2489" t="inlineStr">
        <is>
          <t>Haya Real Estate Inmueble</t>
        </is>
      </c>
      <c r="C2489" t="inlineStr">
        <is>
          <t>https://telegram.me/share/url?text=Hola, he visto este inmueble en Solvia https://www.solvia.es/es/propiedades/comprar/chalet-independiente-andratx-6-dormitorios-76521-97309&amp;url=https://www.solvia.es/es/propiedades/comprar/chalet-independiente-andratx-6-dormitorios-76521-97309</t>
        </is>
      </c>
      <c r="J2489" t="inlineStr">
        <is>
          <t>Mallorca</t>
        </is>
      </c>
      <c r="AH2489" t="inlineStr">
        <is>
          <t>Quelle: Haya Real Estate</t>
        </is>
      </c>
    </row>
    <row r="2490">
      <c r="A2490" t="n">
        <v>2303</v>
      </c>
      <c r="B2490" t="inlineStr">
        <is>
          <t>Haya Real Estate Inmueble</t>
        </is>
      </c>
      <c r="C2490" t="inlineStr">
        <is>
          <t>https://api.whatsapp.com/send?text=Hola, he visto este inmueble en Solvia https://www.solvia.es/es/propiedades/comprar/piso-palma-de-mallorca-2-dormitorios-108038-137656</t>
        </is>
      </c>
      <c r="J2490" t="inlineStr">
        <is>
          <t>Mallorca</t>
        </is>
      </c>
      <c r="AH2490" t="inlineStr">
        <is>
          <t>Quelle: Haya Real Estate</t>
        </is>
      </c>
    </row>
    <row r="2491">
      <c r="A2491" t="n">
        <v>2304</v>
      </c>
      <c r="B2491" t="inlineStr">
        <is>
          <t>Haya Real Estate Inmueble</t>
        </is>
      </c>
      <c r="C2491" t="inlineStr">
        <is>
          <t>https://telegram.me/share/url?text=Hola, he visto este inmueble en Solvia https://www.solvia.es/es/propiedades/comprar/piso-palma-de-mallorca-2-dormitorios-108038-137656&amp;url=https://www.solvia.es/es/propiedades/comprar/piso-palma-de-mallorca-2-dormitorios-108038-137656</t>
        </is>
      </c>
      <c r="J2491" t="inlineStr">
        <is>
          <t>Mallorca</t>
        </is>
      </c>
      <c r="AH2491" t="inlineStr">
        <is>
          <t>Quelle: Haya Real Estate</t>
        </is>
      </c>
    </row>
    <row r="2492">
      <c r="A2492" t="n">
        <v>2305</v>
      </c>
      <c r="B2492" t="inlineStr">
        <is>
          <t>Haya Real Estate Inmueble</t>
        </is>
      </c>
      <c r="C2492" t="inlineStr">
        <is>
          <t>https://api.whatsapp.com/send?text=Hola, he visto este inmueble en Solvia https://www.solvia.es/es/propiedades/comprar/chalet-independiente-felanitx-4-dormitorios-80142-102159</t>
        </is>
      </c>
      <c r="J2492" t="inlineStr">
        <is>
          <t>Mallorca</t>
        </is>
      </c>
      <c r="AH2492" t="inlineStr">
        <is>
          <t>Quelle: Haya Real Estate</t>
        </is>
      </c>
    </row>
    <row r="2493">
      <c r="A2493" t="n">
        <v>2306</v>
      </c>
      <c r="B2493" t="inlineStr">
        <is>
          <t>Haya Real Estate Inmueble</t>
        </is>
      </c>
      <c r="C2493" t="inlineStr">
        <is>
          <t>https://telegram.me/share/url?text=Hola, he visto este inmueble en Solvia https://www.solvia.es/es/propiedades/comprar/chalet-independiente-felanitx-4-dormitorios-80142-102159&amp;url=https://www.solvia.es/es/propiedades/comprar/chalet-independiente-felanitx-4-dormitorios-80142-102159</t>
        </is>
      </c>
      <c r="J2493" t="inlineStr">
        <is>
          <t>Mallorca</t>
        </is>
      </c>
      <c r="AH2493" t="inlineStr">
        <is>
          <t>Quelle: Haya Real Estate</t>
        </is>
      </c>
    </row>
    <row r="2494">
      <c r="A2494" t="n">
        <v>2307</v>
      </c>
      <c r="B2494" t="inlineStr">
        <is>
          <t>Haya Real Estate Inmueble</t>
        </is>
      </c>
      <c r="C2494" t="inlineStr">
        <is>
          <t>https://api.whatsapp.com/send?text=Hola, he visto este inmueble en Solvia https://www.solvia.es/es/propiedades/comprar/chalet-independiente-alaior-7-dormitorios-155530-192853</t>
        </is>
      </c>
      <c r="J2494" t="inlineStr">
        <is>
          <t>Mallorca</t>
        </is>
      </c>
      <c r="AH2494" t="inlineStr">
        <is>
          <t>Quelle: Haya Real Estate</t>
        </is>
      </c>
    </row>
    <row r="2495">
      <c r="A2495" t="n">
        <v>2308</v>
      </c>
      <c r="B2495" t="inlineStr">
        <is>
          <t>Haya Real Estate Inmueble</t>
        </is>
      </c>
      <c r="C2495" t="inlineStr">
        <is>
          <t>https://telegram.me/share/url?text=Hola, he visto este inmueble en Solvia https://www.solvia.es/es/propiedades/comprar/chalet-independiente-alaior-7-dormitorios-155530-192853&amp;url=https://www.solvia.es/es/propiedades/comprar/chalet-independiente-alaior-7-dormitorios-155530-192853</t>
        </is>
      </c>
      <c r="J2495" t="inlineStr">
        <is>
          <t>Mallorca</t>
        </is>
      </c>
      <c r="AH2495" t="inlineStr">
        <is>
          <t>Quelle: Haya Real Estate</t>
        </is>
      </c>
    </row>
    <row r="2496">
      <c r="A2496" t="n">
        <v>2309</v>
      </c>
      <c r="B2496" t="inlineStr">
        <is>
          <t>Haya Real Estate Inmueble</t>
        </is>
      </c>
      <c r="C2496" t="inlineStr">
        <is>
          <t>https://api.whatsapp.com/send?text=Hola, he visto este inmueble en Solvia https://www.solvia.es/es/propiedades/comprar/piso-palma-de-mallorca-2-dormitorios-115013-146274</t>
        </is>
      </c>
      <c r="J2496" t="inlineStr">
        <is>
          <t>Mallorca</t>
        </is>
      </c>
      <c r="AH2496" t="inlineStr">
        <is>
          <t>Quelle: Haya Real Estate</t>
        </is>
      </c>
    </row>
    <row r="2497">
      <c r="A2497" t="n">
        <v>2310</v>
      </c>
      <c r="B2497" t="inlineStr">
        <is>
          <t>Haya Real Estate Inmueble</t>
        </is>
      </c>
      <c r="C2497" t="inlineStr">
        <is>
          <t>https://telegram.me/share/url?text=Hola, he visto este inmueble en Solvia https://www.solvia.es/es/propiedades/comprar/piso-palma-de-mallorca-2-dormitorios-115013-146274&amp;url=https://www.solvia.es/es/propiedades/comprar/piso-palma-de-mallorca-2-dormitorios-115013-146274</t>
        </is>
      </c>
      <c r="J2497" t="inlineStr">
        <is>
          <t>Mallorca</t>
        </is>
      </c>
      <c r="AH2497" t="inlineStr">
        <is>
          <t>Quelle: Haya Real Estate</t>
        </is>
      </c>
    </row>
    <row r="2498">
      <c r="A2498" t="n">
        <v>2311</v>
      </c>
      <c r="B2498" t="inlineStr">
        <is>
          <t>Haya Real Estate Inmueble</t>
        </is>
      </c>
      <c r="C2498" t="inlineStr">
        <is>
          <t>https://api.whatsapp.com/send?text=Hola, he visto este inmueble en Solvia https://www.solvia.es/es/propiedades/comprar/casa-campos-4-dormitorios-162723-200456</t>
        </is>
      </c>
      <c r="J2498" t="inlineStr">
        <is>
          <t>Mallorca</t>
        </is>
      </c>
      <c r="AH2498" t="inlineStr">
        <is>
          <t>Quelle: Haya Real Estate</t>
        </is>
      </c>
    </row>
    <row r="2499">
      <c r="A2499" t="n">
        <v>2312</v>
      </c>
      <c r="B2499" t="inlineStr">
        <is>
          <t>Haya Real Estate Inmueble</t>
        </is>
      </c>
      <c r="C2499" t="inlineStr">
        <is>
          <t>https://telegram.me/share/url?text=Hola, he visto este inmueble en Solvia https://www.solvia.es/es/propiedades/comprar/casa-campos-4-dormitorios-162723-200456&amp;url=https://www.solvia.es/es/propiedades/comprar/casa-campos-4-dormitorios-162723-200456</t>
        </is>
      </c>
      <c r="J2499" t="inlineStr">
        <is>
          <t>Mallorca</t>
        </is>
      </c>
      <c r="AH2499" t="inlineStr">
        <is>
          <t>Quelle: Haya Real Estate</t>
        </is>
      </c>
    </row>
    <row r="2500">
      <c r="A2500" t="n">
        <v>2313</v>
      </c>
      <c r="B2500" t="inlineStr">
        <is>
          <t>Haya Real Estate Inmueble</t>
        </is>
      </c>
      <c r="C2500" t="inlineStr">
        <is>
          <t>https://api.whatsapp.com/send?text=Hola, he visto este inmueble en Solvia https://www.solvia.es/es/propiedades/comprar/piso-palma-de-mallorca-1-dormitorio-83579-106432</t>
        </is>
      </c>
      <c r="J2500" t="inlineStr">
        <is>
          <t>Mallorca</t>
        </is>
      </c>
      <c r="AH2500" t="inlineStr">
        <is>
          <t>Quelle: Haya Real Estate</t>
        </is>
      </c>
    </row>
    <row r="2501">
      <c r="A2501" t="n">
        <v>2314</v>
      </c>
      <c r="B2501" t="inlineStr">
        <is>
          <t>Haya Real Estate Inmueble</t>
        </is>
      </c>
      <c r="C2501" t="inlineStr">
        <is>
          <t>https://telegram.me/share/url?text=Hola, he visto este inmueble en Solvia https://www.solvia.es/es/propiedades/comprar/piso-palma-de-mallorca-1-dormitorio-83579-106432&amp;url=https://www.solvia.es/es/propiedades/comprar/piso-palma-de-mallorca-1-dormitorio-83579-106432</t>
        </is>
      </c>
      <c r="J2501" t="inlineStr">
        <is>
          <t>Mallorca</t>
        </is>
      </c>
      <c r="AH2501" t="inlineStr">
        <is>
          <t>Quelle: Haya Real Estate</t>
        </is>
      </c>
    </row>
    <row r="2502">
      <c r="A2502" t="n">
        <v>2315</v>
      </c>
      <c r="B2502" t="inlineStr">
        <is>
          <t>Haya Real Estate Inmueble</t>
        </is>
      </c>
      <c r="C2502" t="inlineStr">
        <is>
          <t>https://api.whatsapp.com/send?text=Hola, he visto este inmueble en Solvia https://www.solvia.es/es/propiedades/comprar/piso-manacor-3-dormitorios-78500-100067</t>
        </is>
      </c>
      <c r="J2502" t="inlineStr">
        <is>
          <t>Mallorca</t>
        </is>
      </c>
      <c r="AH2502" t="inlineStr">
        <is>
          <t>Quelle: Haya Real Estate</t>
        </is>
      </c>
    </row>
    <row r="2503">
      <c r="A2503" t="n">
        <v>2316</v>
      </c>
      <c r="B2503" t="inlineStr">
        <is>
          <t>Haya Real Estate Inmueble</t>
        </is>
      </c>
      <c r="C2503" t="inlineStr">
        <is>
          <t>https://telegram.me/share/url?text=Hola, he visto este inmueble en Solvia https://www.solvia.es/es/propiedades/comprar/piso-manacor-3-dormitorios-78500-100067&amp;url=https://www.solvia.es/es/propiedades/comprar/piso-manacor-3-dormitorios-78500-100067</t>
        </is>
      </c>
      <c r="J2503" t="inlineStr">
        <is>
          <t>Mallorca</t>
        </is>
      </c>
      <c r="AH2503" t="inlineStr">
        <is>
          <t>Quelle: Haya Real Estate</t>
        </is>
      </c>
    </row>
    <row r="2504">
      <c r="A2504" t="n">
        <v>2317</v>
      </c>
      <c r="B2504" t="inlineStr">
        <is>
          <t>Haya Real Estate Inmueble</t>
        </is>
      </c>
      <c r="C2504" t="inlineStr">
        <is>
          <t>https://api.whatsapp.com/send?text=Hola, he visto este inmueble en Solvia https://www.solvia.es/es/propiedades/comprar/piso-palma-de-mallorca-3-dormitorios-108140-137772</t>
        </is>
      </c>
      <c r="J2504" t="inlineStr">
        <is>
          <t>Mallorca</t>
        </is>
      </c>
      <c r="AH2504" t="inlineStr">
        <is>
          <t>Quelle: Haya Real Estate</t>
        </is>
      </c>
    </row>
    <row r="2505">
      <c r="A2505" t="n">
        <v>2318</v>
      </c>
      <c r="B2505" t="inlineStr">
        <is>
          <t>Haya Real Estate Inmueble</t>
        </is>
      </c>
      <c r="C2505" t="inlineStr">
        <is>
          <t>https://telegram.me/share/url?text=Hola, he visto este inmueble en Solvia https://www.solvia.es/es/propiedades/comprar/piso-palma-de-mallorca-3-dormitorios-108140-137772&amp;url=https://www.solvia.es/es/propiedades/comprar/piso-palma-de-mallorca-3-dormitorios-108140-137772</t>
        </is>
      </c>
      <c r="J2505" t="inlineStr">
        <is>
          <t>Mallorca</t>
        </is>
      </c>
      <c r="AH2505" t="inlineStr">
        <is>
          <t>Quelle: Haya Real Estate</t>
        </is>
      </c>
    </row>
    <row r="2506">
      <c r="A2506" t="n">
        <v>2319</v>
      </c>
      <c r="B2506" t="inlineStr">
        <is>
          <t>Haya Real Estate Inmueble</t>
        </is>
      </c>
      <c r="C2506" t="inlineStr">
        <is>
          <t>https://api.whatsapp.com/send?text=Hola, he visto este inmueble en Solvia https://www.solvia.es/es/propiedades/comprar/chalet-independiente-ciutadella-de-menorca-1-dormitorio-129255-162552</t>
        </is>
      </c>
      <c r="J2506" t="inlineStr">
        <is>
          <t>Mallorca</t>
        </is>
      </c>
      <c r="AH2506" t="inlineStr">
        <is>
          <t>Quelle: Haya Real Estate</t>
        </is>
      </c>
    </row>
    <row r="2507">
      <c r="A2507" t="n">
        <v>2320</v>
      </c>
      <c r="B2507" t="inlineStr">
        <is>
          <t>Haya Real Estate Inmueble</t>
        </is>
      </c>
      <c r="C2507" t="inlineStr">
        <is>
          <t>https://telegram.me/share/url?text=Hola, he visto este inmueble en Solvia https://www.solvia.es/es/propiedades/comprar/chalet-independiente-ciutadella-de-menorca-1-dormitorio-129255-162552&amp;url=https://www.solvia.es/es/propiedades/comprar/chalet-independiente-ciutadella-de-menorca-1-dormitorio-129255-162552</t>
        </is>
      </c>
      <c r="J2507" t="inlineStr">
        <is>
          <t>Mallorca</t>
        </is>
      </c>
      <c r="AH2507" t="inlineStr">
        <is>
          <t>Quelle: Haya Real Estate</t>
        </is>
      </c>
    </row>
    <row r="2508">
      <c r="A2508" t="n">
        <v>2321</v>
      </c>
      <c r="B2508" t="inlineStr">
        <is>
          <t>Haya Real Estate Inmueble</t>
        </is>
      </c>
      <c r="C2508" t="inlineStr">
        <is>
          <t>https://api.whatsapp.com/send?text=Hola, he visto este inmueble en Solvia https://www.solvia.es/es/propiedades/comprar/piso-manacor-3-dormitorios-76465-97242</t>
        </is>
      </c>
      <c r="J2508" t="inlineStr">
        <is>
          <t>Mallorca</t>
        </is>
      </c>
      <c r="AH2508" t="inlineStr">
        <is>
          <t>Quelle: Haya Real Estate</t>
        </is>
      </c>
    </row>
    <row r="2509">
      <c r="A2509" t="n">
        <v>2322</v>
      </c>
      <c r="B2509" t="inlineStr">
        <is>
          <t>Haya Real Estate Inmueble</t>
        </is>
      </c>
      <c r="C2509" t="inlineStr">
        <is>
          <t>https://telegram.me/share/url?text=Hola, he visto este inmueble en Solvia https://www.solvia.es/es/propiedades/comprar/piso-manacor-3-dormitorios-76465-97242&amp;url=https://www.solvia.es/es/propiedades/comprar/piso-manacor-3-dormitorios-76465-97242</t>
        </is>
      </c>
      <c r="J2509" t="inlineStr">
        <is>
          <t>Mallorca</t>
        </is>
      </c>
      <c r="AH2509" t="inlineStr">
        <is>
          <t>Quelle: Haya Real Estate</t>
        </is>
      </c>
    </row>
    <row r="2510">
      <c r="A2510" t="n">
        <v>2323</v>
      </c>
      <c r="B2510" t="inlineStr">
        <is>
          <t>Haya Real Estate Inmueble</t>
        </is>
      </c>
      <c r="C2510" t="inlineStr">
        <is>
          <t>https://api.whatsapp.com/send?text=Hola, he visto este inmueble en Solvia https://www.solvia.es/es/propiedades/comprar/chalet-independiente-marratxi-3-dormitorios-184062-222992</t>
        </is>
      </c>
      <c r="J2510" t="inlineStr">
        <is>
          <t>Mallorca</t>
        </is>
      </c>
      <c r="AH2510" t="inlineStr">
        <is>
          <t>Quelle: Haya Real Estate</t>
        </is>
      </c>
    </row>
    <row r="2511">
      <c r="A2511" t="n">
        <v>2324</v>
      </c>
      <c r="B2511" t="inlineStr">
        <is>
          <t>Haya Real Estate Inmueble</t>
        </is>
      </c>
      <c r="C2511" t="inlineStr">
        <is>
          <t>https://telegram.me/share/url?text=Hola, he visto este inmueble en Solvia https://www.solvia.es/es/propiedades/comprar/chalet-independiente-marratxi-3-dormitorios-184062-222992&amp;url=https://www.solvia.es/es/propiedades/comprar/chalet-independiente-marratxi-3-dormitorios-184062-222992</t>
        </is>
      </c>
      <c r="J2511" t="inlineStr">
        <is>
          <t>Mallorca</t>
        </is>
      </c>
      <c r="AH2511" t="inlineStr">
        <is>
          <t>Quelle: Haya Real Estate</t>
        </is>
      </c>
    </row>
    <row r="2512">
      <c r="A2512" t="n">
        <v>2325</v>
      </c>
      <c r="B2512" t="inlineStr">
        <is>
          <t>Haya Real Estate Inmueble</t>
        </is>
      </c>
      <c r="C2512" t="inlineStr">
        <is>
          <t>https://api.whatsapp.com/send?text=Hola, he visto este inmueble en Solvia https://www.solvia.es/es/propiedades/comprar/apartamento-palma-de-mallorca-73749-93993</t>
        </is>
      </c>
      <c r="J2512" t="inlineStr">
        <is>
          <t>Mallorca</t>
        </is>
      </c>
      <c r="AH2512" t="inlineStr">
        <is>
          <t>Quelle: Haya Real Estate</t>
        </is>
      </c>
    </row>
    <row r="2513">
      <c r="A2513" t="n">
        <v>2326</v>
      </c>
      <c r="B2513" t="inlineStr">
        <is>
          <t>Haya Real Estate Inmueble</t>
        </is>
      </c>
      <c r="C2513" t="inlineStr">
        <is>
          <t>https://telegram.me/share/url?text=Hola, he visto este inmueble en Solvia https://www.solvia.es/es/propiedades/comprar/apartamento-palma-de-mallorca-73749-93993&amp;url=https://www.solvia.es/es/propiedades/comprar/apartamento-palma-de-mallorca-73749-93993</t>
        </is>
      </c>
      <c r="J2513" t="inlineStr">
        <is>
          <t>Mallorca</t>
        </is>
      </c>
      <c r="AH2513" t="inlineStr">
        <is>
          <t>Quelle: Haya Real Estate</t>
        </is>
      </c>
    </row>
    <row r="2514">
      <c r="A2514" t="n">
        <v>2327</v>
      </c>
      <c r="B2514" t="inlineStr">
        <is>
          <t>Haya Real Estate Inmueble</t>
        </is>
      </c>
      <c r="C2514" t="inlineStr">
        <is>
          <t>https://api.whatsapp.com/send?text=Hola, he visto este inmueble en Solvia https://www.solvia.es/es/propiedades/comprar/piso-llucmajor-1-dormitorio-202813-247694</t>
        </is>
      </c>
      <c r="J2514" t="inlineStr">
        <is>
          <t>Mallorca</t>
        </is>
      </c>
      <c r="AH2514" t="inlineStr">
        <is>
          <t>Quelle: Haya Real Estate</t>
        </is>
      </c>
    </row>
    <row r="2515">
      <c r="A2515" t="n">
        <v>2328</v>
      </c>
      <c r="B2515" t="inlineStr">
        <is>
          <t>Haya Real Estate Inmueble</t>
        </is>
      </c>
      <c r="C2515" t="inlineStr">
        <is>
          <t>https://telegram.me/share/url?text=Hola, he visto este inmueble en Solvia https://www.solvia.es/es/propiedades/comprar/piso-llucmajor-1-dormitorio-202813-247694&amp;url=https://www.solvia.es/es/propiedades/comprar/piso-llucmajor-1-dormitorio-202813-247694</t>
        </is>
      </c>
      <c r="J2515" t="inlineStr">
        <is>
          <t>Mallorca</t>
        </is>
      </c>
      <c r="AH2515" t="inlineStr">
        <is>
          <t>Quelle: Haya Real Estate</t>
        </is>
      </c>
    </row>
    <row r="2516">
      <c r="A2516" t="n">
        <v>2329</v>
      </c>
      <c r="B2516" t="inlineStr">
        <is>
          <t>Haya Real Estate Inmueble</t>
        </is>
      </c>
      <c r="C2516" t="inlineStr">
        <is>
          <t>https://api.whatsapp.com/send?text=Hola, he visto este inmueble en Solvia https://www.solvia.es/es/propiedades/comprar/piso-palma-de-mallorca-1-dormitorio-69423-88471</t>
        </is>
      </c>
      <c r="J2516" t="inlineStr">
        <is>
          <t>Mallorca</t>
        </is>
      </c>
      <c r="AH2516" t="inlineStr">
        <is>
          <t>Quelle: Haya Real Estate</t>
        </is>
      </c>
    </row>
    <row r="2517">
      <c r="A2517" t="n">
        <v>2330</v>
      </c>
      <c r="B2517" t="inlineStr">
        <is>
          <t>Haya Real Estate Inmueble</t>
        </is>
      </c>
      <c r="C2517" t="inlineStr">
        <is>
          <t>https://telegram.me/share/url?text=Hola, he visto este inmueble en Solvia https://www.solvia.es/es/propiedades/comprar/piso-palma-de-mallorca-1-dormitorio-69423-88471&amp;url=https://www.solvia.es/es/propiedades/comprar/piso-palma-de-mallorca-1-dormitorio-69423-88471</t>
        </is>
      </c>
      <c r="J2517" t="inlineStr">
        <is>
          <t>Mallorca</t>
        </is>
      </c>
      <c r="AH2517" t="inlineStr">
        <is>
          <t>Quelle: Haya Real Estate</t>
        </is>
      </c>
    </row>
    <row r="2518">
      <c r="A2518" t="n">
        <v>2331</v>
      </c>
      <c r="B2518" t="inlineStr">
        <is>
          <t>Haya Real Estate Inmueble</t>
        </is>
      </c>
      <c r="C2518" t="inlineStr">
        <is>
          <t>https://api.whatsapp.com/send?text=Hola, he visto este inmueble en Solvia https://www.solvia.es/es/propiedades/comprar/piso-palma-de-mallorca-1-dormitorio-79370-101194</t>
        </is>
      </c>
      <c r="J2518" t="inlineStr">
        <is>
          <t>Mallorca</t>
        </is>
      </c>
      <c r="AH2518" t="inlineStr">
        <is>
          <t>Quelle: Haya Real Estate</t>
        </is>
      </c>
    </row>
    <row r="2519">
      <c r="A2519" t="n">
        <v>2332</v>
      </c>
      <c r="B2519" t="inlineStr">
        <is>
          <t>Haya Real Estate Inmueble</t>
        </is>
      </c>
      <c r="C2519" t="inlineStr">
        <is>
          <t>https://telegram.me/share/url?text=Hola, he visto este inmueble en Solvia https://www.solvia.es/es/propiedades/comprar/piso-palma-de-mallorca-1-dormitorio-79370-101194&amp;url=https://www.solvia.es/es/propiedades/comprar/piso-palma-de-mallorca-1-dormitorio-79370-101194</t>
        </is>
      </c>
      <c r="J2519" t="inlineStr">
        <is>
          <t>Mallorca</t>
        </is>
      </c>
      <c r="AH2519" t="inlineStr">
        <is>
          <t>Quelle: Haya Real Estate</t>
        </is>
      </c>
    </row>
    <row r="2520">
      <c r="A2520" t="n">
        <v>2333</v>
      </c>
      <c r="B2520" t="inlineStr">
        <is>
          <t>Haya Real Estate Inmueble</t>
        </is>
      </c>
      <c r="C2520" t="inlineStr">
        <is>
          <t>https://api.whatsapp.com/send?text=Hola, he visto este inmueble en Solvia https://www.solvia.es/es/propiedades/comprar/piso-manacor-3-dormitorios-87227-111380</t>
        </is>
      </c>
      <c r="J2520" t="inlineStr">
        <is>
          <t>Mallorca</t>
        </is>
      </c>
      <c r="AH2520" t="inlineStr">
        <is>
          <t>Quelle: Haya Real Estate</t>
        </is>
      </c>
    </row>
    <row r="2521">
      <c r="A2521" t="n">
        <v>2334</v>
      </c>
      <c r="B2521" t="inlineStr">
        <is>
          <t>Haya Real Estate Inmueble</t>
        </is>
      </c>
      <c r="C2521" t="inlineStr">
        <is>
          <t>https://telegram.me/share/url?text=Hola, he visto este inmueble en Solvia https://www.solvia.es/es/propiedades/comprar/piso-manacor-3-dormitorios-87227-111380&amp;url=https://www.solvia.es/es/propiedades/comprar/piso-manacor-3-dormitorios-87227-111380</t>
        </is>
      </c>
      <c r="J2521" t="inlineStr">
        <is>
          <t>Mallorca</t>
        </is>
      </c>
      <c r="AH2521" t="inlineStr">
        <is>
          <t>Quelle: Haya Real Estate</t>
        </is>
      </c>
    </row>
    <row r="2522">
      <c r="A2522" t="n">
        <v>2335</v>
      </c>
      <c r="B2522" t="inlineStr">
        <is>
          <t>Alquilar</t>
        </is>
      </c>
      <c r="C2522" t="inlineStr">
        <is>
          <t>https://www.solvia.es/es/alquiler-inmuebles</t>
        </is>
      </c>
      <c r="J2522" t="inlineStr">
        <is>
          <t>Mallorca</t>
        </is>
      </c>
      <c r="AH2522" t="inlineStr">
        <is>
          <t>Quelle: Solvia</t>
        </is>
      </c>
    </row>
    <row r="2523">
      <c r="A2523" t="n">
        <v>2336</v>
      </c>
      <c r="B2523" t="inlineStr">
        <is>
          <t>Vender</t>
        </is>
      </c>
      <c r="C2523" t="inlineStr">
        <is>
          <t>https://www.solvia.es/es/venta-inmuebles</t>
        </is>
      </c>
      <c r="J2523" t="inlineStr">
        <is>
          <t>Mallorca</t>
        </is>
      </c>
      <c r="AH2523" t="inlineStr">
        <is>
          <t>Quelle: Solvia</t>
        </is>
      </c>
    </row>
    <row r="2524">
      <c r="A2524" t="n">
        <v>2337</v>
      </c>
      <c r="B2524" t="inlineStr">
        <is>
          <t>Cómo comprar</t>
        </is>
      </c>
      <c r="C2524" t="inlineStr">
        <is>
          <t>https://www.solvia.es/es/como-comprar-inmuebles</t>
        </is>
      </c>
      <c r="J2524" t="inlineStr">
        <is>
          <t>Mallorca</t>
        </is>
      </c>
      <c r="AH2524" t="inlineStr">
        <is>
          <t>Quelle: Solvia</t>
        </is>
      </c>
    </row>
    <row r="2525">
      <c r="A2525" t="n">
        <v>2338</v>
      </c>
      <c r="B2525" t="inlineStr">
        <is>
          <t>Cómo alquilar</t>
        </is>
      </c>
      <c r="C2525" t="inlineStr">
        <is>
          <t>https://www.solvia.es/es/como-alquilar-inmuebles</t>
        </is>
      </c>
      <c r="J2525" t="inlineStr">
        <is>
          <t>Mallorca</t>
        </is>
      </c>
      <c r="AH2525" t="inlineStr">
        <is>
          <t>Quelle: Solvia</t>
        </is>
      </c>
    </row>
    <row r="2526">
      <c r="A2526" t="n">
        <v>2339</v>
      </c>
      <c r="B2526" t="inlineStr">
        <is>
          <t>Homes and Properties in Mallorca</t>
        </is>
      </c>
      <c r="C2526" t="inlineStr">
        <is>
          <t>https://taylorwimpeyspain.com/area/mallorca/</t>
        </is>
      </c>
      <c r="J2526" t="inlineStr">
        <is>
          <t>Mallorca</t>
        </is>
      </c>
      <c r="S2526" t="n">
        <v>150000</v>
      </c>
      <c r="AH2526" t="inlineStr">
        <is>
          <t>Quelle: Taylor Wimpey España</t>
        </is>
      </c>
    </row>
    <row r="2527">
      <c r="A2527" t="n">
        <v>2340</v>
      </c>
      <c r="B2527" t="inlineStr">
        <is>
          <t>Suelo Rústico en Turís</t>
        </is>
      </c>
      <c r="C2527" t="inlineStr">
        <is>
          <t>https://www.haya.es/es/comprar/vivienda/228177</t>
        </is>
      </c>
      <c r="H2527" t="n">
        <v>1319</v>
      </c>
      <c r="J2527" t="inlineStr">
        <is>
          <t>Turís</t>
        </is>
      </c>
      <c r="AH2527" t="inlineStr">
        <is>
          <t>Quelle: Solvia / Haya Real Estate</t>
        </is>
      </c>
    </row>
    <row r="2528">
      <c r="A2528" t="n">
        <v>2341</v>
      </c>
      <c r="B2528" t="inlineStr">
        <is>
          <t>Suelo Rústico en Almansa</t>
        </is>
      </c>
      <c r="C2528" t="inlineStr">
        <is>
          <t>https://www.haya.es/es/comprar/vivienda/228210</t>
        </is>
      </c>
      <c r="H2528" t="n">
        <v>35255</v>
      </c>
      <c r="J2528" t="inlineStr">
        <is>
          <t>Almansa</t>
        </is>
      </c>
      <c r="AH2528" t="inlineStr">
        <is>
          <t>Quelle: Solvia / Haya Real Estate</t>
        </is>
      </c>
    </row>
    <row r="2529">
      <c r="A2529" t="n">
        <v>2342</v>
      </c>
      <c r="B2529" t="inlineStr">
        <is>
          <t>Suelo Rústico en Almansa</t>
        </is>
      </c>
      <c r="C2529" t="inlineStr">
        <is>
          <t>https://www.haya.es/es/comprar/vivienda/228252</t>
        </is>
      </c>
      <c r="H2529" t="n">
        <v>56450</v>
      </c>
      <c r="J2529" t="inlineStr">
        <is>
          <t>Almansa</t>
        </is>
      </c>
      <c r="S2529" t="n">
        <v>13.88</v>
      </c>
      <c r="T2529" t="n">
        <v>0</v>
      </c>
      <c r="AH2529" t="inlineStr">
        <is>
          <t>Quelle: Solvia / Haya Real Estate</t>
        </is>
      </c>
    </row>
    <row r="2530">
      <c r="A2530" t="n">
        <v>2343</v>
      </c>
      <c r="B2530" t="inlineStr">
        <is>
          <t>Suelo Rústico en Arnedo</t>
        </is>
      </c>
      <c r="C2530" t="inlineStr">
        <is>
          <t>https://www.haya.es/es/comprar/vivienda/227994</t>
        </is>
      </c>
      <c r="H2530" t="n">
        <v>138</v>
      </c>
      <c r="J2530" t="inlineStr">
        <is>
          <t>Arnedo</t>
        </is>
      </c>
      <c r="S2530" t="n">
        <v>24.68</v>
      </c>
      <c r="T2530" t="n">
        <v>0</v>
      </c>
      <c r="AH2530" t="inlineStr">
        <is>
          <t>Quelle: Solvia / Haya Real Estate</t>
        </is>
      </c>
    </row>
    <row r="2531">
      <c r="A2531" t="n">
        <v>2344</v>
      </c>
      <c r="B2531" t="inlineStr">
        <is>
          <t>Suelo Rústico en Almanza</t>
        </is>
      </c>
      <c r="C2531" t="inlineStr">
        <is>
          <t>https://www.haya.es/es/comprar/vivienda/267074</t>
        </is>
      </c>
      <c r="H2531" t="n">
        <v>54</v>
      </c>
      <c r="J2531" t="inlineStr">
        <is>
          <t>Almanza</t>
        </is>
      </c>
      <c r="S2531" t="n">
        <v>25</v>
      </c>
      <c r="T2531" t="n">
        <v>0</v>
      </c>
      <c r="AH2531" t="inlineStr">
        <is>
          <t>Quelle: Solvia / Haya Real Estate</t>
        </is>
      </c>
    </row>
    <row r="2532">
      <c r="A2532" t="n">
        <v>2345</v>
      </c>
      <c r="B2532" t="inlineStr">
        <is>
          <t>Suelo Rústico en Jávea</t>
        </is>
      </c>
      <c r="C2532" t="inlineStr">
        <is>
          <t>https://www.haya.es/es/comprar/vivienda/228108</t>
        </is>
      </c>
      <c r="H2532" t="n">
        <v>301</v>
      </c>
      <c r="J2532" t="inlineStr">
        <is>
          <t>Jávea</t>
        </is>
      </c>
      <c r="S2532" t="n">
        <v>31.61</v>
      </c>
      <c r="T2532" t="n">
        <v>0</v>
      </c>
      <c r="AH2532" t="inlineStr">
        <is>
          <t>Quelle: Solvia / Haya Real Estate</t>
        </is>
      </c>
    </row>
    <row r="2533">
      <c r="A2533" t="n">
        <v>2346</v>
      </c>
      <c r="B2533" t="inlineStr">
        <is>
          <t>Suelo Rústico en Lucena del Cid</t>
        </is>
      </c>
      <c r="C2533" t="inlineStr">
        <is>
          <t>https://www.haya.es/es/comprar/vivienda/228259</t>
        </is>
      </c>
      <c r="H2533" t="n">
        <v>4404</v>
      </c>
      <c r="J2533" t="inlineStr">
        <is>
          <t>Lucena del Cid</t>
        </is>
      </c>
      <c r="S2533" t="n">
        <v>34.744</v>
      </c>
      <c r="T2533" t="n">
        <v>0</v>
      </c>
      <c r="AH2533" t="inlineStr">
        <is>
          <t>Quelle: Solvia / Haya Real Estate</t>
        </is>
      </c>
    </row>
    <row r="2534">
      <c r="A2534" t="n">
        <v>2347</v>
      </c>
      <c r="B2534" t="inlineStr">
        <is>
          <t>Suelo Rústico en Tordera</t>
        </is>
      </c>
      <c r="C2534" t="inlineStr">
        <is>
          <t>https://www.haya.es/es/comprar/vivienda/228097</t>
        </is>
      </c>
      <c r="H2534" t="n">
        <v>106</v>
      </c>
      <c r="J2534" t="inlineStr">
        <is>
          <t>Tordera</t>
        </is>
      </c>
      <c r="S2534" t="n">
        <v>32.96</v>
      </c>
      <c r="T2534" t="n">
        <v>0</v>
      </c>
      <c r="AH2534" t="inlineStr">
        <is>
          <t>Quelle: Solvia / Haya Real Estate</t>
        </is>
      </c>
    </row>
    <row r="2535">
      <c r="A2535" t="n">
        <v>2348</v>
      </c>
      <c r="B2535" t="inlineStr">
        <is>
          <t>Suelo Rústico en Almansa</t>
        </is>
      </c>
      <c r="C2535" t="inlineStr">
        <is>
          <t>https://www.haya.es/es/comprar/vivienda/227896</t>
        </is>
      </c>
      <c r="H2535" t="n">
        <v>112089</v>
      </c>
      <c r="J2535" t="inlineStr">
        <is>
          <t>Almansa</t>
        </is>
      </c>
      <c r="S2535" t="n">
        <v>59.14</v>
      </c>
      <c r="T2535" t="n">
        <v>0</v>
      </c>
      <c r="AH2535" t="inlineStr">
        <is>
          <t>Quelle: Solvia / Haya Real Estate</t>
        </is>
      </c>
    </row>
    <row r="2536">
      <c r="A2536" t="n">
        <v>2349</v>
      </c>
      <c r="B2536" t="inlineStr">
        <is>
          <t>Suelo Rústico en Benicarló</t>
        </is>
      </c>
      <c r="C2536" t="inlineStr">
        <is>
          <t>https://www.haya.es/es/comprar/vivienda/228261</t>
        </is>
      </c>
      <c r="H2536" t="n">
        <v>3800</v>
      </c>
      <c r="J2536" t="inlineStr">
        <is>
          <t>Benicarló</t>
        </is>
      </c>
      <c r="S2536" t="n">
        <v>70.91</v>
      </c>
      <c r="T2536" t="n">
        <v>0</v>
      </c>
      <c r="AH2536" t="inlineStr">
        <is>
          <t>Quelle: Solvia / Haya Real Estate</t>
        </is>
      </c>
    </row>
    <row r="2537">
      <c r="A2537" t="n">
        <v>2350</v>
      </c>
      <c r="B2537" t="inlineStr">
        <is>
          <t>Solares en Elda</t>
        </is>
      </c>
      <c r="C2537" t="inlineStr">
        <is>
          <t>https://www.haya.es/es/comprar/vivienda/226348</t>
        </is>
      </c>
      <c r="H2537" t="n">
        <v>0.01</v>
      </c>
      <c r="J2537" t="inlineStr">
        <is>
          <t>Elda</t>
        </is>
      </c>
      <c r="S2537" t="n">
        <v>85</v>
      </c>
      <c r="T2537" t="n">
        <v>8500</v>
      </c>
      <c r="AH2537" t="inlineStr">
        <is>
          <t>Quelle: Solvia / Haya Real Estate</t>
        </is>
      </c>
    </row>
    <row r="2538">
      <c r="A2538" t="n">
        <v>2351</v>
      </c>
      <c r="B2538" t="inlineStr">
        <is>
          <t>Suelo Rústico en Grávalos</t>
        </is>
      </c>
      <c r="C2538" t="inlineStr">
        <is>
          <t>https://www.haya.es/es/comprar/vivienda/198187</t>
        </is>
      </c>
      <c r="J2538" t="inlineStr">
        <is>
          <t>Grávalos</t>
        </is>
      </c>
      <c r="S2538" t="n">
        <v>90</v>
      </c>
      <c r="AH2538" t="inlineStr">
        <is>
          <t>Quelle: Solvia / Haya Real Estate</t>
        </is>
      </c>
    </row>
    <row r="2539">
      <c r="A2539" t="n">
        <v>2352</v>
      </c>
      <c r="B2539" t="inlineStr">
        <is>
          <t>Locales en Valencia</t>
        </is>
      </c>
      <c r="C2539" t="inlineStr">
        <is>
          <t>https://www.haya.es/es/comprar/vivienda/255746</t>
        </is>
      </c>
      <c r="H2539" t="n">
        <v>5.7</v>
      </c>
      <c r="J2539" t="inlineStr">
        <is>
          <t>Valencia</t>
        </is>
      </c>
      <c r="S2539" t="n">
        <v>90</v>
      </c>
      <c r="T2539" t="n">
        <v>16</v>
      </c>
      <c r="AH2539" t="inlineStr">
        <is>
          <t>Quelle: Solvia / Haya Real Estate</t>
        </is>
      </c>
    </row>
    <row r="2540">
      <c r="A2540" t="n">
        <v>2353</v>
      </c>
      <c r="B2540" t="inlineStr">
        <is>
          <t>Garaje en Carboneras</t>
        </is>
      </c>
      <c r="C2540" t="inlineStr">
        <is>
          <t>https://www.haya.es/es/comprar/vivienda/231668</t>
        </is>
      </c>
      <c r="H2540" t="n">
        <v>20</v>
      </c>
      <c r="J2540" t="inlineStr">
        <is>
          <t>Carboneras</t>
        </is>
      </c>
      <c r="S2540" t="n">
        <v>100</v>
      </c>
      <c r="T2540" t="n">
        <v>5</v>
      </c>
      <c r="AH2540" t="inlineStr">
        <is>
          <t>Quelle: Solvia / Haya Real Estate</t>
        </is>
      </c>
    </row>
    <row r="2541">
      <c r="A2541" t="n">
        <v>2354</v>
      </c>
      <c r="B2541" t="inlineStr">
        <is>
          <t>Garaje en Cunit</t>
        </is>
      </c>
      <c r="C2541" t="inlineStr">
        <is>
          <t>https://www.haya.es/es/comprar/vivienda/233141</t>
        </is>
      </c>
      <c r="H2541" t="n">
        <v>13.5</v>
      </c>
      <c r="J2541" t="inlineStr">
        <is>
          <t>Cunit</t>
        </is>
      </c>
      <c r="S2541" t="n">
        <v>100</v>
      </c>
      <c r="T2541" t="n">
        <v>7</v>
      </c>
      <c r="AH2541" t="inlineStr">
        <is>
          <t>Quelle: Solvia / Haya Real Estate</t>
        </is>
      </c>
    </row>
    <row r="2542">
      <c r="A2542" t="n">
        <v>2355</v>
      </c>
      <c r="B2542" t="inlineStr">
        <is>
          <t>Suelo Rústico en Valverde del Majano</t>
        </is>
      </c>
      <c r="C2542" t="inlineStr">
        <is>
          <t>https://www.haya.es/es/comprar/vivienda/228211</t>
        </is>
      </c>
      <c r="H2542" t="n">
        <v>4421</v>
      </c>
      <c r="J2542" t="inlineStr">
        <is>
          <t>Valverde del Majano</t>
        </is>
      </c>
      <c r="S2542" t="n">
        <v>107.57</v>
      </c>
      <c r="T2542" t="n">
        <v>0</v>
      </c>
      <c r="AH2542" t="inlineStr">
        <is>
          <t>Quelle: Solvia / Haya Real Estate</t>
        </is>
      </c>
    </row>
    <row r="2543">
      <c r="A2543" t="n">
        <v>2356</v>
      </c>
      <c r="B2543" t="inlineStr">
        <is>
          <t>Suelo Rústico en Montesa</t>
        </is>
      </c>
      <c r="C2543" t="inlineStr">
        <is>
          <t>https://www.haya.es/es/comprar/vivienda/227905</t>
        </is>
      </c>
      <c r="J2543" t="inlineStr">
        <is>
          <t>Montesa</t>
        </is>
      </c>
      <c r="S2543" t="n">
        <v>141.8</v>
      </c>
      <c r="AH2543" t="inlineStr">
        <is>
          <t>Quelle: Solvia / Haya Real Estate</t>
        </is>
      </c>
    </row>
    <row r="2544">
      <c r="A2544" t="n">
        <v>2357</v>
      </c>
      <c r="B2544" t="inlineStr">
        <is>
          <t>Suelo Rústico en Borja</t>
        </is>
      </c>
      <c r="C2544" t="inlineStr">
        <is>
          <t>https://www.haya.es/es/comprar/vivienda/158971</t>
        </is>
      </c>
      <c r="H2544" t="n">
        <v>307</v>
      </c>
      <c r="J2544" t="inlineStr">
        <is>
          <t>Borja</t>
        </is>
      </c>
      <c r="S2544" t="n">
        <v>144</v>
      </c>
      <c r="T2544" t="n">
        <v>0</v>
      </c>
      <c r="AH2544" t="inlineStr">
        <is>
          <t>Quelle: Solvia / Haya Real Estate</t>
        </is>
      </c>
    </row>
    <row r="2545">
      <c r="A2545" t="n">
        <v>2358</v>
      </c>
      <c r="B2545" t="inlineStr">
        <is>
          <t>Suelo Rústico en Estadilla</t>
        </is>
      </c>
      <c r="C2545" t="inlineStr">
        <is>
          <t>https://www.haya.es/es/comprar/vivienda/153631</t>
        </is>
      </c>
      <c r="H2545" t="n">
        <v>297</v>
      </c>
      <c r="J2545" t="inlineStr">
        <is>
          <t>Estadilla</t>
        </is>
      </c>
      <c r="S2545" t="n">
        <v>157</v>
      </c>
      <c r="T2545" t="n">
        <v>1</v>
      </c>
      <c r="AH2545" t="inlineStr">
        <is>
          <t>Quelle: Solvia / Haya Real Estate</t>
        </is>
      </c>
    </row>
    <row r="2546">
      <c r="A2546" t="n">
        <v>2359</v>
      </c>
      <c r="B2546" t="inlineStr">
        <is>
          <t>Solares en Genovés</t>
        </is>
      </c>
      <c r="C2546" t="inlineStr">
        <is>
          <t>https://www.haya.es/es/comprar/vivienda/228256</t>
        </is>
      </c>
      <c r="J2546" t="inlineStr">
        <is>
          <t>Genovés</t>
        </is>
      </c>
      <c r="S2546" t="n">
        <v>172.76</v>
      </c>
      <c r="AH2546" t="inlineStr">
        <is>
          <t>Quelle: Solvia / Haya Real Estate</t>
        </is>
      </c>
    </row>
    <row r="2547">
      <c r="A2547" t="n">
        <v>2360</v>
      </c>
      <c r="B2547" t="inlineStr">
        <is>
          <t>Garaje en Palma de Mallorca</t>
        </is>
      </c>
      <c r="C2547" t="inlineStr">
        <is>
          <t>https://www.haya.es/es/comprar/vivienda/191928</t>
        </is>
      </c>
      <c r="H2547" t="n">
        <v>1.18</v>
      </c>
      <c r="J2547" t="inlineStr">
        <is>
          <t>Palma de Mallorca</t>
        </is>
      </c>
      <c r="S2547" t="n">
        <v>1000</v>
      </c>
      <c r="T2547" t="n">
        <v>847</v>
      </c>
      <c r="AH2547" t="inlineStr">
        <is>
          <t>Quelle: Solvia / Haya Real Estate</t>
        </is>
      </c>
    </row>
    <row r="2548">
      <c r="A2548" t="n">
        <v>2361</v>
      </c>
      <c r="B2548" t="inlineStr">
        <is>
          <t>Garaje en Sant Llorenç des Cardassar</t>
        </is>
      </c>
      <c r="C2548" t="inlineStr">
        <is>
          <t>https://www.haya.es/es/comprar/vivienda/83351</t>
        </is>
      </c>
      <c r="H2548" t="n">
        <v>12</v>
      </c>
      <c r="J2548" t="inlineStr">
        <is>
          <t>Sant Llorenç des Cardassar</t>
        </is>
      </c>
      <c r="S2548" t="n">
        <v>1800</v>
      </c>
      <c r="T2548" t="n">
        <v>150</v>
      </c>
      <c r="AH2548" t="inlineStr">
        <is>
          <t>Quelle: Solvia / Haya Real Estate</t>
        </is>
      </c>
    </row>
    <row r="2549">
      <c r="A2549" t="n">
        <v>2362</v>
      </c>
      <c r="B2549" t="inlineStr">
        <is>
          <t>Garaje en Calvià</t>
        </is>
      </c>
      <c r="C2549" t="inlineStr">
        <is>
          <t>https://www.haya.es/es/comprar/vivienda/200909</t>
        </is>
      </c>
      <c r="H2549" t="n">
        <v>10</v>
      </c>
      <c r="J2549" t="inlineStr">
        <is>
          <t>Calvià</t>
        </is>
      </c>
      <c r="S2549" t="n">
        <v>3000</v>
      </c>
      <c r="T2549" t="n">
        <v>300</v>
      </c>
      <c r="AH2549" t="inlineStr">
        <is>
          <t>Quelle: Solvia / Haya Real Estate</t>
        </is>
      </c>
    </row>
    <row r="2550">
      <c r="A2550" t="n">
        <v>2363</v>
      </c>
      <c r="B2550" t="inlineStr">
        <is>
          <t>Garaje en Mahón</t>
        </is>
      </c>
      <c r="C2550" t="inlineStr">
        <is>
          <t>https://www.haya.es/es/comprar/vivienda/203011</t>
        </is>
      </c>
      <c r="H2550" t="n">
        <v>7</v>
      </c>
      <c r="J2550" t="inlineStr">
        <is>
          <t>Mahón</t>
        </is>
      </c>
      <c r="S2550" t="n">
        <v>3000</v>
      </c>
      <c r="T2550" t="n">
        <v>429</v>
      </c>
      <c r="AH2550" t="inlineStr">
        <is>
          <t>Quelle: Solvia / Haya Real Estate</t>
        </is>
      </c>
    </row>
    <row r="2551">
      <c r="A2551" t="n">
        <v>2364</v>
      </c>
      <c r="B2551" t="inlineStr">
        <is>
          <t>Garaje en Campos</t>
        </is>
      </c>
      <c r="C2551" t="inlineStr">
        <is>
          <t>https://www.haya.es/es/comprar/vivienda/199398</t>
        </is>
      </c>
      <c r="H2551" t="n">
        <v>12.15</v>
      </c>
      <c r="J2551" t="inlineStr">
        <is>
          <t>Campos</t>
        </is>
      </c>
      <c r="S2551" t="n">
        <v>5000</v>
      </c>
      <c r="T2551" t="n">
        <v>412</v>
      </c>
      <c r="AH2551" t="inlineStr">
        <is>
          <t>Quelle: Solvia / Haya Real Estate</t>
        </is>
      </c>
    </row>
    <row r="2552">
      <c r="A2552" t="n">
        <v>2365</v>
      </c>
      <c r="B2552" t="inlineStr">
        <is>
          <t>Garaje moto en Santa Eulalia del Río</t>
        </is>
      </c>
      <c r="C2552" t="inlineStr">
        <is>
          <t>https://www.haya.es/es/comprar/vivienda/227132</t>
        </is>
      </c>
      <c r="H2552" t="n">
        <v>2.13</v>
      </c>
      <c r="J2552" t="inlineStr">
        <is>
          <t>Santa Eulalia del Río</t>
        </is>
      </c>
      <c r="S2552" t="n">
        <v>5000</v>
      </c>
      <c r="T2552" t="n">
        <v>2347</v>
      </c>
      <c r="AH2552" t="inlineStr">
        <is>
          <t>Quelle: Solvia / Haya Real Estate</t>
        </is>
      </c>
    </row>
    <row r="2553">
      <c r="A2553" t="n">
        <v>2366</v>
      </c>
      <c r="B2553" t="inlineStr">
        <is>
          <t>Garaje moto en Santa Eulalia del Río</t>
        </is>
      </c>
      <c r="C2553" t="inlineStr">
        <is>
          <t>https://www.haya.es/es/comprar/vivienda/227130</t>
        </is>
      </c>
      <c r="H2553" t="n">
        <v>2.13</v>
      </c>
      <c r="J2553" t="inlineStr">
        <is>
          <t>Santa Eulalia del Río</t>
        </is>
      </c>
      <c r="S2553" t="n">
        <v>5000</v>
      </c>
      <c r="T2553" t="n">
        <v>2347</v>
      </c>
      <c r="AH2553" t="inlineStr">
        <is>
          <t>Quelle: Solvia / Haya Real Estate</t>
        </is>
      </c>
    </row>
    <row r="2554">
      <c r="A2554" t="n">
        <v>2367</v>
      </c>
      <c r="B2554" t="inlineStr">
        <is>
          <t>Garaje en Santa Eulalia del Río</t>
        </is>
      </c>
      <c r="C2554" t="inlineStr">
        <is>
          <t>https://www.haya.es/es/comprar/vivienda/227131</t>
        </is>
      </c>
      <c r="H2554" t="n">
        <v>2.13</v>
      </c>
      <c r="J2554" t="inlineStr">
        <is>
          <t>Santa Eulalia del Río</t>
        </is>
      </c>
      <c r="S2554" t="n">
        <v>5000</v>
      </c>
      <c r="T2554" t="n">
        <v>2347</v>
      </c>
      <c r="AH2554" t="inlineStr">
        <is>
          <t>Quelle: Solvia / Haya Real Estate</t>
        </is>
      </c>
    </row>
    <row r="2555">
      <c r="A2555" t="n">
        <v>2368</v>
      </c>
      <c r="B2555" t="inlineStr">
        <is>
          <t>Garaje en Santa Eulalia del Río</t>
        </is>
      </c>
      <c r="C2555" t="inlineStr">
        <is>
          <t>https://www.haya.es/es/comprar/vivienda/227129</t>
        </is>
      </c>
      <c r="H2555" t="n">
        <v>2.13</v>
      </c>
      <c r="J2555" t="inlineStr">
        <is>
          <t>Santa Eulalia del Río</t>
        </is>
      </c>
      <c r="S2555" t="n">
        <v>5000</v>
      </c>
      <c r="T2555" t="n">
        <v>2347</v>
      </c>
      <c r="AH2555" t="inlineStr">
        <is>
          <t>Quelle: Solvia / Haya Real Estate</t>
        </is>
      </c>
    </row>
    <row r="2556">
      <c r="A2556" t="n">
        <v>2369</v>
      </c>
      <c r="B2556" t="inlineStr">
        <is>
          <t>Garaje en Inca</t>
        </is>
      </c>
      <c r="C2556" t="inlineStr">
        <is>
          <t>https://www.haya.es/es/comprar/vivienda/184510</t>
        </is>
      </c>
      <c r="H2556" t="n">
        <v>9.9</v>
      </c>
      <c r="J2556" t="inlineStr">
        <is>
          <t>Inca</t>
        </is>
      </c>
      <c r="S2556" t="n">
        <v>6000</v>
      </c>
      <c r="T2556" t="n">
        <v>606</v>
      </c>
      <c r="AH2556" t="inlineStr">
        <is>
          <t>Quelle: Solvia / Haya Real Estate</t>
        </is>
      </c>
    </row>
    <row r="2557">
      <c r="A2557" t="n">
        <v>2370</v>
      </c>
      <c r="B2557" t="inlineStr">
        <is>
          <t>Garaje en Calvià</t>
        </is>
      </c>
      <c r="C2557" t="inlineStr">
        <is>
          <t>https://www.haya.es/es/comprar/vivienda/192167</t>
        </is>
      </c>
      <c r="H2557" t="n">
        <v>32</v>
      </c>
      <c r="J2557" t="inlineStr">
        <is>
          <t>Calvià</t>
        </is>
      </c>
      <c r="S2557" t="n">
        <v>8000</v>
      </c>
      <c r="T2557" t="n">
        <v>250</v>
      </c>
      <c r="AH2557" t="inlineStr">
        <is>
          <t>Quelle: Solvia / Haya Real Estate</t>
        </is>
      </c>
    </row>
    <row r="2558">
      <c r="A2558" t="n">
        <v>2371</v>
      </c>
      <c r="B2558" t="inlineStr">
        <is>
          <t>Garaje en Campos</t>
        </is>
      </c>
      <c r="C2558" t="inlineStr">
        <is>
          <t>https://www.haya.es/es/comprar/vivienda/192611</t>
        </is>
      </c>
      <c r="H2558" t="n">
        <v>12.25</v>
      </c>
      <c r="J2558" t="inlineStr">
        <is>
          <t>Campos</t>
        </is>
      </c>
      <c r="S2558" t="n">
        <v>9000</v>
      </c>
      <c r="T2558" t="n">
        <v>735</v>
      </c>
      <c r="AH2558" t="inlineStr">
        <is>
          <t>Quelle: Solvia / Haya Real Estate</t>
        </is>
      </c>
    </row>
    <row r="2559">
      <c r="A2559" t="n">
        <v>2372</v>
      </c>
      <c r="B2559" t="inlineStr">
        <is>
          <t>Garaje en Manacor</t>
        </is>
      </c>
      <c r="C2559" t="inlineStr">
        <is>
          <t>https://www.haya.es/es/comprar/vivienda/188034</t>
        </is>
      </c>
      <c r="H2559" t="n">
        <v>23</v>
      </c>
      <c r="J2559" t="inlineStr">
        <is>
          <t>Manacor</t>
        </is>
      </c>
      <c r="S2559" t="n">
        <v>9700</v>
      </c>
      <c r="T2559" t="n">
        <v>422</v>
      </c>
      <c r="AH2559" t="inlineStr">
        <is>
          <t>Quelle: Solvia / Haya Real Estate</t>
        </is>
      </c>
    </row>
    <row r="2560">
      <c r="A2560" t="n">
        <v>2373</v>
      </c>
      <c r="B2560" t="inlineStr">
        <is>
          <t>Garaje en Palmanyola</t>
        </is>
      </c>
      <c r="C2560" t="inlineStr">
        <is>
          <t>https://www.haya.es/es/comprar/vivienda/99260</t>
        </is>
      </c>
      <c r="H2560" t="n">
        <v>11.25</v>
      </c>
      <c r="J2560" t="inlineStr">
        <is>
          <t>Palmanyola</t>
        </is>
      </c>
      <c r="S2560" t="n">
        <v>10000</v>
      </c>
      <c r="T2560" t="n">
        <v>889</v>
      </c>
      <c r="AH2560" t="inlineStr">
        <is>
          <t>Quelle: Solvia / Haya Real Estate</t>
        </is>
      </c>
    </row>
    <row r="2561">
      <c r="A2561" t="n">
        <v>2374</v>
      </c>
      <c r="B2561" t="inlineStr">
        <is>
          <t>Suelo Rústico en Porreres</t>
        </is>
      </c>
      <c r="C2561" t="inlineStr">
        <is>
          <t>https://www.haya.es/es/comprar/vivienda/108729</t>
        </is>
      </c>
      <c r="H2561" t="n">
        <v>1775</v>
      </c>
      <c r="J2561" t="inlineStr">
        <is>
          <t>Porreres</t>
        </is>
      </c>
      <c r="S2561" t="n">
        <v>10000</v>
      </c>
      <c r="T2561" t="n">
        <v>6</v>
      </c>
      <c r="AH2561" t="inlineStr">
        <is>
          <t>Quelle: Solvia / Haya Real Estate</t>
        </is>
      </c>
    </row>
    <row r="2562">
      <c r="A2562" t="n">
        <v>2375</v>
      </c>
      <c r="B2562" t="inlineStr">
        <is>
          <t>Garaje en Mahón</t>
        </is>
      </c>
      <c r="C2562" t="inlineStr">
        <is>
          <t>https://www.haya.es/es/comprar/vivienda/200107</t>
        </is>
      </c>
      <c r="J2562" t="inlineStr">
        <is>
          <t>Mahón</t>
        </is>
      </c>
      <c r="S2562" t="n">
        <v>10000</v>
      </c>
      <c r="AH2562" t="inlineStr">
        <is>
          <t>Quelle: Solvia / Haya Real Estate</t>
        </is>
      </c>
    </row>
    <row r="2563">
      <c r="A2563" t="n">
        <v>2376</v>
      </c>
      <c r="B2563" t="inlineStr">
        <is>
          <t>Garaje en Sant Josep de sa Talaia</t>
        </is>
      </c>
      <c r="C2563" t="inlineStr">
        <is>
          <t>https://www.haya.es/es/comprar/vivienda/91519</t>
        </is>
      </c>
      <c r="H2563" t="n">
        <v>12.7</v>
      </c>
      <c r="J2563" t="inlineStr">
        <is>
          <t>Sant Josep de sa Talaia</t>
        </is>
      </c>
      <c r="S2563" t="n">
        <v>12000</v>
      </c>
      <c r="T2563" t="n">
        <v>945</v>
      </c>
      <c r="AH2563" t="inlineStr">
        <is>
          <t>Quelle: Solvia / Haya Real Estate</t>
        </is>
      </c>
    </row>
    <row r="2564">
      <c r="A2564" t="n">
        <v>2377</v>
      </c>
      <c r="B2564" t="inlineStr">
        <is>
          <t>Garaje en Mahón</t>
        </is>
      </c>
      <c r="C2564" t="inlineStr">
        <is>
          <t>https://www.haya.es/es/comprar/vivienda/204628</t>
        </is>
      </c>
      <c r="H2564" t="n">
        <v>33.78</v>
      </c>
      <c r="J2564" t="inlineStr">
        <is>
          <t>Mahón</t>
        </is>
      </c>
      <c r="S2564" t="n">
        <v>12000</v>
      </c>
      <c r="T2564" t="n">
        <v>355</v>
      </c>
      <c r="AH2564" t="inlineStr">
        <is>
          <t>Quelle: Solvia / Haya Real Estate</t>
        </is>
      </c>
    </row>
    <row r="2565">
      <c r="A2565" t="n">
        <v>2378</v>
      </c>
      <c r="B2565" t="inlineStr">
        <is>
          <t>Garaje en Palma de Mallorca</t>
        </is>
      </c>
      <c r="C2565" t="inlineStr">
        <is>
          <t>https://www.haya.es/es/comprar/vivienda/194522</t>
        </is>
      </c>
      <c r="H2565" t="n">
        <v>27</v>
      </c>
      <c r="J2565" t="inlineStr">
        <is>
          <t>Palma de Mallorca</t>
        </is>
      </c>
      <c r="S2565" t="n">
        <v>12400</v>
      </c>
      <c r="T2565" t="n">
        <v>459</v>
      </c>
      <c r="AH2565" t="inlineStr">
        <is>
          <t>Quelle: Solvia / Haya Real Estate</t>
        </is>
      </c>
    </row>
    <row r="2566">
      <c r="A2566" t="n">
        <v>2379</v>
      </c>
      <c r="B2566" t="inlineStr">
        <is>
          <t>Garaje en Palma de Mallorca</t>
        </is>
      </c>
      <c r="C2566" t="inlineStr">
        <is>
          <t>https://www.haya.es/es/comprar/vivienda/194578</t>
        </is>
      </c>
      <c r="H2566" t="n">
        <v>27</v>
      </c>
      <c r="J2566" t="inlineStr">
        <is>
          <t>Palma de Mallorca</t>
        </is>
      </c>
      <c r="S2566" t="n">
        <v>12400</v>
      </c>
      <c r="T2566" t="n">
        <v>459</v>
      </c>
      <c r="AH2566" t="inlineStr">
        <is>
          <t>Quelle: Solvia / Haya Real Estate</t>
        </is>
      </c>
    </row>
    <row r="2567">
      <c r="A2567" t="n">
        <v>2380</v>
      </c>
      <c r="B2567" t="inlineStr">
        <is>
          <t>Chalet adosado en Sant Josep de sa Talaia</t>
        </is>
      </c>
      <c r="C2567" t="inlineStr">
        <is>
          <t>https://www.haya.es/es/comprar/vivienda/48244</t>
        </is>
      </c>
      <c r="E2567" t="n">
        <v>3</v>
      </c>
      <c r="H2567" t="n">
        <v>285.7</v>
      </c>
      <c r="J2567" t="inlineStr">
        <is>
          <t>Sant Josep de sa Talaia</t>
        </is>
      </c>
      <c r="K2567" t="n">
        <v>47.4</v>
      </c>
      <c r="L2567" t="n">
        <v>40</v>
      </c>
      <c r="M2567" t="n">
        <v>51.8</v>
      </c>
      <c r="N2567" t="n">
        <v>55</v>
      </c>
      <c r="O2567" t="n">
        <v>70</v>
      </c>
      <c r="P2567" t="n">
        <v>56</v>
      </c>
      <c r="Q2567" t="n">
        <v>49.5</v>
      </c>
      <c r="R2567" t="n">
        <v>51</v>
      </c>
      <c r="S2567" t="n">
        <v>1590000</v>
      </c>
      <c r="T2567" t="n">
        <v>5565</v>
      </c>
      <c r="AH2567" t="inlineStr">
        <is>
          <t>Quelle: Solvia / Haya Real Estate</t>
        </is>
      </c>
    </row>
    <row r="2568">
      <c r="A2568" t="n">
        <v>2381</v>
      </c>
      <c r="B2568" t="inlineStr">
        <is>
          <t>Chalet independiente en Santanyí</t>
        </is>
      </c>
      <c r="C2568" t="inlineStr">
        <is>
          <t>https://www.haya.es/es/comprar/vivienda/179160</t>
        </is>
      </c>
      <c r="E2568" t="n">
        <v>7</v>
      </c>
      <c r="H2568" t="n">
        <v>311</v>
      </c>
      <c r="J2568" t="inlineStr">
        <is>
          <t>Santanyí</t>
        </is>
      </c>
      <c r="K2568" t="n">
        <v>45.4</v>
      </c>
      <c r="L2568" t="n">
        <v>39</v>
      </c>
      <c r="M2568" t="n">
        <v>9</v>
      </c>
      <c r="N2568" t="n">
        <v>13</v>
      </c>
      <c r="O2568" t="n">
        <v>83.59999999999999</v>
      </c>
      <c r="P2568" t="n">
        <v>67</v>
      </c>
      <c r="Q2568" t="n">
        <v>9.699999999999999</v>
      </c>
      <c r="R2568" t="n">
        <v>15</v>
      </c>
      <c r="S2568" t="n">
        <v>1200000</v>
      </c>
      <c r="T2568" t="n">
        <v>3859</v>
      </c>
      <c r="AH2568" t="inlineStr">
        <is>
          <t>Quelle: Solvia / Haya Real Estate</t>
        </is>
      </c>
    </row>
    <row r="2569">
      <c r="A2569" t="n">
        <v>2382</v>
      </c>
      <c r="B2569" t="inlineStr">
        <is>
          <t>Chalet adosado en Felanitx</t>
        </is>
      </c>
      <c r="C2569" t="inlineStr">
        <is>
          <t>https://www.haya.es/es/comprar/vivienda/192297</t>
        </is>
      </c>
      <c r="E2569" t="n">
        <v>2</v>
      </c>
      <c r="H2569" t="n">
        <v>430.2</v>
      </c>
      <c r="J2569" t="inlineStr">
        <is>
          <t>Felanitx</t>
        </is>
      </c>
      <c r="S2569" t="n">
        <v>319000</v>
      </c>
      <c r="T2569" t="n">
        <v>742</v>
      </c>
      <c r="AH2569" t="inlineStr">
        <is>
          <t>Quelle: Solvia / Haya Real Estate</t>
        </is>
      </c>
    </row>
    <row r="2570">
      <c r="A2570" t="n">
        <v>2383</v>
      </c>
      <c r="B2570" t="inlineStr">
        <is>
          <t>Chalet independiente en Andratx</t>
        </is>
      </c>
      <c r="C2570" t="inlineStr">
        <is>
          <t>https://www.haya.es/es/comprar/vivienda/97309</t>
        </is>
      </c>
      <c r="E2570" t="n">
        <v>6</v>
      </c>
      <c r="H2570" t="n">
        <v>411.38</v>
      </c>
      <c r="J2570" t="inlineStr">
        <is>
          <t>Andratx</t>
        </is>
      </c>
      <c r="K2570" t="n">
        <v>40.3</v>
      </c>
      <c r="L2570" t="n">
        <v>36</v>
      </c>
      <c r="M2570" t="n">
        <v>83</v>
      </c>
      <c r="N2570" t="n">
        <v>68</v>
      </c>
      <c r="O2570" t="n">
        <v>2.7</v>
      </c>
      <c r="P2570" t="n">
        <v>7</v>
      </c>
      <c r="Q2570" t="n">
        <v>80.7</v>
      </c>
      <c r="R2570" t="n">
        <v>65</v>
      </c>
      <c r="S2570" t="n">
        <v>399000</v>
      </c>
      <c r="T2570" t="n">
        <v>970</v>
      </c>
      <c r="AH2570" t="inlineStr">
        <is>
          <t>Quelle: Solvia / Haya Real Estate</t>
        </is>
      </c>
    </row>
    <row r="2571">
      <c r="A2571" t="n">
        <v>2384</v>
      </c>
      <c r="B2571" t="inlineStr">
        <is>
          <t>Piso en Palma de Mallorca</t>
        </is>
      </c>
      <c r="C2571" t="inlineStr">
        <is>
          <t>https://www.haya.es/es/comprar/vivienda/137656</t>
        </is>
      </c>
      <c r="E2571" t="n">
        <v>2</v>
      </c>
      <c r="H2571" t="n">
        <v>74</v>
      </c>
      <c r="J2571" t="inlineStr">
        <is>
          <t>Palma de Mallorca</t>
        </is>
      </c>
      <c r="S2571" t="n">
        <v>290000</v>
      </c>
      <c r="T2571" t="n">
        <v>3919</v>
      </c>
      <c r="AH2571" t="inlineStr">
        <is>
          <t>Quelle: Solvia / Haya Real Estate</t>
        </is>
      </c>
    </row>
    <row r="2572">
      <c r="A2572" t="n">
        <v>2385</v>
      </c>
      <c r="B2572" t="inlineStr">
        <is>
          <t>Chalet independiente en Felanitx</t>
        </is>
      </c>
      <c r="C2572" t="inlineStr">
        <is>
          <t>https://www.haya.es/es/comprar/vivienda/102159</t>
        </is>
      </c>
      <c r="E2572" t="n">
        <v>4</v>
      </c>
      <c r="H2572" t="n">
        <v>297.22</v>
      </c>
      <c r="J2572" t="inlineStr">
        <is>
          <t>Felanitx</t>
        </is>
      </c>
      <c r="S2572" t="n">
        <v>895000</v>
      </c>
      <c r="T2572" t="n">
        <v>3011</v>
      </c>
      <c r="AH2572" t="inlineStr">
        <is>
          <t>Quelle: Solvia / Haya Real Estate</t>
        </is>
      </c>
    </row>
    <row r="2573">
      <c r="A2573" t="n">
        <v>2386</v>
      </c>
      <c r="B2573" t="inlineStr">
        <is>
          <t>Chalet independiente en Alaior</t>
        </is>
      </c>
      <c r="C2573" t="inlineStr">
        <is>
          <t>https://www.haya.es/es/comprar/vivienda/192853</t>
        </is>
      </c>
      <c r="E2573" t="n">
        <v>7</v>
      </c>
      <c r="H2573" t="n">
        <v>496.82</v>
      </c>
      <c r="J2573" t="inlineStr">
        <is>
          <t>Alaior</t>
        </is>
      </c>
      <c r="K2573" t="n">
        <v>222.9</v>
      </c>
      <c r="L2573" t="n">
        <v>397</v>
      </c>
      <c r="M2573" t="n">
        <v>265.6</v>
      </c>
      <c r="N2573" t="n">
        <v>430</v>
      </c>
      <c r="O2573" t="n">
        <v>236.8</v>
      </c>
      <c r="P2573" t="n">
        <v>402</v>
      </c>
      <c r="Q2573" t="n">
        <v>263.3</v>
      </c>
      <c r="R2573" t="n">
        <v>426</v>
      </c>
      <c r="S2573" t="n">
        <v>850000</v>
      </c>
      <c r="T2573" t="n">
        <v>1711</v>
      </c>
      <c r="AH2573" t="inlineStr">
        <is>
          <t>Quelle: Solvia / Haya Real Estate</t>
        </is>
      </c>
    </row>
    <row r="2574">
      <c r="A2574" t="n">
        <v>2387</v>
      </c>
      <c r="B2574" t="inlineStr">
        <is>
          <t>Piso en Palma de Mallorca</t>
        </is>
      </c>
      <c r="C2574" t="inlineStr">
        <is>
          <t>https://www.haya.es/es/comprar/vivienda/146274</t>
        </is>
      </c>
      <c r="E2574" t="n">
        <v>2</v>
      </c>
      <c r="H2574" t="n">
        <v>91.18000000000001</v>
      </c>
      <c r="J2574" t="inlineStr">
        <is>
          <t>Palma de Mallorca</t>
        </is>
      </c>
      <c r="S2574" t="n">
        <v>499000</v>
      </c>
      <c r="T2574" t="n">
        <v>5473</v>
      </c>
      <c r="AH2574" t="inlineStr">
        <is>
          <t>Quelle: Solvia / Haya Real Estate</t>
        </is>
      </c>
    </row>
    <row r="2575">
      <c r="A2575" t="n">
        <v>2388</v>
      </c>
      <c r="B2575" t="inlineStr">
        <is>
          <t>Casa en Campos</t>
        </is>
      </c>
      <c r="C2575" t="inlineStr">
        <is>
          <t>https://www.haya.es/es/comprar/vivienda/200456</t>
        </is>
      </c>
      <c r="E2575" t="n">
        <v>4</v>
      </c>
      <c r="H2575" t="n">
        <v>439</v>
      </c>
      <c r="J2575" t="inlineStr">
        <is>
          <t>Campos</t>
        </is>
      </c>
      <c r="S2575" t="n">
        <v>399000</v>
      </c>
      <c r="T2575" t="n">
        <v>909</v>
      </c>
      <c r="AH2575" t="inlineStr">
        <is>
          <t>Quelle: Solvia / Haya Real Estate</t>
        </is>
      </c>
    </row>
    <row r="2576">
      <c r="A2576" t="n">
        <v>2389</v>
      </c>
      <c r="B2576" t="inlineStr">
        <is>
          <t>Piso en Palma de Mallorca</t>
        </is>
      </c>
      <c r="C2576" t="inlineStr">
        <is>
          <t>https://www.haya.es/es/comprar/vivienda/106432</t>
        </is>
      </c>
      <c r="E2576" t="n">
        <v>1</v>
      </c>
      <c r="H2576" t="n">
        <v>78.40000000000001</v>
      </c>
      <c r="J2576" t="inlineStr">
        <is>
          <t>Palma de Mallorca</t>
        </is>
      </c>
      <c r="S2576" t="n">
        <v>255000</v>
      </c>
      <c r="T2576" t="n">
        <v>3253</v>
      </c>
      <c r="AH2576" t="inlineStr">
        <is>
          <t>Quelle: Solvia / Haya Real Estate</t>
        </is>
      </c>
    </row>
    <row r="2577">
      <c r="A2577" t="n">
        <v>2390</v>
      </c>
      <c r="B2577" t="inlineStr">
        <is>
          <t>Piso en Manacor</t>
        </is>
      </c>
      <c r="C2577" t="inlineStr">
        <is>
          <t>https://www.haya.es/es/comprar/vivienda/100067</t>
        </is>
      </c>
      <c r="E2577" t="n">
        <v>3</v>
      </c>
      <c r="H2577" t="n">
        <v>85</v>
      </c>
      <c r="J2577" t="inlineStr">
        <is>
          <t>Manacor</t>
        </is>
      </c>
      <c r="S2577" t="n">
        <v>210000</v>
      </c>
      <c r="T2577" t="n">
        <v>2471</v>
      </c>
      <c r="AH2577" t="inlineStr">
        <is>
          <t>Quelle: Solvia / Haya Real Estate</t>
        </is>
      </c>
    </row>
    <row r="2578">
      <c r="A2578" t="n">
        <v>2391</v>
      </c>
      <c r="B2578" t="inlineStr">
        <is>
          <t>Piso en Palma de Mallorca</t>
        </is>
      </c>
      <c r="C2578" t="inlineStr">
        <is>
          <t>https://www.haya.es/es/comprar/vivienda/137772</t>
        </is>
      </c>
      <c r="E2578" t="n">
        <v>3</v>
      </c>
      <c r="H2578" t="n">
        <v>92.12</v>
      </c>
      <c r="J2578" t="inlineStr">
        <is>
          <t>Palma de Mallorca</t>
        </is>
      </c>
      <c r="S2578" t="n">
        <v>354000</v>
      </c>
      <c r="T2578" t="n">
        <v>3843</v>
      </c>
      <c r="AH2578" t="inlineStr">
        <is>
          <t>Quelle: Solvia / Haya Real Estate</t>
        </is>
      </c>
    </row>
    <row r="2579">
      <c r="A2579" t="n">
        <v>2392</v>
      </c>
      <c r="B2579" t="inlineStr">
        <is>
          <t>Chalet independiente en Ciutadella de Menorca</t>
        </is>
      </c>
      <c r="C2579" t="inlineStr">
        <is>
          <t>https://www.haya.es/es/comprar/vivienda/162552</t>
        </is>
      </c>
      <c r="E2579" t="n">
        <v>1</v>
      </c>
      <c r="H2579" t="n">
        <v>529.25</v>
      </c>
      <c r="J2579" t="inlineStr">
        <is>
          <t>Ciutadella de Menorca</t>
        </is>
      </c>
      <c r="S2579" t="n">
        <v>375000</v>
      </c>
      <c r="T2579" t="n">
        <v>709</v>
      </c>
      <c r="AH2579" t="inlineStr">
        <is>
          <t>Quelle: Solvia / Haya Real Estate</t>
        </is>
      </c>
    </row>
    <row r="2580">
      <c r="A2580" t="n">
        <v>2393</v>
      </c>
      <c r="B2580" t="inlineStr">
        <is>
          <t>Piso en Manacor</t>
        </is>
      </c>
      <c r="C2580" t="inlineStr">
        <is>
          <t>https://www.haya.es/es/comprar/vivienda/97242</t>
        </is>
      </c>
      <c r="E2580" t="n">
        <v>3</v>
      </c>
      <c r="H2580" t="n">
        <v>128</v>
      </c>
      <c r="J2580" t="inlineStr">
        <is>
          <t>Manacor</t>
        </is>
      </c>
      <c r="S2580" t="n">
        <v>275000</v>
      </c>
      <c r="T2580" t="n">
        <v>2148</v>
      </c>
      <c r="AH2580" t="inlineStr">
        <is>
          <t>Quelle: Solvia / Haya Real Estate</t>
        </is>
      </c>
    </row>
    <row r="2581">
      <c r="A2581" t="n">
        <v>2394</v>
      </c>
      <c r="B2581" t="inlineStr">
        <is>
          <t>Chalet independiente en Marratxí</t>
        </is>
      </c>
      <c r="C2581" t="inlineStr">
        <is>
          <t>https://www.haya.es/es/comprar/vivienda/222992</t>
        </is>
      </c>
      <c r="E2581" t="n">
        <v>3</v>
      </c>
      <c r="H2581" t="n">
        <v>408.8</v>
      </c>
      <c r="J2581" t="inlineStr">
        <is>
          <t>Marratxí</t>
        </is>
      </c>
      <c r="S2581" t="n">
        <v>610000</v>
      </c>
      <c r="T2581" t="n">
        <v>1492</v>
      </c>
      <c r="AH2581" t="inlineStr">
        <is>
          <t>Quelle: Solvia / Haya Real Estate</t>
        </is>
      </c>
    </row>
    <row r="2582">
      <c r="A2582" t="n">
        <v>2395</v>
      </c>
      <c r="B2582" t="inlineStr">
        <is>
          <t>Apartamento en Palma de Mallorca</t>
        </is>
      </c>
      <c r="C2582" t="inlineStr">
        <is>
          <t>https://www.haya.es/es/comprar/vivienda/93993</t>
        </is>
      </c>
      <c r="H2582" t="n">
        <v>21.29</v>
      </c>
      <c r="J2582" t="inlineStr">
        <is>
          <t>Palma de Mallorca</t>
        </is>
      </c>
      <c r="S2582" t="n">
        <v>86000</v>
      </c>
      <c r="T2582" t="n">
        <v>4039</v>
      </c>
      <c r="AH2582" t="inlineStr">
        <is>
          <t>Quelle: Solvia / Haya Real Estate</t>
        </is>
      </c>
    </row>
    <row r="2583">
      <c r="A2583" t="n">
        <v>2396</v>
      </c>
      <c r="B2583" t="inlineStr">
        <is>
          <t>Piso en Llucmajor</t>
        </is>
      </c>
      <c r="C2583" t="inlineStr">
        <is>
          <t>https://www.haya.es/es/comprar/vivienda/247694</t>
        </is>
      </c>
      <c r="E2583" t="n">
        <v>1</v>
      </c>
      <c r="H2583" t="n">
        <v>79.2</v>
      </c>
      <c r="J2583" t="inlineStr">
        <is>
          <t>Llucmajor</t>
        </is>
      </c>
      <c r="S2583" t="n">
        <v>229000</v>
      </c>
      <c r="T2583" t="n">
        <v>2891</v>
      </c>
      <c r="AH2583" t="inlineStr">
        <is>
          <t>Quelle: Solvia / Haya Real Estate</t>
        </is>
      </c>
    </row>
    <row r="2584">
      <c r="A2584" t="n">
        <v>2397</v>
      </c>
      <c r="B2584" t="inlineStr">
        <is>
          <t>Piso en Palma de Mallorca</t>
        </is>
      </c>
      <c r="C2584" t="inlineStr">
        <is>
          <t>https://www.haya.es/es/comprar/vivienda/88471</t>
        </is>
      </c>
      <c r="E2584" t="n">
        <v>1</v>
      </c>
      <c r="H2584" t="n">
        <v>66.56999999999999</v>
      </c>
      <c r="J2584" t="inlineStr">
        <is>
          <t>Palma de Mallorca</t>
        </is>
      </c>
      <c r="S2584" t="n">
        <v>359000</v>
      </c>
      <c r="T2584" t="n">
        <v>5393</v>
      </c>
      <c r="AH2584" t="inlineStr">
        <is>
          <t>Quelle: Solvia / Haya Real Estate</t>
        </is>
      </c>
    </row>
    <row r="2585">
      <c r="A2585" t="n">
        <v>2398</v>
      </c>
      <c r="B2585" t="inlineStr">
        <is>
          <t>Piso en Palma de Mallorca</t>
        </is>
      </c>
      <c r="C2585" t="inlineStr">
        <is>
          <t>https://www.haya.es/es/comprar/vivienda/101194</t>
        </is>
      </c>
      <c r="E2585" t="n">
        <v>1</v>
      </c>
      <c r="H2585" t="n">
        <v>115</v>
      </c>
      <c r="J2585" t="inlineStr">
        <is>
          <t>Palma de Mallorca</t>
        </is>
      </c>
      <c r="S2585" t="n">
        <v>390000</v>
      </c>
      <c r="T2585" t="n">
        <v>3391</v>
      </c>
      <c r="AH2585" t="inlineStr">
        <is>
          <t>Quelle: Solvia / Haya Real Estate</t>
        </is>
      </c>
    </row>
    <row r="2586">
      <c r="A2586" t="n">
        <v>2399</v>
      </c>
      <c r="B2586" t="inlineStr">
        <is>
          <t>Piso en Manacor</t>
        </is>
      </c>
      <c r="C2586" t="inlineStr">
        <is>
          <t>https://www.haya.es/es/comprar/vivienda/111380</t>
        </is>
      </c>
      <c r="E2586" t="n">
        <v>3</v>
      </c>
      <c r="H2586" t="n">
        <v>83.56</v>
      </c>
      <c r="J2586" t="inlineStr">
        <is>
          <t>Manacor</t>
        </is>
      </c>
      <c r="S2586" t="n">
        <v>269000</v>
      </c>
      <c r="T2586" t="n">
        <v>3219</v>
      </c>
      <c r="AH2586" t="inlineStr">
        <is>
          <t>Quelle: Solvia / Haya Real Estate</t>
        </is>
      </c>
    </row>
    <row r="2587">
      <c r="A2587" t="n">
        <v>2400</v>
      </c>
      <c r="B2587" t="inlineStr">
        <is>
          <t>Piso en Ciutadella de Menorca</t>
        </is>
      </c>
      <c r="C2587" t="inlineStr">
        <is>
          <t>https://www.haya.es/es/comprar/vivienda/188082</t>
        </is>
      </c>
      <c r="E2587" t="n">
        <v>3</v>
      </c>
      <c r="H2587" t="n">
        <v>67.5</v>
      </c>
      <c r="J2587" t="inlineStr">
        <is>
          <t>Ciutadella de Menorca</t>
        </is>
      </c>
      <c r="S2587" t="n">
        <v>215000</v>
      </c>
      <c r="T2587" t="n">
        <v>3185</v>
      </c>
      <c r="AH2587" t="inlineStr">
        <is>
          <t>Quelle: Solvia / Haya Real Estate</t>
        </is>
      </c>
    </row>
    <row r="2588">
      <c r="A2588" t="n">
        <v>2401</v>
      </c>
      <c r="B2588" t="inlineStr">
        <is>
          <t>Piso en Inca</t>
        </is>
      </c>
      <c r="C2588" t="inlineStr">
        <is>
          <t>https://www.haya.es/es/comprar/vivienda/189388</t>
        </is>
      </c>
      <c r="E2588" t="n">
        <v>2</v>
      </c>
      <c r="H2588" t="n">
        <v>85</v>
      </c>
      <c r="J2588" t="inlineStr">
        <is>
          <t>Inca</t>
        </is>
      </c>
      <c r="S2588" t="n">
        <v>154000</v>
      </c>
      <c r="T2588" t="n">
        <v>1812</v>
      </c>
      <c r="AH2588" t="inlineStr">
        <is>
          <t>Quelle: Solvia / Haya Real Estate</t>
        </is>
      </c>
    </row>
    <row r="2589">
      <c r="A2589" t="n">
        <v>2402</v>
      </c>
      <c r="B2589" t="inlineStr">
        <is>
          <t>Piso en Manacor</t>
        </is>
      </c>
      <c r="C2589" t="inlineStr">
        <is>
          <t>https://www.haya.es/es/comprar/vivienda/252718</t>
        </is>
      </c>
      <c r="E2589" t="n">
        <v>2</v>
      </c>
      <c r="H2589" t="n">
        <v>112.2</v>
      </c>
      <c r="J2589" t="inlineStr">
        <is>
          <t>Manacor</t>
        </is>
      </c>
      <c r="S2589" t="n">
        <v>220100</v>
      </c>
      <c r="T2589" t="n">
        <v>1962</v>
      </c>
      <c r="AH2589" t="inlineStr">
        <is>
          <t>Quelle: Solvia / Haya Real Estate</t>
        </is>
      </c>
    </row>
    <row r="2590">
      <c r="A2590" t="n">
        <v>2403</v>
      </c>
      <c r="B2590" t="inlineStr">
        <is>
          <t>Piso en Manacor</t>
        </is>
      </c>
      <c r="C2590" t="inlineStr">
        <is>
          <t>https://www.haya.es/es/comprar/vivienda/253250</t>
        </is>
      </c>
      <c r="E2590" t="n">
        <v>4</v>
      </c>
      <c r="H2590" t="n">
        <v>111.02</v>
      </c>
      <c r="J2590" t="inlineStr">
        <is>
          <t>Manacor</t>
        </is>
      </c>
      <c r="S2590" t="n">
        <v>296700</v>
      </c>
      <c r="T2590" t="n">
        <v>2672</v>
      </c>
      <c r="AH2590" t="inlineStr">
        <is>
          <t>Quelle: Solvia / Haya Real Estate</t>
        </is>
      </c>
    </row>
    <row r="2591">
      <c r="A2591" t="n">
        <v>2404</v>
      </c>
      <c r="B2591" t="inlineStr">
        <is>
          <t>Piso en Palma de Mallorca</t>
        </is>
      </c>
      <c r="C2591" t="inlineStr">
        <is>
          <t>https://www.haya.es/es/comprar/vivienda/252973</t>
        </is>
      </c>
      <c r="E2591" t="n">
        <v>2</v>
      </c>
      <c r="H2591" t="n">
        <v>55</v>
      </c>
      <c r="J2591" t="inlineStr">
        <is>
          <t>Palma de Mallorca</t>
        </is>
      </c>
      <c r="S2591" t="n">
        <v>75500</v>
      </c>
      <c r="T2591" t="n">
        <v>1373</v>
      </c>
      <c r="AH2591" t="inlineStr">
        <is>
          <t>Quelle: Solvia / Haya Real Estate</t>
        </is>
      </c>
    </row>
    <row r="2592">
      <c r="A2592" t="n">
        <v>2405</v>
      </c>
      <c r="B2592" t="inlineStr">
        <is>
          <t>Piso en Palma de Mallorca</t>
        </is>
      </c>
      <c r="C2592" t="inlineStr">
        <is>
          <t>https://www.haya.es/es/comprar/vivienda/239303</t>
        </is>
      </c>
      <c r="E2592" t="n">
        <v>2</v>
      </c>
      <c r="H2592" t="n">
        <v>74</v>
      </c>
      <c r="J2592" t="inlineStr">
        <is>
          <t>Palma de Mallorca</t>
        </is>
      </c>
      <c r="S2592" t="n">
        <v>255300</v>
      </c>
      <c r="T2592" t="n">
        <v>3450</v>
      </c>
      <c r="AH2592" t="inlineStr">
        <is>
          <t>Quelle: Solvia / Haya Real Estate</t>
        </is>
      </c>
    </row>
    <row r="2593">
      <c r="A2593" t="n">
        <v>2406</v>
      </c>
      <c r="B2593" t="inlineStr">
        <is>
          <t>Chalet independiente en Llucmajor</t>
        </is>
      </c>
      <c r="C2593" t="inlineStr">
        <is>
          <t>https://www.haya.es/es/comprar/vivienda/255437</t>
        </is>
      </c>
      <c r="E2593" t="n">
        <v>2</v>
      </c>
      <c r="H2593" t="n">
        <v>60.47</v>
      </c>
      <c r="J2593" t="inlineStr">
        <is>
          <t>Llucmajor</t>
        </is>
      </c>
      <c r="S2593" t="n">
        <v>150000</v>
      </c>
      <c r="T2593" t="n">
        <v>2481</v>
      </c>
      <c r="AH2593" t="inlineStr">
        <is>
          <t>Quelle: Solvia / Haya Real Estate</t>
        </is>
      </c>
    </row>
    <row r="2594">
      <c r="A2594" t="n">
        <v>2407</v>
      </c>
      <c r="B2594" t="inlineStr">
        <is>
          <t>Piso en Palma de Mallorca</t>
        </is>
      </c>
      <c r="C2594" t="inlineStr">
        <is>
          <t>https://www.haya.es/es/comprar/vivienda/183512</t>
        </is>
      </c>
      <c r="E2594" t="n">
        <v>1</v>
      </c>
      <c r="H2594" t="n">
        <v>84</v>
      </c>
      <c r="J2594" t="inlineStr">
        <is>
          <t>Palma de Mallorca</t>
        </is>
      </c>
      <c r="S2594" t="n">
        <v>145000</v>
      </c>
      <c r="T2594" t="n">
        <v>1726</v>
      </c>
      <c r="AH2594" t="inlineStr">
        <is>
          <t>Quelle: Solvia / Haya Real Estate</t>
        </is>
      </c>
    </row>
    <row r="2595">
      <c r="A2595" t="n">
        <v>2408</v>
      </c>
      <c r="B2595" t="inlineStr">
        <is>
          <t>Piso en Sant Josep de sa Talaia</t>
        </is>
      </c>
      <c r="C2595" t="inlineStr">
        <is>
          <t>https://www.haya.es/es/comprar/vivienda/192054</t>
        </is>
      </c>
      <c r="E2595" t="n">
        <v>1</v>
      </c>
      <c r="H2595" t="n">
        <v>65.02</v>
      </c>
      <c r="J2595" t="inlineStr">
        <is>
          <t>Sant Josep de sa Talaia</t>
        </is>
      </c>
      <c r="S2595" t="n">
        <v>219000</v>
      </c>
      <c r="T2595" t="n">
        <v>3368</v>
      </c>
      <c r="AH2595" t="inlineStr">
        <is>
          <t>Quelle: Solvia / Haya Real Estate</t>
        </is>
      </c>
    </row>
    <row r="2596">
      <c r="A2596" t="n">
        <v>2409</v>
      </c>
      <c r="B2596" t="inlineStr">
        <is>
          <t>Otros en Marratxí</t>
        </is>
      </c>
      <c r="C2596" t="inlineStr">
        <is>
          <t>https://www.haya.es/es/comprar/vivienda/248560</t>
        </is>
      </c>
      <c r="H2596" t="n">
        <v>1504</v>
      </c>
      <c r="J2596" t="inlineStr">
        <is>
          <t>Marratxí</t>
        </is>
      </c>
      <c r="S2596" t="n">
        <v>199000</v>
      </c>
      <c r="T2596" t="n">
        <v>132</v>
      </c>
      <c r="AH2596" t="inlineStr">
        <is>
          <t>Quelle: Solvia / Haya Real Estate</t>
        </is>
      </c>
    </row>
    <row r="2597">
      <c r="A2597" t="n">
        <v>2410</v>
      </c>
      <c r="B2597" t="inlineStr">
        <is>
          <t>Piso en Palma de Mallorca</t>
        </is>
      </c>
      <c r="C2597" t="inlineStr">
        <is>
          <t>https://www.haya.es/es/comprar/vivienda/144510</t>
        </is>
      </c>
      <c r="E2597" t="n">
        <v>1</v>
      </c>
      <c r="H2597" t="n">
        <v>77</v>
      </c>
      <c r="J2597" t="inlineStr">
        <is>
          <t>Palma de Mallorca</t>
        </is>
      </c>
      <c r="S2597" t="n">
        <v>160000</v>
      </c>
      <c r="T2597" t="n">
        <v>2078</v>
      </c>
      <c r="AH2597" t="inlineStr">
        <is>
          <t>Quelle: Solvia / Haya Real Estate</t>
        </is>
      </c>
    </row>
    <row r="2598">
      <c r="A2598" t="n">
        <v>2411</v>
      </c>
      <c r="B2598" t="inlineStr">
        <is>
          <t>Dúplex en Mahón</t>
        </is>
      </c>
      <c r="C2598" t="inlineStr">
        <is>
          <t>https://www.haya.es/es/comprar/vivienda/192099</t>
        </is>
      </c>
      <c r="E2598" t="n">
        <v>3</v>
      </c>
      <c r="H2598" t="n">
        <v>204</v>
      </c>
      <c r="J2598" t="inlineStr">
        <is>
          <t>Mahón</t>
        </is>
      </c>
      <c r="S2598" t="n">
        <v>268000</v>
      </c>
      <c r="T2598" t="n">
        <v>1314</v>
      </c>
      <c r="AH2598" t="inlineStr">
        <is>
          <t>Quelle: Solvia / Haya Real Estate</t>
        </is>
      </c>
    </row>
    <row r="2599">
      <c r="A2599" t="n">
        <v>2412</v>
      </c>
      <c r="B2599" t="inlineStr">
        <is>
          <t>Piso en Mahón</t>
        </is>
      </c>
      <c r="C2599" t="inlineStr">
        <is>
          <t>https://www.haya.es/es/comprar/vivienda/206404</t>
        </is>
      </c>
      <c r="E2599" t="n">
        <v>1</v>
      </c>
      <c r="H2599" t="n">
        <v>62</v>
      </c>
      <c r="J2599" t="inlineStr">
        <is>
          <t>Mahón</t>
        </is>
      </c>
      <c r="S2599" t="n">
        <v>100000</v>
      </c>
      <c r="T2599" t="n">
        <v>1613</v>
      </c>
      <c r="AH2599" t="inlineStr">
        <is>
          <t>Quelle: Solvia / Haya Real Estate</t>
        </is>
      </c>
    </row>
    <row r="2600">
      <c r="A2600" t="n">
        <v>2413</v>
      </c>
      <c r="B2600" t="inlineStr">
        <is>
          <t>Casa en Palma de Mallorca</t>
        </is>
      </c>
      <c r="C2600" t="inlineStr">
        <is>
          <t>https://www.haya.es/es/comprar/vivienda/226660</t>
        </is>
      </c>
      <c r="E2600" t="n">
        <v>1</v>
      </c>
      <c r="H2600" t="n">
        <v>245.65</v>
      </c>
      <c r="J2600" t="inlineStr">
        <is>
          <t>Palma de Mallorca</t>
        </is>
      </c>
      <c r="S2600" t="n">
        <v>365000</v>
      </c>
      <c r="T2600" t="n">
        <v>1486</v>
      </c>
      <c r="AH2600" t="inlineStr">
        <is>
          <t>Quelle: Solvia / Haya Real Estate</t>
        </is>
      </c>
    </row>
    <row r="2601">
      <c r="A2601" t="n">
        <v>2414</v>
      </c>
      <c r="B2601" t="inlineStr">
        <is>
          <t>Piso en Mercadal (Es)</t>
        </is>
      </c>
      <c r="C2601" t="inlineStr">
        <is>
          <t>https://www.haya.es/es/comprar/vivienda/265196</t>
        </is>
      </c>
      <c r="E2601" t="n">
        <v>2</v>
      </c>
      <c r="H2601" t="n">
        <v>69.12</v>
      </c>
      <c r="J2601" t="inlineStr">
        <is>
          <t>Mercadal (Es)</t>
        </is>
      </c>
      <c r="S2601" t="n">
        <v>246500</v>
      </c>
      <c r="T2601" t="n">
        <v>3566</v>
      </c>
      <c r="AH2601" t="inlineStr">
        <is>
          <t>Quelle: Solvia / Haya Real Estate</t>
        </is>
      </c>
    </row>
    <row r="2602">
      <c r="A2602" t="n">
        <v>2415</v>
      </c>
      <c r="B2602" t="inlineStr">
        <is>
          <t>Piso en Palma de Mallorca</t>
        </is>
      </c>
      <c r="C2602" t="inlineStr">
        <is>
          <t>https://www.haya.es/es/comprar/vivienda/14686</t>
        </is>
      </c>
      <c r="E2602" t="n">
        <v>3</v>
      </c>
      <c r="H2602" t="n">
        <v>88.15000000000001</v>
      </c>
      <c r="J2602" t="inlineStr">
        <is>
          <t>Palma de Mallorca</t>
        </is>
      </c>
      <c r="S2602" t="n">
        <v>260000</v>
      </c>
      <c r="T2602" t="n">
        <v>2950</v>
      </c>
      <c r="AH2602" t="inlineStr">
        <is>
          <t>Quelle: Solvia / Haya Real Estate</t>
        </is>
      </c>
    </row>
    <row r="2603">
      <c r="A2603" t="n">
        <v>2416</v>
      </c>
      <c r="B2603" t="inlineStr">
        <is>
          <t>Apartamento en Sant Joan de Labritja</t>
        </is>
      </c>
      <c r="C2603" t="inlineStr">
        <is>
          <t>https://www.haya.es/es/comprar/vivienda/227265</t>
        </is>
      </c>
      <c r="E2603" t="n">
        <v>1</v>
      </c>
      <c r="H2603" t="n">
        <v>40</v>
      </c>
      <c r="J2603" t="inlineStr">
        <is>
          <t>Sant Joan de Labritja</t>
        </is>
      </c>
      <c r="S2603" t="n">
        <v>190000</v>
      </c>
      <c r="T2603" t="n">
        <v>4750</v>
      </c>
      <c r="AH2603" t="inlineStr">
        <is>
          <t>Quelle: Solvia / Haya Real Estate</t>
        </is>
      </c>
    </row>
    <row r="2604">
      <c r="A2604" t="n">
        <v>2417</v>
      </c>
      <c r="B2604" t="inlineStr">
        <is>
          <t>Chalet adosado en Santa Eulalia del Río</t>
        </is>
      </c>
      <c r="C2604" t="inlineStr">
        <is>
          <t>https://www.haya.es/es/comprar/vivienda/224290</t>
        </is>
      </c>
      <c r="E2604" t="n">
        <v>1</v>
      </c>
      <c r="H2604" t="n">
        <v>63.72</v>
      </c>
      <c r="J2604" t="inlineStr">
        <is>
          <t>Santa Eulalia del Río</t>
        </is>
      </c>
      <c r="S2604" t="n">
        <v>325000</v>
      </c>
      <c r="T2604" t="n">
        <v>5100</v>
      </c>
      <c r="AH2604" t="inlineStr">
        <is>
          <t>Quelle: Solvia / Haya Real Estate</t>
        </is>
      </c>
    </row>
    <row r="2605">
      <c r="A2605" t="n">
        <v>2418</v>
      </c>
      <c r="B2605" t="inlineStr">
        <is>
          <t>Piso en Palma de Mallorca</t>
        </is>
      </c>
      <c r="C2605" t="inlineStr">
        <is>
          <t>https://www.haya.es/es/comprar/vivienda/254915</t>
        </is>
      </c>
      <c r="E2605" t="n">
        <v>3</v>
      </c>
      <c r="H2605" t="n">
        <v>67</v>
      </c>
      <c r="J2605" t="inlineStr">
        <is>
          <t>Palma de Mallorca</t>
        </is>
      </c>
      <c r="S2605" t="n">
        <v>76000</v>
      </c>
      <c r="T2605" t="n">
        <v>1134</v>
      </c>
      <c r="AH2605" t="inlineStr">
        <is>
          <t>Quelle: Solvia / Haya Real Estate</t>
        </is>
      </c>
    </row>
    <row r="2606">
      <c r="A2606" t="n">
        <v>2419</v>
      </c>
      <c r="B2606" t="inlineStr">
        <is>
          <t>Piso en Eivissa</t>
        </is>
      </c>
      <c r="C2606" t="inlineStr">
        <is>
          <t>https://www.haya.es/es/comprar/vivienda/107757</t>
        </is>
      </c>
      <c r="E2606" t="n">
        <v>1</v>
      </c>
      <c r="H2606" t="n">
        <v>104.52</v>
      </c>
      <c r="J2606" t="inlineStr">
        <is>
          <t>Eivissa</t>
        </is>
      </c>
      <c r="S2606" t="n">
        <v>371000</v>
      </c>
      <c r="T2606" t="n">
        <v>3550</v>
      </c>
      <c r="AH2606" t="inlineStr">
        <is>
          <t>Quelle: Solvia / Haya Real Estate</t>
        </is>
      </c>
    </row>
    <row r="2607">
      <c r="A2607" t="n">
        <v>2420</v>
      </c>
      <c r="B2607" t="inlineStr">
        <is>
          <t>Piso en Palma de Mallorca</t>
        </is>
      </c>
      <c r="C2607" t="inlineStr">
        <is>
          <t>https://www.haya.es/es/comprar/vivienda/182467</t>
        </is>
      </c>
      <c r="E2607" t="n">
        <v>3</v>
      </c>
      <c r="H2607" t="n">
        <v>86.5</v>
      </c>
      <c r="J2607" t="inlineStr">
        <is>
          <t>Palma de Mallorca</t>
        </is>
      </c>
      <c r="S2607" t="n">
        <v>150500</v>
      </c>
      <c r="T2607" t="n">
        <v>1740</v>
      </c>
      <c r="AH2607" t="inlineStr">
        <is>
          <t>Quelle: Solvia / Haya Real Estate</t>
        </is>
      </c>
    </row>
    <row r="2608">
      <c r="A2608" t="n">
        <v>2421</v>
      </c>
      <c r="B2608" t="inlineStr">
        <is>
          <t>Piso en Marratxí</t>
        </is>
      </c>
      <c r="C2608" t="inlineStr">
        <is>
          <t>https://www.haya.es/es/comprar/vivienda/264110</t>
        </is>
      </c>
      <c r="E2608" t="n">
        <v>1</v>
      </c>
      <c r="H2608" t="n">
        <v>65.65000000000001</v>
      </c>
      <c r="J2608" t="inlineStr">
        <is>
          <t>Marratxí</t>
        </is>
      </c>
      <c r="S2608" t="n">
        <v>265000</v>
      </c>
      <c r="T2608" t="n">
        <v>4037</v>
      </c>
      <c r="AH2608" t="inlineStr">
        <is>
          <t>Quelle: Solvia / Haya Real Estate</t>
        </is>
      </c>
    </row>
    <row r="2609">
      <c r="A2609" t="n">
        <v>2422</v>
      </c>
      <c r="B2609" t="inlineStr">
        <is>
          <t>Piso en Mahón</t>
        </is>
      </c>
      <c r="C2609" t="inlineStr">
        <is>
          <t>https://www.haya.es/es/comprar/vivienda/183558</t>
        </is>
      </c>
      <c r="E2609" t="n">
        <v>3</v>
      </c>
      <c r="H2609" t="n">
        <v>106</v>
      </c>
      <c r="J2609" t="inlineStr">
        <is>
          <t>Mahón</t>
        </is>
      </c>
      <c r="S2609" t="n">
        <v>169000</v>
      </c>
      <c r="T2609" t="n">
        <v>1594</v>
      </c>
      <c r="AH2609" t="inlineStr">
        <is>
          <t>Quelle: Solvia / Haya Real Estate</t>
        </is>
      </c>
    </row>
    <row r="2610">
      <c r="A2610" t="n">
        <v>2423</v>
      </c>
      <c r="B2610" t="inlineStr">
        <is>
          <t>Chalet independiente en Inca</t>
        </is>
      </c>
      <c r="C2610" t="inlineStr">
        <is>
          <t>https://www.haya.es/es/comprar/vivienda/246319</t>
        </is>
      </c>
      <c r="E2610" t="n">
        <v>6</v>
      </c>
      <c r="H2610" t="n">
        <v>921.4400000000001</v>
      </c>
      <c r="J2610" t="inlineStr">
        <is>
          <t>Inca</t>
        </is>
      </c>
      <c r="K2610" t="n">
        <v>37.5</v>
      </c>
      <c r="L2610" t="n">
        <v>29</v>
      </c>
      <c r="M2610" t="n">
        <v>55.6</v>
      </c>
      <c r="N2610" t="n">
        <v>55</v>
      </c>
      <c r="O2610" t="n">
        <v>60.1</v>
      </c>
      <c r="P2610" t="n">
        <v>45</v>
      </c>
      <c r="Q2610" t="n">
        <v>53.3</v>
      </c>
      <c r="R2610" t="n">
        <v>51</v>
      </c>
      <c r="S2610" t="n">
        <v>956800</v>
      </c>
      <c r="T2610" t="n">
        <v>1038</v>
      </c>
      <c r="AH2610" t="inlineStr">
        <is>
          <t>Quelle: Solvia / Haya Real Estate</t>
        </is>
      </c>
    </row>
    <row r="2611">
      <c r="A2611" t="n">
        <v>2424</v>
      </c>
      <c r="B2611" t="inlineStr">
        <is>
          <t>Apartamento en Palma de Mallorca</t>
        </is>
      </c>
      <c r="C2611" t="inlineStr">
        <is>
          <t>https://www.haya.es/es/comprar/vivienda/98001</t>
        </is>
      </c>
      <c r="E2611" t="n">
        <v>1</v>
      </c>
      <c r="H2611" t="n">
        <v>85.89</v>
      </c>
      <c r="J2611" t="inlineStr">
        <is>
          <t>Palma de Mallorca</t>
        </is>
      </c>
      <c r="S2611" t="n">
        <v>190500</v>
      </c>
      <c r="T2611" t="n">
        <v>2218</v>
      </c>
      <c r="AH2611" t="inlineStr">
        <is>
          <t>Quelle: Solvia / Haya Real Estate</t>
        </is>
      </c>
    </row>
    <row r="2612">
      <c r="A2612" t="n">
        <v>2425</v>
      </c>
      <c r="B2612" t="inlineStr">
        <is>
          <t>Piso en Palma de Mallorca</t>
        </is>
      </c>
      <c r="C2612" t="inlineStr">
        <is>
          <t>https://www.haya.es/es/comprar/vivienda/124372</t>
        </is>
      </c>
      <c r="E2612" t="n">
        <v>1</v>
      </c>
      <c r="H2612" t="n">
        <v>89.73</v>
      </c>
      <c r="J2612" t="inlineStr">
        <is>
          <t>Palma de Mallorca</t>
        </is>
      </c>
      <c r="S2612" t="n">
        <v>211800</v>
      </c>
      <c r="T2612" t="n">
        <v>2360</v>
      </c>
      <c r="AH2612" t="inlineStr">
        <is>
          <t>Quelle: Solvia / Haya Real Estate</t>
        </is>
      </c>
    </row>
    <row r="2613">
      <c r="A2613" t="n">
        <v>2426</v>
      </c>
      <c r="B2613" t="inlineStr">
        <is>
          <t>Piso en Palma de Mallorca</t>
        </is>
      </c>
      <c r="C2613" t="inlineStr">
        <is>
          <t>https://www.haya.es/es/comprar/vivienda/159602</t>
        </is>
      </c>
      <c r="E2613" t="n">
        <v>1</v>
      </c>
      <c r="H2613" t="n">
        <v>90</v>
      </c>
      <c r="J2613" t="inlineStr">
        <is>
          <t>Palma de Mallorca</t>
        </is>
      </c>
      <c r="S2613" t="n">
        <v>139000</v>
      </c>
      <c r="T2613" t="n">
        <v>1544</v>
      </c>
      <c r="AH2613" t="inlineStr">
        <is>
          <t>Quelle: Solvia / Haya Real Estate</t>
        </is>
      </c>
    </row>
    <row r="2614">
      <c r="A2614" t="n">
        <v>2427</v>
      </c>
      <c r="B2614" t="inlineStr">
        <is>
          <t>Piso en Palma de Mallorca</t>
        </is>
      </c>
      <c r="C2614" t="inlineStr">
        <is>
          <t>https://www.haya.es/es/comprar/vivienda/201526</t>
        </is>
      </c>
      <c r="E2614" t="n">
        <v>3</v>
      </c>
      <c r="H2614" t="n">
        <v>45.82</v>
      </c>
      <c r="J2614" t="inlineStr">
        <is>
          <t>Palma de Mallorca</t>
        </is>
      </c>
      <c r="S2614" t="n">
        <v>132000</v>
      </c>
      <c r="T2614" t="n">
        <v>2881</v>
      </c>
      <c r="AH2614" t="inlineStr">
        <is>
          <t>Quelle: Solvia / Haya Real Estate</t>
        </is>
      </c>
    </row>
    <row r="2615">
      <c r="A2615" t="n">
        <v>2428</v>
      </c>
      <c r="B2615" t="inlineStr">
        <is>
          <t>Piso en Sant Josep de sa Talaia</t>
        </is>
      </c>
      <c r="C2615" t="inlineStr">
        <is>
          <t>https://www.haya.es/es/comprar/vivienda/193817</t>
        </is>
      </c>
      <c r="E2615" t="n">
        <v>1</v>
      </c>
      <c r="H2615" t="n">
        <v>75.5</v>
      </c>
      <c r="J2615" t="inlineStr">
        <is>
          <t>Sant Josep de sa Talaia</t>
        </is>
      </c>
      <c r="S2615" t="n">
        <v>38000</v>
      </c>
      <c r="T2615" t="n">
        <v>503</v>
      </c>
      <c r="AH2615" t="inlineStr">
        <is>
          <t>Quelle: Solvia / Haya Real Estate</t>
        </is>
      </c>
    </row>
    <row r="2616">
      <c r="A2616" t="n">
        <v>2429</v>
      </c>
      <c r="B2616" t="inlineStr">
        <is>
          <t>Chalet adosado en Santa Margalida</t>
        </is>
      </c>
      <c r="C2616" t="inlineStr">
        <is>
          <t>https://www.haya.es/es/comprar/vivienda/149567</t>
        </is>
      </c>
      <c r="E2616" t="n">
        <v>4</v>
      </c>
      <c r="H2616" t="n">
        <v>337.9</v>
      </c>
      <c r="J2616" t="inlineStr">
        <is>
          <t>Santa Margalida</t>
        </is>
      </c>
      <c r="S2616" t="n">
        <v>245000</v>
      </c>
      <c r="T2616" t="n">
        <v>725</v>
      </c>
      <c r="AH2616" t="inlineStr">
        <is>
          <t>Quelle: Solvia / Haya Real Estate</t>
        </is>
      </c>
    </row>
    <row r="2617">
      <c r="A2617" t="n">
        <v>2430</v>
      </c>
      <c r="B2617" t="inlineStr">
        <is>
          <t>Piso en Inca</t>
        </is>
      </c>
      <c r="C2617" t="inlineStr">
        <is>
          <t>https://www.haya.es/es/comprar/vivienda/108098</t>
        </is>
      </c>
      <c r="E2617" t="n">
        <v>2</v>
      </c>
      <c r="H2617" t="n">
        <v>93</v>
      </c>
      <c r="J2617" t="inlineStr">
        <is>
          <t>Inca</t>
        </is>
      </c>
      <c r="S2617" t="n">
        <v>210000</v>
      </c>
      <c r="T2617" t="n">
        <v>2258</v>
      </c>
      <c r="AH2617" t="inlineStr">
        <is>
          <t>Quelle: Solvia / Haya Real Estate</t>
        </is>
      </c>
    </row>
    <row r="2618">
      <c r="A2618" t="n">
        <v>2431</v>
      </c>
      <c r="B2618" t="inlineStr">
        <is>
          <t>Casa en Mahón</t>
        </is>
      </c>
      <c r="C2618" t="inlineStr">
        <is>
          <t>https://www.haya.es/es/comprar/vivienda/98719</t>
        </is>
      </c>
      <c r="E2618" t="n">
        <v>6</v>
      </c>
      <c r="H2618" t="n">
        <v>172</v>
      </c>
      <c r="J2618" t="inlineStr">
        <is>
          <t>Mahón</t>
        </is>
      </c>
      <c r="K2618" t="n">
        <v>214.2</v>
      </c>
      <c r="L2618" t="n">
        <v>386</v>
      </c>
      <c r="M2618" t="n">
        <v>257</v>
      </c>
      <c r="N2618" t="n">
        <v>419</v>
      </c>
      <c r="O2618" t="n">
        <v>228.2</v>
      </c>
      <c r="P2618" t="n">
        <v>391</v>
      </c>
      <c r="Q2618" t="n">
        <v>254.7</v>
      </c>
      <c r="R2618" t="n">
        <v>416</v>
      </c>
      <c r="S2618" t="n">
        <v>238000</v>
      </c>
      <c r="T2618" t="n">
        <v>1384</v>
      </c>
      <c r="AH2618" t="inlineStr">
        <is>
          <t>Quelle: Solvia / Haya Real Estate</t>
        </is>
      </c>
    </row>
    <row r="2619">
      <c r="A2619" t="n">
        <v>2432</v>
      </c>
      <c r="B2619" t="inlineStr">
        <is>
          <t>Piso en Palma de Mallorca</t>
        </is>
      </c>
      <c r="C2619" t="inlineStr">
        <is>
          <t>https://www.haya.es/es/comprar/vivienda/103522</t>
        </is>
      </c>
      <c r="E2619" t="n">
        <v>4</v>
      </c>
      <c r="H2619" t="n">
        <v>105.7</v>
      </c>
      <c r="J2619" t="inlineStr">
        <is>
          <t>Palma de Mallorca</t>
        </is>
      </c>
      <c r="S2619" t="n">
        <v>299000</v>
      </c>
      <c r="T2619" t="n">
        <v>2829</v>
      </c>
      <c r="AH2619" t="inlineStr">
        <is>
          <t>Quelle: Solvia / Haya Real Estate</t>
        </is>
      </c>
    </row>
    <row r="2620">
      <c r="A2620" t="n">
        <v>2433</v>
      </c>
      <c r="B2620" t="inlineStr">
        <is>
          <t>Piso en Palma de Mallorca</t>
        </is>
      </c>
      <c r="C2620" t="inlineStr">
        <is>
          <t>https://www.haya.es/es/comprar/vivienda/151340</t>
        </is>
      </c>
      <c r="E2620" t="n">
        <v>3</v>
      </c>
      <c r="H2620" t="n">
        <v>97.48</v>
      </c>
      <c r="J2620" t="inlineStr">
        <is>
          <t>Palma de Mallorca</t>
        </is>
      </c>
      <c r="S2620" t="n">
        <v>344000</v>
      </c>
      <c r="T2620" t="n">
        <v>3529</v>
      </c>
      <c r="AH2620" t="inlineStr">
        <is>
          <t>Quelle: Solvia / Haya Real Estate</t>
        </is>
      </c>
    </row>
    <row r="2621">
      <c r="A2621" t="n">
        <v>2434</v>
      </c>
      <c r="B2621" t="inlineStr">
        <is>
          <t>Piso en Palma de Mallorca</t>
        </is>
      </c>
      <c r="C2621" t="inlineStr">
        <is>
          <t>https://www.haya.es/es/comprar/vivienda/161127</t>
        </is>
      </c>
      <c r="E2621" t="n">
        <v>4</v>
      </c>
      <c r="H2621" t="n">
        <v>110</v>
      </c>
      <c r="J2621" t="inlineStr">
        <is>
          <t>Palma de Mallorca</t>
        </is>
      </c>
      <c r="S2621" t="n">
        <v>395000</v>
      </c>
      <c r="T2621" t="n">
        <v>3591</v>
      </c>
      <c r="AH2621" t="inlineStr">
        <is>
          <t>Quelle: Solvia / Haya Real Estate</t>
        </is>
      </c>
    </row>
    <row r="2622">
      <c r="A2622" t="n">
        <v>2435</v>
      </c>
      <c r="B2622" t="inlineStr">
        <is>
          <t>Piso en Palma de Mallorca</t>
        </is>
      </c>
      <c r="C2622" t="inlineStr">
        <is>
          <t>https://www.haya.es/es/comprar/vivienda/118038</t>
        </is>
      </c>
      <c r="E2622" t="n">
        <v>3</v>
      </c>
      <c r="H2622" t="n">
        <v>69.70999999999999</v>
      </c>
      <c r="J2622" t="inlineStr">
        <is>
          <t>Palma de Mallorca</t>
        </is>
      </c>
      <c r="S2622" t="n">
        <v>266000</v>
      </c>
      <c r="T2622" t="n">
        <v>3816</v>
      </c>
      <c r="AH2622" t="inlineStr">
        <is>
          <t>Quelle: Solvia / Haya Real Estate</t>
        </is>
      </c>
    </row>
    <row r="2623">
      <c r="A2623" t="n">
        <v>2436</v>
      </c>
      <c r="B2623" t="inlineStr">
        <is>
          <t>Bajo en Marratxí</t>
        </is>
      </c>
      <c r="C2623" t="inlineStr">
        <is>
          <t>https://www.haya.es/es/comprar/vivienda/141067</t>
        </is>
      </c>
      <c r="E2623" t="n">
        <v>2</v>
      </c>
      <c r="H2623" t="n">
        <v>71.63</v>
      </c>
      <c r="J2623" t="inlineStr">
        <is>
          <t>Marratxí</t>
        </is>
      </c>
      <c r="S2623" t="n">
        <v>436000</v>
      </c>
      <c r="T2623" t="n">
        <v>6087</v>
      </c>
      <c r="AH2623" t="inlineStr">
        <is>
          <t>Quelle: Solvia / Haya Real Estate</t>
        </is>
      </c>
    </row>
    <row r="2624">
      <c r="A2624" t="n">
        <v>2437</v>
      </c>
      <c r="B2624" t="inlineStr">
        <is>
          <t>Piso en Palma de Mallorca</t>
        </is>
      </c>
      <c r="C2624" t="inlineStr">
        <is>
          <t>https://www.haya.es/es/comprar/vivienda/104240</t>
        </is>
      </c>
      <c r="E2624" t="n">
        <v>3</v>
      </c>
      <c r="H2624" t="n">
        <v>91.5</v>
      </c>
      <c r="J2624" t="inlineStr">
        <is>
          <t>Palma de Mallorca</t>
        </is>
      </c>
      <c r="S2624" t="n">
        <v>347000</v>
      </c>
      <c r="T2624" t="n">
        <v>3792</v>
      </c>
      <c r="AH2624" t="inlineStr">
        <is>
          <t>Quelle: Solvia / Haya Real Estate</t>
        </is>
      </c>
    </row>
    <row r="2625">
      <c r="A2625" t="n">
        <v>2438</v>
      </c>
      <c r="B2625" t="inlineStr">
        <is>
          <t>Piso en Palma de Mallorca</t>
        </is>
      </c>
      <c r="C2625" t="inlineStr">
        <is>
          <t>https://www.haya.es/es/comprar/vivienda/117979</t>
        </is>
      </c>
      <c r="E2625" t="n">
        <v>3</v>
      </c>
      <c r="H2625" t="n">
        <v>68</v>
      </c>
      <c r="J2625" t="inlineStr">
        <is>
          <t>Palma de Mallorca</t>
        </is>
      </c>
      <c r="S2625" t="n">
        <v>289000</v>
      </c>
      <c r="T2625" t="n">
        <v>4250</v>
      </c>
      <c r="AH2625" t="inlineStr">
        <is>
          <t>Quelle: Solvia / Haya Real Estate</t>
        </is>
      </c>
    </row>
    <row r="2626">
      <c r="A2626" t="n">
        <v>2439</v>
      </c>
      <c r="B2626" t="inlineStr">
        <is>
          <t>Piso en Palma de Mallorca</t>
        </is>
      </c>
      <c r="C2626" t="inlineStr">
        <is>
          <t>https://www.haya.es/es/comprar/vivienda/10855</t>
        </is>
      </c>
      <c r="E2626" t="n">
        <v>4</v>
      </c>
      <c r="H2626" t="n">
        <v>89.95999999999999</v>
      </c>
      <c r="J2626" t="inlineStr">
        <is>
          <t>Palma de Mallorca</t>
        </is>
      </c>
      <c r="S2626" t="n">
        <v>388000</v>
      </c>
      <c r="T2626" t="n">
        <v>4313</v>
      </c>
      <c r="AH2626" t="inlineStr">
        <is>
          <t>Quelle: Solvia / Haya Real Estate</t>
        </is>
      </c>
    </row>
    <row r="2627">
      <c r="A2627" t="n">
        <v>2440</v>
      </c>
      <c r="B2627" t="inlineStr">
        <is>
          <t>Piso en Palma de Mallorca</t>
        </is>
      </c>
      <c r="C2627" t="inlineStr">
        <is>
          <t>https://www.haya.es/es/comprar/vivienda/85195</t>
        </is>
      </c>
      <c r="E2627" t="n">
        <v>3</v>
      </c>
      <c r="H2627" t="n">
        <v>102.24</v>
      </c>
      <c r="J2627" t="inlineStr">
        <is>
          <t>Palma de Mallorca</t>
        </is>
      </c>
      <c r="S2627" t="n">
        <v>413000</v>
      </c>
      <c r="T2627" t="n">
        <v>4040</v>
      </c>
      <c r="AH2627" t="inlineStr">
        <is>
          <t>Quelle: Solvia / Haya Real Estate</t>
        </is>
      </c>
    </row>
    <row r="2628">
      <c r="A2628" t="n">
        <v>2441</v>
      </c>
      <c r="B2628" t="inlineStr">
        <is>
          <t>Ático en Palma de Mallorca</t>
        </is>
      </c>
      <c r="C2628" t="inlineStr">
        <is>
          <t>https://www.haya.es/es/comprar/vivienda/175367</t>
        </is>
      </c>
      <c r="E2628" t="n">
        <v>3</v>
      </c>
      <c r="H2628" t="n">
        <v>74.81</v>
      </c>
      <c r="J2628" t="inlineStr">
        <is>
          <t>Palma de Mallorca</t>
        </is>
      </c>
      <c r="S2628" t="n">
        <v>318000</v>
      </c>
      <c r="T2628" t="n">
        <v>4251</v>
      </c>
      <c r="AH2628" t="inlineStr">
        <is>
          <t>Quelle: Solvia / Haya Real Estate</t>
        </is>
      </c>
    </row>
    <row r="2629">
      <c r="A2629" t="n">
        <v>2442</v>
      </c>
      <c r="B2629" t="inlineStr">
        <is>
          <t>Piso en Manacor</t>
        </is>
      </c>
      <c r="C2629" t="inlineStr">
        <is>
          <t>https://www.haya.es/es/comprar/vivienda/106229</t>
        </is>
      </c>
      <c r="E2629" t="n">
        <v>3</v>
      </c>
      <c r="H2629" t="n">
        <v>89.84</v>
      </c>
      <c r="J2629" t="inlineStr">
        <is>
          <t>Manacor</t>
        </is>
      </c>
      <c r="S2629" t="n">
        <v>184000</v>
      </c>
      <c r="T2629" t="n">
        <v>2048</v>
      </c>
      <c r="AH2629" t="inlineStr">
        <is>
          <t>Quelle: Solvia / Haya Real Estate</t>
        </is>
      </c>
    </row>
    <row r="2630">
      <c r="A2630" t="n">
        <v>2443</v>
      </c>
      <c r="B2630" t="inlineStr">
        <is>
          <t>Piso en Palma de Mallorca</t>
        </is>
      </c>
      <c r="C2630" t="inlineStr">
        <is>
          <t>https://www.haya.es/es/comprar/vivienda/46525</t>
        </is>
      </c>
      <c r="E2630" t="n">
        <v>4</v>
      </c>
      <c r="H2630" t="n">
        <v>84.98999999999999</v>
      </c>
      <c r="J2630" t="inlineStr">
        <is>
          <t>Palma de Mallorca</t>
        </is>
      </c>
      <c r="S2630" t="n">
        <v>324000</v>
      </c>
      <c r="T2630" t="n">
        <v>3812</v>
      </c>
      <c r="AH2630" t="inlineStr">
        <is>
          <t>Quelle: Solvia / Haya Real Estate</t>
        </is>
      </c>
    </row>
    <row r="2631">
      <c r="A2631" t="n">
        <v>2444</v>
      </c>
      <c r="B2631" t="inlineStr">
        <is>
          <t>Piso en Palma de Mallorca</t>
        </is>
      </c>
      <c r="C2631" t="inlineStr">
        <is>
          <t>https://www.haya.es/es/comprar/vivienda/47329</t>
        </is>
      </c>
      <c r="E2631" t="n">
        <v>4</v>
      </c>
      <c r="H2631" t="n">
        <v>85</v>
      </c>
      <c r="J2631" t="inlineStr">
        <is>
          <t>Palma de Mallorca</t>
        </is>
      </c>
      <c r="S2631" t="n">
        <v>336000</v>
      </c>
      <c r="T2631" t="n">
        <v>3953</v>
      </c>
      <c r="AH2631" t="inlineStr">
        <is>
          <t>Quelle: Solvia / Haya Real Estate</t>
        </is>
      </c>
    </row>
    <row r="2632">
      <c r="A2632" t="n">
        <v>2445</v>
      </c>
      <c r="B2632" t="inlineStr">
        <is>
          <t>Piso en Palma de Mallorca</t>
        </is>
      </c>
      <c r="C2632" t="inlineStr">
        <is>
          <t>https://www.haya.es/es/comprar/vivienda/143269</t>
        </is>
      </c>
      <c r="E2632" t="n">
        <v>3</v>
      </c>
      <c r="H2632" t="n">
        <v>100.3</v>
      </c>
      <c r="J2632" t="inlineStr">
        <is>
          <t>Palma de Mallorca</t>
        </is>
      </c>
      <c r="S2632" t="n">
        <v>309000</v>
      </c>
      <c r="T2632" t="n">
        <v>3081</v>
      </c>
      <c r="AH2632" t="inlineStr">
        <is>
          <t>Quelle: Solvia / Haya Real Estate</t>
        </is>
      </c>
    </row>
    <row r="2633">
      <c r="A2633" t="n">
        <v>2446</v>
      </c>
      <c r="B2633" t="inlineStr">
        <is>
          <t>Piso en Palma de Mallorca</t>
        </is>
      </c>
      <c r="C2633" t="inlineStr">
        <is>
          <t>https://www.haya.es/es/comprar/vivienda/1651</t>
        </is>
      </c>
      <c r="E2633" t="n">
        <v>3</v>
      </c>
      <c r="H2633" t="n">
        <v>71.40000000000001</v>
      </c>
      <c r="J2633" t="inlineStr">
        <is>
          <t>Palma de Mallorca</t>
        </is>
      </c>
      <c r="S2633" t="n">
        <v>404000</v>
      </c>
      <c r="T2633" t="n">
        <v>5658</v>
      </c>
      <c r="AH2633" t="inlineStr">
        <is>
          <t>Quelle: Solvia / Haya Real Estate</t>
        </is>
      </c>
    </row>
    <row r="2634">
      <c r="A2634" t="n">
        <v>2447</v>
      </c>
      <c r="B2634" t="inlineStr">
        <is>
          <t>Piso en Palma de Mallorca</t>
        </is>
      </c>
      <c r="C2634" t="inlineStr">
        <is>
          <t>https://www.haya.es/es/comprar/vivienda/88174</t>
        </is>
      </c>
      <c r="E2634" t="n">
        <v>3</v>
      </c>
      <c r="H2634" t="n">
        <v>78.53</v>
      </c>
      <c r="J2634" t="inlineStr">
        <is>
          <t>Palma de Mallorca</t>
        </is>
      </c>
      <c r="S2634" t="n">
        <v>289000</v>
      </c>
      <c r="T2634" t="n">
        <v>3680</v>
      </c>
      <c r="AH2634" t="inlineStr">
        <is>
          <t>Quelle: Solvia / Haya Real Estate</t>
        </is>
      </c>
    </row>
    <row r="2635">
      <c r="A2635" t="n">
        <v>2448</v>
      </c>
      <c r="B2635" t="inlineStr">
        <is>
          <t>Piso en Palma de Mallorca</t>
        </is>
      </c>
      <c r="C2635" t="inlineStr">
        <is>
          <t>https://www.haya.es/es/comprar/vivienda/137736</t>
        </is>
      </c>
      <c r="E2635" t="n">
        <v>4</v>
      </c>
      <c r="H2635" t="n">
        <v>89.15000000000001</v>
      </c>
      <c r="J2635" t="inlineStr">
        <is>
          <t>Palma de Mallorca</t>
        </is>
      </c>
      <c r="S2635" t="n">
        <v>358000</v>
      </c>
      <c r="T2635" t="n">
        <v>4016</v>
      </c>
      <c r="AH2635" t="inlineStr">
        <is>
          <t>Quelle: Solvia / Haya Real Estate</t>
        </is>
      </c>
    </row>
    <row r="2636">
      <c r="A2636" t="n">
        <v>2449</v>
      </c>
      <c r="B2636" t="inlineStr">
        <is>
          <t>Piso en Palma de Mallorca</t>
        </is>
      </c>
      <c r="C2636" t="inlineStr">
        <is>
          <t>https://www.haya.es/es/comprar/vivienda/85788</t>
        </is>
      </c>
      <c r="E2636" t="n">
        <v>3</v>
      </c>
      <c r="H2636" t="n">
        <v>87.58</v>
      </c>
      <c r="J2636" t="inlineStr">
        <is>
          <t>Palma de Mallorca</t>
        </is>
      </c>
      <c r="S2636" t="n">
        <v>318000</v>
      </c>
      <c r="T2636" t="n">
        <v>3631</v>
      </c>
      <c r="AH2636" t="inlineStr">
        <is>
          <t>Quelle: Solvia / Haya Real Estate</t>
        </is>
      </c>
    </row>
    <row r="2637">
      <c r="A2637" t="n">
        <v>2450</v>
      </c>
      <c r="B2637" t="inlineStr">
        <is>
          <t>Piso en Palma de Mallorca</t>
        </is>
      </c>
      <c r="C2637" t="inlineStr">
        <is>
          <t>https://www.haya.es/es/comprar/vivienda/115862</t>
        </is>
      </c>
      <c r="E2637" t="n">
        <v>3</v>
      </c>
      <c r="H2637" t="n">
        <v>102.71</v>
      </c>
      <c r="J2637" t="inlineStr">
        <is>
          <t>Palma de Mallorca</t>
        </is>
      </c>
      <c r="S2637" t="n">
        <v>289000</v>
      </c>
      <c r="T2637" t="n">
        <v>2814</v>
      </c>
      <c r="AH2637" t="inlineStr">
        <is>
          <t>Quelle: Solvia / Haya Real Estate</t>
        </is>
      </c>
    </row>
    <row r="2638">
      <c r="A2638" t="n">
        <v>2451</v>
      </c>
      <c r="B2638" t="inlineStr">
        <is>
          <t>Piso en Palma de Mallorca</t>
        </is>
      </c>
      <c r="C2638" t="inlineStr">
        <is>
          <t>https://www.haya.es/es/comprar/vivienda/120608</t>
        </is>
      </c>
      <c r="E2638" t="n">
        <v>3</v>
      </c>
      <c r="H2638" t="n">
        <v>77.05</v>
      </c>
      <c r="J2638" t="inlineStr">
        <is>
          <t>Palma de Mallorca</t>
        </is>
      </c>
      <c r="S2638" t="n">
        <v>336000</v>
      </c>
      <c r="T2638" t="n">
        <v>4361</v>
      </c>
      <c r="AH2638" t="inlineStr">
        <is>
          <t>Quelle: Solvia / Haya Real Estate</t>
        </is>
      </c>
    </row>
    <row r="2639">
      <c r="A2639" t="n">
        <v>2452</v>
      </c>
      <c r="B2639" t="inlineStr">
        <is>
          <t>Piso en Palma de Mallorca</t>
        </is>
      </c>
      <c r="C2639" t="inlineStr">
        <is>
          <t>https://www.haya.es/es/comprar/vivienda/81246</t>
        </is>
      </c>
      <c r="E2639" t="n">
        <v>3</v>
      </c>
      <c r="H2639" t="n">
        <v>61</v>
      </c>
      <c r="J2639" t="inlineStr">
        <is>
          <t>Palma de Mallorca</t>
        </is>
      </c>
      <c r="S2639" t="n">
        <v>208000</v>
      </c>
      <c r="T2639" t="n">
        <v>3410</v>
      </c>
      <c r="AH2639" t="inlineStr">
        <is>
          <t>Quelle: Solvia / Haya Real Estate</t>
        </is>
      </c>
    </row>
    <row r="2640">
      <c r="A2640" t="n">
        <v>2453</v>
      </c>
      <c r="B2640" t="inlineStr">
        <is>
          <t>Piso en Palma de Mallorca</t>
        </is>
      </c>
      <c r="C2640" t="inlineStr">
        <is>
          <t>https://www.haya.es/es/comprar/vivienda/94749</t>
        </is>
      </c>
      <c r="E2640" t="n">
        <v>3</v>
      </c>
      <c r="H2640" t="n">
        <v>89.12</v>
      </c>
      <c r="J2640" t="inlineStr">
        <is>
          <t>Palma de Mallorca</t>
        </is>
      </c>
      <c r="S2640" t="n">
        <v>336000</v>
      </c>
      <c r="T2640" t="n">
        <v>3770</v>
      </c>
      <c r="AH2640" t="inlineStr">
        <is>
          <t>Quelle: Solvia / Haya Real Estate</t>
        </is>
      </c>
    </row>
    <row r="2641">
      <c r="A2641" t="n">
        <v>2454</v>
      </c>
      <c r="B2641" t="inlineStr">
        <is>
          <t>Piso en Palma de Mallorca</t>
        </is>
      </c>
      <c r="C2641" t="inlineStr">
        <is>
          <t>https://www.haya.es/es/comprar/vivienda/147176</t>
        </is>
      </c>
      <c r="E2641" t="n">
        <v>3</v>
      </c>
      <c r="H2641" t="n">
        <v>87.09999999999999</v>
      </c>
      <c r="J2641" t="inlineStr">
        <is>
          <t>Palma de Mallorca</t>
        </is>
      </c>
      <c r="S2641" t="n">
        <v>380000</v>
      </c>
      <c r="T2641" t="n">
        <v>4363</v>
      </c>
      <c r="AH2641" t="inlineStr">
        <is>
          <t>Quelle: Solvia / Haya Real Estate</t>
        </is>
      </c>
    </row>
    <row r="2642">
      <c r="A2642" t="n">
        <v>2455</v>
      </c>
      <c r="B2642" t="inlineStr">
        <is>
          <t>Piso en Palma de Mallorca</t>
        </is>
      </c>
      <c r="C2642" t="inlineStr">
        <is>
          <t>https://www.haya.es/es/comprar/vivienda/18036</t>
        </is>
      </c>
      <c r="E2642" t="n">
        <v>3</v>
      </c>
      <c r="H2642" t="n">
        <v>76</v>
      </c>
      <c r="J2642" t="inlineStr">
        <is>
          <t>Palma de Mallorca</t>
        </is>
      </c>
      <c r="S2642" t="n">
        <v>242000</v>
      </c>
      <c r="T2642" t="n">
        <v>3184</v>
      </c>
      <c r="AH2642" t="inlineStr">
        <is>
          <t>Quelle: Solvia / Haya Real Estate</t>
        </is>
      </c>
    </row>
    <row r="2643">
      <c r="A2643" t="n">
        <v>2456</v>
      </c>
      <c r="B2643" t="inlineStr">
        <is>
          <t>Piso en Palma de Mallorca</t>
        </is>
      </c>
      <c r="C2643" t="inlineStr">
        <is>
          <t>https://www.haya.es/es/comprar/vivienda/98524</t>
        </is>
      </c>
      <c r="E2643" t="n">
        <v>1</v>
      </c>
      <c r="H2643" t="n">
        <v>78.59999999999999</v>
      </c>
      <c r="J2643" t="inlineStr">
        <is>
          <t>Palma de Mallorca</t>
        </is>
      </c>
      <c r="S2643" t="n">
        <v>385000</v>
      </c>
      <c r="T2643" t="n">
        <v>4898</v>
      </c>
      <c r="AH2643" t="inlineStr">
        <is>
          <t>Quelle: Solvia / Haya Real Estate</t>
        </is>
      </c>
    </row>
    <row r="2644">
      <c r="A2644" t="n">
        <v>2457</v>
      </c>
      <c r="B2644" t="inlineStr">
        <is>
          <t>Piso en Palma de Mallorca</t>
        </is>
      </c>
      <c r="C2644" t="inlineStr">
        <is>
          <t>https://www.haya.es/es/comprar/vivienda/85934</t>
        </is>
      </c>
      <c r="E2644" t="n">
        <v>3</v>
      </c>
      <c r="H2644" t="n">
        <v>88.25</v>
      </c>
      <c r="J2644" t="inlineStr">
        <is>
          <t>Palma de Mallorca</t>
        </is>
      </c>
      <c r="S2644" t="n">
        <v>278000</v>
      </c>
      <c r="T2644" t="n">
        <v>3150</v>
      </c>
      <c r="AH2644" t="inlineStr">
        <is>
          <t>Quelle: Solvia / Haya Real Estate</t>
        </is>
      </c>
    </row>
    <row r="2645">
      <c r="A2645" t="n">
        <v>2458</v>
      </c>
      <c r="B2645" t="inlineStr">
        <is>
          <t>Piso en Palma de Mallorca</t>
        </is>
      </c>
      <c r="C2645" t="inlineStr">
        <is>
          <t>https://www.haya.es/es/comprar/vivienda/60139</t>
        </is>
      </c>
      <c r="E2645" t="n">
        <v>3</v>
      </c>
      <c r="H2645" t="n">
        <v>64.2</v>
      </c>
      <c r="J2645" t="inlineStr">
        <is>
          <t>Palma de Mallorca</t>
        </is>
      </c>
      <c r="S2645" t="n">
        <v>278000</v>
      </c>
      <c r="T2645" t="n">
        <v>4330</v>
      </c>
      <c r="AH2645" t="inlineStr">
        <is>
          <t>Quelle: Solvia / Haya Real Estate</t>
        </is>
      </c>
    </row>
    <row r="2646">
      <c r="A2646" t="n">
        <v>2459</v>
      </c>
      <c r="B2646" t="inlineStr">
        <is>
          <t>Piso en Palma de Mallorca</t>
        </is>
      </c>
      <c r="C2646" t="inlineStr">
        <is>
          <t>https://www.haya.es/es/comprar/vivienda/149629</t>
        </is>
      </c>
      <c r="E2646" t="n">
        <v>3</v>
      </c>
      <c r="H2646" t="n">
        <v>93.54000000000001</v>
      </c>
      <c r="J2646" t="inlineStr">
        <is>
          <t>Palma de Mallorca</t>
        </is>
      </c>
      <c r="S2646" t="n">
        <v>327000</v>
      </c>
      <c r="T2646" t="n">
        <v>3496</v>
      </c>
      <c r="AH2646" t="inlineStr">
        <is>
          <t>Quelle: Solvia / Haya Real Estate</t>
        </is>
      </c>
    </row>
    <row r="2647">
      <c r="A2647" t="n">
        <v>2460</v>
      </c>
      <c r="B2647" t="inlineStr">
        <is>
          <t>Piso en Palma de Mallorca</t>
        </is>
      </c>
      <c r="C2647" t="inlineStr">
        <is>
          <t>https://www.haya.es/es/comprar/vivienda/100662</t>
        </is>
      </c>
      <c r="E2647" t="n">
        <v>3</v>
      </c>
      <c r="H2647" t="n">
        <v>71.36</v>
      </c>
      <c r="J2647" t="inlineStr">
        <is>
          <t>Palma de Mallorca</t>
        </is>
      </c>
      <c r="S2647" t="n">
        <v>336000</v>
      </c>
      <c r="T2647" t="n">
        <v>4709</v>
      </c>
      <c r="AH2647" t="inlineStr">
        <is>
          <t>Quelle: Solvia / Haya Real Estate</t>
        </is>
      </c>
    </row>
    <row r="2648">
      <c r="A2648" t="n">
        <v>2461</v>
      </c>
      <c r="B2648" t="inlineStr">
        <is>
          <t>Piso en Palma de Mallorca</t>
        </is>
      </c>
      <c r="C2648" t="inlineStr">
        <is>
          <t>https://www.haya.es/es/comprar/vivienda/162312</t>
        </is>
      </c>
      <c r="E2648" t="n">
        <v>3</v>
      </c>
      <c r="H2648" t="n">
        <v>77.90000000000001</v>
      </c>
      <c r="J2648" t="inlineStr">
        <is>
          <t>Palma de Mallorca</t>
        </is>
      </c>
      <c r="S2648" t="n">
        <v>269000</v>
      </c>
      <c r="T2648" t="n">
        <v>3453</v>
      </c>
      <c r="AH2648" t="inlineStr">
        <is>
          <t>Quelle: Solvia / Haya Real Estate</t>
        </is>
      </c>
    </row>
    <row r="2649">
      <c r="A2649" t="n">
        <v>2462</v>
      </c>
      <c r="B2649" t="inlineStr">
        <is>
          <t>Piso en Palma de Mallorca</t>
        </is>
      </c>
      <c r="C2649" t="inlineStr">
        <is>
          <t>https://www.haya.es/es/comprar/vivienda/160328</t>
        </is>
      </c>
      <c r="E2649" t="n">
        <v>3</v>
      </c>
      <c r="H2649" t="n">
        <v>89.59999999999999</v>
      </c>
      <c r="J2649" t="inlineStr">
        <is>
          <t>Palma de Mallorca</t>
        </is>
      </c>
      <c r="S2649" t="n">
        <v>347000</v>
      </c>
      <c r="T2649" t="n">
        <v>3873</v>
      </c>
      <c r="AH2649" t="inlineStr">
        <is>
          <t>Quelle: Solvia / Haya Real Estate</t>
        </is>
      </c>
    </row>
    <row r="2650">
      <c r="A2650" t="n">
        <v>2463</v>
      </c>
      <c r="B2650" t="inlineStr">
        <is>
          <t>Piso en Palma de Mallorca</t>
        </is>
      </c>
      <c r="C2650" t="inlineStr">
        <is>
          <t>https://www.haya.es/es/comprar/vivienda/87469</t>
        </is>
      </c>
      <c r="E2650" t="n">
        <v>2</v>
      </c>
      <c r="H2650" t="n">
        <v>71.70999999999999</v>
      </c>
      <c r="J2650" t="inlineStr">
        <is>
          <t>Palma de Mallorca</t>
        </is>
      </c>
      <c r="S2650" t="n">
        <v>336000</v>
      </c>
      <c r="T2650" t="n">
        <v>4686</v>
      </c>
      <c r="AH2650" t="inlineStr">
        <is>
          <t>Quelle: Solvia / Haya Real Estate</t>
        </is>
      </c>
    </row>
    <row r="2651">
      <c r="A2651" t="n">
        <v>2464</v>
      </c>
      <c r="B2651" t="inlineStr">
        <is>
          <t>Piso en Palma de Mallorca</t>
        </is>
      </c>
      <c r="C2651" t="inlineStr">
        <is>
          <t>https://www.haya.es/es/comprar/vivienda/120315</t>
        </is>
      </c>
      <c r="E2651" t="n">
        <v>3</v>
      </c>
      <c r="H2651" t="n">
        <v>68</v>
      </c>
      <c r="J2651" t="inlineStr">
        <is>
          <t>Palma de Mallorca</t>
        </is>
      </c>
      <c r="S2651" t="n">
        <v>356000</v>
      </c>
      <c r="T2651" t="n">
        <v>5235</v>
      </c>
      <c r="AH2651" t="inlineStr">
        <is>
          <t>Quelle: Solvia / Haya Real Estate</t>
        </is>
      </c>
    </row>
    <row r="2652">
      <c r="A2652" t="n">
        <v>2465</v>
      </c>
      <c r="B2652" t="inlineStr">
        <is>
          <t>Piso en Palma de Mallorca</t>
        </is>
      </c>
      <c r="C2652" t="inlineStr">
        <is>
          <t>https://www.haya.es/es/comprar/vivienda/87306</t>
        </is>
      </c>
      <c r="E2652" t="n">
        <v>2</v>
      </c>
      <c r="H2652" t="n">
        <v>70</v>
      </c>
      <c r="J2652" t="inlineStr">
        <is>
          <t>Palma de Mallorca</t>
        </is>
      </c>
      <c r="S2652" t="n">
        <v>266000</v>
      </c>
      <c r="T2652" t="n">
        <v>3800</v>
      </c>
      <c r="AH2652" t="inlineStr">
        <is>
          <t>Quelle: Solvia / Haya Real Estate</t>
        </is>
      </c>
    </row>
    <row r="2653">
      <c r="A2653" t="n">
        <v>2466</v>
      </c>
      <c r="B2653" t="inlineStr">
        <is>
          <t>Piso en Palma de Mallorca</t>
        </is>
      </c>
      <c r="C2653" t="inlineStr">
        <is>
          <t>https://www.haya.es/es/comprar/vivienda/137549</t>
        </is>
      </c>
      <c r="E2653" t="n">
        <v>3</v>
      </c>
      <c r="H2653" t="n">
        <v>90.09999999999999</v>
      </c>
      <c r="J2653" t="inlineStr">
        <is>
          <t>Palma de Mallorca</t>
        </is>
      </c>
      <c r="S2653" t="n">
        <v>278000</v>
      </c>
      <c r="T2653" t="n">
        <v>3085</v>
      </c>
      <c r="AH2653" t="inlineStr">
        <is>
          <t>Quelle: Solvia / Haya Real Estate</t>
        </is>
      </c>
    </row>
    <row r="2654">
      <c r="A2654" t="n">
        <v>2467</v>
      </c>
      <c r="B2654" t="inlineStr">
        <is>
          <t>Piso en Palma de Mallorca</t>
        </is>
      </c>
      <c r="C2654" t="inlineStr">
        <is>
          <t>https://www.haya.es/es/comprar/vivienda/137685</t>
        </is>
      </c>
      <c r="E2654" t="n">
        <v>3</v>
      </c>
      <c r="H2654" t="n">
        <v>107</v>
      </c>
      <c r="J2654" t="inlineStr">
        <is>
          <t>Palma de Mallorca</t>
        </is>
      </c>
      <c r="S2654" t="n">
        <v>327000</v>
      </c>
      <c r="T2654" t="n">
        <v>3056</v>
      </c>
      <c r="AH2654" t="inlineStr">
        <is>
          <t>Quelle: Solvia / Haya Real Estate</t>
        </is>
      </c>
    </row>
    <row r="2655">
      <c r="A2655" t="n">
        <v>2468</v>
      </c>
      <c r="B2655" t="inlineStr">
        <is>
          <t>Piso en Palma de Mallorca</t>
        </is>
      </c>
      <c r="C2655" t="inlineStr">
        <is>
          <t>https://www.haya.es/es/comprar/vivienda/120768</t>
        </is>
      </c>
      <c r="E2655" t="n">
        <v>4</v>
      </c>
      <c r="H2655" t="n">
        <v>104</v>
      </c>
      <c r="J2655" t="inlineStr">
        <is>
          <t>Palma de Mallorca</t>
        </is>
      </c>
      <c r="S2655" t="n">
        <v>345000</v>
      </c>
      <c r="T2655" t="n">
        <v>3317</v>
      </c>
      <c r="AH2655" t="inlineStr">
        <is>
          <t>Quelle: Solvia / Haya Real Estate</t>
        </is>
      </c>
    </row>
    <row r="2656">
      <c r="A2656" t="n">
        <v>2469</v>
      </c>
      <c r="B2656" t="inlineStr">
        <is>
          <t>Piso en Palma de Mallorca</t>
        </is>
      </c>
      <c r="C2656" t="inlineStr">
        <is>
          <t>https://www.haya.es/es/comprar/vivienda/102278</t>
        </is>
      </c>
      <c r="E2656" t="n">
        <v>3</v>
      </c>
      <c r="H2656" t="n">
        <v>100</v>
      </c>
      <c r="J2656" t="inlineStr">
        <is>
          <t>Palma de Mallorca</t>
        </is>
      </c>
      <c r="S2656" t="n">
        <v>359000</v>
      </c>
      <c r="T2656" t="n">
        <v>3590</v>
      </c>
      <c r="AH2656" t="inlineStr">
        <is>
          <t>Quelle: Solvia / Haya Real Estate</t>
        </is>
      </c>
    </row>
    <row r="2657">
      <c r="A2657" t="n">
        <v>2470</v>
      </c>
      <c r="B2657" t="inlineStr">
        <is>
          <t>Piso en Manacor</t>
        </is>
      </c>
      <c r="C2657" t="inlineStr">
        <is>
          <t>https://www.haya.es/es/comprar/vivienda/56854</t>
        </is>
      </c>
      <c r="E2657" t="n">
        <v>3</v>
      </c>
      <c r="H2657" t="n">
        <v>99</v>
      </c>
      <c r="J2657" t="inlineStr">
        <is>
          <t>Manacor</t>
        </is>
      </c>
      <c r="S2657" t="n">
        <v>184000</v>
      </c>
      <c r="T2657" t="n">
        <v>1859</v>
      </c>
      <c r="AH2657" t="inlineStr">
        <is>
          <t>Quelle: Solvia / Haya Real Estate</t>
        </is>
      </c>
    </row>
    <row r="2658">
      <c r="A2658" t="n">
        <v>2471</v>
      </c>
      <c r="B2658" t="inlineStr">
        <is>
          <t>Piso en Palma de Mallorca</t>
        </is>
      </c>
      <c r="C2658" t="inlineStr">
        <is>
          <t>https://www.haya.es/es/comprar/vivienda/89246</t>
        </is>
      </c>
      <c r="E2658" t="n">
        <v>1</v>
      </c>
      <c r="H2658" t="n">
        <v>92.01000000000001</v>
      </c>
      <c r="J2658" t="inlineStr">
        <is>
          <t>Palma de Mallorca</t>
        </is>
      </c>
      <c r="S2658" t="n">
        <v>345000</v>
      </c>
      <c r="T2658" t="n">
        <v>3750</v>
      </c>
      <c r="AH2658" t="inlineStr">
        <is>
          <t>Quelle: Solvia / Haya Real Estate</t>
        </is>
      </c>
    </row>
    <row r="2659">
      <c r="A2659" t="n">
        <v>2472</v>
      </c>
      <c r="B2659" t="inlineStr">
        <is>
          <t>Piso en Palma de Mallorca</t>
        </is>
      </c>
      <c r="C2659" t="inlineStr">
        <is>
          <t>https://www.haya.es/es/comprar/vivienda/81470</t>
        </is>
      </c>
      <c r="E2659" t="n">
        <v>2</v>
      </c>
      <c r="H2659" t="n">
        <v>90.40000000000001</v>
      </c>
      <c r="J2659" t="inlineStr">
        <is>
          <t>Palma de Mallorca</t>
        </is>
      </c>
      <c r="S2659" t="n">
        <v>289000</v>
      </c>
      <c r="T2659" t="n">
        <v>3197</v>
      </c>
      <c r="AH2659" t="inlineStr">
        <is>
          <t>Quelle: Solvia / Haya Real Estate</t>
        </is>
      </c>
    </row>
    <row r="2660">
      <c r="A2660" t="n">
        <v>2473</v>
      </c>
      <c r="B2660" t="inlineStr">
        <is>
          <t>Piso en Palma de Mallorca</t>
        </is>
      </c>
      <c r="C2660" t="inlineStr">
        <is>
          <t>https://www.haya.es/es/comprar/vivienda/161558</t>
        </is>
      </c>
      <c r="E2660" t="n">
        <v>2</v>
      </c>
      <c r="H2660" t="n">
        <v>66.56</v>
      </c>
      <c r="J2660" t="inlineStr">
        <is>
          <t>Palma de Mallorca</t>
        </is>
      </c>
      <c r="S2660" t="n">
        <v>301000</v>
      </c>
      <c r="T2660" t="n">
        <v>4522</v>
      </c>
      <c r="AH2660" t="inlineStr">
        <is>
          <t>Quelle: Solvia / Haya Real Estate</t>
        </is>
      </c>
    </row>
    <row r="2661">
      <c r="A2661" t="n">
        <v>2474</v>
      </c>
      <c r="B2661" t="inlineStr">
        <is>
          <t>Piso en Palma de Mallorca</t>
        </is>
      </c>
      <c r="C2661" t="inlineStr">
        <is>
          <t>https://www.haya.es/es/comprar/vivienda/107371</t>
        </is>
      </c>
      <c r="E2661" t="n">
        <v>3</v>
      </c>
      <c r="H2661" t="n">
        <v>77</v>
      </c>
      <c r="J2661" t="inlineStr">
        <is>
          <t>Palma de Mallorca</t>
        </is>
      </c>
      <c r="S2661" t="n">
        <v>307000</v>
      </c>
      <c r="T2661" t="n">
        <v>3987</v>
      </c>
      <c r="AH2661" t="inlineStr">
        <is>
          <t>Quelle: Solvia / Haya Real Estate</t>
        </is>
      </c>
    </row>
    <row r="2662">
      <c r="A2662" t="n">
        <v>2475</v>
      </c>
      <c r="B2662" t="inlineStr">
        <is>
          <t>Piso en Palma de Mallorca</t>
        </is>
      </c>
      <c r="C2662" t="inlineStr">
        <is>
          <t>https://www.haya.es/es/comprar/vivienda/89724</t>
        </is>
      </c>
      <c r="E2662" t="n">
        <v>3</v>
      </c>
      <c r="H2662" t="n">
        <v>87</v>
      </c>
      <c r="J2662" t="inlineStr">
        <is>
          <t>Palma de Mallorca</t>
        </is>
      </c>
      <c r="S2662" t="n">
        <v>336000</v>
      </c>
      <c r="T2662" t="n">
        <v>3862</v>
      </c>
      <c r="AH2662" t="inlineStr">
        <is>
          <t>Quelle: Solvia / Haya Real Estate</t>
        </is>
      </c>
    </row>
    <row r="2663">
      <c r="A2663" t="n">
        <v>2476</v>
      </c>
      <c r="B2663" t="inlineStr">
        <is>
          <t>Chalet adosado en Sant Josep de sa Talaia</t>
        </is>
      </c>
      <c r="C2663" t="inlineStr">
        <is>
          <t>https://www.haya.es/es/comprar/vivienda/83796</t>
        </is>
      </c>
      <c r="E2663" t="n">
        <v>3</v>
      </c>
      <c r="H2663" t="n">
        <v>107.3</v>
      </c>
      <c r="J2663" t="inlineStr">
        <is>
          <t>Sant Josep de sa Talaia</t>
        </is>
      </c>
      <c r="S2663" t="n">
        <v>690000</v>
      </c>
      <c r="T2663" t="n">
        <v>6431</v>
      </c>
      <c r="AH2663" t="inlineStr">
        <is>
          <t>Quelle: Solvia / Haya Real Estate</t>
        </is>
      </c>
    </row>
    <row r="2664">
      <c r="A2664" t="n">
        <v>2477</v>
      </c>
      <c r="B2664" t="inlineStr">
        <is>
          <t>Piso en Palma de Mallorca</t>
        </is>
      </c>
      <c r="C2664" t="inlineStr">
        <is>
          <t>https://www.haya.es/es/comprar/vivienda/232275</t>
        </is>
      </c>
      <c r="E2664" t="n">
        <v>3</v>
      </c>
      <c r="H2664" t="n">
        <v>70.2</v>
      </c>
      <c r="J2664" t="inlineStr">
        <is>
          <t>Palma de Mallorca</t>
        </is>
      </c>
      <c r="S2664" t="n">
        <v>160300</v>
      </c>
      <c r="T2664" t="n">
        <v>2283</v>
      </c>
      <c r="AH2664" t="inlineStr">
        <is>
          <t>Quelle: Solvia / Haya Real Estate</t>
        </is>
      </c>
    </row>
    <row r="2665">
      <c r="A2665" t="n">
        <v>2478</v>
      </c>
      <c r="B2665" t="inlineStr">
        <is>
          <t>Piso en Palma de Mallorca</t>
        </is>
      </c>
      <c r="C2665" t="inlineStr">
        <is>
          <t>https://www.haya.es/es/comprar/vivienda/73834</t>
        </is>
      </c>
      <c r="H2665" t="n">
        <v>93.18000000000001</v>
      </c>
      <c r="J2665" t="inlineStr">
        <is>
          <t>Palma de Mallorca</t>
        </is>
      </c>
      <c r="S2665" t="n">
        <v>290000</v>
      </c>
      <c r="T2665" t="n">
        <v>3112</v>
      </c>
      <c r="AH2665" t="inlineStr">
        <is>
          <t>Quelle: Solvia / Haya Real Estate</t>
        </is>
      </c>
    </row>
    <row r="2666">
      <c r="A2666" t="n">
        <v>2479</v>
      </c>
      <c r="B2666" t="inlineStr">
        <is>
          <t>Piso en Palma de Mallorca</t>
        </is>
      </c>
      <c r="C2666" t="inlineStr">
        <is>
          <t>https://www.haya.es/es/comprar/vivienda/175375</t>
        </is>
      </c>
      <c r="E2666" t="n">
        <v>1</v>
      </c>
      <c r="H2666" t="n">
        <v>92</v>
      </c>
      <c r="J2666" t="inlineStr">
        <is>
          <t>Palma de Mallorca</t>
        </is>
      </c>
      <c r="S2666" t="n">
        <v>211000</v>
      </c>
      <c r="T2666" t="n">
        <v>2293</v>
      </c>
      <c r="AH2666" t="inlineStr">
        <is>
          <t>Quelle: Solvia / Haya Real Estate</t>
        </is>
      </c>
    </row>
    <row r="2667">
      <c r="A2667" t="n">
        <v>2480</v>
      </c>
      <c r="B2667" t="inlineStr">
        <is>
          <t>Piso en Palma de Mallorca</t>
        </is>
      </c>
      <c r="C2667" t="inlineStr">
        <is>
          <t>https://www.haya.es/es/comprar/vivienda/179205</t>
        </is>
      </c>
      <c r="E2667" t="n">
        <v>4</v>
      </c>
      <c r="H2667" t="n">
        <v>122</v>
      </c>
      <c r="J2667" t="inlineStr">
        <is>
          <t>Palma de Mallorca</t>
        </is>
      </c>
      <c r="S2667" t="n">
        <v>144719.19</v>
      </c>
      <c r="T2667" t="n">
        <v>1186</v>
      </c>
      <c r="AH2667" t="inlineStr">
        <is>
          <t>Quelle: Solvia / Haya Real Estate</t>
        </is>
      </c>
    </row>
    <row r="2668">
      <c r="A2668" t="n">
        <v>2481</v>
      </c>
      <c r="B2668" t="inlineStr">
        <is>
          <t>Piso en Palma de Mallorca</t>
        </is>
      </c>
      <c r="C2668" t="inlineStr">
        <is>
          <t>https://www.haya.es/es/comprar/vivienda/83830</t>
        </is>
      </c>
      <c r="E2668" t="n">
        <v>3</v>
      </c>
      <c r="H2668" t="n">
        <v>116.09</v>
      </c>
      <c r="J2668" t="inlineStr">
        <is>
          <t>Palma de Mallorca</t>
        </is>
      </c>
      <c r="S2668" t="n">
        <v>222000</v>
      </c>
      <c r="T2668" t="n">
        <v>1912</v>
      </c>
      <c r="AH2668" t="inlineStr">
        <is>
          <t>Quelle: Solvia / Haya Real Estate</t>
        </is>
      </c>
    </row>
    <row r="2669">
      <c r="A2669" t="n">
        <v>2482</v>
      </c>
      <c r="B2669" t="inlineStr">
        <is>
          <t>Piso en Palma de Mallorca</t>
        </is>
      </c>
      <c r="C2669" t="inlineStr">
        <is>
          <t>https://www.haya.es/es/comprar/vivienda/77774</t>
        </is>
      </c>
      <c r="E2669" t="n">
        <v>3</v>
      </c>
      <c r="H2669" t="n">
        <v>86.31</v>
      </c>
      <c r="J2669" t="inlineStr">
        <is>
          <t>Palma de Mallorca</t>
        </is>
      </c>
      <c r="S2669" t="n">
        <v>280000</v>
      </c>
      <c r="T2669" t="n">
        <v>3244</v>
      </c>
      <c r="AH2669" t="inlineStr">
        <is>
          <t>Quelle: Solvia / Haya Real Estate</t>
        </is>
      </c>
    </row>
    <row r="2670">
      <c r="A2670" t="n">
        <v>2483</v>
      </c>
      <c r="B2670" t="inlineStr">
        <is>
          <t>Piso en Palma de Mallorca</t>
        </is>
      </c>
      <c r="C2670" t="inlineStr">
        <is>
          <t>https://www.haya.es/es/comprar/vivienda/7681</t>
        </is>
      </c>
      <c r="E2670" t="n">
        <v>3</v>
      </c>
      <c r="H2670" t="n">
        <v>60.9</v>
      </c>
      <c r="J2670" t="inlineStr">
        <is>
          <t>Palma de Mallorca</t>
        </is>
      </c>
      <c r="S2670" t="n">
        <v>392000</v>
      </c>
      <c r="T2670" t="n">
        <v>6437</v>
      </c>
      <c r="AH2670" t="inlineStr">
        <is>
          <t>Quelle: Solvia / Haya Real Estate</t>
        </is>
      </c>
    </row>
    <row r="2671">
      <c r="A2671" t="n">
        <v>2484</v>
      </c>
      <c r="B2671" t="inlineStr">
        <is>
          <t>Garaje en Manacor</t>
        </is>
      </c>
      <c r="C2671" t="inlineStr">
        <is>
          <t>https://www.haya.es/es/comprar/vivienda/250005</t>
        </is>
      </c>
      <c r="H2671" t="n">
        <v>27</v>
      </c>
      <c r="J2671" t="inlineStr">
        <is>
          <t>Manacor</t>
        </is>
      </c>
      <c r="S2671" t="n">
        <v>13800</v>
      </c>
      <c r="T2671" t="n">
        <v>511</v>
      </c>
      <c r="AH2671" t="inlineStr">
        <is>
          <t>Quelle: Solvia / Haya Real Estate</t>
        </is>
      </c>
    </row>
    <row r="2672">
      <c r="A2672" t="n">
        <v>2485</v>
      </c>
      <c r="B2672" t="inlineStr">
        <is>
          <t>Garaje en Santanyí</t>
        </is>
      </c>
      <c r="C2672" t="inlineStr">
        <is>
          <t>https://www.haya.es/es/comprar/vivienda/190931</t>
        </is>
      </c>
      <c r="H2672" t="n">
        <v>28</v>
      </c>
      <c r="J2672" t="inlineStr">
        <is>
          <t>Santanyí</t>
        </is>
      </c>
      <c r="S2672" t="n">
        <v>18000</v>
      </c>
      <c r="T2672" t="n">
        <v>643</v>
      </c>
      <c r="AH2672" t="inlineStr">
        <is>
          <t>Quelle: Solvia / Haya Real Estate</t>
        </is>
      </c>
    </row>
    <row r="2673">
      <c r="A2673" t="n">
        <v>2486</v>
      </c>
      <c r="B2673" t="inlineStr">
        <is>
          <t>Garaje en Santanyí</t>
        </is>
      </c>
      <c r="C2673" t="inlineStr">
        <is>
          <t>https://www.haya.es/es/comprar/vivienda/186616</t>
        </is>
      </c>
      <c r="H2673" t="n">
        <v>25</v>
      </c>
      <c r="J2673" t="inlineStr">
        <is>
          <t>Santanyí</t>
        </is>
      </c>
      <c r="S2673" t="n">
        <v>19000</v>
      </c>
      <c r="T2673" t="n">
        <v>760</v>
      </c>
      <c r="AH2673" t="inlineStr">
        <is>
          <t>Quelle: Solvia / Haya Real Estate</t>
        </is>
      </c>
    </row>
    <row r="2674">
      <c r="A2674" t="n">
        <v>2487</v>
      </c>
      <c r="B2674" t="inlineStr">
        <is>
          <t>Garaje en Palma de Mallorca</t>
        </is>
      </c>
      <c r="C2674" t="inlineStr">
        <is>
          <t>https://www.haya.es/es/comprar/vivienda/227532</t>
        </is>
      </c>
      <c r="H2674" t="n">
        <v>20</v>
      </c>
      <c r="J2674" t="inlineStr">
        <is>
          <t>Palma de Mallorca</t>
        </is>
      </c>
      <c r="S2674" t="n">
        <v>22900</v>
      </c>
      <c r="T2674" t="n">
        <v>1145</v>
      </c>
      <c r="AH2674" t="inlineStr">
        <is>
          <t>Quelle: Solvia / Haya Real Estate</t>
        </is>
      </c>
    </row>
    <row r="2675">
      <c r="A2675" t="n">
        <v>2488</v>
      </c>
      <c r="B2675" t="inlineStr">
        <is>
          <t>Garaje en Capdepera</t>
        </is>
      </c>
      <c r="C2675" t="inlineStr">
        <is>
          <t>https://www.haya.es/es/comprar/vivienda/246561</t>
        </is>
      </c>
      <c r="H2675" t="n">
        <v>101.7</v>
      </c>
      <c r="J2675" t="inlineStr">
        <is>
          <t>Capdepera</t>
        </is>
      </c>
      <c r="S2675" t="n">
        <v>32700</v>
      </c>
      <c r="T2675" t="n">
        <v>322</v>
      </c>
      <c r="AH2675" t="inlineStr">
        <is>
          <t>Quelle: Solvia / Haya Real Estate</t>
        </is>
      </c>
    </row>
    <row r="2676">
      <c r="A2676" t="n">
        <v>2489</v>
      </c>
      <c r="B2676" t="inlineStr">
        <is>
          <t>Locales en Calvià</t>
        </is>
      </c>
      <c r="C2676" t="inlineStr">
        <is>
          <t>https://www.haya.es/es/comprar/vivienda/232156</t>
        </is>
      </c>
      <c r="H2676" t="n">
        <v>155</v>
      </c>
      <c r="J2676" t="inlineStr">
        <is>
          <t>Calvià</t>
        </is>
      </c>
      <c r="S2676" t="n">
        <v>57900</v>
      </c>
      <c r="T2676" t="n">
        <v>374</v>
      </c>
      <c r="AH2676" t="inlineStr">
        <is>
          <t>Quelle: Solvia / Haya Real Estate</t>
        </is>
      </c>
    </row>
    <row r="2677">
      <c r="A2677" t="n">
        <v>2490</v>
      </c>
      <c r="B2677" t="inlineStr">
        <is>
          <t>Locales en Calvià</t>
        </is>
      </c>
      <c r="C2677" t="inlineStr">
        <is>
          <t>https://www.haya.es/es/comprar/vivienda/73819</t>
        </is>
      </c>
      <c r="H2677" t="n">
        <v>1466.14</v>
      </c>
      <c r="J2677" t="inlineStr">
        <is>
          <t>Calvià</t>
        </is>
      </c>
      <c r="S2677" t="n">
        <v>327000</v>
      </c>
      <c r="T2677" t="n">
        <v>223</v>
      </c>
      <c r="AH2677" t="inlineStr">
        <is>
          <t>Quelle: Solvia / Haya Real Estate</t>
        </is>
      </c>
    </row>
    <row r="2678">
      <c r="A2678" t="n">
        <v>2491</v>
      </c>
      <c r="B2678" t="inlineStr">
        <is>
          <t>Oficina en Palma de Mallorca</t>
        </is>
      </c>
      <c r="C2678" t="inlineStr">
        <is>
          <t>https://www.haya.es/es/comprar/vivienda/105620</t>
        </is>
      </c>
      <c r="H2678" t="n">
        <v>532.12</v>
      </c>
      <c r="J2678" t="inlineStr">
        <is>
          <t>Palma de Mallorca</t>
        </is>
      </c>
      <c r="S2678" t="n">
        <v>590000</v>
      </c>
      <c r="T2678" t="n">
        <v>1109</v>
      </c>
      <c r="AH2678" t="inlineStr">
        <is>
          <t>Quelle: Solvia / Haya Real Estate</t>
        </is>
      </c>
    </row>
    <row r="2679">
      <c r="A2679" t="n">
        <v>2492</v>
      </c>
      <c r="B2679" t="inlineStr">
        <is>
          <t>Locales en Calvià</t>
        </is>
      </c>
      <c r="C2679" t="inlineStr">
        <is>
          <t>https://www.haya.es/es/comprar/vivienda/97185</t>
        </is>
      </c>
      <c r="H2679" t="n">
        <v>153.7</v>
      </c>
      <c r="J2679" t="inlineStr">
        <is>
          <t>Calvià</t>
        </is>
      </c>
      <c r="S2679" t="n">
        <v>95000</v>
      </c>
      <c r="T2679" t="n">
        <v>618</v>
      </c>
      <c r="AH2679" t="inlineStr">
        <is>
          <t>Quelle: Solvia / Haya Real Estate</t>
        </is>
      </c>
    </row>
    <row r="2680">
      <c r="A2680" t="n">
        <v>2493</v>
      </c>
      <c r="B2680" t="inlineStr">
        <is>
          <t>Oficina en Palma de Mallorca</t>
        </is>
      </c>
      <c r="C2680" t="inlineStr">
        <is>
          <t>https://www.haya.es/es/comprar/vivienda/101007</t>
        </is>
      </c>
      <c r="H2680" t="n">
        <v>320.32</v>
      </c>
      <c r="J2680" t="inlineStr">
        <is>
          <t>Palma de Mallorca</t>
        </is>
      </c>
      <c r="S2680" t="n">
        <v>292000</v>
      </c>
      <c r="T2680" t="n">
        <v>912</v>
      </c>
      <c r="AH2680" t="inlineStr">
        <is>
          <t>Quelle: Solvia / Haya Real Estate</t>
        </is>
      </c>
    </row>
    <row r="2681">
      <c r="A2681" t="n">
        <v>2494</v>
      </c>
      <c r="B2681" t="inlineStr">
        <is>
          <t>Locales en Manacor</t>
        </is>
      </c>
      <c r="C2681" t="inlineStr">
        <is>
          <t>https://www.haya.es/es/comprar/vivienda/109727</t>
        </is>
      </c>
      <c r="H2681" t="n">
        <v>145</v>
      </c>
      <c r="J2681" t="inlineStr">
        <is>
          <t>Manacor</t>
        </is>
      </c>
      <c r="S2681" t="n">
        <v>89900</v>
      </c>
      <c r="T2681" t="n">
        <v>620</v>
      </c>
      <c r="AH2681" t="inlineStr">
        <is>
          <t>Quelle: Solvia / Haya Real Estate</t>
        </is>
      </c>
    </row>
    <row r="2682">
      <c r="A2682" t="n">
        <v>2495</v>
      </c>
      <c r="B2682" t="inlineStr">
        <is>
          <t>Locales en Ciutadella de Menorca</t>
        </is>
      </c>
      <c r="C2682" t="inlineStr">
        <is>
          <t>https://www.haya.es/es/comprar/vivienda/194742</t>
        </is>
      </c>
      <c r="H2682" t="n">
        <v>27.5</v>
      </c>
      <c r="J2682" t="inlineStr">
        <is>
          <t>Ciutadella de Menorca</t>
        </is>
      </c>
      <c r="S2682" t="n">
        <v>23000</v>
      </c>
      <c r="T2682" t="n">
        <v>836</v>
      </c>
      <c r="AH2682" t="inlineStr">
        <is>
          <t>Quelle: Solvia / Haya Real Estate</t>
        </is>
      </c>
    </row>
    <row r="2683">
      <c r="A2683" t="n">
        <v>2496</v>
      </c>
      <c r="B2683" t="inlineStr">
        <is>
          <t>Locales en Palma de Mallorca</t>
        </is>
      </c>
      <c r="C2683" t="inlineStr">
        <is>
          <t>https://www.haya.es/es/comprar/vivienda/182603</t>
        </is>
      </c>
      <c r="H2683" t="n">
        <v>317.35</v>
      </c>
      <c r="J2683" t="inlineStr">
        <is>
          <t>Palma de Mallorca</t>
        </is>
      </c>
      <c r="S2683" t="n">
        <v>313500</v>
      </c>
      <c r="T2683" t="n">
        <v>988</v>
      </c>
      <c r="AH2683" t="inlineStr">
        <is>
          <t>Quelle: Solvia / Haya Real Estate</t>
        </is>
      </c>
    </row>
    <row r="2684">
      <c r="A2684" t="n">
        <v>2497</v>
      </c>
      <c r="B2684" t="inlineStr">
        <is>
          <t>Locales en Santanyí</t>
        </is>
      </c>
      <c r="C2684" t="inlineStr">
        <is>
          <t>https://www.haya.es/es/comprar/vivienda/185817</t>
        </is>
      </c>
      <c r="H2684" t="n">
        <v>217</v>
      </c>
      <c r="J2684" t="inlineStr">
        <is>
          <t>Santanyí</t>
        </is>
      </c>
      <c r="S2684" t="n">
        <v>118000</v>
      </c>
      <c r="T2684" t="n">
        <v>544</v>
      </c>
      <c r="AH2684" t="inlineStr">
        <is>
          <t>Quelle: Solvia / Haya Real Estate</t>
        </is>
      </c>
    </row>
    <row r="2685">
      <c r="A2685" t="n">
        <v>2498</v>
      </c>
      <c r="B2685" t="inlineStr">
        <is>
          <t>Locales en Palma de Mallorca</t>
        </is>
      </c>
      <c r="C2685" t="inlineStr">
        <is>
          <t>https://www.haya.es/es/comprar/vivienda/255957</t>
        </is>
      </c>
      <c r="H2685" t="n">
        <v>24.6</v>
      </c>
      <c r="J2685" t="inlineStr">
        <is>
          <t>Palma de Mallorca</t>
        </is>
      </c>
      <c r="S2685" t="n">
        <v>125950</v>
      </c>
      <c r="T2685" t="n">
        <v>5120</v>
      </c>
      <c r="AH2685" t="inlineStr">
        <is>
          <t>Quelle: Solvia / Haya Real Estate</t>
        </is>
      </c>
    </row>
    <row r="2686">
      <c r="A2686" t="n">
        <v>2499</v>
      </c>
      <c r="B2686" t="inlineStr">
        <is>
          <t>Oficina en Palma de Mallorca</t>
        </is>
      </c>
      <c r="C2686" t="inlineStr">
        <is>
          <t>https://www.haya.es/es/comprar/vivienda/248571</t>
        </is>
      </c>
      <c r="H2686" t="n">
        <v>60</v>
      </c>
      <c r="J2686" t="inlineStr">
        <is>
          <t>Palma de Mallorca</t>
        </is>
      </c>
      <c r="S2686" t="n">
        <v>178500</v>
      </c>
      <c r="T2686" t="n">
        <v>2975</v>
      </c>
      <c r="AH2686" t="inlineStr">
        <is>
          <t>Quelle: Solvia / Haya Real Estate</t>
        </is>
      </c>
    </row>
    <row r="2687">
      <c r="A2687" t="n">
        <v>2500</v>
      </c>
      <c r="B2687" t="inlineStr">
        <is>
          <t>Locales en Palma de Mallorca</t>
        </is>
      </c>
      <c r="C2687" t="inlineStr">
        <is>
          <t>https://www.haya.es/es/comprar/vivienda/196942</t>
        </is>
      </c>
      <c r="H2687" t="n">
        <v>103.81</v>
      </c>
      <c r="J2687" t="inlineStr">
        <is>
          <t>Palma de Mallorca</t>
        </is>
      </c>
      <c r="S2687" t="n">
        <v>90000</v>
      </c>
      <c r="T2687" t="n">
        <v>867</v>
      </c>
      <c r="AH2687" t="inlineStr">
        <is>
          <t>Quelle: Solvia / Haya Real Estate</t>
        </is>
      </c>
    </row>
    <row r="2688">
      <c r="A2688" t="n">
        <v>2501</v>
      </c>
      <c r="B2688" t="inlineStr">
        <is>
          <t>Locales en Pobla (Sa)</t>
        </is>
      </c>
      <c r="C2688" t="inlineStr">
        <is>
          <t>https://www.haya.es/es/comprar/vivienda/248459</t>
        </is>
      </c>
      <c r="H2688" t="n">
        <v>207.9</v>
      </c>
      <c r="J2688" t="inlineStr">
        <is>
          <t>Pobla (Sa)</t>
        </is>
      </c>
      <c r="S2688" t="n">
        <v>105000</v>
      </c>
      <c r="T2688" t="n">
        <v>505</v>
      </c>
      <c r="AH2688" t="inlineStr">
        <is>
          <t>Quelle: Solvia / Haya Real Estate</t>
        </is>
      </c>
    </row>
    <row r="2689">
      <c r="A2689" t="n">
        <v>2502</v>
      </c>
      <c r="B2689" t="inlineStr">
        <is>
          <t>Locales en Sant miquel de balansat</t>
        </is>
      </c>
      <c r="C2689" t="inlineStr">
        <is>
          <t>https://www.haya.es/es/comprar/vivienda/267781</t>
        </is>
      </c>
      <c r="H2689" t="n">
        <v>179.52</v>
      </c>
      <c r="J2689" t="inlineStr">
        <is>
          <t>Sant miquel de balansat</t>
        </is>
      </c>
      <c r="S2689" t="n">
        <v>501000</v>
      </c>
      <c r="T2689" t="n">
        <v>2791</v>
      </c>
      <c r="AH2689" t="inlineStr">
        <is>
          <t>Quelle: Solvia / Haya Real Estate</t>
        </is>
      </c>
    </row>
    <row r="2690">
      <c r="A2690" t="n">
        <v>2503</v>
      </c>
      <c r="B2690" t="inlineStr">
        <is>
          <t>Locales en Pobla (Sa)</t>
        </is>
      </c>
      <c r="C2690" t="inlineStr">
        <is>
          <t>https://www.haya.es/es/comprar/vivienda/269167</t>
        </is>
      </c>
      <c r="H2690" t="n">
        <v>207.9</v>
      </c>
      <c r="J2690" t="inlineStr">
        <is>
          <t>Pobla (Sa)</t>
        </is>
      </c>
      <c r="S2690" t="n">
        <v>105000</v>
      </c>
      <c r="T2690" t="n">
        <v>505</v>
      </c>
      <c r="AH2690" t="inlineStr">
        <is>
          <t>Quelle: Solvia / Haya Real Estate</t>
        </is>
      </c>
    </row>
    <row r="2691">
      <c r="A2691" t="n">
        <v>2504</v>
      </c>
      <c r="B2691" t="inlineStr">
        <is>
          <t>Locales en Calvià</t>
        </is>
      </c>
      <c r="C2691" t="inlineStr">
        <is>
          <t>https://www.haya.es/es/comprar/vivienda/207278</t>
        </is>
      </c>
      <c r="H2691" t="n">
        <v>242.19</v>
      </c>
      <c r="J2691" t="inlineStr">
        <is>
          <t>Calvià</t>
        </is>
      </c>
      <c r="S2691" t="n">
        <v>340000</v>
      </c>
      <c r="T2691" t="n">
        <v>1404</v>
      </c>
      <c r="AH2691" t="inlineStr">
        <is>
          <t>Quelle: Solvia / Haya Real Estate</t>
        </is>
      </c>
    </row>
    <row r="2692">
      <c r="A2692" t="n">
        <v>2505</v>
      </c>
      <c r="B2692" t="inlineStr">
        <is>
          <t>Locales en Artà</t>
        </is>
      </c>
      <c r="C2692" t="inlineStr">
        <is>
          <t>https://www.haya.es/es/comprar/vivienda/261477</t>
        </is>
      </c>
      <c r="J2692" t="inlineStr">
        <is>
          <t>Artà</t>
        </is>
      </c>
      <c r="S2692" t="n">
        <v>175000</v>
      </c>
      <c r="AH2692" t="inlineStr">
        <is>
          <t>Quelle: Solvia / Haya Real Estate</t>
        </is>
      </c>
    </row>
    <row r="2693">
      <c r="A2693" t="n">
        <v>2506</v>
      </c>
      <c r="B2693" t="inlineStr">
        <is>
          <t>Locales en Llucmajor</t>
        </is>
      </c>
      <c r="C2693" t="inlineStr">
        <is>
          <t>https://www.haya.es/es/comprar/vivienda/263960</t>
        </is>
      </c>
      <c r="H2693" t="n">
        <v>142</v>
      </c>
      <c r="J2693" t="inlineStr">
        <is>
          <t>Llucmajor</t>
        </is>
      </c>
      <c r="S2693" t="n">
        <v>173000</v>
      </c>
      <c r="T2693" t="n">
        <v>1218</v>
      </c>
      <c r="AH2693" t="inlineStr">
        <is>
          <t>Quelle: Solvia / Haya Real Estate</t>
        </is>
      </c>
    </row>
    <row r="2694">
      <c r="A2694" t="n">
        <v>2507</v>
      </c>
      <c r="B2694" t="inlineStr">
        <is>
          <t>Locales en Marratxí</t>
        </is>
      </c>
      <c r="C2694" t="inlineStr">
        <is>
          <t>https://www.haya.es/es/comprar/vivienda/268970</t>
        </is>
      </c>
      <c r="H2694" t="n">
        <v>91.84</v>
      </c>
      <c r="J2694" t="inlineStr">
        <is>
          <t>Marratxí</t>
        </is>
      </c>
      <c r="S2694" t="n">
        <v>140000</v>
      </c>
      <c r="T2694" t="n">
        <v>1524</v>
      </c>
      <c r="AH2694" t="inlineStr">
        <is>
          <t>Quelle: Solvia / Haya Real Estate</t>
        </is>
      </c>
    </row>
    <row r="2695">
      <c r="A2695" t="n">
        <v>2508</v>
      </c>
      <c r="B2695" t="inlineStr">
        <is>
          <t>Solares en Capdepera</t>
        </is>
      </c>
      <c r="C2695" t="inlineStr">
        <is>
          <t>https://www.haya.es/es/comprar/vivienda/135268</t>
        </is>
      </c>
      <c r="H2695" t="n">
        <v>483</v>
      </c>
      <c r="J2695" t="inlineStr">
        <is>
          <t>Capdepera</t>
        </is>
      </c>
      <c r="S2695" t="n">
        <v>480000</v>
      </c>
      <c r="T2695" t="n">
        <v>994</v>
      </c>
      <c r="AH2695" t="inlineStr">
        <is>
          <t>Quelle: Solvia / Haya Real Estate</t>
        </is>
      </c>
    </row>
    <row r="2696">
      <c r="A2696" t="n">
        <v>2509</v>
      </c>
      <c r="B2696" t="inlineStr">
        <is>
          <t>Suelo Urbanizable en Alcúdia</t>
        </is>
      </c>
      <c r="C2696" t="inlineStr">
        <is>
          <t>https://www.haya.es/es/comprar/vivienda/226922</t>
        </is>
      </c>
      <c r="H2696" t="n">
        <v>30252</v>
      </c>
      <c r="J2696" t="inlineStr">
        <is>
          <t>Alcúdia</t>
        </is>
      </c>
      <c r="K2696" t="n">
        <v>61.6</v>
      </c>
      <c r="L2696" t="n">
        <v>47</v>
      </c>
      <c r="M2696" t="n">
        <v>79.7</v>
      </c>
      <c r="N2696" t="n">
        <v>74</v>
      </c>
      <c r="O2696" t="n">
        <v>84.2</v>
      </c>
      <c r="P2696" t="n">
        <v>63</v>
      </c>
      <c r="Q2696" t="n">
        <v>77.40000000000001</v>
      </c>
      <c r="R2696" t="n">
        <v>70</v>
      </c>
      <c r="S2696" t="n">
        <v>1500000</v>
      </c>
      <c r="T2696" t="n">
        <v>50</v>
      </c>
      <c r="AH2696" t="inlineStr">
        <is>
          <t>Quelle: Solvia / Haya Real Estate</t>
        </is>
      </c>
    </row>
    <row r="2697">
      <c r="A2697" t="n">
        <v>2510</v>
      </c>
      <c r="B2697" t="inlineStr">
        <is>
          <t>Suelo Urbano en Sant Josep de sa Talaia</t>
        </is>
      </c>
      <c r="C2697" t="inlineStr">
        <is>
          <t>https://www.haya.es/es/comprar/vivienda/99558</t>
        </is>
      </c>
      <c r="H2697" t="n">
        <v>2000</v>
      </c>
      <c r="J2697" t="inlineStr">
        <is>
          <t>Sant Josep de sa Talaia</t>
        </is>
      </c>
      <c r="S2697" t="n">
        <v>880000</v>
      </c>
      <c r="T2697" t="n">
        <v>440</v>
      </c>
      <c r="AH2697" t="inlineStr">
        <is>
          <t>Quelle: Solvia / Haya Real Estate</t>
        </is>
      </c>
    </row>
    <row r="2698">
      <c r="A2698" t="n">
        <v>2511</v>
      </c>
      <c r="B2698" t="inlineStr">
        <is>
          <t>Suelo Rústico en Palma de Mallorca</t>
        </is>
      </c>
      <c r="C2698" t="inlineStr">
        <is>
          <t>https://www.haya.es/es/comprar/vivienda/135269</t>
        </is>
      </c>
      <c r="H2698" t="n">
        <v>2000</v>
      </c>
      <c r="J2698" t="inlineStr">
        <is>
          <t>Palma de Mallorca</t>
        </is>
      </c>
      <c r="S2698" t="n">
        <v>89000</v>
      </c>
      <c r="T2698" t="n">
        <v>44</v>
      </c>
      <c r="AH2698" t="inlineStr">
        <is>
          <t>Quelle: Solvia / Haya Real Estate</t>
        </is>
      </c>
    </row>
    <row r="2699">
      <c r="A2699" t="n">
        <v>2512</v>
      </c>
      <c r="B2699" t="inlineStr">
        <is>
          <t>Suelo Rústico en Palma de Mallorca</t>
        </is>
      </c>
      <c r="C2699" t="inlineStr">
        <is>
          <t>https://www.haya.es/es/comprar/vivienda/48350</t>
        </is>
      </c>
      <c r="H2699" t="n">
        <v>331667.7</v>
      </c>
      <c r="J2699" t="inlineStr">
        <is>
          <t>Palma de Mallorca</t>
        </is>
      </c>
      <c r="AH2699" t="inlineStr">
        <is>
          <t>Quelle: Solvia / Haya Real Estate</t>
        </is>
      </c>
    </row>
    <row r="2700">
      <c r="A2700" t="n">
        <v>2513</v>
      </c>
      <c r="B2700" t="inlineStr">
        <is>
          <t>Suelo urbano no consolidado en Manacor</t>
        </is>
      </c>
      <c r="C2700" t="inlineStr">
        <is>
          <t>https://www.haya.es/es/comprar/vivienda/247770</t>
        </is>
      </c>
      <c r="J2700" t="inlineStr">
        <is>
          <t>Manacor</t>
        </is>
      </c>
      <c r="S2700" t="n">
        <v>48400</v>
      </c>
      <c r="AH2700" t="inlineStr">
        <is>
          <t>Quelle: Solvia / Haya Real Estate</t>
        </is>
      </c>
    </row>
    <row r="2701">
      <c r="A2701" t="n">
        <v>2514</v>
      </c>
      <c r="B2701" t="inlineStr">
        <is>
          <t>Suelo Rústico con Vivienda en Marratxí</t>
        </is>
      </c>
      <c r="C2701" t="inlineStr">
        <is>
          <t>https://www.haya.es/es/comprar/vivienda/31064</t>
        </is>
      </c>
      <c r="J2701" t="inlineStr">
        <is>
          <t>Marratxí</t>
        </is>
      </c>
      <c r="K2701" t="n">
        <v>13</v>
      </c>
      <c r="L2701" t="n">
        <v>17</v>
      </c>
      <c r="M2701" t="n">
        <v>56.3</v>
      </c>
      <c r="N2701" t="n">
        <v>50</v>
      </c>
      <c r="O2701" t="n">
        <v>40.6</v>
      </c>
      <c r="P2701" t="n">
        <v>34</v>
      </c>
      <c r="Q2701" t="n">
        <v>54</v>
      </c>
      <c r="R2701" t="n">
        <v>46</v>
      </c>
      <c r="S2701" t="n">
        <v>1520000</v>
      </c>
      <c r="AH2701" t="inlineStr">
        <is>
          <t>Quelle: Solvia / Haya Real Estate</t>
        </is>
      </c>
    </row>
    <row r="2702">
      <c r="A2702" t="n">
        <v>2515</v>
      </c>
      <c r="B2702" t="inlineStr">
        <is>
          <t>Suelo Rústico en Pollença</t>
        </is>
      </c>
      <c r="C2702" t="inlineStr">
        <is>
          <t>https://www.haya.es/es/comprar/vivienda/200893</t>
        </is>
      </c>
      <c r="H2702" t="n">
        <v>1792</v>
      </c>
      <c r="J2702" t="inlineStr">
        <is>
          <t>Pollença</t>
        </is>
      </c>
      <c r="S2702" t="n">
        <v>49000</v>
      </c>
      <c r="T2702" t="n">
        <v>27</v>
      </c>
      <c r="AH2702" t="inlineStr">
        <is>
          <t>Quelle: Solvia / Haya Real Estate</t>
        </is>
      </c>
    </row>
    <row r="2703">
      <c r="A2703" t="n">
        <v>2516</v>
      </c>
      <c r="B2703" t="inlineStr">
        <is>
          <t>Terreno con edificación en Santa Eugènia</t>
        </is>
      </c>
      <c r="C2703" t="inlineStr">
        <is>
          <t>https://www.haya.es/es/comprar/vivienda/255451</t>
        </is>
      </c>
      <c r="H2703" t="n">
        <v>6508</v>
      </c>
      <c r="J2703" t="inlineStr">
        <is>
          <t>Santa Eugènia</t>
        </is>
      </c>
      <c r="S2703" t="n">
        <v>30000</v>
      </c>
      <c r="T2703" t="n">
        <v>5</v>
      </c>
      <c r="AH2703" t="inlineStr">
        <is>
          <t>Quelle: Solvia / Haya Real Estate</t>
        </is>
      </c>
    </row>
    <row r="2704">
      <c r="A2704" t="n">
        <v>2517</v>
      </c>
      <c r="B2704" t="inlineStr">
        <is>
          <t>Suelo Rústico en Palma de Mallorca</t>
        </is>
      </c>
      <c r="C2704" t="inlineStr">
        <is>
          <t>https://www.haya.es/es/comprar/vivienda/190522</t>
        </is>
      </c>
      <c r="H2704" t="n">
        <v>11840</v>
      </c>
      <c r="J2704" t="inlineStr">
        <is>
          <t>Palma de Mallorca</t>
        </is>
      </c>
      <c r="S2704" t="n">
        <v>238000</v>
      </c>
      <c r="T2704" t="n">
        <v>20</v>
      </c>
      <c r="AH2704" t="inlineStr">
        <is>
          <t>Quelle: Solvia / Haya Real Estate</t>
        </is>
      </c>
    </row>
    <row r="2705">
      <c r="A2705" t="n">
        <v>2518</v>
      </c>
      <c r="B2705" t="inlineStr">
        <is>
          <t>Suelo Rústico en Vileta (SA)</t>
        </is>
      </c>
      <c r="C2705" t="inlineStr">
        <is>
          <t>https://www.haya.es/es/comprar/vivienda/32678</t>
        </is>
      </c>
      <c r="E2705" t="n">
        <v>1</v>
      </c>
      <c r="H2705" t="n">
        <v>1580</v>
      </c>
      <c r="J2705" t="inlineStr">
        <is>
          <t>Vileta (SA)</t>
        </is>
      </c>
      <c r="S2705" t="n">
        <v>599000</v>
      </c>
      <c r="T2705" t="n">
        <v>379</v>
      </c>
      <c r="AH2705" t="inlineStr">
        <is>
          <t>Quelle: Solvia / Haya Real Estate</t>
        </is>
      </c>
    </row>
    <row r="2706">
      <c r="A2706" t="n">
        <v>2519</v>
      </c>
      <c r="B2706" t="inlineStr">
        <is>
          <t>Suelo Rústico en Llucmajor</t>
        </is>
      </c>
      <c r="C2706" t="inlineStr">
        <is>
          <t>https://www.haya.es/es/comprar/vivienda/128316</t>
        </is>
      </c>
      <c r="H2706" t="n">
        <v>4750</v>
      </c>
      <c r="J2706" t="inlineStr">
        <is>
          <t>Llucmajor</t>
        </is>
      </c>
      <c r="S2706" t="n">
        <v>49000</v>
      </c>
      <c r="T2706" t="n">
        <v>10</v>
      </c>
      <c r="AH2706" t="inlineStr">
        <is>
          <t>Quelle: Solvia / Haya Real Estate</t>
        </is>
      </c>
    </row>
    <row r="2707">
      <c r="A2707" t="n">
        <v>2520</v>
      </c>
      <c r="B2707" t="inlineStr">
        <is>
          <t>Suelo (otros) en Capdepera</t>
        </is>
      </c>
      <c r="C2707" t="inlineStr">
        <is>
          <t>https://www.haya.es/es/comprar/vivienda/251083</t>
        </is>
      </c>
      <c r="H2707" t="n">
        <v>402</v>
      </c>
      <c r="J2707" t="inlineStr">
        <is>
          <t>Capdepera</t>
        </is>
      </c>
      <c r="S2707" t="n">
        <v>101000</v>
      </c>
      <c r="T2707" t="n">
        <v>251</v>
      </c>
      <c r="AH2707" t="inlineStr">
        <is>
          <t>Quelle: Solvia / Haya Real Estate</t>
        </is>
      </c>
    </row>
    <row r="2708">
      <c r="A2708" t="n">
        <v>2521</v>
      </c>
      <c r="B2708" t="inlineStr">
        <is>
          <t>Suelo urbanizable sectorizado en Mercadal (Es)</t>
        </is>
      </c>
      <c r="C2708" t="inlineStr">
        <is>
          <t>https://www.haya.es/es/comprar/vivienda/104245</t>
        </is>
      </c>
      <c r="H2708" t="n">
        <v>6416.5</v>
      </c>
      <c r="J2708" t="inlineStr">
        <is>
          <t>Mercadal (Es)</t>
        </is>
      </c>
      <c r="S2708" t="n">
        <v>490000</v>
      </c>
      <c r="T2708" t="n">
        <v>76</v>
      </c>
      <c r="AH2708" t="inlineStr">
        <is>
          <t>Quelle: Solvia / Haya Real Estate</t>
        </is>
      </c>
    </row>
    <row r="2709">
      <c r="A2709" t="n">
        <v>2522</v>
      </c>
      <c r="B2709" t="inlineStr">
        <is>
          <t>Suelo urbano no consolidado en Sant Josep de sa Talaia</t>
        </is>
      </c>
      <c r="C2709" t="inlineStr">
        <is>
          <t>https://www.haya.es/es/comprar/vivienda/202269</t>
        </is>
      </c>
      <c r="H2709" t="n">
        <v>2000</v>
      </c>
      <c r="J2709" t="inlineStr">
        <is>
          <t>Sant Josep de sa Talaia</t>
        </is>
      </c>
      <c r="S2709" t="n">
        <v>350000</v>
      </c>
      <c r="T2709" t="n">
        <v>175</v>
      </c>
      <c r="AH2709" t="inlineStr">
        <is>
          <t>Quelle: Solvia / Haya Real Estate</t>
        </is>
      </c>
    </row>
    <row r="2710">
      <c r="A2710" t="n">
        <v>2523</v>
      </c>
      <c r="B2710" t="inlineStr">
        <is>
          <t>Suelo Rústico en Santa Eulalia del Río</t>
        </is>
      </c>
      <c r="C2710" t="inlineStr">
        <is>
          <t>https://www.haya.es/es/comprar/vivienda/48593</t>
        </is>
      </c>
      <c r="H2710" t="n">
        <v>28815</v>
      </c>
      <c r="J2710" t="inlineStr">
        <is>
          <t>Santa Eulalia del Río</t>
        </is>
      </c>
      <c r="S2710" t="n">
        <v>599000</v>
      </c>
      <c r="T2710" t="n">
        <v>21</v>
      </c>
      <c r="AH2710" t="inlineStr">
        <is>
          <t>Quelle: Solvia / Haya Real Estate</t>
        </is>
      </c>
    </row>
    <row r="2711">
      <c r="A2711" t="n">
        <v>2524</v>
      </c>
      <c r="B2711" t="inlineStr">
        <is>
          <t>Suelo Rústico en Llucmajor</t>
        </is>
      </c>
      <c r="C2711" t="inlineStr">
        <is>
          <t>https://www.haya.es/es/comprar/vivienda/123875</t>
        </is>
      </c>
      <c r="E2711" t="n">
        <v>1</v>
      </c>
      <c r="H2711" t="n">
        <v>14488</v>
      </c>
      <c r="J2711" t="inlineStr">
        <is>
          <t>Llucmajor</t>
        </is>
      </c>
      <c r="S2711" t="n">
        <v>480000</v>
      </c>
      <c r="T2711" t="n">
        <v>33</v>
      </c>
      <c r="AH2711" t="inlineStr">
        <is>
          <t>Quelle: Solvia / Haya Real Estate</t>
        </is>
      </c>
    </row>
    <row r="2712">
      <c r="A2712" t="n">
        <v>2525</v>
      </c>
      <c r="B2712" t="inlineStr">
        <is>
          <t>Suelo urbanizable sectorizado en Manacor</t>
        </is>
      </c>
      <c r="C2712" t="inlineStr">
        <is>
          <t>https://www.haya.es/es/comprar/vivienda/192254</t>
        </is>
      </c>
      <c r="H2712" t="n">
        <v>14812.1</v>
      </c>
      <c r="J2712" t="inlineStr">
        <is>
          <t>Manacor</t>
        </is>
      </c>
      <c r="K2712" t="n">
        <v>49.2</v>
      </c>
      <c r="L2712" t="n">
        <v>44</v>
      </c>
      <c r="M2712" t="n">
        <v>40.3</v>
      </c>
      <c r="N2712" t="n">
        <v>45</v>
      </c>
      <c r="O2712" t="n">
        <v>83.40000000000001</v>
      </c>
      <c r="P2712" t="n">
        <v>68</v>
      </c>
      <c r="Q2712" t="n">
        <v>38</v>
      </c>
      <c r="R2712" t="n">
        <v>41</v>
      </c>
      <c r="S2712" t="n">
        <v>1300100</v>
      </c>
      <c r="T2712" t="n">
        <v>88</v>
      </c>
      <c r="AH2712" t="inlineStr">
        <is>
          <t>Quelle: Solvia / Haya Real Estate</t>
        </is>
      </c>
    </row>
    <row r="2713">
      <c r="A2713" t="n">
        <v>2526</v>
      </c>
      <c r="B2713" t="inlineStr">
        <is>
          <t>Suelo Urbano consolidado en Mercadal (Es)</t>
        </is>
      </c>
      <c r="C2713" t="inlineStr">
        <is>
          <t>https://www.haya.es/es/comprar/vivienda/77110</t>
        </is>
      </c>
      <c r="H2713" t="n">
        <v>7158.34</v>
      </c>
      <c r="J2713" t="inlineStr">
        <is>
          <t>Mercadal (Es)</t>
        </is>
      </c>
      <c r="K2713" t="n">
        <v>47.4</v>
      </c>
      <c r="L2713" t="n">
        <v>40</v>
      </c>
      <c r="M2713" t="n">
        <v>51.8</v>
      </c>
      <c r="N2713" t="n">
        <v>55</v>
      </c>
      <c r="O2713" t="n">
        <v>70</v>
      </c>
      <c r="P2713" t="n">
        <v>56</v>
      </c>
      <c r="Q2713" t="n">
        <v>49.5</v>
      </c>
      <c r="R2713" t="n">
        <v>51</v>
      </c>
      <c r="S2713" t="n">
        <v>1551800</v>
      </c>
      <c r="T2713" t="n">
        <v>217</v>
      </c>
      <c r="AH2713" t="inlineStr">
        <is>
          <t>Quelle: Solvia / Haya Real Estate</t>
        </is>
      </c>
    </row>
    <row r="2714">
      <c r="A2714" t="n">
        <v>2527</v>
      </c>
      <c r="B2714" t="inlineStr">
        <is>
          <t>Nave Industrial en Sant Lluís</t>
        </is>
      </c>
      <c r="C2714" t="inlineStr">
        <is>
          <t>https://www.haya.es/es/comprar/vivienda/250202</t>
        </is>
      </c>
      <c r="H2714" t="n">
        <v>228.71</v>
      </c>
      <c r="J2714" t="inlineStr">
        <is>
          <t>Sant Lluís</t>
        </is>
      </c>
      <c r="S2714" t="n">
        <v>180000</v>
      </c>
      <c r="T2714" t="n">
        <v>787</v>
      </c>
      <c r="AH2714" t="inlineStr">
        <is>
          <t>Quelle: Solvia / Haya Real Estate</t>
        </is>
      </c>
    </row>
    <row r="2715">
      <c r="A2715" t="n">
        <v>2528</v>
      </c>
      <c r="B2715" t="inlineStr">
        <is>
          <t>Edificio en Son Servera</t>
        </is>
      </c>
      <c r="C2715" t="inlineStr">
        <is>
          <t>https://www.haya.es/es/comprar/vivienda/214985</t>
        </is>
      </c>
      <c r="E2715" t="n">
        <v>4</v>
      </c>
      <c r="H2715" t="n">
        <v>396.65</v>
      </c>
      <c r="J2715" t="inlineStr">
        <is>
          <t>Son Servera</t>
        </is>
      </c>
      <c r="S2715" t="n">
        <v>465800</v>
      </c>
      <c r="T2715" t="n">
        <v>1174</v>
      </c>
      <c r="AH2715" t="inlineStr">
        <is>
          <t>Quelle: Solvia / Haya Real Estate</t>
        </is>
      </c>
    </row>
    <row r="2716">
      <c r="A2716" t="n">
        <v>2529</v>
      </c>
      <c r="B2716" t="inlineStr">
        <is>
          <t>Edificio en Artà</t>
        </is>
      </c>
      <c r="C2716" t="inlineStr">
        <is>
          <t>https://www.haya.es/es/comprar/vivienda/253979</t>
        </is>
      </c>
      <c r="E2716" t="n">
        <v>3</v>
      </c>
      <c r="H2716" t="n">
        <v>395</v>
      </c>
      <c r="J2716" t="inlineStr">
        <is>
          <t>Artà</t>
        </is>
      </c>
      <c r="S2716" t="n">
        <v>475000</v>
      </c>
      <c r="T2716" t="n">
        <v>1203</v>
      </c>
      <c r="AH2716" t="inlineStr">
        <is>
          <t>Quelle: Solvia / Haya Real Estate</t>
        </is>
      </c>
    </row>
    <row r="2717">
      <c r="A2717" t="n">
        <v>2530</v>
      </c>
      <c r="B2717" t="inlineStr">
        <is>
          <t>Edificio en Mahón</t>
        </is>
      </c>
      <c r="C2717" t="inlineStr">
        <is>
          <t>https://www.haya.es/es/comprar/vivienda/166575</t>
        </is>
      </c>
      <c r="H2717" t="n">
        <v>415</v>
      </c>
      <c r="J2717" t="inlineStr">
        <is>
          <t>Mahón</t>
        </is>
      </c>
      <c r="S2717" t="n">
        <v>426000</v>
      </c>
      <c r="T2717" t="n">
        <v>1027</v>
      </c>
      <c r="AH2717" t="inlineStr">
        <is>
          <t>Quelle: Solvia / Haya Real Estate</t>
        </is>
      </c>
    </row>
    <row r="2718">
      <c r="A2718" t="n">
        <v>2531</v>
      </c>
      <c r="B2718" t="inlineStr">
        <is>
          <t>Edificio en Sant Lluís</t>
        </is>
      </c>
      <c r="C2718" t="inlineStr">
        <is>
          <t>https://www.haya.es/es/comprar/vivienda/221704</t>
        </is>
      </c>
      <c r="H2718" t="n">
        <v>792.34</v>
      </c>
      <c r="J2718" t="inlineStr">
        <is>
          <t>Sant Lluís</t>
        </is>
      </c>
      <c r="S2718" t="n">
        <v>680100</v>
      </c>
      <c r="T2718" t="n">
        <v>858</v>
      </c>
      <c r="AH2718" t="inlineStr">
        <is>
          <t>Quelle: Solvia / Haya Real Estate</t>
        </is>
      </c>
    </row>
    <row r="2719">
      <c r="A2719" t="n">
        <v>2532</v>
      </c>
      <c r="B2719" t="inlineStr">
        <is>
          <t>Casa en calle Nostra Senyora del Carme</t>
        </is>
      </c>
      <c r="C2719" t="inlineStr">
        <is>
          <t>https://www.pisos.com/comprar/casa-binibona-56720058819_399900/</t>
        </is>
      </c>
      <c r="E2719" t="n">
        <v>3</v>
      </c>
      <c r="J2719" t="inlineStr">
        <is>
          <t>Selva</t>
        </is>
      </c>
      <c r="S2719" t="n">
        <v>795000</v>
      </c>
      <c r="AH2719" t="inlineStr">
        <is>
          <t>Quelle: Pisos.com</t>
        </is>
      </c>
    </row>
    <row r="2720">
      <c r="A2720" t="n">
        <v>2533</v>
      </c>
      <c r="B2720" t="inlineStr">
        <is>
          <t>Piso en Carrer de Sant Cristòfol</t>
        </is>
      </c>
      <c r="C2720" t="inlineStr">
        <is>
          <t>https://www.pisos.com/comprar/piso-llucmajor_sarenal-61708490668_399900/</t>
        </is>
      </c>
      <c r="E2720" t="n">
        <v>3</v>
      </c>
      <c r="J2720" t="inlineStr">
        <is>
          <t>Llucmajor</t>
        </is>
      </c>
      <c r="S2720" t="n">
        <v>330000</v>
      </c>
      <c r="AH2720" t="inlineStr">
        <is>
          <t>Quelle: Pisos.com</t>
        </is>
      </c>
    </row>
    <row r="2721">
      <c r="A2721" t="n">
        <v>2534</v>
      </c>
      <c r="B2721" t="inlineStr">
        <is>
          <t>Piso en Carrer de Goya, 28</t>
        </is>
      </c>
      <c r="C2721" t="inlineStr">
        <is>
          <t>https://www.pisos.com/comprar/piso-colonia_de_sant_jordi-6172990442_109700/</t>
        </is>
      </c>
      <c r="E2721" t="n">
        <v>2</v>
      </c>
      <c r="J2721" t="inlineStr">
        <is>
          <t>Ses Salines</t>
        </is>
      </c>
      <c r="S2721" t="n">
        <v>485000</v>
      </c>
      <c r="AH2721" t="inlineStr">
        <is>
          <t>Quelle: Pisos.com</t>
        </is>
      </c>
    </row>
    <row r="2722">
      <c r="A2722" t="n">
        <v>2535</v>
      </c>
      <c r="B2722" t="inlineStr">
        <is>
          <t>Piso en Carrer de Pere Quintana</t>
        </is>
      </c>
      <c r="C2722" t="inlineStr">
        <is>
          <t>https://www.pisos.com/comprar/piso-el_coll_en_rabassa07007-59216807451_515241/</t>
        </is>
      </c>
      <c r="E2722" t="n">
        <v>3</v>
      </c>
      <c r="J2722" t="inlineStr">
        <is>
          <t>Palma de Mallorca</t>
        </is>
      </c>
      <c r="S2722" t="n">
        <v>500000</v>
      </c>
      <c r="AH2722" t="inlineStr">
        <is>
          <t>Quelle: Pisos.com</t>
        </is>
      </c>
    </row>
    <row r="2723">
      <c r="A2723" t="n">
        <v>2536</v>
      </c>
      <c r="B2723" t="inlineStr">
        <is>
          <t>Ático en calle Apartamento 132 calle Guipuxcoa 14-18
 Cala de Bou</t>
        </is>
      </c>
      <c r="C2723" t="inlineStr">
        <is>
          <t>https://www.pisos.com/comprar/atico-sant_josep_de_sa_talaia_centro_urbano-51690722796_109300/</t>
        </is>
      </c>
      <c r="E2723" t="n">
        <v>3</v>
      </c>
      <c r="J2723" t="inlineStr">
        <is>
          <t>Sant Josep de sa Talaia</t>
        </is>
      </c>
      <c r="S2723" t="n">
        <v>690000</v>
      </c>
      <c r="AH2723" t="inlineStr">
        <is>
          <t>Quelle: Pisos.com</t>
        </is>
      </c>
    </row>
    <row r="2724">
      <c r="A2724" t="n">
        <v>2537</v>
      </c>
      <c r="B2724" t="inlineStr">
        <is>
          <t>Piso en Carrer de Goya, 28</t>
        </is>
      </c>
      <c r="C2724" t="inlineStr">
        <is>
          <t>https://www.pisos.com/comprar/piso-colonia_de_sant_jordi-6099097914_109700/</t>
        </is>
      </c>
      <c r="E2724" t="n">
        <v>3</v>
      </c>
      <c r="J2724" t="inlineStr">
        <is>
          <t>Ses Salines</t>
        </is>
      </c>
      <c r="S2724" t="n">
        <v>515000</v>
      </c>
      <c r="AH2724" t="inlineStr">
        <is>
          <t>Quelle: Pisos.com</t>
        </is>
      </c>
    </row>
    <row r="2725">
      <c r="A2725" t="n">
        <v>2538</v>
      </c>
      <c r="B2725" t="inlineStr">
        <is>
          <t>Piso en Carrer d'Alfons 'El Magnanim', 54</t>
        </is>
      </c>
      <c r="C2725" t="inlineStr">
        <is>
          <t>https://www.pisos.com/comprar/piso-olivera-6139780086_109700/</t>
        </is>
      </c>
      <c r="E2725" t="n">
        <v>2</v>
      </c>
      <c r="J2725" t="inlineStr">
        <is>
          <t>Palma de Mallorca</t>
        </is>
      </c>
      <c r="S2725" t="n">
        <v>425000</v>
      </c>
      <c r="AH2725" t="inlineStr">
        <is>
          <t>Quelle: Pisos.com</t>
        </is>
      </c>
    </row>
    <row r="2726">
      <c r="A2726" t="n">
        <v>2539</v>
      </c>
      <c r="B2726" t="inlineStr">
        <is>
          <t>Piso en Carrer de Goya, 28</t>
        </is>
      </c>
      <c r="C2726" t="inlineStr">
        <is>
          <t>https://www.pisos.com/comprar/piso-colonia_de_sant_jordi-6124881166_109700/</t>
        </is>
      </c>
      <c r="E2726" t="n">
        <v>3</v>
      </c>
      <c r="J2726" t="inlineStr">
        <is>
          <t>Ses Salines</t>
        </is>
      </c>
      <c r="S2726" t="n">
        <v>619000</v>
      </c>
      <c r="AH2726" t="inlineStr">
        <is>
          <t>Quelle: Pisos.com</t>
        </is>
      </c>
    </row>
    <row r="2727">
      <c r="A2727" t="n">
        <v>2540</v>
      </c>
      <c r="B2727" t="inlineStr">
        <is>
          <t>Piso en Carrer de Goya, 28</t>
        </is>
      </c>
      <c r="C2727" t="inlineStr">
        <is>
          <t>https://www.pisos.com/comprar/piso-colonia_de_sant_jordi-6150314264_109700/</t>
        </is>
      </c>
      <c r="E2727" t="n">
        <v>2</v>
      </c>
      <c r="J2727" t="inlineStr">
        <is>
          <t>Ses Salines</t>
        </is>
      </c>
      <c r="S2727" t="n">
        <v>620000</v>
      </c>
      <c r="AH2727" t="inlineStr">
        <is>
          <t>Quelle: Pisos.com</t>
        </is>
      </c>
    </row>
    <row r="2728">
      <c r="A2728" t="n">
        <v>2541</v>
      </c>
      <c r="B2728" t="inlineStr">
        <is>
          <t>Piso en Carrer de l'Arxiduc Lluís Salvador</t>
        </is>
      </c>
      <c r="C2728" t="inlineStr">
        <is>
          <t>https://www.pisos.com/comprar/piso-placa_de_toros07004-61750591417_399900/</t>
        </is>
      </c>
      <c r="E2728" t="n">
        <v>4</v>
      </c>
      <c r="J2728" t="inlineStr">
        <is>
          <t>Palma de Mallorca</t>
        </is>
      </c>
      <c r="S2728" t="n">
        <v>379990</v>
      </c>
      <c r="AH2728" t="inlineStr">
        <is>
          <t>Quelle: Pisos.com</t>
        </is>
      </c>
    </row>
    <row r="2729">
      <c r="A2729" t="n">
        <v>2542</v>
      </c>
      <c r="B2729" t="inlineStr">
        <is>
          <t>Piso en Carrer d'Alfons 'El Magnanim', 54</t>
        </is>
      </c>
      <c r="C2729" t="inlineStr">
        <is>
          <t>https://www.pisos.com/comprar/piso-olivera-6094919935_109700/</t>
        </is>
      </c>
      <c r="E2729" t="n">
        <v>3</v>
      </c>
      <c r="J2729" t="inlineStr">
        <is>
          <t>Palma de Mallorca</t>
        </is>
      </c>
      <c r="S2729" t="n">
        <v>570000</v>
      </c>
      <c r="AH2729" t="inlineStr">
        <is>
          <t>Quelle: Pisos.com</t>
        </is>
      </c>
    </row>
    <row r="2730">
      <c r="A2730" t="n">
        <v>2543</v>
      </c>
      <c r="B2730" t="inlineStr">
        <is>
          <t>Piso en Carrer d'Alfons 'El Magnanim', 54</t>
        </is>
      </c>
      <c r="C2730" t="inlineStr">
        <is>
          <t>https://www.pisos.com/comprar/piso-olivera-6104376640_109700/</t>
        </is>
      </c>
      <c r="E2730" t="n">
        <v>2</v>
      </c>
      <c r="J2730" t="inlineStr">
        <is>
          <t>Palma de Mallorca</t>
        </is>
      </c>
      <c r="S2730" t="n">
        <v>475000</v>
      </c>
      <c r="AH2730" t="inlineStr">
        <is>
          <t>Quelle: Pisos.com</t>
        </is>
      </c>
    </row>
    <row r="2731">
      <c r="A2731" t="n">
        <v>2544</v>
      </c>
      <c r="B2731" t="inlineStr">
        <is>
          <t>Piso en Carrer de la Concòrdia</t>
        </is>
      </c>
      <c r="C2731" t="inlineStr">
        <is>
          <t>https://www.pisos.com/comprar/piso-placa_de_toros07004-60090204554_100500/</t>
        </is>
      </c>
      <c r="E2731" t="n">
        <v>3</v>
      </c>
      <c r="J2731" t="inlineStr">
        <is>
          <t>Palma de Mallorca</t>
        </is>
      </c>
      <c r="S2731" t="n">
        <v>438000</v>
      </c>
      <c r="AH2731" t="inlineStr">
        <is>
          <t>Quelle: Pisos.com</t>
        </is>
      </c>
    </row>
    <row r="2732">
      <c r="A2732" t="n">
        <v>2545</v>
      </c>
      <c r="B2732" t="inlineStr">
        <is>
          <t>Piso en Carrer de Triana</t>
        </is>
      </c>
      <c r="C2732" t="inlineStr">
        <is>
          <t>https://www.pisos.com/comprar/piso-ponent_son_espanyolet07014-60032570917_109300/</t>
        </is>
      </c>
      <c r="E2732" t="n">
        <v>3</v>
      </c>
      <c r="J2732" t="inlineStr">
        <is>
          <t>Palma de Mallorca</t>
        </is>
      </c>
      <c r="S2732" t="n">
        <v>469000</v>
      </c>
      <c r="AH2732" t="inlineStr">
        <is>
          <t>Quelle: Pisos.com</t>
        </is>
      </c>
    </row>
    <row r="2733">
      <c r="A2733" t="n">
        <v>2546</v>
      </c>
      <c r="B2733" t="inlineStr">
        <is>
          <t>Casa en Carrer d'Antonio Calafell</t>
        </is>
      </c>
      <c r="C2733" t="inlineStr">
        <is>
          <t>https://www.pisos.com/comprar/casa-andratx_centro_urbano-59229269331_109300/</t>
        </is>
      </c>
      <c r="E2733" t="n">
        <v>5</v>
      </c>
      <c r="J2733" t="inlineStr">
        <is>
          <t>Andratx</t>
        </is>
      </c>
      <c r="K2733" t="n">
        <v>40.3</v>
      </c>
      <c r="L2733" t="n">
        <v>36</v>
      </c>
      <c r="M2733" t="n">
        <v>83</v>
      </c>
      <c r="N2733" t="n">
        <v>68</v>
      </c>
      <c r="O2733" t="n">
        <v>2.7</v>
      </c>
      <c r="P2733" t="n">
        <v>7</v>
      </c>
      <c r="Q2733" t="n">
        <v>80.7</v>
      </c>
      <c r="R2733" t="n">
        <v>65</v>
      </c>
      <c r="S2733" t="n">
        <v>685000</v>
      </c>
      <c r="AH2733" t="inlineStr">
        <is>
          <t>Quelle: Pisos.com</t>
        </is>
      </c>
    </row>
    <row r="2734">
      <c r="A2734" t="n">
        <v>2547</v>
      </c>
      <c r="B2734" t="inlineStr">
        <is>
          <t>Casa en Carrer de Rodrigo de Triana</t>
        </is>
      </c>
      <c r="C2734" t="inlineStr">
        <is>
          <t>https://www.pisos.com/comprar/casa-felanitx_centro_urbano-49265428627_100500/</t>
        </is>
      </c>
      <c r="E2734" t="n">
        <v>3</v>
      </c>
      <c r="J2734" t="inlineStr">
        <is>
          <t>Felanitx</t>
        </is>
      </c>
      <c r="S2734" t="n">
        <v>420000</v>
      </c>
      <c r="AH2734" t="inlineStr">
        <is>
          <t>Quelle: Pisos.com</t>
        </is>
      </c>
    </row>
    <row r="2735">
      <c r="A2735" t="n">
        <v>2548</v>
      </c>
      <c r="B2735" t="inlineStr">
        <is>
          <t>Piso en Gran Via de les Penyes Rotges</t>
        </is>
      </c>
      <c r="C2735" t="inlineStr">
        <is>
          <t>https://www.pisos.com/comprar/piso-calvia_santa_ponca07180-61750246140_100500/</t>
        </is>
      </c>
      <c r="E2735" t="n">
        <v>3</v>
      </c>
      <c r="J2735" t="inlineStr">
        <is>
          <t>Calvi&amp;#xE0;</t>
        </is>
      </c>
      <c r="S2735" t="n">
        <v>550000</v>
      </c>
      <c r="AH2735" t="inlineStr">
        <is>
          <t>Quelle: Pisos.com</t>
        </is>
      </c>
    </row>
    <row r="2736">
      <c r="A2736" t="n">
        <v>2549</v>
      </c>
      <c r="B2736" t="inlineStr">
        <is>
          <t>Casa pareada en Carrer dels Frares</t>
        </is>
      </c>
      <c r="C2736" t="inlineStr">
        <is>
          <t>https://www.pisos.com/comprar/casa_pareada-centre_historic-61762163418_100500/</t>
        </is>
      </c>
      <c r="E2736" t="n">
        <v>4</v>
      </c>
      <c r="J2736" t="inlineStr">
        <is>
          <t>Ma&amp;#xF3; Mah&amp;#xF3;n</t>
        </is>
      </c>
      <c r="S2736" t="n">
        <v>270000</v>
      </c>
      <c r="AH2736" t="inlineStr">
        <is>
          <t>Quelle: Pisos.com</t>
        </is>
      </c>
    </row>
    <row r="2737">
      <c r="A2737" t="n">
        <v>2550</v>
      </c>
      <c r="B2737" t="inlineStr">
        <is>
          <t>Piso en Carrer de Ses Vinyes</t>
        </is>
      </c>
      <c r="C2737" t="inlineStr">
        <is>
          <t>https://www.pisos.com/comprar/piso-cami_de_ses_vinyes_sinia_costabella07703-61753209901_100500/</t>
        </is>
      </c>
      <c r="E2737" t="n">
        <v>5</v>
      </c>
      <c r="J2737" t="inlineStr">
        <is>
          <t>Ma&amp;#xF3; Mah&amp;#xF3;n</t>
        </is>
      </c>
      <c r="K2737" t="n">
        <v>47.4</v>
      </c>
      <c r="L2737" t="n">
        <v>40</v>
      </c>
      <c r="M2737" t="n">
        <v>51.8</v>
      </c>
      <c r="N2737" t="n">
        <v>55</v>
      </c>
      <c r="O2737" t="n">
        <v>70</v>
      </c>
      <c r="P2737" t="n">
        <v>56</v>
      </c>
      <c r="Q2737" t="n">
        <v>49.5</v>
      </c>
      <c r="R2737" t="n">
        <v>51</v>
      </c>
      <c r="S2737" t="n">
        <v>290000</v>
      </c>
      <c r="AH2737" t="inlineStr">
        <is>
          <t>Quelle: Pisos.com</t>
        </is>
      </c>
    </row>
    <row r="2738">
      <c r="A2738" t="n">
        <v>2551</v>
      </c>
      <c r="B2738" t="inlineStr">
        <is>
          <t>Piso en Carrer de Porta Santa Margalida</t>
        </is>
      </c>
      <c r="C2738" t="inlineStr">
        <is>
          <t>https://www.pisos.com/comprar/piso-nord_sa_indioteria07009-61694741339_100500/</t>
        </is>
      </c>
      <c r="E2738" t="n">
        <v>3</v>
      </c>
      <c r="J2738" t="inlineStr">
        <is>
          <t>Palma de Mallorca</t>
        </is>
      </c>
      <c r="S2738" t="n">
        <v>369000</v>
      </c>
      <c r="AH2738" t="inlineStr">
        <is>
          <t>Quelle: Pisos.com</t>
        </is>
      </c>
    </row>
    <row r="2739">
      <c r="A2739" t="n">
        <v>2552</v>
      </c>
      <c r="B2739" t="inlineStr">
        <is>
          <t>Piso en Carrer d'Alfons 'El Magnanim', 54</t>
        </is>
      </c>
      <c r="C2739" t="inlineStr">
        <is>
          <t>https://www.pisos.com/comprar/piso-olivera-6175960082_109700/</t>
        </is>
      </c>
      <c r="E2739" t="n">
        <v>2</v>
      </c>
      <c r="J2739" t="inlineStr">
        <is>
          <t>Palma de Mallorca</t>
        </is>
      </c>
      <c r="S2739" t="n">
        <v>525000</v>
      </c>
      <c r="AH2739" t="inlineStr">
        <is>
          <t>Quelle: Pisos.com</t>
        </is>
      </c>
    </row>
    <row r="2740">
      <c r="A2740" t="n">
        <v>2553</v>
      </c>
      <c r="B2740" t="inlineStr">
        <is>
          <t>Piso en Carrer d'Alfons 'El Magnanim', 54</t>
        </is>
      </c>
      <c r="C2740" t="inlineStr">
        <is>
          <t>https://www.pisos.com/comprar/piso-olivera-6139694695_109700/</t>
        </is>
      </c>
      <c r="E2740" t="n">
        <v>3</v>
      </c>
      <c r="J2740" t="inlineStr">
        <is>
          <t>Palma de Mallorca</t>
        </is>
      </c>
      <c r="S2740" t="n">
        <v>550000</v>
      </c>
      <c r="AH2740" t="inlineStr">
        <is>
          <t>Quelle: Pisos.com</t>
        </is>
      </c>
    </row>
    <row r="2741">
      <c r="A2741" t="n">
        <v>2554</v>
      </c>
      <c r="B2741" t="inlineStr">
        <is>
          <t>Piso en Carrer Femenies</t>
        </is>
      </c>
      <c r="C2741" t="inlineStr">
        <is>
          <t>https://www.pisos.com/comprar/piso-es_camp_en_serralta07013-60885353157_109300/</t>
        </is>
      </c>
      <c r="E2741" t="n">
        <v>3</v>
      </c>
      <c r="J2741" t="inlineStr">
        <is>
          <t>Palma de Mallorca</t>
        </is>
      </c>
      <c r="S2741" t="n">
        <v>449900</v>
      </c>
      <c r="AH2741" t="inlineStr">
        <is>
          <t>Quelle: Pisos.com</t>
        </is>
      </c>
    </row>
    <row r="2742">
      <c r="A2742" t="n">
        <v>2555</v>
      </c>
      <c r="B2742" t="inlineStr">
        <is>
          <t>Piso en Carrer de Buenavista</t>
        </is>
      </c>
      <c r="C2742" t="inlineStr">
        <is>
          <t>https://www.pisos.com/comprar/piso-portals_nous_bendinat-59173642119_518365/</t>
        </is>
      </c>
      <c r="E2742" t="n">
        <v>1</v>
      </c>
      <c r="J2742" t="inlineStr">
        <is>
          <t>Calvi&amp;#xE0;</t>
        </is>
      </c>
      <c r="S2742" t="n">
        <v>325000</v>
      </c>
      <c r="AH2742" t="inlineStr">
        <is>
          <t>Quelle: Pisos.com</t>
        </is>
      </c>
    </row>
    <row r="2743">
      <c r="A2743" t="n">
        <v>2556</v>
      </c>
      <c r="B2743" t="inlineStr">
        <is>
          <t>Chalet en Es Garrovers</t>
        </is>
      </c>
      <c r="C2743" t="inlineStr">
        <is>
          <t>https://www.pisos.com/comprar/chalet-planera_son_daviu_nou_es_garrovers-58345812020_100500/</t>
        </is>
      </c>
      <c r="E2743" t="n">
        <v>3</v>
      </c>
      <c r="J2743" t="inlineStr">
        <is>
          <t>Marratx&amp;#xED;</t>
        </is>
      </c>
      <c r="S2743" t="n">
        <v>595000</v>
      </c>
      <c r="AH2743" t="inlineStr">
        <is>
          <t>Quelle: Pisos.com</t>
        </is>
      </c>
    </row>
    <row r="2744">
      <c r="A2744" t="n">
        <v>2557</v>
      </c>
      <c r="B2744" t="inlineStr">
        <is>
          <t>Piso en Carrer de Rafael Rodríguez Méndez</t>
        </is>
      </c>
      <c r="C2744" t="inlineStr">
        <is>
          <t>https://www.pisos.com/comprar/piso-el_forti07011-54243533646_998925/</t>
        </is>
      </c>
      <c r="E2744" t="n">
        <v>4</v>
      </c>
      <c r="J2744" t="inlineStr">
        <is>
          <t>Palma de Mallorca</t>
        </is>
      </c>
      <c r="S2744" t="n">
        <v>449000</v>
      </c>
      <c r="AH2744" t="inlineStr">
        <is>
          <t>Quelle: Pisos.com</t>
        </is>
      </c>
    </row>
    <row r="2745">
      <c r="A2745" t="n">
        <v>2558</v>
      </c>
      <c r="B2745" t="inlineStr">
        <is>
          <t>Piso en Avinguda d'Ignasi Wallis</t>
        </is>
      </c>
      <c r="C2745" t="inlineStr">
        <is>
          <t>https://www.pisos.com/comprar/piso-dalt_vila_la_marina-52544761284_529621/</t>
        </is>
      </c>
      <c r="E2745" t="n">
        <v>2</v>
      </c>
      <c r="J2745" t="inlineStr">
        <is>
          <t>Ibiza Eivissa</t>
        </is>
      </c>
      <c r="S2745" t="n">
        <v>695000</v>
      </c>
      <c r="AH2745" t="inlineStr">
        <is>
          <t>Quelle: Pisos.com</t>
        </is>
      </c>
    </row>
    <row r="2746">
      <c r="A2746" t="n">
        <v>2559</v>
      </c>
      <c r="B2746" t="inlineStr">
        <is>
          <t>Piso en Cala Millor</t>
        </is>
      </c>
      <c r="C2746" t="inlineStr">
        <is>
          <t>https://www.pisos.com/comprar/piso-cala_millor-51705974382_528870/</t>
        </is>
      </c>
      <c r="E2746" t="n">
        <v>2</v>
      </c>
      <c r="J2746" t="inlineStr">
        <is>
          <t>Son Servera</t>
        </is>
      </c>
      <c r="S2746" t="n">
        <v>335000</v>
      </c>
      <c r="AH2746" t="inlineStr">
        <is>
          <t>Quelle: Pisos.com</t>
        </is>
      </c>
    </row>
    <row r="2747">
      <c r="A2747" t="n">
        <v>2560</v>
      </c>
      <c r="B2747" t="inlineStr">
        <is>
          <t>Casa en Cas Català-Illetes</t>
        </is>
      </c>
      <c r="C2747" t="inlineStr">
        <is>
          <t>https://www.pisos.com/comprar/casa-cas_catala_illetes-51728593333_108700/</t>
        </is>
      </c>
      <c r="E2747" t="n">
        <v>3</v>
      </c>
      <c r="J2747" t="inlineStr">
        <is>
          <t>Calvi&amp;#xE0;</t>
        </is>
      </c>
      <c r="S2747" t="n">
        <v>961000</v>
      </c>
      <c r="AH2747" t="inlineStr">
        <is>
          <t>Quelle: Pisos.com</t>
        </is>
      </c>
    </row>
    <row r="2748">
      <c r="A2748" t="n">
        <v>2561</v>
      </c>
      <c r="B2748" t="inlineStr">
        <is>
          <t>Chalet en Carrer del Cosconar</t>
        </is>
      </c>
      <c r="C2748" t="inlineStr">
        <is>
          <t>https://www.pisos.com/comprar/chalet-ponent_son_vida07013-42526102939_100500/</t>
        </is>
      </c>
      <c r="E2748" t="n">
        <v>7</v>
      </c>
      <c r="J2748" t="inlineStr">
        <is>
          <t>Palma de Mallorca</t>
        </is>
      </c>
      <c r="K2748" t="n">
        <v>9.699999999999999</v>
      </c>
      <c r="L2748" t="n">
        <v>14</v>
      </c>
      <c r="M2748" t="n">
        <v>52.5</v>
      </c>
      <c r="N2748" t="n">
        <v>47</v>
      </c>
      <c r="O2748" t="n">
        <v>32.1</v>
      </c>
      <c r="P2748" t="n">
        <v>36</v>
      </c>
      <c r="Q2748" t="n">
        <v>50.2</v>
      </c>
      <c r="R2748" t="n">
        <v>44</v>
      </c>
      <c r="S2748" t="n">
        <v>5200000</v>
      </c>
      <c r="AH2748" t="inlineStr">
        <is>
          <t>Quelle: Pisos.com</t>
        </is>
      </c>
    </row>
    <row r="2749">
      <c r="A2749" t="n">
        <v>2562</v>
      </c>
      <c r="B2749" t="inlineStr">
        <is>
          <t>Piso en Carrer de Goya, 28</t>
        </is>
      </c>
      <c r="C2749" t="inlineStr">
        <is>
          <t>https://www.pisos.com/comprar/piso-colonia_de_sant_jordi-6122898135_109700/</t>
        </is>
      </c>
      <c r="E2749" t="n">
        <v>3</v>
      </c>
      <c r="J2749" t="inlineStr">
        <is>
          <t>Ses Salines</t>
        </is>
      </c>
      <c r="S2749" t="n">
        <v>505000</v>
      </c>
      <c r="AH2749" t="inlineStr">
        <is>
          <t>Quelle: Pisos.com</t>
        </is>
      </c>
    </row>
    <row r="2750">
      <c r="A2750" t="n">
        <v>2563</v>
      </c>
      <c r="B2750" t="inlineStr">
        <is>
          <t>Casa pareada en Ariany</t>
        </is>
      </c>
      <c r="C2750" t="inlineStr">
        <is>
          <t>https://www.pisos.com/comprar/casa_pareada-ariany_centro_urbano-53408710115_100500/</t>
        </is>
      </c>
      <c r="E2750" t="n">
        <v>3</v>
      </c>
      <c r="J2750" t="inlineStr">
        <is>
          <t>Ariany</t>
        </is>
      </c>
      <c r="S2750" t="n">
        <v>750000</v>
      </c>
      <c r="AH2750" t="inlineStr">
        <is>
          <t>Quelle: Pisos.com</t>
        </is>
      </c>
    </row>
    <row r="2751">
      <c r="A2751" t="n">
        <v>2564</v>
      </c>
      <c r="B2751" t="inlineStr">
        <is>
          <t>Casa en Bunyola</t>
        </is>
      </c>
      <c r="C2751" t="inlineStr">
        <is>
          <t>https://www.pisos.com/comprar/casa-bunyola_centro_urbano-61669967574_998925/</t>
        </is>
      </c>
      <c r="E2751" t="n">
        <v>7</v>
      </c>
      <c r="J2751" t="inlineStr">
        <is>
          <t>Bunyola</t>
        </is>
      </c>
      <c r="K2751" t="n">
        <v>26.3</v>
      </c>
      <c r="L2751" t="n">
        <v>25</v>
      </c>
      <c r="M2751" t="n">
        <v>69.09999999999999</v>
      </c>
      <c r="N2751" t="n">
        <v>58</v>
      </c>
      <c r="O2751" t="n">
        <v>48.9</v>
      </c>
      <c r="P2751" t="n">
        <v>41</v>
      </c>
      <c r="Q2751" t="n">
        <v>66.8</v>
      </c>
      <c r="R2751" t="n">
        <v>54</v>
      </c>
      <c r="S2751" t="n">
        <v>1400000</v>
      </c>
      <c r="AH2751" t="inlineStr">
        <is>
          <t>Quelle: Pisos.com</t>
        </is>
      </c>
    </row>
    <row r="2752">
      <c r="A2752" t="n">
        <v>2565</v>
      </c>
      <c r="B2752" t="inlineStr">
        <is>
          <t>Piso en Son Fortesa Sur</t>
        </is>
      </c>
      <c r="C2752" t="inlineStr">
        <is>
          <t>https://www.pisos.com/comprar/piso-els_hostalets_son_fortesa07005-61715445354_100500/</t>
        </is>
      </c>
      <c r="E2752" t="n">
        <v>4</v>
      </c>
      <c r="J2752" t="inlineStr">
        <is>
          <t>Palma de Mallorca</t>
        </is>
      </c>
      <c r="S2752" t="n">
        <v>429000</v>
      </c>
      <c r="AH2752" t="inlineStr">
        <is>
          <t>Quelle: Pisos.com</t>
        </is>
      </c>
    </row>
    <row r="2753">
      <c r="A2753" t="n">
        <v>2566</v>
      </c>
      <c r="B2753" t="inlineStr">
        <is>
          <t>Chalet adosado en Son Espanyolet</t>
        </is>
      </c>
      <c r="C2753" t="inlineStr">
        <is>
          <t>https://www.pisos.com/comprar/chalet_adosado-ponent_son_espanyolet07014-61735979032_525556/</t>
        </is>
      </c>
      <c r="E2753" t="n">
        <v>4</v>
      </c>
      <c r="J2753" t="inlineStr">
        <is>
          <t>Palma de Mallorca</t>
        </is>
      </c>
      <c r="K2753" t="n">
        <v>9.699999999999999</v>
      </c>
      <c r="L2753" t="n">
        <v>14</v>
      </c>
      <c r="M2753" t="n">
        <v>52.5</v>
      </c>
      <c r="N2753" t="n">
        <v>47</v>
      </c>
      <c r="O2753" t="n">
        <v>32.1</v>
      </c>
      <c r="P2753" t="n">
        <v>36</v>
      </c>
      <c r="Q2753" t="n">
        <v>50.2</v>
      </c>
      <c r="R2753" t="n">
        <v>44</v>
      </c>
      <c r="S2753" t="n">
        <v>2200000</v>
      </c>
      <c r="AH2753" t="inlineStr">
        <is>
          <t>Quelle: Pisos.com</t>
        </is>
      </c>
    </row>
    <row r="2754">
      <c r="A2754" t="n">
        <v>2567</v>
      </c>
      <c r="B2754" t="inlineStr">
        <is>
          <t>Finca rústica en Blanquer</t>
        </is>
      </c>
      <c r="C2754" t="inlineStr">
        <is>
          <t>https://www.pisos.com/comprar/finca_rustica-inca_centro_urbano-61674241321_100500/</t>
        </is>
      </c>
      <c r="E2754" t="n">
        <v>3</v>
      </c>
      <c r="J2754" t="inlineStr">
        <is>
          <t>Inca</t>
        </is>
      </c>
      <c r="S2754" t="n">
        <v>740000</v>
      </c>
      <c r="AH2754" t="inlineStr">
        <is>
          <t>Quelle: Pisos.com</t>
        </is>
      </c>
    </row>
    <row r="2755">
      <c r="A2755" t="n">
        <v>2568</v>
      </c>
      <c r="B2755" t="inlineStr">
        <is>
          <t>Casa rústica en Pòrtol</t>
        </is>
      </c>
      <c r="C2755" t="inlineStr">
        <is>
          <t>https://www.pisos.com/comprar/casa_rustica-marratxi_portol-60043944414_106600/</t>
        </is>
      </c>
      <c r="E2755" t="n">
        <v>4</v>
      </c>
      <c r="J2755" t="inlineStr">
        <is>
          <t>Marratx&amp;#xED;</t>
        </is>
      </c>
      <c r="K2755" t="n">
        <v>13</v>
      </c>
      <c r="L2755" t="n">
        <v>17</v>
      </c>
      <c r="M2755" t="n">
        <v>56.3</v>
      </c>
      <c r="N2755" t="n">
        <v>50</v>
      </c>
      <c r="O2755" t="n">
        <v>40.6</v>
      </c>
      <c r="P2755" t="n">
        <v>34</v>
      </c>
      <c r="Q2755" t="n">
        <v>54</v>
      </c>
      <c r="R2755" t="n">
        <v>46</v>
      </c>
      <c r="S2755" t="n">
        <v>1150000</v>
      </c>
      <c r="AH2755" t="inlineStr">
        <is>
          <t>Quelle: Pisos.com</t>
        </is>
      </c>
    </row>
    <row r="2756">
      <c r="A2756" t="n">
        <v>2569</v>
      </c>
      <c r="B2756" t="inlineStr">
        <is>
          <t>Chalet en Palma de Mallorca</t>
        </is>
      </c>
      <c r="C2756" t="inlineStr">
        <is>
          <t>https://www.pisos.com/comprar/chalet-palma_de_mallorca-59248093870_106600/</t>
        </is>
      </c>
      <c r="E2756" t="n">
        <v>3</v>
      </c>
      <c r="J2756" t="inlineStr">
        <is>
          <t>Palma de Mallorca</t>
        </is>
      </c>
      <c r="S2756" t="n">
        <v>880000</v>
      </c>
      <c r="AH2756" t="inlineStr">
        <is>
          <t>Quelle: Pisos.com</t>
        </is>
      </c>
    </row>
    <row r="2757">
      <c r="A2757" t="n">
        <v>2570</v>
      </c>
      <c r="B2757" t="inlineStr">
        <is>
          <t>Casa adosada en Maó - Mahón</t>
        </is>
      </c>
      <c r="C2757" t="inlineStr">
        <is>
          <t>https://www.pisos.com/comprar/casa_adosada-mao_mahon-59263854866_106600/</t>
        </is>
      </c>
      <c r="E2757" t="n">
        <v>4</v>
      </c>
      <c r="J2757" t="inlineStr">
        <is>
          <t>Ma&amp;#xF3; Mah&amp;#xF3;n</t>
        </is>
      </c>
      <c r="S2757" t="n">
        <v>815000</v>
      </c>
      <c r="AH2757" t="inlineStr">
        <is>
          <t>Quelle: Pisos.com</t>
        </is>
      </c>
    </row>
    <row r="2758">
      <c r="A2758" t="n">
        <v>2571</v>
      </c>
      <c r="B2758" t="inlineStr">
        <is>
          <t>Casa pareada en Costa Den Blanes</t>
        </is>
      </c>
      <c r="C2758" t="inlineStr">
        <is>
          <t>https://www.pisos.com/comprar/casa_pareada-calvia_costa_en_blanes-59254284556_100500/</t>
        </is>
      </c>
      <c r="E2758" t="n">
        <v>4</v>
      </c>
      <c r="J2758" t="inlineStr">
        <is>
          <t>Calvi&amp;#xE0;</t>
        </is>
      </c>
      <c r="K2758" t="n">
        <v>31.1</v>
      </c>
      <c r="L2758" t="n">
        <v>28</v>
      </c>
      <c r="M2758" t="n">
        <v>73.90000000000001</v>
      </c>
      <c r="N2758" t="n">
        <v>61</v>
      </c>
      <c r="O2758" t="n">
        <v>19.4</v>
      </c>
      <c r="P2758" t="n">
        <v>22</v>
      </c>
      <c r="Q2758" t="n">
        <v>71.59999999999999</v>
      </c>
      <c r="R2758" t="n">
        <v>58</v>
      </c>
      <c r="S2758" t="n">
        <v>1450000</v>
      </c>
      <c r="AH2758" t="inlineStr">
        <is>
          <t>Quelle: Pisos.com</t>
        </is>
      </c>
    </row>
    <row r="2759">
      <c r="A2759" t="n">
        <v>2572</v>
      </c>
      <c r="B2759" t="inlineStr">
        <is>
          <t>Piso en Santa Ponsa</t>
        </is>
      </c>
      <c r="C2759" t="inlineStr">
        <is>
          <t>https://www.pisos.com/comprar/piso-calvia_santa_ponca07180-58398464613_109300/</t>
        </is>
      </c>
      <c r="E2759" t="n">
        <v>2</v>
      </c>
      <c r="J2759" t="inlineStr">
        <is>
          <t>Calvi&amp;#xE0;</t>
        </is>
      </c>
      <c r="S2759" t="n">
        <v>349000</v>
      </c>
      <c r="AH2759" t="inlineStr">
        <is>
          <t>Quelle: Pisos.com</t>
        </is>
      </c>
    </row>
    <row r="2760">
      <c r="A2760" t="n">
        <v>2573</v>
      </c>
      <c r="B2760" t="inlineStr">
        <is>
          <t>Casa en Llubi</t>
        </is>
      </c>
      <c r="C2760" t="inlineStr">
        <is>
          <t>https://www.pisos.com/comprar/casa-llubi_centro_urbano-58365924771_106000/</t>
        </is>
      </c>
      <c r="E2760" t="n">
        <v>2</v>
      </c>
      <c r="J2760" t="inlineStr">
        <is>
          <t>Llub&amp;#xED;</t>
        </is>
      </c>
      <c r="S2760" t="n">
        <v>318000</v>
      </c>
      <c r="AH2760" t="inlineStr">
        <is>
          <t>Quelle: Pisos.com</t>
        </is>
      </c>
    </row>
    <row r="2761">
      <c r="A2761" t="n">
        <v>2574</v>
      </c>
      <c r="B2761" t="inlineStr">
        <is>
          <t>Apartamento en Porto Pí</t>
        </is>
      </c>
      <c r="C2761" t="inlineStr">
        <is>
          <t>https://www.pisos.com/comprar/apartamento-la_bonanova_porto_pi07015-58425169304_100500/</t>
        </is>
      </c>
      <c r="E2761" t="n">
        <v>3</v>
      </c>
      <c r="J2761" t="inlineStr">
        <is>
          <t>Palma de Mallorca</t>
        </is>
      </c>
      <c r="S2761" t="n">
        <v>465000</v>
      </c>
      <c r="AH2761" t="inlineStr">
        <is>
          <t>Quelle: Pisos.com</t>
        </is>
      </c>
    </row>
    <row r="2762">
      <c r="A2762" t="n">
        <v>2575</v>
      </c>
      <c r="B2762" t="inlineStr">
        <is>
          <t>Finca rústica en Campos</t>
        </is>
      </c>
      <c r="C2762" t="inlineStr">
        <is>
          <t>https://www.pisos.com/comprar/finca_rustica-campos_centro_urbano-58353202459_100500/</t>
        </is>
      </c>
      <c r="E2762" t="n">
        <v>4</v>
      </c>
      <c r="J2762" t="inlineStr">
        <is>
          <t>Campos</t>
        </is>
      </c>
      <c r="K2762" t="n">
        <v>32.9</v>
      </c>
      <c r="L2762" t="n">
        <v>28</v>
      </c>
      <c r="M2762" t="n">
        <v>14.6</v>
      </c>
      <c r="N2762" t="n">
        <v>18</v>
      </c>
      <c r="O2762" t="n">
        <v>71.09999999999999</v>
      </c>
      <c r="P2762" t="n">
        <v>56</v>
      </c>
      <c r="Q2762" t="n">
        <v>12.3</v>
      </c>
      <c r="R2762" t="n">
        <v>14</v>
      </c>
      <c r="S2762" t="n">
        <v>1200000</v>
      </c>
      <c r="AH2762" t="inlineStr">
        <is>
          <t>Quelle: Pisos.com</t>
        </is>
      </c>
    </row>
    <row r="2763">
      <c r="A2763" t="n">
        <v>2576</v>
      </c>
      <c r="B2763" t="inlineStr">
        <is>
          <t>Chalet en Cala D Or</t>
        </is>
      </c>
      <c r="C2763" t="inlineStr">
        <is>
          <t>https://www.pisos.com/comprar/chalet-cala_or-56733967874_100500/</t>
        </is>
      </c>
      <c r="E2763" t="n">
        <v>3</v>
      </c>
      <c r="J2763" t="inlineStr">
        <is>
          <t>Santany&amp;#xED;</t>
        </is>
      </c>
      <c r="S2763" t="n">
        <v>495000</v>
      </c>
      <c r="AH2763" t="inlineStr">
        <is>
          <t>Quelle: Pisos.com</t>
        </is>
      </c>
    </row>
    <row r="2764">
      <c r="A2764" t="n">
        <v>2577</v>
      </c>
      <c r="B2764" t="inlineStr">
        <is>
          <t>Piso en Camp Redó</t>
        </is>
      </c>
      <c r="C2764" t="inlineStr">
        <is>
          <t>https://www.pisos.com/comprar/piso-es_camp_redo07010-55910038391_100500/</t>
        </is>
      </c>
      <c r="E2764" t="n">
        <v>2</v>
      </c>
      <c r="J2764" t="inlineStr">
        <is>
          <t>Palma de Mallorca</t>
        </is>
      </c>
      <c r="S2764" t="n">
        <v>520000</v>
      </c>
      <c r="AH2764" t="inlineStr">
        <is>
          <t>Quelle: Pisos.com</t>
        </is>
      </c>
    </row>
    <row r="2765">
      <c r="A2765" t="n">
        <v>2578</v>
      </c>
      <c r="B2765" t="inlineStr">
        <is>
          <t>Casa en calle</t>
        </is>
      </c>
      <c r="C2765" t="inlineStr">
        <is>
          <t>https://www.pisos.com/comprar/casa-sant_josep_de_sa_talaia_centro_urbano-51669819309_109300/</t>
        </is>
      </c>
      <c r="E2765" t="n">
        <v>3</v>
      </c>
      <c r="J2765" t="inlineStr">
        <is>
          <t>Sant Josep de sa Talaia</t>
        </is>
      </c>
      <c r="S2765" t="n">
        <v>895000</v>
      </c>
      <c r="AH2765" t="inlineStr">
        <is>
          <t>Quelle: Pisos.com</t>
        </is>
      </c>
    </row>
    <row r="2766">
      <c r="A2766" t="n">
        <v>2579</v>
      </c>
      <c r="B2766" t="inlineStr">
        <is>
          <t>Casa pareada en Sóller</t>
        </is>
      </c>
      <c r="C2766" t="inlineStr">
        <is>
          <t>https://www.pisos.com/comprar/casa_pareada-soller_centro_urbano-50016174525_100500/</t>
        </is>
      </c>
      <c r="E2766" t="n">
        <v>2</v>
      </c>
      <c r="J2766" t="inlineStr">
        <is>
          <t>S&amp;#xF3;ller</t>
        </is>
      </c>
      <c r="S2766" t="n">
        <v>525000</v>
      </c>
      <c r="AH2766" t="inlineStr">
        <is>
          <t>Quelle: Pisos.com</t>
        </is>
      </c>
    </row>
    <row r="2767">
      <c r="A2767" t="n">
        <v>2580</v>
      </c>
      <c r="B2767" t="inlineStr">
        <is>
          <t>Apartamento en Cala Major</t>
        </is>
      </c>
      <c r="C2767" t="inlineStr">
        <is>
          <t>https://www.pisos.com/comprar/apartamento-el_terreno07015-49250778099_100500/</t>
        </is>
      </c>
      <c r="E2767" t="n">
        <v>2</v>
      </c>
      <c r="J2767" t="inlineStr">
        <is>
          <t>Palma de Mallorca</t>
        </is>
      </c>
      <c r="S2767" t="n">
        <v>380000</v>
      </c>
      <c r="AH2767" t="inlineStr">
        <is>
          <t>Quelle: Pisos.com</t>
        </is>
      </c>
    </row>
    <row r="2768">
      <c r="A2768" t="n">
        <v>2581</v>
      </c>
      <c r="B2768" t="inlineStr">
        <is>
          <t>Finca rústica en Biniali</t>
        </is>
      </c>
      <c r="C2768" t="inlineStr">
        <is>
          <t>https://www.pisos.com/comprar/finca_rustica-sant_lluis_centro_urbano-45929128216_105800/</t>
        </is>
      </c>
      <c r="E2768" t="n">
        <v>4</v>
      </c>
      <c r="J2768" t="inlineStr">
        <is>
          <t>Sant Llu&amp;#xED;s</t>
        </is>
      </c>
      <c r="K2768" t="n">
        <v>47.4</v>
      </c>
      <c r="L2768" t="n">
        <v>40</v>
      </c>
      <c r="M2768" t="n">
        <v>51.8</v>
      </c>
      <c r="N2768" t="n">
        <v>55</v>
      </c>
      <c r="O2768" t="n">
        <v>70</v>
      </c>
      <c r="P2768" t="n">
        <v>56</v>
      </c>
      <c r="Q2768" t="n">
        <v>49.5</v>
      </c>
      <c r="R2768" t="n">
        <v>51</v>
      </c>
      <c r="S2768" t="n">
        <v>1050000</v>
      </c>
      <c r="AH2768" t="inlineStr">
        <is>
          <t>Quelle: Pisos.com</t>
        </is>
      </c>
    </row>
    <row r="2769">
      <c r="A2769" t="n">
        <v>2582</v>
      </c>
      <c r="B2769" t="inlineStr">
        <is>
          <t>Finca rústica en Soller</t>
        </is>
      </c>
      <c r="C2769" t="inlineStr">
        <is>
          <t>https://www.pisos.com/comprar/finca_rustica-soller_centro_urbano-34169062031_100500/</t>
        </is>
      </c>
      <c r="E2769" t="n">
        <v>5</v>
      </c>
      <c r="J2769" t="inlineStr">
        <is>
          <t>S&amp;#xF3;ller</t>
        </is>
      </c>
      <c r="K2769" t="n">
        <v>32.5</v>
      </c>
      <c r="L2769" t="n">
        <v>38</v>
      </c>
      <c r="M2769" t="n">
        <v>75.2</v>
      </c>
      <c r="N2769" t="n">
        <v>70</v>
      </c>
      <c r="O2769" t="n">
        <v>52.1</v>
      </c>
      <c r="P2769" t="n">
        <v>51</v>
      </c>
      <c r="Q2769" t="n">
        <v>72.90000000000001</v>
      </c>
      <c r="R2769" t="n">
        <v>67</v>
      </c>
      <c r="S2769" t="n">
        <v>756000</v>
      </c>
      <c r="AH2769" t="inlineStr">
        <is>
          <t>Quelle: Pisos.com</t>
        </is>
      </c>
    </row>
    <row r="2770">
      <c r="A2770" t="n">
        <v>2583</v>
      </c>
      <c r="B2770" t="inlineStr">
        <is>
          <t>Casa adosada en Establiments</t>
        </is>
      </c>
      <c r="C2770" t="inlineStr">
        <is>
          <t>https://www.pisos.com/comprar/casa_adosada-establiments07010-50894511157_100500/</t>
        </is>
      </c>
      <c r="E2770" t="n">
        <v>4</v>
      </c>
      <c r="J2770" t="inlineStr">
        <is>
          <t>Palma de Mallorca</t>
        </is>
      </c>
      <c r="S2770" t="n">
        <v>950000</v>
      </c>
      <c r="AH2770" t="inlineStr">
        <is>
          <t>Quelle: Pisos.com</t>
        </is>
      </c>
    </row>
    <row r="2771">
      <c r="A2771" t="n">
        <v>2584</v>
      </c>
      <c r="B2771" t="inlineStr">
        <is>
          <t>Apartamento en Els Hostalets</t>
        </is>
      </c>
      <c r="C2771" t="inlineStr">
        <is>
          <t>https://www.pisos.com/comprar/apartamento-els_hostalets_son_fortalesa07005-49244334289_100500/</t>
        </is>
      </c>
      <c r="E2771" t="n">
        <v>2</v>
      </c>
      <c r="J2771" t="inlineStr">
        <is>
          <t>Palma de Mallorca</t>
        </is>
      </c>
      <c r="S2771" t="n">
        <v>360000</v>
      </c>
      <c r="AH2771" t="inlineStr">
        <is>
          <t>Quelle: Pisos.com</t>
        </is>
      </c>
    </row>
    <row r="2772">
      <c r="A2772" t="n">
        <v>2585</v>
      </c>
      <c r="B2772" t="inlineStr">
        <is>
          <t>Casa adosada en Carrer del Rei Jaume I, 5</t>
        </is>
      </c>
      <c r="C2772" t="inlineStr">
        <is>
          <t>https://www.pisos.com/comprar/casa_adosada-campos_centro_urbano-58391226347_512258/</t>
        </is>
      </c>
      <c r="E2772" t="n">
        <v>3</v>
      </c>
      <c r="J2772" t="inlineStr">
        <is>
          <t>Campos</t>
        </is>
      </c>
      <c r="S2772" t="n">
        <v>685000</v>
      </c>
      <c r="AH2772" t="inlineStr">
        <is>
          <t>Quelle: Pisos.com</t>
        </is>
      </c>
    </row>
    <row r="2773">
      <c r="A2773" t="n">
        <v>2586</v>
      </c>
      <c r="B2773" t="inlineStr">
        <is>
          <t>Chalet unifamiliar en Avinguda Bella Vista, 1</t>
        </is>
      </c>
      <c r="C2773" t="inlineStr">
        <is>
          <t>https://www.pisos.com/comprar/chalet_unifamiliar-el_toro_distrito07180-55879181917_530396/</t>
        </is>
      </c>
      <c r="E2773" t="n">
        <v>3</v>
      </c>
      <c r="J2773" t="inlineStr">
        <is>
          <t>Calvi&amp;#xE0;</t>
        </is>
      </c>
      <c r="K2773" t="n">
        <v>31.1</v>
      </c>
      <c r="L2773" t="n">
        <v>28</v>
      </c>
      <c r="M2773" t="n">
        <v>73.90000000000001</v>
      </c>
      <c r="N2773" t="n">
        <v>61</v>
      </c>
      <c r="O2773" t="n">
        <v>19.4</v>
      </c>
      <c r="P2773" t="n">
        <v>22</v>
      </c>
      <c r="Q2773" t="n">
        <v>71.59999999999999</v>
      </c>
      <c r="R2773" t="n">
        <v>58</v>
      </c>
      <c r="S2773" t="n">
        <v>1350000</v>
      </c>
      <c r="AH2773" t="inlineStr">
        <is>
          <t>Quelle: Pisos.com</t>
        </is>
      </c>
    </row>
    <row r="2774">
      <c r="A2774" t="n">
        <v>2587</v>
      </c>
      <c r="B2774" t="inlineStr">
        <is>
          <t>Chalet en Camí de Can Domingo, 1</t>
        </is>
      </c>
      <c r="C2774" t="inlineStr">
        <is>
          <t>https://www.pisos.com/comprar/chalet-marratxi_sa_cabaneta-55038806688_106600/</t>
        </is>
      </c>
      <c r="E2774" t="n">
        <v>4</v>
      </c>
      <c r="J2774" t="inlineStr">
        <is>
          <t>Marratx&amp;#xED;</t>
        </is>
      </c>
      <c r="K2774" t="n">
        <v>13</v>
      </c>
      <c r="L2774" t="n">
        <v>17</v>
      </c>
      <c r="M2774" t="n">
        <v>56.3</v>
      </c>
      <c r="N2774" t="n">
        <v>50</v>
      </c>
      <c r="O2774" t="n">
        <v>40.6</v>
      </c>
      <c r="P2774" t="n">
        <v>34</v>
      </c>
      <c r="Q2774" t="n">
        <v>54</v>
      </c>
      <c r="R2774" t="n">
        <v>46</v>
      </c>
      <c r="S2774" t="n">
        <v>1100000</v>
      </c>
      <c r="AH2774" t="inlineStr">
        <is>
          <t>Quelle: Pisos.com</t>
        </is>
      </c>
    </row>
    <row r="2775">
      <c r="A2775" t="n">
        <v>2588</v>
      </c>
      <c r="B2775" t="inlineStr">
        <is>
          <t>Chalet adosado en Carrer Penya-Segat, 1</t>
        </is>
      </c>
      <c r="C2775" t="inlineStr">
        <is>
          <t>https://www.pisos.com/comprar/chalet_adosado-badia_blava_badia_gran_tolleric-53354922369_525207/</t>
        </is>
      </c>
      <c r="E2775" t="n">
        <v>3</v>
      </c>
      <c r="J2775" t="inlineStr">
        <is>
          <t>Llucmajor</t>
        </is>
      </c>
      <c r="S2775" t="n">
        <v>495000</v>
      </c>
      <c r="AH2775" t="inlineStr">
        <is>
          <t>Quelle: Pisos.com</t>
        </is>
      </c>
    </row>
    <row r="2776">
      <c r="A2776" t="n">
        <v>2589</v>
      </c>
      <c r="B2776" t="inlineStr">
        <is>
          <t>Casa pareada en Carretera de Lluc</t>
        </is>
      </c>
      <c r="C2776" t="inlineStr">
        <is>
          <t>https://www.pisos.com/comprar/casa_pareada-selva_centro_urbano-61710578276_100500/</t>
        </is>
      </c>
      <c r="E2776" t="n">
        <v>3</v>
      </c>
      <c r="J2776" t="inlineStr">
        <is>
          <t>Selva</t>
        </is>
      </c>
      <c r="S2776" t="n">
        <v>450000</v>
      </c>
      <c r="AH2776" t="inlineStr">
        <is>
          <t>Quelle: Pisos.com</t>
        </is>
      </c>
    </row>
    <row r="2777">
      <c r="A2777" t="n">
        <v>2590</v>
      </c>
      <c r="B2777" t="inlineStr">
        <is>
          <t>Finca rústica en Carretera Polígono 18 Parcela 26</t>
        </is>
      </c>
      <c r="C2777" t="inlineStr">
        <is>
          <t>https://www.pisos.com/comprar/finca_rustica-algaida_centro_urbano-60930977518_531901/</t>
        </is>
      </c>
      <c r="J2777" t="inlineStr">
        <is>
          <t>Algaida</t>
        </is>
      </c>
      <c r="K2777" t="n">
        <v>20.1</v>
      </c>
      <c r="L2777" t="n">
        <v>21</v>
      </c>
      <c r="M2777" t="n">
        <v>39.8</v>
      </c>
      <c r="N2777" t="n">
        <v>41</v>
      </c>
      <c r="O2777" t="n">
        <v>54.4</v>
      </c>
      <c r="P2777" t="n">
        <v>46</v>
      </c>
      <c r="Q2777" t="n">
        <v>37.5</v>
      </c>
      <c r="R2777" t="n">
        <v>37</v>
      </c>
      <c r="S2777" t="n">
        <v>1175000</v>
      </c>
      <c r="AH2777" t="inlineStr">
        <is>
          <t>Quelle: Pisos.com</t>
        </is>
      </c>
    </row>
    <row r="2778">
      <c r="A2778" t="n">
        <v>2591</v>
      </c>
      <c r="B2778" t="inlineStr">
        <is>
          <t>Casa adosada en Carrer de ses Monges</t>
        </is>
      </c>
      <c r="C2778" t="inlineStr">
        <is>
          <t>https://www.pisos.com/comprar/casa_adosada-inca_centro_urbano-60842447573_100500/</t>
        </is>
      </c>
      <c r="E2778" t="n">
        <v>3</v>
      </c>
      <c r="J2778" t="inlineStr">
        <is>
          <t>Inca</t>
        </is>
      </c>
      <c r="S2778" t="n">
        <v>320000</v>
      </c>
      <c r="AH2778" t="inlineStr">
        <is>
          <t>Quelle: Pisos.com</t>
        </is>
      </c>
    </row>
    <row r="2779">
      <c r="A2779" t="n">
        <v>2592</v>
      </c>
      <c r="B2779" t="inlineStr">
        <is>
          <t>Piso en Avinguda de Manacor</t>
        </is>
      </c>
      <c r="C2779" t="inlineStr">
        <is>
          <t>https://www.pisos.com/comprar/piso-campos_centro_urbano-60898712056_521329/</t>
        </is>
      </c>
      <c r="E2779" t="n">
        <v>3</v>
      </c>
      <c r="J2779" t="inlineStr">
        <is>
          <t>Campos</t>
        </is>
      </c>
      <c r="S2779" t="n">
        <v>315000</v>
      </c>
      <c r="AH2779" t="inlineStr">
        <is>
          <t>Quelle: Pisos.com</t>
        </is>
      </c>
    </row>
    <row r="2780">
      <c r="A2780" t="n">
        <v>2593</v>
      </c>
      <c r="B2780" t="inlineStr">
        <is>
          <t>Piso en Camí de Son Gotleu</t>
        </is>
      </c>
      <c r="C2780" t="inlineStr">
        <is>
          <t>https://www.pisos.com/comprar/piso-can_capes07008-59218397305_106500/</t>
        </is>
      </c>
      <c r="E2780" t="n">
        <v>2</v>
      </c>
      <c r="J2780" t="inlineStr">
        <is>
          <t>Palma de Mallorca</t>
        </is>
      </c>
      <c r="S2780" t="n">
        <v>290000</v>
      </c>
      <c r="AH2780" t="inlineStr">
        <is>
          <t>Quelle: Pisos.com</t>
        </is>
      </c>
    </row>
    <row r="2781">
      <c r="A2781" t="n">
        <v>2594</v>
      </c>
      <c r="B2781" t="inlineStr">
        <is>
          <t>Ático en Avinguda de Joan Miró</t>
        </is>
      </c>
      <c r="C2781" t="inlineStr">
        <is>
          <t>https://www.pisos.com/comprar/atico-el_terreno07015-56740052338_511288/</t>
        </is>
      </c>
      <c r="E2781" t="n">
        <v>3</v>
      </c>
      <c r="J2781" t="inlineStr">
        <is>
          <t>Palma de Mallorca</t>
        </is>
      </c>
      <c r="S2781" t="n">
        <v>749000</v>
      </c>
      <c r="AH2781" t="inlineStr">
        <is>
          <t>Quelle: Pisos.com</t>
        </is>
      </c>
    </row>
    <row r="2782">
      <c r="A2782" t="n">
        <v>2595</v>
      </c>
      <c r="B2782" t="inlineStr">
        <is>
          <t>Casa en Avinguda del Mossèn Alcover</t>
        </is>
      </c>
      <c r="C2782" t="inlineStr">
        <is>
          <t>https://www.pisos.com/comprar/casa-manacor_centro_urbano-55883893098_100500/</t>
        </is>
      </c>
      <c r="E2782" t="n">
        <v>5</v>
      </c>
      <c r="J2782" t="inlineStr">
        <is>
          <t>Manacor</t>
        </is>
      </c>
      <c r="K2782" t="n">
        <v>49.2</v>
      </c>
      <c r="L2782" t="n">
        <v>44</v>
      </c>
      <c r="M2782" t="n">
        <v>40.3</v>
      </c>
      <c r="N2782" t="n">
        <v>45</v>
      </c>
      <c r="O2782" t="n">
        <v>83.40000000000001</v>
      </c>
      <c r="P2782" t="n">
        <v>68</v>
      </c>
      <c r="Q2782" t="n">
        <v>38</v>
      </c>
      <c r="R2782" t="n">
        <v>41</v>
      </c>
      <c r="S2782" t="n">
        <v>499900</v>
      </c>
      <c r="AH2782" t="inlineStr">
        <is>
          <t>Quelle: Pisos.com</t>
        </is>
      </c>
    </row>
    <row r="2783">
      <c r="A2783" t="n">
        <v>2596</v>
      </c>
      <c r="B2783" t="inlineStr">
        <is>
          <t>Casa adosada en Carrer dels Traginers</t>
        </is>
      </c>
      <c r="C2783" t="inlineStr">
        <is>
          <t>https://www.pisos.com/comprar/casa_adosada-llubi_centro_urbano-55091967485_106600/</t>
        </is>
      </c>
      <c r="E2783" t="n">
        <v>8</v>
      </c>
      <c r="J2783" t="inlineStr">
        <is>
          <t>Llub&amp;#xED;</t>
        </is>
      </c>
      <c r="K2783" t="n">
        <v>46.1</v>
      </c>
      <c r="L2783" t="n">
        <v>38</v>
      </c>
      <c r="M2783" t="n">
        <v>50.9</v>
      </c>
      <c r="N2783" t="n">
        <v>54</v>
      </c>
      <c r="O2783" t="n">
        <v>68.7</v>
      </c>
      <c r="P2783" t="n">
        <v>54</v>
      </c>
      <c r="Q2783" t="n">
        <v>48.6</v>
      </c>
      <c r="R2783" t="n">
        <v>50</v>
      </c>
      <c r="S2783" t="n">
        <v>650000</v>
      </c>
      <c r="AH2783" t="inlineStr">
        <is>
          <t>Quelle: Pisos.com</t>
        </is>
      </c>
    </row>
    <row r="2784">
      <c r="A2784" t="n">
        <v>2597</v>
      </c>
      <c r="B2784" t="inlineStr">
        <is>
          <t>Chalet unifamiliar en Carrer de Bellavista-K</t>
        </is>
      </c>
      <c r="C2784" t="inlineStr">
        <is>
          <t>https://www.pisos.com/comprar/chalet_unifamiliar-platja_de_palma_sarenal07600-52572428085_517834/</t>
        </is>
      </c>
      <c r="E2784" t="n">
        <v>4</v>
      </c>
      <c r="J2784" t="inlineStr">
        <is>
          <t>Palma de Mallorca</t>
        </is>
      </c>
      <c r="S2784" t="n">
        <v>750000</v>
      </c>
      <c r="AH2784" t="inlineStr">
        <is>
          <t>Quelle: Pisos.com</t>
        </is>
      </c>
    </row>
    <row r="2785">
      <c r="A2785" t="n">
        <v>2598</v>
      </c>
      <c r="B2785" t="inlineStr">
        <is>
          <t>Chalet unifamiliar en Carrer de Marola</t>
        </is>
      </c>
      <c r="C2785" t="inlineStr">
        <is>
          <t>https://www.pisos.com/comprar/chalet_unifamiliar-ponent_son_vida07013-50014091236_993076/</t>
        </is>
      </c>
      <c r="E2785" t="n">
        <v>5</v>
      </c>
      <c r="J2785" t="inlineStr">
        <is>
          <t>Palma de Mallorca</t>
        </is>
      </c>
      <c r="K2785" t="n">
        <v>9.699999999999999</v>
      </c>
      <c r="L2785" t="n">
        <v>14</v>
      </c>
      <c r="M2785" t="n">
        <v>52.5</v>
      </c>
      <c r="N2785" t="n">
        <v>47</v>
      </c>
      <c r="O2785" t="n">
        <v>32.1</v>
      </c>
      <c r="P2785" t="n">
        <v>36</v>
      </c>
      <c r="Q2785" t="n">
        <v>50.2</v>
      </c>
      <c r="R2785" t="n">
        <v>44</v>
      </c>
      <c r="S2785" t="n">
        <v>3970000</v>
      </c>
      <c r="AH2785" t="inlineStr">
        <is>
          <t>Quelle: Pisos.com</t>
        </is>
      </c>
    </row>
    <row r="2786">
      <c r="A2786" t="n">
        <v>2599</v>
      </c>
      <c r="B2786" t="inlineStr">
        <is>
          <t>Apartamento en Plaça del Mar</t>
        </is>
      </c>
      <c r="C2786" t="inlineStr">
        <is>
          <t>https://www.pisos.com/comprar/apartamento-cala_bou-60051468342_529162/</t>
        </is>
      </c>
      <c r="E2786" t="n">
        <v>2</v>
      </c>
      <c r="J2786" t="inlineStr">
        <is>
          <t>Sant Josep de sa Talaia</t>
        </is>
      </c>
      <c r="S2786" t="n">
        <v>650000</v>
      </c>
      <c r="AH2786" t="inlineStr">
        <is>
          <t>Quelle: Pisos.com</t>
        </is>
      </c>
    </row>
    <row r="2787">
      <c r="A2787" t="n">
        <v>2600</v>
      </c>
      <c r="B2787" t="inlineStr">
        <is>
          <t>Casa adosada en Carrer del Puig de Mar</t>
        </is>
      </c>
      <c r="C2787" t="inlineStr">
        <is>
          <t>https://www.pisos.com/comprar/casa_adosada-sant_josep_de_sa_talaia_centro_urbano-58357389989_108900/</t>
        </is>
      </c>
      <c r="E2787" t="n">
        <v>4</v>
      </c>
      <c r="J2787" t="inlineStr">
        <is>
          <t>Sant Josep de sa Talaia</t>
        </is>
      </c>
      <c r="K2787" t="n">
        <v>47.4</v>
      </c>
      <c r="L2787" t="n">
        <v>40</v>
      </c>
      <c r="M2787" t="n">
        <v>51.8</v>
      </c>
      <c r="N2787" t="n">
        <v>55</v>
      </c>
      <c r="O2787" t="n">
        <v>70</v>
      </c>
      <c r="P2787" t="n">
        <v>56</v>
      </c>
      <c r="Q2787" t="n">
        <v>49.5</v>
      </c>
      <c r="R2787" t="n">
        <v>51</v>
      </c>
      <c r="S2787" t="n">
        <v>1350000</v>
      </c>
      <c r="AH2787" t="inlineStr">
        <is>
          <t>Quelle: Pisos.com</t>
        </is>
      </c>
    </row>
    <row r="2788">
      <c r="A2788" t="n">
        <v>2601</v>
      </c>
      <c r="B2788" t="inlineStr">
        <is>
          <t>Chalet unifamiliar en Carrer de Bellavista-K</t>
        </is>
      </c>
      <c r="C2788" t="inlineStr">
        <is>
          <t>https://www.pisos.com/comprar/chalet_unifamiliar-platja_de_palma_sarenal07600-58432868627_517834/</t>
        </is>
      </c>
      <c r="E2788" t="n">
        <v>5</v>
      </c>
      <c r="J2788" t="inlineStr">
        <is>
          <t>Palma de Mallorca</t>
        </is>
      </c>
      <c r="K2788" t="n">
        <v>9.699999999999999</v>
      </c>
      <c r="L2788" t="n">
        <v>14</v>
      </c>
      <c r="M2788" t="n">
        <v>52.5</v>
      </c>
      <c r="N2788" t="n">
        <v>47</v>
      </c>
      <c r="O2788" t="n">
        <v>32.1</v>
      </c>
      <c r="P2788" t="n">
        <v>36</v>
      </c>
      <c r="Q2788" t="n">
        <v>50.2</v>
      </c>
      <c r="R2788" t="n">
        <v>44</v>
      </c>
      <c r="S2788" t="n">
        <v>650000</v>
      </c>
      <c r="AH2788" t="inlineStr">
        <is>
          <t>Quelle: Pisos.com</t>
        </is>
      </c>
    </row>
    <row r="2789">
      <c r="A2789" t="n">
        <v>2602</v>
      </c>
      <c r="B2789" t="inlineStr">
        <is>
          <t>Piso en Avinguda del Comte de Sallent</t>
        </is>
      </c>
      <c r="C2789" t="inlineStr">
        <is>
          <t>https://www.pisos.com/comprar/piso-bons_aires07003-54249261610_100500/</t>
        </is>
      </c>
      <c r="E2789" t="n">
        <v>2</v>
      </c>
      <c r="J2789" t="inlineStr">
        <is>
          <t>Palma de Mallorca</t>
        </is>
      </c>
      <c r="S2789" t="n">
        <v>875000</v>
      </c>
      <c r="AH2789" t="inlineStr">
        <is>
          <t>Quelle: Pisos.com</t>
        </is>
      </c>
    </row>
    <row r="2790">
      <c r="A2790" t="n">
        <v>2603</v>
      </c>
      <c r="B2790" t="inlineStr">
        <is>
          <t>Casa en Camí Vell de Sineu</t>
        </is>
      </c>
      <c r="C2790" t="inlineStr">
        <is>
          <t>https://www.pisos.com/comprar/casa-estadi_balear07007-51763903688_527404/</t>
        </is>
      </c>
      <c r="E2790" t="n">
        <v>4</v>
      </c>
      <c r="J2790" t="inlineStr">
        <is>
          <t>Palma de Mallorca</t>
        </is>
      </c>
      <c r="K2790" t="n">
        <v>9.699999999999999</v>
      </c>
      <c r="L2790" t="n">
        <v>14</v>
      </c>
      <c r="M2790" t="n">
        <v>52.5</v>
      </c>
      <c r="N2790" t="n">
        <v>47</v>
      </c>
      <c r="O2790" t="n">
        <v>32.1</v>
      </c>
      <c r="P2790" t="n">
        <v>36</v>
      </c>
      <c r="Q2790" t="n">
        <v>50.2</v>
      </c>
      <c r="R2790" t="n">
        <v>44</v>
      </c>
      <c r="S2790" t="n">
        <v>1490000</v>
      </c>
      <c r="AH2790" t="inlineStr">
        <is>
          <t>Quelle: Pisos.com</t>
        </is>
      </c>
    </row>
    <row r="2791">
      <c r="A2791" t="n">
        <v>2604</v>
      </c>
      <c r="B2791" t="inlineStr">
        <is>
          <t>Chalet adosado en Sant Agustí</t>
        </is>
      </c>
      <c r="C2791" t="inlineStr">
        <is>
          <t>https://www.pisos.com/comprar/chalet_adosado-ponent_sant_agusti-60862158352_108900/</t>
        </is>
      </c>
      <c r="E2791" t="n">
        <v>4</v>
      </c>
      <c r="J2791" t="inlineStr">
        <is>
          <t>Palma de Mallorca</t>
        </is>
      </c>
      <c r="S2791" t="n">
        <v>895000</v>
      </c>
      <c r="AH2791" t="inlineStr">
        <is>
          <t>Quelle: Pisos.com</t>
        </is>
      </c>
    </row>
    <row r="2792">
      <c r="A2792" t="n">
        <v>2605</v>
      </c>
      <c r="B2792" t="inlineStr">
        <is>
          <t>Piso en Santa Eulària des Riu</t>
        </is>
      </c>
      <c r="C2792" t="inlineStr">
        <is>
          <t>https://www.pisos.com/comprar/piso-santa_eularia_des_riu_centro_urbano-59238094956_106500/</t>
        </is>
      </c>
      <c r="E2792" t="n">
        <v>3</v>
      </c>
      <c r="J2792" t="inlineStr">
        <is>
          <t>Santa Eul&amp;#xE0;ria des Riu</t>
        </is>
      </c>
      <c r="K2792" t="n">
        <v>47.4</v>
      </c>
      <c r="L2792" t="n">
        <v>40</v>
      </c>
      <c r="M2792" t="n">
        <v>51.8</v>
      </c>
      <c r="N2792" t="n">
        <v>55</v>
      </c>
      <c r="O2792" t="n">
        <v>70</v>
      </c>
      <c r="P2792" t="n">
        <v>56</v>
      </c>
      <c r="Q2792" t="n">
        <v>49.5</v>
      </c>
      <c r="R2792" t="n">
        <v>51</v>
      </c>
      <c r="S2792" t="n">
        <v>1290000</v>
      </c>
      <c r="AH2792" t="inlineStr">
        <is>
          <t>Quelle: Pisos.com</t>
        </is>
      </c>
    </row>
    <row r="2793">
      <c r="A2793" t="n">
        <v>2606</v>
      </c>
      <c r="B2793" t="inlineStr">
        <is>
          <t>Ático en calle General Ricardo Ortega</t>
        </is>
      </c>
      <c r="C2793" t="inlineStr">
        <is>
          <t>https://www.pisos.com/comprar/atico-foners07006-57558794975_100500/</t>
        </is>
      </c>
      <c r="E2793" t="n">
        <v>3</v>
      </c>
      <c r="J2793" t="inlineStr">
        <is>
          <t>Palma de Mallorca</t>
        </is>
      </c>
      <c r="S2793" t="n">
        <v>549000</v>
      </c>
      <c r="AH2793" t="inlineStr">
        <is>
          <t>Quelle: Pisos.com</t>
        </is>
      </c>
    </row>
    <row r="2794">
      <c r="A2794" t="n">
        <v>2607</v>
      </c>
      <c r="B2794" t="inlineStr">
        <is>
          <t>Piso en Carrer des Botafoc, 1</t>
        </is>
      </c>
      <c r="C2794" t="inlineStr">
        <is>
          <t>https://www.pisos.com/comprar/piso-marina_botafoch_platja_de_talamanca-56687989467_100500/</t>
        </is>
      </c>
      <c r="E2794" t="n">
        <v>2</v>
      </c>
      <c r="J2794" t="inlineStr">
        <is>
          <t>Ibiza Eivissa</t>
        </is>
      </c>
      <c r="S2794" t="n">
        <v>580000</v>
      </c>
      <c r="AH2794" t="inlineStr">
        <is>
          <t>Quelle: Pisos.com</t>
        </is>
      </c>
    </row>
    <row r="2795">
      <c r="A2795" t="n">
        <v>2608</v>
      </c>
      <c r="B2795" t="inlineStr">
        <is>
          <t>Casa en calle Poligono 34</t>
        </is>
      </c>
      <c r="C2795" t="inlineStr">
        <is>
          <t>https://www.pisos.com/comprar/casa-llevant_sa_casa_blanca07198-55884147453_530581/</t>
        </is>
      </c>
      <c r="E2795" t="n">
        <v>5</v>
      </c>
      <c r="J2795" t="inlineStr">
        <is>
          <t>Palma de Mallorca</t>
        </is>
      </c>
      <c r="K2795" t="n">
        <v>9.699999999999999</v>
      </c>
      <c r="L2795" t="n">
        <v>14</v>
      </c>
      <c r="M2795" t="n">
        <v>52.5</v>
      </c>
      <c r="N2795" t="n">
        <v>47</v>
      </c>
      <c r="O2795" t="n">
        <v>32.1</v>
      </c>
      <c r="P2795" t="n">
        <v>36</v>
      </c>
      <c r="Q2795" t="n">
        <v>50.2</v>
      </c>
      <c r="R2795" t="n">
        <v>44</v>
      </c>
      <c r="S2795" t="n">
        <v>4500000</v>
      </c>
      <c r="AH2795" t="inlineStr">
        <is>
          <t>Quelle: Pisos.com</t>
        </is>
      </c>
    </row>
    <row r="2796">
      <c r="A2796" t="n">
        <v>2609</v>
      </c>
      <c r="B2796" t="inlineStr">
        <is>
          <t>Piso en Carrer de Sant Elíes</t>
        </is>
      </c>
      <c r="C2796" t="inlineStr">
        <is>
          <t>https://www.pisos.com/comprar/piso-la_missio-55927250529_106600/</t>
        </is>
      </c>
      <c r="E2796" t="n">
        <v>2</v>
      </c>
      <c r="J2796" t="inlineStr">
        <is>
          <t>Palma de Mallorca</t>
        </is>
      </c>
      <c r="S2796" t="n">
        <v>450000</v>
      </c>
      <c r="AH2796" t="inlineStr">
        <is>
          <t>Quelle: Pisos.com</t>
        </is>
      </c>
    </row>
    <row r="2797">
      <c r="A2797" t="n">
        <v>2610</v>
      </c>
      <c r="B2797" t="inlineStr">
        <is>
          <t>Casa en Pueblo</t>
        </is>
      </c>
      <c r="C2797" t="inlineStr">
        <is>
          <t>https://www.pisos.com/comprar/casa-ciutat_alcudia-55041886977_108900/</t>
        </is>
      </c>
      <c r="E2797" t="n">
        <v>4</v>
      </c>
      <c r="J2797" t="inlineStr">
        <is>
          <t>Alc&amp;#xFA;dia</t>
        </is>
      </c>
      <c r="S2797" t="n">
        <v>360000</v>
      </c>
      <c r="AH2797" t="inlineStr">
        <is>
          <t>Quelle: Pisos.com</t>
        </is>
      </c>
    </row>
    <row r="2798">
      <c r="A2798" t="n">
        <v>2611</v>
      </c>
      <c r="B2798" t="inlineStr">
        <is>
          <t>Casa en Cala Blanca-Santandria-Son Carrió</t>
        </is>
      </c>
      <c r="C2798" t="inlineStr">
        <is>
          <t>https://www.pisos.com/comprar/casa-cala_blanca_santandria_son_carrio07769-54220353526_106700/</t>
        </is>
      </c>
      <c r="E2798" t="n">
        <v>3</v>
      </c>
      <c r="J2798" t="inlineStr">
        <is>
          <t>Ciutadella de Menorca</t>
        </is>
      </c>
      <c r="S2798" t="n">
        <v>890000</v>
      </c>
      <c r="AH2798" t="inlineStr">
        <is>
          <t>Quelle: Pisos.com</t>
        </is>
      </c>
    </row>
    <row r="2799">
      <c r="A2799" t="n">
        <v>2612</v>
      </c>
      <c r="B2799" t="inlineStr">
        <is>
          <t>Piso en Carrer de Benito Jerónimo Feijóo, 1</t>
        </is>
      </c>
      <c r="C2799" t="inlineStr">
        <is>
          <t>https://www.pisos.com/comprar/piso-portals_nous_bendinat-52558523306_518365/</t>
        </is>
      </c>
      <c r="E2799" t="n">
        <v>3</v>
      </c>
      <c r="J2799" t="inlineStr">
        <is>
          <t>Calvi&amp;#xE0;</t>
        </is>
      </c>
      <c r="K2799" t="n">
        <v>31.1</v>
      </c>
      <c r="L2799" t="n">
        <v>28</v>
      </c>
      <c r="M2799" t="n">
        <v>73.90000000000001</v>
      </c>
      <c r="N2799" t="n">
        <v>61</v>
      </c>
      <c r="O2799" t="n">
        <v>19.4</v>
      </c>
      <c r="P2799" t="n">
        <v>22</v>
      </c>
      <c r="Q2799" t="n">
        <v>71.59999999999999</v>
      </c>
      <c r="R2799" t="n">
        <v>58</v>
      </c>
      <c r="S2799" t="n">
        <v>1100000</v>
      </c>
      <c r="AH2799" t="inlineStr">
        <is>
          <t>Quelle: Pisos.com</t>
        </is>
      </c>
    </row>
    <row r="2800">
      <c r="A2800" t="n">
        <v>2613</v>
      </c>
      <c r="B2800" t="inlineStr">
        <is>
          <t>Chalet en Cala Tarida</t>
        </is>
      </c>
      <c r="C2800" t="inlineStr">
        <is>
          <t>https://www.pisos.com/comprar/chalet-sant_josep_de_sa_talaia_centro_urbano-21685964468_108900/</t>
        </is>
      </c>
      <c r="E2800" t="n">
        <v>3</v>
      </c>
      <c r="J2800" t="inlineStr">
        <is>
          <t>Sant Josep de sa Talaia</t>
        </is>
      </c>
      <c r="S2800" t="n">
        <v>795000</v>
      </c>
      <c r="AH2800" t="inlineStr">
        <is>
          <t>Quelle: Pisos.com</t>
        </is>
      </c>
    </row>
    <row r="2801">
      <c r="A2801" t="n">
        <v>2614</v>
      </c>
      <c r="B2801" t="inlineStr">
        <is>
          <t>Piso en Pere Garau</t>
        </is>
      </c>
      <c r="C2801" t="inlineStr">
        <is>
          <t>https://www.pisos.com/comprar/piso-pere_garau07006-61742889521_101800/</t>
        </is>
      </c>
      <c r="E2801" t="n">
        <v>2</v>
      </c>
      <c r="J2801" t="inlineStr">
        <is>
          <t>Palma de Mallorca</t>
        </is>
      </c>
      <c r="S2801" t="n">
        <v>550000</v>
      </c>
      <c r="AH2801" t="inlineStr">
        <is>
          <t>Quelle: Pisos.com</t>
        </is>
      </c>
    </row>
    <row r="2802">
      <c r="A2802" t="n">
        <v>2615</v>
      </c>
      <c r="B2802" t="inlineStr">
        <is>
          <t>Chalet en Santanyí</t>
        </is>
      </c>
      <c r="C2802" t="inlineStr">
        <is>
          <t>https://www.pisos.com/comprar/chalet-santanyi_centro_urbano-61742376757_102300/</t>
        </is>
      </c>
      <c r="E2802" t="n">
        <v>3</v>
      </c>
      <c r="J2802" t="inlineStr">
        <is>
          <t>Santany&amp;#xED;</t>
        </is>
      </c>
      <c r="K2802" t="n">
        <v>45.4</v>
      </c>
      <c r="L2802" t="n">
        <v>39</v>
      </c>
      <c r="M2802" t="n">
        <v>9</v>
      </c>
      <c r="N2802" t="n">
        <v>13</v>
      </c>
      <c r="O2802" t="n">
        <v>83.59999999999999</v>
      </c>
      <c r="P2802" t="n">
        <v>67</v>
      </c>
      <c r="Q2802" t="n">
        <v>9.699999999999999</v>
      </c>
      <c r="R2802" t="n">
        <v>15</v>
      </c>
      <c r="S2802" t="n">
        <v>1195000</v>
      </c>
      <c r="AH2802" t="inlineStr">
        <is>
          <t>Quelle: Pisos.com</t>
        </is>
      </c>
    </row>
    <row r="2803">
      <c r="A2803" t="n">
        <v>2616</v>
      </c>
      <c r="B2803" t="inlineStr">
        <is>
          <t>Piso en Carrer d'Alfons 'El Magnanim'</t>
        </is>
      </c>
      <c r="C2803" t="inlineStr">
        <is>
          <t>https://www.pisos.com/comprar/piso-placa_de_toros07004-60868152198_100500/</t>
        </is>
      </c>
      <c r="E2803" t="n">
        <v>3</v>
      </c>
      <c r="J2803" t="inlineStr">
        <is>
          <t>Palma de Mallorca</t>
        </is>
      </c>
      <c r="S2803" t="n">
        <v>623000</v>
      </c>
      <c r="AH2803" t="inlineStr">
        <is>
          <t>Quelle: Pisos.com</t>
        </is>
      </c>
    </row>
    <row r="2804">
      <c r="A2804" t="n">
        <v>2617</v>
      </c>
      <c r="B2804" t="inlineStr">
        <is>
          <t>Piso en Carrer de Sant Ferran</t>
        </is>
      </c>
      <c r="C2804" t="inlineStr">
        <is>
          <t>https://www.pisos.com/comprar/piso-cala_bou-60021543191_529162/</t>
        </is>
      </c>
      <c r="E2804" t="n">
        <v>2</v>
      </c>
      <c r="J2804" t="inlineStr">
        <is>
          <t>Sant Josep de sa Talaia</t>
        </is>
      </c>
      <c r="S2804" t="n">
        <v>590000</v>
      </c>
      <c r="AH2804" t="inlineStr">
        <is>
          <t>Quelle: Pisos.com</t>
        </is>
      </c>
    </row>
    <row r="2805">
      <c r="A2805" t="n">
        <v>2618</v>
      </c>
      <c r="B2805" t="inlineStr">
        <is>
          <t>Piso en Plaça Major</t>
        </is>
      </c>
      <c r="C2805" t="inlineStr">
        <is>
          <t>https://www.pisos.com/comprar/piso-vilafranca_de_bonany_centro_urbano-60003121015_100500/</t>
        </is>
      </c>
      <c r="E2805" t="n">
        <v>2</v>
      </c>
      <c r="J2805" t="inlineStr">
        <is>
          <t>Vilafranca de Bonany</t>
        </is>
      </c>
      <c r="S2805" t="n">
        <v>289000</v>
      </c>
      <c r="AH2805" t="inlineStr">
        <is>
          <t>Quelle: Pisos.com</t>
        </is>
      </c>
    </row>
    <row r="2806">
      <c r="A2806" t="n">
        <v>2619</v>
      </c>
      <c r="B2806" t="inlineStr">
        <is>
          <t>Piso en Foners</t>
        </is>
      </c>
      <c r="C2806" t="inlineStr">
        <is>
          <t>https://www.pisos.com/comprar/piso-foners07006-59199586634_108500/</t>
        </is>
      </c>
      <c r="E2806" t="n">
        <v>2</v>
      </c>
      <c r="J2806" t="inlineStr">
        <is>
          <t>Palma de Mallorca</t>
        </is>
      </c>
      <c r="S2806" t="n">
        <v>420000</v>
      </c>
      <c r="AH2806" t="inlineStr">
        <is>
          <t>Quelle: Pisos.com</t>
        </is>
      </c>
    </row>
    <row r="2807">
      <c r="A2807" t="n">
        <v>2620</v>
      </c>
      <c r="B2807" t="inlineStr">
        <is>
          <t>Casa adosada en calle Barri Es Cos</t>
        </is>
      </c>
      <c r="C2807" t="inlineStr">
        <is>
          <t>https://www.pisos.com/comprar/casa_adosada-andratx_centro_urbano-59247538328_109300/</t>
        </is>
      </c>
      <c r="E2807" t="n">
        <v>2</v>
      </c>
      <c r="J2807" t="inlineStr">
        <is>
          <t>Andratx</t>
        </is>
      </c>
      <c r="S2807" t="n">
        <v>430000</v>
      </c>
      <c r="AH2807" t="inlineStr">
        <is>
          <t>Quelle: Pisos.com</t>
        </is>
      </c>
    </row>
    <row r="2808">
      <c r="A2808" t="n">
        <v>2621</v>
      </c>
      <c r="B2808" t="inlineStr">
        <is>
          <t>Chalet en Nostra Senyora de Jesús</t>
        </is>
      </c>
      <c r="C2808" t="inlineStr">
        <is>
          <t>https://www.pisos.com/comprar/chalet-nostra_senyora_de_jesus-59238016854_106500/</t>
        </is>
      </c>
      <c r="E2808" t="n">
        <v>3</v>
      </c>
      <c r="J2808" t="inlineStr">
        <is>
          <t>Santa Eul&amp;#xE0;ria des Riu</t>
        </is>
      </c>
      <c r="K2808" t="n">
        <v>47.4</v>
      </c>
      <c r="L2808" t="n">
        <v>40</v>
      </c>
      <c r="M2808" t="n">
        <v>51.8</v>
      </c>
      <c r="N2808" t="n">
        <v>55</v>
      </c>
      <c r="O2808" t="n">
        <v>70</v>
      </c>
      <c r="P2808" t="n">
        <v>56</v>
      </c>
      <c r="Q2808" t="n">
        <v>49.5</v>
      </c>
      <c r="R2808" t="n">
        <v>51</v>
      </c>
      <c r="S2808" t="n">
        <v>1500000</v>
      </c>
      <c r="AH2808" t="inlineStr">
        <is>
          <t>Quelle: Pisos.com</t>
        </is>
      </c>
    </row>
    <row r="2809">
      <c r="A2809" t="n">
        <v>2622</v>
      </c>
      <c r="B2809" t="inlineStr">
        <is>
          <t>Piso en Carrer de Fra Juníper Serra</t>
        </is>
      </c>
      <c r="C2809" t="inlineStr">
        <is>
          <t>https://www.pisos.com/comprar/piso-son_armadans-55924647026_106000/</t>
        </is>
      </c>
      <c r="E2809" t="n">
        <v>2</v>
      </c>
      <c r="J2809" t="inlineStr">
        <is>
          <t>Palma de Mallorca</t>
        </is>
      </c>
      <c r="S2809" t="n">
        <v>450000</v>
      </c>
      <c r="AH2809" t="inlineStr">
        <is>
          <t>Quelle: Pisos.com</t>
        </is>
      </c>
    </row>
    <row r="2810">
      <c r="A2810" t="n">
        <v>2623</v>
      </c>
      <c r="B2810" t="inlineStr">
        <is>
          <t>Piso en Paseo Juan Carlos I</t>
        </is>
      </c>
      <c r="C2810" t="inlineStr">
        <is>
          <t>https://www.pisos.com/comprar/piso-marina_botafoch_platja_de_talamanca-55069236047_100500/</t>
        </is>
      </c>
      <c r="E2810" t="n">
        <v>2</v>
      </c>
      <c r="J2810" t="inlineStr">
        <is>
          <t>Ibiza Eivissa</t>
        </is>
      </c>
      <c r="K2810" t="n">
        <v>47.4</v>
      </c>
      <c r="L2810" t="n">
        <v>40</v>
      </c>
      <c r="M2810" t="n">
        <v>51.8</v>
      </c>
      <c r="N2810" t="n">
        <v>55</v>
      </c>
      <c r="O2810" t="n">
        <v>70</v>
      </c>
      <c r="P2810" t="n">
        <v>56</v>
      </c>
      <c r="Q2810" t="n">
        <v>49.5</v>
      </c>
      <c r="R2810" t="n">
        <v>51</v>
      </c>
      <c r="S2810" t="n">
        <v>1250000</v>
      </c>
      <c r="AH2810" t="inlineStr">
        <is>
          <t>Quelle: Pisos.com</t>
        </is>
      </c>
    </row>
    <row r="2811">
      <c r="A2811" t="n">
        <v>2624</v>
      </c>
      <c r="B2811" t="inlineStr">
        <is>
          <t>Piso en Carrer d'Escòcia</t>
        </is>
      </c>
      <c r="C2811" t="inlineStr">
        <is>
          <t>https://www.pisos.com/comprar/piso-ponent_sant_agusti-54185471650_109300/</t>
        </is>
      </c>
      <c r="E2811" t="n">
        <v>4</v>
      </c>
      <c r="J2811" t="inlineStr">
        <is>
          <t>Palma de Mallorca</t>
        </is>
      </c>
      <c r="S2811" t="n">
        <v>950000</v>
      </c>
      <c r="AH2811" t="inlineStr">
        <is>
          <t>Quelle: Pisos.com</t>
        </is>
      </c>
    </row>
    <row r="2812">
      <c r="A2812" t="n">
        <v>2625</v>
      </c>
      <c r="B2812" t="inlineStr">
        <is>
          <t>Casa pareada en Manacor</t>
        </is>
      </c>
      <c r="C2812" t="inlineStr">
        <is>
          <t>https://www.pisos.com/comprar/casa_pareada-manacor-53411148403_106700/</t>
        </is>
      </c>
      <c r="E2812" t="n">
        <v>2</v>
      </c>
      <c r="J2812" t="inlineStr">
        <is>
          <t>Manacor</t>
        </is>
      </c>
      <c r="S2812" t="n">
        <v>380000</v>
      </c>
      <c r="AH2812" t="inlineStr">
        <is>
          <t>Quelle: Pisos.com</t>
        </is>
      </c>
    </row>
    <row r="2813">
      <c r="A2813" t="n">
        <v>2626</v>
      </c>
      <c r="B2813" t="inlineStr">
        <is>
          <t>Apartamento en Carrer de Buenavista</t>
        </is>
      </c>
      <c r="C2813" t="inlineStr">
        <is>
          <t>https://www.pisos.com/comprar/apartamento-portals_nous_bendinat-52502160230_518365/</t>
        </is>
      </c>
      <c r="E2813" t="n">
        <v>1</v>
      </c>
      <c r="J2813" t="inlineStr">
        <is>
          <t>Calvi&amp;#xE0;</t>
        </is>
      </c>
      <c r="S2813" t="n">
        <v>285000</v>
      </c>
      <c r="AH2813" t="inlineStr">
        <is>
          <t>Quelle: Pisos.com</t>
        </is>
      </c>
    </row>
    <row r="2814">
      <c r="A2814" t="n">
        <v>2627</v>
      </c>
      <c r="B2814" t="inlineStr">
        <is>
          <t>Piso en Carrer de Lope de Vega</t>
        </is>
      </c>
      <c r="C2814" t="inlineStr">
        <is>
          <t>https://www.pisos.com/comprar/piso-sant_antoni_de_portmany_centro_urbano-47545478811_100500/</t>
        </is>
      </c>
      <c r="E2814" t="n">
        <v>2</v>
      </c>
      <c r="J2814" t="inlineStr">
        <is>
          <t>Sant Antoni de Portmany</t>
        </is>
      </c>
      <c r="S2814" t="n">
        <v>600000</v>
      </c>
      <c r="AH2814" t="inlineStr">
        <is>
          <t>Quelle: Pisos.com</t>
        </is>
      </c>
    </row>
    <row r="2815">
      <c r="A2815" t="n">
        <v>2628</v>
      </c>
      <c r="B2815" t="inlineStr">
        <is>
          <t>Piso en Passeig de Joan Carles I</t>
        </is>
      </c>
      <c r="C2815" t="inlineStr">
        <is>
          <t>https://www.pisos.com/comprar/piso-marina_botafoch_platja_de_talamanca-41684512211_100500/</t>
        </is>
      </c>
      <c r="E2815" t="n">
        <v>4</v>
      </c>
      <c r="J2815" t="inlineStr">
        <is>
          <t>Ibiza Eivissa</t>
        </is>
      </c>
      <c r="K2815" t="n">
        <v>47.4</v>
      </c>
      <c r="L2815" t="n">
        <v>40</v>
      </c>
      <c r="M2815" t="n">
        <v>51.8</v>
      </c>
      <c r="N2815" t="n">
        <v>55</v>
      </c>
      <c r="O2815" t="n">
        <v>70</v>
      </c>
      <c r="P2815" t="n">
        <v>56</v>
      </c>
      <c r="Q2815" t="n">
        <v>49.5</v>
      </c>
      <c r="R2815" t="n">
        <v>51</v>
      </c>
      <c r="S2815" t="n">
        <v>2700000</v>
      </c>
      <c r="AH2815" t="inlineStr">
        <is>
          <t>Quelle: Pisos.com</t>
        </is>
      </c>
    </row>
    <row r="2816">
      <c r="A2816" t="n">
        <v>2629</v>
      </c>
      <c r="B2816" t="inlineStr">
        <is>
          <t>Ático en Carrer de l'Heredero</t>
        </is>
      </c>
      <c r="C2816" t="inlineStr">
        <is>
          <t>https://www.pisos.com/comprar/atico-ponent_son_espanyolet07014-61737386462_531709/</t>
        </is>
      </c>
      <c r="E2816" t="n">
        <v>4</v>
      </c>
      <c r="J2816" t="inlineStr">
        <is>
          <t>Palma de Mallorca</t>
        </is>
      </c>
      <c r="S2816" t="n">
        <v>599000</v>
      </c>
      <c r="AH2816" t="inlineStr">
        <is>
          <t>Quelle: Pisos.com</t>
        </is>
      </c>
    </row>
    <row r="2817">
      <c r="A2817" t="n">
        <v>2630</v>
      </c>
      <c r="B2817" t="inlineStr">
        <is>
          <t>Finca rústica en Llucmajor (Campo)</t>
        </is>
      </c>
      <c r="C2817" t="inlineStr">
        <is>
          <t>https://www.pisos.com/comprar/finca_rustica-llucmajor_interior07620-55856221432_100500/</t>
        </is>
      </c>
      <c r="E2817" t="n">
        <v>4</v>
      </c>
      <c r="J2817" t="inlineStr">
        <is>
          <t>Llucmajor</t>
        </is>
      </c>
      <c r="S2817" t="n">
        <v>770000</v>
      </c>
      <c r="AH2817" t="inlineStr">
        <is>
          <t>Quelle: Pisos.com</t>
        </is>
      </c>
    </row>
    <row r="2818">
      <c r="A2818" t="n">
        <v>2631</v>
      </c>
      <c r="B2818" t="inlineStr">
        <is>
          <t>Chalet en Porto Cristo</t>
        </is>
      </c>
      <c r="C2818" t="inlineStr">
        <is>
          <t>https://www.pisos.com/comprar/chalet-manacor_centro_urbano-55905682484_100500/</t>
        </is>
      </c>
      <c r="E2818" t="n">
        <v>3</v>
      </c>
      <c r="J2818" t="inlineStr">
        <is>
          <t>Manacor</t>
        </is>
      </c>
      <c r="K2818" t="n">
        <v>49.2</v>
      </c>
      <c r="L2818" t="n">
        <v>44</v>
      </c>
      <c r="M2818" t="n">
        <v>40.3</v>
      </c>
      <c r="N2818" t="n">
        <v>45</v>
      </c>
      <c r="O2818" t="n">
        <v>83.40000000000001</v>
      </c>
      <c r="P2818" t="n">
        <v>68</v>
      </c>
      <c r="Q2818" t="n">
        <v>38</v>
      </c>
      <c r="R2818" t="n">
        <v>41</v>
      </c>
      <c r="S2818" t="n">
        <v>1795000</v>
      </c>
      <c r="AH2818" t="inlineStr">
        <is>
          <t>Quelle: Pisos.com</t>
        </is>
      </c>
    </row>
    <row r="2819">
      <c r="A2819" t="n">
        <v>2632</v>
      </c>
      <c r="B2819" t="inlineStr">
        <is>
          <t>Chalet en Sa Cabaneta</t>
        </is>
      </c>
      <c r="C2819" t="inlineStr">
        <is>
          <t>https://www.pisos.com/comprar/chalet-marratxi_sa_cabaneta-55905320201_100500/</t>
        </is>
      </c>
      <c r="E2819" t="n">
        <v>4</v>
      </c>
      <c r="J2819" t="inlineStr">
        <is>
          <t>Marratx&amp;#xED;</t>
        </is>
      </c>
      <c r="K2819" t="n">
        <v>13</v>
      </c>
      <c r="L2819" t="n">
        <v>17</v>
      </c>
      <c r="M2819" t="n">
        <v>56.3</v>
      </c>
      <c r="N2819" t="n">
        <v>50</v>
      </c>
      <c r="O2819" t="n">
        <v>40.6</v>
      </c>
      <c r="P2819" t="n">
        <v>34</v>
      </c>
      <c r="Q2819" t="n">
        <v>54</v>
      </c>
      <c r="R2819" t="n">
        <v>46</v>
      </c>
      <c r="S2819" t="n">
        <v>1295000</v>
      </c>
      <c r="AH2819" t="inlineStr">
        <is>
          <t>Quelle: Pisos.com</t>
        </is>
      </c>
    </row>
    <row r="2820">
      <c r="A2820" t="n">
        <v>2633</v>
      </c>
      <c r="B2820" t="inlineStr">
        <is>
          <t>Ático en Cas Catala Nou</t>
        </is>
      </c>
      <c r="C2820" t="inlineStr">
        <is>
          <t>https://www.pisos.com/comprar/atico-cas_catala_illetes-53405875084_109300/</t>
        </is>
      </c>
      <c r="E2820" t="n">
        <v>5</v>
      </c>
      <c r="J2820" t="inlineStr">
        <is>
          <t>Calvi&amp;#xE0;</t>
        </is>
      </c>
      <c r="K2820" t="n">
        <v>31.1</v>
      </c>
      <c r="L2820" t="n">
        <v>28</v>
      </c>
      <c r="M2820" t="n">
        <v>73.90000000000001</v>
      </c>
      <c r="N2820" t="n">
        <v>61</v>
      </c>
      <c r="O2820" t="n">
        <v>19.4</v>
      </c>
      <c r="P2820" t="n">
        <v>22</v>
      </c>
      <c r="Q2820" t="n">
        <v>71.59999999999999</v>
      </c>
      <c r="R2820" t="n">
        <v>58</v>
      </c>
      <c r="S2820" t="n">
        <v>1890000</v>
      </c>
      <c r="AH2820" t="inlineStr">
        <is>
          <t>Quelle: Pisos.com</t>
        </is>
      </c>
    </row>
    <row r="2821">
      <c r="A2821" t="n">
        <v>2634</v>
      </c>
      <c r="B2821" t="inlineStr">
        <is>
          <t>Chalet en Pont D\'inca Nou</t>
        </is>
      </c>
      <c r="C2821" t="inlineStr">
        <is>
          <t>https://www.pisos.com/comprar/chalet-benestar_sa_cabana_can_carbonell_ses_cases_noves-43336542833_100500/</t>
        </is>
      </c>
      <c r="E2821" t="n">
        <v>5</v>
      </c>
      <c r="J2821" t="inlineStr">
        <is>
          <t>Marratx&amp;#xED;</t>
        </is>
      </c>
      <c r="K2821" t="n">
        <v>13</v>
      </c>
      <c r="L2821" t="n">
        <v>17</v>
      </c>
      <c r="M2821" t="n">
        <v>56.3</v>
      </c>
      <c r="N2821" t="n">
        <v>50</v>
      </c>
      <c r="O2821" t="n">
        <v>40.6</v>
      </c>
      <c r="P2821" t="n">
        <v>34</v>
      </c>
      <c r="Q2821" t="n">
        <v>54</v>
      </c>
      <c r="R2821" t="n">
        <v>46</v>
      </c>
      <c r="S2821" t="n">
        <v>1990000</v>
      </c>
      <c r="AH2821" t="inlineStr">
        <is>
          <t>Quelle: Pisos.com</t>
        </is>
      </c>
    </row>
    <row r="2822">
      <c r="A2822" t="n">
        <v>2635</v>
      </c>
      <c r="B2822" t="inlineStr">
        <is>
          <t>Piso en Paseo Juan Carlos I</t>
        </is>
      </c>
      <c r="C2822" t="inlineStr">
        <is>
          <t>https://www.pisos.com/comprar/piso-marina_botafoch_platja_de_talamanca-50844612576_100500/</t>
        </is>
      </c>
      <c r="E2822" t="n">
        <v>1</v>
      </c>
      <c r="J2822" t="inlineStr">
        <is>
          <t>Ibiza Eivissa</t>
        </is>
      </c>
      <c r="S2822" t="n">
        <v>650000</v>
      </c>
      <c r="AH2822" t="inlineStr">
        <is>
          <t>Quelle: Pisos.com</t>
        </is>
      </c>
    </row>
    <row r="2823">
      <c r="A2823" t="n">
        <v>2636</v>
      </c>
      <c r="B2823" t="inlineStr">
        <is>
          <t>Chalet en Es Garrovers</t>
        </is>
      </c>
      <c r="C2823" t="inlineStr">
        <is>
          <t>https://www.pisos.com/comprar/chalet-planera_son_daviu_nou_es_garrovers-45079689968_100500/</t>
        </is>
      </c>
      <c r="E2823" t="n">
        <v>5</v>
      </c>
      <c r="J2823" t="inlineStr">
        <is>
          <t>Marratx&amp;#xED;</t>
        </is>
      </c>
      <c r="K2823" t="n">
        <v>13</v>
      </c>
      <c r="L2823" t="n">
        <v>17</v>
      </c>
      <c r="M2823" t="n">
        <v>56.3</v>
      </c>
      <c r="N2823" t="n">
        <v>50</v>
      </c>
      <c r="O2823" t="n">
        <v>40.6</v>
      </c>
      <c r="P2823" t="n">
        <v>34</v>
      </c>
      <c r="Q2823" t="n">
        <v>54</v>
      </c>
      <c r="R2823" t="n">
        <v>46</v>
      </c>
      <c r="S2823" t="n">
        <v>1295000</v>
      </c>
      <c r="AH2823" t="inlineStr">
        <is>
          <t>Quelle: Pisos.com</t>
        </is>
      </c>
    </row>
    <row r="2824">
      <c r="A2824" t="n">
        <v>2637</v>
      </c>
      <c r="B2824" t="inlineStr">
        <is>
          <t>Casa adosada en Amanecer</t>
        </is>
      </c>
      <c r="C2824" t="inlineStr">
        <is>
          <t>https://www.pisos.com/comprar/casa_adosada-nord_olivera-41746919178_100500/</t>
        </is>
      </c>
      <c r="E2824" t="n">
        <v>5</v>
      </c>
      <c r="J2824" t="inlineStr">
        <is>
          <t>Palma de Mallorca</t>
        </is>
      </c>
      <c r="K2824" t="n">
        <v>9.699999999999999</v>
      </c>
      <c r="L2824" t="n">
        <v>14</v>
      </c>
      <c r="M2824" t="n">
        <v>52.5</v>
      </c>
      <c r="N2824" t="n">
        <v>47</v>
      </c>
      <c r="O2824" t="n">
        <v>32.1</v>
      </c>
      <c r="P2824" t="n">
        <v>36</v>
      </c>
      <c r="Q2824" t="n">
        <v>50.2</v>
      </c>
      <c r="R2824" t="n">
        <v>44</v>
      </c>
      <c r="S2824" t="n">
        <v>680000</v>
      </c>
      <c r="AH2824" t="inlineStr">
        <is>
          <t>Quelle: Pisos.com</t>
        </is>
      </c>
    </row>
    <row r="2825">
      <c r="A2825" t="n">
        <v>2638</v>
      </c>
      <c r="B2825" t="inlineStr">
        <is>
          <t>Casa en Son Rapinya-Los Almendros</t>
        </is>
      </c>
      <c r="C2825" t="inlineStr">
        <is>
          <t>https://www.pisos.com/comprar/casa-son_rapinya_los_almendros07013-61707664735_101800/</t>
        </is>
      </c>
      <c r="E2825" t="n">
        <v>3</v>
      </c>
      <c r="J2825" t="inlineStr">
        <is>
          <t>Palma de Mallorca</t>
        </is>
      </c>
      <c r="S2825" t="n">
        <v>890000</v>
      </c>
      <c r="AH2825" t="inlineStr">
        <is>
          <t>Quelle: Pisos.com</t>
        </is>
      </c>
    </row>
    <row r="2826">
      <c r="A2826" t="n">
        <v>2639</v>
      </c>
      <c r="B2826" t="inlineStr">
        <is>
          <t>Chalet en Cala en Bosch-Serpentona</t>
        </is>
      </c>
      <c r="C2826" t="inlineStr">
        <is>
          <t>https://www.pisos.com/comprar/chalet-cala_en_bosch_serpentona07750-60877686005_106700/</t>
        </is>
      </c>
      <c r="E2826" t="n">
        <v>3</v>
      </c>
      <c r="J2826" t="inlineStr">
        <is>
          <t>Ciutadella de Menorca</t>
        </is>
      </c>
      <c r="S2826" t="n">
        <v>997000</v>
      </c>
      <c r="AH2826" t="inlineStr">
        <is>
          <t>Quelle: Pisos.com</t>
        </is>
      </c>
    </row>
    <row r="2827">
      <c r="A2827" t="n">
        <v>2640</v>
      </c>
      <c r="B2827" t="inlineStr">
        <is>
          <t>Piso en Port de Pollença</t>
        </is>
      </c>
      <c r="C2827" t="inlineStr">
        <is>
          <t>https://www.pisos.com/comprar/piso-port_de_pollenca-60071396721_108900/</t>
        </is>
      </c>
      <c r="E2827" t="n">
        <v>3</v>
      </c>
      <c r="J2827" t="inlineStr">
        <is>
          <t>Pollen&amp;#xE7;a</t>
        </is>
      </c>
      <c r="S2827" t="n">
        <v>350000</v>
      </c>
      <c r="AH2827" t="inlineStr">
        <is>
          <t>Quelle: Pisos.com</t>
        </is>
      </c>
    </row>
    <row r="2828">
      <c r="A2828" t="n">
        <v>2641</v>
      </c>
      <c r="B2828" t="inlineStr">
        <is>
          <t>Estudio en Carrer Santa Llúcia</t>
        </is>
      </c>
      <c r="C2828" t="inlineStr">
        <is>
          <t>https://www.pisos.com/comprar/estudio-dalt_vila_la_marina-59169406190_100500/</t>
        </is>
      </c>
      <c r="J2828" t="inlineStr">
        <is>
          <t>Ibiza Eivissa</t>
        </is>
      </c>
      <c r="S2828" t="n">
        <v>350000</v>
      </c>
      <c r="AH2828" t="inlineStr">
        <is>
          <t>Quelle: Pisos.com</t>
        </is>
      </c>
    </row>
    <row r="2829">
      <c r="A2829" t="n">
        <v>2642</v>
      </c>
      <c r="B2829" t="inlineStr">
        <is>
          <t>Estudio en Dalt Vila - La Marina</t>
        </is>
      </c>
      <c r="C2829" t="inlineStr">
        <is>
          <t>https://www.pisos.com/comprar/estudio-dalt_vila_la_marina-59249145748_100500/</t>
        </is>
      </c>
      <c r="E2829" t="n">
        <v>1</v>
      </c>
      <c r="J2829" t="inlineStr">
        <is>
          <t>Ibiza Eivissa</t>
        </is>
      </c>
      <c r="S2829" t="n">
        <v>550000</v>
      </c>
      <c r="AH2829" t="inlineStr">
        <is>
          <t>Quelle: Pisos.com</t>
        </is>
      </c>
    </row>
    <row r="2830">
      <c r="A2830" t="n">
        <v>2643</v>
      </c>
      <c r="B2830" t="inlineStr">
        <is>
          <t>Ático en Santa Eulalia</t>
        </is>
      </c>
      <c r="C2830" t="inlineStr">
        <is>
          <t>https://www.pisos.com/comprar/atico-santa_eularia_des_riu_centro_urbano-59170617898_108900/</t>
        </is>
      </c>
      <c r="E2830" t="n">
        <v>2</v>
      </c>
      <c r="J2830" t="inlineStr">
        <is>
          <t>Santa Eul&amp;#xE0;ria des Riu</t>
        </is>
      </c>
      <c r="K2830" t="n">
        <v>47.4</v>
      </c>
      <c r="L2830" t="n">
        <v>40</v>
      </c>
      <c r="M2830" t="n">
        <v>51.8</v>
      </c>
      <c r="N2830" t="n">
        <v>55</v>
      </c>
      <c r="O2830" t="n">
        <v>70</v>
      </c>
      <c r="P2830" t="n">
        <v>56</v>
      </c>
      <c r="Q2830" t="n">
        <v>49.5</v>
      </c>
      <c r="R2830" t="n">
        <v>51</v>
      </c>
      <c r="S2830" t="n">
        <v>1200000</v>
      </c>
      <c r="AH2830" t="inlineStr">
        <is>
          <t>Quelle: Pisos.com</t>
        </is>
      </c>
    </row>
    <row r="2831">
      <c r="A2831" t="n">
        <v>2644</v>
      </c>
      <c r="B2831" t="inlineStr">
        <is>
          <t>Apartamento en Pollença</t>
        </is>
      </c>
      <c r="C2831" t="inlineStr">
        <is>
          <t>https://www.pisos.com/comprar/apartamento-pollenca_centro_urbano-59167028353_108400/</t>
        </is>
      </c>
      <c r="E2831" t="n">
        <v>5</v>
      </c>
      <c r="J2831" t="inlineStr">
        <is>
          <t>Pollen&amp;#xE7;a</t>
        </is>
      </c>
      <c r="K2831" t="n">
        <v>60.6</v>
      </c>
      <c r="L2831" t="n">
        <v>47</v>
      </c>
      <c r="M2831" t="n">
        <v>78.7</v>
      </c>
      <c r="N2831" t="n">
        <v>74</v>
      </c>
      <c r="O2831" t="n">
        <v>83.2</v>
      </c>
      <c r="P2831" t="n">
        <v>63</v>
      </c>
      <c r="Q2831" t="n">
        <v>76.40000000000001</v>
      </c>
      <c r="R2831" t="n">
        <v>70</v>
      </c>
      <c r="S2831" t="n">
        <v>1625000</v>
      </c>
      <c r="AH2831" t="inlineStr">
        <is>
          <t>Quelle: Pisos.com</t>
        </is>
      </c>
    </row>
    <row r="2832">
      <c r="A2832" t="n">
        <v>2645</v>
      </c>
      <c r="B2832" t="inlineStr">
        <is>
          <t>Chalet en Cala Blanca-Santandria-Son Carrió</t>
        </is>
      </c>
      <c r="C2832" t="inlineStr">
        <is>
          <t>https://www.pisos.com/comprar/chalet-cala_blanca_santandria_son_carrio-58427522576_106700/</t>
        </is>
      </c>
      <c r="E2832" t="n">
        <v>6</v>
      </c>
      <c r="J2832" t="inlineStr">
        <is>
          <t>Ciutadella de Menorca</t>
        </is>
      </c>
      <c r="K2832" t="n">
        <v>47.4</v>
      </c>
      <c r="L2832" t="n">
        <v>40</v>
      </c>
      <c r="M2832" t="n">
        <v>51.8</v>
      </c>
      <c r="N2832" t="n">
        <v>55</v>
      </c>
      <c r="O2832" t="n">
        <v>70</v>
      </c>
      <c r="P2832" t="n">
        <v>56</v>
      </c>
      <c r="Q2832" t="n">
        <v>49.5</v>
      </c>
      <c r="R2832" t="n">
        <v>51</v>
      </c>
      <c r="S2832" t="n">
        <v>1700000</v>
      </c>
      <c r="AH2832" t="inlineStr">
        <is>
          <t>Quelle: Pisos.com</t>
        </is>
      </c>
    </row>
    <row r="2833">
      <c r="A2833" t="n">
        <v>2646</v>
      </c>
      <c r="B2833" t="inlineStr">
        <is>
          <t>Casa en Manacor</t>
        </is>
      </c>
      <c r="C2833" t="inlineStr">
        <is>
          <t>https://www.pisos.com/comprar/casa-manacor_centro_urbano-58347096479_106600/</t>
        </is>
      </c>
      <c r="E2833" t="n">
        <v>2</v>
      </c>
      <c r="J2833" t="inlineStr">
        <is>
          <t>Manacor</t>
        </is>
      </c>
      <c r="S2833" t="n">
        <v>422000</v>
      </c>
      <c r="AH2833" t="inlineStr">
        <is>
          <t>Quelle: Pisos.com</t>
        </is>
      </c>
    </row>
    <row r="2834">
      <c r="A2834" t="n">
        <v>2647</v>
      </c>
      <c r="B2834" t="inlineStr">
        <is>
          <t>Casa en Manacor</t>
        </is>
      </c>
      <c r="C2834" t="inlineStr">
        <is>
          <t>https://www.pisos.com/comprar/casa-manacor_centro_urbano-58400015803_106600/</t>
        </is>
      </c>
      <c r="E2834" t="n">
        <v>3</v>
      </c>
      <c r="J2834" t="inlineStr">
        <is>
          <t>Manacor</t>
        </is>
      </c>
      <c r="S2834" t="n">
        <v>490000</v>
      </c>
      <c r="AH2834" t="inlineStr">
        <is>
          <t>Quelle: Pisos.com</t>
        </is>
      </c>
    </row>
    <row r="2835">
      <c r="A2835" t="n">
        <v>2648</v>
      </c>
      <c r="B2835" t="inlineStr">
        <is>
          <t>Casa rústica en Nostra Senyora de Jesús</t>
        </is>
      </c>
      <c r="C2835" t="inlineStr">
        <is>
          <t>https://www.pisos.com/comprar/casa_rustica-nostra_senyora_de_jesus-58389311654_106700/</t>
        </is>
      </c>
      <c r="E2835" t="n">
        <v>2</v>
      </c>
      <c r="J2835" t="inlineStr">
        <is>
          <t>Santa Eul&amp;#xE0;ria des Riu</t>
        </is>
      </c>
      <c r="S2835" t="n">
        <v>895000</v>
      </c>
      <c r="AH2835" t="inlineStr">
        <is>
          <t>Quelle: Pisos.com</t>
        </is>
      </c>
    </row>
    <row r="2836">
      <c r="A2836" t="n">
        <v>2649</v>
      </c>
      <c r="B2836" t="inlineStr">
        <is>
          <t>Ático en La Seu</t>
        </is>
      </c>
      <c r="C2836" t="inlineStr">
        <is>
          <t>https://www.pisos.com/comprar/atico-sant_nicolau07001-58336679379_106700/</t>
        </is>
      </c>
      <c r="E2836" t="n">
        <v>2</v>
      </c>
      <c r="J2836" t="inlineStr">
        <is>
          <t>Palma de Mallorca</t>
        </is>
      </c>
      <c r="K2836" t="n">
        <v>9.699999999999999</v>
      </c>
      <c r="L2836" t="n">
        <v>14</v>
      </c>
      <c r="M2836" t="n">
        <v>52.5</v>
      </c>
      <c r="N2836" t="n">
        <v>47</v>
      </c>
      <c r="O2836" t="n">
        <v>32.1</v>
      </c>
      <c r="P2836" t="n">
        <v>36</v>
      </c>
      <c r="Q2836" t="n">
        <v>50.2</v>
      </c>
      <c r="R2836" t="n">
        <v>44</v>
      </c>
      <c r="S2836" t="n">
        <v>1250000</v>
      </c>
      <c r="AH2836" t="inlineStr">
        <is>
          <t>Quelle: Pisos.com</t>
        </is>
      </c>
    </row>
    <row r="2837">
      <c r="A2837" t="n">
        <v>2650</v>
      </c>
      <c r="B2837" t="inlineStr">
        <is>
          <t>Piso en Palma de Mallorca</t>
        </is>
      </c>
      <c r="C2837" t="inlineStr">
        <is>
          <t>https://www.pisos.com/comprar/piso-palma_de_mallorca-58406229964_106500/</t>
        </is>
      </c>
      <c r="E2837" t="n">
        <v>4</v>
      </c>
      <c r="J2837" t="inlineStr">
        <is>
          <t>Palma de Mallorca</t>
        </is>
      </c>
      <c r="S2837" t="n">
        <v>780000</v>
      </c>
      <c r="AH2837" t="inlineStr">
        <is>
          <t>Quelle: Pisos.com</t>
        </is>
      </c>
    </row>
    <row r="2838">
      <c r="A2838" t="n">
        <v>2651</v>
      </c>
      <c r="B2838" t="inlineStr">
        <is>
          <t>Piso en Santa Ponça</t>
        </is>
      </c>
      <c r="C2838" t="inlineStr">
        <is>
          <t>https://www.pisos.com/comprar/piso-calvia_santa_ponca07180-58431606854_106500/</t>
        </is>
      </c>
      <c r="E2838" t="n">
        <v>2</v>
      </c>
      <c r="J2838" t="inlineStr">
        <is>
          <t>Calvi&amp;#xE0;</t>
        </is>
      </c>
      <c r="S2838" t="n">
        <v>895000</v>
      </c>
      <c r="AH2838" t="inlineStr">
        <is>
          <t>Quelle: Pisos.com</t>
        </is>
      </c>
    </row>
    <row r="2839">
      <c r="A2839" t="n">
        <v>2652</v>
      </c>
      <c r="B2839" t="inlineStr">
        <is>
          <t>Casa rústica en Lloseta</t>
        </is>
      </c>
      <c r="C2839" t="inlineStr">
        <is>
          <t>https://www.pisos.com/comprar/casa_rustica-lloseta_centro_urbano-58426800502_106500/</t>
        </is>
      </c>
      <c r="E2839" t="n">
        <v>4</v>
      </c>
      <c r="J2839" t="inlineStr">
        <is>
          <t>Lloseta</t>
        </is>
      </c>
      <c r="S2839" t="n">
        <v>795000</v>
      </c>
      <c r="AH2839" t="inlineStr">
        <is>
          <t>Quelle: Pisos.com</t>
        </is>
      </c>
    </row>
    <row r="2840">
      <c r="A2840" t="n">
        <v>2653</v>
      </c>
      <c r="B2840" t="inlineStr">
        <is>
          <t>Casa en Cala en Bosch-Serpentona</t>
        </is>
      </c>
      <c r="C2840" t="inlineStr">
        <is>
          <t>https://www.pisos.com/comprar/casa-cala_en_bosch_serpentona-58400689215_106700/</t>
        </is>
      </c>
      <c r="E2840" t="n">
        <v>2</v>
      </c>
      <c r="J2840" t="inlineStr">
        <is>
          <t>Ciutadella de Menorca</t>
        </is>
      </c>
      <c r="S2840" t="n">
        <v>557000</v>
      </c>
      <c r="AH2840" t="inlineStr">
        <is>
          <t>Quelle: Pisos.com</t>
        </is>
      </c>
    </row>
    <row r="2841">
      <c r="A2841" t="n">
        <v>2654</v>
      </c>
      <c r="B2841" t="inlineStr">
        <is>
          <t>Piso en Botafoc / Talamanca</t>
        </is>
      </c>
      <c r="C2841" t="inlineStr">
        <is>
          <t>https://www.pisos.com/comprar/piso-marina_botafoch_platja_de_talamanca-57532659329_108900/</t>
        </is>
      </c>
      <c r="E2841" t="n">
        <v>2</v>
      </c>
      <c r="J2841" t="inlineStr">
        <is>
          <t>Ibiza Eivissa</t>
        </is>
      </c>
      <c r="S2841" t="n">
        <v>535000</v>
      </c>
      <c r="AH2841" t="inlineStr">
        <is>
          <t>Quelle: Pisos.com</t>
        </is>
      </c>
    </row>
    <row r="2842">
      <c r="A2842" t="n">
        <v>2655</v>
      </c>
      <c r="B2842" t="inlineStr">
        <is>
          <t>Piso en Marina Botafoc - Talamanca</t>
        </is>
      </c>
      <c r="C2842" t="inlineStr">
        <is>
          <t>https://www.pisos.com/comprar/piso-marina_botafoch_platja_de_talamanca-56688962341_100500/</t>
        </is>
      </c>
      <c r="E2842" t="n">
        <v>2</v>
      </c>
      <c r="J2842" t="inlineStr">
        <is>
          <t>Ibiza Eivissa</t>
        </is>
      </c>
      <c r="K2842" t="n">
        <v>47.4</v>
      </c>
      <c r="L2842" t="n">
        <v>40</v>
      </c>
      <c r="M2842" t="n">
        <v>51.8</v>
      </c>
      <c r="N2842" t="n">
        <v>55</v>
      </c>
      <c r="O2842" t="n">
        <v>70</v>
      </c>
      <c r="P2842" t="n">
        <v>56</v>
      </c>
      <c r="Q2842" t="n">
        <v>49.5</v>
      </c>
      <c r="R2842" t="n">
        <v>51</v>
      </c>
      <c r="S2842" t="n">
        <v>1250000</v>
      </c>
      <c r="AH2842" t="inlineStr">
        <is>
          <t>Quelle: Pisos.com</t>
        </is>
      </c>
    </row>
    <row r="2843">
      <c r="A2843" t="n">
        <v>2656</v>
      </c>
      <c r="B2843" t="inlineStr">
        <is>
          <t>Finca rústica en Sineu</t>
        </is>
      </c>
      <c r="C2843" t="inlineStr">
        <is>
          <t>https://www.pisos.com/comprar/finca_rustica-sineu_centro_urbano-56703205376_108400/</t>
        </is>
      </c>
      <c r="E2843" t="n">
        <v>7</v>
      </c>
      <c r="J2843" t="inlineStr">
        <is>
          <t>Sineu</t>
        </is>
      </c>
      <c r="K2843" t="n">
        <v>34.8</v>
      </c>
      <c r="L2843" t="n">
        <v>35</v>
      </c>
      <c r="M2843" t="n">
        <v>42.6</v>
      </c>
      <c r="N2843" t="n">
        <v>44</v>
      </c>
      <c r="O2843" t="n">
        <v>66.59999999999999</v>
      </c>
      <c r="P2843" t="n">
        <v>56</v>
      </c>
      <c r="Q2843" t="n">
        <v>40.3</v>
      </c>
      <c r="R2843" t="n">
        <v>40</v>
      </c>
      <c r="S2843" t="n">
        <v>3995000</v>
      </c>
      <c r="AH2843" t="inlineStr">
        <is>
          <t>Quelle: Pisos.com</t>
        </is>
      </c>
    </row>
    <row r="2844">
      <c r="A2844" t="n">
        <v>2657</v>
      </c>
      <c r="B2844" t="inlineStr">
        <is>
          <t>Ático en Andratx</t>
        </is>
      </c>
      <c r="C2844" t="inlineStr">
        <is>
          <t>https://www.pisos.com/comprar/atico-andratx_centro_urbano-56671219720_106600/</t>
        </is>
      </c>
      <c r="E2844" t="n">
        <v>2</v>
      </c>
      <c r="J2844" t="inlineStr">
        <is>
          <t>Andratx</t>
        </is>
      </c>
      <c r="S2844" t="n">
        <v>320000</v>
      </c>
      <c r="AH2844" t="inlineStr">
        <is>
          <t>Quelle: Pisos.com</t>
        </is>
      </c>
    </row>
    <row r="2845">
      <c r="A2845" t="n">
        <v>2658</v>
      </c>
      <c r="B2845" t="inlineStr">
        <is>
          <t>Casa adosada en Palma de Mallorca</t>
        </is>
      </c>
      <c r="C2845" t="inlineStr">
        <is>
          <t>https://www.pisos.com/comprar/casa_adosada-palma_de_mallorca-56742521828_106600/</t>
        </is>
      </c>
      <c r="E2845" t="n">
        <v>4</v>
      </c>
      <c r="J2845" t="inlineStr">
        <is>
          <t>Palma de Mallorca</t>
        </is>
      </c>
      <c r="S2845" t="n">
        <v>670000</v>
      </c>
      <c r="AH2845" t="inlineStr">
        <is>
          <t>Quelle: Pisos.com</t>
        </is>
      </c>
    </row>
    <row r="2846">
      <c r="A2846" t="n">
        <v>2659</v>
      </c>
      <c r="B2846" t="inlineStr">
        <is>
          <t>Chalet en Campos</t>
        </is>
      </c>
      <c r="C2846" t="inlineStr">
        <is>
          <t>https://www.pisos.com/comprar/chalet-campos_centro_urbano-56730562605_106600/</t>
        </is>
      </c>
      <c r="E2846" t="n">
        <v>5</v>
      </c>
      <c r="J2846" t="inlineStr">
        <is>
          <t>Campos</t>
        </is>
      </c>
      <c r="K2846" t="n">
        <v>32.9</v>
      </c>
      <c r="L2846" t="n">
        <v>28</v>
      </c>
      <c r="M2846" t="n">
        <v>14.6</v>
      </c>
      <c r="N2846" t="n">
        <v>18</v>
      </c>
      <c r="O2846" t="n">
        <v>71.09999999999999</v>
      </c>
      <c r="P2846" t="n">
        <v>56</v>
      </c>
      <c r="Q2846" t="n">
        <v>12.3</v>
      </c>
      <c r="R2846" t="n">
        <v>14</v>
      </c>
      <c r="S2846" t="n">
        <v>370000</v>
      </c>
      <c r="AH2846" t="inlineStr">
        <is>
          <t>Quelle: Pisos.com</t>
        </is>
      </c>
    </row>
    <row r="2847">
      <c r="A2847" t="n">
        <v>2660</v>
      </c>
      <c r="B2847" t="inlineStr">
        <is>
          <t>Piso en Felanitx</t>
        </is>
      </c>
      <c r="C2847" t="inlineStr">
        <is>
          <t>https://www.pisos.com/comprar/piso-felanitx_centro_urbano-56680693129_106500/</t>
        </is>
      </c>
      <c r="E2847" t="n">
        <v>1</v>
      </c>
      <c r="J2847" t="inlineStr">
        <is>
          <t>Felanitx</t>
        </is>
      </c>
      <c r="S2847" t="n">
        <v>525000</v>
      </c>
      <c r="AH2847" t="inlineStr">
        <is>
          <t>Quelle: Pisos.com</t>
        </is>
      </c>
    </row>
    <row r="2848">
      <c r="A2848" t="n">
        <v>2661</v>
      </c>
      <c r="B2848" t="inlineStr">
        <is>
          <t>Apartamento en Port d'Andratx</t>
        </is>
      </c>
      <c r="C2848" t="inlineStr">
        <is>
          <t>https://www.pisos.com/comprar/apartamento-port_andratx-55057691451_108400/</t>
        </is>
      </c>
      <c r="E2848" t="n">
        <v>2</v>
      </c>
      <c r="J2848" t="inlineStr">
        <is>
          <t>Andratx</t>
        </is>
      </c>
      <c r="S2848" t="n">
        <v>945000</v>
      </c>
      <c r="AH2848" t="inlineStr">
        <is>
          <t>Quelle: Pisos.com</t>
        </is>
      </c>
    </row>
    <row r="2849">
      <c r="A2849" t="n">
        <v>2662</v>
      </c>
      <c r="B2849" t="inlineStr">
        <is>
          <t>Apartamento en Cas Català-Illetes</t>
        </is>
      </c>
      <c r="C2849" t="inlineStr">
        <is>
          <t>https://www.pisos.com/comprar/apartamento-cas_catala_illetes-55097230101_108400/</t>
        </is>
      </c>
      <c r="E2849" t="n">
        <v>2</v>
      </c>
      <c r="J2849" t="inlineStr">
        <is>
          <t>Calvi&amp;#xE0;</t>
        </is>
      </c>
      <c r="S2849" t="n">
        <v>895000</v>
      </c>
      <c r="AH2849" t="inlineStr">
        <is>
          <t>Quelle: Pisos.com</t>
        </is>
      </c>
    </row>
    <row r="2850">
      <c r="A2850" t="n">
        <v>2663</v>
      </c>
      <c r="B2850" t="inlineStr">
        <is>
          <t>Casa en Santa Ponça</t>
        </is>
      </c>
      <c r="C2850" t="inlineStr">
        <is>
          <t>https://www.pisos.com/comprar/casa-calvia_santa_ponca07180-55017572001_108400/</t>
        </is>
      </c>
      <c r="E2850" t="n">
        <v>4</v>
      </c>
      <c r="J2850" t="inlineStr">
        <is>
          <t>Calvi&amp;#xE0;</t>
        </is>
      </c>
      <c r="S2850" t="n">
        <v>995000</v>
      </c>
      <c r="AH2850" t="inlineStr">
        <is>
          <t>Quelle: Pisos.com</t>
        </is>
      </c>
    </row>
    <row r="2851">
      <c r="A2851" t="n">
        <v>2664</v>
      </c>
      <c r="B2851" t="inlineStr">
        <is>
          <t>Casa en Platja d'Alcúdia-Port d'Alcúdia</t>
        </is>
      </c>
      <c r="C2851" t="inlineStr">
        <is>
          <t>https://www.pisos.com/comprar/casa-platja_alcudia_port_alcudia-55088300793_108400/</t>
        </is>
      </c>
      <c r="E2851" t="n">
        <v>5</v>
      </c>
      <c r="J2851" t="inlineStr">
        <is>
          <t>Alc&amp;#xFA;dia</t>
        </is>
      </c>
      <c r="K2851" t="n">
        <v>61.6</v>
      </c>
      <c r="L2851" t="n">
        <v>47</v>
      </c>
      <c r="M2851" t="n">
        <v>79.7</v>
      </c>
      <c r="N2851" t="n">
        <v>74</v>
      </c>
      <c r="O2851" t="n">
        <v>84.2</v>
      </c>
      <c r="P2851" t="n">
        <v>63</v>
      </c>
      <c r="Q2851" t="n">
        <v>77.40000000000001</v>
      </c>
      <c r="R2851" t="n">
        <v>70</v>
      </c>
      <c r="S2851" t="n">
        <v>1590000</v>
      </c>
      <c r="AH2851" t="inlineStr">
        <is>
          <t>Quelle: Pisos.com</t>
        </is>
      </c>
    </row>
    <row r="2852">
      <c r="A2852" t="n">
        <v>2665</v>
      </c>
      <c r="B2852" t="inlineStr">
        <is>
          <t>Apartamento en La Seu</t>
        </is>
      </c>
      <c r="C2852" t="inlineStr">
        <is>
          <t>https://www.pisos.com/comprar/apartamento-centre_la_seu07001-55045886932_101800/</t>
        </is>
      </c>
      <c r="E2852" t="n">
        <v>2</v>
      </c>
      <c r="J2852" t="inlineStr">
        <is>
          <t>Palma de Mallorca</t>
        </is>
      </c>
      <c r="S2852" t="n">
        <v>395000</v>
      </c>
      <c r="AH2852" t="inlineStr">
        <is>
          <t>Quelle: Pisos.com</t>
        </is>
      </c>
    </row>
    <row r="2853">
      <c r="A2853" t="n">
        <v>2666</v>
      </c>
      <c r="B2853" t="inlineStr">
        <is>
          <t>Chalet en Punta Prima</t>
        </is>
      </c>
      <c r="C2853" t="inlineStr">
        <is>
          <t>https://www.pisos.com/comprar/chalet-sant_lluis_punta_prima-54258046665_106700/</t>
        </is>
      </c>
      <c r="E2853" t="n">
        <v>3</v>
      </c>
      <c r="J2853" t="inlineStr">
        <is>
          <t>Sant Llu&amp;#xED;s</t>
        </is>
      </c>
      <c r="S2853" t="n">
        <v>620000</v>
      </c>
      <c r="AH2853" t="inlineStr">
        <is>
          <t>Quelle: Pisos.com</t>
        </is>
      </c>
    </row>
    <row r="2854">
      <c r="A2854" t="n">
        <v>2667</v>
      </c>
      <c r="B2854" t="inlineStr">
        <is>
          <t>Finca rústica en Algaida</t>
        </is>
      </c>
      <c r="C2854" t="inlineStr">
        <is>
          <t>https://www.pisos.com/comprar/finca_rustica-algaida_centro_urbano-53411871933_109300/</t>
        </is>
      </c>
      <c r="E2854" t="n">
        <v>12</v>
      </c>
      <c r="J2854" t="inlineStr">
        <is>
          <t>Algaida</t>
        </is>
      </c>
      <c r="K2854" t="n">
        <v>20.1</v>
      </c>
      <c r="L2854" t="n">
        <v>21</v>
      </c>
      <c r="M2854" t="n">
        <v>39.8</v>
      </c>
      <c r="N2854" t="n">
        <v>41</v>
      </c>
      <c r="O2854" t="n">
        <v>54.4</v>
      </c>
      <c r="P2854" t="n">
        <v>46</v>
      </c>
      <c r="Q2854" t="n">
        <v>37.5</v>
      </c>
      <c r="R2854" t="n">
        <v>37</v>
      </c>
      <c r="S2854" t="n">
        <v>7000000</v>
      </c>
      <c r="AH2854" t="inlineStr">
        <is>
          <t>Quelle: Pisos.com</t>
        </is>
      </c>
    </row>
    <row r="2855">
      <c r="A2855" t="n">
        <v>2668</v>
      </c>
      <c r="B2855" t="inlineStr">
        <is>
          <t>Finca rústica en Santanyí</t>
        </is>
      </c>
      <c r="C2855" t="inlineStr">
        <is>
          <t>https://www.pisos.com/comprar/finca_rustica-santanyi_centro_urbano-52507507110_512258/</t>
        </is>
      </c>
      <c r="E2855" t="n">
        <v>4</v>
      </c>
      <c r="J2855" t="inlineStr">
        <is>
          <t>Santany&amp;#xED;</t>
        </is>
      </c>
      <c r="S2855" t="n">
        <v>940000</v>
      </c>
      <c r="AH2855" t="inlineStr">
        <is>
          <t>Quelle: Pisos.com</t>
        </is>
      </c>
    </row>
    <row r="2856">
      <c r="A2856" t="n">
        <v>2669</v>
      </c>
      <c r="B2856" t="inlineStr">
        <is>
          <t>Ático en Cas Catala Nou</t>
        </is>
      </c>
      <c r="C2856" t="inlineStr">
        <is>
          <t>https://www.pisos.com/comprar/atico-cas_catala_illetes-52504862174_109300/</t>
        </is>
      </c>
      <c r="E2856" t="n">
        <v>4</v>
      </c>
      <c r="J2856" t="inlineStr">
        <is>
          <t>Calvi&amp;#xE0;</t>
        </is>
      </c>
      <c r="K2856" t="n">
        <v>31.1</v>
      </c>
      <c r="L2856" t="n">
        <v>28</v>
      </c>
      <c r="M2856" t="n">
        <v>73.90000000000001</v>
      </c>
      <c r="N2856" t="n">
        <v>61</v>
      </c>
      <c r="O2856" t="n">
        <v>19.4</v>
      </c>
      <c r="P2856" t="n">
        <v>22</v>
      </c>
      <c r="Q2856" t="n">
        <v>71.59999999999999</v>
      </c>
      <c r="R2856" t="n">
        <v>58</v>
      </c>
      <c r="S2856" t="n">
        <v>2650000</v>
      </c>
      <c r="AH2856" t="inlineStr">
        <is>
          <t>Quelle: Pisos.com</t>
        </is>
      </c>
    </row>
    <row r="2857">
      <c r="A2857" t="n">
        <v>2670</v>
      </c>
      <c r="B2857" t="inlineStr">
        <is>
          <t>Casa en Sa Pobla</t>
        </is>
      </c>
      <c r="C2857" t="inlineStr">
        <is>
          <t>https://www.pisos.com/comprar/casa-sa_pobla-49168464592_109300/</t>
        </is>
      </c>
      <c r="J2857" t="inlineStr">
        <is>
          <t>Sa Pobla</t>
        </is>
      </c>
      <c r="S2857" t="n">
        <v>350000</v>
      </c>
      <c r="AH2857" t="inlineStr">
        <is>
          <t>Quelle: Pisos.com</t>
        </is>
      </c>
    </row>
    <row r="2858">
      <c r="A2858" t="n">
        <v>2671</v>
      </c>
      <c r="B2858" t="inlineStr">
        <is>
          <t>Apartamento en Cala Grassió</t>
        </is>
      </c>
      <c r="C2858" t="inlineStr">
        <is>
          <t>https://www.pisos.com/comprar/apartamento-cala_grassio-37573390401_513231/</t>
        </is>
      </c>
      <c r="E2858" t="n">
        <v>2</v>
      </c>
      <c r="J2858" t="inlineStr">
        <is>
          <t>Sant Antoni de Portmany</t>
        </is>
      </c>
      <c r="K2858" t="n">
        <v>165</v>
      </c>
      <c r="L2858" t="n">
        <v>335</v>
      </c>
      <c r="M2858" t="n">
        <v>207.7</v>
      </c>
      <c r="N2858" t="n">
        <v>368</v>
      </c>
      <c r="O2858" t="n">
        <v>178.9</v>
      </c>
      <c r="P2858" t="n">
        <v>340</v>
      </c>
      <c r="Q2858" t="n">
        <v>205.4</v>
      </c>
      <c r="R2858" t="n">
        <v>364</v>
      </c>
      <c r="S2858" t="n">
        <v>1050000</v>
      </c>
      <c r="AH2858" t="inlineStr">
        <is>
          <t>Quelle: Pisos.com</t>
        </is>
      </c>
    </row>
    <row r="2859">
      <c r="A2859" t="n">
        <v>2672</v>
      </c>
      <c r="B2859" t="inlineStr">
        <is>
          <t>Piso en Centro</t>
        </is>
      </c>
      <c r="C2859" t="inlineStr">
        <is>
          <t>https://www.pisos.com/comprar/piso-ponent_santa_catalina07011-61710412191_100500/</t>
        </is>
      </c>
      <c r="E2859" t="n">
        <v>2</v>
      </c>
      <c r="J2859" t="inlineStr">
        <is>
          <t>Palma de Mallorca</t>
        </is>
      </c>
      <c r="S2859" t="n">
        <v>600000</v>
      </c>
      <c r="AH2859" t="inlineStr">
        <is>
          <t>Quelle: Pisos.com</t>
        </is>
      </c>
    </row>
    <row r="2860">
      <c r="A2860" t="n">
        <v>2673</v>
      </c>
      <c r="B2860" t="inlineStr">
        <is>
          <t>Chalet unifamiliar en Barca Trencada</t>
        </is>
      </c>
      <c r="C2860" t="inlineStr">
        <is>
          <t>https://www.pisos.com/comprar/chalet_unifamiliar-barca_trencada-50081874777_519788/</t>
        </is>
      </c>
      <c r="E2860" t="n">
        <v>4</v>
      </c>
      <c r="J2860" t="inlineStr">
        <is>
          <t>Santany&amp;#xED;</t>
        </is>
      </c>
      <c r="K2860" t="n">
        <v>45.4</v>
      </c>
      <c r="L2860" t="n">
        <v>39</v>
      </c>
      <c r="M2860" t="n">
        <v>9</v>
      </c>
      <c r="N2860" t="n">
        <v>13</v>
      </c>
      <c r="O2860" t="n">
        <v>83.59999999999999</v>
      </c>
      <c r="P2860" t="n">
        <v>67</v>
      </c>
      <c r="Q2860" t="n">
        <v>9.699999999999999</v>
      </c>
      <c r="R2860" t="n">
        <v>15</v>
      </c>
      <c r="S2860" t="n">
        <v>2000000</v>
      </c>
      <c r="AH2860" t="inlineStr">
        <is>
          <t>Quelle: Pisos.com</t>
        </is>
      </c>
    </row>
    <row r="2861">
      <c r="A2861" t="n">
        <v>2674</v>
      </c>
      <c r="B2861" t="inlineStr">
        <is>
          <t>Apartamento en La Seu</t>
        </is>
      </c>
      <c r="C2861" t="inlineStr">
        <is>
          <t>https://www.pisos.com/comprar/apartamento-centre_la_seu07001-55056339769_108400/</t>
        </is>
      </c>
      <c r="E2861" t="n">
        <v>2</v>
      </c>
      <c r="J2861" t="inlineStr">
        <is>
          <t>Palma de Mallorca</t>
        </is>
      </c>
      <c r="K2861" t="n">
        <v>9.699999999999999</v>
      </c>
      <c r="L2861" t="n">
        <v>14</v>
      </c>
      <c r="M2861" t="n">
        <v>52.5</v>
      </c>
      <c r="N2861" t="n">
        <v>47</v>
      </c>
      <c r="O2861" t="n">
        <v>32.1</v>
      </c>
      <c r="P2861" t="n">
        <v>36</v>
      </c>
      <c r="Q2861" t="n">
        <v>50.2</v>
      </c>
      <c r="R2861" t="n">
        <v>44</v>
      </c>
      <c r="S2861" t="n">
        <v>1200000</v>
      </c>
      <c r="AH2861" t="inlineStr">
        <is>
          <t>Quelle: Pisos.com</t>
        </is>
      </c>
    </row>
    <row r="2862">
      <c r="A2862" t="n">
        <v>2675</v>
      </c>
      <c r="B2862" t="inlineStr">
        <is>
          <t>Piso en Passeig de Mallorca, 5</t>
        </is>
      </c>
      <c r="C2862" t="inlineStr">
        <is>
          <t>https://www.pisos.com/comprar/piso-ponent_santa_catalina07011-50880910527_108500/</t>
        </is>
      </c>
      <c r="E2862" t="n">
        <v>4</v>
      </c>
      <c r="J2862" t="inlineStr">
        <is>
          <t>Palma de Mallorca</t>
        </is>
      </c>
      <c r="S2862" t="n">
        <v>945000</v>
      </c>
      <c r="AH2862" t="inlineStr">
        <is>
          <t>Quelle: Pisos.com</t>
        </is>
      </c>
    </row>
    <row r="2863">
      <c r="A2863" t="n">
        <v>2676</v>
      </c>
      <c r="B2863" t="inlineStr">
        <is>
          <t>Piso en Camí de Son Vida, 14</t>
        </is>
      </c>
      <c r="C2863" t="inlineStr">
        <is>
          <t>https://www.pisos.com/comprar/piso-ponent_son_vida07013-48379785532_993076/</t>
        </is>
      </c>
      <c r="E2863" t="n">
        <v>3</v>
      </c>
      <c r="J2863" t="inlineStr">
        <is>
          <t>Palma de Mallorca</t>
        </is>
      </c>
      <c r="S2863" t="n">
        <v>970000</v>
      </c>
      <c r="AH2863" t="inlineStr">
        <is>
          <t>Quelle: Pisos.com</t>
        </is>
      </c>
    </row>
    <row r="2864">
      <c r="A2864" t="n">
        <v>2677</v>
      </c>
      <c r="B2864" t="inlineStr">
        <is>
          <t>Ático en Carrer de Llorenç Riber</t>
        </is>
      </c>
      <c r="C2864" t="inlineStr">
        <is>
          <t>https://www.pisos.com/comprar/atico-pere_garau07005-60904837688_515241/</t>
        </is>
      </c>
      <c r="E2864" t="n">
        <v>2</v>
      </c>
      <c r="J2864" t="inlineStr">
        <is>
          <t>Palma de Mallorca</t>
        </is>
      </c>
      <c r="S2864" t="n">
        <v>480000</v>
      </c>
      <c r="AH2864" t="inlineStr">
        <is>
          <t>Quelle: Pisos.com</t>
        </is>
      </c>
    </row>
    <row r="2865">
      <c r="A2865" t="n">
        <v>2678</v>
      </c>
      <c r="B2865" t="inlineStr">
        <is>
          <t>Casa pareada en Carrer Mussol</t>
        </is>
      </c>
      <c r="C2865" t="inlineStr">
        <is>
          <t>https://www.pisos.com/comprar/casa_pareada-sa_rapita-60887725779_501477/</t>
        </is>
      </c>
      <c r="E2865" t="n">
        <v>2</v>
      </c>
      <c r="J2865" t="inlineStr">
        <is>
          <t>Campos</t>
        </is>
      </c>
      <c r="S2865" t="n">
        <v>444000</v>
      </c>
      <c r="AH2865" t="inlineStr">
        <is>
          <t>Quelle: Pisos.com</t>
        </is>
      </c>
    </row>
    <row r="2866">
      <c r="A2866" t="n">
        <v>2679</v>
      </c>
      <c r="B2866" t="inlineStr">
        <is>
          <t>Casa adosada en calle de Les Sabateres</t>
        </is>
      </c>
      <c r="C2866" t="inlineStr">
        <is>
          <t>https://www.pisos.com/comprar/casa_adosada-alaro_centro_urbano-60885932105_501477/</t>
        </is>
      </c>
      <c r="E2866" t="n">
        <v>3</v>
      </c>
      <c r="J2866" t="inlineStr">
        <is>
          <t>Alar&amp;#xF3;</t>
        </is>
      </c>
      <c r="S2866" t="n">
        <v>590000</v>
      </c>
      <c r="AH2866" t="inlineStr">
        <is>
          <t>Quelle: Pisos.com</t>
        </is>
      </c>
    </row>
    <row r="2867">
      <c r="A2867" t="n">
        <v>2680</v>
      </c>
      <c r="B2867" t="inlineStr">
        <is>
          <t>Chalet en Camí Vell de Gràcia</t>
        </is>
      </c>
      <c r="C2867" t="inlineStr">
        <is>
          <t>https://www.pisos.com/comprar/chalet-llucmajor_interior07620-59232573706_100500/</t>
        </is>
      </c>
      <c r="E2867" t="n">
        <v>4</v>
      </c>
      <c r="J2867" t="inlineStr">
        <is>
          <t>Llucmajor</t>
        </is>
      </c>
      <c r="S2867" t="n">
        <v>695000</v>
      </c>
      <c r="AH2867" t="inlineStr">
        <is>
          <t>Quelle: Pisos.com</t>
        </is>
      </c>
    </row>
    <row r="2868">
      <c r="A2868" t="n">
        <v>2681</v>
      </c>
      <c r="B2868" t="inlineStr">
        <is>
          <t>Chalet en Plaça Gonzalo Torrente Ballester</t>
        </is>
      </c>
      <c r="C2868" t="inlineStr">
        <is>
          <t>https://www.pisos.com/comprar/chalet-campos_centro_urbano-59184713945_108500/</t>
        </is>
      </c>
      <c r="E2868" t="n">
        <v>3</v>
      </c>
      <c r="J2868" t="inlineStr">
        <is>
          <t>Campos</t>
        </is>
      </c>
      <c r="K2868" t="n">
        <v>32.9</v>
      </c>
      <c r="L2868" t="n">
        <v>28</v>
      </c>
      <c r="M2868" t="n">
        <v>14.6</v>
      </c>
      <c r="N2868" t="n">
        <v>18</v>
      </c>
      <c r="O2868" t="n">
        <v>71.09999999999999</v>
      </c>
      <c r="P2868" t="n">
        <v>56</v>
      </c>
      <c r="Q2868" t="n">
        <v>12.3</v>
      </c>
      <c r="R2868" t="n">
        <v>14</v>
      </c>
      <c r="S2868" t="n">
        <v>1200000</v>
      </c>
      <c r="AH2868" t="inlineStr">
        <is>
          <t>Quelle: Pisos.com</t>
        </is>
      </c>
    </row>
    <row r="2869">
      <c r="A2869" t="n">
        <v>2682</v>
      </c>
      <c r="B2869" t="inlineStr">
        <is>
          <t>Finca rústica en Camí de ses Comunes</t>
        </is>
      </c>
      <c r="C2869" t="inlineStr">
        <is>
          <t>https://www.pisos.com/comprar/finca_rustica-campos_centro_urbano-57512681664_108500/</t>
        </is>
      </c>
      <c r="E2869" t="n">
        <v>3</v>
      </c>
      <c r="J2869" t="inlineStr">
        <is>
          <t>Campos</t>
        </is>
      </c>
      <c r="S2869" t="n">
        <v>750000</v>
      </c>
      <c r="AH2869" t="inlineStr">
        <is>
          <t>Quelle: Pisos.com</t>
        </is>
      </c>
    </row>
    <row r="2870">
      <c r="A2870" t="n">
        <v>2683</v>
      </c>
      <c r="B2870" t="inlineStr">
        <is>
          <t>Ático en Camí de Son Vida</t>
        </is>
      </c>
      <c r="C2870" t="inlineStr">
        <is>
          <t>https://www.pisos.com/comprar/atico-ponent_son_vida07013-55933214681_993076/</t>
        </is>
      </c>
      <c r="E2870" t="n">
        <v>3</v>
      </c>
      <c r="J2870" t="inlineStr">
        <is>
          <t>Palma de Mallorca</t>
        </is>
      </c>
      <c r="K2870" t="n">
        <v>9.699999999999999</v>
      </c>
      <c r="L2870" t="n">
        <v>14</v>
      </c>
      <c r="M2870" t="n">
        <v>52.5</v>
      </c>
      <c r="N2870" t="n">
        <v>47</v>
      </c>
      <c r="O2870" t="n">
        <v>32.1</v>
      </c>
      <c r="P2870" t="n">
        <v>36</v>
      </c>
      <c r="Q2870" t="n">
        <v>50.2</v>
      </c>
      <c r="R2870" t="n">
        <v>44</v>
      </c>
      <c r="S2870" t="n">
        <v>1250000</v>
      </c>
      <c r="AH2870" t="inlineStr">
        <is>
          <t>Quelle: Pisos.com</t>
        </is>
      </c>
    </row>
    <row r="2871">
      <c r="A2871" t="n">
        <v>2684</v>
      </c>
      <c r="B2871" t="inlineStr">
        <is>
          <t>Casa en Carrer de la Dolçor, 20</t>
        </is>
      </c>
      <c r="C2871" t="inlineStr">
        <is>
          <t>https://www.pisos.com/comprar/casa-porreres_centro_urbano-54264284583_399900/</t>
        </is>
      </c>
      <c r="E2871" t="n">
        <v>4</v>
      </c>
      <c r="J2871" t="inlineStr">
        <is>
          <t>Porreres</t>
        </is>
      </c>
      <c r="S2871" t="n">
        <v>790000</v>
      </c>
      <c r="AH2871" t="inlineStr">
        <is>
          <t>Quelle: Pisos.com</t>
        </is>
      </c>
    </row>
    <row r="2872">
      <c r="A2872" t="n">
        <v>2685</v>
      </c>
      <c r="B2872" t="inlineStr">
        <is>
          <t>Apartamento en Avinguda de Gabriel Roca</t>
        </is>
      </c>
      <c r="C2872" t="inlineStr">
        <is>
          <t>https://www.pisos.com/comprar/apartamento-la_bonanova_porto_pi07015-54215530531_501477/</t>
        </is>
      </c>
      <c r="E2872" t="n">
        <v>3</v>
      </c>
      <c r="J2872" t="inlineStr">
        <is>
          <t>Palma de Mallorca</t>
        </is>
      </c>
      <c r="S2872" t="n">
        <v>365000</v>
      </c>
      <c r="AH2872" t="inlineStr">
        <is>
          <t>Quelle: Pisos.com</t>
        </is>
      </c>
    </row>
    <row r="2873">
      <c r="A2873" t="n">
        <v>2686</v>
      </c>
      <c r="B2873" t="inlineStr">
        <is>
          <t>Chalet adosado en Carrer del Sol</t>
        </is>
      </c>
      <c r="C2873" t="inlineStr">
        <is>
          <t>https://www.pisos.com/comprar/chalet_adosado-sant_llorenc_des_cardassar_son_carrio-52524337164_399900/</t>
        </is>
      </c>
      <c r="E2873" t="n">
        <v>4</v>
      </c>
      <c r="J2873" t="inlineStr">
        <is>
          <t>Sant Lloren&amp;#xE7; des Cardassar</t>
        </is>
      </c>
      <c r="S2873" t="n">
        <v>698250</v>
      </c>
      <c r="AH2873" t="inlineStr">
        <is>
          <t>Quelle: Pisos.com</t>
        </is>
      </c>
    </row>
    <row r="2874">
      <c r="A2874" t="n">
        <v>2687</v>
      </c>
      <c r="B2874" t="inlineStr">
        <is>
          <t>Piso en Carrer de Calvià</t>
        </is>
      </c>
      <c r="C2874" t="inlineStr">
        <is>
          <t>https://www.pisos.com/comprar/piso-cala_vadella-52586757644_529621/</t>
        </is>
      </c>
      <c r="E2874" t="n">
        <v>2</v>
      </c>
      <c r="J2874" t="inlineStr">
        <is>
          <t>Sant Josep de sa Talaia</t>
        </is>
      </c>
      <c r="S2874" t="n">
        <v>476000</v>
      </c>
      <c r="AH2874" t="inlineStr">
        <is>
          <t>Quelle: Pisos.com</t>
        </is>
      </c>
    </row>
    <row r="2875">
      <c r="A2875" t="n">
        <v>2688</v>
      </c>
      <c r="B2875" t="inlineStr">
        <is>
          <t>Apartamento en Carrer del Romaní, 1</t>
        </is>
      </c>
      <c r="C2875" t="inlineStr">
        <is>
          <t>https://www.pisos.com/comprar/apartamento-colonia_de_sant_jordi-52541640811_108500/</t>
        </is>
      </c>
      <c r="E2875" t="n">
        <v>3</v>
      </c>
      <c r="J2875" t="inlineStr">
        <is>
          <t>Ses Salines</t>
        </is>
      </c>
      <c r="S2875" t="n">
        <v>560000</v>
      </c>
      <c r="AH2875" t="inlineStr">
        <is>
          <t>Quelle: Pisos.com</t>
        </is>
      </c>
    </row>
    <row r="2876">
      <c r="A2876" t="n">
        <v>2689</v>
      </c>
      <c r="B2876" t="inlineStr">
        <is>
          <t>Chalet unifamiliar en calle C. de La Costa de S´Estacio</t>
        </is>
      </c>
      <c r="C2876" t="inlineStr">
        <is>
          <t>https://www.pisos.com/comprar/chalet_unifamiliar-bunyola_centro_urbano-51697028773_399900/</t>
        </is>
      </c>
      <c r="E2876" t="n">
        <v>3</v>
      </c>
      <c r="J2876" t="inlineStr">
        <is>
          <t>Bunyola</t>
        </is>
      </c>
      <c r="S2876" t="n">
        <v>730000</v>
      </c>
      <c r="AH2876" t="inlineStr">
        <is>
          <t>Quelle: Pisos.com</t>
        </is>
      </c>
    </row>
    <row r="2877">
      <c r="A2877" t="n">
        <v>2690</v>
      </c>
      <c r="B2877" t="inlineStr">
        <is>
          <t>Ático en Carrer de Nunyo Sans</t>
        </is>
      </c>
      <c r="C2877" t="inlineStr">
        <is>
          <t>https://www.pisos.com/comprar/atico-calvia_costa_de_la_calma07183-50920280491_993076/</t>
        </is>
      </c>
      <c r="E2877" t="n">
        <v>4</v>
      </c>
      <c r="J2877" t="inlineStr">
        <is>
          <t>Calvi&amp;#xE0;</t>
        </is>
      </c>
      <c r="K2877" t="n">
        <v>31.1</v>
      </c>
      <c r="L2877" t="n">
        <v>28</v>
      </c>
      <c r="M2877" t="n">
        <v>73.90000000000001</v>
      </c>
      <c r="N2877" t="n">
        <v>61</v>
      </c>
      <c r="O2877" t="n">
        <v>19.4</v>
      </c>
      <c r="P2877" t="n">
        <v>22</v>
      </c>
      <c r="Q2877" t="n">
        <v>71.59999999999999</v>
      </c>
      <c r="R2877" t="n">
        <v>58</v>
      </c>
      <c r="S2877" t="n">
        <v>2820000</v>
      </c>
      <c r="AH2877" t="inlineStr">
        <is>
          <t>Quelle: Pisos.com</t>
        </is>
      </c>
    </row>
    <row r="2878">
      <c r="A2878" t="n">
        <v>2691</v>
      </c>
      <c r="B2878" t="inlineStr">
        <is>
          <t>Piso en Carrer de Nunyo Sans</t>
        </is>
      </c>
      <c r="C2878" t="inlineStr">
        <is>
          <t>https://www.pisos.com/comprar/piso-calvia_costa_de_la_calma07183-50871328258_993076/</t>
        </is>
      </c>
      <c r="E2878" t="n">
        <v>4</v>
      </c>
      <c r="J2878" t="inlineStr">
        <is>
          <t>Calvi&amp;#xE0;</t>
        </is>
      </c>
      <c r="K2878" t="n">
        <v>31.1</v>
      </c>
      <c r="L2878" t="n">
        <v>28</v>
      </c>
      <c r="M2878" t="n">
        <v>73.90000000000001</v>
      </c>
      <c r="N2878" t="n">
        <v>61</v>
      </c>
      <c r="O2878" t="n">
        <v>19.4</v>
      </c>
      <c r="P2878" t="n">
        <v>22</v>
      </c>
      <c r="Q2878" t="n">
        <v>71.59999999999999</v>
      </c>
      <c r="R2878" t="n">
        <v>58</v>
      </c>
      <c r="S2878" t="n">
        <v>1626450</v>
      </c>
      <c r="AH2878" t="inlineStr">
        <is>
          <t>Quelle: Pisos.com</t>
        </is>
      </c>
    </row>
    <row r="2879">
      <c r="A2879" t="n">
        <v>2692</v>
      </c>
      <c r="B2879" t="inlineStr">
        <is>
          <t>Piso en Avinguda de Joan Miró</t>
        </is>
      </c>
      <c r="C2879" t="inlineStr">
        <is>
          <t>https://www.pisos.com/comprar/piso-el_terreno07014-48392088798_100500/</t>
        </is>
      </c>
      <c r="E2879" t="n">
        <v>3</v>
      </c>
      <c r="J2879" t="inlineStr">
        <is>
          <t>Palma de Mallorca</t>
        </is>
      </c>
      <c r="K2879" t="n">
        <v>9.699999999999999</v>
      </c>
      <c r="L2879" t="n">
        <v>14</v>
      </c>
      <c r="M2879" t="n">
        <v>52.5</v>
      </c>
      <c r="N2879" t="n">
        <v>47</v>
      </c>
      <c r="O2879" t="n">
        <v>32.1</v>
      </c>
      <c r="P2879" t="n">
        <v>36</v>
      </c>
      <c r="Q2879" t="n">
        <v>50.2</v>
      </c>
      <c r="R2879" t="n">
        <v>44</v>
      </c>
      <c r="S2879" t="n">
        <v>1890000</v>
      </c>
      <c r="AH2879" t="inlineStr">
        <is>
          <t>Quelle: Pisos.com</t>
        </is>
      </c>
    </row>
    <row r="2880">
      <c r="A2880" t="n">
        <v>2693</v>
      </c>
      <c r="B2880" t="inlineStr">
        <is>
          <t>Piso en Avinguda de Gabriel Roca</t>
        </is>
      </c>
      <c r="C2880" t="inlineStr">
        <is>
          <t>https://www.pisos.com/comprar/piso-passeig_maritim-47570893405_993076/</t>
        </is>
      </c>
      <c r="E2880" t="n">
        <v>2</v>
      </c>
      <c r="J2880" t="inlineStr">
        <is>
          <t>Palma de Mallorca</t>
        </is>
      </c>
      <c r="K2880" t="n">
        <v>9.699999999999999</v>
      </c>
      <c r="L2880" t="n">
        <v>14</v>
      </c>
      <c r="M2880" t="n">
        <v>52.5</v>
      </c>
      <c r="N2880" t="n">
        <v>47</v>
      </c>
      <c r="O2880" t="n">
        <v>32.1</v>
      </c>
      <c r="P2880" t="n">
        <v>36</v>
      </c>
      <c r="Q2880" t="n">
        <v>50.2</v>
      </c>
      <c r="R2880" t="n">
        <v>44</v>
      </c>
      <c r="S2880" t="n">
        <v>1200000</v>
      </c>
      <c r="AH2880" t="inlineStr">
        <is>
          <t>Quelle: Pisos.com</t>
        </is>
      </c>
    </row>
    <row r="2881">
      <c r="A2881" t="n">
        <v>2694</v>
      </c>
      <c r="B2881" t="inlineStr">
        <is>
          <t>Piso en Carrer de la Punta Marroig</t>
        </is>
      </c>
      <c r="C2881" t="inlineStr">
        <is>
          <t>https://www.pisos.com/comprar/piso-palmanova_son_caliu-46705375166_993076/</t>
        </is>
      </c>
      <c r="E2881" t="n">
        <v>4</v>
      </c>
      <c r="J2881" t="inlineStr">
        <is>
          <t>Calvi&amp;#xE0;</t>
        </is>
      </c>
      <c r="K2881" t="n">
        <v>31.1</v>
      </c>
      <c r="L2881" t="n">
        <v>28</v>
      </c>
      <c r="M2881" t="n">
        <v>73.90000000000001</v>
      </c>
      <c r="N2881" t="n">
        <v>61</v>
      </c>
      <c r="O2881" t="n">
        <v>19.4</v>
      </c>
      <c r="P2881" t="n">
        <v>22</v>
      </c>
      <c r="Q2881" t="n">
        <v>71.59999999999999</v>
      </c>
      <c r="R2881" t="n">
        <v>58</v>
      </c>
      <c r="S2881" t="n">
        <v>1165000</v>
      </c>
      <c r="AH2881" t="inlineStr">
        <is>
          <t>Quelle: Pisos.com</t>
        </is>
      </c>
    </row>
    <row r="2882">
      <c r="A2882" t="n">
        <v>2695</v>
      </c>
      <c r="B2882" t="inlineStr">
        <is>
          <t>Finca rústica en calle Pol Par</t>
        </is>
      </c>
      <c r="C2882" t="inlineStr">
        <is>
          <t>https://www.pisos.com/comprar/finca_rustica-porreres_centro_urbano-45921604451_100500/</t>
        </is>
      </c>
      <c r="E2882" t="n">
        <v>4</v>
      </c>
      <c r="J2882" t="inlineStr">
        <is>
          <t>Porreres</t>
        </is>
      </c>
      <c r="S2882" t="n">
        <v>450000</v>
      </c>
      <c r="AH2882" t="inlineStr">
        <is>
          <t>Quelle: Pisos.com</t>
        </is>
      </c>
    </row>
    <row r="2883">
      <c r="A2883" t="n">
        <v>2696</v>
      </c>
      <c r="B2883" t="inlineStr">
        <is>
          <t>Piso en Carrer de Goya</t>
        </is>
      </c>
      <c r="C2883" t="inlineStr">
        <is>
          <t>https://www.pisos.com/comprar/piso-ses_salines-45051655841_100500/</t>
        </is>
      </c>
      <c r="E2883" t="n">
        <v>3</v>
      </c>
      <c r="J2883" t="inlineStr">
        <is>
          <t>Ses Salines</t>
        </is>
      </c>
      <c r="S2883" t="n">
        <v>536000</v>
      </c>
      <c r="AH2883" t="inlineStr">
        <is>
          <t>Quelle: Pisos.com</t>
        </is>
      </c>
    </row>
    <row r="2884">
      <c r="A2884" t="n">
        <v>2697</v>
      </c>
      <c r="B2884" t="inlineStr">
        <is>
          <t>Piso en Carrer de Goya</t>
        </is>
      </c>
      <c r="C2884" t="inlineStr">
        <is>
          <t>https://www.pisos.com/comprar/piso-colonia_de_sant_jordi-45041937467_100500/</t>
        </is>
      </c>
      <c r="E2884" t="n">
        <v>3</v>
      </c>
      <c r="J2884" t="inlineStr">
        <is>
          <t>Ses Salines</t>
        </is>
      </c>
      <c r="S2884" t="n">
        <v>485000</v>
      </c>
      <c r="AH2884" t="inlineStr">
        <is>
          <t>Quelle: Pisos.com</t>
        </is>
      </c>
    </row>
    <row r="2885">
      <c r="A2885" t="n">
        <v>2698</v>
      </c>
      <c r="B2885" t="inlineStr">
        <is>
          <t>Piso en Carrer de Goya</t>
        </is>
      </c>
      <c r="C2885" t="inlineStr">
        <is>
          <t>https://www.pisos.com/comprar/piso-colonia_de_sant_jordi-45097920197_100500/</t>
        </is>
      </c>
      <c r="E2885" t="n">
        <v>3</v>
      </c>
      <c r="J2885" t="inlineStr">
        <is>
          <t>Ses Salines</t>
        </is>
      </c>
      <c r="S2885" t="n">
        <v>619000</v>
      </c>
      <c r="AH2885" t="inlineStr">
        <is>
          <t>Quelle: Pisos.com</t>
        </is>
      </c>
    </row>
    <row r="2886">
      <c r="A2886" t="n">
        <v>2699</v>
      </c>
      <c r="B2886" t="inlineStr">
        <is>
          <t>Piso en Carrer de Goya</t>
        </is>
      </c>
      <c r="C2886" t="inlineStr">
        <is>
          <t>https://www.pisos.com/comprar/piso-ses_salines-45042674988_100500/</t>
        </is>
      </c>
      <c r="E2886" t="n">
        <v>2</v>
      </c>
      <c r="J2886" t="inlineStr">
        <is>
          <t>Ses Salines</t>
        </is>
      </c>
      <c r="S2886" t="n">
        <v>475000</v>
      </c>
      <c r="AH2886" t="inlineStr">
        <is>
          <t>Quelle: Pisos.com</t>
        </is>
      </c>
    </row>
    <row r="2887">
      <c r="A2887" t="n">
        <v>2700</v>
      </c>
      <c r="B2887" t="inlineStr">
        <is>
          <t>Ático en Carrer de la Justicia</t>
        </is>
      </c>
      <c r="C2887" t="inlineStr">
        <is>
          <t>https://www.pisos.com/comprar/atico-inca_centro_urbano-61724768049_100500/</t>
        </is>
      </c>
      <c r="E2887" t="n">
        <v>3</v>
      </c>
      <c r="J2887" t="inlineStr">
        <is>
          <t>Inca</t>
        </is>
      </c>
      <c r="S2887" t="n">
        <v>365000</v>
      </c>
      <c r="AH2887" t="inlineStr">
        <is>
          <t>Quelle: Pisos.com</t>
        </is>
      </c>
    </row>
    <row r="2888">
      <c r="A2888" t="n">
        <v>2701</v>
      </c>
      <c r="B2888" t="inlineStr">
        <is>
          <t>Piso en Carrer del Pare Bartomeu Pou</t>
        </is>
      </c>
      <c r="C2888" t="inlineStr">
        <is>
          <t>https://www.pisos.com/comprar/piso-bons_aires07003-60864090133_993076/</t>
        </is>
      </c>
      <c r="E2888" t="n">
        <v>4</v>
      </c>
      <c r="J2888" t="inlineStr">
        <is>
          <t>Palma de Mallorca</t>
        </is>
      </c>
      <c r="S2888" t="n">
        <v>500000</v>
      </c>
      <c r="AH2888" t="inlineStr">
        <is>
          <t>Quelle: Pisos.com</t>
        </is>
      </c>
    </row>
    <row r="2889">
      <c r="A2889" t="n">
        <v>2702</v>
      </c>
      <c r="B2889" t="inlineStr">
        <is>
          <t>Casa pareada en Carrer de Miquel Gelabert</t>
        </is>
      </c>
      <c r="C2889" t="inlineStr">
        <is>
          <t>https://www.pisos.com/comprar/casa_pareada-santa_margalida_centro_urbano-60036798164_100500/</t>
        </is>
      </c>
      <c r="E2889" t="n">
        <v>3</v>
      </c>
      <c r="J2889" t="inlineStr">
        <is>
          <t>Santa Margalida</t>
        </is>
      </c>
      <c r="S2889" t="n">
        <v>379900</v>
      </c>
      <c r="AH2889" t="inlineStr">
        <is>
          <t>Quelle: Pisos.com</t>
        </is>
      </c>
    </row>
    <row r="2890">
      <c r="A2890" t="n">
        <v>2703</v>
      </c>
      <c r="B2890" t="inlineStr">
        <is>
          <t>Piso en Carrer de Ses Balears</t>
        </is>
      </c>
      <c r="C2890" t="inlineStr">
        <is>
          <t>https://www.pisos.com/comprar/piso-llucmajor_sarenal-58404797305_517834/</t>
        </is>
      </c>
      <c r="E2890" t="n">
        <v>4</v>
      </c>
      <c r="J2890" t="inlineStr">
        <is>
          <t>Llucmajor</t>
        </is>
      </c>
      <c r="S2890" t="n">
        <v>375000</v>
      </c>
      <c r="AH2890" t="inlineStr">
        <is>
          <t>Quelle: Pisos.com</t>
        </is>
      </c>
    </row>
    <row r="2891">
      <c r="A2891" t="n">
        <v>2704</v>
      </c>
      <c r="B2891" t="inlineStr">
        <is>
          <t>Piso en calle 31 Diciembre</t>
        </is>
      </c>
      <c r="C2891" t="inlineStr">
        <is>
          <t>https://www.pisos.com/comprar/piso-bons_aires07003-58385320931_399900/</t>
        </is>
      </c>
      <c r="E2891" t="n">
        <v>4</v>
      </c>
      <c r="J2891" t="inlineStr">
        <is>
          <t>Palma de Mallorca</t>
        </is>
      </c>
      <c r="S2891" t="n">
        <v>425000</v>
      </c>
      <c r="AH2891" t="inlineStr">
        <is>
          <t>Quelle: Pisos.com</t>
        </is>
      </c>
    </row>
    <row r="2892">
      <c r="A2892" t="n">
        <v>2705</v>
      </c>
      <c r="B2892" t="inlineStr">
        <is>
          <t>Piso en Paseo Marítimo</t>
        </is>
      </c>
      <c r="C2892" t="inlineStr">
        <is>
          <t>https://www.pisos.com/comprar/piso-el_terreno07014-57526328690_525556/</t>
        </is>
      </c>
      <c r="E2892" t="n">
        <v>3</v>
      </c>
      <c r="J2892" t="inlineStr">
        <is>
          <t>Palma de Mallorca</t>
        </is>
      </c>
      <c r="S2892" t="n">
        <v>735000</v>
      </c>
      <c r="AH2892" t="inlineStr">
        <is>
          <t>Quelle: Pisos.com</t>
        </is>
      </c>
    </row>
    <row r="2893">
      <c r="A2893" t="n">
        <v>2706</v>
      </c>
      <c r="B2893" t="inlineStr">
        <is>
          <t>Piso en Carrer de les Sirenes</t>
        </is>
      </c>
      <c r="C2893" t="inlineStr">
        <is>
          <t>https://www.pisos.com/comprar/piso-calvia_cala_vinyes-53387556081_109300/</t>
        </is>
      </c>
      <c r="E2893" t="n">
        <v>2</v>
      </c>
      <c r="J2893" t="inlineStr">
        <is>
          <t>Calvi&amp;#xE0;</t>
        </is>
      </c>
      <c r="S2893" t="n">
        <v>385000</v>
      </c>
      <c r="AH2893" t="inlineStr">
        <is>
          <t>Quelle: Pisos.com</t>
        </is>
      </c>
    </row>
    <row r="2894">
      <c r="A2894" t="n">
        <v>2707</v>
      </c>
      <c r="B2894" t="inlineStr">
        <is>
          <t>Ático en Camí de Son Vida</t>
        </is>
      </c>
      <c r="C2894" t="inlineStr">
        <is>
          <t>https://www.pisos.com/comprar/atico-ponent_son_vida07013-15044711457_100500/</t>
        </is>
      </c>
      <c r="E2894" t="n">
        <v>3</v>
      </c>
      <c r="J2894" t="inlineStr">
        <is>
          <t>Palma de Mallorca</t>
        </is>
      </c>
      <c r="S2894" t="n">
        <v>750000</v>
      </c>
      <c r="AH2894" t="inlineStr">
        <is>
          <t>Quelle: Pisos.com</t>
        </is>
      </c>
    </row>
    <row r="2895">
      <c r="A2895" t="n">
        <v>2708</v>
      </c>
      <c r="B2895" t="inlineStr">
        <is>
          <t>Casa en Polígono 4</t>
        </is>
      </c>
      <c r="C2895" t="inlineStr">
        <is>
          <t>https://www.pisos.com/comprar/casa-ariany_centro_urbano-48357227757_501477/</t>
        </is>
      </c>
      <c r="E2895" t="n">
        <v>3</v>
      </c>
      <c r="J2895" t="inlineStr">
        <is>
          <t>Ariany</t>
        </is>
      </c>
      <c r="S2895" t="n">
        <v>990000</v>
      </c>
      <c r="AH2895" t="inlineStr">
        <is>
          <t>Quelle: Pisos.com</t>
        </is>
      </c>
    </row>
    <row r="2896">
      <c r="A2896" t="n">
        <v>2709</v>
      </c>
      <c r="B2896" t="inlineStr">
        <is>
          <t>Chalet unifamiliar en Carrer d'Andorra</t>
        </is>
      </c>
      <c r="C2896" t="inlineStr">
        <is>
          <t>https://www.pisos.com/comprar/chalet_unifamiliar-sa_torre-43339984306_993076/</t>
        </is>
      </c>
      <c r="E2896" t="n">
        <v>5</v>
      </c>
      <c r="J2896" t="inlineStr">
        <is>
          <t>Llucmajor</t>
        </is>
      </c>
      <c r="K2896" t="n">
        <v>22</v>
      </c>
      <c r="L2896" t="n">
        <v>21</v>
      </c>
      <c r="M2896" t="n">
        <v>28.2</v>
      </c>
      <c r="N2896" t="n">
        <v>33</v>
      </c>
      <c r="O2896" t="n">
        <v>60.2</v>
      </c>
      <c r="P2896" t="n">
        <v>48</v>
      </c>
      <c r="Q2896" t="n">
        <v>25.9</v>
      </c>
      <c r="R2896" t="n">
        <v>29</v>
      </c>
      <c r="S2896" t="n">
        <v>860000</v>
      </c>
      <c r="AH2896" t="inlineStr">
        <is>
          <t>Quelle: Pisos.com</t>
        </is>
      </c>
    </row>
    <row r="2897">
      <c r="A2897" t="n">
        <v>2710</v>
      </c>
      <c r="B2897" t="inlineStr">
        <is>
          <t>Casa en Carrer del Sol</t>
        </is>
      </c>
      <c r="C2897" t="inlineStr">
        <is>
          <t>https://www.pisos.com/comprar/casa-soller_centro_urbano-43383338642_993076/</t>
        </is>
      </c>
      <c r="E2897" t="n">
        <v>3</v>
      </c>
      <c r="J2897" t="inlineStr">
        <is>
          <t>S&amp;#xF3;ller</t>
        </is>
      </c>
      <c r="S2897" t="n">
        <v>400000</v>
      </c>
      <c r="AH2897" t="inlineStr">
        <is>
          <t>Quelle: Pisos.com</t>
        </is>
      </c>
    </row>
    <row r="2898">
      <c r="A2898" t="n">
        <v>2711</v>
      </c>
      <c r="B2898" t="inlineStr">
        <is>
          <t>Casa unifamiliar en Carrer del Metge Mayol</t>
        </is>
      </c>
      <c r="C2898" t="inlineStr">
        <is>
          <t>https://www.pisos.com/comprar/casa_unifamiliar-fornalutx_centro_urbano-43393083721_993076/</t>
        </is>
      </c>
      <c r="E2898" t="n">
        <v>8</v>
      </c>
      <c r="J2898" t="inlineStr">
        <is>
          <t>Fornalutx</t>
        </is>
      </c>
      <c r="K2898" t="n">
        <v>38.9</v>
      </c>
      <c r="L2898" t="n">
        <v>46</v>
      </c>
      <c r="M2898" t="n">
        <v>81.59999999999999</v>
      </c>
      <c r="N2898" t="n">
        <v>79</v>
      </c>
      <c r="O2898" t="n">
        <v>58.5</v>
      </c>
      <c r="P2898" t="n">
        <v>60</v>
      </c>
      <c r="Q2898" t="n">
        <v>79.3</v>
      </c>
      <c r="R2898" t="n">
        <v>76</v>
      </c>
      <c r="S2898" t="n">
        <v>2700000</v>
      </c>
      <c r="AH2898" t="inlineStr">
        <is>
          <t>Quelle: Pisos.com</t>
        </is>
      </c>
    </row>
    <row r="2899">
      <c r="A2899" t="n">
        <v>2712</v>
      </c>
      <c r="B2899" t="inlineStr">
        <is>
          <t>Chalet en Camino Son Oliver</t>
        </is>
      </c>
      <c r="C2899" t="inlineStr">
        <is>
          <t>https://www.pisos.com/comprar/chalet-es_carritxo-40847048223_100500/</t>
        </is>
      </c>
      <c r="E2899" t="n">
        <v>4</v>
      </c>
      <c r="J2899" t="inlineStr">
        <is>
          <t>Felanitx</t>
        </is>
      </c>
      <c r="S2899" t="n">
        <v>560000</v>
      </c>
      <c r="AH2899" t="inlineStr">
        <is>
          <t>Quelle: Pisos.com</t>
        </is>
      </c>
    </row>
    <row r="2900">
      <c r="A2900" t="n">
        <v>2713</v>
      </c>
      <c r="B2900" t="inlineStr">
        <is>
          <t>Ático en Avinguda de Miramar</t>
        </is>
      </c>
      <c r="C2900" t="inlineStr">
        <is>
          <t>https://www.pisos.com/comprar/atico-les_covetes-40022787720_100500/</t>
        </is>
      </c>
      <c r="E2900" t="n">
        <v>2</v>
      </c>
      <c r="J2900" t="inlineStr">
        <is>
          <t>Campos</t>
        </is>
      </c>
      <c r="K2900" t="n">
        <v>32.9</v>
      </c>
      <c r="L2900" t="n">
        <v>28</v>
      </c>
      <c r="M2900" t="n">
        <v>14.6</v>
      </c>
      <c r="N2900" t="n">
        <v>18</v>
      </c>
      <c r="O2900" t="n">
        <v>71.09999999999999</v>
      </c>
      <c r="P2900" t="n">
        <v>56</v>
      </c>
      <c r="Q2900" t="n">
        <v>12.3</v>
      </c>
      <c r="R2900" t="n">
        <v>14</v>
      </c>
      <c r="S2900" t="n">
        <v>1700000</v>
      </c>
      <c r="AH2900" t="inlineStr">
        <is>
          <t>Quelle: Pisos.com</t>
        </is>
      </c>
    </row>
    <row r="2901">
      <c r="A2901" t="n">
        <v>2714</v>
      </c>
      <c r="B2901" t="inlineStr">
        <is>
          <t>Chalet unifamiliar en Carrer del Puig de Pollença</t>
        </is>
      </c>
      <c r="C2901" t="inlineStr">
        <is>
          <t>https://www.pisos.com/comprar/chalet_unifamiliar-la_bonanova_porto_pi07015-32552463077_515241/</t>
        </is>
      </c>
      <c r="E2901" t="n">
        <v>4</v>
      </c>
      <c r="J2901" t="inlineStr">
        <is>
          <t>Palma de Mallorca</t>
        </is>
      </c>
      <c r="K2901" t="n">
        <v>9.699999999999999</v>
      </c>
      <c r="L2901" t="n">
        <v>14</v>
      </c>
      <c r="M2901" t="n">
        <v>52.5</v>
      </c>
      <c r="N2901" t="n">
        <v>47</v>
      </c>
      <c r="O2901" t="n">
        <v>32.1</v>
      </c>
      <c r="P2901" t="n">
        <v>36</v>
      </c>
      <c r="Q2901" t="n">
        <v>50.2</v>
      </c>
      <c r="R2901" t="n">
        <v>44</v>
      </c>
      <c r="S2901" t="n">
        <v>2000000</v>
      </c>
      <c r="AH2901" t="inlineStr">
        <is>
          <t>Quelle: Pisos.com</t>
        </is>
      </c>
    </row>
    <row r="2902">
      <c r="A2902" t="n">
        <v>2715</v>
      </c>
      <c r="B2902" t="inlineStr">
        <is>
          <t>Piso en Carrer de Joan Alcover</t>
        </is>
      </c>
      <c r="C2902" t="inlineStr">
        <is>
          <t>https://www.pisos.com/comprar/piso-foners07006-23360727186_993076/</t>
        </is>
      </c>
      <c r="E2902" t="n">
        <v>3</v>
      </c>
      <c r="J2902" t="inlineStr">
        <is>
          <t>Palma de Mallorca</t>
        </is>
      </c>
      <c r="K2902" t="n">
        <v>9.699999999999999</v>
      </c>
      <c r="L2902" t="n">
        <v>14</v>
      </c>
      <c r="M2902" t="n">
        <v>52.5</v>
      </c>
      <c r="N2902" t="n">
        <v>47</v>
      </c>
      <c r="O2902" t="n">
        <v>32.1</v>
      </c>
      <c r="P2902" t="n">
        <v>36</v>
      </c>
      <c r="Q2902" t="n">
        <v>50.2</v>
      </c>
      <c r="R2902" t="n">
        <v>44</v>
      </c>
      <c r="S2902" t="n">
        <v>1190000</v>
      </c>
      <c r="AH2902" t="inlineStr">
        <is>
          <t>Quelle: Pisos.com</t>
        </is>
      </c>
    </row>
    <row r="2903">
      <c r="A2903" t="n">
        <v>2716</v>
      </c>
      <c r="B2903" t="inlineStr">
        <is>
          <t>Casa en Carrer de s'Escola</t>
        </is>
      </c>
      <c r="C2903" t="inlineStr">
        <is>
          <t>https://www.pisos.com/comprar/casa-santa_margalida_centro_urbano-18391539927_993076/</t>
        </is>
      </c>
      <c r="E2903" t="n">
        <v>4</v>
      </c>
      <c r="J2903" t="inlineStr">
        <is>
          <t>Santa Margalida</t>
        </is>
      </c>
      <c r="S2903" t="n">
        <v>430000</v>
      </c>
      <c r="AH2903" t="inlineStr">
        <is>
          <t>Quelle: Pisos.com</t>
        </is>
      </c>
    </row>
    <row r="2904">
      <c r="A2904" t="n">
        <v>2717</v>
      </c>
      <c r="B2904" t="inlineStr">
        <is>
          <t>Piso en Carrer de Ramón Pico i Campamar</t>
        </is>
      </c>
      <c r="C2904" t="inlineStr">
        <is>
          <t>https://www.pisos.com/comprar/piso-el_forti07011-61726536020_399900/</t>
        </is>
      </c>
      <c r="E2904" t="n">
        <v>4</v>
      </c>
      <c r="J2904" t="inlineStr">
        <is>
          <t>Palma de Mallorca</t>
        </is>
      </c>
      <c r="S2904" t="n">
        <v>359990</v>
      </c>
      <c r="AH2904" t="inlineStr">
        <is>
          <t>Quelle: Pisos.com</t>
        </is>
      </c>
    </row>
    <row r="2905">
      <c r="A2905" t="n">
        <v>2718</v>
      </c>
      <c r="B2905" t="inlineStr">
        <is>
          <t>Casa en Carrer de la Llibertat, 1</t>
        </is>
      </c>
      <c r="C2905" t="inlineStr">
        <is>
          <t>https://www.pisos.com/comprar/casa-campos_centro_urbano-61711857682_108500/</t>
        </is>
      </c>
      <c r="J2905" t="inlineStr">
        <is>
          <t>Campos</t>
        </is>
      </c>
      <c r="S2905" t="n">
        <v>370000</v>
      </c>
      <c r="AH2905" t="inlineStr">
        <is>
          <t>Quelle: Pisos.com</t>
        </is>
      </c>
    </row>
    <row r="2906">
      <c r="A2906" t="n">
        <v>2719</v>
      </c>
      <c r="B2906" t="inlineStr">
        <is>
          <t>Piso en Carrer de Nàpols, 26</t>
        </is>
      </c>
      <c r="C2906" t="inlineStr">
        <is>
          <t>https://www.pisos.com/comprar/piso-campos_centro_urbano-60839494421_108500/</t>
        </is>
      </c>
      <c r="E2906" t="n">
        <v>3</v>
      </c>
      <c r="J2906" t="inlineStr">
        <is>
          <t>Campos</t>
        </is>
      </c>
      <c r="S2906" t="n">
        <v>300000</v>
      </c>
      <c r="AH2906" t="inlineStr">
        <is>
          <t>Quelle: Pisos.com</t>
        </is>
      </c>
    </row>
    <row r="2907">
      <c r="A2907" t="n">
        <v>2720</v>
      </c>
      <c r="B2907" t="inlineStr">
        <is>
          <t>Piso en Carrer de l'Abat de Sant Feliu, 2</t>
        </is>
      </c>
      <c r="C2907" t="inlineStr">
        <is>
          <t>https://www.pisos.com/comprar/piso-pere_garau07005-5927113498_109700/</t>
        </is>
      </c>
      <c r="E2907" t="n">
        <v>2</v>
      </c>
      <c r="J2907" t="inlineStr">
        <is>
          <t>Palma de Mallorca</t>
        </is>
      </c>
      <c r="S2907" t="n">
        <v>394900</v>
      </c>
      <c r="AH2907" t="inlineStr">
        <is>
          <t>Quelle: Pisos.com</t>
        </is>
      </c>
    </row>
    <row r="2908">
      <c r="A2908" t="n">
        <v>2721</v>
      </c>
      <c r="B2908" t="inlineStr">
        <is>
          <t>Piso en Avinguda del Cid, 17</t>
        </is>
      </c>
      <c r="C2908" t="inlineStr">
        <is>
          <t>https://www.pisos.com/comprar/piso-llevant_son_ferriol07198-5887157072_109700/</t>
        </is>
      </c>
      <c r="E2908" t="n">
        <v>2</v>
      </c>
      <c r="J2908" t="inlineStr">
        <is>
          <t>Palma de Mallorca</t>
        </is>
      </c>
      <c r="S2908" t="n">
        <v>555000</v>
      </c>
      <c r="AH2908" t="inlineStr">
        <is>
          <t>Quelle: Pisos.com</t>
        </is>
      </c>
    </row>
    <row r="2909">
      <c r="A2909" t="n">
        <v>2722</v>
      </c>
      <c r="B2909" t="inlineStr">
        <is>
          <t>Piso en Avinguda del Cid, 17</t>
        </is>
      </c>
      <c r="C2909" t="inlineStr">
        <is>
          <t>https://www.pisos.com/comprar/piso-llevant_son_ferriol07198-5514131180_109700/</t>
        </is>
      </c>
      <c r="E2909" t="n">
        <v>3</v>
      </c>
      <c r="J2909" t="inlineStr">
        <is>
          <t>Palma de Mallorca</t>
        </is>
      </c>
      <c r="S2909" t="n">
        <v>499000</v>
      </c>
      <c r="AH2909" t="inlineStr">
        <is>
          <t>Quelle: Pisos.com</t>
        </is>
      </c>
    </row>
    <row r="2910">
      <c r="A2910" t="n">
        <v>2723</v>
      </c>
      <c r="B2910" t="inlineStr">
        <is>
          <t>Piso en Avinguda del Cid, 17</t>
        </is>
      </c>
      <c r="C2910" t="inlineStr">
        <is>
          <t>https://www.pisos.com/comprar/piso-llevant_son_ferriol07198-5542994714_109700/</t>
        </is>
      </c>
      <c r="E2910" t="n">
        <v>3</v>
      </c>
      <c r="J2910" t="inlineStr">
        <is>
          <t>Palma de Mallorca</t>
        </is>
      </c>
      <c r="S2910" t="n">
        <v>495000</v>
      </c>
      <c r="AH2910" t="inlineStr">
        <is>
          <t>Quelle: Pisos.com</t>
        </is>
      </c>
    </row>
    <row r="2911">
      <c r="A2911" t="n">
        <v>2724</v>
      </c>
      <c r="B2911" t="inlineStr">
        <is>
          <t>Finca rústica en calle de Sa Ràpita, nº 7</t>
        </is>
      </c>
      <c r="C2911" t="inlineStr">
        <is>
          <t>https://www.pisos.com/comprar/finca_rustica-campos_centro_urbano-35010500513_108500/</t>
        </is>
      </c>
      <c r="E2911" t="n">
        <v>5</v>
      </c>
      <c r="J2911" t="inlineStr">
        <is>
          <t>Campos</t>
        </is>
      </c>
      <c r="K2911" t="n">
        <v>32.9</v>
      </c>
      <c r="L2911" t="n">
        <v>28</v>
      </c>
      <c r="M2911" t="n">
        <v>14.6</v>
      </c>
      <c r="N2911" t="n">
        <v>18</v>
      </c>
      <c r="O2911" t="n">
        <v>71.09999999999999</v>
      </c>
      <c r="P2911" t="n">
        <v>56</v>
      </c>
      <c r="Q2911" t="n">
        <v>12.3</v>
      </c>
      <c r="R2911" t="n">
        <v>14</v>
      </c>
      <c r="S2911" t="n">
        <v>1700000</v>
      </c>
      <c r="AH2911" t="inlineStr">
        <is>
          <t>Quelle: Pisos.com</t>
        </is>
      </c>
    </row>
    <row r="2912">
      <c r="A2912" t="n">
        <v>2725</v>
      </c>
      <c r="B2912" t="inlineStr">
        <is>
          <t>Casa en Polígono 14</t>
        </is>
      </c>
      <c r="C2912" t="inlineStr">
        <is>
          <t>https://www.pisos.com/comprar/casa-arta_centro_urbano-48364404452_993076/</t>
        </is>
      </c>
      <c r="E2912" t="n">
        <v>3</v>
      </c>
      <c r="J2912" t="inlineStr">
        <is>
          <t>Art&amp;#xE0;</t>
        </is>
      </c>
      <c r="S2912" t="n">
        <v>695000</v>
      </c>
      <c r="AH2912" t="inlineStr">
        <is>
          <t>Quelle: Pisos.com</t>
        </is>
      </c>
    </row>
    <row r="2913">
      <c r="A2913" t="n">
        <v>2726</v>
      </c>
      <c r="B2913" t="inlineStr">
        <is>
          <t>Ático en calle Joan Daurer ,  6</t>
        </is>
      </c>
      <c r="C2913" t="inlineStr">
        <is>
          <t>https://www.pisos.com/comprar/atico-el_coll_en_rabassa07007-4924653696_109700/</t>
        </is>
      </c>
      <c r="E2913" t="n">
        <v>3</v>
      </c>
      <c r="J2913" t="inlineStr">
        <is>
          <t>Palma de Mallorca</t>
        </is>
      </c>
      <c r="S2913" t="n">
        <v>775000</v>
      </c>
      <c r="AH2913" t="inlineStr">
        <is>
          <t>Quelle: Pisos.com</t>
        </is>
      </c>
    </row>
    <row r="2914">
      <c r="A2914" t="n">
        <v>2727</v>
      </c>
      <c r="B2914" t="inlineStr">
        <is>
          <t>Casa en Urbanització de la Vilar</t>
        </is>
      </c>
      <c r="C2914" t="inlineStr">
        <is>
          <t>https://www.pisos.com/comprar/casa-base_aeria_de_pollenca-39230773367_500208/</t>
        </is>
      </c>
      <c r="E2914" t="n">
        <v>6</v>
      </c>
      <c r="J2914" t="inlineStr">
        <is>
          <t>Pollen&amp;#xE7;a</t>
        </is>
      </c>
      <c r="K2914" t="n">
        <v>60.6</v>
      </c>
      <c r="L2914" t="n">
        <v>47</v>
      </c>
      <c r="M2914" t="n">
        <v>78.7</v>
      </c>
      <c r="N2914" t="n">
        <v>74</v>
      </c>
      <c r="O2914" t="n">
        <v>83.2</v>
      </c>
      <c r="P2914" t="n">
        <v>63</v>
      </c>
      <c r="Q2914" t="n">
        <v>76.40000000000001</v>
      </c>
      <c r="R2914" t="n">
        <v>70</v>
      </c>
      <c r="S2914" t="n">
        <v>2650000</v>
      </c>
      <c r="AH2914" t="inlineStr">
        <is>
          <t>Quelle: Pisos.com</t>
        </is>
      </c>
    </row>
    <row r="2915">
      <c r="A2915" t="n">
        <v>2728</v>
      </c>
      <c r="B2915" t="inlineStr">
        <is>
          <t>Piso en calle Compte Sellent, nº 18</t>
        </is>
      </c>
      <c r="C2915" t="inlineStr">
        <is>
          <t>https://www.pisos.com/comprar/piso-bons_aires07003-37548102470_108500/</t>
        </is>
      </c>
      <c r="E2915" t="n">
        <v>5</v>
      </c>
      <c r="J2915" t="inlineStr">
        <is>
          <t>Palma de Mallorca</t>
        </is>
      </c>
      <c r="K2915" t="n">
        <v>9.699999999999999</v>
      </c>
      <c r="L2915" t="n">
        <v>14</v>
      </c>
      <c r="M2915" t="n">
        <v>52.5</v>
      </c>
      <c r="N2915" t="n">
        <v>47</v>
      </c>
      <c r="O2915" t="n">
        <v>32.1</v>
      </c>
      <c r="P2915" t="n">
        <v>36</v>
      </c>
      <c r="Q2915" t="n">
        <v>50.2</v>
      </c>
      <c r="R2915" t="n">
        <v>44</v>
      </c>
      <c r="S2915" t="n">
        <v>1150000</v>
      </c>
      <c r="AH2915" t="inlineStr">
        <is>
          <t>Quelle: Pisos.com</t>
        </is>
      </c>
    </row>
    <row r="2916">
      <c r="A2916" t="n">
        <v>2729</v>
      </c>
      <c r="B2916" t="inlineStr">
        <is>
          <t>Chalet adosado en Gènova</t>
        </is>
      </c>
      <c r="C2916" t="inlineStr">
        <is>
          <t>https://www.pisos.com/comprar/chalet_adosado-ponent_genova07015-61729619224_501477/</t>
        </is>
      </c>
      <c r="E2916" t="n">
        <v>3</v>
      </c>
      <c r="J2916" t="inlineStr">
        <is>
          <t>Palma de Mallorca</t>
        </is>
      </c>
      <c r="K2916" t="n">
        <v>9.699999999999999</v>
      </c>
      <c r="L2916" t="n">
        <v>14</v>
      </c>
      <c r="M2916" t="n">
        <v>52.5</v>
      </c>
      <c r="N2916" t="n">
        <v>47</v>
      </c>
      <c r="O2916" t="n">
        <v>32.1</v>
      </c>
      <c r="P2916" t="n">
        <v>36</v>
      </c>
      <c r="Q2916" t="n">
        <v>50.2</v>
      </c>
      <c r="R2916" t="n">
        <v>44</v>
      </c>
      <c r="S2916" t="n">
        <v>1450000</v>
      </c>
      <c r="AH2916" t="inlineStr">
        <is>
          <t>Quelle: Pisos.com</t>
        </is>
      </c>
    </row>
    <row r="2917">
      <c r="A2917" t="n">
        <v>2730</v>
      </c>
      <c r="B2917" t="inlineStr">
        <is>
          <t>Chalet en Carrer Nou</t>
        </is>
      </c>
      <c r="C2917" t="inlineStr">
        <is>
          <t>https://www.pisos.com/comprar/chalet-ariany_centro_urbano-61678986344_100500/</t>
        </is>
      </c>
      <c r="E2917" t="n">
        <v>3</v>
      </c>
      <c r="J2917" t="inlineStr">
        <is>
          <t>Ariany</t>
        </is>
      </c>
      <c r="S2917" t="n">
        <v>569000</v>
      </c>
      <c r="AH2917" t="inlineStr">
        <is>
          <t>Quelle: Pisos.com</t>
        </is>
      </c>
    </row>
    <row r="2918">
      <c r="A2918" t="n">
        <v>2731</v>
      </c>
      <c r="B2918" t="inlineStr">
        <is>
          <t>Piso en Carrer de Llucmajor</t>
        </is>
      </c>
      <c r="C2918" t="inlineStr">
        <is>
          <t>https://www.pisos.com/comprar/piso-es_portixol_es_molinar07006-61710980183_100500/</t>
        </is>
      </c>
      <c r="E2918" t="n">
        <v>3</v>
      </c>
      <c r="J2918" t="inlineStr">
        <is>
          <t>Palma de Mallorca</t>
        </is>
      </c>
      <c r="S2918" t="n">
        <v>999000</v>
      </c>
      <c r="AH2918" t="inlineStr">
        <is>
          <t>Quelle: Pisos.com</t>
        </is>
      </c>
    </row>
    <row r="2919">
      <c r="A2919" t="n">
        <v>2732</v>
      </c>
      <c r="B2919" t="inlineStr">
        <is>
          <t>Casa unifamiliar en Carrer d'Orient</t>
        </is>
      </c>
      <c r="C2919" t="inlineStr">
        <is>
          <t>https://www.pisos.com/comprar/casa_unifamiliar-bunyola_centro_urbano-61709135369_501477/</t>
        </is>
      </c>
      <c r="E2919" t="n">
        <v>3</v>
      </c>
      <c r="J2919" t="inlineStr">
        <is>
          <t>Bunyola</t>
        </is>
      </c>
      <c r="S2919" t="n">
        <v>850000</v>
      </c>
      <c r="AH2919" t="inlineStr">
        <is>
          <t>Quelle: Pisos.com</t>
        </is>
      </c>
    </row>
    <row r="2920">
      <c r="A2920" t="n">
        <v>2733</v>
      </c>
      <c r="B2920" t="inlineStr">
        <is>
          <t>Piso en Carrer de Manila</t>
        </is>
      </c>
      <c r="C2920" t="inlineStr">
        <is>
          <t>https://www.pisos.com/comprar/piso-es_portixol_es_molinar07006-61755617481_501477/</t>
        </is>
      </c>
      <c r="E2920" t="n">
        <v>1</v>
      </c>
      <c r="J2920" t="inlineStr">
        <is>
          <t>Palma de Mallorca</t>
        </is>
      </c>
      <c r="S2920" t="n">
        <v>995000</v>
      </c>
      <c r="AH2920" t="inlineStr">
        <is>
          <t>Quelle: Pisos.com</t>
        </is>
      </c>
    </row>
    <row r="2921">
      <c r="A2921" t="n">
        <v>2734</v>
      </c>
      <c r="B2921" t="inlineStr">
        <is>
          <t>Piso en calle &gt;Carrer Des Pujol Den Cardona, nº &gt;</t>
        </is>
      </c>
      <c r="C2921" t="inlineStr">
        <is>
          <t>https://www.pisos.com/comprar/piso-sant_josep_de_sa_talaia_centro_urbano-61669961213_109200/</t>
        </is>
      </c>
      <c r="E2921" t="n">
        <v>3</v>
      </c>
      <c r="J2921" t="inlineStr">
        <is>
          <t>Sant Josep de sa Talaia</t>
        </is>
      </c>
      <c r="K2921" t="n">
        <v>47.4</v>
      </c>
      <c r="L2921" t="n">
        <v>40</v>
      </c>
      <c r="M2921" t="n">
        <v>51.8</v>
      </c>
      <c r="N2921" t="n">
        <v>55</v>
      </c>
      <c r="O2921" t="n">
        <v>70</v>
      </c>
      <c r="P2921" t="n">
        <v>56</v>
      </c>
      <c r="Q2921" t="n">
        <v>49.5</v>
      </c>
      <c r="R2921" t="n">
        <v>51</v>
      </c>
      <c r="S2921" t="n">
        <v>1149000</v>
      </c>
      <c r="AH2921" t="inlineStr">
        <is>
          <t>Quelle: Pisos.com</t>
        </is>
      </c>
    </row>
    <row r="2922">
      <c r="A2922" t="n">
        <v>2735</v>
      </c>
      <c r="B2922" t="inlineStr">
        <is>
          <t>Piso en Carrer dels Mofares</t>
        </is>
      </c>
      <c r="C2922" t="inlineStr">
        <is>
          <t>https://www.pisos.com/comprar/piso-calvia_vila07184-61735500317_109300/</t>
        </is>
      </c>
      <c r="E2922" t="n">
        <v>3</v>
      </c>
      <c r="J2922" t="inlineStr">
        <is>
          <t>Calvi&amp;#xE0;</t>
        </is>
      </c>
      <c r="S2922" t="n">
        <v>695000</v>
      </c>
      <c r="AH2922" t="inlineStr">
        <is>
          <t>Quelle: Pisos.com</t>
        </is>
      </c>
    </row>
    <row r="2923">
      <c r="A2923" t="n">
        <v>2736</v>
      </c>
      <c r="B2923" t="inlineStr">
        <is>
          <t>Piso en Carrer dels Hostals, 54</t>
        </is>
      </c>
      <c r="C2923" t="inlineStr">
        <is>
          <t>https://www.pisos.com/comprar/piso-inca_centro_urbano-61720446997_100500/</t>
        </is>
      </c>
      <c r="E2923" t="n">
        <v>3</v>
      </c>
      <c r="J2923" t="inlineStr">
        <is>
          <t>Inca</t>
        </is>
      </c>
      <c r="S2923" t="n">
        <v>205000</v>
      </c>
      <c r="AH2923" t="inlineStr">
        <is>
          <t>Quelle: Pisos.com</t>
        </is>
      </c>
    </row>
    <row r="2924">
      <c r="A2924" t="n">
        <v>2737</v>
      </c>
      <c r="B2924" t="inlineStr">
        <is>
          <t>Piso en Gran Via de Mallorca</t>
        </is>
      </c>
      <c r="C2924" t="inlineStr">
        <is>
          <t>https://www.pisos.com/comprar/piso-calvia_santa_ponca07180-61746570089_109300/</t>
        </is>
      </c>
      <c r="E2924" t="n">
        <v>5</v>
      </c>
      <c r="J2924" t="inlineStr">
        <is>
          <t>Calvi&amp;#xE0;</t>
        </is>
      </c>
      <c r="K2924" t="n">
        <v>31.1</v>
      </c>
      <c r="L2924" t="n">
        <v>28</v>
      </c>
      <c r="M2924" t="n">
        <v>73.90000000000001</v>
      </c>
      <c r="N2924" t="n">
        <v>61</v>
      </c>
      <c r="O2924" t="n">
        <v>19.4</v>
      </c>
      <c r="P2924" t="n">
        <v>22</v>
      </c>
      <c r="Q2924" t="n">
        <v>71.59999999999999</v>
      </c>
      <c r="R2924" t="n">
        <v>58</v>
      </c>
      <c r="S2924" t="n">
        <v>1825000</v>
      </c>
      <c r="AH2924" t="inlineStr">
        <is>
          <t>Quelle: Pisos.com</t>
        </is>
      </c>
    </row>
    <row r="2925">
      <c r="A2925" t="n">
        <v>2738</v>
      </c>
      <c r="B2925" t="inlineStr">
        <is>
          <t>Piso en Carrer de l'Infanta Elisabet</t>
        </is>
      </c>
      <c r="C2925" t="inlineStr">
        <is>
          <t>https://www.pisos.com/comprar/piso-nord_el_secar_de_la_real07010-60857129430_100500/</t>
        </is>
      </c>
      <c r="E2925" t="n">
        <v>3</v>
      </c>
      <c r="J2925" t="inlineStr">
        <is>
          <t>Palma de Mallorca</t>
        </is>
      </c>
      <c r="S2925" t="n">
        <v>389000</v>
      </c>
      <c r="AH2925" t="inlineStr">
        <is>
          <t>Quelle: Pisos.com</t>
        </is>
      </c>
    </row>
    <row r="2926">
      <c r="A2926" t="n">
        <v>2739</v>
      </c>
      <c r="B2926" t="inlineStr">
        <is>
          <t>Piso en calle Jose Musico Balaguer</t>
        </is>
      </c>
      <c r="C2926" t="inlineStr">
        <is>
          <t>https://www.pisos.com/comprar/piso-placa_de_toros07004-60926335369_109300/</t>
        </is>
      </c>
      <c r="E2926" t="n">
        <v>4</v>
      </c>
      <c r="J2926" t="inlineStr">
        <is>
          <t>Palma de Mallorca</t>
        </is>
      </c>
      <c r="S2926" t="n">
        <v>415000</v>
      </c>
      <c r="AH2926" t="inlineStr">
        <is>
          <t>Quelle: Pisos.com</t>
        </is>
      </c>
    </row>
    <row r="2927">
      <c r="A2927" t="n">
        <v>2740</v>
      </c>
      <c r="B2927" t="inlineStr">
        <is>
          <t>Piso en Carrer Cap Blanc</t>
        </is>
      </c>
      <c r="C2927" t="inlineStr">
        <is>
          <t>https://www.pisos.com/comprar/piso-son_roca_son_ximelis_son_anglada07011-60932083929_100500/</t>
        </is>
      </c>
      <c r="E2927" t="n">
        <v>3</v>
      </c>
      <c r="J2927" t="inlineStr">
        <is>
          <t>Palma de Mallorca</t>
        </is>
      </c>
      <c r="S2927" t="n">
        <v>299000</v>
      </c>
      <c r="AH2927" t="inlineStr">
        <is>
          <t>Quelle: Pisos.com</t>
        </is>
      </c>
    </row>
    <row r="2928">
      <c r="A2928" t="n">
        <v>2741</v>
      </c>
      <c r="B2928" t="inlineStr">
        <is>
          <t>Casa adosada en Carrer de Son Munar</t>
        </is>
      </c>
      <c r="C2928" t="inlineStr">
        <is>
          <t>https://www.pisos.com/comprar/casa_adosada-consell_centro_urbano-60915374267_100500/</t>
        </is>
      </c>
      <c r="E2928" t="n">
        <v>3</v>
      </c>
      <c r="J2928" t="inlineStr">
        <is>
          <t>Consell</t>
        </is>
      </c>
      <c r="S2928" t="n">
        <v>559000</v>
      </c>
      <c r="AH2928" t="inlineStr">
        <is>
          <t>Quelle: Pisos.com</t>
        </is>
      </c>
    </row>
    <row r="2929">
      <c r="A2929" t="n">
        <v>2742</v>
      </c>
      <c r="B2929" t="inlineStr">
        <is>
          <t>Chalet en Carrer del 31 de Març</t>
        </is>
      </c>
      <c r="C2929" t="inlineStr">
        <is>
          <t>https://www.pisos.com/comprar/chalet-felanitx_centro_urbano-60924158665_108500/</t>
        </is>
      </c>
      <c r="E2929" t="n">
        <v>4</v>
      </c>
      <c r="J2929" t="inlineStr">
        <is>
          <t>Felanitx</t>
        </is>
      </c>
      <c r="S2929" t="n">
        <v>395000</v>
      </c>
      <c r="AH2929" t="inlineStr">
        <is>
          <t>Quelle: Pisos.com</t>
        </is>
      </c>
    </row>
    <row r="2930">
      <c r="A2930" t="n">
        <v>2743</v>
      </c>
      <c r="B2930" t="inlineStr">
        <is>
          <t>Dúplex en Carrer de Chopín</t>
        </is>
      </c>
      <c r="C2930" t="inlineStr">
        <is>
          <t>https://www.pisos.com/comprar/duplex-calvia_santa_ponca07180-60079646886_100500/</t>
        </is>
      </c>
      <c r="E2930" t="n">
        <v>3</v>
      </c>
      <c r="J2930" t="inlineStr">
        <is>
          <t>Calvi&amp;#xE0;</t>
        </is>
      </c>
      <c r="K2930" t="n">
        <v>31.1</v>
      </c>
      <c r="L2930" t="n">
        <v>28</v>
      </c>
      <c r="M2930" t="n">
        <v>73.90000000000001</v>
      </c>
      <c r="N2930" t="n">
        <v>61</v>
      </c>
      <c r="O2930" t="n">
        <v>19.4</v>
      </c>
      <c r="P2930" t="n">
        <v>22</v>
      </c>
      <c r="Q2930" t="n">
        <v>71.59999999999999</v>
      </c>
      <c r="R2930" t="n">
        <v>58</v>
      </c>
      <c r="S2930" t="n">
        <v>1100000</v>
      </c>
      <c r="AH2930" t="inlineStr">
        <is>
          <t>Quelle: Pisos.com</t>
        </is>
      </c>
    </row>
    <row r="2931">
      <c r="A2931" t="n">
        <v>2744</v>
      </c>
      <c r="B2931" t="inlineStr">
        <is>
          <t>Chalet en Zona Periurbana</t>
        </is>
      </c>
      <c r="C2931" t="inlineStr">
        <is>
          <t>https://www.pisos.com/comprar/chalet-inca_centro_urbano-60037940483_100500/</t>
        </is>
      </c>
      <c r="E2931" t="n">
        <v>3</v>
      </c>
      <c r="J2931" t="inlineStr">
        <is>
          <t>Inca</t>
        </is>
      </c>
      <c r="K2931" t="n">
        <v>37.5</v>
      </c>
      <c r="L2931" t="n">
        <v>29</v>
      </c>
      <c r="M2931" t="n">
        <v>55.6</v>
      </c>
      <c r="N2931" t="n">
        <v>55</v>
      </c>
      <c r="O2931" t="n">
        <v>60.1</v>
      </c>
      <c r="P2931" t="n">
        <v>45</v>
      </c>
      <c r="Q2931" t="n">
        <v>53.3</v>
      </c>
      <c r="R2931" t="n">
        <v>51</v>
      </c>
      <c r="S2931" t="n">
        <v>1249999</v>
      </c>
      <c r="AH2931" t="inlineStr">
        <is>
          <t>Quelle: Pisos.com</t>
        </is>
      </c>
    </row>
    <row r="2932">
      <c r="A2932" t="n">
        <v>2745</v>
      </c>
      <c r="B2932" t="inlineStr">
        <is>
          <t>Casa en calle Sant Rafael</t>
        </is>
      </c>
      <c r="C2932" t="inlineStr">
        <is>
          <t>https://www.pisos.com/comprar/casa-calvia_costa_en_blanes-60089073715_109300/</t>
        </is>
      </c>
      <c r="E2932" t="n">
        <v>5</v>
      </c>
      <c r="J2932" t="inlineStr">
        <is>
          <t>Calvi&amp;#xE0;</t>
        </is>
      </c>
      <c r="K2932" t="n">
        <v>31.1</v>
      </c>
      <c r="L2932" t="n">
        <v>28</v>
      </c>
      <c r="M2932" t="n">
        <v>73.90000000000001</v>
      </c>
      <c r="N2932" t="n">
        <v>61</v>
      </c>
      <c r="O2932" t="n">
        <v>19.4</v>
      </c>
      <c r="P2932" t="n">
        <v>22</v>
      </c>
      <c r="Q2932" t="n">
        <v>71.59999999999999</v>
      </c>
      <c r="R2932" t="n">
        <v>58</v>
      </c>
      <c r="S2932" t="n">
        <v>3900000</v>
      </c>
      <c r="AH2932" t="inlineStr">
        <is>
          <t>Quelle: Pisos.com</t>
        </is>
      </c>
    </row>
    <row r="2933">
      <c r="A2933" t="n">
        <v>2746</v>
      </c>
      <c r="B2933" t="inlineStr">
        <is>
          <t>Piso en Carrer de Dragonera</t>
        </is>
      </c>
      <c r="C2933" t="inlineStr">
        <is>
          <t>https://www.pisos.com/comprar/piso-ponent_son_espanyolet07014-60096324366_109300/</t>
        </is>
      </c>
      <c r="E2933" t="n">
        <v>3</v>
      </c>
      <c r="J2933" t="inlineStr">
        <is>
          <t>Palma de Mallorca</t>
        </is>
      </c>
      <c r="S2933" t="n">
        <v>630000</v>
      </c>
      <c r="AH2933" t="inlineStr">
        <is>
          <t>Quelle: Pisos.com</t>
        </is>
      </c>
    </row>
    <row r="2934">
      <c r="A2934" t="n">
        <v>2747</v>
      </c>
      <c r="B2934" t="inlineStr">
        <is>
          <t>Casa en Sant Jordi de Ses Salines</t>
        </is>
      </c>
      <c r="C2934" t="inlineStr">
        <is>
          <t>https://www.pisos.com/comprar/casa-sant_jordi_de_ses_salines-59205397427_399900/</t>
        </is>
      </c>
      <c r="E2934" t="n">
        <v>3</v>
      </c>
      <c r="J2934" t="inlineStr">
        <is>
          <t>Sant Josep de sa Talaia</t>
        </is>
      </c>
      <c r="S2934" t="n">
        <v>650000</v>
      </c>
      <c r="AH2934" t="inlineStr">
        <is>
          <t>Quelle: Pisos.com</t>
        </is>
      </c>
    </row>
    <row r="2935">
      <c r="A2935" t="n">
        <v>2748</v>
      </c>
      <c r="B2935" t="inlineStr">
        <is>
          <t>Casa en calle Barri Son Tio</t>
        </is>
      </c>
      <c r="C2935" t="inlineStr">
        <is>
          <t>https://www.pisos.com/comprar/casa-andratx_centro_urbano-59247266814_109300/</t>
        </is>
      </c>
      <c r="E2935" t="n">
        <v>4</v>
      </c>
      <c r="J2935" t="inlineStr">
        <is>
          <t>Andratx</t>
        </is>
      </c>
      <c r="K2935" t="n">
        <v>40.3</v>
      </c>
      <c r="L2935" t="n">
        <v>36</v>
      </c>
      <c r="M2935" t="n">
        <v>83</v>
      </c>
      <c r="N2935" t="n">
        <v>68</v>
      </c>
      <c r="O2935" t="n">
        <v>2.7</v>
      </c>
      <c r="P2935" t="n">
        <v>7</v>
      </c>
      <c r="Q2935" t="n">
        <v>80.7</v>
      </c>
      <c r="R2935" t="n">
        <v>65</v>
      </c>
      <c r="S2935" t="n">
        <v>5995000</v>
      </c>
      <c r="AH2935" t="inlineStr">
        <is>
          <t>Quelle: Pisos.com</t>
        </is>
      </c>
    </row>
    <row r="2936">
      <c r="A2936" t="n">
        <v>2749</v>
      </c>
      <c r="B2936" t="inlineStr">
        <is>
          <t>Finca rústica en Polígono 9</t>
        </is>
      </c>
      <c r="C2936" t="inlineStr">
        <is>
          <t>https://www.pisos.com/comprar/finca_rustica-santa_margalida_centro_urbano-59170504096_100500/</t>
        </is>
      </c>
      <c r="J2936" t="inlineStr">
        <is>
          <t>Santa Margalida</t>
        </is>
      </c>
      <c r="S2936" t="n">
        <v>279000</v>
      </c>
      <c r="AH2936" t="inlineStr">
        <is>
          <t>Quelle: Pisos.com</t>
        </is>
      </c>
    </row>
    <row r="2937">
      <c r="A2937" t="n">
        <v>2750</v>
      </c>
      <c r="B2937" t="inlineStr">
        <is>
          <t>Dúplex en El Vivero</t>
        </is>
      </c>
      <c r="C2937" t="inlineStr">
        <is>
          <t>https://www.pisos.com/comprar/duplex-llevant_el_vivero07008-59214888818_100500/</t>
        </is>
      </c>
      <c r="E2937" t="n">
        <v>2</v>
      </c>
      <c r="J2937" t="inlineStr">
        <is>
          <t>Palma de Mallorca</t>
        </is>
      </c>
      <c r="S2937" t="n">
        <v>498000</v>
      </c>
      <c r="AH2937" t="inlineStr">
        <is>
          <t>Quelle: Pisos.com</t>
        </is>
      </c>
    </row>
    <row r="2938">
      <c r="A2938" t="n">
        <v>2751</v>
      </c>
      <c r="B2938" t="inlineStr">
        <is>
          <t>Piso en Carrer de la Reina Maria Cristina</t>
        </is>
      </c>
      <c r="C2938" t="inlineStr">
        <is>
          <t>https://www.pisos.com/comprar/piso-arxiduc07004-58400022672_100500/</t>
        </is>
      </c>
      <c r="E2938" t="n">
        <v>4</v>
      </c>
      <c r="J2938" t="inlineStr">
        <is>
          <t>Palma de Mallorca</t>
        </is>
      </c>
      <c r="S2938" t="n">
        <v>999000</v>
      </c>
      <c r="AH2938" t="inlineStr">
        <is>
          <t>Quelle: Pisos.com</t>
        </is>
      </c>
    </row>
    <row r="2939">
      <c r="A2939" t="n">
        <v>2752</v>
      </c>
      <c r="B2939" t="inlineStr">
        <is>
          <t>Piso en Avinguda de Gabriel Alomar</t>
        </is>
      </c>
      <c r="C2939" t="inlineStr">
        <is>
          <t>https://www.pisos.com/comprar/piso-foners07006-58344905122_100500/</t>
        </is>
      </c>
      <c r="E2939" t="n">
        <v>4</v>
      </c>
      <c r="J2939" t="inlineStr">
        <is>
          <t>Palma de Mallorca</t>
        </is>
      </c>
      <c r="S2939" t="n">
        <v>799500</v>
      </c>
      <c r="AH2939" t="inlineStr">
        <is>
          <t>Quelle: Pisos.com</t>
        </is>
      </c>
    </row>
    <row r="2940">
      <c r="A2940" t="n">
        <v>2753</v>
      </c>
      <c r="B2940" t="inlineStr">
        <is>
          <t>Piso en Avinguda del Cid, 17</t>
        </is>
      </c>
      <c r="C2940" t="inlineStr">
        <is>
          <t>https://www.pisos.com/comprar/piso-llevant_son_ferriol07198-5837333991_109700/</t>
        </is>
      </c>
      <c r="E2940" t="n">
        <v>3</v>
      </c>
      <c r="J2940" t="inlineStr">
        <is>
          <t>Palma de Mallorca</t>
        </is>
      </c>
      <c r="S2940" t="n">
        <v>620000</v>
      </c>
      <c r="AH2940" t="inlineStr">
        <is>
          <t>Quelle: Pisos.com</t>
        </is>
      </c>
    </row>
    <row r="2941">
      <c r="A2941" t="n">
        <v>2754</v>
      </c>
      <c r="B2941" t="inlineStr">
        <is>
          <t>Piso en Carrer Cabana, 30</t>
        </is>
      </c>
      <c r="C2941" t="inlineStr">
        <is>
          <t>https://www.pisos.com/comprar/piso-benestar_sa_cabana_can_carbonell_ses_cases_noves-5875095841_109700/</t>
        </is>
      </c>
      <c r="E2941" t="n">
        <v>2</v>
      </c>
      <c r="J2941" t="inlineStr">
        <is>
          <t>Marratx&amp;#xED;</t>
        </is>
      </c>
      <c r="S2941" t="n">
        <v>427000</v>
      </c>
      <c r="AH2941" t="inlineStr">
        <is>
          <t>Quelle: Pisos.com</t>
        </is>
      </c>
    </row>
    <row r="2942">
      <c r="A2942" t="n">
        <v>2755</v>
      </c>
      <c r="B2942" t="inlineStr">
        <is>
          <t>Casa en Carrer de Picasso</t>
        </is>
      </c>
      <c r="C2942" t="inlineStr">
        <is>
          <t>https://www.pisos.com/comprar/casa-port_andratx-58370428102_109300/</t>
        </is>
      </c>
      <c r="E2942" t="n">
        <v>4</v>
      </c>
      <c r="J2942" t="inlineStr">
        <is>
          <t>Andratx</t>
        </is>
      </c>
      <c r="K2942" t="n">
        <v>40.3</v>
      </c>
      <c r="L2942" t="n">
        <v>36</v>
      </c>
      <c r="M2942" t="n">
        <v>83</v>
      </c>
      <c r="N2942" t="n">
        <v>68</v>
      </c>
      <c r="O2942" t="n">
        <v>2.7</v>
      </c>
      <c r="P2942" t="n">
        <v>7</v>
      </c>
      <c r="Q2942" t="n">
        <v>80.7</v>
      </c>
      <c r="R2942" t="n">
        <v>65</v>
      </c>
      <c r="S2942" t="n">
        <v>15750000</v>
      </c>
      <c r="AH2942" t="inlineStr">
        <is>
          <t>Quelle: Pisos.com</t>
        </is>
      </c>
    </row>
    <row r="2943">
      <c r="A2943" t="n">
        <v>2756</v>
      </c>
      <c r="B2943" t="inlineStr">
        <is>
          <t>Casa en calle de Llucmajor</t>
        </is>
      </c>
      <c r="C2943" t="inlineStr">
        <is>
          <t>https://www.pisos.com/comprar/casa-llevant_sa_casa_blanca07199-57531057566_109300/</t>
        </is>
      </c>
      <c r="E2943" t="n">
        <v>4</v>
      </c>
      <c r="J2943" t="inlineStr">
        <is>
          <t>Palma de Mallorca</t>
        </is>
      </c>
      <c r="S2943" t="n">
        <v>660000</v>
      </c>
      <c r="AH2943" t="inlineStr">
        <is>
          <t>Quelle: Pisos.com</t>
        </is>
      </c>
    </row>
    <row r="2944">
      <c r="A2944" t="n">
        <v>2757</v>
      </c>
      <c r="B2944" t="inlineStr">
        <is>
          <t>Casa en Carrer Major de Galilea</t>
        </is>
      </c>
      <c r="C2944" t="inlineStr">
        <is>
          <t>https://www.pisos.com/comprar/casa-puigpunyent_centro_urbano-57510851512_109300/</t>
        </is>
      </c>
      <c r="E2944" t="n">
        <v>4</v>
      </c>
      <c r="J2944" t="inlineStr">
        <is>
          <t>Puigpunyent</t>
        </is>
      </c>
      <c r="K2944" t="n">
        <v>26.5</v>
      </c>
      <c r="L2944" t="n">
        <v>32</v>
      </c>
      <c r="M2944" t="n">
        <v>69.3</v>
      </c>
      <c r="N2944" t="n">
        <v>65</v>
      </c>
      <c r="O2944" t="n">
        <v>42.1</v>
      </c>
      <c r="P2944" t="n">
        <v>43</v>
      </c>
      <c r="Q2944" t="n">
        <v>67</v>
      </c>
      <c r="R2944" t="n">
        <v>61</v>
      </c>
      <c r="S2944" t="n">
        <v>1250000</v>
      </c>
      <c r="AH2944" t="inlineStr">
        <is>
          <t>Quelle: Pisos.com</t>
        </is>
      </c>
    </row>
    <row r="2945">
      <c r="A2945" t="n">
        <v>2758</v>
      </c>
      <c r="B2945" t="inlineStr">
        <is>
          <t>Piso en Carrer de Bulnes,  s/n</t>
        </is>
      </c>
      <c r="C2945" t="inlineStr">
        <is>
          <t>https://www.pisos.com/comprar/piso-llevant_el_vivero07008-5810404221_109700/</t>
        </is>
      </c>
      <c r="E2945" t="n">
        <v>2</v>
      </c>
      <c r="J2945" t="inlineStr">
        <is>
          <t>Palma de Mallorca</t>
        </is>
      </c>
      <c r="S2945" t="n">
        <v>399000</v>
      </c>
      <c r="AH2945" t="inlineStr">
        <is>
          <t>Quelle: Pisos.com</t>
        </is>
      </c>
    </row>
    <row r="2946">
      <c r="A2946" t="n">
        <v>2759</v>
      </c>
      <c r="B2946" t="inlineStr">
        <is>
          <t>Piso en Carrer de Bulnes,  s/n</t>
        </is>
      </c>
      <c r="C2946" t="inlineStr">
        <is>
          <t>https://www.pisos.com/comprar/piso-llevant_el_vivero07008-5826028117_109700/</t>
        </is>
      </c>
      <c r="E2946" t="n">
        <v>2</v>
      </c>
      <c r="J2946" t="inlineStr">
        <is>
          <t>Palma de Mallorca</t>
        </is>
      </c>
      <c r="S2946" t="n">
        <v>450000</v>
      </c>
      <c r="AH2946" t="inlineStr">
        <is>
          <t>Quelle: Pisos.com</t>
        </is>
      </c>
    </row>
    <row r="2947">
      <c r="A2947" t="n">
        <v>2760</v>
      </c>
      <c r="B2947" t="inlineStr">
        <is>
          <t>Finca rústica en calle Sa Rapita, nº 150</t>
        </is>
      </c>
      <c r="C2947" t="inlineStr">
        <is>
          <t>https://www.pisos.com/comprar/finca_rustica-les_covetes-56701005061_108500/</t>
        </is>
      </c>
      <c r="E2947" t="n">
        <v>3</v>
      </c>
      <c r="J2947" t="inlineStr">
        <is>
          <t>Campos</t>
        </is>
      </c>
      <c r="K2947" t="n">
        <v>32.9</v>
      </c>
      <c r="L2947" t="n">
        <v>28</v>
      </c>
      <c r="M2947" t="n">
        <v>14.6</v>
      </c>
      <c r="N2947" t="n">
        <v>18</v>
      </c>
      <c r="O2947" t="n">
        <v>71.09999999999999</v>
      </c>
      <c r="P2947" t="n">
        <v>56</v>
      </c>
      <c r="Q2947" t="n">
        <v>12.3</v>
      </c>
      <c r="R2947" t="n">
        <v>14</v>
      </c>
      <c r="S2947" t="n">
        <v>2700000</v>
      </c>
      <c r="AH2947" t="inlineStr">
        <is>
          <t>Quelle: Pisos.com</t>
        </is>
      </c>
    </row>
    <row r="2948">
      <c r="A2948" t="n">
        <v>2761</v>
      </c>
      <c r="B2948" t="inlineStr">
        <is>
          <t>Chalet en Carrer de Barranc</t>
        </is>
      </c>
      <c r="C2948" t="inlineStr">
        <is>
          <t>https://www.pisos.com/comprar/chalet-ponent_genova07015-56689560843_291000/</t>
        </is>
      </c>
      <c r="E2948" t="n">
        <v>4</v>
      </c>
      <c r="J2948" t="inlineStr">
        <is>
          <t>Palma de Mallorca</t>
        </is>
      </c>
      <c r="K2948" t="n">
        <v>9.699999999999999</v>
      </c>
      <c r="L2948" t="n">
        <v>14</v>
      </c>
      <c r="M2948" t="n">
        <v>52.5</v>
      </c>
      <c r="N2948" t="n">
        <v>47</v>
      </c>
      <c r="O2948" t="n">
        <v>32.1</v>
      </c>
      <c r="P2948" t="n">
        <v>36</v>
      </c>
      <c r="Q2948" t="n">
        <v>50.2</v>
      </c>
      <c r="R2948" t="n">
        <v>44</v>
      </c>
      <c r="S2948" t="n">
        <v>1380000</v>
      </c>
      <c r="AH2948" t="inlineStr">
        <is>
          <t>Quelle: Pisos.com</t>
        </is>
      </c>
    </row>
    <row r="2949">
      <c r="A2949" t="n">
        <v>2762</v>
      </c>
      <c r="B2949" t="inlineStr">
        <is>
          <t>Finca rústica en calle Sa Rapita</t>
        </is>
      </c>
      <c r="C2949" t="inlineStr">
        <is>
          <t>https://www.pisos.com/comprar/finca_rustica-les_covetes-56754512138_108500/</t>
        </is>
      </c>
      <c r="E2949" t="n">
        <v>4</v>
      </c>
      <c r="J2949" t="inlineStr">
        <is>
          <t>Campos</t>
        </is>
      </c>
      <c r="K2949" t="n">
        <v>32.9</v>
      </c>
      <c r="L2949" t="n">
        <v>28</v>
      </c>
      <c r="M2949" t="n">
        <v>14.6</v>
      </c>
      <c r="N2949" t="n">
        <v>18</v>
      </c>
      <c r="O2949" t="n">
        <v>71.09999999999999</v>
      </c>
      <c r="P2949" t="n">
        <v>56</v>
      </c>
      <c r="Q2949" t="n">
        <v>12.3</v>
      </c>
      <c r="R2949" t="n">
        <v>14</v>
      </c>
      <c r="S2949" t="n">
        <v>2900000</v>
      </c>
      <c r="AH2949" t="inlineStr">
        <is>
          <t>Quelle: Pisos.com</t>
        </is>
      </c>
    </row>
    <row r="2950">
      <c r="A2950" t="n">
        <v>2763</v>
      </c>
      <c r="B2950" t="inlineStr">
        <is>
          <t>Piso en Carrer de Mateu Obrador</t>
        </is>
      </c>
      <c r="C2950" t="inlineStr">
        <is>
          <t>https://www.pisos.com/comprar/piso-es_camp_en_serralta07011-56670774056_100500/</t>
        </is>
      </c>
      <c r="E2950" t="n">
        <v>4</v>
      </c>
      <c r="J2950" t="inlineStr">
        <is>
          <t>Palma de Mallorca</t>
        </is>
      </c>
      <c r="K2950" t="n">
        <v>9.699999999999999</v>
      </c>
      <c r="L2950" t="n">
        <v>14</v>
      </c>
      <c r="M2950" t="n">
        <v>52.5</v>
      </c>
      <c r="N2950" t="n">
        <v>47</v>
      </c>
      <c r="O2950" t="n">
        <v>32.1</v>
      </c>
      <c r="P2950" t="n">
        <v>36</v>
      </c>
      <c r="Q2950" t="n">
        <v>50.2</v>
      </c>
      <c r="R2950" t="n">
        <v>44</v>
      </c>
      <c r="S2950" t="n">
        <v>1290000</v>
      </c>
      <c r="AH2950" t="inlineStr">
        <is>
          <t>Quelle: Pisos.com</t>
        </is>
      </c>
    </row>
    <row r="2951">
      <c r="A2951" t="n">
        <v>2764</v>
      </c>
      <c r="B2951" t="inlineStr">
        <is>
          <t>Piso en Avinguda de Gabriel Alomar</t>
        </is>
      </c>
      <c r="C2951" t="inlineStr">
        <is>
          <t>https://www.pisos.com/comprar/piso-foners07006-56709974786_993076/</t>
        </is>
      </c>
      <c r="E2951" t="n">
        <v>3</v>
      </c>
      <c r="J2951" t="inlineStr">
        <is>
          <t>Palma de Mallorca</t>
        </is>
      </c>
      <c r="S2951" t="n">
        <v>547000</v>
      </c>
      <c r="AH2951" t="inlineStr">
        <is>
          <t>Quelle: Pisos.com</t>
        </is>
      </c>
    </row>
    <row r="2952">
      <c r="A2952" t="n">
        <v>2765</v>
      </c>
      <c r="B2952" t="inlineStr">
        <is>
          <t>Casa adosada en Carrer de Jaume I, 55</t>
        </is>
      </c>
      <c r="C2952" t="inlineStr">
        <is>
          <t>https://www.pisos.com/comprar/casa_adosada-campos_centro_urbano-55930253986_108500/</t>
        </is>
      </c>
      <c r="E2952" t="n">
        <v>3</v>
      </c>
      <c r="J2952" t="inlineStr">
        <is>
          <t>Campos</t>
        </is>
      </c>
      <c r="S2952" t="n">
        <v>625000</v>
      </c>
      <c r="AH2952" t="inlineStr">
        <is>
          <t>Quelle: Pisos.com</t>
        </is>
      </c>
    </row>
    <row r="2953">
      <c r="A2953" t="n">
        <v>2766</v>
      </c>
      <c r="B2953" t="inlineStr">
        <is>
          <t>Piso en Carrer de Josep Martínez</t>
        </is>
      </c>
      <c r="C2953" t="inlineStr">
        <is>
          <t>https://www.pisos.com/comprar/piso-llevant_la_soledat07007-55861872844_100500/</t>
        </is>
      </c>
      <c r="E2953" t="n">
        <v>2</v>
      </c>
      <c r="J2953" t="inlineStr">
        <is>
          <t>Palma de Mallorca</t>
        </is>
      </c>
      <c r="S2953" t="n">
        <v>279000</v>
      </c>
      <c r="AH2953" t="inlineStr">
        <is>
          <t>Quelle: Pisos.com</t>
        </is>
      </c>
    </row>
    <row r="2954">
      <c r="A2954" t="n">
        <v>2767</v>
      </c>
      <c r="B2954" t="inlineStr">
        <is>
          <t>Chalet en Carrer des Castellot</t>
        </is>
      </c>
      <c r="C2954" t="inlineStr">
        <is>
          <t>https://www.pisos.com/comprar/chalet-manacor_centro_urbano-55046731614_100500/</t>
        </is>
      </c>
      <c r="E2954" t="n">
        <v>3</v>
      </c>
      <c r="J2954" t="inlineStr">
        <is>
          <t>Manacor</t>
        </is>
      </c>
      <c r="S2954" t="n">
        <v>666000</v>
      </c>
      <c r="AH2954" t="inlineStr">
        <is>
          <t>Quelle: Pisos.com</t>
        </is>
      </c>
    </row>
    <row r="2955">
      <c r="A2955" t="n">
        <v>2768</v>
      </c>
      <c r="B2955" t="inlineStr">
        <is>
          <t>Chalet en Carrer des Castellot</t>
        </is>
      </c>
      <c r="C2955" t="inlineStr">
        <is>
          <t>https://www.pisos.com/comprar/chalet-manacor_centro_urbano-55035805677_100500/</t>
        </is>
      </c>
      <c r="E2955" t="n">
        <v>3</v>
      </c>
      <c r="J2955" t="inlineStr">
        <is>
          <t>Manacor</t>
        </is>
      </c>
      <c r="S2955" t="n">
        <v>453000</v>
      </c>
      <c r="AH2955" t="inlineStr">
        <is>
          <t>Quelle: Pisos.com</t>
        </is>
      </c>
    </row>
    <row r="2956">
      <c r="A2956" t="n">
        <v>2769</v>
      </c>
      <c r="B2956" t="inlineStr">
        <is>
          <t>Chalet en Carrer des Castellot</t>
        </is>
      </c>
      <c r="C2956" t="inlineStr">
        <is>
          <t>https://www.pisos.com/comprar/chalet-manacor_centro_urbano-55042179580_100500/</t>
        </is>
      </c>
      <c r="E2956" t="n">
        <v>4</v>
      </c>
      <c r="J2956" t="inlineStr">
        <is>
          <t>Manacor</t>
        </is>
      </c>
      <c r="S2956" t="n">
        <v>839000</v>
      </c>
      <c r="AH2956" t="inlineStr">
        <is>
          <t>Quelle: Pisos.com</t>
        </is>
      </c>
    </row>
    <row r="2957">
      <c r="A2957" t="n">
        <v>2770</v>
      </c>
      <c r="B2957" t="inlineStr">
        <is>
          <t>Ático en Avinguda de Son Maties</t>
        </is>
      </c>
      <c r="C2957" t="inlineStr">
        <is>
          <t>https://www.pisos.com/comprar/atico-palmanova_son_caliu-55039371223_109300/</t>
        </is>
      </c>
      <c r="E2957" t="n">
        <v>2</v>
      </c>
      <c r="J2957" t="inlineStr">
        <is>
          <t>Calvi&amp;#xE0;</t>
        </is>
      </c>
      <c r="S2957" t="n">
        <v>645000</v>
      </c>
      <c r="AH2957" t="inlineStr">
        <is>
          <t>Quelle: Pisos.com</t>
        </is>
      </c>
    </row>
    <row r="2958">
      <c r="A2958" t="n">
        <v>2771</v>
      </c>
      <c r="B2958" t="inlineStr">
        <is>
          <t>Casa en Camino de Benimussa, 1</t>
        </is>
      </c>
      <c r="C2958" t="inlineStr">
        <is>
          <t>https://www.pisos.com/comprar/casa-sant_antoni_de_portmany_centro_urbano-55078000133_998361/</t>
        </is>
      </c>
      <c r="E2958" t="n">
        <v>4</v>
      </c>
      <c r="J2958" t="inlineStr">
        <is>
          <t>Sant Antoni de Portmany</t>
        </is>
      </c>
      <c r="K2958" t="n">
        <v>165</v>
      </c>
      <c r="L2958" t="n">
        <v>335</v>
      </c>
      <c r="M2958" t="n">
        <v>207.7</v>
      </c>
      <c r="N2958" t="n">
        <v>368</v>
      </c>
      <c r="O2958" t="n">
        <v>178.9</v>
      </c>
      <c r="P2958" t="n">
        <v>340</v>
      </c>
      <c r="Q2958" t="n">
        <v>205.4</v>
      </c>
      <c r="R2958" t="n">
        <v>364</v>
      </c>
      <c r="S2958" t="n">
        <v>5900000</v>
      </c>
      <c r="AH2958" t="inlineStr">
        <is>
          <t>Quelle: Pisos.com</t>
        </is>
      </c>
    </row>
    <row r="2959">
      <c r="A2959" t="n">
        <v>2772</v>
      </c>
      <c r="B2959" t="inlineStr">
        <is>
          <t>Piso en Avinguda del Cid, 17</t>
        </is>
      </c>
      <c r="C2959" t="inlineStr">
        <is>
          <t>https://www.pisos.com/comprar/piso-llevant_son_ferriol07198-5511705637_109700/</t>
        </is>
      </c>
      <c r="E2959" t="n">
        <v>3</v>
      </c>
      <c r="J2959" t="inlineStr">
        <is>
          <t>Palma de Mallorca</t>
        </is>
      </c>
      <c r="S2959" t="n">
        <v>480000</v>
      </c>
      <c r="AH2959" t="inlineStr">
        <is>
          <t>Quelle: Pisos.com</t>
        </is>
      </c>
    </row>
    <row r="2960">
      <c r="A2960" t="n">
        <v>2773</v>
      </c>
      <c r="B2960" t="inlineStr">
        <is>
          <t>Piso en Avinguda del Cid, 17</t>
        </is>
      </c>
      <c r="C2960" t="inlineStr">
        <is>
          <t>https://www.pisos.com/comprar/piso-llevant_son_ferriol07198-5592746379_109700/</t>
        </is>
      </c>
      <c r="E2960" t="n">
        <v>2</v>
      </c>
      <c r="J2960" t="inlineStr">
        <is>
          <t>Palma de Mallorca</t>
        </is>
      </c>
      <c r="S2960" t="n">
        <v>530000</v>
      </c>
      <c r="AH2960" t="inlineStr">
        <is>
          <t>Quelle: Pisos.com</t>
        </is>
      </c>
    </row>
    <row r="2961">
      <c r="A2961" t="n">
        <v>2774</v>
      </c>
      <c r="B2961" t="inlineStr">
        <is>
          <t>Piso en Avinguda del Cid, 17</t>
        </is>
      </c>
      <c r="C2961" t="inlineStr">
        <is>
          <t>https://www.pisos.com/comprar/piso-llevant_son_ferriol07198-5518967891_109700/</t>
        </is>
      </c>
      <c r="E2961" t="n">
        <v>2</v>
      </c>
      <c r="J2961" t="inlineStr">
        <is>
          <t>Palma de Mallorca</t>
        </is>
      </c>
      <c r="S2961" t="n">
        <v>550000</v>
      </c>
      <c r="AH2961" t="inlineStr">
        <is>
          <t>Quelle: Pisos.com</t>
        </is>
      </c>
    </row>
    <row r="2962">
      <c r="A2962" t="n">
        <v>2775</v>
      </c>
      <c r="B2962" t="inlineStr">
        <is>
          <t>Chalet en calle Camí de Sa Vela</t>
        </is>
      </c>
      <c r="C2962" t="inlineStr">
        <is>
          <t>https://www.pisos.com/comprar/chalet-puigpunyent_centro_urbano-55050263988_100500/</t>
        </is>
      </c>
      <c r="E2962" t="n">
        <v>5</v>
      </c>
      <c r="J2962" t="inlineStr">
        <is>
          <t>Puigpunyent</t>
        </is>
      </c>
      <c r="K2962" t="n">
        <v>26.5</v>
      </c>
      <c r="L2962" t="n">
        <v>32</v>
      </c>
      <c r="M2962" t="n">
        <v>69.3</v>
      </c>
      <c r="N2962" t="n">
        <v>65</v>
      </c>
      <c r="O2962" t="n">
        <v>42.1</v>
      </c>
      <c r="P2962" t="n">
        <v>43</v>
      </c>
      <c r="Q2962" t="n">
        <v>67</v>
      </c>
      <c r="R2962" t="n">
        <v>61</v>
      </c>
      <c r="S2962" t="n">
        <v>990000</v>
      </c>
      <c r="AH2962" t="inlineStr">
        <is>
          <t>Quelle: Pisos.com</t>
        </is>
      </c>
    </row>
    <row r="2963">
      <c r="A2963" t="n">
        <v>2776</v>
      </c>
      <c r="B2963" t="inlineStr">
        <is>
          <t>Chalet en Sant Josep de sa Talaia</t>
        </is>
      </c>
      <c r="C2963" t="inlineStr">
        <is>
          <t>https://www.pisos.com/comprar/chalet-sant_josep_de_sa_talaia_centro_urbano-54241401651_108500/</t>
        </is>
      </c>
      <c r="E2963" t="n">
        <v>3</v>
      </c>
      <c r="J2963" t="inlineStr">
        <is>
          <t>Sant Josep de sa Talaia</t>
        </is>
      </c>
      <c r="K2963" t="n">
        <v>47.4</v>
      </c>
      <c r="L2963" t="n">
        <v>40</v>
      </c>
      <c r="M2963" t="n">
        <v>51.8</v>
      </c>
      <c r="N2963" t="n">
        <v>55</v>
      </c>
      <c r="O2963" t="n">
        <v>70</v>
      </c>
      <c r="P2963" t="n">
        <v>56</v>
      </c>
      <c r="Q2963" t="n">
        <v>49.5</v>
      </c>
      <c r="R2963" t="n">
        <v>51</v>
      </c>
      <c r="S2963" t="n">
        <v>1990000</v>
      </c>
      <c r="AH2963" t="inlineStr">
        <is>
          <t>Quelle: Pisos.com</t>
        </is>
      </c>
    </row>
    <row r="2964">
      <c r="A2964" t="n">
        <v>2777</v>
      </c>
      <c r="B2964" t="inlineStr">
        <is>
          <t>Chalet en Sant Josep de sa Talaia</t>
        </is>
      </c>
      <c r="C2964" t="inlineStr">
        <is>
          <t>https://www.pisos.com/comprar/chalet-sant_josep_de_sa_talaia_centro_urbano-54201565022_108500/</t>
        </is>
      </c>
      <c r="E2964" t="n">
        <v>3</v>
      </c>
      <c r="J2964" t="inlineStr">
        <is>
          <t>Sant Josep de sa Talaia</t>
        </is>
      </c>
      <c r="S2964" t="n">
        <v>795000</v>
      </c>
      <c r="AH2964" t="inlineStr">
        <is>
          <t>Quelle: Pisos.com</t>
        </is>
      </c>
    </row>
    <row r="2965">
      <c r="A2965" t="n">
        <v>2778</v>
      </c>
      <c r="B2965" t="inlineStr">
        <is>
          <t>Piso en Bons Aires</t>
        </is>
      </c>
      <c r="C2965" t="inlineStr">
        <is>
          <t>https://www.pisos.com/comprar/piso-bons_aires07003-54237353398_100500/</t>
        </is>
      </c>
      <c r="E2965" t="n">
        <v>1</v>
      </c>
      <c r="J2965" t="inlineStr">
        <is>
          <t>Palma de Mallorca</t>
        </is>
      </c>
      <c r="S2965" t="n">
        <v>675000</v>
      </c>
      <c r="AH2965" t="inlineStr">
        <is>
          <t>Quelle: Pisos.com</t>
        </is>
      </c>
    </row>
    <row r="2966">
      <c r="A2966" t="n">
        <v>2779</v>
      </c>
      <c r="B2966" t="inlineStr">
        <is>
          <t>Casa en Carrer del Camp Roig</t>
        </is>
      </c>
      <c r="C2966" t="inlineStr">
        <is>
          <t>https://www.pisos.com/comprar/casa-alaro_centro_urbano-53376789134_501477/</t>
        </is>
      </c>
      <c r="E2966" t="n">
        <v>3</v>
      </c>
      <c r="J2966" t="inlineStr">
        <is>
          <t>Alar&amp;#xF3;</t>
        </is>
      </c>
      <c r="S2966" t="n">
        <v>775000</v>
      </c>
      <c r="AH2966" t="inlineStr">
        <is>
          <t>Quelle: Pisos.com</t>
        </is>
      </c>
    </row>
    <row r="2967">
      <c r="A2967" t="n">
        <v>2780</v>
      </c>
      <c r="B2967" t="inlineStr">
        <is>
          <t>Piso en Carrer de Chopín</t>
        </is>
      </c>
      <c r="C2967" t="inlineStr">
        <is>
          <t>https://www.pisos.com/comprar/piso-calvia_santa_ponca07180-53378199412_109300/</t>
        </is>
      </c>
      <c r="E2967" t="n">
        <v>2</v>
      </c>
      <c r="J2967" t="inlineStr">
        <is>
          <t>Calvi&amp;#xE0;</t>
        </is>
      </c>
      <c r="S2967" t="n">
        <v>750000</v>
      </c>
      <c r="AH2967" t="inlineStr">
        <is>
          <t>Quelle: Pisos.com</t>
        </is>
      </c>
    </row>
    <row r="2968">
      <c r="A2968" t="n">
        <v>2781</v>
      </c>
      <c r="B2968" t="inlineStr">
        <is>
          <t>Piso en Carrer d'Emili Darder Batle</t>
        </is>
      </c>
      <c r="C2968" t="inlineStr">
        <is>
          <t>https://www.pisos.com/comprar/piso-es_camp_en_serralta07013-53352517232_109300/</t>
        </is>
      </c>
      <c r="E2968" t="n">
        <v>3</v>
      </c>
      <c r="J2968" t="inlineStr">
        <is>
          <t>Palma de Mallorca</t>
        </is>
      </c>
      <c r="S2968" t="n">
        <v>449000</v>
      </c>
      <c r="AH2968" t="inlineStr">
        <is>
          <t>Quelle: Pisos.com</t>
        </is>
      </c>
    </row>
    <row r="2969">
      <c r="A2969" t="n">
        <v>2782</v>
      </c>
      <c r="B2969" t="inlineStr">
        <is>
          <t>Piso en Carrer Nunyo Sanc</t>
        </is>
      </c>
      <c r="C2969" t="inlineStr">
        <is>
          <t>https://www.pisos.com/comprar/piso-calvia_costa_de_la_calma07183-53384502573_100500/</t>
        </is>
      </c>
      <c r="E2969" t="n">
        <v>3</v>
      </c>
      <c r="J2969" t="inlineStr">
        <is>
          <t>Calvi&amp;#xE0;</t>
        </is>
      </c>
      <c r="S2969" t="n">
        <v>419000</v>
      </c>
      <c r="AH2969" t="inlineStr">
        <is>
          <t>Quelle: Pisos.com</t>
        </is>
      </c>
    </row>
    <row r="2970">
      <c r="A2970" t="n">
        <v>2783</v>
      </c>
      <c r="B2970" t="inlineStr">
        <is>
          <t>Chalet unifamiliar en Badia Blava-Badia Gran-Tolleric</t>
        </is>
      </c>
      <c r="C2970" t="inlineStr">
        <is>
          <t>https://www.pisos.com/comprar/chalet_unifamiliar-badia_blava_badia_gran_tolleric-53346506199_501477/</t>
        </is>
      </c>
      <c r="E2970" t="n">
        <v>3</v>
      </c>
      <c r="J2970" t="inlineStr">
        <is>
          <t>Llucmajor</t>
        </is>
      </c>
      <c r="S2970" t="n">
        <v>999000</v>
      </c>
      <c r="AH2970" t="inlineStr">
        <is>
          <t>Quelle: Pisos.com</t>
        </is>
      </c>
    </row>
    <row r="2971">
      <c r="A2971" t="n">
        <v>2784</v>
      </c>
      <c r="B2971" t="inlineStr">
        <is>
          <t>Casa en Carrer de l'Almoina</t>
        </is>
      </c>
      <c r="C2971" t="inlineStr">
        <is>
          <t>https://www.pisos.com/comprar/casa-porreres_centro_urbano-52557244421_993076/</t>
        </is>
      </c>
      <c r="E2971" t="n">
        <v>3</v>
      </c>
      <c r="J2971" t="inlineStr">
        <is>
          <t>Porreres</t>
        </is>
      </c>
      <c r="K2971" t="n">
        <v>35.9</v>
      </c>
      <c r="L2971" t="n">
        <v>34</v>
      </c>
      <c r="M2971" t="n">
        <v>27.6</v>
      </c>
      <c r="N2971" t="n">
        <v>32</v>
      </c>
      <c r="O2971" t="n">
        <v>69.3</v>
      </c>
      <c r="P2971" t="n">
        <v>59</v>
      </c>
      <c r="Q2971" t="n">
        <v>25.3</v>
      </c>
      <c r="R2971" t="n">
        <v>29</v>
      </c>
      <c r="S2971" t="n">
        <v>1890000</v>
      </c>
      <c r="AH2971" t="inlineStr">
        <is>
          <t>Quelle: Pisos.com</t>
        </is>
      </c>
    </row>
    <row r="2972">
      <c r="A2972" t="n">
        <v>2785</v>
      </c>
      <c r="B2972" t="inlineStr">
        <is>
          <t>Piso en Carrer de Rafael Rodríguez Méndez</t>
        </is>
      </c>
      <c r="C2972" t="inlineStr">
        <is>
          <t>https://www.pisos.com/comprar/piso-el_forti07011-51764472509_100500/</t>
        </is>
      </c>
      <c r="E2972" t="n">
        <v>4</v>
      </c>
      <c r="J2972" t="inlineStr">
        <is>
          <t>Palma de Mallorca</t>
        </is>
      </c>
      <c r="S2972" t="n">
        <v>449000</v>
      </c>
      <c r="AH2972" t="inlineStr">
        <is>
          <t>Quelle: Pisos.com</t>
        </is>
      </c>
    </row>
    <row r="2973">
      <c r="A2973" t="n">
        <v>2786</v>
      </c>
      <c r="B2973" t="inlineStr">
        <is>
          <t>Chalet en Son Rapinya - los Almendros</t>
        </is>
      </c>
      <c r="C2973" t="inlineStr">
        <is>
          <t>https://www.pisos.com/comprar/chalet-son_rapinya_los_almendros07013-51689920745_100500/</t>
        </is>
      </c>
      <c r="E2973" t="n">
        <v>4</v>
      </c>
      <c r="J2973" t="inlineStr">
        <is>
          <t>Palma de Mallorca</t>
        </is>
      </c>
      <c r="K2973" t="n">
        <v>9.699999999999999</v>
      </c>
      <c r="L2973" t="n">
        <v>14</v>
      </c>
      <c r="M2973" t="n">
        <v>52.5</v>
      </c>
      <c r="N2973" t="n">
        <v>47</v>
      </c>
      <c r="O2973" t="n">
        <v>32.1</v>
      </c>
      <c r="P2973" t="n">
        <v>36</v>
      </c>
      <c r="Q2973" t="n">
        <v>50.2</v>
      </c>
      <c r="R2973" t="n">
        <v>44</v>
      </c>
      <c r="S2973" t="n">
        <v>1450000</v>
      </c>
      <c r="AH2973" t="inlineStr">
        <is>
          <t>Quelle: Pisos.com</t>
        </is>
      </c>
    </row>
    <row r="2974">
      <c r="A2974" t="n">
        <v>2787</v>
      </c>
      <c r="B2974" t="inlineStr">
        <is>
          <t>Casa en calle Carretera de Santa Maria</t>
        </is>
      </c>
      <c r="C2974" t="inlineStr">
        <is>
          <t>https://www.pisos.com/comprar/casa-sencelles_centro_urbano-50924937676_109300/</t>
        </is>
      </c>
      <c r="E2974" t="n">
        <v>3</v>
      </c>
      <c r="J2974" t="inlineStr">
        <is>
          <t>Sencelles</t>
        </is>
      </c>
      <c r="S2974" t="n">
        <v>550000</v>
      </c>
      <c r="AH2974" t="inlineStr">
        <is>
          <t>Quelle: Pisos.com</t>
        </is>
      </c>
    </row>
    <row r="2975">
      <c r="A2975" t="n">
        <v>2788</v>
      </c>
      <c r="B2975" t="inlineStr">
        <is>
          <t>Casa en Carrer de l'Astor</t>
        </is>
      </c>
      <c r="C2975" t="inlineStr">
        <is>
          <t>https://www.pisos.com/comprar/casa-ca_ballutera-50883240103_998361/</t>
        </is>
      </c>
      <c r="E2975" t="n">
        <v>8</v>
      </c>
      <c r="J2975" t="inlineStr">
        <is>
          <t>Sant Josep de sa Talaia</t>
        </is>
      </c>
      <c r="K2975" t="n">
        <v>47.4</v>
      </c>
      <c r="L2975" t="n">
        <v>40</v>
      </c>
      <c r="M2975" t="n">
        <v>51.8</v>
      </c>
      <c r="N2975" t="n">
        <v>55</v>
      </c>
      <c r="O2975" t="n">
        <v>70</v>
      </c>
      <c r="P2975" t="n">
        <v>56</v>
      </c>
      <c r="Q2975" t="n">
        <v>49.5</v>
      </c>
      <c r="R2975" t="n">
        <v>51</v>
      </c>
      <c r="S2975" t="n">
        <v>3850000</v>
      </c>
      <c r="AH2975" t="inlineStr">
        <is>
          <t>Quelle: Pisos.com</t>
        </is>
      </c>
    </row>
    <row r="2976">
      <c r="A2976" t="n">
        <v>2789</v>
      </c>
      <c r="B2976" t="inlineStr">
        <is>
          <t>Chalet unifamiliar en Planera-Son Daviu Nou-Es Garrovers</t>
        </is>
      </c>
      <c r="C2976" t="inlineStr">
        <is>
          <t>https://www.pisos.com/comprar/chalet_unifamiliar-planera_son_daviu_nou_es_garrovers-49218822326_993076/</t>
        </is>
      </c>
      <c r="E2976" t="n">
        <v>6</v>
      </c>
      <c r="J2976" t="inlineStr">
        <is>
          <t>Marratx&amp;#xED;</t>
        </is>
      </c>
      <c r="K2976" t="n">
        <v>13</v>
      </c>
      <c r="L2976" t="n">
        <v>17</v>
      </c>
      <c r="M2976" t="n">
        <v>56.3</v>
      </c>
      <c r="N2976" t="n">
        <v>50</v>
      </c>
      <c r="O2976" t="n">
        <v>40.6</v>
      </c>
      <c r="P2976" t="n">
        <v>34</v>
      </c>
      <c r="Q2976" t="n">
        <v>54</v>
      </c>
      <c r="R2976" t="n">
        <v>46</v>
      </c>
      <c r="S2976" t="n">
        <v>1290000</v>
      </c>
      <c r="AH2976" t="inlineStr">
        <is>
          <t>Quelle: Pisos.com</t>
        </is>
      </c>
    </row>
    <row r="2977">
      <c r="A2977" t="n">
        <v>2790</v>
      </c>
      <c r="B2977" t="inlineStr">
        <is>
          <t>Chalet unifamiliar en Badia Blava-Badia Gran-Tolleric</t>
        </is>
      </c>
      <c r="C2977" t="inlineStr">
        <is>
          <t>https://www.pisos.com/comprar/chalet_unifamiliar-badia_blava_badia_gran_tolleric-48364873923_399900/</t>
        </is>
      </c>
      <c r="E2977" t="n">
        <v>5</v>
      </c>
      <c r="J2977" t="inlineStr">
        <is>
          <t>Llucmajor</t>
        </is>
      </c>
      <c r="K2977" t="n">
        <v>22</v>
      </c>
      <c r="L2977" t="n">
        <v>21</v>
      </c>
      <c r="M2977" t="n">
        <v>28.2</v>
      </c>
      <c r="N2977" t="n">
        <v>33</v>
      </c>
      <c r="O2977" t="n">
        <v>60.2</v>
      </c>
      <c r="P2977" t="n">
        <v>48</v>
      </c>
      <c r="Q2977" t="n">
        <v>25.9</v>
      </c>
      <c r="R2977" t="n">
        <v>29</v>
      </c>
      <c r="S2977" t="n">
        <v>2980000</v>
      </c>
      <c r="AH2977" t="inlineStr">
        <is>
          <t>Quelle: Pisos.com</t>
        </is>
      </c>
    </row>
    <row r="2978">
      <c r="A2978" t="n">
        <v>2791</v>
      </c>
      <c r="B2978" t="inlineStr">
        <is>
          <t>Piso en Carrer de Margaluz</t>
        </is>
      </c>
      <c r="C2978" t="inlineStr">
        <is>
          <t>https://www.pisos.com/comprar/piso-ponent_sant_agusti-47518561972_109300/</t>
        </is>
      </c>
      <c r="E2978" t="n">
        <v>3</v>
      </c>
      <c r="J2978" t="inlineStr">
        <is>
          <t>Palma de Mallorca</t>
        </is>
      </c>
      <c r="S2978" t="n">
        <v>795000</v>
      </c>
      <c r="AH2978" t="inlineStr">
        <is>
          <t>Quelle: Pisos.com</t>
        </is>
      </c>
    </row>
    <row r="2979">
      <c r="A2979" t="n">
        <v>2792</v>
      </c>
      <c r="B2979" t="inlineStr">
        <is>
          <t>Piso en Colonia de San Jordi</t>
        </is>
      </c>
      <c r="C2979" t="inlineStr">
        <is>
          <t>https://www.pisos.com/comprar/piso-ses_salines-46670454313_100500/</t>
        </is>
      </c>
      <c r="E2979" t="n">
        <v>3</v>
      </c>
      <c r="J2979" t="inlineStr">
        <is>
          <t>Ses Salines</t>
        </is>
      </c>
      <c r="S2979" t="n">
        <v>970000</v>
      </c>
      <c r="AH2979" t="inlineStr">
        <is>
          <t>Quelle: Pisos.com</t>
        </is>
      </c>
    </row>
    <row r="2980">
      <c r="A2980" t="n">
        <v>2793</v>
      </c>
      <c r="B2980" t="inlineStr">
        <is>
          <t>Apartamento en Carrer dels Pins, 1</t>
        </is>
      </c>
      <c r="C2980" t="inlineStr">
        <is>
          <t>https://www.pisos.com/comprar/apartamento-colonia_de_sant_jordi-46688770421_108500/</t>
        </is>
      </c>
      <c r="J2980" t="inlineStr">
        <is>
          <t>Ses Salines</t>
        </is>
      </c>
      <c r="S2980" t="n">
        <v>560000</v>
      </c>
      <c r="AH2980" t="inlineStr">
        <is>
          <t>Quelle: Pisos.com</t>
        </is>
      </c>
    </row>
    <row r="2981">
      <c r="A2981" t="n">
        <v>2794</v>
      </c>
      <c r="B2981" t="inlineStr">
        <is>
          <t>Finca rústica en Alaró</t>
        </is>
      </c>
      <c r="C2981" t="inlineStr">
        <is>
          <t>https://www.pisos.com/comprar/finca_rustica-alaro_centro_urbano-45003657920_501477/</t>
        </is>
      </c>
      <c r="E2981" t="n">
        <v>2</v>
      </c>
      <c r="J2981" t="inlineStr">
        <is>
          <t>Alar&amp;#xF3;</t>
        </is>
      </c>
      <c r="S2981" t="n">
        <v>195000</v>
      </c>
      <c r="AH2981" t="inlineStr">
        <is>
          <t>Quelle: Pisos.com</t>
        </is>
      </c>
    </row>
    <row r="2982">
      <c r="A2982" t="n">
        <v>2795</v>
      </c>
      <c r="B2982" t="inlineStr">
        <is>
          <t>Chalet en calle Can Boi -Sa Cabaneta-</t>
        </is>
      </c>
      <c r="C2982" t="inlineStr">
        <is>
          <t>https://www.pisos.com/comprar/chalet-marratxi_sa_cabaneta-45058298741_100500/</t>
        </is>
      </c>
      <c r="E2982" t="n">
        <v>5</v>
      </c>
      <c r="J2982" t="inlineStr">
        <is>
          <t>Marratx&amp;#xED;</t>
        </is>
      </c>
      <c r="K2982" t="n">
        <v>13</v>
      </c>
      <c r="L2982" t="n">
        <v>17</v>
      </c>
      <c r="M2982" t="n">
        <v>56.3</v>
      </c>
      <c r="N2982" t="n">
        <v>50</v>
      </c>
      <c r="O2982" t="n">
        <v>40.6</v>
      </c>
      <c r="P2982" t="n">
        <v>34</v>
      </c>
      <c r="Q2982" t="n">
        <v>54</v>
      </c>
      <c r="R2982" t="n">
        <v>46</v>
      </c>
      <c r="S2982" t="n">
        <v>1200000</v>
      </c>
      <c r="AH2982" t="inlineStr">
        <is>
          <t>Quelle: Pisos.com</t>
        </is>
      </c>
    </row>
    <row r="2983">
      <c r="A2983" t="n">
        <v>2796</v>
      </c>
      <c r="B2983" t="inlineStr">
        <is>
          <t>Apartamento en Carrer de Benito Jerónimo Feijóo</t>
        </is>
      </c>
      <c r="C2983" t="inlineStr">
        <is>
          <t>https://www.pisos.com/comprar/apartamento-portals_nous_bendinat-43399773154_993076/</t>
        </is>
      </c>
      <c r="E2983" t="n">
        <v>2</v>
      </c>
      <c r="J2983" t="inlineStr">
        <is>
          <t>Calvi&amp;#xE0;</t>
        </is>
      </c>
      <c r="K2983" t="n">
        <v>31.1</v>
      </c>
      <c r="L2983" t="n">
        <v>28</v>
      </c>
      <c r="M2983" t="n">
        <v>73.90000000000001</v>
      </c>
      <c r="N2983" t="n">
        <v>61</v>
      </c>
      <c r="O2983" t="n">
        <v>19.4</v>
      </c>
      <c r="P2983" t="n">
        <v>22</v>
      </c>
      <c r="Q2983" t="n">
        <v>71.59999999999999</v>
      </c>
      <c r="R2983" t="n">
        <v>58</v>
      </c>
      <c r="S2983" t="n">
        <v>1150000</v>
      </c>
      <c r="AH2983" t="inlineStr">
        <is>
          <t>Quelle: Pisos.com</t>
        </is>
      </c>
    </row>
    <row r="2984">
      <c r="A2984" t="n">
        <v>2797</v>
      </c>
      <c r="B2984" t="inlineStr">
        <is>
          <t>Chalet unifamiliar en Pollença</t>
        </is>
      </c>
      <c r="C2984" t="inlineStr">
        <is>
          <t>https://www.pisos.com/comprar/chalet_unifamiliar-pollenca_centro_urbano-42553649057_501477/</t>
        </is>
      </c>
      <c r="E2984" t="n">
        <v>5</v>
      </c>
      <c r="J2984" t="inlineStr">
        <is>
          <t>Pollen&amp;#xE7;a</t>
        </is>
      </c>
      <c r="K2984" t="n">
        <v>60.6</v>
      </c>
      <c r="L2984" t="n">
        <v>47</v>
      </c>
      <c r="M2984" t="n">
        <v>78.7</v>
      </c>
      <c r="N2984" t="n">
        <v>74</v>
      </c>
      <c r="O2984" t="n">
        <v>83.2</v>
      </c>
      <c r="P2984" t="n">
        <v>63</v>
      </c>
      <c r="Q2984" t="n">
        <v>76.40000000000001</v>
      </c>
      <c r="R2984" t="n">
        <v>70</v>
      </c>
      <c r="S2984" t="n">
        <v>3200000</v>
      </c>
      <c r="AH2984" t="inlineStr">
        <is>
          <t>Quelle: Pisos.com</t>
        </is>
      </c>
    </row>
    <row r="2985">
      <c r="A2985" t="n">
        <v>2798</v>
      </c>
      <c r="B2985" t="inlineStr">
        <is>
          <t>Chalet en Carrer dels Quarterades</t>
        </is>
      </c>
      <c r="C2985" t="inlineStr">
        <is>
          <t>https://www.pisos.com/comprar/chalet-calvia_vila07184-42582172327_100500/</t>
        </is>
      </c>
      <c r="E2985" t="n">
        <v>4</v>
      </c>
      <c r="J2985" t="inlineStr">
        <is>
          <t>Calvi&amp;#xE0;</t>
        </is>
      </c>
      <c r="K2985" t="n">
        <v>31.1</v>
      </c>
      <c r="L2985" t="n">
        <v>28</v>
      </c>
      <c r="M2985" t="n">
        <v>73.90000000000001</v>
      </c>
      <c r="N2985" t="n">
        <v>61</v>
      </c>
      <c r="O2985" t="n">
        <v>19.4</v>
      </c>
      <c r="P2985" t="n">
        <v>22</v>
      </c>
      <c r="Q2985" t="n">
        <v>71.59999999999999</v>
      </c>
      <c r="R2985" t="n">
        <v>58</v>
      </c>
      <c r="S2985" t="n">
        <v>2250000</v>
      </c>
      <c r="AH2985" t="inlineStr">
        <is>
          <t>Quelle: Pisos.com</t>
        </is>
      </c>
    </row>
    <row r="2986">
      <c r="A2986" t="n">
        <v>2799</v>
      </c>
      <c r="B2986" t="inlineStr">
        <is>
          <t>Casa en Lloseta</t>
        </is>
      </c>
      <c r="C2986" t="inlineStr">
        <is>
          <t>https://www.pisos.com/comprar/casa-lloseta_centro_urbano-40014900715_501477/</t>
        </is>
      </c>
      <c r="E2986" t="n">
        <v>3</v>
      </c>
      <c r="J2986" t="inlineStr">
        <is>
          <t>Lloseta</t>
        </is>
      </c>
      <c r="S2986" t="n">
        <v>460000</v>
      </c>
      <c r="AH2986" t="inlineStr">
        <is>
          <t>Quelle: Pisos.com</t>
        </is>
      </c>
    </row>
    <row r="2987">
      <c r="A2987" t="n">
        <v>2800</v>
      </c>
      <c r="B2987" t="inlineStr">
        <is>
          <t>Chalet en San Jose</t>
        </is>
      </c>
      <c r="C2987" t="inlineStr">
        <is>
          <t>https://www.pisos.com/comprar/chalet-sant_josep_de_sa_talaia_centro_urbano-40032624840_108900/</t>
        </is>
      </c>
      <c r="E2987" t="n">
        <v>5</v>
      </c>
      <c r="J2987" t="inlineStr">
        <is>
          <t>Sant Josep de sa Talaia</t>
        </is>
      </c>
      <c r="K2987" t="n">
        <v>47.4</v>
      </c>
      <c r="L2987" t="n">
        <v>40</v>
      </c>
      <c r="M2987" t="n">
        <v>51.8</v>
      </c>
      <c r="N2987" t="n">
        <v>55</v>
      </c>
      <c r="O2987" t="n">
        <v>70</v>
      </c>
      <c r="P2987" t="n">
        <v>56</v>
      </c>
      <c r="Q2987" t="n">
        <v>49.5</v>
      </c>
      <c r="R2987" t="n">
        <v>51</v>
      </c>
      <c r="S2987" t="n">
        <v>3700000</v>
      </c>
      <c r="AH2987" t="inlineStr">
        <is>
          <t>Quelle: Pisos.com</t>
        </is>
      </c>
    </row>
    <row r="2988">
      <c r="A2988" t="n">
        <v>2801</v>
      </c>
      <c r="B2988" t="inlineStr">
        <is>
          <t>Chalet en Avinguda dels Geranis, 1</t>
        </is>
      </c>
      <c r="C2988" t="inlineStr">
        <is>
          <t>https://www.pisos.com/comprar/chalet-cala_anguila_cala_mendia-40059556754_108500/</t>
        </is>
      </c>
      <c r="E2988" t="n">
        <v>2</v>
      </c>
      <c r="J2988" t="inlineStr">
        <is>
          <t>Manacor</t>
        </is>
      </c>
      <c r="S2988" t="n">
        <v>380000</v>
      </c>
      <c r="AH2988" t="inlineStr">
        <is>
          <t>Quelle: Pisos.com</t>
        </is>
      </c>
    </row>
    <row r="2989">
      <c r="A2989" t="n">
        <v>2802</v>
      </c>
      <c r="B2989" t="inlineStr">
        <is>
          <t>Casa adosada en Colonia de Sant Jordi</t>
        </is>
      </c>
      <c r="C2989" t="inlineStr">
        <is>
          <t>https://www.pisos.com/comprar/casa_adosada-colonia_de_sant_jordi-37575069205_100500/</t>
        </is>
      </c>
      <c r="E2989" t="n">
        <v>2</v>
      </c>
      <c r="J2989" t="inlineStr">
        <is>
          <t>Ses Salines</t>
        </is>
      </c>
      <c r="S2989" t="n">
        <v>660000</v>
      </c>
      <c r="AH2989" t="inlineStr">
        <is>
          <t>Quelle: Pisos.com</t>
        </is>
      </c>
    </row>
    <row r="2990">
      <c r="A2990" t="n">
        <v>2803</v>
      </c>
      <c r="B2990" t="inlineStr">
        <is>
          <t>Casa en Carrer de Fra Juníper Serra, 21</t>
        </is>
      </c>
      <c r="C2990" t="inlineStr">
        <is>
          <t>https://www.pisos.com/comprar/casa-llucmajor-35090942895_108500/</t>
        </is>
      </c>
      <c r="E2990" t="n">
        <v>3</v>
      </c>
      <c r="J2990" t="inlineStr">
        <is>
          <t>Llucmajor</t>
        </is>
      </c>
      <c r="K2990" t="n">
        <v>22</v>
      </c>
      <c r="L2990" t="n">
        <v>21</v>
      </c>
      <c r="M2990" t="n">
        <v>28.2</v>
      </c>
      <c r="N2990" t="n">
        <v>33</v>
      </c>
      <c r="O2990" t="n">
        <v>60.2</v>
      </c>
      <c r="P2990" t="n">
        <v>48</v>
      </c>
      <c r="Q2990" t="n">
        <v>25.9</v>
      </c>
      <c r="R2990" t="n">
        <v>29</v>
      </c>
      <c r="S2990" t="n">
        <v>2450000</v>
      </c>
      <c r="AH2990" t="inlineStr">
        <is>
          <t>Quelle: Pisos.com</t>
        </is>
      </c>
    </row>
    <row r="2991">
      <c r="A2991" t="n">
        <v>2804</v>
      </c>
      <c r="B2991" t="inlineStr">
        <is>
          <t>Chalet rústico en Carretera Vieja de Bunyola</t>
        </is>
      </c>
      <c r="C2991" t="inlineStr">
        <is>
          <t>https://www.pisos.com/comprar/chalet_rustico-son_ramonell_figueral_can_farineta-945856908991239_109700/</t>
        </is>
      </c>
      <c r="E2991" t="n">
        <v>5</v>
      </c>
      <c r="J2991" t="inlineStr">
        <is>
          <t>Marratx&amp;#xED;</t>
        </is>
      </c>
      <c r="K2991" t="n">
        <v>13</v>
      </c>
      <c r="L2991" t="n">
        <v>17</v>
      </c>
      <c r="M2991" t="n">
        <v>56.3</v>
      </c>
      <c r="N2991" t="n">
        <v>50</v>
      </c>
      <c r="O2991" t="n">
        <v>40.6</v>
      </c>
      <c r="P2991" t="n">
        <v>34</v>
      </c>
      <c r="Q2991" t="n">
        <v>54</v>
      </c>
      <c r="R2991" t="n">
        <v>46</v>
      </c>
      <c r="S2991" t="n">
        <v>2300000</v>
      </c>
      <c r="AH2991" t="inlineStr">
        <is>
          <t>Quelle: Pisos.com</t>
        </is>
      </c>
    </row>
    <row r="2992">
      <c r="A2992" t="n">
        <v>2805</v>
      </c>
      <c r="B2992" t="inlineStr">
        <is>
          <t>Piso en Carrer de Vallgornera</t>
        </is>
      </c>
      <c r="C2992" t="inlineStr">
        <is>
          <t>https://www.pisos.com/comprar/piso-llevant_sant_jordi07199-61687785083_100500/</t>
        </is>
      </c>
      <c r="E2992" t="n">
        <v>3</v>
      </c>
      <c r="J2992" t="inlineStr">
        <is>
          <t>Palma de Mallorca</t>
        </is>
      </c>
      <c r="S2992" t="n">
        <v>599000</v>
      </c>
      <c r="AH2992" t="inlineStr">
        <is>
          <t>Quelle: Pisos.com</t>
        </is>
      </c>
    </row>
    <row r="2993">
      <c r="A2993" t="n">
        <v>2806</v>
      </c>
      <c r="B2993" t="inlineStr">
        <is>
          <t>Chalet en Alcaufar</t>
        </is>
      </c>
      <c r="C2993" t="inlineStr">
        <is>
          <t>https://www.pisos.com/comprar/chalet-sant_lluis_centro_urbano-61671959196_105800/</t>
        </is>
      </c>
      <c r="E2993" t="n">
        <v>3</v>
      </c>
      <c r="J2993" t="inlineStr">
        <is>
          <t>Sant Llu&amp;#xED;s</t>
        </is>
      </c>
      <c r="K2993" t="n">
        <v>47.4</v>
      </c>
      <c r="L2993" t="n">
        <v>40</v>
      </c>
      <c r="M2993" t="n">
        <v>51.8</v>
      </c>
      <c r="N2993" t="n">
        <v>55</v>
      </c>
      <c r="O2993" t="n">
        <v>70</v>
      </c>
      <c r="P2993" t="n">
        <v>56</v>
      </c>
      <c r="Q2993" t="n">
        <v>49.5</v>
      </c>
      <c r="R2993" t="n">
        <v>51</v>
      </c>
      <c r="S2993" t="n">
        <v>2900000</v>
      </c>
      <c r="AH2993" t="inlineStr">
        <is>
          <t>Quelle: Pisos.com</t>
        </is>
      </c>
    </row>
    <row r="2994">
      <c r="A2994" t="n">
        <v>2807</v>
      </c>
      <c r="B2994" t="inlineStr">
        <is>
          <t>Piso en Carrer de Ramon Muntaner</t>
        </is>
      </c>
      <c r="C2994" t="inlineStr">
        <is>
          <t>https://www.pisos.com/comprar/piso-bons_aires07010-61679311014_109300/</t>
        </is>
      </c>
      <c r="E2994" t="n">
        <v>4</v>
      </c>
      <c r="J2994" t="inlineStr">
        <is>
          <t>Palma de Mallorca</t>
        </is>
      </c>
      <c r="S2994" t="n">
        <v>475000</v>
      </c>
      <c r="AH2994" t="inlineStr">
        <is>
          <t>Quelle: Pisos.com</t>
        </is>
      </c>
    </row>
    <row r="2995">
      <c r="A2995" t="n">
        <v>2808</v>
      </c>
      <c r="B2995" t="inlineStr">
        <is>
          <t>Casa en Carrer de Pere Seriol</t>
        </is>
      </c>
      <c r="C2995" t="inlineStr">
        <is>
          <t>https://www.pisos.com/comprar/casa-andratx_centro_urbano-61687930023_109300/</t>
        </is>
      </c>
      <c r="E2995" t="n">
        <v>3</v>
      </c>
      <c r="J2995" t="inlineStr">
        <is>
          <t>Andratx</t>
        </is>
      </c>
      <c r="S2995" t="n">
        <v>430000</v>
      </c>
      <c r="AH2995" t="inlineStr">
        <is>
          <t>Quelle: Pisos.com</t>
        </is>
      </c>
    </row>
    <row r="2996">
      <c r="A2996" t="n">
        <v>2809</v>
      </c>
      <c r="B2996" t="inlineStr">
        <is>
          <t>Piso en Carrer de Galícia</t>
        </is>
      </c>
      <c r="C2996" t="inlineStr">
        <is>
          <t>https://www.pisos.com/comprar/piso-ses_figueretes_platja_en_bossa_cas_serres-61724225825_510825/</t>
        </is>
      </c>
      <c r="E2996" t="n">
        <v>3</v>
      </c>
      <c r="J2996" t="inlineStr">
        <is>
          <t>Ibiza Eivissa</t>
        </is>
      </c>
      <c r="S2996" t="n">
        <v>385000</v>
      </c>
      <c r="AH2996" t="inlineStr">
        <is>
          <t>Quelle: Pisos.com</t>
        </is>
      </c>
    </row>
    <row r="2997">
      <c r="A2997" t="n">
        <v>2810</v>
      </c>
      <c r="B2997" t="inlineStr">
        <is>
          <t>Piso en Carrer de Pius XII</t>
        </is>
      </c>
      <c r="C2997" t="inlineStr">
        <is>
          <t>https://www.pisos.com/comprar/piso-inca_centro_urbano-61667334470_100500/</t>
        </is>
      </c>
      <c r="E2997" t="n">
        <v>3</v>
      </c>
      <c r="J2997" t="inlineStr">
        <is>
          <t>Inca</t>
        </is>
      </c>
      <c r="S2997" t="n">
        <v>285000</v>
      </c>
      <c r="AH2997" t="inlineStr">
        <is>
          <t>Quelle: Pisos.com</t>
        </is>
      </c>
    </row>
    <row r="2998">
      <c r="A2998" t="n">
        <v>2811</v>
      </c>
      <c r="B2998" t="inlineStr">
        <is>
          <t>Finca rústica en calle Vell de Sant Climent</t>
        </is>
      </c>
      <c r="C2998" t="inlineStr">
        <is>
          <t>https://www.pisos.com/comprar/finca_rustica-sant_climent_llucmacanes_es_canutells_binidali-61686985841_100500/</t>
        </is>
      </c>
      <c r="J2998" t="inlineStr">
        <is>
          <t>Ma&amp;#xF3; Mah&amp;#xF3;n</t>
        </is>
      </c>
      <c r="S2998" t="n">
        <v>750000</v>
      </c>
      <c r="AH2998" t="inlineStr">
        <is>
          <t>Quelle: Pisos.com</t>
        </is>
      </c>
    </row>
    <row r="2999">
      <c r="A2999" t="n">
        <v>2812</v>
      </c>
      <c r="B2999" t="inlineStr">
        <is>
          <t>Chalet en Carrer de sa Calma</t>
        </is>
      </c>
      <c r="C2999" t="inlineStr">
        <is>
          <t>https://www.pisos.com/comprar/chalet-es_mercadal-61764947184_100500/</t>
        </is>
      </c>
      <c r="E2999" t="n">
        <v>4</v>
      </c>
      <c r="J2999" t="inlineStr">
        <is>
          <t>Es Mercadal</t>
        </is>
      </c>
      <c r="S2999" t="n">
        <v>650000</v>
      </c>
      <c r="AH2999" t="inlineStr">
        <is>
          <t>Quelle: Pisos.com</t>
        </is>
      </c>
    </row>
    <row r="3000">
      <c r="A3000" t="n">
        <v>2813</v>
      </c>
      <c r="B3000" t="inlineStr">
        <is>
          <t>Chalet en Avenida Josep Anselm de Clave</t>
        </is>
      </c>
      <c r="C3000" t="inlineStr">
        <is>
          <t>https://www.pisos.com/comprar/chalet-malbuger_cami_barrotes_poima07703-61678649820_100500/</t>
        </is>
      </c>
      <c r="E3000" t="n">
        <v>3</v>
      </c>
      <c r="J3000" t="inlineStr">
        <is>
          <t>Ma&amp;#xF3; Mah&amp;#xF3;n</t>
        </is>
      </c>
      <c r="S3000" t="n">
        <v>725000</v>
      </c>
      <c r="AH3000" t="inlineStr">
        <is>
          <t>Quelle: Pisos.com</t>
        </is>
      </c>
    </row>
    <row r="3001">
      <c r="A3001" t="n">
        <v>2814</v>
      </c>
      <c r="B3001" t="inlineStr">
        <is>
          <t>Piso en Camí de Cabana</t>
        </is>
      </c>
      <c r="C3001" t="inlineStr">
        <is>
          <t>https://www.pisos.com/comprar/piso-benestar_sa_cabana_can_carbonell_ses_cases_noves-61754713188_100500/</t>
        </is>
      </c>
      <c r="E3001" t="n">
        <v>3</v>
      </c>
      <c r="J3001" t="inlineStr">
        <is>
          <t>Marratx&amp;#xED;</t>
        </is>
      </c>
      <c r="S3001" t="n">
        <v>420000</v>
      </c>
      <c r="AH3001" t="inlineStr">
        <is>
          <t>Quelle: Pisos.com</t>
        </is>
      </c>
    </row>
    <row r="3002">
      <c r="A3002" t="n">
        <v>2815</v>
      </c>
      <c r="B3002" t="inlineStr">
        <is>
          <t>Casa en Camí de Son Boronat</t>
        </is>
      </c>
      <c r="C3002" t="inlineStr">
        <is>
          <t>https://www.pisos.com/comprar/casa-calvia_vila07184-61754277987_109300/</t>
        </is>
      </c>
      <c r="E3002" t="n">
        <v>5</v>
      </c>
      <c r="J3002" t="inlineStr">
        <is>
          <t>Calvi&amp;#xE0;</t>
        </is>
      </c>
      <c r="K3002" t="n">
        <v>31.1</v>
      </c>
      <c r="L3002" t="n">
        <v>28</v>
      </c>
      <c r="M3002" t="n">
        <v>73.90000000000001</v>
      </c>
      <c r="N3002" t="n">
        <v>61</v>
      </c>
      <c r="O3002" t="n">
        <v>19.4</v>
      </c>
      <c r="P3002" t="n">
        <v>22</v>
      </c>
      <c r="Q3002" t="n">
        <v>71.59999999999999</v>
      </c>
      <c r="R3002" t="n">
        <v>58</v>
      </c>
      <c r="S3002" t="n">
        <v>2170000</v>
      </c>
      <c r="AH3002" t="inlineStr">
        <is>
          <t>Quelle: Pisos.com</t>
        </is>
      </c>
    </row>
    <row r="3003">
      <c r="A3003" t="n">
        <v>2816</v>
      </c>
      <c r="B3003" t="inlineStr">
        <is>
          <t>Piso en Carrer de Frida Kahlo</t>
        </is>
      </c>
      <c r="C3003" t="inlineStr">
        <is>
          <t>https://www.pisos.com/comprar/piso-placa_de_toros07004-61740201035_100500/</t>
        </is>
      </c>
      <c r="E3003" t="n">
        <v>3</v>
      </c>
      <c r="J3003" t="inlineStr">
        <is>
          <t>Palma de Mallorca</t>
        </is>
      </c>
      <c r="S3003" t="n">
        <v>359000</v>
      </c>
      <c r="AH3003" t="inlineStr">
        <is>
          <t>Quelle: Pisos.com</t>
        </is>
      </c>
    </row>
    <row r="3004">
      <c r="A3004" t="n">
        <v>2817</v>
      </c>
      <c r="B3004" t="inlineStr">
        <is>
          <t>Casa unifamiliar en Polígono 1</t>
        </is>
      </c>
      <c r="C3004" t="inlineStr">
        <is>
          <t>https://www.pisos.com/comprar/casa_unifamiliar-muro_centro_urbano-61731293886_501477/</t>
        </is>
      </c>
      <c r="E3004" t="n">
        <v>1</v>
      </c>
      <c r="J3004" t="inlineStr">
        <is>
          <t>Muro</t>
        </is>
      </c>
      <c r="S3004" t="n">
        <v>275000</v>
      </c>
      <c r="AH3004" t="inlineStr">
        <is>
          <t>Quelle: Pisos.com</t>
        </is>
      </c>
    </row>
    <row r="3005">
      <c r="A3005" t="n">
        <v>2818</v>
      </c>
      <c r="B3005" t="inlineStr">
        <is>
          <t>Finca rústica en Alayor</t>
        </is>
      </c>
      <c r="C3005" t="inlineStr">
        <is>
          <t>https://www.pisos.com/comprar/finca_rustica-alaior_centro_urbano-45922567538_105800/</t>
        </is>
      </c>
      <c r="E3005" t="n">
        <v>6</v>
      </c>
      <c r="J3005" t="inlineStr">
        <is>
          <t>Alaior</t>
        </is>
      </c>
      <c r="K3005" t="n">
        <v>222.9</v>
      </c>
      <c r="L3005" t="n">
        <v>397</v>
      </c>
      <c r="M3005" t="n">
        <v>265.6</v>
      </c>
      <c r="N3005" t="n">
        <v>430</v>
      </c>
      <c r="O3005" t="n">
        <v>236.8</v>
      </c>
      <c r="P3005" t="n">
        <v>402</v>
      </c>
      <c r="Q3005" t="n">
        <v>263.3</v>
      </c>
      <c r="R3005" t="n">
        <v>426</v>
      </c>
      <c r="S3005" t="n">
        <v>1480000</v>
      </c>
      <c r="AH3005" t="inlineStr">
        <is>
          <t>Quelle: Pisos.com</t>
        </is>
      </c>
    </row>
    <row r="3006">
      <c r="A3006" t="n">
        <v>2819</v>
      </c>
      <c r="B3006" t="inlineStr">
        <is>
          <t>Piso en Carrer de Menorca</t>
        </is>
      </c>
      <c r="C3006" t="inlineStr">
        <is>
          <t>https://www.pisos.com/comprar/piso-calvia_santa_ponca07180-61763541532_109300/</t>
        </is>
      </c>
      <c r="E3006" t="n">
        <v>1</v>
      </c>
      <c r="J3006" t="inlineStr">
        <is>
          <t>Calvi&amp;#xE0;</t>
        </is>
      </c>
      <c r="S3006" t="n">
        <v>335000</v>
      </c>
      <c r="AH3006" t="inlineStr">
        <is>
          <t>Quelle: Pisos.com</t>
        </is>
      </c>
    </row>
    <row r="3007">
      <c r="A3007" t="n">
        <v>2820</v>
      </c>
      <c r="B3007" t="inlineStr">
        <is>
          <t>Casa en Centro</t>
        </is>
      </c>
      <c r="C3007" t="inlineStr">
        <is>
          <t>https://www.pisos.com/comprar/casa-inca_centro_urbano-60918500894_100500/</t>
        </is>
      </c>
      <c r="E3007" t="n">
        <v>5</v>
      </c>
      <c r="J3007" t="inlineStr">
        <is>
          <t>Inca</t>
        </is>
      </c>
      <c r="K3007" t="n">
        <v>37.5</v>
      </c>
      <c r="L3007" t="n">
        <v>29</v>
      </c>
      <c r="M3007" t="n">
        <v>55.6</v>
      </c>
      <c r="N3007" t="n">
        <v>55</v>
      </c>
      <c r="O3007" t="n">
        <v>60.1</v>
      </c>
      <c r="P3007" t="n">
        <v>45</v>
      </c>
      <c r="Q3007" t="n">
        <v>53.3</v>
      </c>
      <c r="R3007" t="n">
        <v>51</v>
      </c>
      <c r="S3007" t="n">
        <v>1400000</v>
      </c>
      <c r="AH3007" t="inlineStr">
        <is>
          <t>Quelle: Pisos.com</t>
        </is>
      </c>
    </row>
    <row r="3008">
      <c r="A3008" t="n">
        <v>2821</v>
      </c>
      <c r="B3008" t="inlineStr">
        <is>
          <t>Casa en Punta Prima</t>
        </is>
      </c>
      <c r="C3008" t="inlineStr">
        <is>
          <t>https://www.pisos.com/comprar/casa-sant_lluis_centro_urbano-60870457719_105800/</t>
        </is>
      </c>
      <c r="E3008" t="n">
        <v>5</v>
      </c>
      <c r="J3008" t="inlineStr">
        <is>
          <t>Sant Llu&amp;#xED;s</t>
        </is>
      </c>
      <c r="K3008" t="n">
        <v>47.4</v>
      </c>
      <c r="L3008" t="n">
        <v>40</v>
      </c>
      <c r="M3008" t="n">
        <v>51.8</v>
      </c>
      <c r="N3008" t="n">
        <v>55</v>
      </c>
      <c r="O3008" t="n">
        <v>70</v>
      </c>
      <c r="P3008" t="n">
        <v>56</v>
      </c>
      <c r="Q3008" t="n">
        <v>49.5</v>
      </c>
      <c r="R3008" t="n">
        <v>51</v>
      </c>
      <c r="S3008" t="n">
        <v>3500000</v>
      </c>
      <c r="AH3008" t="inlineStr">
        <is>
          <t>Quelle: Pisos.com</t>
        </is>
      </c>
    </row>
    <row r="3009">
      <c r="A3009" t="n">
        <v>2822</v>
      </c>
      <c r="B3009" t="inlineStr">
        <is>
          <t>Casa en Carrer de Santa Bàrbara</t>
        </is>
      </c>
      <c r="C3009" t="inlineStr">
        <is>
          <t>https://www.pisos.com/comprar/casa-sa_torre-60876873237_109300/</t>
        </is>
      </c>
      <c r="E3009" t="n">
        <v>4</v>
      </c>
      <c r="J3009" t="inlineStr">
        <is>
          <t>Llucmajor</t>
        </is>
      </c>
      <c r="K3009" t="n">
        <v>22</v>
      </c>
      <c r="L3009" t="n">
        <v>21</v>
      </c>
      <c r="M3009" t="n">
        <v>28.2</v>
      </c>
      <c r="N3009" t="n">
        <v>33</v>
      </c>
      <c r="O3009" t="n">
        <v>60.2</v>
      </c>
      <c r="P3009" t="n">
        <v>48</v>
      </c>
      <c r="Q3009" t="n">
        <v>25.9</v>
      </c>
      <c r="R3009" t="n">
        <v>29</v>
      </c>
      <c r="S3009" t="n">
        <v>2690000</v>
      </c>
      <c r="AH3009" t="inlineStr">
        <is>
          <t>Quelle: Pisos.com</t>
        </is>
      </c>
    </row>
    <row r="3010">
      <c r="A3010" t="n">
        <v>2823</v>
      </c>
      <c r="B3010" t="inlineStr">
        <is>
          <t>Chalet en Coves Noves</t>
        </is>
      </c>
      <c r="C3010" t="inlineStr">
        <is>
          <t>https://www.pisos.com/comprar/chalet-es_mercadal-97531902885_105800/</t>
        </is>
      </c>
      <c r="E3010" t="n">
        <v>3</v>
      </c>
      <c r="J3010" t="inlineStr">
        <is>
          <t>Es Mercadal</t>
        </is>
      </c>
      <c r="S3010" t="n">
        <v>700000</v>
      </c>
      <c r="AH3010" t="inlineStr">
        <is>
          <t>Quelle: Pisos.com</t>
        </is>
      </c>
    </row>
    <row r="3011">
      <c r="A3011" t="n">
        <v>2824</v>
      </c>
      <c r="B3011" t="inlineStr">
        <is>
          <t>Apartamento en Carrer de Bartomeu Quetglas</t>
        </is>
      </c>
      <c r="C3011" t="inlineStr">
        <is>
          <t>https://www.pisos.com/comprar/apartamento-cala_major-60872055528_100500/</t>
        </is>
      </c>
      <c r="E3011" t="n">
        <v>2</v>
      </c>
      <c r="J3011" t="inlineStr">
        <is>
          <t>Palma de Mallorca</t>
        </is>
      </c>
      <c r="S3011" t="n">
        <v>449000</v>
      </c>
      <c r="AH3011" t="inlineStr">
        <is>
          <t>Quelle: Pisos.com</t>
        </is>
      </c>
    </row>
    <row r="3012">
      <c r="A3012" t="n">
        <v>2825</v>
      </c>
      <c r="B3012" t="inlineStr">
        <is>
          <t>Casa en calle Polígono 9</t>
        </is>
      </c>
      <c r="C3012" t="inlineStr">
        <is>
          <t>https://www.pisos.com/comprar/casa-selva_centro_urbano-60914304899_100500/</t>
        </is>
      </c>
      <c r="J3012" t="inlineStr">
        <is>
          <t>Selva</t>
        </is>
      </c>
      <c r="S3012" t="n">
        <v>129900</v>
      </c>
      <c r="AH3012" t="inlineStr">
        <is>
          <t>Quelle: Pisos.com</t>
        </is>
      </c>
    </row>
    <row r="3013">
      <c r="A3013" t="n">
        <v>2826</v>
      </c>
      <c r="B3013" t="inlineStr">
        <is>
          <t>Finca rústica en Costitx</t>
        </is>
      </c>
      <c r="C3013" t="inlineStr">
        <is>
          <t>https://www.pisos.com/comprar/finca_rustica-costitx_centro_urbano-60098203594_100500/</t>
        </is>
      </c>
      <c r="E3013" t="n">
        <v>2</v>
      </c>
      <c r="J3013" t="inlineStr">
        <is>
          <t>Costitx</t>
        </is>
      </c>
      <c r="S3013" t="n">
        <v>319900</v>
      </c>
      <c r="AH3013" t="inlineStr">
        <is>
          <t>Quelle: Pisos.com</t>
        </is>
      </c>
    </row>
    <row r="3014">
      <c r="A3014" t="n">
        <v>2827</v>
      </c>
      <c r="B3014" t="inlineStr">
        <is>
          <t>Apartamento en Playa Den Bossa</t>
        </is>
      </c>
      <c r="C3014" t="inlineStr">
        <is>
          <t>https://www.pisos.com/comprar/apartamento-ses_figueretes_platja_en_bossa_cas_serres-59232044008_108900/</t>
        </is>
      </c>
      <c r="E3014" t="n">
        <v>3</v>
      </c>
      <c r="J3014" t="inlineStr">
        <is>
          <t>Ibiza Eivissa</t>
        </is>
      </c>
      <c r="S3014" t="n">
        <v>795000</v>
      </c>
      <c r="AH3014" t="inlineStr">
        <is>
          <t>Quelle: Pisos.com</t>
        </is>
      </c>
    </row>
    <row r="3015">
      <c r="A3015" t="n">
        <v>2828</v>
      </c>
      <c r="B3015" t="inlineStr">
        <is>
          <t>Chalet pareado en Carrer del Puig de Sa Comuna</t>
        </is>
      </c>
      <c r="C3015" t="inlineStr">
        <is>
          <t>https://www.pisos.com/comprar/chalet_pareado-alaro_centro_urbano-59200111738_501477/</t>
        </is>
      </c>
      <c r="E3015" t="n">
        <v>3</v>
      </c>
      <c r="J3015" t="inlineStr">
        <is>
          <t>Alar&amp;#xF3;</t>
        </is>
      </c>
      <c r="S3015" t="n">
        <v>980000</v>
      </c>
      <c r="AH3015" t="inlineStr">
        <is>
          <t>Quelle: Pisos.com</t>
        </is>
      </c>
    </row>
    <row r="3016">
      <c r="A3016" t="n">
        <v>2829</v>
      </c>
      <c r="B3016" t="inlineStr">
        <is>
          <t>Casa en Carrer Bienvenida</t>
        </is>
      </c>
      <c r="C3016" t="inlineStr">
        <is>
          <t>https://www.pisos.com/comprar/casa-cap_martinet-59230078167_998361/</t>
        </is>
      </c>
      <c r="E3016" t="n">
        <v>7</v>
      </c>
      <c r="J3016" t="inlineStr">
        <is>
          <t>Santa Eul&amp;#xE0;ria des Riu</t>
        </is>
      </c>
      <c r="K3016" t="n">
        <v>47.4</v>
      </c>
      <c r="L3016" t="n">
        <v>40</v>
      </c>
      <c r="M3016" t="n">
        <v>51.8</v>
      </c>
      <c r="N3016" t="n">
        <v>55</v>
      </c>
      <c r="O3016" t="n">
        <v>70</v>
      </c>
      <c r="P3016" t="n">
        <v>56</v>
      </c>
      <c r="Q3016" t="n">
        <v>49.5</v>
      </c>
      <c r="R3016" t="n">
        <v>51</v>
      </c>
      <c r="S3016" t="n">
        <v>4500000</v>
      </c>
      <c r="AH3016" t="inlineStr">
        <is>
          <t>Quelle: Pisos.com</t>
        </is>
      </c>
    </row>
    <row r="3017">
      <c r="A3017" t="n">
        <v>2830</v>
      </c>
      <c r="B3017" t="inlineStr">
        <is>
          <t>Chalet en San Miguel</t>
        </is>
      </c>
      <c r="C3017" t="inlineStr">
        <is>
          <t>https://www.pisos.com/comprar/chalet-sant_llorenc_de_balafia-59189036494_108900/</t>
        </is>
      </c>
      <c r="E3017" t="n">
        <v>4</v>
      </c>
      <c r="J3017" t="inlineStr">
        <is>
          <t>Sant Joan de Labritja</t>
        </is>
      </c>
      <c r="K3017" t="n">
        <v>47.4</v>
      </c>
      <c r="L3017" t="n">
        <v>40</v>
      </c>
      <c r="M3017" t="n">
        <v>51.8</v>
      </c>
      <c r="N3017" t="n">
        <v>55</v>
      </c>
      <c r="O3017" t="n">
        <v>70</v>
      </c>
      <c r="P3017" t="n">
        <v>56</v>
      </c>
      <c r="Q3017" t="n">
        <v>49.5</v>
      </c>
      <c r="R3017" t="n">
        <v>51</v>
      </c>
      <c r="S3017" t="n">
        <v>4000000</v>
      </c>
      <c r="AH3017" t="inlineStr">
        <is>
          <t>Quelle: Pisos.com</t>
        </is>
      </c>
    </row>
    <row r="3018">
      <c r="A3018" t="n">
        <v>2831</v>
      </c>
      <c r="B3018" t="inlineStr">
        <is>
          <t>Casa en Carrer del Pou de Na Mora</t>
        </is>
      </c>
      <c r="C3018" t="inlineStr">
        <is>
          <t>https://www.pisos.com/comprar/casa-calvia_vila07196-59260380376_109300/</t>
        </is>
      </c>
      <c r="E3018" t="n">
        <v>3</v>
      </c>
      <c r="J3018" t="inlineStr">
        <is>
          <t>Calvi&amp;#xE0;</t>
        </is>
      </c>
      <c r="K3018" t="n">
        <v>31.1</v>
      </c>
      <c r="L3018" t="n">
        <v>28</v>
      </c>
      <c r="M3018" t="n">
        <v>73.90000000000001</v>
      </c>
      <c r="N3018" t="n">
        <v>61</v>
      </c>
      <c r="O3018" t="n">
        <v>19.4</v>
      </c>
      <c r="P3018" t="n">
        <v>22</v>
      </c>
      <c r="Q3018" t="n">
        <v>71.59999999999999</v>
      </c>
      <c r="R3018" t="n">
        <v>58</v>
      </c>
      <c r="S3018" t="n">
        <v>1250000</v>
      </c>
      <c r="AH3018" t="inlineStr">
        <is>
          <t>Quelle: Pisos.com</t>
        </is>
      </c>
    </row>
    <row r="3019">
      <c r="A3019" t="n">
        <v>2832</v>
      </c>
      <c r="B3019" t="inlineStr">
        <is>
          <t>Casa en Carrer de Lluís Carreres</t>
        </is>
      </c>
      <c r="C3019" t="inlineStr">
        <is>
          <t>https://www.pisos.com/comprar/casa-muro_centro_urbano-58401899991_109300/</t>
        </is>
      </c>
      <c r="E3019" t="n">
        <v>4</v>
      </c>
      <c r="J3019" t="inlineStr">
        <is>
          <t>Muro</t>
        </is>
      </c>
      <c r="K3019" t="n">
        <v>58.2</v>
      </c>
      <c r="L3019" t="n">
        <v>46</v>
      </c>
      <c r="M3019" t="n">
        <v>60.2</v>
      </c>
      <c r="N3019" t="n">
        <v>64</v>
      </c>
      <c r="O3019" t="n">
        <v>80.8</v>
      </c>
      <c r="P3019" t="n">
        <v>62</v>
      </c>
      <c r="Q3019" t="n">
        <v>57.9</v>
      </c>
      <c r="R3019" t="n">
        <v>61</v>
      </c>
      <c r="S3019" t="n">
        <v>1100000</v>
      </c>
      <c r="AH3019" t="inlineStr">
        <is>
          <t>Quelle: Pisos.com</t>
        </is>
      </c>
    </row>
    <row r="3020">
      <c r="A3020" t="n">
        <v>2833</v>
      </c>
      <c r="B3020" t="inlineStr">
        <is>
          <t>Piso en Avinguda Gabriel Roca</t>
        </is>
      </c>
      <c r="C3020" t="inlineStr">
        <is>
          <t>https://www.pisos.com/comprar/piso-el_terreno07014-58403161844_106000/</t>
        </is>
      </c>
      <c r="E3020" t="n">
        <v>2</v>
      </c>
      <c r="J3020" t="inlineStr">
        <is>
          <t>Palma de Mallorca</t>
        </is>
      </c>
      <c r="S3020" t="n">
        <v>930000</v>
      </c>
      <c r="AH3020" t="inlineStr">
        <is>
          <t>Quelle: Pisos.com</t>
        </is>
      </c>
    </row>
    <row r="3021">
      <c r="A3021" t="n">
        <v>2834</v>
      </c>
      <c r="B3021" t="inlineStr">
        <is>
          <t>Chalet en Santa Ana</t>
        </is>
      </c>
      <c r="C3021" t="inlineStr">
        <is>
          <t>https://www.pisos.com/comprar/chalet-es_castell-58350058287_105800/</t>
        </is>
      </c>
      <c r="E3021" t="n">
        <v>6</v>
      </c>
      <c r="J3021" t="inlineStr">
        <is>
          <t>Es Castell</t>
        </is>
      </c>
      <c r="K3021" t="n">
        <v>34.5</v>
      </c>
      <c r="L3021" t="n">
        <v>33</v>
      </c>
      <c r="M3021" t="n">
        <v>77.2</v>
      </c>
      <c r="N3021" t="n">
        <v>66</v>
      </c>
      <c r="O3021" t="n">
        <v>57.1</v>
      </c>
      <c r="P3021" t="n">
        <v>49</v>
      </c>
      <c r="Q3021" t="n">
        <v>74.90000000000001</v>
      </c>
      <c r="R3021" t="n">
        <v>62</v>
      </c>
      <c r="S3021" t="n">
        <v>1295000</v>
      </c>
      <c r="AH3021" t="inlineStr">
        <is>
          <t>Quelle: Pisos.com</t>
        </is>
      </c>
    </row>
    <row r="3022">
      <c r="A3022" t="n">
        <v>2835</v>
      </c>
      <c r="B3022" t="inlineStr">
        <is>
          <t>Piso en Carrer del Celler</t>
        </is>
      </c>
      <c r="C3022" t="inlineStr">
        <is>
          <t>https://www.pisos.com/comprar/piso-son_ramonell_figueral_can_farineta-58380257664_993076/</t>
        </is>
      </c>
      <c r="E3022" t="n">
        <v>3</v>
      </c>
      <c r="J3022" t="inlineStr">
        <is>
          <t>Marratx&amp;#xED;</t>
        </is>
      </c>
      <c r="S3022" t="n">
        <v>683000</v>
      </c>
      <c r="AH3022" t="inlineStr">
        <is>
          <t>Quelle: Pisos.com</t>
        </is>
      </c>
    </row>
    <row r="3023">
      <c r="A3023" t="n">
        <v>2836</v>
      </c>
      <c r="B3023" t="inlineStr">
        <is>
          <t>Piso en Carrer de l'Abat de Sant Feliu, 2</t>
        </is>
      </c>
      <c r="C3023" t="inlineStr">
        <is>
          <t>https://www.pisos.com/comprar/piso-pere_garau07005-5897350566_109700/</t>
        </is>
      </c>
      <c r="E3023" t="n">
        <v>2</v>
      </c>
      <c r="J3023" t="inlineStr">
        <is>
          <t>Palma de Mallorca</t>
        </is>
      </c>
      <c r="S3023" t="n">
        <v>384900</v>
      </c>
      <c r="AH3023" t="inlineStr">
        <is>
          <t>Quelle: Pisos.com</t>
        </is>
      </c>
    </row>
    <row r="3024">
      <c r="A3024" t="n">
        <v>2837</v>
      </c>
      <c r="B3024" t="inlineStr">
        <is>
          <t>Casa en Llumesanes</t>
        </is>
      </c>
      <c r="C3024" t="inlineStr">
        <is>
          <t>https://www.pisos.com/comprar/casa-sant_climent_llucmacanes_es_canutells_binidali0771-5920760475_105800/</t>
        </is>
      </c>
      <c r="E3024" t="n">
        <v>4</v>
      </c>
      <c r="J3024" t="inlineStr">
        <is>
          <t>Ma&amp;#xF3; Mah&amp;#xF3;n</t>
        </is>
      </c>
      <c r="K3024" t="n">
        <v>47.4</v>
      </c>
      <c r="L3024" t="n">
        <v>40</v>
      </c>
      <c r="M3024" t="n">
        <v>51.8</v>
      </c>
      <c r="N3024" t="n">
        <v>55</v>
      </c>
      <c r="O3024" t="n">
        <v>70</v>
      </c>
      <c r="P3024" t="n">
        <v>56</v>
      </c>
      <c r="Q3024" t="n">
        <v>49.5</v>
      </c>
      <c r="R3024" t="n">
        <v>51</v>
      </c>
      <c r="S3024" t="n">
        <v>1290000</v>
      </c>
      <c r="AH3024" t="inlineStr">
        <is>
          <t>Quelle: Pisos.com</t>
        </is>
      </c>
    </row>
    <row r="3025">
      <c r="A3025" t="n">
        <v>2838</v>
      </c>
      <c r="B3025" t="inlineStr">
        <is>
          <t>Piso en Carrer de Rossiñol</t>
        </is>
      </c>
      <c r="C3025" t="inlineStr">
        <is>
          <t>https://www.pisos.com/comprar/piso-ponent_santa_catalina07013-58351248188_993076/</t>
        </is>
      </c>
      <c r="E3025" t="n">
        <v>3</v>
      </c>
      <c r="J3025" t="inlineStr">
        <is>
          <t>Palma de Mallorca</t>
        </is>
      </c>
      <c r="S3025" t="n">
        <v>349000</v>
      </c>
      <c r="AH3025" t="inlineStr">
        <is>
          <t>Quelle: Pisos.com</t>
        </is>
      </c>
    </row>
    <row r="3026">
      <c r="A3026" t="n">
        <v>2839</v>
      </c>
      <c r="B3026" t="inlineStr">
        <is>
          <t>Chalet en Sant Josep de sa Talaia</t>
        </is>
      </c>
      <c r="C3026" t="inlineStr">
        <is>
          <t>https://www.pisos.com/comprar/chalet-sant_josep_de_sa_talaia_centro_urbano-57569690577_108500/</t>
        </is>
      </c>
      <c r="E3026" t="n">
        <v>4</v>
      </c>
      <c r="J3026" t="inlineStr">
        <is>
          <t>Sant Josep de sa Talaia</t>
        </is>
      </c>
      <c r="K3026" t="n">
        <v>47.4</v>
      </c>
      <c r="L3026" t="n">
        <v>40</v>
      </c>
      <c r="M3026" t="n">
        <v>51.8</v>
      </c>
      <c r="N3026" t="n">
        <v>55</v>
      </c>
      <c r="O3026" t="n">
        <v>70</v>
      </c>
      <c r="P3026" t="n">
        <v>56</v>
      </c>
      <c r="Q3026" t="n">
        <v>49.5</v>
      </c>
      <c r="R3026" t="n">
        <v>51</v>
      </c>
      <c r="S3026" t="n">
        <v>3795000</v>
      </c>
      <c r="AH3026" t="inlineStr">
        <is>
          <t>Quelle: Pisos.com</t>
        </is>
      </c>
    </row>
    <row r="3027">
      <c r="A3027" t="n">
        <v>2840</v>
      </c>
      <c r="B3027" t="inlineStr">
        <is>
          <t>Ático en calle Joan Daurer ,  6</t>
        </is>
      </c>
      <c r="C3027" t="inlineStr">
        <is>
          <t>https://www.pisos.com/comprar/atico-el_coll_en_rabassa07007-5847334620_109700/</t>
        </is>
      </c>
      <c r="E3027" t="n">
        <v>2</v>
      </c>
      <c r="J3027" t="inlineStr">
        <is>
          <t>Palma de Mallorca</t>
        </is>
      </c>
      <c r="S3027" t="n">
        <v>522000</v>
      </c>
      <c r="AH3027" t="inlineStr">
        <is>
          <t>Quelle: Pisos.com</t>
        </is>
      </c>
    </row>
    <row r="3028">
      <c r="A3028" t="n">
        <v>2841</v>
      </c>
      <c r="B3028" t="inlineStr">
        <is>
          <t>Chalet en Binisafua Roters</t>
        </is>
      </c>
      <c r="C3028" t="inlineStr">
        <is>
          <t>https://www.pisos.com/comprar/chalet-sant_lluis_centro_urbano-57507554612_105800/</t>
        </is>
      </c>
      <c r="E3028" t="n">
        <v>5</v>
      </c>
      <c r="J3028" t="inlineStr">
        <is>
          <t>Sant Llu&amp;#xED;s</t>
        </is>
      </c>
      <c r="K3028" t="n">
        <v>47.4</v>
      </c>
      <c r="L3028" t="n">
        <v>40</v>
      </c>
      <c r="M3028" t="n">
        <v>51.8</v>
      </c>
      <c r="N3028" t="n">
        <v>55</v>
      </c>
      <c r="O3028" t="n">
        <v>70</v>
      </c>
      <c r="P3028" t="n">
        <v>56</v>
      </c>
      <c r="Q3028" t="n">
        <v>49.5</v>
      </c>
      <c r="R3028" t="n">
        <v>51</v>
      </c>
      <c r="S3028" t="n">
        <v>1990000</v>
      </c>
      <c r="AH3028" t="inlineStr">
        <is>
          <t>Quelle: Pisos.com</t>
        </is>
      </c>
    </row>
    <row r="3029">
      <c r="A3029" t="n">
        <v>2842</v>
      </c>
      <c r="B3029" t="inlineStr">
        <is>
          <t>Chalet en Cala de Bou</t>
        </is>
      </c>
      <c r="C3029" t="inlineStr">
        <is>
          <t>https://www.pisos.com/comprar/chalet-sant_josep_de_sa_talaia_centro_urbano-57522528647_108900/</t>
        </is>
      </c>
      <c r="E3029" t="n">
        <v>4</v>
      </c>
      <c r="J3029" t="inlineStr">
        <is>
          <t>Sant Josep de sa Talaia</t>
        </is>
      </c>
      <c r="K3029" t="n">
        <v>47.4</v>
      </c>
      <c r="L3029" t="n">
        <v>40</v>
      </c>
      <c r="M3029" t="n">
        <v>51.8</v>
      </c>
      <c r="N3029" t="n">
        <v>55</v>
      </c>
      <c r="O3029" t="n">
        <v>70</v>
      </c>
      <c r="P3029" t="n">
        <v>56</v>
      </c>
      <c r="Q3029" t="n">
        <v>49.5</v>
      </c>
      <c r="R3029" t="n">
        <v>51</v>
      </c>
      <c r="S3029" t="n">
        <v>1170000</v>
      </c>
      <c r="AH3029" t="inlineStr">
        <is>
          <t>Quelle: Pisos.com</t>
        </is>
      </c>
    </row>
    <row r="3030">
      <c r="A3030" t="n">
        <v>2843</v>
      </c>
      <c r="B3030" t="inlineStr">
        <is>
          <t>Apartamento en Dalt Vila</t>
        </is>
      </c>
      <c r="C3030" t="inlineStr">
        <is>
          <t>https://www.pisos.com/comprar/apartamento-dalt_vila_la_marina-57526257681_108900/</t>
        </is>
      </c>
      <c r="E3030" t="n">
        <v>2</v>
      </c>
      <c r="J3030" t="inlineStr">
        <is>
          <t>Ibiza Eivissa</t>
        </is>
      </c>
      <c r="S3030" t="n">
        <v>480000</v>
      </c>
      <c r="AH3030" t="inlineStr">
        <is>
          <t>Quelle: Pisos.com</t>
        </is>
      </c>
    </row>
    <row r="3031">
      <c r="A3031" t="n">
        <v>2844</v>
      </c>
      <c r="B3031" t="inlineStr">
        <is>
          <t>Piso en Carrer de Bulnes,  s/n</t>
        </is>
      </c>
      <c r="C3031" t="inlineStr">
        <is>
          <t>https://www.pisos.com/comprar/piso-llevant_el_vivero07008-5758010558_109700/</t>
        </is>
      </c>
      <c r="E3031" t="n">
        <v>1</v>
      </c>
      <c r="J3031" t="inlineStr">
        <is>
          <t>Palma de Mallorca</t>
        </is>
      </c>
      <c r="S3031" t="n">
        <v>385000</v>
      </c>
      <c r="AH3031" t="inlineStr">
        <is>
          <t>Quelle: Pisos.com</t>
        </is>
      </c>
    </row>
    <row r="3032">
      <c r="A3032" t="n">
        <v>2845</v>
      </c>
      <c r="B3032" t="inlineStr">
        <is>
          <t>Piso en Carrer de Bulnes,  s/n</t>
        </is>
      </c>
      <c r="C3032" t="inlineStr">
        <is>
          <t>https://www.pisos.com/comprar/piso-llevant_el_vivero07008-5797197795_109700/</t>
        </is>
      </c>
      <c r="E3032" t="n">
        <v>2</v>
      </c>
      <c r="J3032" t="inlineStr">
        <is>
          <t>Palma de Mallorca</t>
        </is>
      </c>
      <c r="S3032" t="n">
        <v>485000</v>
      </c>
      <c r="AH3032" t="inlineStr">
        <is>
          <t>Quelle: Pisos.com</t>
        </is>
      </c>
    </row>
    <row r="3033">
      <c r="A3033" t="n">
        <v>2846</v>
      </c>
      <c r="B3033" t="inlineStr">
        <is>
          <t>Piso en Carrer de Bulnes,  s/n</t>
        </is>
      </c>
      <c r="C3033" t="inlineStr">
        <is>
          <t>https://www.pisos.com/comprar/piso-llevant_el_vivero07008-5762511091_109700/</t>
        </is>
      </c>
      <c r="E3033" t="n">
        <v>2</v>
      </c>
      <c r="J3033" t="inlineStr">
        <is>
          <t>Palma de Mallorca</t>
        </is>
      </c>
      <c r="S3033" t="n">
        <v>435000</v>
      </c>
      <c r="AH3033" t="inlineStr">
        <is>
          <t>Quelle: Pisos.com</t>
        </is>
      </c>
    </row>
    <row r="3034">
      <c r="A3034" t="n">
        <v>2847</v>
      </c>
      <c r="B3034" t="inlineStr">
        <is>
          <t>Chalet en Sant Josep de sa Talaia</t>
        </is>
      </c>
      <c r="C3034" t="inlineStr">
        <is>
          <t>https://www.pisos.com/comprar/chalet-sant_josep_de_sa_talaia_centro_urbano-57584995550_108500/</t>
        </is>
      </c>
      <c r="E3034" t="n">
        <v>4</v>
      </c>
      <c r="J3034" t="inlineStr">
        <is>
          <t>Sant Josep de sa Talaia</t>
        </is>
      </c>
      <c r="K3034" t="n">
        <v>47.4</v>
      </c>
      <c r="L3034" t="n">
        <v>40</v>
      </c>
      <c r="M3034" t="n">
        <v>51.8</v>
      </c>
      <c r="N3034" t="n">
        <v>55</v>
      </c>
      <c r="O3034" t="n">
        <v>70</v>
      </c>
      <c r="P3034" t="n">
        <v>56</v>
      </c>
      <c r="Q3034" t="n">
        <v>49.5</v>
      </c>
      <c r="R3034" t="n">
        <v>51</v>
      </c>
      <c r="S3034" t="n">
        <v>2990000</v>
      </c>
      <c r="AH3034" t="inlineStr">
        <is>
          <t>Quelle: Pisos.com</t>
        </is>
      </c>
    </row>
    <row r="3035">
      <c r="A3035" t="n">
        <v>2848</v>
      </c>
      <c r="B3035" t="inlineStr">
        <is>
          <t>Piso en Avinguda de Manacor</t>
        </is>
      </c>
      <c r="C3035" t="inlineStr">
        <is>
          <t>https://www.pisos.com/comprar/piso-campos_centro_urbano-57514579337_100500/</t>
        </is>
      </c>
      <c r="E3035" t="n">
        <v>3</v>
      </c>
      <c r="J3035" t="inlineStr">
        <is>
          <t>Campos</t>
        </is>
      </c>
      <c r="S3035" t="n">
        <v>360000</v>
      </c>
      <c r="AH3035" t="inlineStr">
        <is>
          <t>Quelle: Pisos.com</t>
        </is>
      </c>
    </row>
    <row r="3036">
      <c r="A3036" t="n">
        <v>2849</v>
      </c>
      <c r="B3036" t="inlineStr">
        <is>
          <t>Finca rústica en Trebaluger</t>
        </is>
      </c>
      <c r="C3036" t="inlineStr">
        <is>
          <t>https://www.pisos.com/comprar/finca_rustica-es_castell-57520915400_105800/</t>
        </is>
      </c>
      <c r="E3036" t="n">
        <v>4</v>
      </c>
      <c r="J3036" t="inlineStr">
        <is>
          <t>Es Castell</t>
        </is>
      </c>
      <c r="K3036" t="n">
        <v>34.5</v>
      </c>
      <c r="L3036" t="n">
        <v>33</v>
      </c>
      <c r="M3036" t="n">
        <v>77.2</v>
      </c>
      <c r="N3036" t="n">
        <v>66</v>
      </c>
      <c r="O3036" t="n">
        <v>57.1</v>
      </c>
      <c r="P3036" t="n">
        <v>49</v>
      </c>
      <c r="Q3036" t="n">
        <v>74.90000000000001</v>
      </c>
      <c r="R3036" t="n">
        <v>62</v>
      </c>
      <c r="S3036" t="n">
        <v>1200000</v>
      </c>
      <c r="AH3036" t="inlineStr">
        <is>
          <t>Quelle: Pisos.com</t>
        </is>
      </c>
    </row>
    <row r="3037">
      <c r="A3037" t="n">
        <v>2850</v>
      </c>
      <c r="B3037" t="inlineStr">
        <is>
          <t>Chalet rústico en Santa Eugènia</t>
        </is>
      </c>
      <c r="C3037" t="inlineStr">
        <is>
          <t>https://www.pisos.com/comprar/chalet_rustico-santa_eugenia_centro_urbano-56733101338_993076/</t>
        </is>
      </c>
      <c r="J3037" t="inlineStr">
        <is>
          <t>Santa Eug&amp;#xE8;nia</t>
        </is>
      </c>
      <c r="S3037" t="n">
        <v>649000</v>
      </c>
      <c r="AH3037" t="inlineStr">
        <is>
          <t>Quelle: Pisos.com</t>
        </is>
      </c>
    </row>
    <row r="3038">
      <c r="A3038" t="n">
        <v>2851</v>
      </c>
      <c r="B3038" t="inlineStr">
        <is>
          <t>Finca rústica en Carrer Campos</t>
        </is>
      </c>
      <c r="C3038" t="inlineStr">
        <is>
          <t>https://www.pisos.com/comprar/finca_rustica-llucmajor_interior07620-56671795574_108500/</t>
        </is>
      </c>
      <c r="E3038" t="n">
        <v>4</v>
      </c>
      <c r="J3038" t="inlineStr">
        <is>
          <t>Llucmajor</t>
        </is>
      </c>
      <c r="K3038" t="n">
        <v>22</v>
      </c>
      <c r="L3038" t="n">
        <v>21</v>
      </c>
      <c r="M3038" t="n">
        <v>28.2</v>
      </c>
      <c r="N3038" t="n">
        <v>33</v>
      </c>
      <c r="O3038" t="n">
        <v>60.2</v>
      </c>
      <c r="P3038" t="n">
        <v>48</v>
      </c>
      <c r="Q3038" t="n">
        <v>25.9</v>
      </c>
      <c r="R3038" t="n">
        <v>29</v>
      </c>
      <c r="S3038" t="n">
        <v>1250000</v>
      </c>
      <c r="AH3038" t="inlineStr">
        <is>
          <t>Quelle: Pisos.com</t>
        </is>
      </c>
    </row>
    <row r="3039">
      <c r="A3039" t="n">
        <v>2852</v>
      </c>
      <c r="B3039" t="inlineStr">
        <is>
          <t>Ático en Jesus</t>
        </is>
      </c>
      <c r="C3039" t="inlineStr">
        <is>
          <t>https://www.pisos.com/comprar/atico-santa_eularia_des_riu_centro_urbano-56673850393_108900/</t>
        </is>
      </c>
      <c r="E3039" t="n">
        <v>4</v>
      </c>
      <c r="J3039" t="inlineStr">
        <is>
          <t>Santa Eul&amp;#xE0;ria des Riu</t>
        </is>
      </c>
      <c r="S3039" t="n">
        <v>870000</v>
      </c>
      <c r="AH3039" t="inlineStr">
        <is>
          <t>Quelle: Pisos.com</t>
        </is>
      </c>
    </row>
    <row r="3040">
      <c r="A3040" t="n">
        <v>2853</v>
      </c>
      <c r="B3040" t="inlineStr">
        <is>
          <t>Apartamento en Dalt Vila</t>
        </is>
      </c>
      <c r="C3040" t="inlineStr">
        <is>
          <t>https://www.pisos.com/comprar/apartamento-dalt_vila_la_marina-56718726593_108900/</t>
        </is>
      </c>
      <c r="E3040" t="n">
        <v>1</v>
      </c>
      <c r="J3040" t="inlineStr">
        <is>
          <t>Ibiza Eivissa</t>
        </is>
      </c>
      <c r="S3040" t="n">
        <v>265000</v>
      </c>
      <c r="AH3040" t="inlineStr">
        <is>
          <t>Quelle: Pisos.com</t>
        </is>
      </c>
    </row>
    <row r="3041">
      <c r="A3041" t="n">
        <v>2854</v>
      </c>
      <c r="B3041" t="inlineStr">
        <is>
          <t>Casa en Carrer del Pont</t>
        </is>
      </c>
      <c r="C3041" t="inlineStr">
        <is>
          <t>https://www.pisos.com/comprar/casa-pont_inca-56747070271_100500/</t>
        </is>
      </c>
      <c r="E3041" t="n">
        <v>3</v>
      </c>
      <c r="J3041" t="inlineStr">
        <is>
          <t>Marratx&amp;#xED;</t>
        </is>
      </c>
      <c r="S3041" t="n">
        <v>488000</v>
      </c>
      <c r="AH3041" t="inlineStr">
        <is>
          <t>Quelle: Pisos.com</t>
        </is>
      </c>
    </row>
    <row r="3042">
      <c r="A3042" t="n">
        <v>2855</v>
      </c>
      <c r="B3042" t="inlineStr">
        <is>
          <t>Finca rústica en Mercadal</t>
        </is>
      </c>
      <c r="C3042" t="inlineStr">
        <is>
          <t>https://www.pisos.com/comprar/finca_rustica-es_mercadal-6715060297_105800/</t>
        </is>
      </c>
      <c r="E3042" t="n">
        <v>3</v>
      </c>
      <c r="J3042" t="inlineStr">
        <is>
          <t>Es Mercadal</t>
        </is>
      </c>
      <c r="S3042" t="n">
        <v>750000</v>
      </c>
      <c r="AH3042" t="inlineStr">
        <is>
          <t>Quelle: Pisos.com</t>
        </is>
      </c>
    </row>
    <row r="3043">
      <c r="A3043" t="n">
        <v>2856</v>
      </c>
      <c r="B3043" t="inlineStr">
        <is>
          <t>Piso en Camí de Sant Carles</t>
        </is>
      </c>
      <c r="C3043" t="inlineStr">
        <is>
          <t>https://www.pisos.com/comprar/piso-port_andratx-55835277995_106000/</t>
        </is>
      </c>
      <c r="E3043" t="n">
        <v>3</v>
      </c>
      <c r="J3043" t="inlineStr">
        <is>
          <t>Andratx</t>
        </is>
      </c>
      <c r="K3043" t="n">
        <v>40.3</v>
      </c>
      <c r="L3043" t="n">
        <v>36</v>
      </c>
      <c r="M3043" t="n">
        <v>83</v>
      </c>
      <c r="N3043" t="n">
        <v>68</v>
      </c>
      <c r="O3043" t="n">
        <v>2.7</v>
      </c>
      <c r="P3043" t="n">
        <v>7</v>
      </c>
      <c r="Q3043" t="n">
        <v>80.7</v>
      </c>
      <c r="R3043" t="n">
        <v>65</v>
      </c>
      <c r="S3043" t="n">
        <v>1460000</v>
      </c>
      <c r="AH3043" t="inlineStr">
        <is>
          <t>Quelle: Pisos.com</t>
        </is>
      </c>
    </row>
    <row r="3044">
      <c r="A3044" t="n">
        <v>2857</v>
      </c>
      <c r="B3044" t="inlineStr">
        <is>
          <t>Casa en Camí de la Vela</t>
        </is>
      </c>
      <c r="C3044" t="inlineStr">
        <is>
          <t>https://www.pisos.com/comprar/casa-establiments07010-55904534807_106000/</t>
        </is>
      </c>
      <c r="E3044" t="n">
        <v>7</v>
      </c>
      <c r="J3044" t="inlineStr">
        <is>
          <t>Palma de Mallorca</t>
        </is>
      </c>
      <c r="K3044" t="n">
        <v>9.699999999999999</v>
      </c>
      <c r="L3044" t="n">
        <v>14</v>
      </c>
      <c r="M3044" t="n">
        <v>52.5</v>
      </c>
      <c r="N3044" t="n">
        <v>47</v>
      </c>
      <c r="O3044" t="n">
        <v>32.1</v>
      </c>
      <c r="P3044" t="n">
        <v>36</v>
      </c>
      <c r="Q3044" t="n">
        <v>50.2</v>
      </c>
      <c r="R3044" t="n">
        <v>44</v>
      </c>
      <c r="S3044" t="n">
        <v>1300000</v>
      </c>
      <c r="AH3044" t="inlineStr">
        <is>
          <t>Quelle: Pisos.com</t>
        </is>
      </c>
    </row>
    <row r="3045">
      <c r="A3045" t="n">
        <v>2858</v>
      </c>
      <c r="B3045" t="inlineStr">
        <is>
          <t>Apartamento en Ibiza</t>
        </is>
      </c>
      <c r="C3045" t="inlineStr">
        <is>
          <t>https://www.pisos.com/comprar/apartamento-marina_botafoch_platja_de_talamanca-55864675651_108900/</t>
        </is>
      </c>
      <c r="E3045" t="n">
        <v>3</v>
      </c>
      <c r="J3045" t="inlineStr">
        <is>
          <t>Ibiza Eivissa</t>
        </is>
      </c>
      <c r="S3045" t="n">
        <v>760000</v>
      </c>
      <c r="AH3045" t="inlineStr">
        <is>
          <t>Quelle: Pisos.com</t>
        </is>
      </c>
    </row>
    <row r="3046">
      <c r="A3046" t="n">
        <v>2859</v>
      </c>
      <c r="B3046" t="inlineStr">
        <is>
          <t>Piso en Avinguda de Joan Miró</t>
        </is>
      </c>
      <c r="C3046" t="inlineStr">
        <is>
          <t>https://www.pisos.com/comprar/piso-el_terreno07015-55852650741_993076/</t>
        </is>
      </c>
      <c r="E3046" t="n">
        <v>3</v>
      </c>
      <c r="J3046" t="inlineStr">
        <is>
          <t>Palma de Mallorca</t>
        </is>
      </c>
      <c r="K3046" t="n">
        <v>9.699999999999999</v>
      </c>
      <c r="L3046" t="n">
        <v>14</v>
      </c>
      <c r="M3046" t="n">
        <v>52.5</v>
      </c>
      <c r="N3046" t="n">
        <v>47</v>
      </c>
      <c r="O3046" t="n">
        <v>32.1</v>
      </c>
      <c r="P3046" t="n">
        <v>36</v>
      </c>
      <c r="Q3046" t="n">
        <v>50.2</v>
      </c>
      <c r="R3046" t="n">
        <v>44</v>
      </c>
      <c r="S3046" t="n">
        <v>2045000</v>
      </c>
      <c r="AH3046" t="inlineStr">
        <is>
          <t>Quelle: Pisos.com</t>
        </is>
      </c>
    </row>
    <row r="3047">
      <c r="A3047" t="n">
        <v>2860</v>
      </c>
      <c r="B3047" t="inlineStr">
        <is>
          <t>Piso en Mahon Centro</t>
        </is>
      </c>
      <c r="C3047" t="inlineStr">
        <is>
          <t>https://www.pisos.com/comprar/piso-centre_historic07701-55932161604_105800/</t>
        </is>
      </c>
      <c r="E3047" t="n">
        <v>2</v>
      </c>
      <c r="J3047" t="inlineStr">
        <is>
          <t>Ma&amp;#xF3; Mah&amp;#xF3;n</t>
        </is>
      </c>
      <c r="S3047" t="n">
        <v>298000</v>
      </c>
      <c r="AH3047" t="inlineStr">
        <is>
          <t>Quelle: Pisos.com</t>
        </is>
      </c>
    </row>
    <row r="3048">
      <c r="A3048" t="n">
        <v>2861</v>
      </c>
      <c r="B3048" t="inlineStr">
        <is>
          <t>Casa en Suestra</t>
        </is>
      </c>
      <c r="C3048" t="inlineStr">
        <is>
          <t>https://www.pisos.com/comprar/casa-sant_lluis_centro_urbano-55909996790_105800/</t>
        </is>
      </c>
      <c r="E3048" t="n">
        <v>5</v>
      </c>
      <c r="J3048" t="inlineStr">
        <is>
          <t>Sant Llu&amp;#xED;s</t>
        </is>
      </c>
      <c r="K3048" t="n">
        <v>47.4</v>
      </c>
      <c r="L3048" t="n">
        <v>40</v>
      </c>
      <c r="M3048" t="n">
        <v>51.8</v>
      </c>
      <c r="N3048" t="n">
        <v>55</v>
      </c>
      <c r="O3048" t="n">
        <v>70</v>
      </c>
      <c r="P3048" t="n">
        <v>56</v>
      </c>
      <c r="Q3048" t="n">
        <v>49.5</v>
      </c>
      <c r="R3048" t="n">
        <v>51</v>
      </c>
      <c r="S3048" t="n">
        <v>990000</v>
      </c>
      <c r="AH3048" t="inlineStr">
        <is>
          <t>Quelle: Pisos.com</t>
        </is>
      </c>
    </row>
    <row r="3049">
      <c r="A3049" t="n">
        <v>2862</v>
      </c>
      <c r="B3049" t="inlineStr">
        <is>
          <t>Piso en Mahon Centro</t>
        </is>
      </c>
      <c r="C3049" t="inlineStr">
        <is>
          <t>https://www.pisos.com/comprar/piso-centre_historic07701-55932657241_105800/</t>
        </is>
      </c>
      <c r="E3049" t="n">
        <v>3</v>
      </c>
      <c r="J3049" t="inlineStr">
        <is>
          <t>Ma&amp;#xF3; Mah&amp;#xF3;n</t>
        </is>
      </c>
      <c r="S3049" t="n">
        <v>460000</v>
      </c>
      <c r="AH3049" t="inlineStr">
        <is>
          <t>Quelle: Pisos.com</t>
        </is>
      </c>
    </row>
    <row r="3050">
      <c r="A3050" t="n">
        <v>2863</v>
      </c>
      <c r="B3050" t="inlineStr">
        <is>
          <t>Casa en La Argentina</t>
        </is>
      </c>
      <c r="C3050" t="inlineStr">
        <is>
          <t>https://www.pisos.com/comprar/casa-alaior_centro_urbano-55875328620_105800/</t>
        </is>
      </c>
      <c r="E3050" t="n">
        <v>5</v>
      </c>
      <c r="J3050" t="inlineStr">
        <is>
          <t>Alaior</t>
        </is>
      </c>
      <c r="K3050" t="n">
        <v>222.9</v>
      </c>
      <c r="L3050" t="n">
        <v>397</v>
      </c>
      <c r="M3050" t="n">
        <v>265.6</v>
      </c>
      <c r="N3050" t="n">
        <v>430</v>
      </c>
      <c r="O3050" t="n">
        <v>236.8</v>
      </c>
      <c r="P3050" t="n">
        <v>402</v>
      </c>
      <c r="Q3050" t="n">
        <v>263.3</v>
      </c>
      <c r="R3050" t="n">
        <v>426</v>
      </c>
      <c r="S3050" t="n">
        <v>980000</v>
      </c>
      <c r="AH3050" t="inlineStr">
        <is>
          <t>Quelle: Pisos.com</t>
        </is>
      </c>
    </row>
    <row r="3051">
      <c r="A3051" t="n">
        <v>2864</v>
      </c>
      <c r="B3051" t="inlineStr">
        <is>
          <t>Apartamento en Talamanca</t>
        </is>
      </c>
      <c r="C3051" t="inlineStr">
        <is>
          <t>https://www.pisos.com/comprar/apartamento-marina_botafoch_platja_de_talamanca-55836063355_108900/</t>
        </is>
      </c>
      <c r="E3051" t="n">
        <v>2</v>
      </c>
      <c r="J3051" t="inlineStr">
        <is>
          <t>Ibiza Eivissa</t>
        </is>
      </c>
      <c r="S3051" t="n">
        <v>630000</v>
      </c>
      <c r="AH3051" t="inlineStr">
        <is>
          <t>Quelle: Pisos.com</t>
        </is>
      </c>
    </row>
    <row r="3052">
      <c r="A3052" t="n">
        <v>2865</v>
      </c>
      <c r="B3052" t="inlineStr">
        <is>
          <t>Chalet en Cala Canutells</t>
        </is>
      </c>
      <c r="C3052" t="inlineStr">
        <is>
          <t>https://www.pisos.com/comprar/chalet-sant_climent_llucmacanes_es_canutells_binidali0771-55837315847_105800/</t>
        </is>
      </c>
      <c r="E3052" t="n">
        <v>4</v>
      </c>
      <c r="J3052" t="inlineStr">
        <is>
          <t>Ma&amp;#xF3; Mah&amp;#xF3;n</t>
        </is>
      </c>
      <c r="K3052" t="n">
        <v>47.4</v>
      </c>
      <c r="L3052" t="n">
        <v>40</v>
      </c>
      <c r="M3052" t="n">
        <v>51.8</v>
      </c>
      <c r="N3052" t="n">
        <v>55</v>
      </c>
      <c r="O3052" t="n">
        <v>70</v>
      </c>
      <c r="P3052" t="n">
        <v>56</v>
      </c>
      <c r="Q3052" t="n">
        <v>49.5</v>
      </c>
      <c r="R3052" t="n">
        <v>51</v>
      </c>
      <c r="S3052" t="n">
        <v>1400000</v>
      </c>
      <c r="AH3052" t="inlineStr">
        <is>
          <t>Quelle: Pisos.com</t>
        </is>
      </c>
    </row>
    <row r="3053">
      <c r="A3053" t="n">
        <v>2866</v>
      </c>
      <c r="B3053" t="inlineStr">
        <is>
          <t>Casa en Sant Josep de sa Talaia</t>
        </is>
      </c>
      <c r="C3053" t="inlineStr">
        <is>
          <t>https://www.pisos.com/comprar/casa-sant_josep_de_sa_talaia_centro_urbano-55888556328_105600/</t>
        </is>
      </c>
      <c r="E3053" t="n">
        <v>3</v>
      </c>
      <c r="J3053" t="inlineStr">
        <is>
          <t>Sant Josep de sa Talaia</t>
        </is>
      </c>
      <c r="S3053" t="n">
        <v>645000</v>
      </c>
      <c r="AH3053" t="inlineStr">
        <is>
          <t>Quelle: Pisos.com</t>
        </is>
      </c>
    </row>
    <row r="3054">
      <c r="A3054" t="n">
        <v>2867</v>
      </c>
      <c r="B3054" t="inlineStr">
        <is>
          <t>Dúplex en Avenida Pedro Matutes Noguera</t>
        </is>
      </c>
      <c r="C3054" t="inlineStr">
        <is>
          <t>https://www.pisos.com/comprar/duplex-ses_figueretes_platja_en_bossa_cas_serres-55888273483_998361/</t>
        </is>
      </c>
      <c r="E3054" t="n">
        <v>2</v>
      </c>
      <c r="J3054" t="inlineStr">
        <is>
          <t>Ibiza Eivissa</t>
        </is>
      </c>
      <c r="S3054" t="n">
        <v>695000</v>
      </c>
      <c r="AH3054" t="inlineStr">
        <is>
          <t>Quelle: Pisos.com</t>
        </is>
      </c>
    </row>
    <row r="3055">
      <c r="A3055" t="n">
        <v>2868</v>
      </c>
      <c r="B3055" t="inlineStr">
        <is>
          <t>Piso en Carrer d'Aragó, 226</t>
        </is>
      </c>
      <c r="C3055" t="inlineStr">
        <is>
          <t>https://www.pisos.com/comprar/piso-el_rafal_vell07008-5601622787_109700/</t>
        </is>
      </c>
      <c r="E3055" t="n">
        <v>3</v>
      </c>
      <c r="J3055" t="inlineStr">
        <is>
          <t>Palma de Mallorca</t>
        </is>
      </c>
      <c r="S3055" t="n">
        <v>407000</v>
      </c>
      <c r="AH3055" t="inlineStr">
        <is>
          <t>Quelle: Pisos.com</t>
        </is>
      </c>
    </row>
    <row r="3056">
      <c r="A3056" t="n">
        <v>2869</v>
      </c>
      <c r="B3056" t="inlineStr">
        <is>
          <t>Piso en Carrer d'Aragó, 226</t>
        </is>
      </c>
      <c r="C3056" t="inlineStr">
        <is>
          <t>https://www.pisos.com/comprar/piso-el_rafal_vell07008-5667599462_109700/</t>
        </is>
      </c>
      <c r="E3056" t="n">
        <v>3</v>
      </c>
      <c r="J3056" t="inlineStr">
        <is>
          <t>Palma de Mallorca</t>
        </is>
      </c>
      <c r="S3056" t="n">
        <v>430500</v>
      </c>
      <c r="AH3056" t="inlineStr">
        <is>
          <t>Quelle: Pisos.com</t>
        </is>
      </c>
    </row>
    <row r="3057">
      <c r="A3057" t="n">
        <v>2870</v>
      </c>
      <c r="B3057" t="inlineStr">
        <is>
          <t>Chalet unifamiliar en Carrer de Sicília</t>
        </is>
      </c>
      <c r="C3057" t="inlineStr">
        <is>
          <t>https://www.pisos.com/comprar/chalet_unifamiliar-benestar_sa_cabana_can_carbonell_ses_cases_noves-55017755774_993076/</t>
        </is>
      </c>
      <c r="E3057" t="n">
        <v>4</v>
      </c>
      <c r="J3057" t="inlineStr">
        <is>
          <t>Marratx&amp;#xED;</t>
        </is>
      </c>
      <c r="K3057" t="n">
        <v>13</v>
      </c>
      <c r="L3057" t="n">
        <v>17</v>
      </c>
      <c r="M3057" t="n">
        <v>56.3</v>
      </c>
      <c r="N3057" t="n">
        <v>50</v>
      </c>
      <c r="O3057" t="n">
        <v>40.6</v>
      </c>
      <c r="P3057" t="n">
        <v>34</v>
      </c>
      <c r="Q3057" t="n">
        <v>54</v>
      </c>
      <c r="R3057" t="n">
        <v>46</v>
      </c>
      <c r="S3057" t="n">
        <v>2600000</v>
      </c>
      <c r="AH3057" t="inlineStr">
        <is>
          <t>Quelle: Pisos.com</t>
        </is>
      </c>
    </row>
    <row r="3058">
      <c r="A3058" t="n">
        <v>2871</v>
      </c>
      <c r="B3058" t="inlineStr">
        <is>
          <t>Chalet en Torret de Baix</t>
        </is>
      </c>
      <c r="C3058" t="inlineStr">
        <is>
          <t>https://www.pisos.com/comprar/chalet-sant_lluis_centro_urbano-55021170812_105800/</t>
        </is>
      </c>
      <c r="E3058" t="n">
        <v>3</v>
      </c>
      <c r="J3058" t="inlineStr">
        <is>
          <t>Sant Llu&amp;#xED;s</t>
        </is>
      </c>
      <c r="K3058" t="n">
        <v>47.4</v>
      </c>
      <c r="L3058" t="n">
        <v>40</v>
      </c>
      <c r="M3058" t="n">
        <v>51.8</v>
      </c>
      <c r="N3058" t="n">
        <v>55</v>
      </c>
      <c r="O3058" t="n">
        <v>70</v>
      </c>
      <c r="P3058" t="n">
        <v>56</v>
      </c>
      <c r="Q3058" t="n">
        <v>49.5</v>
      </c>
      <c r="R3058" t="n">
        <v>51</v>
      </c>
      <c r="S3058" t="n">
        <v>1190000</v>
      </c>
      <c r="AH3058" t="inlineStr">
        <is>
          <t>Quelle: Pisos.com</t>
        </is>
      </c>
    </row>
    <row r="3059">
      <c r="A3059" t="n">
        <v>2872</v>
      </c>
      <c r="B3059" t="inlineStr">
        <is>
          <t>Piso en Avinguda del Cid, 17</t>
        </is>
      </c>
      <c r="C3059" t="inlineStr">
        <is>
          <t>https://www.pisos.com/comprar/piso-llevant_son_ferriol07198-5534843834_109700/</t>
        </is>
      </c>
      <c r="E3059" t="n">
        <v>2</v>
      </c>
      <c r="J3059" t="inlineStr">
        <is>
          <t>Palma de Mallorca</t>
        </is>
      </c>
      <c r="S3059" t="n">
        <v>515000</v>
      </c>
      <c r="AH3059" t="inlineStr">
        <is>
          <t>Quelle: Pisos.com</t>
        </is>
      </c>
    </row>
    <row r="3060">
      <c r="A3060" t="n">
        <v>2873</v>
      </c>
      <c r="B3060" t="inlineStr">
        <is>
          <t>Piso en Avinguda del Cid, 17</t>
        </is>
      </c>
      <c r="C3060" t="inlineStr">
        <is>
          <t>https://www.pisos.com/comprar/piso-llevant_son_ferriol07198-5548578801_109700/</t>
        </is>
      </c>
      <c r="E3060" t="n">
        <v>3</v>
      </c>
      <c r="J3060" t="inlineStr">
        <is>
          <t>Palma de Mallorca</t>
        </is>
      </c>
      <c r="S3060" t="n">
        <v>655000</v>
      </c>
      <c r="AH3060" t="inlineStr">
        <is>
          <t>Quelle: Pisos.com</t>
        </is>
      </c>
    </row>
    <row r="3061">
      <c r="A3061" t="n">
        <v>2874</v>
      </c>
      <c r="B3061" t="inlineStr">
        <is>
          <t>Piso en Carrer de Benito Jerónimo Feijóo</t>
        </is>
      </c>
      <c r="C3061" t="inlineStr">
        <is>
          <t>https://www.pisos.com/comprar/piso-cas_catala_illetes-55023576795_109300/</t>
        </is>
      </c>
      <c r="E3061" t="n">
        <v>3</v>
      </c>
      <c r="J3061" t="inlineStr">
        <is>
          <t>Calvi&amp;#xE0;</t>
        </is>
      </c>
      <c r="S3061" t="n">
        <v>599000</v>
      </c>
      <c r="AH3061" t="inlineStr">
        <is>
          <t>Quelle: Pisos.com</t>
        </is>
      </c>
    </row>
    <row r="3062">
      <c r="A3062" t="n">
        <v>2875</v>
      </c>
      <c r="B3062" t="inlineStr">
        <is>
          <t>Piso en Carrer del Llac de Quatre Cantons</t>
        </is>
      </c>
      <c r="C3062" t="inlineStr">
        <is>
          <t>https://www.pisos.com/comprar/piso-son_rapinya_los_almendros07013-55056227098_993076/</t>
        </is>
      </c>
      <c r="E3062" t="n">
        <v>2</v>
      </c>
      <c r="J3062" t="inlineStr">
        <is>
          <t>Palma de Mallorca</t>
        </is>
      </c>
      <c r="S3062" t="n">
        <v>578000</v>
      </c>
      <c r="AH3062" t="inlineStr">
        <is>
          <t>Quelle: Pisos.com</t>
        </is>
      </c>
    </row>
    <row r="3063">
      <c r="A3063" t="n">
        <v>2876</v>
      </c>
      <c r="B3063" t="inlineStr">
        <is>
          <t>Chalet en Sant Josep de sa Talaia</t>
        </is>
      </c>
      <c r="C3063" t="inlineStr">
        <is>
          <t>https://www.pisos.com/comprar/chalet-sant_josep_de_sa_talaia_centro_urbano-54197842336_108500/</t>
        </is>
      </c>
      <c r="E3063" t="n">
        <v>4</v>
      </c>
      <c r="J3063" t="inlineStr">
        <is>
          <t>Sant Josep de sa Talaia</t>
        </is>
      </c>
      <c r="K3063" t="n">
        <v>47.4</v>
      </c>
      <c r="L3063" t="n">
        <v>40</v>
      </c>
      <c r="M3063" t="n">
        <v>51.8</v>
      </c>
      <c r="N3063" t="n">
        <v>55</v>
      </c>
      <c r="O3063" t="n">
        <v>70</v>
      </c>
      <c r="P3063" t="n">
        <v>56</v>
      </c>
      <c r="Q3063" t="n">
        <v>49.5</v>
      </c>
      <c r="R3063" t="n">
        <v>51</v>
      </c>
      <c r="S3063" t="n">
        <v>2875000</v>
      </c>
      <c r="AH3063" t="inlineStr">
        <is>
          <t>Quelle: Pisos.com</t>
        </is>
      </c>
    </row>
    <row r="3064">
      <c r="A3064" t="n">
        <v>2877</v>
      </c>
      <c r="B3064" t="inlineStr">
        <is>
          <t>Chalet en Benimussa</t>
        </is>
      </c>
      <c r="C3064" t="inlineStr">
        <is>
          <t>https://www.pisos.com/comprar/chalet-sant_josep_de_sa_talaia_centro_urbano-54166907304_108900/</t>
        </is>
      </c>
      <c r="E3064" t="n">
        <v>3</v>
      </c>
      <c r="J3064" t="inlineStr">
        <is>
          <t>Sant Josep de sa Talaia</t>
        </is>
      </c>
      <c r="K3064" t="n">
        <v>47.4</v>
      </c>
      <c r="L3064" t="n">
        <v>40</v>
      </c>
      <c r="M3064" t="n">
        <v>51.8</v>
      </c>
      <c r="N3064" t="n">
        <v>55</v>
      </c>
      <c r="O3064" t="n">
        <v>70</v>
      </c>
      <c r="P3064" t="n">
        <v>56</v>
      </c>
      <c r="Q3064" t="n">
        <v>49.5</v>
      </c>
      <c r="R3064" t="n">
        <v>51</v>
      </c>
      <c r="S3064" t="n">
        <v>1550000</v>
      </c>
      <c r="AH3064" t="inlineStr">
        <is>
          <t>Quelle: Pisos.com</t>
        </is>
      </c>
    </row>
    <row r="3065">
      <c r="A3065" t="n">
        <v>2878</v>
      </c>
      <c r="B3065" t="inlineStr">
        <is>
          <t>Chalet en Santa Gertrudis</t>
        </is>
      </c>
      <c r="C3065" t="inlineStr">
        <is>
          <t>https://www.pisos.com/comprar/chalet-santa_gertrudis_de_fruitera-54233392326_108900/</t>
        </is>
      </c>
      <c r="E3065" t="n">
        <v>4</v>
      </c>
      <c r="J3065" t="inlineStr">
        <is>
          <t>Santa Eul&amp;#xE0;ria des Riu</t>
        </is>
      </c>
      <c r="K3065" t="n">
        <v>47.4</v>
      </c>
      <c r="L3065" t="n">
        <v>40</v>
      </c>
      <c r="M3065" t="n">
        <v>51.8</v>
      </c>
      <c r="N3065" t="n">
        <v>55</v>
      </c>
      <c r="O3065" t="n">
        <v>70</v>
      </c>
      <c r="P3065" t="n">
        <v>56</v>
      </c>
      <c r="Q3065" t="n">
        <v>49.5</v>
      </c>
      <c r="R3065" t="n">
        <v>51</v>
      </c>
      <c r="S3065" t="n">
        <v>4950000</v>
      </c>
      <c r="AH3065" t="inlineStr">
        <is>
          <t>Quelle: Pisos.com</t>
        </is>
      </c>
    </row>
    <row r="3066">
      <c r="A3066" t="n">
        <v>2879</v>
      </c>
      <c r="B3066" t="inlineStr">
        <is>
          <t>Chalet en San Rafael</t>
        </is>
      </c>
      <c r="C3066" t="inlineStr">
        <is>
          <t>https://www.pisos.com/comprar/chalet-seixample_can_misses-54176530185_108900/</t>
        </is>
      </c>
      <c r="E3066" t="n">
        <v>7</v>
      </c>
      <c r="J3066" t="inlineStr">
        <is>
          <t>Ibiza Eivissa</t>
        </is>
      </c>
      <c r="K3066" t="n">
        <v>47.4</v>
      </c>
      <c r="L3066" t="n">
        <v>40</v>
      </c>
      <c r="M3066" t="n">
        <v>51.8</v>
      </c>
      <c r="N3066" t="n">
        <v>55</v>
      </c>
      <c r="O3066" t="n">
        <v>70</v>
      </c>
      <c r="P3066" t="n">
        <v>56</v>
      </c>
      <c r="Q3066" t="n">
        <v>49.5</v>
      </c>
      <c r="R3066" t="n">
        <v>51</v>
      </c>
      <c r="S3066" t="n">
        <v>2500000</v>
      </c>
      <c r="AH3066" t="inlineStr">
        <is>
          <t>Quelle: Pisos.com</t>
        </is>
      </c>
    </row>
    <row r="3067">
      <c r="A3067" t="n">
        <v>2880</v>
      </c>
      <c r="B3067" t="inlineStr">
        <is>
          <t>Apartamento en La Marina</t>
        </is>
      </c>
      <c r="C3067" t="inlineStr">
        <is>
          <t>https://www.pisos.com/comprar/apartamento-dalt_vila_la_marina-53424880380_108900/</t>
        </is>
      </c>
      <c r="E3067" t="n">
        <v>2</v>
      </c>
      <c r="J3067" t="inlineStr">
        <is>
          <t>Ibiza Eivissa</t>
        </is>
      </c>
      <c r="S3067" t="n">
        <v>330000</v>
      </c>
      <c r="AH3067" t="inlineStr">
        <is>
          <t>Quelle: Pisos.com</t>
        </is>
      </c>
    </row>
    <row r="3068">
      <c r="A3068" t="n">
        <v>2881</v>
      </c>
      <c r="B3068" t="inlineStr">
        <is>
          <t>Apartamento en San Agustin</t>
        </is>
      </c>
      <c r="C3068" t="inlineStr">
        <is>
          <t>https://www.pisos.com/comprar/apartamento-sant_josep_de_sa_talaia_centro_urbano-53369862774_108900/</t>
        </is>
      </c>
      <c r="E3068" t="n">
        <v>2</v>
      </c>
      <c r="J3068" t="inlineStr">
        <is>
          <t>Sant Josep de sa Talaia</t>
        </is>
      </c>
      <c r="S3068" t="n">
        <v>649000</v>
      </c>
      <c r="AH3068" t="inlineStr">
        <is>
          <t>Quelle: Pisos.com</t>
        </is>
      </c>
    </row>
    <row r="3069">
      <c r="A3069" t="n">
        <v>2882</v>
      </c>
      <c r="B3069" t="inlineStr">
        <is>
          <t>Chalet en Son Parc</t>
        </is>
      </c>
      <c r="C3069" t="inlineStr">
        <is>
          <t>https://www.pisos.com/comprar/chalet-es_mercadal-53423207300_105800/</t>
        </is>
      </c>
      <c r="E3069" t="n">
        <v>4</v>
      </c>
      <c r="J3069" t="inlineStr">
        <is>
          <t>Es Mercadal</t>
        </is>
      </c>
      <c r="S3069" t="n">
        <v>875000</v>
      </c>
      <c r="AH3069" t="inlineStr">
        <is>
          <t>Quelle: Pisos.com</t>
        </is>
      </c>
    </row>
    <row r="3070">
      <c r="A3070" t="n">
        <v>2883</v>
      </c>
      <c r="B3070" t="inlineStr">
        <is>
          <t>Chalet en Binisafua Roters</t>
        </is>
      </c>
      <c r="C3070" t="inlineStr">
        <is>
          <t>https://www.pisos.com/comprar/chalet-sant_lluis_centro_urbano-53401225444_105800/</t>
        </is>
      </c>
      <c r="E3070" t="n">
        <v>5</v>
      </c>
      <c r="J3070" t="inlineStr">
        <is>
          <t>Sant Llu&amp;#xED;s</t>
        </is>
      </c>
      <c r="K3070" t="n">
        <v>47.4</v>
      </c>
      <c r="L3070" t="n">
        <v>40</v>
      </c>
      <c r="M3070" t="n">
        <v>51.8</v>
      </c>
      <c r="N3070" t="n">
        <v>55</v>
      </c>
      <c r="O3070" t="n">
        <v>70</v>
      </c>
      <c r="P3070" t="n">
        <v>56</v>
      </c>
      <c r="Q3070" t="n">
        <v>49.5</v>
      </c>
      <c r="R3070" t="n">
        <v>51</v>
      </c>
      <c r="S3070" t="n">
        <v>1800000</v>
      </c>
      <c r="AH3070" t="inlineStr">
        <is>
          <t>Quelle: Pisos.com</t>
        </is>
      </c>
    </row>
    <row r="3071">
      <c r="A3071" t="n">
        <v>2884</v>
      </c>
      <c r="B3071" t="inlineStr">
        <is>
          <t>Chalet en Camí de Son Ametler</t>
        </is>
      </c>
      <c r="C3071" t="inlineStr">
        <is>
          <t>https://www.pisos.com/comprar/chalet-marratxi_sa_cabaneta-52598986889_100500/</t>
        </is>
      </c>
      <c r="E3071" t="n">
        <v>4</v>
      </c>
      <c r="J3071" t="inlineStr">
        <is>
          <t>Marratx&amp;#xED;</t>
        </is>
      </c>
      <c r="S3071" t="n">
        <v>530000</v>
      </c>
      <c r="AH3071" t="inlineStr">
        <is>
          <t>Quelle: Pisos.com</t>
        </is>
      </c>
    </row>
    <row r="3072">
      <c r="A3072" t="n">
        <v>2885</v>
      </c>
      <c r="B3072" t="inlineStr">
        <is>
          <t>Finca rústica en San Clemente</t>
        </is>
      </c>
      <c r="C3072" t="inlineStr">
        <is>
          <t>https://www.pisos.com/comprar/finca_rustica-sant_climent_llucmacanes_es_canutells_binidali0771-52563481850_105800/</t>
        </is>
      </c>
      <c r="E3072" t="n">
        <v>16</v>
      </c>
      <c r="J3072" t="inlineStr">
        <is>
          <t>Ma&amp;#xF3; Mah&amp;#xF3;n</t>
        </is>
      </c>
      <c r="K3072" t="n">
        <v>47.4</v>
      </c>
      <c r="L3072" t="n">
        <v>40</v>
      </c>
      <c r="M3072" t="n">
        <v>51.8</v>
      </c>
      <c r="N3072" t="n">
        <v>55</v>
      </c>
      <c r="O3072" t="n">
        <v>70</v>
      </c>
      <c r="P3072" t="n">
        <v>56</v>
      </c>
      <c r="Q3072" t="n">
        <v>49.5</v>
      </c>
      <c r="R3072" t="n">
        <v>51</v>
      </c>
      <c r="S3072" t="n">
        <v>3265000</v>
      </c>
      <c r="AH3072" t="inlineStr">
        <is>
          <t>Quelle: Pisos.com</t>
        </is>
      </c>
    </row>
    <row r="3073">
      <c r="A3073" t="n">
        <v>2886</v>
      </c>
      <c r="B3073" t="inlineStr">
        <is>
          <t>Chalet unifamiliar en Gran Via del Puig de Sant Salvador</t>
        </is>
      </c>
      <c r="C3073" t="inlineStr">
        <is>
          <t>https://www.pisos.com/comprar/chalet_unifamiliar-calvia_santa_ponca07180-52503604333_993076/</t>
        </is>
      </c>
      <c r="E3073" t="n">
        <v>5</v>
      </c>
      <c r="J3073" t="inlineStr">
        <is>
          <t>Calvi&amp;#xE0;</t>
        </is>
      </c>
      <c r="K3073" t="n">
        <v>31.1</v>
      </c>
      <c r="L3073" t="n">
        <v>28</v>
      </c>
      <c r="M3073" t="n">
        <v>73.90000000000001</v>
      </c>
      <c r="N3073" t="n">
        <v>61</v>
      </c>
      <c r="O3073" t="n">
        <v>19.4</v>
      </c>
      <c r="P3073" t="n">
        <v>22</v>
      </c>
      <c r="Q3073" t="n">
        <v>71.59999999999999</v>
      </c>
      <c r="R3073" t="n">
        <v>58</v>
      </c>
      <c r="S3073" t="n">
        <v>2650000</v>
      </c>
      <c r="AH3073" t="inlineStr">
        <is>
          <t>Quelle: Pisos.com</t>
        </is>
      </c>
    </row>
    <row r="3074">
      <c r="A3074" t="n">
        <v>2887</v>
      </c>
      <c r="B3074" t="inlineStr">
        <is>
          <t>Piso en Carrer de Joan Maragall</t>
        </is>
      </c>
      <c r="C3074" t="inlineStr">
        <is>
          <t>https://www.pisos.com/comprar/piso-es_portixol_es_molinar07006-51693666887_993076/</t>
        </is>
      </c>
      <c r="E3074" t="n">
        <v>4</v>
      </c>
      <c r="J3074" t="inlineStr">
        <is>
          <t>Palma de Mallorca</t>
        </is>
      </c>
      <c r="K3074" t="n">
        <v>9.699999999999999</v>
      </c>
      <c r="L3074" t="n">
        <v>14</v>
      </c>
      <c r="M3074" t="n">
        <v>52.5</v>
      </c>
      <c r="N3074" t="n">
        <v>47</v>
      </c>
      <c r="O3074" t="n">
        <v>32.1</v>
      </c>
      <c r="P3074" t="n">
        <v>36</v>
      </c>
      <c r="Q3074" t="n">
        <v>50.2</v>
      </c>
      <c r="R3074" t="n">
        <v>44</v>
      </c>
      <c r="S3074" t="n">
        <v>1590000</v>
      </c>
      <c r="AH3074" t="inlineStr">
        <is>
          <t>Quelle: Pisos.com</t>
        </is>
      </c>
    </row>
    <row r="3075">
      <c r="A3075" t="n">
        <v>2888</v>
      </c>
      <c r="B3075" t="inlineStr">
        <is>
          <t>Casa en Son Xoriguer</t>
        </is>
      </c>
      <c r="C3075" t="inlineStr">
        <is>
          <t>https://www.pisos.com/comprar/casa-cala_en_bosch_serpentona07769-51715769145_105800/</t>
        </is>
      </c>
      <c r="E3075" t="n">
        <v>5</v>
      </c>
      <c r="J3075" t="inlineStr">
        <is>
          <t>Ciutadella de Menorca</t>
        </is>
      </c>
      <c r="K3075" t="n">
        <v>47.4</v>
      </c>
      <c r="L3075" t="n">
        <v>40</v>
      </c>
      <c r="M3075" t="n">
        <v>51.8</v>
      </c>
      <c r="N3075" t="n">
        <v>55</v>
      </c>
      <c r="O3075" t="n">
        <v>70</v>
      </c>
      <c r="P3075" t="n">
        <v>56</v>
      </c>
      <c r="Q3075" t="n">
        <v>49.5</v>
      </c>
      <c r="R3075" t="n">
        <v>51</v>
      </c>
      <c r="S3075" t="n">
        <v>940000</v>
      </c>
      <c r="AH3075" t="inlineStr">
        <is>
          <t>Quelle: Pisos.com</t>
        </is>
      </c>
    </row>
    <row r="3076">
      <c r="A3076" t="n">
        <v>2889</v>
      </c>
      <c r="B3076" t="inlineStr">
        <is>
          <t>Chalet en Camí de l'Alcanada</t>
        </is>
      </c>
      <c r="C3076" t="inlineStr">
        <is>
          <t>https://www.pisos.com/comprar/chalet-platja_alcudia_port_alcudia-51741527667_500208/</t>
        </is>
      </c>
      <c r="E3076" t="n">
        <v>6</v>
      </c>
      <c r="J3076" t="inlineStr">
        <is>
          <t>Alc&amp;#xFA;dia</t>
        </is>
      </c>
      <c r="K3076" t="n">
        <v>61.6</v>
      </c>
      <c r="L3076" t="n">
        <v>47</v>
      </c>
      <c r="M3076" t="n">
        <v>79.7</v>
      </c>
      <c r="N3076" t="n">
        <v>74</v>
      </c>
      <c r="O3076" t="n">
        <v>84.2</v>
      </c>
      <c r="P3076" t="n">
        <v>63</v>
      </c>
      <c r="Q3076" t="n">
        <v>77.40000000000001</v>
      </c>
      <c r="R3076" t="n">
        <v>70</v>
      </c>
      <c r="S3076" t="n">
        <v>4300000</v>
      </c>
      <c r="AH3076" t="inlineStr">
        <is>
          <t>Quelle: Pisos.com</t>
        </is>
      </c>
    </row>
    <row r="3077">
      <c r="A3077" t="n">
        <v>2890</v>
      </c>
      <c r="B3077" t="inlineStr">
        <is>
          <t>Casa pareada en Cala Pi-Vallgornera</t>
        </is>
      </c>
      <c r="C3077" t="inlineStr">
        <is>
          <t>https://www.pisos.com/comprar/casa_pareada-cala_pi_vallgornera_nou07639-51674544319_100500/</t>
        </is>
      </c>
      <c r="E3077" t="n">
        <v>4</v>
      </c>
      <c r="J3077" t="inlineStr">
        <is>
          <t>Llucmajor</t>
        </is>
      </c>
      <c r="S3077" t="n">
        <v>599000</v>
      </c>
      <c r="AH3077" t="inlineStr">
        <is>
          <t>Quelle: Pisos.com</t>
        </is>
      </c>
    </row>
    <row r="3078">
      <c r="A3078" t="n">
        <v>2891</v>
      </c>
      <c r="B3078" t="inlineStr">
        <is>
          <t>Casa en Biniparrell</t>
        </is>
      </c>
      <c r="C3078" t="inlineStr">
        <is>
          <t>https://www.pisos.com/comprar/casa-sant_lluis_centro_urbano-50924682465_105800/</t>
        </is>
      </c>
      <c r="E3078" t="n">
        <v>3</v>
      </c>
      <c r="J3078" t="inlineStr">
        <is>
          <t>Sant Llu&amp;#xED;s</t>
        </is>
      </c>
      <c r="S3078" t="n">
        <v>990000</v>
      </c>
      <c r="AH3078" t="inlineStr">
        <is>
          <t>Quelle: Pisos.com</t>
        </is>
      </c>
    </row>
    <row r="3079">
      <c r="A3079" t="n">
        <v>2892</v>
      </c>
      <c r="B3079" t="inlineStr">
        <is>
          <t>Casa en Carrer de l'Heura</t>
        </is>
      </c>
      <c r="C3079" t="inlineStr">
        <is>
          <t>https://www.pisos.com/comprar/casa-marina_manresa_mal_pas_bonaire-50842391679_500208/</t>
        </is>
      </c>
      <c r="E3079" t="n">
        <v>5</v>
      </c>
      <c r="J3079" t="inlineStr">
        <is>
          <t>Alc&amp;#xFA;dia</t>
        </is>
      </c>
      <c r="K3079" t="n">
        <v>61.6</v>
      </c>
      <c r="L3079" t="n">
        <v>47</v>
      </c>
      <c r="M3079" t="n">
        <v>79.7</v>
      </c>
      <c r="N3079" t="n">
        <v>74</v>
      </c>
      <c r="O3079" t="n">
        <v>84.2</v>
      </c>
      <c r="P3079" t="n">
        <v>63</v>
      </c>
      <c r="Q3079" t="n">
        <v>77.40000000000001</v>
      </c>
      <c r="R3079" t="n">
        <v>70</v>
      </c>
      <c r="S3079" t="n">
        <v>3500000</v>
      </c>
      <c r="AH3079" t="inlineStr">
        <is>
          <t>Quelle: Pisos.com</t>
        </is>
      </c>
    </row>
    <row r="3080">
      <c r="A3080" t="n">
        <v>2893</v>
      </c>
      <c r="B3080" t="inlineStr">
        <is>
          <t>Chalet en Calan Porter</t>
        </is>
      </c>
      <c r="C3080" t="inlineStr">
        <is>
          <t>https://www.pisos.com/comprar/chalet-alaior_centro_urbano-49205450421_105800/</t>
        </is>
      </c>
      <c r="E3080" t="n">
        <v>3</v>
      </c>
      <c r="J3080" t="inlineStr">
        <is>
          <t>Alaior</t>
        </is>
      </c>
      <c r="K3080" t="n">
        <v>222.9</v>
      </c>
      <c r="L3080" t="n">
        <v>397</v>
      </c>
      <c r="M3080" t="n">
        <v>265.6</v>
      </c>
      <c r="N3080" t="n">
        <v>430</v>
      </c>
      <c r="O3080" t="n">
        <v>236.8</v>
      </c>
      <c r="P3080" t="n">
        <v>402</v>
      </c>
      <c r="Q3080" t="n">
        <v>263.3</v>
      </c>
      <c r="R3080" t="n">
        <v>426</v>
      </c>
      <c r="S3080" t="n">
        <v>1100000</v>
      </c>
      <c r="AH3080" t="inlineStr">
        <is>
          <t>Quelle: Pisos.com</t>
        </is>
      </c>
    </row>
    <row r="3081">
      <c r="A3081" t="n">
        <v>2894</v>
      </c>
      <c r="B3081" t="inlineStr">
        <is>
          <t>Casa unifamiliar en Camí de l'Alcanada</t>
        </is>
      </c>
      <c r="C3081" t="inlineStr">
        <is>
          <t>https://www.pisos.com/comprar/casa_unifamiliar-platja_alcudia_port_alcudia-49221275312_500208/</t>
        </is>
      </c>
      <c r="E3081" t="n">
        <v>4</v>
      </c>
      <c r="J3081" t="inlineStr">
        <is>
          <t>Alc&amp;#xFA;dia</t>
        </is>
      </c>
      <c r="K3081" t="n">
        <v>61.6</v>
      </c>
      <c r="L3081" t="n">
        <v>47</v>
      </c>
      <c r="M3081" t="n">
        <v>79.7</v>
      </c>
      <c r="N3081" t="n">
        <v>74</v>
      </c>
      <c r="O3081" t="n">
        <v>84.2</v>
      </c>
      <c r="P3081" t="n">
        <v>63</v>
      </c>
      <c r="Q3081" t="n">
        <v>77.40000000000001</v>
      </c>
      <c r="R3081" t="n">
        <v>70</v>
      </c>
      <c r="S3081" t="n">
        <v>5500000</v>
      </c>
      <c r="AH3081" t="inlineStr">
        <is>
          <t>Quelle: Pisos.com</t>
        </is>
      </c>
    </row>
    <row r="3082">
      <c r="A3082" t="n">
        <v>2895</v>
      </c>
      <c r="B3082" t="inlineStr">
        <is>
          <t>Casa en calle Cami Vell de García</t>
        </is>
      </c>
      <c r="C3082" t="inlineStr">
        <is>
          <t>https://www.pisos.com/comprar/casa-llucmajor_interior07620-49265583950_109300/</t>
        </is>
      </c>
      <c r="E3082" t="n">
        <v>4</v>
      </c>
      <c r="J3082" t="inlineStr">
        <is>
          <t>Llucmajor</t>
        </is>
      </c>
      <c r="K3082" t="n">
        <v>22</v>
      </c>
      <c r="L3082" t="n">
        <v>21</v>
      </c>
      <c r="M3082" t="n">
        <v>28.2</v>
      </c>
      <c r="N3082" t="n">
        <v>33</v>
      </c>
      <c r="O3082" t="n">
        <v>60.2</v>
      </c>
      <c r="P3082" t="n">
        <v>48</v>
      </c>
      <c r="Q3082" t="n">
        <v>25.9</v>
      </c>
      <c r="R3082" t="n">
        <v>29</v>
      </c>
      <c r="S3082" t="n">
        <v>3900000</v>
      </c>
      <c r="AH3082" t="inlineStr">
        <is>
          <t>Quelle: Pisos.com</t>
        </is>
      </c>
    </row>
    <row r="3083">
      <c r="A3083" t="n">
        <v>2896</v>
      </c>
      <c r="B3083" t="inlineStr">
        <is>
          <t>Chalet en Coves Noves</t>
        </is>
      </c>
      <c r="C3083" t="inlineStr">
        <is>
          <t>https://www.pisos.com/comprar/chalet-es_mercadal-49177751765_105800/</t>
        </is>
      </c>
      <c r="E3083" t="n">
        <v>3</v>
      </c>
      <c r="J3083" t="inlineStr">
        <is>
          <t>Es Mercadal</t>
        </is>
      </c>
      <c r="K3083" t="n">
        <v>47.4</v>
      </c>
      <c r="L3083" t="n">
        <v>40</v>
      </c>
      <c r="M3083" t="n">
        <v>51.8</v>
      </c>
      <c r="N3083" t="n">
        <v>55</v>
      </c>
      <c r="O3083" t="n">
        <v>70</v>
      </c>
      <c r="P3083" t="n">
        <v>56</v>
      </c>
      <c r="Q3083" t="n">
        <v>49.5</v>
      </c>
      <c r="R3083" t="n">
        <v>51</v>
      </c>
      <c r="S3083" t="n">
        <v>1850000</v>
      </c>
      <c r="AH3083" t="inlineStr">
        <is>
          <t>Quelle: Pisos.com</t>
        </is>
      </c>
    </row>
    <row r="3084">
      <c r="A3084" t="n">
        <v>2897</v>
      </c>
      <c r="B3084" t="inlineStr">
        <is>
          <t>Piso en Carretera Magaluf-Santa Ponça</t>
        </is>
      </c>
      <c r="C3084" t="inlineStr">
        <is>
          <t>https://www.pisos.com/comprar/piso-calvia_santa_ponca07180-48358065565_109300/</t>
        </is>
      </c>
      <c r="E3084" t="n">
        <v>2</v>
      </c>
      <c r="J3084" t="inlineStr">
        <is>
          <t>Calvi&amp;#xE0;</t>
        </is>
      </c>
      <c r="S3084" t="n">
        <v>520000</v>
      </c>
      <c r="AH3084" t="inlineStr">
        <is>
          <t>Quelle: Pisos.com</t>
        </is>
      </c>
    </row>
    <row r="3085">
      <c r="A3085" t="n">
        <v>2898</v>
      </c>
      <c r="B3085" t="inlineStr">
        <is>
          <t>Piso en calle Camí de Cala Agulla</t>
        </is>
      </c>
      <c r="C3085" t="inlineStr">
        <is>
          <t>https://www.pisos.com/comprar/piso-cala_ratjada-48344978479_100500/</t>
        </is>
      </c>
      <c r="E3085" t="n">
        <v>2</v>
      </c>
      <c r="J3085" t="inlineStr">
        <is>
          <t>Capdepera</t>
        </is>
      </c>
      <c r="S3085" t="n">
        <v>380000</v>
      </c>
      <c r="AH3085" t="inlineStr">
        <is>
          <t>Quelle: Pisos.com</t>
        </is>
      </c>
    </row>
    <row r="3086">
      <c r="A3086" t="n">
        <v>2899</v>
      </c>
      <c r="B3086" t="inlineStr">
        <is>
          <t>Chalet en Son Parc</t>
        </is>
      </c>
      <c r="C3086" t="inlineStr">
        <is>
          <t>https://www.pisos.com/comprar/chalet-es_mercadal-48341685031_105800/</t>
        </is>
      </c>
      <c r="E3086" t="n">
        <v>3</v>
      </c>
      <c r="J3086" t="inlineStr">
        <is>
          <t>Es Mercadal</t>
        </is>
      </c>
      <c r="K3086" t="n">
        <v>47.4</v>
      </c>
      <c r="L3086" t="n">
        <v>40</v>
      </c>
      <c r="M3086" t="n">
        <v>51.8</v>
      </c>
      <c r="N3086" t="n">
        <v>55</v>
      </c>
      <c r="O3086" t="n">
        <v>70</v>
      </c>
      <c r="P3086" t="n">
        <v>56</v>
      </c>
      <c r="Q3086" t="n">
        <v>49.5</v>
      </c>
      <c r="R3086" t="n">
        <v>51</v>
      </c>
      <c r="S3086" t="n">
        <v>1125000</v>
      </c>
      <c r="AH3086" t="inlineStr">
        <is>
          <t>Quelle: Pisos.com</t>
        </is>
      </c>
    </row>
    <row r="3087">
      <c r="A3087" t="n">
        <v>2900</v>
      </c>
      <c r="B3087" t="inlineStr">
        <is>
          <t>Chalet en Binibeca Vell</t>
        </is>
      </c>
      <c r="C3087" t="inlineStr">
        <is>
          <t>https://www.pisos.com/comprar/chalet-sant_lluis_centro_urbano-46735977261_105800/</t>
        </is>
      </c>
      <c r="E3087" t="n">
        <v>7</v>
      </c>
      <c r="J3087" t="inlineStr">
        <is>
          <t>Sant Llu&amp;#xED;s</t>
        </is>
      </c>
      <c r="K3087" t="n">
        <v>47.4</v>
      </c>
      <c r="L3087" t="n">
        <v>40</v>
      </c>
      <c r="M3087" t="n">
        <v>51.8</v>
      </c>
      <c r="N3087" t="n">
        <v>55</v>
      </c>
      <c r="O3087" t="n">
        <v>70</v>
      </c>
      <c r="P3087" t="n">
        <v>56</v>
      </c>
      <c r="Q3087" t="n">
        <v>49.5</v>
      </c>
      <c r="R3087" t="n">
        <v>51</v>
      </c>
      <c r="S3087" t="n">
        <v>1350000</v>
      </c>
      <c r="AH3087" t="inlineStr">
        <is>
          <t>Quelle: Pisos.com</t>
        </is>
      </c>
    </row>
    <row r="3088">
      <c r="A3088" t="n">
        <v>2901</v>
      </c>
      <c r="B3088" t="inlineStr">
        <is>
          <t>Chalet en Cala Morell</t>
        </is>
      </c>
      <c r="C3088" t="inlineStr">
        <is>
          <t>https://www.pisos.com/comprar/chalet-ciutadella_de_menorca_cala_morell07769-46720650947_105800/</t>
        </is>
      </c>
      <c r="E3088" t="n">
        <v>7</v>
      </c>
      <c r="J3088" t="inlineStr">
        <is>
          <t>Ciutadella de Menorca</t>
        </is>
      </c>
      <c r="K3088" t="n">
        <v>47.4</v>
      </c>
      <c r="L3088" t="n">
        <v>40</v>
      </c>
      <c r="M3088" t="n">
        <v>51.8</v>
      </c>
      <c r="N3088" t="n">
        <v>55</v>
      </c>
      <c r="O3088" t="n">
        <v>70</v>
      </c>
      <c r="P3088" t="n">
        <v>56</v>
      </c>
      <c r="Q3088" t="n">
        <v>49.5</v>
      </c>
      <c r="R3088" t="n">
        <v>51</v>
      </c>
      <c r="S3088" t="n">
        <v>3190000</v>
      </c>
      <c r="AH3088" t="inlineStr">
        <is>
          <t>Quelle: Pisos.com</t>
        </is>
      </c>
    </row>
    <row r="3089">
      <c r="A3089" t="n">
        <v>2902</v>
      </c>
      <c r="B3089" t="inlineStr">
        <is>
          <t>Ático en Colonia de San Jordi</t>
        </is>
      </c>
      <c r="C3089" t="inlineStr">
        <is>
          <t>https://www.pisos.com/comprar/atico-colonia_de_sant_jordi-46679238025_100500/</t>
        </is>
      </c>
      <c r="E3089" t="n">
        <v>3</v>
      </c>
      <c r="J3089" t="inlineStr">
        <is>
          <t>Ses Salines</t>
        </is>
      </c>
      <c r="S3089" t="n">
        <v>825000</v>
      </c>
      <c r="AH3089" t="inlineStr">
        <is>
          <t>Quelle: Pisos.com</t>
        </is>
      </c>
    </row>
    <row r="3090">
      <c r="A3090" t="n">
        <v>2903</v>
      </c>
      <c r="B3090" t="inlineStr">
        <is>
          <t>Chalet en Binixica</t>
        </is>
      </c>
      <c r="C3090" t="inlineStr">
        <is>
          <t>https://www.pisos.com/comprar/chalet-sant_climent_llucmacanes_es_canutells_binidali0771-3347819198_105800/</t>
        </is>
      </c>
      <c r="E3090" t="n">
        <v>5</v>
      </c>
      <c r="J3090" t="inlineStr">
        <is>
          <t>Ma&amp;#xF3; Mah&amp;#xF3;n</t>
        </is>
      </c>
      <c r="K3090" t="n">
        <v>47.4</v>
      </c>
      <c r="L3090" t="n">
        <v>40</v>
      </c>
      <c r="M3090" t="n">
        <v>51.8</v>
      </c>
      <c r="N3090" t="n">
        <v>55</v>
      </c>
      <c r="O3090" t="n">
        <v>70</v>
      </c>
      <c r="P3090" t="n">
        <v>56</v>
      </c>
      <c r="Q3090" t="n">
        <v>49.5</v>
      </c>
      <c r="R3090" t="n">
        <v>51</v>
      </c>
      <c r="S3090" t="n">
        <v>2470000</v>
      </c>
      <c r="AH3090" t="inlineStr">
        <is>
          <t>Quelle: Pisos.com</t>
        </is>
      </c>
    </row>
    <row r="3091">
      <c r="A3091" t="n">
        <v>2904</v>
      </c>
      <c r="B3091" t="inlineStr">
        <is>
          <t>Finca rústica en Sant Lluis</t>
        </is>
      </c>
      <c r="C3091" t="inlineStr">
        <is>
          <t>https://www.pisos.com/comprar/finca_rustica-sant_lluis_centro_urbano-2587809140_105800/</t>
        </is>
      </c>
      <c r="E3091" t="n">
        <v>5</v>
      </c>
      <c r="J3091" t="inlineStr">
        <is>
          <t>Sant Llu&amp;#xED;s</t>
        </is>
      </c>
      <c r="K3091" t="n">
        <v>47.4</v>
      </c>
      <c r="L3091" t="n">
        <v>40</v>
      </c>
      <c r="M3091" t="n">
        <v>51.8</v>
      </c>
      <c r="N3091" t="n">
        <v>55</v>
      </c>
      <c r="O3091" t="n">
        <v>70</v>
      </c>
      <c r="P3091" t="n">
        <v>56</v>
      </c>
      <c r="Q3091" t="n">
        <v>49.5</v>
      </c>
      <c r="R3091" t="n">
        <v>51</v>
      </c>
      <c r="S3091" t="n">
        <v>2700000</v>
      </c>
      <c r="AH3091" t="inlineStr">
        <is>
          <t>Quelle: Pisos.com</t>
        </is>
      </c>
    </row>
    <row r="3092">
      <c r="A3092" t="n">
        <v>2905</v>
      </c>
      <c r="B3092" t="inlineStr">
        <is>
          <t>Chalet en Coves Noves</t>
        </is>
      </c>
      <c r="C3092" t="inlineStr">
        <is>
          <t>https://www.pisos.com/comprar/chalet-es_mercadal-97507704253_105800/</t>
        </is>
      </c>
      <c r="E3092" t="n">
        <v>4</v>
      </c>
      <c r="J3092" t="inlineStr">
        <is>
          <t>Es Mercadal</t>
        </is>
      </c>
      <c r="S3092" t="n">
        <v>670000</v>
      </c>
      <c r="AH3092" t="inlineStr">
        <is>
          <t>Quelle: Pisos.com</t>
        </is>
      </c>
    </row>
    <row r="3093">
      <c r="A3093" t="n">
        <v>2906</v>
      </c>
      <c r="B3093" t="inlineStr">
        <is>
          <t>Finca rústica en Son Xoriguer</t>
        </is>
      </c>
      <c r="C3093" t="inlineStr">
        <is>
          <t>https://www.pisos.com/comprar/finca_rustica-cala_en_bosch_serpentona07769-3404463501_105800/</t>
        </is>
      </c>
      <c r="E3093" t="n">
        <v>9</v>
      </c>
      <c r="J3093" t="inlineStr">
        <is>
          <t>Ciutadella de Menorca</t>
        </is>
      </c>
      <c r="K3093" t="n">
        <v>47.4</v>
      </c>
      <c r="L3093" t="n">
        <v>40</v>
      </c>
      <c r="M3093" t="n">
        <v>51.8</v>
      </c>
      <c r="N3093" t="n">
        <v>55</v>
      </c>
      <c r="O3093" t="n">
        <v>70</v>
      </c>
      <c r="P3093" t="n">
        <v>56</v>
      </c>
      <c r="Q3093" t="n">
        <v>49.5</v>
      </c>
      <c r="R3093" t="n">
        <v>51</v>
      </c>
      <c r="S3093" t="n">
        <v>1100000</v>
      </c>
      <c r="AH3093" t="inlineStr">
        <is>
          <t>Quelle: Pisos.com</t>
        </is>
      </c>
    </row>
    <row r="3094">
      <c r="A3094" t="n">
        <v>2907</v>
      </c>
      <c r="B3094" t="inlineStr">
        <is>
          <t>Ático en Carrer de Pont i Vic</t>
        </is>
      </c>
      <c r="C3094" t="inlineStr">
        <is>
          <t>https://www.pisos.com/comprar/atico-monti_sion-45866704696_109300/</t>
        </is>
      </c>
      <c r="E3094" t="n">
        <v>4</v>
      </c>
      <c r="J3094" t="inlineStr">
        <is>
          <t>Palma de Mallorca</t>
        </is>
      </c>
      <c r="K3094" t="n">
        <v>9.699999999999999</v>
      </c>
      <c r="L3094" t="n">
        <v>14</v>
      </c>
      <c r="M3094" t="n">
        <v>52.5</v>
      </c>
      <c r="N3094" t="n">
        <v>47</v>
      </c>
      <c r="O3094" t="n">
        <v>32.1</v>
      </c>
      <c r="P3094" t="n">
        <v>36</v>
      </c>
      <c r="Q3094" t="n">
        <v>50.2</v>
      </c>
      <c r="R3094" t="n">
        <v>44</v>
      </c>
      <c r="S3094" t="n">
        <v>1595000</v>
      </c>
      <c r="AH3094" t="inlineStr">
        <is>
          <t>Quelle: Pisos.com</t>
        </is>
      </c>
    </row>
    <row r="3095">
      <c r="A3095" t="n">
        <v>2908</v>
      </c>
      <c r="B3095" t="inlineStr">
        <is>
          <t>Apartamento en Ses Tanques</t>
        </is>
      </c>
      <c r="C3095" t="inlineStr">
        <is>
          <t>https://www.pisos.com/comprar/apartamento-sant_climent_llucmacanes_es_canutells_binidali0771-45910652001_105800/</t>
        </is>
      </c>
      <c r="E3095" t="n">
        <v>6</v>
      </c>
      <c r="J3095" t="inlineStr">
        <is>
          <t>Ma&amp;#xF3; Mah&amp;#xF3;n</t>
        </is>
      </c>
      <c r="K3095" t="n">
        <v>47.4</v>
      </c>
      <c r="L3095" t="n">
        <v>40</v>
      </c>
      <c r="M3095" t="n">
        <v>51.8</v>
      </c>
      <c r="N3095" t="n">
        <v>55</v>
      </c>
      <c r="O3095" t="n">
        <v>70</v>
      </c>
      <c r="P3095" t="n">
        <v>56</v>
      </c>
      <c r="Q3095" t="n">
        <v>49.5</v>
      </c>
      <c r="R3095" t="n">
        <v>51</v>
      </c>
      <c r="S3095" t="n">
        <v>1700000</v>
      </c>
      <c r="AH3095" t="inlineStr">
        <is>
          <t>Quelle: Pisos.com</t>
        </is>
      </c>
    </row>
    <row r="3096">
      <c r="A3096" t="n">
        <v>2909</v>
      </c>
      <c r="B3096" t="inlineStr">
        <is>
          <t>Casa en Suestra</t>
        </is>
      </c>
      <c r="C3096" t="inlineStr">
        <is>
          <t>https://www.pisos.com/comprar/casa-sant_lluis_centro_urbano-45925823349_105800/</t>
        </is>
      </c>
      <c r="E3096" t="n">
        <v>4</v>
      </c>
      <c r="J3096" t="inlineStr">
        <is>
          <t>Sant Llu&amp;#xED;s</t>
        </is>
      </c>
      <c r="K3096" t="n">
        <v>47.4</v>
      </c>
      <c r="L3096" t="n">
        <v>40</v>
      </c>
      <c r="M3096" t="n">
        <v>51.8</v>
      </c>
      <c r="N3096" t="n">
        <v>55</v>
      </c>
      <c r="O3096" t="n">
        <v>70</v>
      </c>
      <c r="P3096" t="n">
        <v>56</v>
      </c>
      <c r="Q3096" t="n">
        <v>49.5</v>
      </c>
      <c r="R3096" t="n">
        <v>51</v>
      </c>
      <c r="S3096" t="n">
        <v>3300000</v>
      </c>
      <c r="AH3096" t="inlineStr">
        <is>
          <t>Quelle: Pisos.com</t>
        </is>
      </c>
    </row>
    <row r="3097">
      <c r="A3097" t="n">
        <v>2910</v>
      </c>
      <c r="B3097" t="inlineStr">
        <is>
          <t>Chalet rústico en Establiments</t>
        </is>
      </c>
      <c r="C3097" t="inlineStr">
        <is>
          <t>https://www.pisos.com/comprar/chalet_rustico-establiments07010-45919688402_993076/</t>
        </is>
      </c>
      <c r="E3097" t="n">
        <v>6</v>
      </c>
      <c r="J3097" t="inlineStr">
        <is>
          <t>Palma de Mallorca</t>
        </is>
      </c>
      <c r="K3097" t="n">
        <v>9.699999999999999</v>
      </c>
      <c r="L3097" t="n">
        <v>14</v>
      </c>
      <c r="M3097" t="n">
        <v>52.5</v>
      </c>
      <c r="N3097" t="n">
        <v>47</v>
      </c>
      <c r="O3097" t="n">
        <v>32.1</v>
      </c>
      <c r="P3097" t="n">
        <v>36</v>
      </c>
      <c r="Q3097" t="n">
        <v>50.2</v>
      </c>
      <c r="R3097" t="n">
        <v>44</v>
      </c>
      <c r="S3097" t="n">
        <v>1220000</v>
      </c>
      <c r="AH3097" t="inlineStr">
        <is>
          <t>Quelle: Pisos.com</t>
        </is>
      </c>
    </row>
    <row r="3098">
      <c r="A3098" t="n">
        <v>2911</v>
      </c>
      <c r="B3098" t="inlineStr">
        <is>
          <t>Piso en calle Carrer Obispo Sastre</t>
        </is>
      </c>
      <c r="C3098" t="inlineStr">
        <is>
          <t>https://www.pisos.com/comprar/piso-son_cotoner07011-45024970210_107700/</t>
        </is>
      </c>
      <c r="E3098" t="n">
        <v>3</v>
      </c>
      <c r="J3098" t="inlineStr">
        <is>
          <t>Palma de Mallorca</t>
        </is>
      </c>
      <c r="S3098" t="n">
        <v>320000</v>
      </c>
      <c r="AH3098" t="inlineStr">
        <is>
          <t>Quelle: Pisos.com</t>
        </is>
      </c>
    </row>
    <row r="3099">
      <c r="A3099" t="n">
        <v>2912</v>
      </c>
      <c r="B3099" t="inlineStr">
        <is>
          <t>Chalet en Ses Salines</t>
        </is>
      </c>
      <c r="C3099" t="inlineStr">
        <is>
          <t>https://www.pisos.com/comprar/chalet-ses_salines-45046435523_100500/</t>
        </is>
      </c>
      <c r="E3099" t="n">
        <v>5</v>
      </c>
      <c r="J3099" t="inlineStr">
        <is>
          <t>Ses Salines</t>
        </is>
      </c>
      <c r="K3099" t="n">
        <v>44.5</v>
      </c>
      <c r="L3099" t="n">
        <v>39</v>
      </c>
      <c r="M3099" t="n">
        <v>2.4</v>
      </c>
      <c r="N3099" t="n">
        <v>5</v>
      </c>
      <c r="O3099" t="n">
        <v>82.7</v>
      </c>
      <c r="P3099" t="n">
        <v>67</v>
      </c>
      <c r="Q3099" t="n">
        <v>2</v>
      </c>
      <c r="R3099" t="n">
        <v>5</v>
      </c>
      <c r="S3099" t="n">
        <v>4295000</v>
      </c>
      <c r="AH3099" t="inlineStr">
        <is>
          <t>Quelle: Pisos.com</t>
        </is>
      </c>
    </row>
    <row r="3100">
      <c r="A3100" t="n">
        <v>2913</v>
      </c>
      <c r="B3100" t="inlineStr">
        <is>
          <t>Casa en Mahon Centro</t>
        </is>
      </c>
      <c r="C3100" t="inlineStr">
        <is>
          <t>https://www.pisos.com/comprar/casa-tanques_del_carme_fort_de_eau_moli_des_pla07702-44175227633_105800/</t>
        </is>
      </c>
      <c r="E3100" t="n">
        <v>4</v>
      </c>
      <c r="J3100" t="inlineStr">
        <is>
          <t>Ma&amp;#xF3; Mah&amp;#xF3;n</t>
        </is>
      </c>
      <c r="S3100" t="n">
        <v>925000</v>
      </c>
      <c r="AH3100" t="inlineStr">
        <is>
          <t>Quelle: Pisos.com</t>
        </is>
      </c>
    </row>
    <row r="3101">
      <c r="A3101" t="n">
        <v>2914</v>
      </c>
      <c r="B3101" t="inlineStr">
        <is>
          <t>Piso en Passeig de Joan Carles I</t>
        </is>
      </c>
      <c r="C3101" t="inlineStr">
        <is>
          <t>https://www.pisos.com/comprar/piso-marina_botafoch_platja_de_talamanca-44224941504_108900/</t>
        </is>
      </c>
      <c r="E3101" t="n">
        <v>2</v>
      </c>
      <c r="J3101" t="inlineStr">
        <is>
          <t>Ibiza Eivissa</t>
        </is>
      </c>
      <c r="K3101" t="n">
        <v>47.4</v>
      </c>
      <c r="L3101" t="n">
        <v>40</v>
      </c>
      <c r="M3101" t="n">
        <v>51.8</v>
      </c>
      <c r="N3101" t="n">
        <v>55</v>
      </c>
      <c r="O3101" t="n">
        <v>70</v>
      </c>
      <c r="P3101" t="n">
        <v>56</v>
      </c>
      <c r="Q3101" t="n">
        <v>49.5</v>
      </c>
      <c r="R3101" t="n">
        <v>51</v>
      </c>
      <c r="S3101" t="n">
        <v>1350000</v>
      </c>
      <c r="AH3101" t="inlineStr">
        <is>
          <t>Quelle: Pisos.com</t>
        </is>
      </c>
    </row>
    <row r="3102">
      <c r="A3102" t="n">
        <v>2915</v>
      </c>
      <c r="B3102" t="inlineStr">
        <is>
          <t>Apartamento en Ibiza - Eivissa</t>
        </is>
      </c>
      <c r="C3102" t="inlineStr">
        <is>
          <t>https://www.pisos.com/comprar/apartamento-ibiza_eivissa-44246804172_105600/</t>
        </is>
      </c>
      <c r="E3102" t="n">
        <v>6</v>
      </c>
      <c r="J3102" t="inlineStr">
        <is>
          <t>Ibiza Eivissa</t>
        </is>
      </c>
      <c r="K3102" t="n">
        <v>47.4</v>
      </c>
      <c r="L3102" t="n">
        <v>40</v>
      </c>
      <c r="M3102" t="n">
        <v>51.8</v>
      </c>
      <c r="N3102" t="n">
        <v>55</v>
      </c>
      <c r="O3102" t="n">
        <v>70</v>
      </c>
      <c r="P3102" t="n">
        <v>56</v>
      </c>
      <c r="Q3102" t="n">
        <v>49.5</v>
      </c>
      <c r="R3102" t="n">
        <v>51</v>
      </c>
      <c r="S3102" t="n">
        <v>2790000</v>
      </c>
      <c r="AH3102" t="inlineStr">
        <is>
          <t>Quelle: Pisos.com</t>
        </is>
      </c>
    </row>
    <row r="3103">
      <c r="A3103" t="n">
        <v>2916</v>
      </c>
      <c r="B3103" t="inlineStr">
        <is>
          <t>Casa en Campanet</t>
        </is>
      </c>
      <c r="C3103" t="inlineStr">
        <is>
          <t>https://www.pisos.com/comprar/casa-campanet_centro_urbano-44227296874_501477/</t>
        </is>
      </c>
      <c r="E3103" t="n">
        <v>3</v>
      </c>
      <c r="J3103" t="inlineStr">
        <is>
          <t>Campanet</t>
        </is>
      </c>
      <c r="S3103" t="n">
        <v>950000</v>
      </c>
      <c r="AH3103" t="inlineStr">
        <is>
          <t>Quelle: Pisos.com</t>
        </is>
      </c>
    </row>
    <row r="3104">
      <c r="A3104" t="n">
        <v>2917</v>
      </c>
      <c r="B3104" t="inlineStr">
        <is>
          <t>Chalet rústico en Pollença</t>
        </is>
      </c>
      <c r="C3104" t="inlineStr">
        <is>
          <t>https://www.pisos.com/comprar/chalet_rustico-pollenca_centro_urbano-44184678255_501477/</t>
        </is>
      </c>
      <c r="E3104" t="n">
        <v>3</v>
      </c>
      <c r="J3104" t="inlineStr">
        <is>
          <t>Pollen&amp;#xE7;a</t>
        </is>
      </c>
      <c r="K3104" t="n">
        <v>60.6</v>
      </c>
      <c r="L3104" t="n">
        <v>47</v>
      </c>
      <c r="M3104" t="n">
        <v>78.7</v>
      </c>
      <c r="N3104" t="n">
        <v>74</v>
      </c>
      <c r="O3104" t="n">
        <v>83.2</v>
      </c>
      <c r="P3104" t="n">
        <v>63</v>
      </c>
      <c r="Q3104" t="n">
        <v>76.40000000000001</v>
      </c>
      <c r="R3104" t="n">
        <v>70</v>
      </c>
      <c r="S3104" t="n">
        <v>1800000</v>
      </c>
      <c r="AH3104" t="inlineStr">
        <is>
          <t>Quelle: Pisos.com</t>
        </is>
      </c>
    </row>
    <row r="3105">
      <c r="A3105" t="n">
        <v>2918</v>
      </c>
      <c r="B3105" t="inlineStr">
        <is>
          <t>Casa unifamiliar en Pollença</t>
        </is>
      </c>
      <c r="C3105" t="inlineStr">
        <is>
          <t>https://www.pisos.com/comprar/casa_unifamiliar-pollenca_centro_urbano-44213340766_501477/</t>
        </is>
      </c>
      <c r="E3105" t="n">
        <v>4</v>
      </c>
      <c r="J3105" t="inlineStr">
        <is>
          <t>Pollen&amp;#xE7;a</t>
        </is>
      </c>
      <c r="K3105" t="n">
        <v>60.6</v>
      </c>
      <c r="L3105" t="n">
        <v>47</v>
      </c>
      <c r="M3105" t="n">
        <v>78.7</v>
      </c>
      <c r="N3105" t="n">
        <v>74</v>
      </c>
      <c r="O3105" t="n">
        <v>83.2</v>
      </c>
      <c r="P3105" t="n">
        <v>63</v>
      </c>
      <c r="Q3105" t="n">
        <v>76.40000000000001</v>
      </c>
      <c r="R3105" t="n">
        <v>70</v>
      </c>
      <c r="S3105" t="n">
        <v>2500000</v>
      </c>
      <c r="AH3105" t="inlineStr">
        <is>
          <t>Quelle: Pisos.com</t>
        </is>
      </c>
    </row>
    <row r="3106">
      <c r="A3106" t="n">
        <v>2919</v>
      </c>
      <c r="B3106" t="inlineStr">
        <is>
          <t>Chalet en Cala Anguila - Cala Mendia</t>
        </is>
      </c>
      <c r="C3106" t="inlineStr">
        <is>
          <t>https://www.pisos.com/comprar/chalet-manacor_centro_urbano-43417748291_109300/</t>
        </is>
      </c>
      <c r="J3106" t="inlineStr">
        <is>
          <t>Manacor</t>
        </is>
      </c>
      <c r="S3106" t="n">
        <v>380000</v>
      </c>
      <c r="AH3106" t="inlineStr">
        <is>
          <t>Quelle: Pisos.com</t>
        </is>
      </c>
    </row>
    <row r="3107">
      <c r="A3107" t="n">
        <v>2920</v>
      </c>
      <c r="B3107" t="inlineStr">
        <is>
          <t>Casa unifamiliar en Sa Cabaneta</t>
        </is>
      </c>
      <c r="C3107" t="inlineStr">
        <is>
          <t>https://www.pisos.com/comprar/casa_unifamiliar-marratxi_sa_cabaneta-945856908653724_109700/</t>
        </is>
      </c>
      <c r="E3107" t="n">
        <v>4</v>
      </c>
      <c r="J3107" t="inlineStr">
        <is>
          <t>Marratx&amp;#xED;</t>
        </is>
      </c>
      <c r="K3107" t="n">
        <v>13</v>
      </c>
      <c r="L3107" t="n">
        <v>17</v>
      </c>
      <c r="M3107" t="n">
        <v>56.3</v>
      </c>
      <c r="N3107" t="n">
        <v>50</v>
      </c>
      <c r="O3107" t="n">
        <v>40.6</v>
      </c>
      <c r="P3107" t="n">
        <v>34</v>
      </c>
      <c r="Q3107" t="n">
        <v>54</v>
      </c>
      <c r="R3107" t="n">
        <v>46</v>
      </c>
      <c r="S3107" t="n">
        <v>1375000</v>
      </c>
      <c r="AH3107" t="inlineStr">
        <is>
          <t>Quelle: Pisos.com</t>
        </is>
      </c>
    </row>
    <row r="3108">
      <c r="A3108" t="n">
        <v>2921</v>
      </c>
      <c r="B3108" t="inlineStr">
        <is>
          <t>Piso en Carrer de Sant Jaume</t>
        </is>
      </c>
      <c r="C3108" t="inlineStr">
        <is>
          <t>https://www.pisos.com/comprar/piso-santa_eularia_des_riu_centro_urbano-42542798930_109300/</t>
        </is>
      </c>
      <c r="E3108" t="n">
        <v>4</v>
      </c>
      <c r="J3108" t="inlineStr">
        <is>
          <t>Santa Eul&amp;#xE0;ria des Riu</t>
        </is>
      </c>
      <c r="S3108" t="n">
        <v>710000</v>
      </c>
      <c r="AH3108" t="inlineStr">
        <is>
          <t>Quelle: Pisos.com</t>
        </is>
      </c>
    </row>
    <row r="3109">
      <c r="A3109" t="n">
        <v>2922</v>
      </c>
      <c r="B3109" t="inlineStr">
        <is>
          <t>Chalet adosado en Avinguda dels Geranis</t>
        </is>
      </c>
      <c r="C3109" t="inlineStr">
        <is>
          <t>https://www.pisos.com/comprar/chalet_adosado-sestany_en_mas-42529290283_501477/</t>
        </is>
      </c>
      <c r="E3109" t="n">
        <v>3</v>
      </c>
      <c r="J3109" t="inlineStr">
        <is>
          <t>Manacor</t>
        </is>
      </c>
      <c r="S3109" t="n">
        <v>495500</v>
      </c>
      <c r="AH3109" t="inlineStr">
        <is>
          <t>Quelle: Pisos.com</t>
        </is>
      </c>
    </row>
    <row r="3110">
      <c r="A3110" t="n">
        <v>2923</v>
      </c>
      <c r="B3110" t="inlineStr">
        <is>
          <t>Casa en Carrer d'Abejaruco</t>
        </is>
      </c>
      <c r="C3110" t="inlineStr">
        <is>
          <t>https://www.pisos.com/comprar/casa-cap_martinet-41710657618_998361/</t>
        </is>
      </c>
      <c r="E3110" t="n">
        <v>3</v>
      </c>
      <c r="J3110" t="inlineStr">
        <is>
          <t>Santa Eul&amp;#xE0;ria des Riu</t>
        </is>
      </c>
      <c r="K3110" t="n">
        <v>47.4</v>
      </c>
      <c r="L3110" t="n">
        <v>40</v>
      </c>
      <c r="M3110" t="n">
        <v>51.8</v>
      </c>
      <c r="N3110" t="n">
        <v>55</v>
      </c>
      <c r="O3110" t="n">
        <v>70</v>
      </c>
      <c r="P3110" t="n">
        <v>56</v>
      </c>
      <c r="Q3110" t="n">
        <v>49.5</v>
      </c>
      <c r="R3110" t="n">
        <v>51</v>
      </c>
      <c r="S3110" t="n">
        <v>2100000</v>
      </c>
      <c r="AH3110" t="inlineStr">
        <is>
          <t>Quelle: Pisos.com</t>
        </is>
      </c>
    </row>
    <row r="3111">
      <c r="A3111" t="n">
        <v>2924</v>
      </c>
      <c r="B3111" t="inlineStr">
        <is>
          <t>Casa unifamiliar en Alaró</t>
        </is>
      </c>
      <c r="C3111" t="inlineStr">
        <is>
          <t>https://www.pisos.com/comprar/casa_unifamiliar-alaro_centro_urbano-40922775502_501477/</t>
        </is>
      </c>
      <c r="E3111" t="n">
        <v>3</v>
      </c>
      <c r="J3111" t="inlineStr">
        <is>
          <t>Alar&amp;#xF3;</t>
        </is>
      </c>
      <c r="S3111" t="n">
        <v>716000</v>
      </c>
      <c r="AH3111" t="inlineStr">
        <is>
          <t>Quelle: Pisos.com</t>
        </is>
      </c>
    </row>
    <row r="3112">
      <c r="A3112" t="n">
        <v>2925</v>
      </c>
      <c r="B3112" t="inlineStr">
        <is>
          <t>Finca rústica en Suestra</t>
        </is>
      </c>
      <c r="C3112" t="inlineStr">
        <is>
          <t>https://www.pisos.com/comprar/finca_rustica-sant_lluis_centro_urbano-40093303357_105800/</t>
        </is>
      </c>
      <c r="E3112" t="n">
        <v>6</v>
      </c>
      <c r="J3112" t="inlineStr">
        <is>
          <t>Sant Llu&amp;#xED;s</t>
        </is>
      </c>
      <c r="K3112" t="n">
        <v>47.4</v>
      </c>
      <c r="L3112" t="n">
        <v>40</v>
      </c>
      <c r="M3112" t="n">
        <v>51.8</v>
      </c>
      <c r="N3112" t="n">
        <v>55</v>
      </c>
      <c r="O3112" t="n">
        <v>70</v>
      </c>
      <c r="P3112" t="n">
        <v>56</v>
      </c>
      <c r="Q3112" t="n">
        <v>49.5</v>
      </c>
      <c r="R3112" t="n">
        <v>51</v>
      </c>
      <c r="S3112" t="n">
        <v>990000</v>
      </c>
      <c r="AH3112" t="inlineStr">
        <is>
          <t>Quelle: Pisos.com</t>
        </is>
      </c>
    </row>
    <row r="3113">
      <c r="A3113" t="n">
        <v>2926</v>
      </c>
      <c r="B3113" t="inlineStr">
        <is>
          <t>Chalet en Cala Llonga</t>
        </is>
      </c>
      <c r="C3113" t="inlineStr">
        <is>
          <t>https://www.pisos.com/comprar/chalet-es_grau_cala_llonga07700-40043219611_105800/</t>
        </is>
      </c>
      <c r="E3113" t="n">
        <v>4</v>
      </c>
      <c r="J3113" t="inlineStr">
        <is>
          <t>Ma&amp;#xF3; Mah&amp;#xF3;n</t>
        </is>
      </c>
      <c r="K3113" t="n">
        <v>47.4</v>
      </c>
      <c r="L3113" t="n">
        <v>40</v>
      </c>
      <c r="M3113" t="n">
        <v>51.8</v>
      </c>
      <c r="N3113" t="n">
        <v>55</v>
      </c>
      <c r="O3113" t="n">
        <v>70</v>
      </c>
      <c r="P3113" t="n">
        <v>56</v>
      </c>
      <c r="Q3113" t="n">
        <v>49.5</v>
      </c>
      <c r="R3113" t="n">
        <v>51</v>
      </c>
      <c r="S3113" t="n">
        <v>2600000</v>
      </c>
      <c r="AH3113" t="inlineStr">
        <is>
          <t>Quelle: Pisos.com</t>
        </is>
      </c>
    </row>
    <row r="3114">
      <c r="A3114" t="n">
        <v>2927</v>
      </c>
      <c r="B3114" t="inlineStr">
        <is>
          <t>Chalet en Cala Llonga</t>
        </is>
      </c>
      <c r="C3114" t="inlineStr">
        <is>
          <t>https://www.pisos.com/comprar/chalet-es_grau_cala_llonga07700-40012388611_105800/</t>
        </is>
      </c>
      <c r="E3114" t="n">
        <v>4</v>
      </c>
      <c r="J3114" t="inlineStr">
        <is>
          <t>Ma&amp;#xF3; Mah&amp;#xF3;n</t>
        </is>
      </c>
      <c r="S3114" t="n">
        <v>795000</v>
      </c>
      <c r="AH3114" t="inlineStr">
        <is>
          <t>Quelle: Pisos.com</t>
        </is>
      </c>
    </row>
    <row r="3115">
      <c r="A3115" t="n">
        <v>2928</v>
      </c>
      <c r="B3115" t="inlineStr">
        <is>
          <t>Casa en Ciutadella</t>
        </is>
      </c>
      <c r="C3115" t="inlineStr">
        <is>
          <t>https://www.pisos.com/comprar/casa-ciutadella_de_menorca_nucli_urba07769-39190061823_105800/</t>
        </is>
      </c>
      <c r="E3115" t="n">
        <v>3</v>
      </c>
      <c r="J3115" t="inlineStr">
        <is>
          <t>Ciutadella de Menorca</t>
        </is>
      </c>
      <c r="K3115" t="n">
        <v>47.4</v>
      </c>
      <c r="L3115" t="n">
        <v>40</v>
      </c>
      <c r="M3115" t="n">
        <v>51.8</v>
      </c>
      <c r="N3115" t="n">
        <v>55</v>
      </c>
      <c r="O3115" t="n">
        <v>70</v>
      </c>
      <c r="P3115" t="n">
        <v>56</v>
      </c>
      <c r="Q3115" t="n">
        <v>49.5</v>
      </c>
      <c r="R3115" t="n">
        <v>51</v>
      </c>
      <c r="S3115" t="n">
        <v>1390000</v>
      </c>
      <c r="AH3115" t="inlineStr">
        <is>
          <t>Quelle: Pisos.com</t>
        </is>
      </c>
    </row>
    <row r="3116">
      <c r="A3116" t="n">
        <v>2929</v>
      </c>
      <c r="B3116" t="inlineStr">
        <is>
          <t>Chalet en calle Passig de La Mar</t>
        </is>
      </c>
      <c r="C3116" t="inlineStr">
        <is>
          <t>https://www.pisos.com/comprar/chalet-cala_llombards-39189202443_108500/</t>
        </is>
      </c>
      <c r="E3116" t="n">
        <v>5</v>
      </c>
      <c r="J3116" t="inlineStr">
        <is>
          <t>Santany&amp;#xED;</t>
        </is>
      </c>
      <c r="K3116" t="n">
        <v>45.4</v>
      </c>
      <c r="L3116" t="n">
        <v>39</v>
      </c>
      <c r="M3116" t="n">
        <v>9</v>
      </c>
      <c r="N3116" t="n">
        <v>13</v>
      </c>
      <c r="O3116" t="n">
        <v>83.59999999999999</v>
      </c>
      <c r="P3116" t="n">
        <v>67</v>
      </c>
      <c r="Q3116" t="n">
        <v>9.699999999999999</v>
      </c>
      <c r="R3116" t="n">
        <v>15</v>
      </c>
      <c r="S3116" t="n">
        <v>2800000</v>
      </c>
      <c r="AH3116" t="inlineStr">
        <is>
          <t>Quelle: Pisos.com</t>
        </is>
      </c>
    </row>
    <row r="3117">
      <c r="A3117" t="n">
        <v>2930</v>
      </c>
      <c r="B3117" t="inlineStr">
        <is>
          <t>Piso en Mahon Puerto</t>
        </is>
      </c>
      <c r="C3117" t="inlineStr">
        <is>
          <t>https://www.pisos.com/comprar/piso-tanques_del_carme_fort_de_eau_moli_des_pla07701-38415467084_105800/</t>
        </is>
      </c>
      <c r="E3117" t="n">
        <v>3</v>
      </c>
      <c r="J3117" t="inlineStr">
        <is>
          <t>Ma&amp;#xF3; Mah&amp;#xF3;n</t>
        </is>
      </c>
      <c r="K3117" t="n">
        <v>47.4</v>
      </c>
      <c r="L3117" t="n">
        <v>40</v>
      </c>
      <c r="M3117" t="n">
        <v>51.8</v>
      </c>
      <c r="N3117" t="n">
        <v>55</v>
      </c>
      <c r="O3117" t="n">
        <v>70</v>
      </c>
      <c r="P3117" t="n">
        <v>56</v>
      </c>
      <c r="Q3117" t="n">
        <v>49.5</v>
      </c>
      <c r="R3117" t="n">
        <v>51</v>
      </c>
      <c r="S3117" t="n">
        <v>1450000</v>
      </c>
      <c r="AH3117" t="inlineStr">
        <is>
          <t>Quelle: Pisos.com</t>
        </is>
      </c>
    </row>
    <row r="3118">
      <c r="A3118" t="n">
        <v>2931</v>
      </c>
      <c r="B3118" t="inlineStr">
        <is>
          <t>Finca rústica en Biniparrell</t>
        </is>
      </c>
      <c r="C3118" t="inlineStr">
        <is>
          <t>https://www.pisos.com/comprar/finca_rustica-sant_lluis_centro_urbano-38355512896_105800/</t>
        </is>
      </c>
      <c r="E3118" t="n">
        <v>6</v>
      </c>
      <c r="J3118" t="inlineStr">
        <is>
          <t>Sant Llu&amp;#xED;s</t>
        </is>
      </c>
      <c r="K3118" t="n">
        <v>47.4</v>
      </c>
      <c r="L3118" t="n">
        <v>40</v>
      </c>
      <c r="M3118" t="n">
        <v>51.8</v>
      </c>
      <c r="N3118" t="n">
        <v>55</v>
      </c>
      <c r="O3118" t="n">
        <v>70</v>
      </c>
      <c r="P3118" t="n">
        <v>56</v>
      </c>
      <c r="Q3118" t="n">
        <v>49.5</v>
      </c>
      <c r="R3118" t="n">
        <v>51</v>
      </c>
      <c r="S3118" t="n">
        <v>1900000</v>
      </c>
      <c r="AH3118" t="inlineStr">
        <is>
          <t>Quelle: Pisos.com</t>
        </is>
      </c>
    </row>
    <row r="3119">
      <c r="A3119" t="n">
        <v>2932</v>
      </c>
      <c r="B3119" t="inlineStr">
        <is>
          <t>Chalet unifamiliar en Polígono 1</t>
        </is>
      </c>
      <c r="C3119" t="inlineStr">
        <is>
          <t>https://www.pisos.com/comprar/chalet_unifamiliar-consell_centro_urbano-37576139439_501477/</t>
        </is>
      </c>
      <c r="E3119" t="n">
        <v>3</v>
      </c>
      <c r="J3119" t="inlineStr">
        <is>
          <t>Consell</t>
        </is>
      </c>
      <c r="K3119" t="n">
        <v>30</v>
      </c>
      <c r="L3119" t="n">
        <v>26</v>
      </c>
      <c r="M3119" t="n">
        <v>72.8</v>
      </c>
      <c r="N3119" t="n">
        <v>59</v>
      </c>
      <c r="O3119" t="n">
        <v>52.6</v>
      </c>
      <c r="P3119" t="n">
        <v>42</v>
      </c>
      <c r="Q3119" t="n">
        <v>70.5</v>
      </c>
      <c r="R3119" t="n">
        <v>55</v>
      </c>
      <c r="S3119" t="n">
        <v>1080000</v>
      </c>
      <c r="AH3119" t="inlineStr">
        <is>
          <t>Quelle: Pisos.com</t>
        </is>
      </c>
    </row>
    <row r="3120">
      <c r="A3120" t="n">
        <v>2933</v>
      </c>
      <c r="B3120" t="inlineStr">
        <is>
          <t>Casa adosada en Colonia de Sant Jordi</t>
        </is>
      </c>
      <c r="C3120" t="inlineStr">
        <is>
          <t>https://www.pisos.com/comprar/casa_adosada-colonia_de_sant_jordi-37578436171_100500/</t>
        </is>
      </c>
      <c r="E3120" t="n">
        <v>3</v>
      </c>
      <c r="J3120" t="inlineStr">
        <is>
          <t>Ses Salines</t>
        </is>
      </c>
      <c r="S3120" t="n">
        <v>640000</v>
      </c>
      <c r="AH3120" t="inlineStr">
        <is>
          <t>Quelle: Pisos.com</t>
        </is>
      </c>
    </row>
    <row r="3121">
      <c r="A3121" t="n">
        <v>2934</v>
      </c>
      <c r="B3121" t="inlineStr">
        <is>
          <t>Chalet en Llumesanes</t>
        </is>
      </c>
      <c r="C3121" t="inlineStr">
        <is>
          <t>https://www.pisos.com/comprar/chalet-sant_climent_llucmacanes_es_canutells_binidali0771-36740632046_105800/</t>
        </is>
      </c>
      <c r="E3121" t="n">
        <v>4</v>
      </c>
      <c r="J3121" t="inlineStr">
        <is>
          <t>Ma&amp;#xF3; Mah&amp;#xF3;n</t>
        </is>
      </c>
      <c r="S3121" t="n">
        <v>899000</v>
      </c>
      <c r="AH3121" t="inlineStr">
        <is>
          <t>Quelle: Pisos.com</t>
        </is>
      </c>
    </row>
    <row r="3122">
      <c r="A3122" t="n">
        <v>2935</v>
      </c>
      <c r="B3122" t="inlineStr">
        <is>
          <t>Chalet en Cap Den Font</t>
        </is>
      </c>
      <c r="C3122" t="inlineStr">
        <is>
          <t>https://www.pisos.com/comprar/chalet-sant_lluis_centro_urbano-33384110078_105800/</t>
        </is>
      </c>
      <c r="E3122" t="n">
        <v>5</v>
      </c>
      <c r="J3122" t="inlineStr">
        <is>
          <t>Sant Llu&amp;#xED;s</t>
        </is>
      </c>
      <c r="K3122" t="n">
        <v>47.4</v>
      </c>
      <c r="L3122" t="n">
        <v>40</v>
      </c>
      <c r="M3122" t="n">
        <v>51.8</v>
      </c>
      <c r="N3122" t="n">
        <v>55</v>
      </c>
      <c r="O3122" t="n">
        <v>70</v>
      </c>
      <c r="P3122" t="n">
        <v>56</v>
      </c>
      <c r="Q3122" t="n">
        <v>49.5</v>
      </c>
      <c r="R3122" t="n">
        <v>51</v>
      </c>
      <c r="S3122" t="n">
        <v>1250000</v>
      </c>
      <c r="AH3122" t="inlineStr">
        <is>
          <t>Quelle: Pisos.com</t>
        </is>
      </c>
    </row>
    <row r="3123">
      <c r="A3123" t="n">
        <v>2936</v>
      </c>
      <c r="B3123" t="inlineStr">
        <is>
          <t>Chalet en calle Poligono Parcela</t>
        </is>
      </c>
      <c r="C3123" t="inlineStr">
        <is>
          <t>https://www.pisos.com/comprar/chalet-calas_de_mallorca-32552125288_100500/</t>
        </is>
      </c>
      <c r="E3123" t="n">
        <v>2</v>
      </c>
      <c r="J3123" t="inlineStr">
        <is>
          <t>Manacor</t>
        </is>
      </c>
      <c r="S3123" t="n">
        <v>690000</v>
      </c>
      <c r="AH3123" t="inlineStr">
        <is>
          <t>Quelle: Pisos.com</t>
        </is>
      </c>
    </row>
    <row r="3124">
      <c r="A3124" t="n">
        <v>2937</v>
      </c>
      <c r="B3124" t="inlineStr">
        <is>
          <t>Finca rústica en Alayor</t>
        </is>
      </c>
      <c r="C3124" t="inlineStr">
        <is>
          <t>https://www.pisos.com/comprar/finca_rustica-alaior_centro_urbano-32529003235_105800/</t>
        </is>
      </c>
      <c r="E3124" t="n">
        <v>7</v>
      </c>
      <c r="J3124" t="inlineStr">
        <is>
          <t>Alaior</t>
        </is>
      </c>
      <c r="K3124" t="n">
        <v>222.9</v>
      </c>
      <c r="L3124" t="n">
        <v>397</v>
      </c>
      <c r="M3124" t="n">
        <v>265.6</v>
      </c>
      <c r="N3124" t="n">
        <v>430</v>
      </c>
      <c r="O3124" t="n">
        <v>236.8</v>
      </c>
      <c r="P3124" t="n">
        <v>402</v>
      </c>
      <c r="Q3124" t="n">
        <v>263.3</v>
      </c>
      <c r="R3124" t="n">
        <v>426</v>
      </c>
      <c r="S3124" t="n">
        <v>2500000</v>
      </c>
      <c r="AH3124" t="inlineStr">
        <is>
          <t>Quelle: Pisos.com</t>
        </is>
      </c>
    </row>
    <row r="3125">
      <c r="A3125" t="n">
        <v>2938</v>
      </c>
      <c r="B3125" t="inlineStr">
        <is>
          <t>Finca rústica en Alayor</t>
        </is>
      </c>
      <c r="C3125" t="inlineStr">
        <is>
          <t>https://www.pisos.com/comprar/finca_rustica-alaior_centro_urbano-32524801654_105800/</t>
        </is>
      </c>
      <c r="E3125" t="n">
        <v>8</v>
      </c>
      <c r="J3125" t="inlineStr">
        <is>
          <t>Alaior</t>
        </is>
      </c>
      <c r="K3125" t="n">
        <v>222.9</v>
      </c>
      <c r="L3125" t="n">
        <v>397</v>
      </c>
      <c r="M3125" t="n">
        <v>265.6</v>
      </c>
      <c r="N3125" t="n">
        <v>430</v>
      </c>
      <c r="O3125" t="n">
        <v>236.8</v>
      </c>
      <c r="P3125" t="n">
        <v>402</v>
      </c>
      <c r="Q3125" t="n">
        <v>263.3</v>
      </c>
      <c r="R3125" t="n">
        <v>426</v>
      </c>
      <c r="S3125" t="n">
        <v>3573000</v>
      </c>
      <c r="AH3125" t="inlineStr">
        <is>
          <t>Quelle: Pisos.com</t>
        </is>
      </c>
    </row>
    <row r="3126">
      <c r="A3126" t="n">
        <v>2939</v>
      </c>
      <c r="B3126" t="inlineStr">
        <is>
          <t>Chalet en Cala Llonga</t>
        </is>
      </c>
      <c r="C3126" t="inlineStr">
        <is>
          <t>https://www.pisos.com/comprar/chalet-es_grau_cala_llonga07700-31692920673_105800/</t>
        </is>
      </c>
      <c r="E3126" t="n">
        <v>5</v>
      </c>
      <c r="J3126" t="inlineStr">
        <is>
          <t>Ma&amp;#xF3; Mah&amp;#xF3;n</t>
        </is>
      </c>
      <c r="K3126" t="n">
        <v>47.4</v>
      </c>
      <c r="L3126" t="n">
        <v>40</v>
      </c>
      <c r="M3126" t="n">
        <v>51.8</v>
      </c>
      <c r="N3126" t="n">
        <v>55</v>
      </c>
      <c r="O3126" t="n">
        <v>70</v>
      </c>
      <c r="P3126" t="n">
        <v>56</v>
      </c>
      <c r="Q3126" t="n">
        <v>49.5</v>
      </c>
      <c r="R3126" t="n">
        <v>51</v>
      </c>
      <c r="S3126" t="n">
        <v>1850000</v>
      </c>
      <c r="AH3126" t="inlineStr">
        <is>
          <t>Quelle: Pisos.com</t>
        </is>
      </c>
    </row>
    <row r="3127">
      <c r="A3127" t="n">
        <v>2940</v>
      </c>
      <c r="B3127" t="inlineStr">
        <is>
          <t>Casa adosada en Ses Salines</t>
        </is>
      </c>
      <c r="C3127" t="inlineStr">
        <is>
          <t>https://www.pisos.com/comprar/casa_adosada-ses_salines-29177232540_100500/</t>
        </is>
      </c>
      <c r="E3127" t="n">
        <v>3</v>
      </c>
      <c r="J3127" t="inlineStr">
        <is>
          <t>Ses Salines</t>
        </is>
      </c>
      <c r="S3127" t="n">
        <v>895000</v>
      </c>
      <c r="AH3127" t="inlineStr">
        <is>
          <t>Quelle: Pisos.com</t>
        </is>
      </c>
    </row>
    <row r="3128">
      <c r="A3128" t="n">
        <v>2941</v>
      </c>
      <c r="B3128" t="inlineStr">
        <is>
          <t>Chalet en Colonia de Sant Jordi</t>
        </is>
      </c>
      <c r="C3128" t="inlineStr">
        <is>
          <t>https://www.pisos.com/comprar/chalet-colonia_de_sant_jordi-29207040729_100500/</t>
        </is>
      </c>
      <c r="E3128" t="n">
        <v>3</v>
      </c>
      <c r="J3128" t="inlineStr">
        <is>
          <t>Ses Salines</t>
        </is>
      </c>
      <c r="S3128" t="n">
        <v>790000</v>
      </c>
      <c r="AH3128" t="inlineStr">
        <is>
          <t>Quelle: Pisos.com</t>
        </is>
      </c>
    </row>
    <row r="3129">
      <c r="A3129" t="n">
        <v>2942</v>
      </c>
      <c r="B3129" t="inlineStr">
        <is>
          <t>Finca rústica en Ciutadella</t>
        </is>
      </c>
      <c r="C3129" t="inlineStr">
        <is>
          <t>https://www.pisos.com/comprar/finca_rustica-cala_blanca_santandria_son_carrio07760-28423560808_105800/</t>
        </is>
      </c>
      <c r="E3129" t="n">
        <v>15</v>
      </c>
      <c r="J3129" t="inlineStr">
        <is>
          <t>Ciutadella de Menorca</t>
        </is>
      </c>
      <c r="K3129" t="n">
        <v>47.4</v>
      </c>
      <c r="L3129" t="n">
        <v>40</v>
      </c>
      <c r="M3129" t="n">
        <v>51.8</v>
      </c>
      <c r="N3129" t="n">
        <v>55</v>
      </c>
      <c r="O3129" t="n">
        <v>70</v>
      </c>
      <c r="P3129" t="n">
        <v>56</v>
      </c>
      <c r="Q3129" t="n">
        <v>49.5</v>
      </c>
      <c r="R3129" t="n">
        <v>51</v>
      </c>
      <c r="S3129" t="n">
        <v>6000000</v>
      </c>
      <c r="AH3129" t="inlineStr">
        <is>
          <t>Quelle: Pisos.com</t>
        </is>
      </c>
    </row>
    <row r="3130">
      <c r="A3130" t="n">
        <v>2943</v>
      </c>
      <c r="B3130" t="inlineStr">
        <is>
          <t>Chalet en Torre Soli Nou</t>
        </is>
      </c>
      <c r="C3130" t="inlineStr">
        <is>
          <t>https://www.pisos.com/comprar/chalet-alaior_centro_urbano-27534018648_105800/</t>
        </is>
      </c>
      <c r="E3130" t="n">
        <v>4</v>
      </c>
      <c r="J3130" t="inlineStr">
        <is>
          <t>Alaior</t>
        </is>
      </c>
      <c r="K3130" t="n">
        <v>222.9</v>
      </c>
      <c r="L3130" t="n">
        <v>397</v>
      </c>
      <c r="M3130" t="n">
        <v>265.6</v>
      </c>
      <c r="N3130" t="n">
        <v>430</v>
      </c>
      <c r="O3130" t="n">
        <v>236.8</v>
      </c>
      <c r="P3130" t="n">
        <v>402</v>
      </c>
      <c r="Q3130" t="n">
        <v>263.3</v>
      </c>
      <c r="R3130" t="n">
        <v>426</v>
      </c>
      <c r="S3130" t="n">
        <v>1370000</v>
      </c>
      <c r="AH3130" t="inlineStr">
        <is>
          <t>Quelle: Pisos.com</t>
        </is>
      </c>
    </row>
    <row r="3131">
      <c r="A3131" t="n">
        <v>2944</v>
      </c>
      <c r="B3131" t="inlineStr">
        <is>
          <t>Apartamento en Dalt Vila</t>
        </is>
      </c>
      <c r="C3131" t="inlineStr">
        <is>
          <t>https://www.pisos.com/comprar/apartamento-dalt_vila_la_marina-27581862756_108900/</t>
        </is>
      </c>
      <c r="E3131" t="n">
        <v>2</v>
      </c>
      <c r="J3131" t="inlineStr">
        <is>
          <t>Ibiza Eivissa</t>
        </is>
      </c>
      <c r="S3131" t="n">
        <v>850000</v>
      </c>
      <c r="AH3131" t="inlineStr">
        <is>
          <t>Quelle: Pisos.com</t>
        </is>
      </c>
    </row>
    <row r="3132">
      <c r="A3132" t="n">
        <v>2945</v>
      </c>
      <c r="B3132" t="inlineStr">
        <is>
          <t>Casa en Carrer de Santa Lavinia</t>
        </is>
      </c>
      <c r="C3132" t="inlineStr">
        <is>
          <t>https://www.pisos.com/comprar/casa-calvia_costa_en_blanes-22590528724_993076/</t>
        </is>
      </c>
      <c r="E3132" t="n">
        <v>4</v>
      </c>
      <c r="J3132" t="inlineStr">
        <is>
          <t>Calvi&amp;#xE0;</t>
        </is>
      </c>
      <c r="K3132" t="n">
        <v>31.1</v>
      </c>
      <c r="L3132" t="n">
        <v>28</v>
      </c>
      <c r="M3132" t="n">
        <v>73.90000000000001</v>
      </c>
      <c r="N3132" t="n">
        <v>61</v>
      </c>
      <c r="O3132" t="n">
        <v>19.4</v>
      </c>
      <c r="P3132" t="n">
        <v>22</v>
      </c>
      <c r="Q3132" t="n">
        <v>71.59999999999999</v>
      </c>
      <c r="R3132" t="n">
        <v>58</v>
      </c>
      <c r="S3132" t="n">
        <v>3800000</v>
      </c>
      <c r="AH3132" t="inlineStr">
        <is>
          <t>Quelle: Pisos.com</t>
        </is>
      </c>
    </row>
    <row r="3133">
      <c r="A3133" t="n">
        <v>2946</v>
      </c>
      <c r="B3133" t="inlineStr">
        <is>
          <t>Finca rústica en Torre Soli Nou</t>
        </is>
      </c>
      <c r="C3133" t="inlineStr">
        <is>
          <t>https://www.pisos.com/comprar/finca_rustica-alaior_centro_urbano-22517665809_105800/</t>
        </is>
      </c>
      <c r="E3133" t="n">
        <v>7</v>
      </c>
      <c r="J3133" t="inlineStr">
        <is>
          <t>Alaior</t>
        </is>
      </c>
      <c r="K3133" t="n">
        <v>222.9</v>
      </c>
      <c r="L3133" t="n">
        <v>397</v>
      </c>
      <c r="M3133" t="n">
        <v>265.6</v>
      </c>
      <c r="N3133" t="n">
        <v>430</v>
      </c>
      <c r="O3133" t="n">
        <v>236.8</v>
      </c>
      <c r="P3133" t="n">
        <v>402</v>
      </c>
      <c r="Q3133" t="n">
        <v>263.3</v>
      </c>
      <c r="R3133" t="n">
        <v>426</v>
      </c>
      <c r="S3133" t="n">
        <v>5800000</v>
      </c>
      <c r="AH3133" t="inlineStr">
        <is>
          <t>Quelle: Pisos.com</t>
        </is>
      </c>
    </row>
    <row r="3134">
      <c r="A3134" t="n">
        <v>2947</v>
      </c>
      <c r="B3134" t="inlineStr">
        <is>
          <t>Chalet en Mahon Centro</t>
        </is>
      </c>
      <c r="C3134" t="inlineStr">
        <is>
          <t>https://www.pisos.com/comprar/chalet-tanques_del_carme_fort_de_eau_moli_des_pla07701-19168277219_105800/</t>
        </is>
      </c>
      <c r="E3134" t="n">
        <v>10</v>
      </c>
      <c r="J3134" t="inlineStr">
        <is>
          <t>Ma&amp;#xF3; Mah&amp;#xF3;n</t>
        </is>
      </c>
      <c r="K3134" t="n">
        <v>47.4</v>
      </c>
      <c r="L3134" t="n">
        <v>40</v>
      </c>
      <c r="M3134" t="n">
        <v>51.8</v>
      </c>
      <c r="N3134" t="n">
        <v>55</v>
      </c>
      <c r="O3134" t="n">
        <v>70</v>
      </c>
      <c r="P3134" t="n">
        <v>56</v>
      </c>
      <c r="Q3134" t="n">
        <v>49.5</v>
      </c>
      <c r="R3134" t="n">
        <v>51</v>
      </c>
      <c r="S3134" t="n">
        <v>3900000</v>
      </c>
      <c r="AH3134" t="inlineStr">
        <is>
          <t>Quelle: Pisos.com</t>
        </is>
      </c>
    </row>
    <row r="3135">
      <c r="A3135" t="n">
        <v>2948</v>
      </c>
      <c r="B3135" t="inlineStr">
        <is>
          <t>Finca rústica en Es Castell</t>
        </is>
      </c>
      <c r="C3135" t="inlineStr">
        <is>
          <t>https://www.pisos.com/comprar/finca_rustica-es_castell-19265019537_105800/</t>
        </is>
      </c>
      <c r="E3135" t="n">
        <v>5</v>
      </c>
      <c r="J3135" t="inlineStr">
        <is>
          <t>Es Castell</t>
        </is>
      </c>
      <c r="K3135" t="n">
        <v>34.5</v>
      </c>
      <c r="L3135" t="n">
        <v>33</v>
      </c>
      <c r="M3135" t="n">
        <v>77.2</v>
      </c>
      <c r="N3135" t="n">
        <v>66</v>
      </c>
      <c r="O3135" t="n">
        <v>57.1</v>
      </c>
      <c r="P3135" t="n">
        <v>49</v>
      </c>
      <c r="Q3135" t="n">
        <v>74.90000000000001</v>
      </c>
      <c r="R3135" t="n">
        <v>62</v>
      </c>
      <c r="S3135" t="n">
        <v>995000</v>
      </c>
      <c r="AH3135" t="inlineStr">
        <is>
          <t>Quelle: Pisos.com</t>
        </is>
      </c>
    </row>
    <row r="3136">
      <c r="A3136" t="n">
        <v>2949</v>
      </c>
      <c r="B3136" t="inlineStr">
        <is>
          <t>Casa en Muro</t>
        </is>
      </c>
      <c r="C3136" t="inlineStr">
        <is>
          <t>https://www.pisos.com/comprar/casa-muro_centro_urbano-10876285268_993076/</t>
        </is>
      </c>
      <c r="E3136" t="n">
        <v>6</v>
      </c>
      <c r="J3136" t="inlineStr">
        <is>
          <t>Muro</t>
        </is>
      </c>
      <c r="K3136" t="n">
        <v>58.2</v>
      </c>
      <c r="L3136" t="n">
        <v>46</v>
      </c>
      <c r="M3136" t="n">
        <v>60.2</v>
      </c>
      <c r="N3136" t="n">
        <v>64</v>
      </c>
      <c r="O3136" t="n">
        <v>80.8</v>
      </c>
      <c r="P3136" t="n">
        <v>62</v>
      </c>
      <c r="Q3136" t="n">
        <v>57.9</v>
      </c>
      <c r="R3136" t="n">
        <v>61</v>
      </c>
      <c r="S3136" t="n">
        <v>1300000</v>
      </c>
      <c r="AH3136" t="inlineStr">
        <is>
          <t>Quelle: Pisos.com</t>
        </is>
      </c>
    </row>
    <row r="3137">
      <c r="A3137" t="n">
        <v>2950</v>
      </c>
      <c r="B3137" t="inlineStr">
        <is>
          <t>Casa adosada en Carrer de Portugal</t>
        </is>
      </c>
      <c r="C3137" t="inlineStr">
        <is>
          <t>https://www.pisos.com/comprar/casa_adosada-platja_alcudia_port_alcudia-5853691259_500208/</t>
        </is>
      </c>
      <c r="E3137" t="n">
        <v>3</v>
      </c>
      <c r="J3137" t="inlineStr">
        <is>
          <t>Alc&amp;#xFA;dia</t>
        </is>
      </c>
      <c r="S3137" t="n">
        <v>620000</v>
      </c>
      <c r="AH3137" t="inlineStr">
        <is>
          <t>Quelle: Pisos.com</t>
        </is>
      </c>
    </row>
    <row r="3138">
      <c r="A3138" t="n">
        <v>2951</v>
      </c>
      <c r="B3138" t="inlineStr">
        <is>
          <t>Chalet en Coves Noves</t>
        </is>
      </c>
      <c r="C3138" t="inlineStr">
        <is>
          <t>https://www.pisos.com/comprar/chalet-es_mercadal-97590205057_105800/</t>
        </is>
      </c>
      <c r="E3138" t="n">
        <v>4</v>
      </c>
      <c r="J3138" t="inlineStr">
        <is>
          <t>Es Mercadal</t>
        </is>
      </c>
      <c r="S3138" t="n">
        <v>670000</v>
      </c>
      <c r="AH3138" t="inlineStr">
        <is>
          <t>Quelle: Pisos.com</t>
        </is>
      </c>
    </row>
    <row r="3139">
      <c r="A3139" t="n">
        <v>2952</v>
      </c>
      <c r="B3139" t="inlineStr">
        <is>
          <t>Casa en Avinguda de Son Rigó</t>
        </is>
      </c>
      <c r="C3139" t="inlineStr">
        <is>
          <t>https://www.pisos.com/comprar/casa-les_meravelles07610-35873886689_101800/</t>
        </is>
      </c>
      <c r="E3139" t="n">
        <v>5</v>
      </c>
      <c r="J3139" t="inlineStr">
        <is>
          <t>Palma de Mallorca</t>
        </is>
      </c>
      <c r="K3139" t="n">
        <v>9.699999999999999</v>
      </c>
      <c r="L3139" t="n">
        <v>14</v>
      </c>
      <c r="M3139" t="n">
        <v>52.5</v>
      </c>
      <c r="N3139" t="n">
        <v>47</v>
      </c>
      <c r="O3139" t="n">
        <v>32.1</v>
      </c>
      <c r="P3139" t="n">
        <v>36</v>
      </c>
      <c r="Q3139" t="n">
        <v>50.2</v>
      </c>
      <c r="R3139" t="n">
        <v>44</v>
      </c>
      <c r="S3139" t="n">
        <v>975000</v>
      </c>
      <c r="AH3139" t="inlineStr">
        <is>
          <t>Quelle: Pisos.com</t>
        </is>
      </c>
    </row>
    <row r="3140">
      <c r="A3140" t="n">
        <v>2953</v>
      </c>
      <c r="B3140" t="inlineStr">
        <is>
          <t>Chalet adosado en Carrer de Mas</t>
        </is>
      </c>
      <c r="C3140" t="inlineStr">
        <is>
          <t>https://www.pisos.com/comprar/chalet_adosado-ponent_son_espanyolet07014-45876356364_993076/</t>
        </is>
      </c>
      <c r="E3140" t="n">
        <v>3</v>
      </c>
      <c r="J3140" t="inlineStr">
        <is>
          <t>Palma de Mallorca</t>
        </is>
      </c>
      <c r="K3140" t="n">
        <v>9.699999999999999</v>
      </c>
      <c r="L3140" t="n">
        <v>14</v>
      </c>
      <c r="M3140" t="n">
        <v>52.5</v>
      </c>
      <c r="N3140" t="n">
        <v>47</v>
      </c>
      <c r="O3140" t="n">
        <v>32.1</v>
      </c>
      <c r="P3140" t="n">
        <v>36</v>
      </c>
      <c r="Q3140" t="n">
        <v>50.2</v>
      </c>
      <c r="R3140" t="n">
        <v>44</v>
      </c>
      <c r="S3140" t="n">
        <v>1500000</v>
      </c>
      <c r="AH3140" t="inlineStr">
        <is>
          <t>Quelle: Pisos.com</t>
        </is>
      </c>
    </row>
    <row r="3141">
      <c r="A3141" t="n">
        <v>2954</v>
      </c>
      <c r="B3141" t="inlineStr">
        <is>
          <t>Chalet en Es Coll D'en Rabassa</t>
        </is>
      </c>
      <c r="C3141" t="inlineStr">
        <is>
          <t>https://www.pisos.com/comprar/chalet-el_coll_en_rabassa07007-60849938331_100500/</t>
        </is>
      </c>
      <c r="E3141" t="n">
        <v>4</v>
      </c>
      <c r="J3141" t="inlineStr">
        <is>
          <t>Palma de Mallorca</t>
        </is>
      </c>
      <c r="K3141" t="n">
        <v>9.699999999999999</v>
      </c>
      <c r="L3141" t="n">
        <v>14</v>
      </c>
      <c r="M3141" t="n">
        <v>52.5</v>
      </c>
      <c r="N3141" t="n">
        <v>47</v>
      </c>
      <c r="O3141" t="n">
        <v>32.1</v>
      </c>
      <c r="P3141" t="n">
        <v>36</v>
      </c>
      <c r="Q3141" t="n">
        <v>50.2</v>
      </c>
      <c r="R3141" t="n">
        <v>44</v>
      </c>
      <c r="S3141" t="n">
        <v>1490000</v>
      </c>
      <c r="AH3141" t="inlineStr">
        <is>
          <t>Quelle: Pisos.com</t>
        </is>
      </c>
    </row>
    <row r="3142">
      <c r="A3142" t="n">
        <v>2955</v>
      </c>
      <c r="B3142" t="inlineStr">
        <is>
          <t>Casa pareada en Establiments</t>
        </is>
      </c>
      <c r="C3142" t="inlineStr">
        <is>
          <t>https://www.pisos.com/comprar/casa_pareada-establiments07010-57533532587_100500/</t>
        </is>
      </c>
      <c r="E3142" t="n">
        <v>3</v>
      </c>
      <c r="J3142" t="inlineStr">
        <is>
          <t>Palma de Mallorca</t>
        </is>
      </c>
      <c r="S3142" t="n">
        <v>575000</v>
      </c>
      <c r="AH3142" t="inlineStr">
        <is>
          <t>Quelle: Pisos.com</t>
        </is>
      </c>
    </row>
    <row r="3143">
      <c r="A3143" t="n">
        <v>2956</v>
      </c>
      <c r="B3143" t="inlineStr">
        <is>
          <t>Casa adosada en Secar de La Real</t>
        </is>
      </c>
      <c r="C3143" t="inlineStr">
        <is>
          <t>https://www.pisos.com/comprar/casa_adosada-nord_el_secar_de_la_real07010-57596402856_100500/</t>
        </is>
      </c>
      <c r="E3143" t="n">
        <v>3</v>
      </c>
      <c r="J3143" t="inlineStr">
        <is>
          <t>Palma de Mallorca</t>
        </is>
      </c>
      <c r="S3143" t="n">
        <v>625000</v>
      </c>
      <c r="AH3143" t="inlineStr">
        <is>
          <t>Quelle: Pisos.com</t>
        </is>
      </c>
    </row>
    <row r="3144">
      <c r="A3144" t="n">
        <v>2957</v>
      </c>
      <c r="B3144" t="inlineStr">
        <is>
          <t>Chalet en Palma</t>
        </is>
      </c>
      <c r="C3144" t="inlineStr">
        <is>
          <t>https://www.pisos.com/comprar/chalet-ponent_son_espanyolet07014-45931118351_100500/</t>
        </is>
      </c>
      <c r="E3144" t="n">
        <v>2</v>
      </c>
      <c r="J3144" t="inlineStr">
        <is>
          <t>Palma de Mallorca</t>
        </is>
      </c>
      <c r="S3144" t="n">
        <v>429000</v>
      </c>
      <c r="AH3144" t="inlineStr">
        <is>
          <t>Quelle: Pisos.com</t>
        </is>
      </c>
    </row>
    <row r="3145">
      <c r="A3145" t="n">
        <v>2958</v>
      </c>
      <c r="B3145" t="inlineStr">
        <is>
          <t>Casa en Gènova</t>
        </is>
      </c>
      <c r="C3145" t="inlineStr">
        <is>
          <t>https://www.pisos.com/comprar/casa-ponent_genova07015-61753798281_501477/</t>
        </is>
      </c>
      <c r="E3145" t="n">
        <v>2</v>
      </c>
      <c r="J3145" t="inlineStr">
        <is>
          <t>Palma de Mallorca</t>
        </is>
      </c>
      <c r="S3145" t="n">
        <v>950000</v>
      </c>
      <c r="AH3145" t="inlineStr">
        <is>
          <t>Quelle: Pisos.com</t>
        </is>
      </c>
    </row>
    <row r="3146">
      <c r="A3146" t="n">
        <v>2959</v>
      </c>
      <c r="B3146" t="inlineStr">
        <is>
          <t>Casa adosada en La Bonanova-Porto Pi</t>
        </is>
      </c>
      <c r="C3146" t="inlineStr">
        <is>
          <t>https://www.pisos.com/comprar/casa_adosada-la_bonanova_porto_pi07015-61712029668_106500/</t>
        </is>
      </c>
      <c r="E3146" t="n">
        <v>2</v>
      </c>
      <c r="J3146" t="inlineStr">
        <is>
          <t>Palma de Mallorca</t>
        </is>
      </c>
      <c r="S3146" t="n">
        <v>840000</v>
      </c>
      <c r="AH3146" t="inlineStr">
        <is>
          <t>Quelle: Pisos.com</t>
        </is>
      </c>
    </row>
    <row r="3147">
      <c r="A3147" t="n">
        <v>2960</v>
      </c>
      <c r="B3147" t="inlineStr">
        <is>
          <t>Chalet en Palma de Mallorca</t>
        </is>
      </c>
      <c r="C3147" t="inlineStr">
        <is>
          <t>https://www.pisos.com/comprar/chalet-palma_de_mallorca-60018165467_106600/</t>
        </is>
      </c>
      <c r="E3147" t="n">
        <v>6</v>
      </c>
      <c r="J3147" t="inlineStr">
        <is>
          <t>Palma de Mallorca</t>
        </is>
      </c>
      <c r="K3147" t="n">
        <v>9.699999999999999</v>
      </c>
      <c r="L3147" t="n">
        <v>14</v>
      </c>
      <c r="M3147" t="n">
        <v>52.5</v>
      </c>
      <c r="N3147" t="n">
        <v>47</v>
      </c>
      <c r="O3147" t="n">
        <v>32.1</v>
      </c>
      <c r="P3147" t="n">
        <v>36</v>
      </c>
      <c r="Q3147" t="n">
        <v>50.2</v>
      </c>
      <c r="R3147" t="n">
        <v>44</v>
      </c>
      <c r="S3147" t="n">
        <v>2200000</v>
      </c>
      <c r="AH3147" t="inlineStr">
        <is>
          <t>Quelle: Pisos.com</t>
        </is>
      </c>
    </row>
    <row r="3148">
      <c r="A3148" t="n">
        <v>2961</v>
      </c>
      <c r="B3148" t="inlineStr">
        <is>
          <t>Casa adosada en Les Maravelles</t>
        </is>
      </c>
      <c r="C3148" t="inlineStr">
        <is>
          <t>https://www.pisos.com/comprar/casa_adosada-les_meravelles07610-60038307383_100500/</t>
        </is>
      </c>
      <c r="E3148" t="n">
        <v>3</v>
      </c>
      <c r="J3148" t="inlineStr">
        <is>
          <t>Palma de Mallorca</t>
        </is>
      </c>
      <c r="K3148" t="n">
        <v>9.699999999999999</v>
      </c>
      <c r="L3148" t="n">
        <v>14</v>
      </c>
      <c r="M3148" t="n">
        <v>52.5</v>
      </c>
      <c r="N3148" t="n">
        <v>47</v>
      </c>
      <c r="O3148" t="n">
        <v>32.1</v>
      </c>
      <c r="P3148" t="n">
        <v>36</v>
      </c>
      <c r="Q3148" t="n">
        <v>50.2</v>
      </c>
      <c r="R3148" t="n">
        <v>44</v>
      </c>
      <c r="S3148" t="n">
        <v>1045000</v>
      </c>
      <c r="AH3148" t="inlineStr">
        <is>
          <t>Quelle: Pisos.com</t>
        </is>
      </c>
    </row>
    <row r="3149">
      <c r="A3149" t="n">
        <v>2962</v>
      </c>
      <c r="B3149" t="inlineStr">
        <is>
          <t>Chalet en Establiments</t>
        </is>
      </c>
      <c r="C3149" t="inlineStr">
        <is>
          <t>https://www.pisos.com/comprar/chalet-establiments07010-59262065078_101800/</t>
        </is>
      </c>
      <c r="E3149" t="n">
        <v>4</v>
      </c>
      <c r="J3149" t="inlineStr">
        <is>
          <t>Palma de Mallorca</t>
        </is>
      </c>
      <c r="K3149" t="n">
        <v>9.699999999999999</v>
      </c>
      <c r="L3149" t="n">
        <v>14</v>
      </c>
      <c r="M3149" t="n">
        <v>52.5</v>
      </c>
      <c r="N3149" t="n">
        <v>47</v>
      </c>
      <c r="O3149" t="n">
        <v>32.1</v>
      </c>
      <c r="P3149" t="n">
        <v>36</v>
      </c>
      <c r="Q3149" t="n">
        <v>50.2</v>
      </c>
      <c r="R3149" t="n">
        <v>44</v>
      </c>
      <c r="S3149" t="n">
        <v>1050000</v>
      </c>
      <c r="AH3149" t="inlineStr">
        <is>
          <t>Quelle: Pisos.com</t>
        </is>
      </c>
    </row>
    <row r="3150">
      <c r="A3150" t="n">
        <v>2963</v>
      </c>
      <c r="B3150" t="inlineStr">
        <is>
          <t>Chalet en Son Armadans</t>
        </is>
      </c>
      <c r="C3150" t="inlineStr">
        <is>
          <t>https://www.pisos.com/comprar/chalet-el_terreno07015-58352352668_100500/</t>
        </is>
      </c>
      <c r="E3150" t="n">
        <v>4</v>
      </c>
      <c r="J3150" t="inlineStr">
        <is>
          <t>Palma de Mallorca</t>
        </is>
      </c>
      <c r="K3150" t="n">
        <v>9.699999999999999</v>
      </c>
      <c r="L3150" t="n">
        <v>14</v>
      </c>
      <c r="M3150" t="n">
        <v>52.5</v>
      </c>
      <c r="N3150" t="n">
        <v>47</v>
      </c>
      <c r="O3150" t="n">
        <v>32.1</v>
      </c>
      <c r="P3150" t="n">
        <v>36</v>
      </c>
      <c r="Q3150" t="n">
        <v>50.2</v>
      </c>
      <c r="R3150" t="n">
        <v>44</v>
      </c>
      <c r="S3150" t="n">
        <v>2195000</v>
      </c>
      <c r="AH3150" t="inlineStr">
        <is>
          <t>Quelle: Pisos.com</t>
        </is>
      </c>
    </row>
    <row r="3151">
      <c r="A3151" t="n">
        <v>2964</v>
      </c>
      <c r="B3151" t="inlineStr">
        <is>
          <t>Casa rústica en Son Sardina</t>
        </is>
      </c>
      <c r="C3151" t="inlineStr">
        <is>
          <t>https://www.pisos.com/comprar/casa_rustica-nord_son_sardina07120-55891477669_101800/</t>
        </is>
      </c>
      <c r="J3151" t="inlineStr">
        <is>
          <t>Palma de Mallorca</t>
        </is>
      </c>
      <c r="K3151" t="n">
        <v>9.699999999999999</v>
      </c>
      <c r="L3151" t="n">
        <v>14</v>
      </c>
      <c r="M3151" t="n">
        <v>52.5</v>
      </c>
      <c r="N3151" t="n">
        <v>47</v>
      </c>
      <c r="O3151" t="n">
        <v>32.1</v>
      </c>
      <c r="P3151" t="n">
        <v>36</v>
      </c>
      <c r="Q3151" t="n">
        <v>50.2</v>
      </c>
      <c r="R3151" t="n">
        <v>44</v>
      </c>
      <c r="S3151" t="n">
        <v>1590750</v>
      </c>
      <c r="AH3151" t="inlineStr">
        <is>
          <t>Quelle: Pisos.com</t>
        </is>
      </c>
    </row>
    <row r="3152">
      <c r="A3152" t="n">
        <v>2965</v>
      </c>
      <c r="B3152" t="inlineStr">
        <is>
          <t>Chalet adosado en Son Xigala</t>
        </is>
      </c>
      <c r="C3152" t="inlineStr">
        <is>
          <t>https://www.pisos.com/comprar/chalet_adosado-son_xigala07013-55037572837_501477/</t>
        </is>
      </c>
      <c r="E3152" t="n">
        <v>4</v>
      </c>
      <c r="J3152" t="inlineStr">
        <is>
          <t>Palma de Mallorca</t>
        </is>
      </c>
      <c r="S3152" t="n">
        <v>790000</v>
      </c>
      <c r="AH3152" t="inlineStr">
        <is>
          <t>Quelle: Pisos.com</t>
        </is>
      </c>
    </row>
    <row r="3153">
      <c r="A3153" t="n">
        <v>2966</v>
      </c>
      <c r="B3153" t="inlineStr">
        <is>
          <t>Casa adosada en Palma</t>
        </is>
      </c>
      <c r="C3153" t="inlineStr">
        <is>
          <t>https://www.pisos.com/comprar/casa_adosada-llevant_el_vivero07008-36761239095_100500/</t>
        </is>
      </c>
      <c r="E3153" t="n">
        <v>4</v>
      </c>
      <c r="J3153" t="inlineStr">
        <is>
          <t>Palma de Mallorca</t>
        </is>
      </c>
      <c r="S3153" t="n">
        <v>645000</v>
      </c>
      <c r="AH3153" t="inlineStr">
        <is>
          <t>Quelle: Pisos.com</t>
        </is>
      </c>
    </row>
    <row r="3154">
      <c r="A3154" t="n">
        <v>2967</v>
      </c>
      <c r="B3154" t="inlineStr">
        <is>
          <t>Chalet en Son Vida</t>
        </is>
      </c>
      <c r="C3154" t="inlineStr">
        <is>
          <t>https://www.pisos.com/comprar/chalet-ponent_son_vida07013-35876389317_101800/</t>
        </is>
      </c>
      <c r="E3154" t="n">
        <v>5</v>
      </c>
      <c r="J3154" t="inlineStr">
        <is>
          <t>Palma de Mallorca</t>
        </is>
      </c>
      <c r="K3154" t="n">
        <v>9.699999999999999</v>
      </c>
      <c r="L3154" t="n">
        <v>14</v>
      </c>
      <c r="M3154" t="n">
        <v>52.5</v>
      </c>
      <c r="N3154" t="n">
        <v>47</v>
      </c>
      <c r="O3154" t="n">
        <v>32.1</v>
      </c>
      <c r="P3154" t="n">
        <v>36</v>
      </c>
      <c r="Q3154" t="n">
        <v>50.2</v>
      </c>
      <c r="R3154" t="n">
        <v>44</v>
      </c>
      <c r="S3154" t="n">
        <v>5400000</v>
      </c>
      <c r="AH3154" t="inlineStr">
        <is>
          <t>Quelle: Pisos.com</t>
        </is>
      </c>
    </row>
    <row r="3155">
      <c r="A3155" t="n">
        <v>2968</v>
      </c>
      <c r="B3155" t="inlineStr">
        <is>
          <t>Chalet en Carrer Francesc Vidal i Sureda, 1</t>
        </is>
      </c>
      <c r="C3155" t="inlineStr">
        <is>
          <t>https://www.pisos.com/comprar/chalet-la_bonanova_porto_pi-55054080596_106600/</t>
        </is>
      </c>
      <c r="E3155" t="n">
        <v>5</v>
      </c>
      <c r="J3155" t="inlineStr">
        <is>
          <t>Palma de Mallorca</t>
        </is>
      </c>
      <c r="K3155" t="n">
        <v>9.699999999999999</v>
      </c>
      <c r="L3155" t="n">
        <v>14</v>
      </c>
      <c r="M3155" t="n">
        <v>52.5</v>
      </c>
      <c r="N3155" t="n">
        <v>47</v>
      </c>
      <c r="O3155" t="n">
        <v>32.1</v>
      </c>
      <c r="P3155" t="n">
        <v>36</v>
      </c>
      <c r="Q3155" t="n">
        <v>50.2</v>
      </c>
      <c r="R3155" t="n">
        <v>44</v>
      </c>
      <c r="S3155" t="n">
        <v>3500000</v>
      </c>
      <c r="AH3155" t="inlineStr">
        <is>
          <t>Quelle: Pisos.com</t>
        </is>
      </c>
    </row>
    <row r="3156">
      <c r="A3156" t="n">
        <v>2969</v>
      </c>
      <c r="B3156" t="inlineStr">
        <is>
          <t>Chalet en calle calle Aritjol, nº 1</t>
        </is>
      </c>
      <c r="C3156" t="inlineStr">
        <is>
          <t>https://www.pisos.com/comprar/chalet-llevant_sa_casa_blanca-55054673181_106600/</t>
        </is>
      </c>
      <c r="E3156" t="n">
        <v>3</v>
      </c>
      <c r="J3156" t="inlineStr">
        <is>
          <t>Palma de Mallorca</t>
        </is>
      </c>
      <c r="K3156" t="n">
        <v>9.699999999999999</v>
      </c>
      <c r="L3156" t="n">
        <v>14</v>
      </c>
      <c r="M3156" t="n">
        <v>52.5</v>
      </c>
      <c r="N3156" t="n">
        <v>47</v>
      </c>
      <c r="O3156" t="n">
        <v>32.1</v>
      </c>
      <c r="P3156" t="n">
        <v>36</v>
      </c>
      <c r="Q3156" t="n">
        <v>50.2</v>
      </c>
      <c r="R3156" t="n">
        <v>44</v>
      </c>
      <c r="S3156" t="n">
        <v>1995000</v>
      </c>
      <c r="AH3156" t="inlineStr">
        <is>
          <t>Quelle: Pisos.com</t>
        </is>
      </c>
    </row>
    <row r="3157">
      <c r="A3157" t="n">
        <v>2970</v>
      </c>
      <c r="B3157" t="inlineStr">
        <is>
          <t>Chalet adosado en Carrer de Batista, 1</t>
        </is>
      </c>
      <c r="C3157" t="inlineStr">
        <is>
          <t>https://www.pisos.com/comprar/chalet_adosado-ponent_genova07015-53346458971_529819/</t>
        </is>
      </c>
      <c r="E3157" t="n">
        <v>3</v>
      </c>
      <c r="J3157" t="inlineStr">
        <is>
          <t>Palma de Mallorca</t>
        </is>
      </c>
      <c r="K3157" t="n">
        <v>9.699999999999999</v>
      </c>
      <c r="L3157" t="n">
        <v>14</v>
      </c>
      <c r="M3157" t="n">
        <v>52.5</v>
      </c>
      <c r="N3157" t="n">
        <v>47</v>
      </c>
      <c r="O3157" t="n">
        <v>32.1</v>
      </c>
      <c r="P3157" t="n">
        <v>36</v>
      </c>
      <c r="Q3157" t="n">
        <v>50.2</v>
      </c>
      <c r="R3157" t="n">
        <v>44</v>
      </c>
      <c r="S3157" t="n">
        <v>1950000</v>
      </c>
      <c r="AH3157" t="inlineStr">
        <is>
          <t>Quelle: Pisos.com</t>
        </is>
      </c>
    </row>
    <row r="3158">
      <c r="A3158" t="n">
        <v>2971</v>
      </c>
      <c r="B3158" t="inlineStr">
        <is>
          <t>Casa en Plaça de Guillem Moragues</t>
        </is>
      </c>
      <c r="C3158" t="inlineStr">
        <is>
          <t>https://www.pisos.com/comprar/casa-pere_garau07007-44234386376_100500/</t>
        </is>
      </c>
      <c r="E3158" t="n">
        <v>4</v>
      </c>
      <c r="J3158" t="inlineStr">
        <is>
          <t>Palma de Mallorca</t>
        </is>
      </c>
      <c r="S3158" t="n">
        <v>531000</v>
      </c>
      <c r="AH3158" t="inlineStr">
        <is>
          <t>Quelle: Pisos.com</t>
        </is>
      </c>
    </row>
    <row r="3159">
      <c r="A3159" t="n">
        <v>2972</v>
      </c>
      <c r="B3159" t="inlineStr">
        <is>
          <t>Casa adosada en calle José Villalonga</t>
        </is>
      </c>
      <c r="C3159" t="inlineStr">
        <is>
          <t>https://www.pisos.com/comprar/casa_adosada-el_terreno07015-60889420693_109300/</t>
        </is>
      </c>
      <c r="E3159" t="n">
        <v>5</v>
      </c>
      <c r="J3159" t="inlineStr">
        <is>
          <t>Palma de Mallorca</t>
        </is>
      </c>
      <c r="K3159" t="n">
        <v>9.699999999999999</v>
      </c>
      <c r="L3159" t="n">
        <v>14</v>
      </c>
      <c r="M3159" t="n">
        <v>52.5</v>
      </c>
      <c r="N3159" t="n">
        <v>47</v>
      </c>
      <c r="O3159" t="n">
        <v>32.1</v>
      </c>
      <c r="P3159" t="n">
        <v>36</v>
      </c>
      <c r="Q3159" t="n">
        <v>50.2</v>
      </c>
      <c r="R3159" t="n">
        <v>44</v>
      </c>
      <c r="S3159" t="n">
        <v>2095000</v>
      </c>
      <c r="AH3159" t="inlineStr">
        <is>
          <t>Quelle: Pisos.com</t>
        </is>
      </c>
    </row>
    <row r="3160">
      <c r="A3160" t="n">
        <v>2973</v>
      </c>
      <c r="B3160" t="inlineStr">
        <is>
          <t>Chalet unifamiliar en Camí de Tramvia</t>
        </is>
      </c>
      <c r="C3160" t="inlineStr">
        <is>
          <t>https://www.pisos.com/comprar/chalet_unifamiliar-ponent_genova07015-57536772579_993076/</t>
        </is>
      </c>
      <c r="E3160" t="n">
        <v>3</v>
      </c>
      <c r="J3160" t="inlineStr">
        <is>
          <t>Palma de Mallorca</t>
        </is>
      </c>
      <c r="K3160" t="n">
        <v>9.699999999999999</v>
      </c>
      <c r="L3160" t="n">
        <v>14</v>
      </c>
      <c r="M3160" t="n">
        <v>52.5</v>
      </c>
      <c r="N3160" t="n">
        <v>47</v>
      </c>
      <c r="O3160" t="n">
        <v>32.1</v>
      </c>
      <c r="P3160" t="n">
        <v>36</v>
      </c>
      <c r="Q3160" t="n">
        <v>50.2</v>
      </c>
      <c r="R3160" t="n">
        <v>44</v>
      </c>
      <c r="S3160" t="n">
        <v>1925000</v>
      </c>
      <c r="AH3160" t="inlineStr">
        <is>
          <t>Quelle: Pisos.com</t>
        </is>
      </c>
    </row>
    <row r="3161">
      <c r="A3161" t="n">
        <v>2974</v>
      </c>
      <c r="B3161" t="inlineStr">
        <is>
          <t>Casa adosada en Carrer del Poble Espanyol</t>
        </is>
      </c>
      <c r="C3161" t="inlineStr">
        <is>
          <t>https://www.pisos.com/comprar/casa_adosada-son_dureta07014-55873609175_109300/</t>
        </is>
      </c>
      <c r="E3161" t="n">
        <v>2</v>
      </c>
      <c r="J3161" t="inlineStr">
        <is>
          <t>Palma de Mallorca</t>
        </is>
      </c>
      <c r="S3161" t="n">
        <v>530000</v>
      </c>
      <c r="AH3161" t="inlineStr">
        <is>
          <t>Quelle: Pisos.com</t>
        </is>
      </c>
    </row>
    <row r="3162">
      <c r="A3162" t="n">
        <v>2975</v>
      </c>
      <c r="B3162" t="inlineStr">
        <is>
          <t>Chalet unifamiliar en Carrer del Rector Vives, 67</t>
        </is>
      </c>
      <c r="C3162" t="inlineStr">
        <is>
          <t>https://www.pisos.com/comprar/chalet_unifamiliar-ponent_genova07015-61698520091_531985/</t>
        </is>
      </c>
      <c r="E3162" t="n">
        <v>10</v>
      </c>
      <c r="J3162" t="inlineStr">
        <is>
          <t>Palma de Mallorca</t>
        </is>
      </c>
      <c r="K3162" t="n">
        <v>9.699999999999999</v>
      </c>
      <c r="L3162" t="n">
        <v>14</v>
      </c>
      <c r="M3162" t="n">
        <v>52.5</v>
      </c>
      <c r="N3162" t="n">
        <v>47</v>
      </c>
      <c r="O3162" t="n">
        <v>32.1</v>
      </c>
      <c r="P3162" t="n">
        <v>36</v>
      </c>
      <c r="Q3162" t="n">
        <v>50.2</v>
      </c>
      <c r="R3162" t="n">
        <v>44</v>
      </c>
      <c r="S3162" t="n">
        <v>4150000</v>
      </c>
      <c r="AH3162" t="inlineStr">
        <is>
          <t>Quelle: Pisos.com</t>
        </is>
      </c>
    </row>
    <row r="3163">
      <c r="A3163" t="n">
        <v>2976</v>
      </c>
      <c r="B3163" t="inlineStr">
        <is>
          <t>Casa en calle 39°32'13.4"N 2°44'41.7"E, nº 19</t>
        </is>
      </c>
      <c r="C3163" t="inlineStr">
        <is>
          <t>https://www.pisos.com/comprar/casa-es_pillari07600-60912466264_100500/</t>
        </is>
      </c>
      <c r="E3163" t="n">
        <v>4</v>
      </c>
      <c r="J3163" t="inlineStr">
        <is>
          <t>Palma de Mallorca</t>
        </is>
      </c>
      <c r="S3163" t="n">
        <v>880000</v>
      </c>
      <c r="AH3163" t="inlineStr">
        <is>
          <t>Quelle: Pisos.com</t>
        </is>
      </c>
    </row>
    <row r="3164">
      <c r="A3164" t="n">
        <v>2977</v>
      </c>
      <c r="B3164" t="inlineStr">
        <is>
          <t>Casa pareada en Carrer de Colubí, 35</t>
        </is>
      </c>
      <c r="C3164" t="inlineStr">
        <is>
          <t>https://www.pisos.com/comprar/casa_pareada-ponent_son_espanyolet07014-55072605451_529819/</t>
        </is>
      </c>
      <c r="E3164" t="n">
        <v>2</v>
      </c>
      <c r="J3164" t="inlineStr">
        <is>
          <t>Palma de Mallorca</t>
        </is>
      </c>
      <c r="K3164" t="n">
        <v>9.699999999999999</v>
      </c>
      <c r="L3164" t="n">
        <v>14</v>
      </c>
      <c r="M3164" t="n">
        <v>52.5</v>
      </c>
      <c r="N3164" t="n">
        <v>47</v>
      </c>
      <c r="O3164" t="n">
        <v>32.1</v>
      </c>
      <c r="P3164" t="n">
        <v>36</v>
      </c>
      <c r="Q3164" t="n">
        <v>50.2</v>
      </c>
      <c r="R3164" t="n">
        <v>44</v>
      </c>
      <c r="S3164" t="n">
        <v>1290000</v>
      </c>
      <c r="AH3164" t="inlineStr">
        <is>
          <t>Quelle: Pisos.com</t>
        </is>
      </c>
    </row>
    <row r="3165">
      <c r="A3165" t="n">
        <v>2978</v>
      </c>
      <c r="B3165" t="inlineStr">
        <is>
          <t>Chalet en Carrer de Robert Graves, 110</t>
        </is>
      </c>
      <c r="C3165" t="inlineStr">
        <is>
          <t>https://www.pisos.com/comprar/chalet-el_terreno07015-54224985778_529819/</t>
        </is>
      </c>
      <c r="E3165" t="n">
        <v>5</v>
      </c>
      <c r="J3165" t="inlineStr">
        <is>
          <t>Palma de Mallorca</t>
        </is>
      </c>
      <c r="K3165" t="n">
        <v>9.699999999999999</v>
      </c>
      <c r="L3165" t="n">
        <v>14</v>
      </c>
      <c r="M3165" t="n">
        <v>52.5</v>
      </c>
      <c r="N3165" t="n">
        <v>47</v>
      </c>
      <c r="O3165" t="n">
        <v>32.1</v>
      </c>
      <c r="P3165" t="n">
        <v>36</v>
      </c>
      <c r="Q3165" t="n">
        <v>50.2</v>
      </c>
      <c r="R3165" t="n">
        <v>44</v>
      </c>
      <c r="S3165" t="n">
        <v>2795000</v>
      </c>
      <c r="AH3165" t="inlineStr">
        <is>
          <t>Quelle: Pisos.com</t>
        </is>
      </c>
    </row>
    <row r="3166">
      <c r="A3166" t="n">
        <v>2979</v>
      </c>
      <c r="B3166" t="inlineStr">
        <is>
          <t>Chalet adosado en Carrer de Bernat Visca</t>
        </is>
      </c>
      <c r="C3166" t="inlineStr">
        <is>
          <t>https://www.pisos.com/comprar/chalet_adosado-es_portixol_es_molinar07006-45037252118_291000/</t>
        </is>
      </c>
      <c r="E3166" t="n">
        <v>4</v>
      </c>
      <c r="J3166" t="inlineStr">
        <is>
          <t>Palma de Mallorca</t>
        </is>
      </c>
      <c r="K3166" t="n">
        <v>9.699999999999999</v>
      </c>
      <c r="L3166" t="n">
        <v>14</v>
      </c>
      <c r="M3166" t="n">
        <v>52.5</v>
      </c>
      <c r="N3166" t="n">
        <v>47</v>
      </c>
      <c r="O3166" t="n">
        <v>32.1</v>
      </c>
      <c r="P3166" t="n">
        <v>36</v>
      </c>
      <c r="Q3166" t="n">
        <v>50.2</v>
      </c>
      <c r="R3166" t="n">
        <v>44</v>
      </c>
      <c r="S3166" t="n">
        <v>1100000</v>
      </c>
      <c r="AH3166" t="inlineStr">
        <is>
          <t>Quelle: Pisos.com</t>
        </is>
      </c>
    </row>
    <row r="3167">
      <c r="A3167" t="n">
        <v>2980</v>
      </c>
      <c r="B3167" t="inlineStr">
        <is>
          <t>Casa adosada en Carrer de Clara Hammerl</t>
        </is>
      </c>
      <c r="C3167" t="inlineStr">
        <is>
          <t>https://www.pisos.com/comprar/casa_adosada-ponent_genova07015-30915824398_516177/</t>
        </is>
      </c>
      <c r="E3167" t="n">
        <v>4</v>
      </c>
      <c r="J3167" t="inlineStr">
        <is>
          <t>Palma de Mallorca</t>
        </is>
      </c>
      <c r="S3167" t="n">
        <v>900000</v>
      </c>
      <c r="AH3167" t="inlineStr">
        <is>
          <t>Quelle: Pisos.com</t>
        </is>
      </c>
    </row>
    <row r="3168">
      <c r="A3168" t="n">
        <v>2981</v>
      </c>
      <c r="B3168" t="inlineStr">
        <is>
          <t>Casa unifamiliar en calle Munet</t>
        </is>
      </c>
      <c r="C3168" t="inlineStr">
        <is>
          <t>https://www.pisos.com/comprar/casa_unifamiliar-ponent_son_vida07013-34204738323_517834/</t>
        </is>
      </c>
      <c r="E3168" t="n">
        <v>7</v>
      </c>
      <c r="J3168" t="inlineStr">
        <is>
          <t>Palma de Mallorca</t>
        </is>
      </c>
      <c r="K3168" t="n">
        <v>9.699999999999999</v>
      </c>
      <c r="L3168" t="n">
        <v>14</v>
      </c>
      <c r="M3168" t="n">
        <v>52.5</v>
      </c>
      <c r="N3168" t="n">
        <v>47</v>
      </c>
      <c r="O3168" t="n">
        <v>32.1</v>
      </c>
      <c r="P3168" t="n">
        <v>36</v>
      </c>
      <c r="Q3168" t="n">
        <v>50.2</v>
      </c>
      <c r="R3168" t="n">
        <v>44</v>
      </c>
      <c r="S3168" t="n">
        <v>4800000</v>
      </c>
      <c r="AH3168" t="inlineStr">
        <is>
          <t>Quelle: Pisos.com</t>
        </is>
      </c>
    </row>
    <row r="3169">
      <c r="A3169" t="n">
        <v>2982</v>
      </c>
      <c r="B3169" t="inlineStr">
        <is>
          <t>Casa adosada en La Vileta</t>
        </is>
      </c>
      <c r="C3169" t="inlineStr">
        <is>
          <t>https://www.pisos.com/comprar/casa_adosada-son_serra_sa_vileta_son_pereto07011-61688057695_109300/</t>
        </is>
      </c>
      <c r="E3169" t="n">
        <v>6</v>
      </c>
      <c r="J3169" t="inlineStr">
        <is>
          <t>Palma de Mallorca</t>
        </is>
      </c>
      <c r="K3169" t="n">
        <v>9.699999999999999</v>
      </c>
      <c r="L3169" t="n">
        <v>14</v>
      </c>
      <c r="M3169" t="n">
        <v>52.5</v>
      </c>
      <c r="N3169" t="n">
        <v>47</v>
      </c>
      <c r="O3169" t="n">
        <v>32.1</v>
      </c>
      <c r="P3169" t="n">
        <v>36</v>
      </c>
      <c r="Q3169" t="n">
        <v>50.2</v>
      </c>
      <c r="R3169" t="n">
        <v>44</v>
      </c>
      <c r="S3169" t="n">
        <v>1417500</v>
      </c>
      <c r="AH3169" t="inlineStr">
        <is>
          <t>Quelle: Pisos.com</t>
        </is>
      </c>
    </row>
    <row r="3170">
      <c r="A3170" t="n">
        <v>2983</v>
      </c>
      <c r="B3170" t="inlineStr">
        <is>
          <t>Casa en Carrer de la Camamil·la</t>
        </is>
      </c>
      <c r="C3170" t="inlineStr">
        <is>
          <t>https://www.pisos.com/comprar/casa-son_roca_son_ximelis_son_anglada07011-61680169481_109300/</t>
        </is>
      </c>
      <c r="E3170" t="n">
        <v>3</v>
      </c>
      <c r="J3170" t="inlineStr">
        <is>
          <t>Palma de Mallorca</t>
        </is>
      </c>
      <c r="S3170" t="n">
        <v>930000</v>
      </c>
      <c r="AH3170" t="inlineStr">
        <is>
          <t>Quelle: Pisos.com</t>
        </is>
      </c>
    </row>
    <row r="3171">
      <c r="A3171" t="n">
        <v>2984</v>
      </c>
      <c r="B3171" t="inlineStr">
        <is>
          <t>Casa adosada en La Vileta</t>
        </is>
      </c>
      <c r="C3171" t="inlineStr">
        <is>
          <t>https://www.pisos.com/comprar/casa_adosada-son_serra_sa_vileta_son_pereto07011-61752472958_109300/</t>
        </is>
      </c>
      <c r="E3171" t="n">
        <v>2</v>
      </c>
      <c r="J3171" t="inlineStr">
        <is>
          <t>Palma de Mallorca</t>
        </is>
      </c>
      <c r="S3171" t="n">
        <v>745000</v>
      </c>
      <c r="AH3171" t="inlineStr">
        <is>
          <t>Quelle: Pisos.com</t>
        </is>
      </c>
    </row>
    <row r="3172">
      <c r="A3172" t="n">
        <v>2985</v>
      </c>
      <c r="B3172" t="inlineStr">
        <is>
          <t>Casa pareada en Carrer de Victorio Luzuriaga</t>
        </is>
      </c>
      <c r="C3172" t="inlineStr">
        <is>
          <t>https://www.pisos.com/comprar/casa_pareada-ponent_sant_agusti-42598306926_100500/</t>
        </is>
      </c>
      <c r="E3172" t="n">
        <v>11</v>
      </c>
      <c r="J3172" t="inlineStr">
        <is>
          <t>Palma de Mallorca</t>
        </is>
      </c>
      <c r="K3172" t="n">
        <v>9.699999999999999</v>
      </c>
      <c r="L3172" t="n">
        <v>14</v>
      </c>
      <c r="M3172" t="n">
        <v>52.5</v>
      </c>
      <c r="N3172" t="n">
        <v>47</v>
      </c>
      <c r="O3172" t="n">
        <v>32.1</v>
      </c>
      <c r="P3172" t="n">
        <v>36</v>
      </c>
      <c r="Q3172" t="n">
        <v>50.2</v>
      </c>
      <c r="R3172" t="n">
        <v>44</v>
      </c>
      <c r="S3172" t="n">
        <v>3500000</v>
      </c>
      <c r="AH3172" t="inlineStr">
        <is>
          <t>Quelle: Pisos.com</t>
        </is>
      </c>
    </row>
    <row r="3173">
      <c r="A3173" t="n">
        <v>2986</v>
      </c>
      <c r="B3173" t="inlineStr">
        <is>
          <t>Chalet unifamiliar en Carrer Marbella</t>
        </is>
      </c>
      <c r="C3173" t="inlineStr">
        <is>
          <t>https://www.pisos.com/comprar/chalet_unifamiliar-les_meravelles07610-61691954635_531985/</t>
        </is>
      </c>
      <c r="E3173" t="n">
        <v>11</v>
      </c>
      <c r="J3173" t="inlineStr">
        <is>
          <t>Palma de Mallorca</t>
        </is>
      </c>
      <c r="K3173" t="n">
        <v>9.699999999999999</v>
      </c>
      <c r="L3173" t="n">
        <v>14</v>
      </c>
      <c r="M3173" t="n">
        <v>52.5</v>
      </c>
      <c r="N3173" t="n">
        <v>47</v>
      </c>
      <c r="O3173" t="n">
        <v>32.1</v>
      </c>
      <c r="P3173" t="n">
        <v>36</v>
      </c>
      <c r="Q3173" t="n">
        <v>50.2</v>
      </c>
      <c r="R3173" t="n">
        <v>44</v>
      </c>
      <c r="S3173" t="n">
        <v>2750000</v>
      </c>
      <c r="AH3173" t="inlineStr">
        <is>
          <t>Quelle: Pisos.com</t>
        </is>
      </c>
    </row>
    <row r="3174">
      <c r="A3174" t="n">
        <v>2987</v>
      </c>
      <c r="B3174" t="inlineStr">
        <is>
          <t>Casa en Carrer del Putxet</t>
        </is>
      </c>
      <c r="C3174" t="inlineStr">
        <is>
          <t>https://www.pisos.com/comprar/casa-establiments07010-60906951613_109300/</t>
        </is>
      </c>
      <c r="E3174" t="n">
        <v>2</v>
      </c>
      <c r="J3174" t="inlineStr">
        <is>
          <t>Palma de Mallorca</t>
        </is>
      </c>
      <c r="K3174" t="n">
        <v>9.699999999999999</v>
      </c>
      <c r="L3174" t="n">
        <v>14</v>
      </c>
      <c r="M3174" t="n">
        <v>52.5</v>
      </c>
      <c r="N3174" t="n">
        <v>47</v>
      </c>
      <c r="O3174" t="n">
        <v>32.1</v>
      </c>
      <c r="P3174" t="n">
        <v>36</v>
      </c>
      <c r="Q3174" t="n">
        <v>50.2</v>
      </c>
      <c r="R3174" t="n">
        <v>44</v>
      </c>
      <c r="S3174" t="n">
        <v>1200000</v>
      </c>
      <c r="AH3174" t="inlineStr">
        <is>
          <t>Quelle: Pisos.com</t>
        </is>
      </c>
    </row>
    <row r="3175">
      <c r="A3175" t="n">
        <v>2988</v>
      </c>
      <c r="B3175" t="inlineStr">
        <is>
          <t>Casa en Carrer del Putxet</t>
        </is>
      </c>
      <c r="C3175" t="inlineStr">
        <is>
          <t>https://www.pisos.com/comprar/casa-establiments07010-60858258128_109300/</t>
        </is>
      </c>
      <c r="E3175" t="n">
        <v>3</v>
      </c>
      <c r="J3175" t="inlineStr">
        <is>
          <t>Palma de Mallorca</t>
        </is>
      </c>
      <c r="S3175" t="n">
        <v>765000</v>
      </c>
      <c r="AH3175" t="inlineStr">
        <is>
          <t>Quelle: Pisos.com</t>
        </is>
      </c>
    </row>
    <row r="3176">
      <c r="A3176" t="n">
        <v>2989</v>
      </c>
      <c r="B3176" t="inlineStr">
        <is>
          <t>Casa en El Sindicat</t>
        </is>
      </c>
      <c r="C3176" t="inlineStr">
        <is>
          <t>https://www.pisos.com/comprar/casa-el_sindicat07002-60901030513_109300/</t>
        </is>
      </c>
      <c r="E3176" t="n">
        <v>4</v>
      </c>
      <c r="J3176" t="inlineStr">
        <is>
          <t>Palma de Mallorca</t>
        </is>
      </c>
      <c r="K3176" t="n">
        <v>9.699999999999999</v>
      </c>
      <c r="L3176" t="n">
        <v>14</v>
      </c>
      <c r="M3176" t="n">
        <v>52.5</v>
      </c>
      <c r="N3176" t="n">
        <v>47</v>
      </c>
      <c r="O3176" t="n">
        <v>32.1</v>
      </c>
      <c r="P3176" t="n">
        <v>36</v>
      </c>
      <c r="Q3176" t="n">
        <v>50.2</v>
      </c>
      <c r="R3176" t="n">
        <v>44</v>
      </c>
      <c r="S3176" t="n">
        <v>2250000</v>
      </c>
      <c r="AH3176" t="inlineStr">
        <is>
          <t>Quelle: Pisos.com</t>
        </is>
      </c>
    </row>
    <row r="3177">
      <c r="A3177" t="n">
        <v>2990</v>
      </c>
      <c r="B3177" t="inlineStr">
        <is>
          <t>Casa pareada en Carrer del Pare Antoni Oliver, 2</t>
        </is>
      </c>
      <c r="C3177" t="inlineStr">
        <is>
          <t>https://www.pisos.com/comprar/casa_pareada-ponent_son_espanyolet07014-60865744286_101800/</t>
        </is>
      </c>
      <c r="E3177" t="n">
        <v>5</v>
      </c>
      <c r="J3177" t="inlineStr">
        <is>
          <t>Palma de Mallorca</t>
        </is>
      </c>
      <c r="K3177" t="n">
        <v>9.699999999999999</v>
      </c>
      <c r="L3177" t="n">
        <v>14</v>
      </c>
      <c r="M3177" t="n">
        <v>52.5</v>
      </c>
      <c r="N3177" t="n">
        <v>47</v>
      </c>
      <c r="O3177" t="n">
        <v>32.1</v>
      </c>
      <c r="P3177" t="n">
        <v>36</v>
      </c>
      <c r="Q3177" t="n">
        <v>50.2</v>
      </c>
      <c r="R3177" t="n">
        <v>44</v>
      </c>
      <c r="S3177" t="n">
        <v>1000000</v>
      </c>
      <c r="AH3177" t="inlineStr">
        <is>
          <t>Quelle: Pisos.com</t>
        </is>
      </c>
    </row>
    <row r="3178">
      <c r="A3178" t="n">
        <v>2991</v>
      </c>
      <c r="B3178" t="inlineStr">
        <is>
          <t>Casa en Santa Catalina</t>
        </is>
      </c>
      <c r="C3178" t="inlineStr">
        <is>
          <t>https://www.pisos.com/comprar/casa-ponent_santa_catalina07013-60926784570_109300/</t>
        </is>
      </c>
      <c r="E3178" t="n">
        <v>3</v>
      </c>
      <c r="J3178" t="inlineStr">
        <is>
          <t>Palma de Mallorca</t>
        </is>
      </c>
      <c r="K3178" t="n">
        <v>9.699999999999999</v>
      </c>
      <c r="L3178" t="n">
        <v>14</v>
      </c>
      <c r="M3178" t="n">
        <v>52.5</v>
      </c>
      <c r="N3178" t="n">
        <v>47</v>
      </c>
      <c r="O3178" t="n">
        <v>32.1</v>
      </c>
      <c r="P3178" t="n">
        <v>36</v>
      </c>
      <c r="Q3178" t="n">
        <v>50.2</v>
      </c>
      <c r="R3178" t="n">
        <v>44</v>
      </c>
      <c r="S3178" t="n">
        <v>1390000</v>
      </c>
      <c r="AH3178" t="inlineStr">
        <is>
          <t>Quelle: Pisos.com</t>
        </is>
      </c>
    </row>
    <row r="3179">
      <c r="A3179" t="n">
        <v>2992</v>
      </c>
      <c r="B3179" t="inlineStr">
        <is>
          <t>Casa en Carrer d'Agustí</t>
        </is>
      </c>
      <c r="C3179" t="inlineStr">
        <is>
          <t>https://www.pisos.com/comprar/casa-nord_son_sardina07120-60835861885_100500/</t>
        </is>
      </c>
      <c r="E3179" t="n">
        <v>4</v>
      </c>
      <c r="J3179" t="inlineStr">
        <is>
          <t>Palma de Mallorca</t>
        </is>
      </c>
      <c r="K3179" t="n">
        <v>9.699999999999999</v>
      </c>
      <c r="L3179" t="n">
        <v>14</v>
      </c>
      <c r="M3179" t="n">
        <v>52.5</v>
      </c>
      <c r="N3179" t="n">
        <v>47</v>
      </c>
      <c r="O3179" t="n">
        <v>32.1</v>
      </c>
      <c r="P3179" t="n">
        <v>36</v>
      </c>
      <c r="Q3179" t="n">
        <v>50.2</v>
      </c>
      <c r="R3179" t="n">
        <v>44</v>
      </c>
      <c r="S3179" t="n">
        <v>1199000</v>
      </c>
      <c r="AH3179" t="inlineStr">
        <is>
          <t>Quelle: Pisos.com</t>
        </is>
      </c>
    </row>
    <row r="3180">
      <c r="A3180" t="n">
        <v>2993</v>
      </c>
      <c r="B3180" t="inlineStr">
        <is>
          <t>Casa en Sant Agustí</t>
        </is>
      </c>
      <c r="C3180" t="inlineStr">
        <is>
          <t>https://www.pisos.com/comprar/casa-ponent_sant_agusti-60008161853_100500/</t>
        </is>
      </c>
      <c r="E3180" t="n">
        <v>5</v>
      </c>
      <c r="J3180" t="inlineStr">
        <is>
          <t>Palma de Mallorca</t>
        </is>
      </c>
      <c r="K3180" t="n">
        <v>9.699999999999999</v>
      </c>
      <c r="L3180" t="n">
        <v>14</v>
      </c>
      <c r="M3180" t="n">
        <v>52.5</v>
      </c>
      <c r="N3180" t="n">
        <v>47</v>
      </c>
      <c r="O3180" t="n">
        <v>32.1</v>
      </c>
      <c r="P3180" t="n">
        <v>36</v>
      </c>
      <c r="Q3180" t="n">
        <v>50.2</v>
      </c>
      <c r="R3180" t="n">
        <v>44</v>
      </c>
      <c r="S3180" t="n">
        <v>1550000</v>
      </c>
      <c r="AH3180" t="inlineStr">
        <is>
          <t>Quelle: Pisos.com</t>
        </is>
      </c>
    </row>
    <row r="3181">
      <c r="A3181" t="n">
        <v>2994</v>
      </c>
      <c r="B3181" t="inlineStr">
        <is>
          <t>Casa en Carrer de Bailén</t>
        </is>
      </c>
      <c r="C3181" t="inlineStr">
        <is>
          <t>https://www.pisos.com/comprar/casa-el_coll_en_rabassa07007-60024420064_109300/</t>
        </is>
      </c>
      <c r="E3181" t="n">
        <v>3</v>
      </c>
      <c r="J3181" t="inlineStr">
        <is>
          <t>Palma de Mallorca</t>
        </is>
      </c>
      <c r="S3181" t="n">
        <v>975000</v>
      </c>
      <c r="AH3181" t="inlineStr">
        <is>
          <t>Quelle: Pisos.com</t>
        </is>
      </c>
    </row>
    <row r="3182">
      <c r="A3182" t="n">
        <v>2995</v>
      </c>
      <c r="B3182" t="inlineStr">
        <is>
          <t>Casa adosada en Carrer Francesc Vidal i Sureda</t>
        </is>
      </c>
      <c r="C3182" t="inlineStr">
        <is>
          <t>https://www.pisos.com/comprar/casa_adosada-la_bonanova_porto_pi07015-60019027492_108900/</t>
        </is>
      </c>
      <c r="E3182" t="n">
        <v>11</v>
      </c>
      <c r="J3182" t="inlineStr">
        <is>
          <t>Palma de Mallorca</t>
        </is>
      </c>
      <c r="K3182" t="n">
        <v>9.699999999999999</v>
      </c>
      <c r="L3182" t="n">
        <v>14</v>
      </c>
      <c r="M3182" t="n">
        <v>52.5</v>
      </c>
      <c r="N3182" t="n">
        <v>47</v>
      </c>
      <c r="O3182" t="n">
        <v>32.1</v>
      </c>
      <c r="P3182" t="n">
        <v>36</v>
      </c>
      <c r="Q3182" t="n">
        <v>50.2</v>
      </c>
      <c r="R3182" t="n">
        <v>44</v>
      </c>
      <c r="S3182" t="n">
        <v>1950000</v>
      </c>
      <c r="AH3182" t="inlineStr">
        <is>
          <t>Quelle: Pisos.com</t>
        </is>
      </c>
    </row>
    <row r="3183">
      <c r="A3183" t="n">
        <v>2996</v>
      </c>
      <c r="B3183" t="inlineStr">
        <is>
          <t>Casa adosada en Carrer de Florida</t>
        </is>
      </c>
      <c r="C3183" t="inlineStr">
        <is>
          <t>https://www.pisos.com/comprar/casa_adosada-son_serra_sa_vileta_son_pereto07011-59246898275_529819/</t>
        </is>
      </c>
      <c r="E3183" t="n">
        <v>4</v>
      </c>
      <c r="J3183" t="inlineStr">
        <is>
          <t>Palma de Mallorca</t>
        </is>
      </c>
      <c r="S3183" t="n">
        <v>660000</v>
      </c>
      <c r="AH3183" t="inlineStr">
        <is>
          <t>Quelle: Pisos.com</t>
        </is>
      </c>
    </row>
    <row r="3184">
      <c r="A3184" t="n">
        <v>2997</v>
      </c>
      <c r="B3184" t="inlineStr">
        <is>
          <t>Chalet en Gènova</t>
        </is>
      </c>
      <c r="C3184" t="inlineStr">
        <is>
          <t>https://www.pisos.com/comprar/chalet-ponent_genova07015-59181374281_101800/</t>
        </is>
      </c>
      <c r="E3184" t="n">
        <v>4</v>
      </c>
      <c r="J3184" t="inlineStr">
        <is>
          <t>Palma de Mallorca</t>
        </is>
      </c>
      <c r="K3184" t="n">
        <v>9.699999999999999</v>
      </c>
      <c r="L3184" t="n">
        <v>14</v>
      </c>
      <c r="M3184" t="n">
        <v>52.5</v>
      </c>
      <c r="N3184" t="n">
        <v>47</v>
      </c>
      <c r="O3184" t="n">
        <v>32.1</v>
      </c>
      <c r="P3184" t="n">
        <v>36</v>
      </c>
      <c r="Q3184" t="n">
        <v>50.2</v>
      </c>
      <c r="R3184" t="n">
        <v>44</v>
      </c>
      <c r="S3184" t="n">
        <v>2250000</v>
      </c>
      <c r="AH3184" t="inlineStr">
        <is>
          <t>Quelle: Pisos.com</t>
        </is>
      </c>
    </row>
    <row r="3185">
      <c r="A3185" t="n">
        <v>2998</v>
      </c>
      <c r="B3185" t="inlineStr">
        <is>
          <t>Casa adosada en Carrer de Llucmajor</t>
        </is>
      </c>
      <c r="C3185" t="inlineStr">
        <is>
          <t>https://www.pisos.com/comprar/casa_adosada-es_portixol_es_molinar07006-58371705341_529819/</t>
        </is>
      </c>
      <c r="E3185" t="n">
        <v>5</v>
      </c>
      <c r="J3185" t="inlineStr">
        <is>
          <t>Palma de Mallorca</t>
        </is>
      </c>
      <c r="K3185" t="n">
        <v>9.699999999999999</v>
      </c>
      <c r="L3185" t="n">
        <v>14</v>
      </c>
      <c r="M3185" t="n">
        <v>52.5</v>
      </c>
      <c r="N3185" t="n">
        <v>47</v>
      </c>
      <c r="O3185" t="n">
        <v>32.1</v>
      </c>
      <c r="P3185" t="n">
        <v>36</v>
      </c>
      <c r="Q3185" t="n">
        <v>50.2</v>
      </c>
      <c r="R3185" t="n">
        <v>44</v>
      </c>
      <c r="S3185" t="n">
        <v>949000</v>
      </c>
      <c r="AH3185" t="inlineStr">
        <is>
          <t>Quelle: Pisos.com</t>
        </is>
      </c>
    </row>
    <row r="3186">
      <c r="A3186" t="n">
        <v>2999</v>
      </c>
      <c r="B3186" t="inlineStr">
        <is>
          <t>Casa en Camí Vell de Sineu</t>
        </is>
      </c>
      <c r="C3186" t="inlineStr">
        <is>
          <t>https://www.pisos.com/comprar/casa-llevant_son_ferriol07198-58419176376_100500/</t>
        </is>
      </c>
      <c r="E3186" t="n">
        <v>4</v>
      </c>
      <c r="J3186" t="inlineStr">
        <is>
          <t>Palma de Mallorca</t>
        </is>
      </c>
      <c r="S3186" t="n">
        <v>535000</v>
      </c>
      <c r="AH3186" t="inlineStr">
        <is>
          <t>Quelle: Pisos.com</t>
        </is>
      </c>
    </row>
    <row r="3187">
      <c r="A3187" t="n">
        <v>3000</v>
      </c>
      <c r="B3187" t="inlineStr">
        <is>
          <t>Casa adosada en La Vileta - Son Rapinya</t>
        </is>
      </c>
      <c r="C3187" t="inlineStr">
        <is>
          <t>https://www.pisos.com/comprar/casa_adosada-son_cotoner07011-58350394202_100500/</t>
        </is>
      </c>
      <c r="E3187" t="n">
        <v>3</v>
      </c>
      <c r="J3187" t="inlineStr">
        <is>
          <t>Palma de Mallorca</t>
        </is>
      </c>
      <c r="S3187" t="n">
        <v>745000</v>
      </c>
      <c r="AH3187" t="inlineStr">
        <is>
          <t>Quelle: Pisos.com</t>
        </is>
      </c>
    </row>
    <row r="3188">
      <c r="A3188" t="n">
        <v>3001</v>
      </c>
      <c r="B3188" t="inlineStr">
        <is>
          <t>Chalet en Carrer de Montenegro</t>
        </is>
      </c>
      <c r="C3188" t="inlineStr">
        <is>
          <t>https://www.pisos.com/comprar/chalet-la_llotja_born07012-55906282079_100500/</t>
        </is>
      </c>
      <c r="E3188" t="n">
        <v>5</v>
      </c>
      <c r="J3188" t="inlineStr">
        <is>
          <t>Palma de Mallorca</t>
        </is>
      </c>
      <c r="K3188" t="n">
        <v>9.699999999999999</v>
      </c>
      <c r="L3188" t="n">
        <v>14</v>
      </c>
      <c r="M3188" t="n">
        <v>52.5</v>
      </c>
      <c r="N3188" t="n">
        <v>47</v>
      </c>
      <c r="O3188" t="n">
        <v>32.1</v>
      </c>
      <c r="P3188" t="n">
        <v>36</v>
      </c>
      <c r="Q3188" t="n">
        <v>50.2</v>
      </c>
      <c r="R3188" t="n">
        <v>44</v>
      </c>
      <c r="S3188" t="n">
        <v>1700000</v>
      </c>
      <c r="AH3188" t="inlineStr">
        <is>
          <t>Quelle: Pisos.com</t>
        </is>
      </c>
    </row>
    <row r="3189">
      <c r="A3189" t="n">
        <v>3002</v>
      </c>
      <c r="B3189" t="inlineStr">
        <is>
          <t>Casa en calle D´ Esporlas</t>
        </is>
      </c>
      <c r="C3189" t="inlineStr">
        <is>
          <t>https://www.pisos.com/comprar/casa-establiments07010-55911045610_109300/</t>
        </is>
      </c>
      <c r="E3189" t="n">
        <v>8</v>
      </c>
      <c r="J3189" t="inlineStr">
        <is>
          <t>Palma de Mallorca</t>
        </is>
      </c>
      <c r="K3189" t="n">
        <v>9.699999999999999</v>
      </c>
      <c r="L3189" t="n">
        <v>14</v>
      </c>
      <c r="M3189" t="n">
        <v>52.5</v>
      </c>
      <c r="N3189" t="n">
        <v>47</v>
      </c>
      <c r="O3189" t="n">
        <v>32.1</v>
      </c>
      <c r="P3189" t="n">
        <v>36</v>
      </c>
      <c r="Q3189" t="n">
        <v>50.2</v>
      </c>
      <c r="R3189" t="n">
        <v>44</v>
      </c>
      <c r="S3189" t="n">
        <v>1399990</v>
      </c>
      <c r="AH3189" t="inlineStr">
        <is>
          <t>Quelle: Pisos.com</t>
        </is>
      </c>
    </row>
    <row r="3190">
      <c r="A3190" t="n">
        <v>3003</v>
      </c>
      <c r="B3190" t="inlineStr">
        <is>
          <t>Casa en Carrer del Rector Vives</t>
        </is>
      </c>
      <c r="C3190" t="inlineStr">
        <is>
          <t>https://www.pisos.com/comprar/casa-ponent_genova07015-55098868296_529819/</t>
        </is>
      </c>
      <c r="E3190" t="n">
        <v>7</v>
      </c>
      <c r="J3190" t="inlineStr">
        <is>
          <t>Palma de Mallorca</t>
        </is>
      </c>
      <c r="K3190" t="n">
        <v>9.699999999999999</v>
      </c>
      <c r="L3190" t="n">
        <v>14</v>
      </c>
      <c r="M3190" t="n">
        <v>52.5</v>
      </c>
      <c r="N3190" t="n">
        <v>47</v>
      </c>
      <c r="O3190" t="n">
        <v>32.1</v>
      </c>
      <c r="P3190" t="n">
        <v>36</v>
      </c>
      <c r="Q3190" t="n">
        <v>50.2</v>
      </c>
      <c r="R3190" t="n">
        <v>44</v>
      </c>
      <c r="S3190" t="n">
        <v>1900000</v>
      </c>
      <c r="AH3190" t="inlineStr">
        <is>
          <t>Quelle: Pisos.com</t>
        </is>
      </c>
    </row>
    <row r="3191">
      <c r="A3191" t="n">
        <v>3004</v>
      </c>
      <c r="B3191" t="inlineStr">
        <is>
          <t>Chalet en Son Vida</t>
        </is>
      </c>
      <c r="C3191" t="inlineStr">
        <is>
          <t>https://www.pisos.com/comprar/chalet-ponent_son_vida07013-54193366203_100500/</t>
        </is>
      </c>
      <c r="E3191" t="n">
        <v>5</v>
      </c>
      <c r="J3191" t="inlineStr">
        <is>
          <t>Palma de Mallorca</t>
        </is>
      </c>
      <c r="K3191" t="n">
        <v>9.699999999999999</v>
      </c>
      <c r="L3191" t="n">
        <v>14</v>
      </c>
      <c r="M3191" t="n">
        <v>52.5</v>
      </c>
      <c r="N3191" t="n">
        <v>47</v>
      </c>
      <c r="O3191" t="n">
        <v>32.1</v>
      </c>
      <c r="P3191" t="n">
        <v>36</v>
      </c>
      <c r="Q3191" t="n">
        <v>50.2</v>
      </c>
      <c r="R3191" t="n">
        <v>44</v>
      </c>
      <c r="S3191" t="n">
        <v>4690000</v>
      </c>
      <c r="AH3191" t="inlineStr">
        <is>
          <t>Quelle: Pisos.com</t>
        </is>
      </c>
    </row>
    <row r="3192">
      <c r="A3192" t="n">
        <v>3005</v>
      </c>
      <c r="B3192" t="inlineStr">
        <is>
          <t>Casa adosada en calle de Ca Lonclo</t>
        </is>
      </c>
      <c r="C3192" t="inlineStr">
        <is>
          <t>https://www.pisos.com/comprar/casa_adosada-palma_de_mallorca-52566245181_109300/</t>
        </is>
      </c>
      <c r="E3192" t="n">
        <v>3</v>
      </c>
      <c r="J3192" t="inlineStr">
        <is>
          <t>Palma de Mallorca</t>
        </is>
      </c>
      <c r="S3192" t="n">
        <v>865000</v>
      </c>
      <c r="AH3192" t="inlineStr">
        <is>
          <t>Quelle: Pisos.com</t>
        </is>
      </c>
    </row>
    <row r="3193">
      <c r="A3193" t="n">
        <v>3006</v>
      </c>
      <c r="B3193" t="inlineStr">
        <is>
          <t>Casa adosada en calle Can Ribes</t>
        </is>
      </c>
      <c r="C3193" t="inlineStr">
        <is>
          <t>https://www.pisos.com/comprar/casa_adosada-palma_de_mallorca-51718366189_109300/</t>
        </is>
      </c>
      <c r="E3193" t="n">
        <v>3</v>
      </c>
      <c r="J3193" t="inlineStr">
        <is>
          <t>Palma de Mallorca</t>
        </is>
      </c>
      <c r="S3193" t="n">
        <v>845000</v>
      </c>
      <c r="AH3193" t="inlineStr">
        <is>
          <t>Quelle: Pisos.com</t>
        </is>
      </c>
    </row>
    <row r="3194">
      <c r="A3194" t="n">
        <v>3007</v>
      </c>
      <c r="B3194" t="inlineStr">
        <is>
          <t>Chalet en Génova</t>
        </is>
      </c>
      <c r="C3194" t="inlineStr">
        <is>
          <t>https://www.pisos.com/comprar/chalet-ponent_genova07015-48418810963_100500/</t>
        </is>
      </c>
      <c r="E3194" t="n">
        <v>5</v>
      </c>
      <c r="J3194" t="inlineStr">
        <is>
          <t>Palma de Mallorca</t>
        </is>
      </c>
      <c r="K3194" t="n">
        <v>9.699999999999999</v>
      </c>
      <c r="L3194" t="n">
        <v>14</v>
      </c>
      <c r="M3194" t="n">
        <v>52.5</v>
      </c>
      <c r="N3194" t="n">
        <v>47</v>
      </c>
      <c r="O3194" t="n">
        <v>32.1</v>
      </c>
      <c r="P3194" t="n">
        <v>36</v>
      </c>
      <c r="Q3194" t="n">
        <v>50.2</v>
      </c>
      <c r="R3194" t="n">
        <v>44</v>
      </c>
      <c r="S3194" t="n">
        <v>3200000</v>
      </c>
      <c r="AH3194" t="inlineStr">
        <is>
          <t>Quelle: Pisos.com</t>
        </is>
      </c>
    </row>
    <row r="3195">
      <c r="A3195" t="n">
        <v>3008</v>
      </c>
      <c r="B3195" t="inlineStr">
        <is>
          <t>Casa en Son Espanyolet</t>
        </is>
      </c>
      <c r="C3195" t="inlineStr">
        <is>
          <t>https://www.pisos.com/comprar/casa-ponent_son_espanyolet07014-47566510369_109300/</t>
        </is>
      </c>
      <c r="E3195" t="n">
        <v>5</v>
      </c>
      <c r="J3195" t="inlineStr">
        <is>
          <t>Palma de Mallorca</t>
        </is>
      </c>
      <c r="K3195" t="n">
        <v>9.699999999999999</v>
      </c>
      <c r="L3195" t="n">
        <v>14</v>
      </c>
      <c r="M3195" t="n">
        <v>52.5</v>
      </c>
      <c r="N3195" t="n">
        <v>47</v>
      </c>
      <c r="O3195" t="n">
        <v>32.1</v>
      </c>
      <c r="P3195" t="n">
        <v>36</v>
      </c>
      <c r="Q3195" t="n">
        <v>50.2</v>
      </c>
      <c r="R3195" t="n">
        <v>44</v>
      </c>
      <c r="S3195" t="n">
        <v>1050000</v>
      </c>
      <c r="AH3195" t="inlineStr">
        <is>
          <t>Quelle: Pisos.com</t>
        </is>
      </c>
    </row>
    <row r="3196">
      <c r="A3196" t="n">
        <v>3009</v>
      </c>
      <c r="B3196" t="inlineStr">
        <is>
          <t>Casa adosada en calle Can Ribes</t>
        </is>
      </c>
      <c r="C3196" t="inlineStr">
        <is>
          <t>https://www.pisos.com/comprar/casa_adosada-palma_de_mallorca-43335674370_109300/</t>
        </is>
      </c>
      <c r="E3196" t="n">
        <v>3</v>
      </c>
      <c r="J3196" t="inlineStr">
        <is>
          <t>Palma de Mallorca</t>
        </is>
      </c>
      <c r="S3196" t="n">
        <v>775000</v>
      </c>
      <c r="AH3196" t="inlineStr">
        <is>
          <t>Quelle: Pisos.com</t>
        </is>
      </c>
    </row>
    <row r="3197">
      <c r="A3197" t="n">
        <v>3010</v>
      </c>
      <c r="B3197" t="inlineStr">
        <is>
          <t>Casa en Son Flor-Son Moix</t>
        </is>
      </c>
      <c r="C3197" t="inlineStr">
        <is>
          <t>https://www.pisos.com/comprar/casa-son_flor_son_moix07011-36669237178_399900/</t>
        </is>
      </c>
      <c r="E3197" t="n">
        <v>5</v>
      </c>
      <c r="J3197" t="inlineStr">
        <is>
          <t>Palma de Mallorca</t>
        </is>
      </c>
      <c r="K3197" t="n">
        <v>9.699999999999999</v>
      </c>
      <c r="L3197" t="n">
        <v>14</v>
      </c>
      <c r="M3197" t="n">
        <v>52.5</v>
      </c>
      <c r="N3197" t="n">
        <v>47</v>
      </c>
      <c r="O3197" t="n">
        <v>32.1</v>
      </c>
      <c r="P3197" t="n">
        <v>36</v>
      </c>
      <c r="Q3197" t="n">
        <v>50.2</v>
      </c>
      <c r="R3197" t="n">
        <v>44</v>
      </c>
      <c r="S3197" t="n">
        <v>1200000</v>
      </c>
      <c r="AH3197" t="inlineStr">
        <is>
          <t>Quelle: Pisos.com</t>
        </is>
      </c>
    </row>
    <row r="3198">
      <c r="A3198" t="n">
        <v>3011</v>
      </c>
      <c r="B3198" t="inlineStr">
        <is>
          <t>Chalet unifamiliar en Binicaubell</t>
        </is>
      </c>
      <c r="C3198" t="inlineStr">
        <is>
          <t>https://www.pisos.com/comprar/chalet_unifamiliar-ponent_son_vida07013-31691767249_516177/</t>
        </is>
      </c>
      <c r="E3198" t="n">
        <v>6</v>
      </c>
      <c r="J3198" t="inlineStr">
        <is>
          <t>Palma de Mallorca</t>
        </is>
      </c>
      <c r="K3198" t="n">
        <v>9.699999999999999</v>
      </c>
      <c r="L3198" t="n">
        <v>14</v>
      </c>
      <c r="M3198" t="n">
        <v>52.5</v>
      </c>
      <c r="N3198" t="n">
        <v>47</v>
      </c>
      <c r="O3198" t="n">
        <v>32.1</v>
      </c>
      <c r="P3198" t="n">
        <v>36</v>
      </c>
      <c r="Q3198" t="n">
        <v>50.2</v>
      </c>
      <c r="R3198" t="n">
        <v>44</v>
      </c>
      <c r="S3198" t="n">
        <v>5950000</v>
      </c>
      <c r="AH3198" t="inlineStr">
        <is>
          <t>Quelle: Pisos.com</t>
        </is>
      </c>
    </row>
    <row r="3199">
      <c r="A3199" t="n">
        <v>3012</v>
      </c>
      <c r="B3199" t="inlineStr">
        <is>
          <t>Casa adosada en Carrer de Lleó XIII</t>
        </is>
      </c>
      <c r="C3199" t="inlineStr">
        <is>
          <t>https://www.pisos.com/comprar/casa_adosada-llevant_son_ferriol07198-61710515359_100500/</t>
        </is>
      </c>
      <c r="E3199" t="n">
        <v>5</v>
      </c>
      <c r="J3199" t="inlineStr">
        <is>
          <t>Palma de Mallorca</t>
        </is>
      </c>
      <c r="K3199" t="n">
        <v>9.699999999999999</v>
      </c>
      <c r="L3199" t="n">
        <v>14</v>
      </c>
      <c r="M3199" t="n">
        <v>52.5</v>
      </c>
      <c r="N3199" t="n">
        <v>47</v>
      </c>
      <c r="O3199" t="n">
        <v>32.1</v>
      </c>
      <c r="P3199" t="n">
        <v>36</v>
      </c>
      <c r="Q3199" t="n">
        <v>50.2</v>
      </c>
      <c r="R3199" t="n">
        <v>44</v>
      </c>
      <c r="S3199" t="n">
        <v>595000</v>
      </c>
      <c r="AH3199" t="inlineStr">
        <is>
          <t>Quelle: Pisos.com</t>
        </is>
      </c>
    </row>
    <row r="3200">
      <c r="A3200" t="n">
        <v>3013</v>
      </c>
      <c r="B3200" t="inlineStr">
        <is>
          <t>Casa rústica en Establiments</t>
        </is>
      </c>
      <c r="C3200" t="inlineStr">
        <is>
          <t>https://www.pisos.com/comprar/casa_rustica-establiments07010-61726841605_106700/</t>
        </is>
      </c>
      <c r="E3200" t="n">
        <v>6</v>
      </c>
      <c r="J3200" t="inlineStr">
        <is>
          <t>Palma de Mallorca</t>
        </is>
      </c>
      <c r="K3200" t="n">
        <v>9.699999999999999</v>
      </c>
      <c r="L3200" t="n">
        <v>14</v>
      </c>
      <c r="M3200" t="n">
        <v>52.5</v>
      </c>
      <c r="N3200" t="n">
        <v>47</v>
      </c>
      <c r="O3200" t="n">
        <v>32.1</v>
      </c>
      <c r="P3200" t="n">
        <v>36</v>
      </c>
      <c r="Q3200" t="n">
        <v>50.2</v>
      </c>
      <c r="R3200" t="n">
        <v>44</v>
      </c>
      <c r="S3200" t="n">
        <v>3900000</v>
      </c>
      <c r="AH3200" t="inlineStr">
        <is>
          <t>Quelle: Pisos.com</t>
        </is>
      </c>
    </row>
    <row r="3201">
      <c r="A3201" t="n">
        <v>3014</v>
      </c>
      <c r="B3201" t="inlineStr">
        <is>
          <t>Chalet en calle del Soldado Roca Oliver</t>
        </is>
      </c>
      <c r="C3201" t="inlineStr">
        <is>
          <t>https://www.pisos.com/comprar/chalet-ponent_genova07015-61763008269_100500/</t>
        </is>
      </c>
      <c r="E3201" t="n">
        <v>3</v>
      </c>
      <c r="J3201" t="inlineStr">
        <is>
          <t>Palma de Mallorca</t>
        </is>
      </c>
      <c r="K3201" t="n">
        <v>9.699999999999999</v>
      </c>
      <c r="L3201" t="n">
        <v>14</v>
      </c>
      <c r="M3201" t="n">
        <v>52.5</v>
      </c>
      <c r="N3201" t="n">
        <v>47</v>
      </c>
      <c r="O3201" t="n">
        <v>32.1</v>
      </c>
      <c r="P3201" t="n">
        <v>36</v>
      </c>
      <c r="Q3201" t="n">
        <v>50.2</v>
      </c>
      <c r="R3201" t="n">
        <v>44</v>
      </c>
      <c r="S3201" t="n">
        <v>1100000</v>
      </c>
      <c r="AH3201" t="inlineStr">
        <is>
          <t>Quelle: Pisos.com</t>
        </is>
      </c>
    </row>
    <row r="3202">
      <c r="A3202" t="n">
        <v>3015</v>
      </c>
      <c r="B3202" t="inlineStr">
        <is>
          <t>Casa en Camí de Gènova</t>
        </is>
      </c>
      <c r="C3202" t="inlineStr">
        <is>
          <t>https://www.pisos.com/comprar/casa-ponent_genova07015-61699950775_106000/</t>
        </is>
      </c>
      <c r="E3202" t="n">
        <v>7</v>
      </c>
      <c r="J3202" t="inlineStr">
        <is>
          <t>Palma de Mallorca</t>
        </is>
      </c>
      <c r="K3202" t="n">
        <v>9.699999999999999</v>
      </c>
      <c r="L3202" t="n">
        <v>14</v>
      </c>
      <c r="M3202" t="n">
        <v>52.5</v>
      </c>
      <c r="N3202" t="n">
        <v>47</v>
      </c>
      <c r="O3202" t="n">
        <v>32.1</v>
      </c>
      <c r="P3202" t="n">
        <v>36</v>
      </c>
      <c r="Q3202" t="n">
        <v>50.2</v>
      </c>
      <c r="R3202" t="n">
        <v>44</v>
      </c>
      <c r="S3202" t="n">
        <v>2450000</v>
      </c>
      <c r="AH3202" t="inlineStr">
        <is>
          <t>Quelle: Pisos.com</t>
        </is>
      </c>
    </row>
    <row r="3203">
      <c r="A3203" t="n">
        <v>3016</v>
      </c>
      <c r="B3203" t="inlineStr">
        <is>
          <t>Chalet en Genova</t>
        </is>
      </c>
      <c r="C3203" t="inlineStr">
        <is>
          <t>https://www.pisos.com/comprar/chalet-ponent_genova07015-60921950595_109300/</t>
        </is>
      </c>
      <c r="E3203" t="n">
        <v>4</v>
      </c>
      <c r="J3203" t="inlineStr">
        <is>
          <t>Palma de Mallorca</t>
        </is>
      </c>
      <c r="K3203" t="n">
        <v>9.699999999999999</v>
      </c>
      <c r="L3203" t="n">
        <v>14</v>
      </c>
      <c r="M3203" t="n">
        <v>52.5</v>
      </c>
      <c r="N3203" t="n">
        <v>47</v>
      </c>
      <c r="O3203" t="n">
        <v>32.1</v>
      </c>
      <c r="P3203" t="n">
        <v>36</v>
      </c>
      <c r="Q3203" t="n">
        <v>50.2</v>
      </c>
      <c r="R3203" t="n">
        <v>44</v>
      </c>
      <c r="S3203" t="n">
        <v>2490000</v>
      </c>
      <c r="AH3203" t="inlineStr">
        <is>
          <t>Quelle: Pisos.com</t>
        </is>
      </c>
    </row>
    <row r="3204">
      <c r="A3204" t="n">
        <v>3017</v>
      </c>
      <c r="B3204" t="inlineStr">
        <is>
          <t>Casa en calle Binifaldo</t>
        </is>
      </c>
      <c r="C3204" t="inlineStr">
        <is>
          <t>https://www.pisos.com/comprar/casa-ponent_son_vida07013-60882192970_106000/</t>
        </is>
      </c>
      <c r="E3204" t="n">
        <v>5</v>
      </c>
      <c r="J3204" t="inlineStr">
        <is>
          <t>Palma de Mallorca</t>
        </is>
      </c>
      <c r="K3204" t="n">
        <v>9.699999999999999</v>
      </c>
      <c r="L3204" t="n">
        <v>14</v>
      </c>
      <c r="M3204" t="n">
        <v>52.5</v>
      </c>
      <c r="N3204" t="n">
        <v>47</v>
      </c>
      <c r="O3204" t="n">
        <v>32.1</v>
      </c>
      <c r="P3204" t="n">
        <v>36</v>
      </c>
      <c r="Q3204" t="n">
        <v>50.2</v>
      </c>
      <c r="R3204" t="n">
        <v>44</v>
      </c>
      <c r="S3204" t="n">
        <v>4995000</v>
      </c>
      <c r="AH3204" t="inlineStr">
        <is>
          <t>Quelle: Pisos.com</t>
        </is>
      </c>
    </row>
    <row r="3205">
      <c r="A3205" t="n">
        <v>3018</v>
      </c>
      <c r="B3205" t="inlineStr">
        <is>
          <t>Casa adosada en Cas Catalá</t>
        </is>
      </c>
      <c r="C3205" t="inlineStr">
        <is>
          <t>https://www.pisos.com/comprar/casa_adosada-ponent_genova07014-60914920173_109300/</t>
        </is>
      </c>
      <c r="E3205" t="n">
        <v>4</v>
      </c>
      <c r="J3205" t="inlineStr">
        <is>
          <t>Palma de Mallorca</t>
        </is>
      </c>
      <c r="S3205" t="n">
        <v>795000</v>
      </c>
      <c r="AH3205" t="inlineStr">
        <is>
          <t>Quelle: Pisos.com</t>
        </is>
      </c>
    </row>
    <row r="3206">
      <c r="A3206" t="n">
        <v>3019</v>
      </c>
      <c r="B3206" t="inlineStr">
        <is>
          <t>Casa adosada en Son Forteza</t>
        </is>
      </c>
      <c r="C3206" t="inlineStr">
        <is>
          <t>https://www.pisos.com/comprar/casa_adosada-els_hostalets_son_fortesa07005-60898616415_109300/</t>
        </is>
      </c>
      <c r="E3206" t="n">
        <v>4</v>
      </c>
      <c r="J3206" t="inlineStr">
        <is>
          <t>Palma de Mallorca</t>
        </is>
      </c>
      <c r="S3206" t="n">
        <v>675000</v>
      </c>
      <c r="AH3206" t="inlineStr">
        <is>
          <t>Quelle: Pisos.com</t>
        </is>
      </c>
    </row>
    <row r="3207">
      <c r="A3207" t="n">
        <v>3020</v>
      </c>
      <c r="B3207" t="inlineStr">
        <is>
          <t>Casa en Carrer de Donants de Sang</t>
        </is>
      </c>
      <c r="C3207" t="inlineStr">
        <is>
          <t>https://www.pisos.com/comprar/casa-cort07001-60077621163_109300/</t>
        </is>
      </c>
      <c r="E3207" t="n">
        <v>3</v>
      </c>
      <c r="J3207" t="inlineStr">
        <is>
          <t>Palma de Mallorca</t>
        </is>
      </c>
      <c r="S3207" t="n">
        <v>790000</v>
      </c>
      <c r="AH3207" t="inlineStr">
        <is>
          <t>Quelle: Pisos.com</t>
        </is>
      </c>
    </row>
    <row r="3208">
      <c r="A3208" t="n">
        <v>3021</v>
      </c>
      <c r="B3208" t="inlineStr">
        <is>
          <t>Casa adosada en Son Espanyolet</t>
        </is>
      </c>
      <c r="C3208" t="inlineStr">
        <is>
          <t>https://www.pisos.com/comprar/casa_adosada-ponent_son_espanyolet07014-59232607427_100500/</t>
        </is>
      </c>
      <c r="E3208" t="n">
        <v>2</v>
      </c>
      <c r="J3208" t="inlineStr">
        <is>
          <t>Palma de Mallorca</t>
        </is>
      </c>
      <c r="S3208" t="n">
        <v>429000</v>
      </c>
      <c r="AH3208" t="inlineStr">
        <is>
          <t>Quelle: Pisos.com</t>
        </is>
      </c>
    </row>
    <row r="3209">
      <c r="A3209" t="n">
        <v>3022</v>
      </c>
      <c r="B3209" t="inlineStr">
        <is>
          <t>Casa adosada en Son Espanyolet</t>
        </is>
      </c>
      <c r="C3209" t="inlineStr">
        <is>
          <t>https://www.pisos.com/comprar/casa_adosada-ponent_son_espanyolet07014-59210384819_109300/</t>
        </is>
      </c>
      <c r="E3209" t="n">
        <v>5</v>
      </c>
      <c r="J3209" t="inlineStr">
        <is>
          <t>Palma de Mallorca</t>
        </is>
      </c>
      <c r="K3209" t="n">
        <v>9.699999999999999</v>
      </c>
      <c r="L3209" t="n">
        <v>14</v>
      </c>
      <c r="M3209" t="n">
        <v>52.5</v>
      </c>
      <c r="N3209" t="n">
        <v>47</v>
      </c>
      <c r="O3209" t="n">
        <v>32.1</v>
      </c>
      <c r="P3209" t="n">
        <v>36</v>
      </c>
      <c r="Q3209" t="n">
        <v>50.2</v>
      </c>
      <c r="R3209" t="n">
        <v>44</v>
      </c>
      <c r="S3209" t="n">
        <v>1050000</v>
      </c>
      <c r="AH3209" t="inlineStr">
        <is>
          <t>Quelle: Pisos.com</t>
        </is>
      </c>
    </row>
    <row r="3210">
      <c r="A3210" t="n">
        <v>3023</v>
      </c>
      <c r="B3210" t="inlineStr">
        <is>
          <t>Casa en Carrer d'Aragó</t>
        </is>
      </c>
      <c r="C3210" t="inlineStr">
        <is>
          <t>https://www.pisos.com/comprar/casa-llevant_el_vivero07008-59223976466_100500/</t>
        </is>
      </c>
      <c r="E3210" t="n">
        <v>4</v>
      </c>
      <c r="J3210" t="inlineStr">
        <is>
          <t>Palma de Mallorca</t>
        </is>
      </c>
      <c r="S3210" t="n">
        <v>890000</v>
      </c>
      <c r="AH3210" t="inlineStr">
        <is>
          <t>Quelle: Pisos.com</t>
        </is>
      </c>
    </row>
    <row r="3211">
      <c r="A3211" t="n">
        <v>3024</v>
      </c>
      <c r="B3211" t="inlineStr">
        <is>
          <t>Casa en Nou Llevant</t>
        </is>
      </c>
      <c r="C3211" t="inlineStr">
        <is>
          <t>https://www.pisos.com/comprar/casa-nou_llevant07007-58374599914_109300/</t>
        </is>
      </c>
      <c r="E3211" t="n">
        <v>3</v>
      </c>
      <c r="J3211" t="inlineStr">
        <is>
          <t>Palma de Mallorca</t>
        </is>
      </c>
      <c r="S3211" t="n">
        <v>495000</v>
      </c>
      <c r="AH3211" t="inlineStr">
        <is>
          <t>Quelle: Pisos.com</t>
        </is>
      </c>
    </row>
    <row r="3212">
      <c r="A3212" t="n">
        <v>3025</v>
      </c>
      <c r="B3212" t="inlineStr">
        <is>
          <t>Casa en Carretera de Valldemossa</t>
        </is>
      </c>
      <c r="C3212" t="inlineStr">
        <is>
          <t>https://www.pisos.com/comprar/casa-nord_son_sardina07120-55905110533_530581/</t>
        </is>
      </c>
      <c r="E3212" t="n">
        <v>5</v>
      </c>
      <c r="J3212" t="inlineStr">
        <is>
          <t>Palma de Mallorca</t>
        </is>
      </c>
      <c r="K3212" t="n">
        <v>9.699999999999999</v>
      </c>
      <c r="L3212" t="n">
        <v>14</v>
      </c>
      <c r="M3212" t="n">
        <v>52.5</v>
      </c>
      <c r="N3212" t="n">
        <v>47</v>
      </c>
      <c r="O3212" t="n">
        <v>32.1</v>
      </c>
      <c r="P3212" t="n">
        <v>36</v>
      </c>
      <c r="Q3212" t="n">
        <v>50.2</v>
      </c>
      <c r="R3212" t="n">
        <v>44</v>
      </c>
      <c r="S3212" t="n">
        <v>1995000</v>
      </c>
      <c r="AH3212" t="inlineStr">
        <is>
          <t>Quelle: Pisos.com</t>
        </is>
      </c>
    </row>
    <row r="3213">
      <c r="A3213" t="n">
        <v>3026</v>
      </c>
      <c r="B3213" t="inlineStr">
        <is>
          <t>Casa rústica en Génova</t>
        </is>
      </c>
      <c r="C3213" t="inlineStr">
        <is>
          <t>https://www.pisos.com/comprar/casa_rustica-ponent_genova07015-55026855868_106700/</t>
        </is>
      </c>
      <c r="E3213" t="n">
        <v>11</v>
      </c>
      <c r="J3213" t="inlineStr">
        <is>
          <t>Palma de Mallorca</t>
        </is>
      </c>
      <c r="K3213" t="n">
        <v>9.699999999999999</v>
      </c>
      <c r="L3213" t="n">
        <v>14</v>
      </c>
      <c r="M3213" t="n">
        <v>52.5</v>
      </c>
      <c r="N3213" t="n">
        <v>47</v>
      </c>
      <c r="O3213" t="n">
        <v>32.1</v>
      </c>
      <c r="P3213" t="n">
        <v>36</v>
      </c>
      <c r="Q3213" t="n">
        <v>50.2</v>
      </c>
      <c r="R3213" t="n">
        <v>44</v>
      </c>
      <c r="S3213" t="n">
        <v>12900000</v>
      </c>
      <c r="AH3213" t="inlineStr">
        <is>
          <t>Quelle: Pisos.com</t>
        </is>
      </c>
    </row>
    <row r="3214">
      <c r="A3214" t="n">
        <v>3027</v>
      </c>
      <c r="B3214" t="inlineStr">
        <is>
          <t>Casa rústica en Establiments</t>
        </is>
      </c>
      <c r="C3214" t="inlineStr">
        <is>
          <t>https://www.pisos.com/comprar/casa_rustica-establiments-55042116325_106700/</t>
        </is>
      </c>
      <c r="E3214" t="n">
        <v>5</v>
      </c>
      <c r="J3214" t="inlineStr">
        <is>
          <t>Palma de Mallorca</t>
        </is>
      </c>
      <c r="K3214" t="n">
        <v>9.699999999999999</v>
      </c>
      <c r="L3214" t="n">
        <v>14</v>
      </c>
      <c r="M3214" t="n">
        <v>52.5</v>
      </c>
      <c r="N3214" t="n">
        <v>47</v>
      </c>
      <c r="O3214" t="n">
        <v>32.1</v>
      </c>
      <c r="P3214" t="n">
        <v>36</v>
      </c>
      <c r="Q3214" t="n">
        <v>50.2</v>
      </c>
      <c r="R3214" t="n">
        <v>44</v>
      </c>
      <c r="S3214" t="n">
        <v>3600000</v>
      </c>
      <c r="AH3214" t="inlineStr">
        <is>
          <t>Quelle: Pisos.com</t>
        </is>
      </c>
    </row>
    <row r="3215">
      <c r="A3215" t="n">
        <v>3028</v>
      </c>
      <c r="B3215" t="inlineStr">
        <is>
          <t>Casa rústica en Son Gual</t>
        </is>
      </c>
      <c r="C3215" t="inlineStr">
        <is>
          <t>https://www.pisos.com/comprar/casa_rustica-llevant_sant_jordi07199-55077620372_106700/</t>
        </is>
      </c>
      <c r="E3215" t="n">
        <v>4</v>
      </c>
      <c r="J3215" t="inlineStr">
        <is>
          <t>Palma de Mallorca</t>
        </is>
      </c>
      <c r="K3215" t="n">
        <v>9.699999999999999</v>
      </c>
      <c r="L3215" t="n">
        <v>14</v>
      </c>
      <c r="M3215" t="n">
        <v>52.5</v>
      </c>
      <c r="N3215" t="n">
        <v>47</v>
      </c>
      <c r="O3215" t="n">
        <v>32.1</v>
      </c>
      <c r="P3215" t="n">
        <v>36</v>
      </c>
      <c r="Q3215" t="n">
        <v>50.2</v>
      </c>
      <c r="R3215" t="n">
        <v>44</v>
      </c>
      <c r="S3215" t="n">
        <v>6150000</v>
      </c>
      <c r="AH3215" t="inlineStr">
        <is>
          <t>Quelle: Pisos.com</t>
        </is>
      </c>
    </row>
    <row r="3216">
      <c r="A3216" t="n">
        <v>3029</v>
      </c>
      <c r="B3216" t="inlineStr">
        <is>
          <t>Chalet en calle de Binifaldó</t>
        </is>
      </c>
      <c r="C3216" t="inlineStr">
        <is>
          <t>https://www.pisos.com/comprar/chalet-ponent_son_vida07013-55058720876_100500/</t>
        </is>
      </c>
      <c r="E3216" t="n">
        <v>4</v>
      </c>
      <c r="J3216" t="inlineStr">
        <is>
          <t>Palma de Mallorca</t>
        </is>
      </c>
      <c r="K3216" t="n">
        <v>9.699999999999999</v>
      </c>
      <c r="L3216" t="n">
        <v>14</v>
      </c>
      <c r="M3216" t="n">
        <v>52.5</v>
      </c>
      <c r="N3216" t="n">
        <v>47</v>
      </c>
      <c r="O3216" t="n">
        <v>32.1</v>
      </c>
      <c r="P3216" t="n">
        <v>36</v>
      </c>
      <c r="Q3216" t="n">
        <v>50.2</v>
      </c>
      <c r="R3216" t="n">
        <v>44</v>
      </c>
      <c r="S3216" t="n">
        <v>5500000</v>
      </c>
      <c r="AH3216" t="inlineStr">
        <is>
          <t>Quelle: Pisos.com</t>
        </is>
      </c>
    </row>
    <row r="3217">
      <c r="A3217" t="n">
        <v>3030</v>
      </c>
      <c r="B3217" t="inlineStr">
        <is>
          <t>Chalet en Carrer de Son Gual II</t>
        </is>
      </c>
      <c r="C3217" t="inlineStr">
        <is>
          <t>https://www.pisos.com/comprar/chalet-llevant_sant_jordi07199-54219370931_100500/</t>
        </is>
      </c>
      <c r="E3217" t="n">
        <v>4</v>
      </c>
      <c r="J3217" t="inlineStr">
        <is>
          <t>Palma de Mallorca</t>
        </is>
      </c>
      <c r="K3217" t="n">
        <v>9.699999999999999</v>
      </c>
      <c r="L3217" t="n">
        <v>14</v>
      </c>
      <c r="M3217" t="n">
        <v>52.5</v>
      </c>
      <c r="N3217" t="n">
        <v>47</v>
      </c>
      <c r="O3217" t="n">
        <v>32.1</v>
      </c>
      <c r="P3217" t="n">
        <v>36</v>
      </c>
      <c r="Q3217" t="n">
        <v>50.2</v>
      </c>
      <c r="R3217" t="n">
        <v>44</v>
      </c>
      <c r="S3217" t="n">
        <v>3495000</v>
      </c>
      <c r="AH3217" t="inlineStr">
        <is>
          <t>Quelle: Pisos.com</t>
        </is>
      </c>
    </row>
    <row r="3218">
      <c r="A3218" t="n">
        <v>3031</v>
      </c>
      <c r="B3218" t="inlineStr">
        <is>
          <t>Casa adosada en Camí de Can Soler</t>
        </is>
      </c>
      <c r="C3218" t="inlineStr">
        <is>
          <t>https://www.pisos.com/comprar/casa_adosada-cala_major-52516338220_100500/</t>
        </is>
      </c>
      <c r="E3218" t="n">
        <v>4</v>
      </c>
      <c r="J3218" t="inlineStr">
        <is>
          <t>Palma de Mallorca</t>
        </is>
      </c>
      <c r="S3218" t="n">
        <v>690000</v>
      </c>
      <c r="AH3218" t="inlineStr">
        <is>
          <t>Quelle: Pisos.com</t>
        </is>
      </c>
    </row>
    <row r="3219">
      <c r="A3219" t="n">
        <v>3032</v>
      </c>
      <c r="B3219" t="inlineStr">
        <is>
          <t>Casa adosada en Les Meravelles</t>
        </is>
      </c>
      <c r="C3219" t="inlineStr">
        <is>
          <t>https://www.pisos.com/comprar/casa_adosada-les_meravelles07610-51764386031_109300/</t>
        </is>
      </c>
      <c r="E3219" t="n">
        <v>4</v>
      </c>
      <c r="J3219" t="inlineStr">
        <is>
          <t>Palma de Mallorca</t>
        </is>
      </c>
      <c r="S3219" t="n">
        <v>839000</v>
      </c>
      <c r="AH3219" t="inlineStr">
        <is>
          <t>Quelle: Pisos.com</t>
        </is>
      </c>
    </row>
    <row r="3220">
      <c r="A3220" t="n">
        <v>3033</v>
      </c>
      <c r="B3220" t="inlineStr">
        <is>
          <t>Casa en Cala Major</t>
        </is>
      </c>
      <c r="C3220" t="inlineStr">
        <is>
          <t>https://www.pisos.com/comprar/casa-ponent_sant_agusti-44204473256_100500/</t>
        </is>
      </c>
      <c r="E3220" t="n">
        <v>11</v>
      </c>
      <c r="J3220" t="inlineStr">
        <is>
          <t>Palma de Mallorca</t>
        </is>
      </c>
      <c r="K3220" t="n">
        <v>9.699999999999999</v>
      </c>
      <c r="L3220" t="n">
        <v>14</v>
      </c>
      <c r="M3220" t="n">
        <v>52.5</v>
      </c>
      <c r="N3220" t="n">
        <v>47</v>
      </c>
      <c r="O3220" t="n">
        <v>32.1</v>
      </c>
      <c r="P3220" t="n">
        <v>36</v>
      </c>
      <c r="Q3220" t="n">
        <v>50.2</v>
      </c>
      <c r="R3220" t="n">
        <v>44</v>
      </c>
      <c r="S3220" t="n">
        <v>3500000</v>
      </c>
      <c r="AH3220" t="inlineStr">
        <is>
          <t>Quelle: Pisos.com</t>
        </is>
      </c>
    </row>
    <row r="3221">
      <c r="A3221" t="n">
        <v>3034</v>
      </c>
      <c r="B3221" t="inlineStr">
        <is>
          <t>Casa en Carrer de Ruda</t>
        </is>
      </c>
      <c r="C3221" t="inlineStr">
        <is>
          <t>https://www.pisos.com/comprar/casa-son_roca_son_ximelis_son_anglada07011-51684749801_516177/</t>
        </is>
      </c>
      <c r="E3221" t="n">
        <v>3</v>
      </c>
      <c r="J3221" t="inlineStr">
        <is>
          <t>Palma de Mallorca</t>
        </is>
      </c>
      <c r="K3221" t="n">
        <v>9.699999999999999</v>
      </c>
      <c r="L3221" t="n">
        <v>14</v>
      </c>
      <c r="M3221" t="n">
        <v>52.5</v>
      </c>
      <c r="N3221" t="n">
        <v>47</v>
      </c>
      <c r="O3221" t="n">
        <v>32.1</v>
      </c>
      <c r="P3221" t="n">
        <v>36</v>
      </c>
      <c r="Q3221" t="n">
        <v>50.2</v>
      </c>
      <c r="R3221" t="n">
        <v>44</v>
      </c>
      <c r="S3221" t="n">
        <v>1450000</v>
      </c>
      <c r="AH3221" t="inlineStr">
        <is>
          <t>Quelle: Pisos.com</t>
        </is>
      </c>
    </row>
    <row r="3222">
      <c r="A3222" t="n">
        <v>3035</v>
      </c>
      <c r="B3222" t="inlineStr">
        <is>
          <t>Chalet adosado en Passatge 391</t>
        </is>
      </c>
      <c r="C3222" t="inlineStr">
        <is>
          <t>https://www.pisos.com/comprar/chalet_adosado-establiments07010-50866793300_291000/</t>
        </is>
      </c>
      <c r="E3222" t="n">
        <v>4</v>
      </c>
      <c r="J3222" t="inlineStr">
        <is>
          <t>Palma de Mallorca</t>
        </is>
      </c>
      <c r="S3222" t="n">
        <v>950000</v>
      </c>
      <c r="AH3222" t="inlineStr">
        <is>
          <t>Quelle: Pisos.com</t>
        </is>
      </c>
    </row>
    <row r="3223">
      <c r="A3223" t="n">
        <v>3036</v>
      </c>
      <c r="B3223" t="inlineStr">
        <is>
          <t>Casa en Carretera de Llucmajor</t>
        </is>
      </c>
      <c r="C3223" t="inlineStr">
        <is>
          <t>https://www.pisos.com/comprar/casa-llevant_saranjassa07199-50020414308_291000/</t>
        </is>
      </c>
      <c r="E3223" t="n">
        <v>5</v>
      </c>
      <c r="J3223" t="inlineStr">
        <is>
          <t>Palma de Mallorca</t>
        </is>
      </c>
      <c r="K3223" t="n">
        <v>9.699999999999999</v>
      </c>
      <c r="L3223" t="n">
        <v>14</v>
      </c>
      <c r="M3223" t="n">
        <v>52.5</v>
      </c>
      <c r="N3223" t="n">
        <v>47</v>
      </c>
      <c r="O3223" t="n">
        <v>32.1</v>
      </c>
      <c r="P3223" t="n">
        <v>36</v>
      </c>
      <c r="Q3223" t="n">
        <v>50.2</v>
      </c>
      <c r="R3223" t="n">
        <v>44</v>
      </c>
      <c r="S3223" t="n">
        <v>2549000</v>
      </c>
      <c r="AH3223" t="inlineStr">
        <is>
          <t>Quelle: Pisos.com</t>
        </is>
      </c>
    </row>
    <row r="3224">
      <c r="A3224" t="n">
        <v>3037</v>
      </c>
      <c r="B3224" t="inlineStr">
        <is>
          <t>Casa en Carrer de Rosa Canals</t>
        </is>
      </c>
      <c r="C3224" t="inlineStr">
        <is>
          <t>https://www.pisos.com/comprar/casa-nord_son_sardina07120-41755424224_100500/</t>
        </is>
      </c>
      <c r="E3224" t="n">
        <v>5</v>
      </c>
      <c r="J3224" t="inlineStr">
        <is>
          <t>Palma de Mallorca</t>
        </is>
      </c>
      <c r="K3224" t="n">
        <v>9.699999999999999</v>
      </c>
      <c r="L3224" t="n">
        <v>14</v>
      </c>
      <c r="M3224" t="n">
        <v>52.5</v>
      </c>
      <c r="N3224" t="n">
        <v>47</v>
      </c>
      <c r="O3224" t="n">
        <v>32.1</v>
      </c>
      <c r="P3224" t="n">
        <v>36</v>
      </c>
      <c r="Q3224" t="n">
        <v>50.2</v>
      </c>
      <c r="R3224" t="n">
        <v>44</v>
      </c>
      <c r="S3224" t="n">
        <v>750000</v>
      </c>
      <c r="AH3224" t="inlineStr">
        <is>
          <t>Quelle: Pisos.com</t>
        </is>
      </c>
    </row>
    <row r="3225">
      <c r="A3225" t="n">
        <v>3038</v>
      </c>
      <c r="B3225" t="inlineStr">
        <is>
          <t>Casa en Carrer de Niceto Alcalá Zamora</t>
        </is>
      </c>
      <c r="C3225" t="inlineStr">
        <is>
          <t>https://www.pisos.com/comprar/casa-es_camp_en_serralta07013-60902116846_109300/</t>
        </is>
      </c>
      <c r="J3225" t="inlineStr">
        <is>
          <t>Palma de Mallorca</t>
        </is>
      </c>
      <c r="K3225" t="n">
        <v>9.699999999999999</v>
      </c>
      <c r="L3225" t="n">
        <v>14</v>
      </c>
      <c r="M3225" t="n">
        <v>52.5</v>
      </c>
      <c r="N3225" t="n">
        <v>47</v>
      </c>
      <c r="O3225" t="n">
        <v>32.1</v>
      </c>
      <c r="P3225" t="n">
        <v>36</v>
      </c>
      <c r="Q3225" t="n">
        <v>50.2</v>
      </c>
      <c r="R3225" t="n">
        <v>44</v>
      </c>
      <c r="S3225" t="n">
        <v>1000000</v>
      </c>
      <c r="AH3225" t="inlineStr">
        <is>
          <t>Quelle: Pisos.com</t>
        </is>
      </c>
    </row>
    <row r="3226">
      <c r="A3226" t="n">
        <v>3039</v>
      </c>
      <c r="B3226" t="inlineStr">
        <is>
          <t>Chalet en Carrer Son Espanyolet</t>
        </is>
      </c>
      <c r="C3226" t="inlineStr">
        <is>
          <t>https://www.pisos.com/comprar/chalet-ponent_son_espanyolet07014-57524435582_106000/</t>
        </is>
      </c>
      <c r="E3226" t="n">
        <v>3</v>
      </c>
      <c r="J3226" t="inlineStr">
        <is>
          <t>Palma de Mallorca</t>
        </is>
      </c>
      <c r="K3226" t="n">
        <v>9.699999999999999</v>
      </c>
      <c r="L3226" t="n">
        <v>14</v>
      </c>
      <c r="M3226" t="n">
        <v>52.5</v>
      </c>
      <c r="N3226" t="n">
        <v>47</v>
      </c>
      <c r="O3226" t="n">
        <v>32.1</v>
      </c>
      <c r="P3226" t="n">
        <v>36</v>
      </c>
      <c r="Q3226" t="n">
        <v>50.2</v>
      </c>
      <c r="R3226" t="n">
        <v>44</v>
      </c>
      <c r="S3226" t="n">
        <v>1500000</v>
      </c>
      <c r="AH3226" t="inlineStr">
        <is>
          <t>Quelle: Pisos.com</t>
        </is>
      </c>
    </row>
    <row r="3227">
      <c r="A3227" t="n">
        <v>3040</v>
      </c>
      <c r="B3227" t="inlineStr">
        <is>
          <t>Chalet en Carrer de Gabelli</t>
        </is>
      </c>
      <c r="C3227" t="inlineStr">
        <is>
          <t>https://www.pisos.com/comprar/chalet-ponent_son_vida07013-45881510937_100500/</t>
        </is>
      </c>
      <c r="E3227" t="n">
        <v>5</v>
      </c>
      <c r="J3227" t="inlineStr">
        <is>
          <t>Palma de Mallorca</t>
        </is>
      </c>
      <c r="K3227" t="n">
        <v>9.699999999999999</v>
      </c>
      <c r="L3227" t="n">
        <v>14</v>
      </c>
      <c r="M3227" t="n">
        <v>52.5</v>
      </c>
      <c r="N3227" t="n">
        <v>47</v>
      </c>
      <c r="O3227" t="n">
        <v>32.1</v>
      </c>
      <c r="P3227" t="n">
        <v>36</v>
      </c>
      <c r="Q3227" t="n">
        <v>50.2</v>
      </c>
      <c r="R3227" t="n">
        <v>44</v>
      </c>
      <c r="S3227" t="n">
        <v>4500000</v>
      </c>
      <c r="AH3227" t="inlineStr">
        <is>
          <t>Quelle: Pisos.com</t>
        </is>
      </c>
    </row>
    <row r="3228">
      <c r="A3228" t="n">
        <v>3041</v>
      </c>
      <c r="B3228" t="inlineStr">
        <is>
          <t>Casa en Sant Jordi</t>
        </is>
      </c>
      <c r="C3228" t="inlineStr">
        <is>
          <t>https://www.pisos.com/comprar/casa-llevant_sant_jordi07199-31708958253_291000/</t>
        </is>
      </c>
      <c r="E3228" t="n">
        <v>6</v>
      </c>
      <c r="J3228" t="inlineStr">
        <is>
          <t>Palma de Mallorca</t>
        </is>
      </c>
      <c r="K3228" t="n">
        <v>9.699999999999999</v>
      </c>
      <c r="L3228" t="n">
        <v>14</v>
      </c>
      <c r="M3228" t="n">
        <v>52.5</v>
      </c>
      <c r="N3228" t="n">
        <v>47</v>
      </c>
      <c r="O3228" t="n">
        <v>32.1</v>
      </c>
      <c r="P3228" t="n">
        <v>36</v>
      </c>
      <c r="Q3228" t="n">
        <v>50.2</v>
      </c>
      <c r="R3228" t="n">
        <v>44</v>
      </c>
      <c r="S3228" t="n">
        <v>2499000</v>
      </c>
      <c r="AH3228" t="inlineStr">
        <is>
          <t>Quelle: Pisos.com</t>
        </is>
      </c>
    </row>
    <row r="3229">
      <c r="A3229" t="n">
        <v>3042</v>
      </c>
      <c r="B3229" t="inlineStr">
        <is>
          <t>Casa en Bons Aires</t>
        </is>
      </c>
      <c r="C3229" t="inlineStr">
        <is>
          <t>https://www.pisos.com/comprar/casa-bons_aires07010-95866674723_291000/</t>
        </is>
      </c>
      <c r="E3229" t="n">
        <v>4</v>
      </c>
      <c r="J3229" t="inlineStr">
        <is>
          <t>Palma de Mallorca</t>
        </is>
      </c>
      <c r="K3229" t="n">
        <v>9.699999999999999</v>
      </c>
      <c r="L3229" t="n">
        <v>14</v>
      </c>
      <c r="M3229" t="n">
        <v>52.5</v>
      </c>
      <c r="N3229" t="n">
        <v>47</v>
      </c>
      <c r="O3229" t="n">
        <v>32.1</v>
      </c>
      <c r="P3229" t="n">
        <v>36</v>
      </c>
      <c r="Q3229" t="n">
        <v>50.2</v>
      </c>
      <c r="R3229" t="n">
        <v>44</v>
      </c>
      <c r="S3229" t="n">
        <v>1275000</v>
      </c>
      <c r="AH3229" t="inlineStr">
        <is>
          <t>Quelle: Pisos.com</t>
        </is>
      </c>
    </row>
    <row r="3230">
      <c r="A3230" t="n">
        <v>3043</v>
      </c>
      <c r="B3230" t="inlineStr">
        <is>
          <t>Casa adosada en Portixol</t>
        </is>
      </c>
      <c r="C3230" t="inlineStr">
        <is>
          <t>https://www.pisos.com/comprar/casa_adosada-es_portixol_es_molinar07006-61754032764_108900/</t>
        </is>
      </c>
      <c r="E3230" t="n">
        <v>3</v>
      </c>
      <c r="J3230" t="inlineStr">
        <is>
          <t>Palma de Mallorca</t>
        </is>
      </c>
      <c r="K3230" t="n">
        <v>9.699999999999999</v>
      </c>
      <c r="L3230" t="n">
        <v>14</v>
      </c>
      <c r="M3230" t="n">
        <v>52.5</v>
      </c>
      <c r="N3230" t="n">
        <v>47</v>
      </c>
      <c r="O3230" t="n">
        <v>32.1</v>
      </c>
      <c r="P3230" t="n">
        <v>36</v>
      </c>
      <c r="Q3230" t="n">
        <v>50.2</v>
      </c>
      <c r="R3230" t="n">
        <v>44</v>
      </c>
      <c r="S3230" t="n">
        <v>3250000</v>
      </c>
      <c r="AH3230" t="inlineStr">
        <is>
          <t>Quelle: Pisos.com</t>
        </is>
      </c>
    </row>
    <row r="3231">
      <c r="A3231" t="n">
        <v>3044</v>
      </c>
      <c r="B3231" t="inlineStr">
        <is>
          <t>Casa adosada en Sant Agustí</t>
        </is>
      </c>
      <c r="C3231" t="inlineStr">
        <is>
          <t>https://www.pisos.com/comprar/casa_adosada-ponent_sant_agusti-60911585420_100500/</t>
        </is>
      </c>
      <c r="E3231" t="n">
        <v>4</v>
      </c>
      <c r="J3231" t="inlineStr">
        <is>
          <t>Palma de Mallorca</t>
        </is>
      </c>
      <c r="S3231" t="n">
        <v>895000</v>
      </c>
      <c r="AH3231" t="inlineStr">
        <is>
          <t>Quelle: Pisos.com</t>
        </is>
      </c>
    </row>
    <row r="3232">
      <c r="A3232" t="n">
        <v>3045</v>
      </c>
      <c r="B3232" t="inlineStr">
        <is>
          <t>Casa adosada en Sant Agustí</t>
        </is>
      </c>
      <c r="C3232" t="inlineStr">
        <is>
          <t>https://www.pisos.com/comprar/casa_adosada-ponent_sant_agusti-60887276431_100500/</t>
        </is>
      </c>
      <c r="E3232" t="n">
        <v>2</v>
      </c>
      <c r="J3232" t="inlineStr">
        <is>
          <t>Palma de Mallorca</t>
        </is>
      </c>
      <c r="S3232" t="n">
        <v>839000</v>
      </c>
      <c r="AH3232" t="inlineStr">
        <is>
          <t>Quelle: Pisos.com</t>
        </is>
      </c>
    </row>
    <row r="3233">
      <c r="A3233" t="n">
        <v>3046</v>
      </c>
      <c r="B3233" t="inlineStr">
        <is>
          <t>Casa en El Vivero</t>
        </is>
      </c>
      <c r="C3233" t="inlineStr">
        <is>
          <t>https://www.pisos.com/comprar/casa-llevant_el_vivero07008-60850632925_100500/</t>
        </is>
      </c>
      <c r="E3233" t="n">
        <v>4</v>
      </c>
      <c r="J3233" t="inlineStr">
        <is>
          <t>Palma de Mallorca</t>
        </is>
      </c>
      <c r="S3233" t="n">
        <v>890000</v>
      </c>
      <c r="AH3233" t="inlineStr">
        <is>
          <t>Quelle: Pisos.com</t>
        </is>
      </c>
    </row>
    <row r="3234">
      <c r="A3234" t="n">
        <v>3047</v>
      </c>
      <c r="B3234" t="inlineStr">
        <is>
          <t>Casa en Establiments - Son Sardina</t>
        </is>
      </c>
      <c r="C3234" t="inlineStr">
        <is>
          <t>https://www.pisos.com/comprar/casa-nord_son_sardina07120-60029955397_100500/</t>
        </is>
      </c>
      <c r="E3234" t="n">
        <v>4</v>
      </c>
      <c r="J3234" t="inlineStr">
        <is>
          <t>Palma de Mallorca</t>
        </is>
      </c>
      <c r="S3234" t="n">
        <v>850000</v>
      </c>
      <c r="AH3234" t="inlineStr">
        <is>
          <t>Quelle: Pisos.com</t>
        </is>
      </c>
    </row>
    <row r="3235">
      <c r="A3235" t="n">
        <v>3048</v>
      </c>
      <c r="B3235" t="inlineStr">
        <is>
          <t>Casa en Son Rapinya</t>
        </is>
      </c>
      <c r="C3235" t="inlineStr">
        <is>
          <t>https://www.pisos.com/comprar/casa-son_rapinya_los_almendros07013-60023139983_100500/</t>
        </is>
      </c>
      <c r="E3235" t="n">
        <v>3</v>
      </c>
      <c r="J3235" t="inlineStr">
        <is>
          <t>Palma de Mallorca</t>
        </is>
      </c>
      <c r="K3235" t="n">
        <v>9.699999999999999</v>
      </c>
      <c r="L3235" t="n">
        <v>14</v>
      </c>
      <c r="M3235" t="n">
        <v>52.5</v>
      </c>
      <c r="N3235" t="n">
        <v>47</v>
      </c>
      <c r="O3235" t="n">
        <v>32.1</v>
      </c>
      <c r="P3235" t="n">
        <v>36</v>
      </c>
      <c r="Q3235" t="n">
        <v>50.2</v>
      </c>
      <c r="R3235" t="n">
        <v>44</v>
      </c>
      <c r="S3235" t="n">
        <v>1250000</v>
      </c>
      <c r="AH3235" t="inlineStr">
        <is>
          <t>Quelle: Pisos.com</t>
        </is>
      </c>
    </row>
    <row r="3236">
      <c r="A3236" t="n">
        <v>3049</v>
      </c>
      <c r="B3236" t="inlineStr">
        <is>
          <t>Casa pareada en Amanecer</t>
        </is>
      </c>
      <c r="C3236" t="inlineStr">
        <is>
          <t>https://www.pisos.com/comprar/casa_pareada-amanecer07004-58377664998_100500/</t>
        </is>
      </c>
      <c r="E3236" t="n">
        <v>4</v>
      </c>
      <c r="J3236" t="inlineStr">
        <is>
          <t>Palma de Mallorca</t>
        </is>
      </c>
      <c r="S3236" t="n">
        <v>900000</v>
      </c>
      <c r="AH3236" t="inlineStr">
        <is>
          <t>Quelle: Pisos.com</t>
        </is>
      </c>
    </row>
    <row r="3237">
      <c r="A3237" t="n">
        <v>3050</v>
      </c>
      <c r="B3237" t="inlineStr">
        <is>
          <t>Casa unifamiliar en Can Pastilla</t>
        </is>
      </c>
      <c r="C3237" t="inlineStr">
        <is>
          <t>https://www.pisos.com/comprar/casa_unifamiliar-can_pastilla-58428309928_100500/</t>
        </is>
      </c>
      <c r="E3237" t="n">
        <v>5</v>
      </c>
      <c r="J3237" t="inlineStr">
        <is>
          <t>Palma de Mallorca</t>
        </is>
      </c>
      <c r="K3237" t="n">
        <v>9.699999999999999</v>
      </c>
      <c r="L3237" t="n">
        <v>14</v>
      </c>
      <c r="M3237" t="n">
        <v>52.5</v>
      </c>
      <c r="N3237" t="n">
        <v>47</v>
      </c>
      <c r="O3237" t="n">
        <v>32.1</v>
      </c>
      <c r="P3237" t="n">
        <v>36</v>
      </c>
      <c r="Q3237" t="n">
        <v>50.2</v>
      </c>
      <c r="R3237" t="n">
        <v>44</v>
      </c>
      <c r="S3237" t="n">
        <v>1799000</v>
      </c>
      <c r="AH3237" t="inlineStr">
        <is>
          <t>Quelle: Pisos.com</t>
        </is>
      </c>
    </row>
    <row r="3238">
      <c r="A3238" t="n">
        <v>3051</v>
      </c>
      <c r="B3238" t="inlineStr">
        <is>
          <t>Chalet en Son Roca - Son Ximelis - Son Anglada</t>
        </is>
      </c>
      <c r="C3238" t="inlineStr">
        <is>
          <t>https://www.pisos.com/comprar/chalet-son_roca_son_ximelis_son_anglada07011-58349829271_100500/</t>
        </is>
      </c>
      <c r="E3238" t="n">
        <v>6</v>
      </c>
      <c r="J3238" t="inlineStr">
        <is>
          <t>Palma de Mallorca</t>
        </is>
      </c>
      <c r="K3238" t="n">
        <v>9.699999999999999</v>
      </c>
      <c r="L3238" t="n">
        <v>14</v>
      </c>
      <c r="M3238" t="n">
        <v>52.5</v>
      </c>
      <c r="N3238" t="n">
        <v>47</v>
      </c>
      <c r="O3238" t="n">
        <v>32.1</v>
      </c>
      <c r="P3238" t="n">
        <v>36</v>
      </c>
      <c r="Q3238" t="n">
        <v>50.2</v>
      </c>
      <c r="R3238" t="n">
        <v>44</v>
      </c>
      <c r="S3238" t="n">
        <v>2490000</v>
      </c>
      <c r="AH3238" t="inlineStr">
        <is>
          <t>Quelle: Pisos.com</t>
        </is>
      </c>
    </row>
    <row r="3239">
      <c r="A3239" t="n">
        <v>3052</v>
      </c>
      <c r="B3239" t="inlineStr">
        <is>
          <t>Casa adosada en Ses Cadenes-Arenal</t>
        </is>
      </c>
      <c r="C3239" t="inlineStr">
        <is>
          <t>https://www.pisos.com/comprar/casa_adosada-platja_de_palma_sarenal07600-57582510462_100500/</t>
        </is>
      </c>
      <c r="E3239" t="n">
        <v>3</v>
      </c>
      <c r="J3239" t="inlineStr">
        <is>
          <t>Palma de Mallorca</t>
        </is>
      </c>
      <c r="S3239" t="n">
        <v>535000</v>
      </c>
      <c r="AH3239" t="inlineStr">
        <is>
          <t>Quelle: Pisos.com</t>
        </is>
      </c>
    </row>
    <row r="3240">
      <c r="A3240" t="n">
        <v>3053</v>
      </c>
      <c r="B3240" t="inlineStr">
        <is>
          <t>Chalet en Establiments - Son Sardina</t>
        </is>
      </c>
      <c r="C3240" t="inlineStr">
        <is>
          <t>https://www.pisos.com/comprar/chalet-establiments07010-57572165712_100500/</t>
        </is>
      </c>
      <c r="E3240" t="n">
        <v>4</v>
      </c>
      <c r="J3240" t="inlineStr">
        <is>
          <t>Palma de Mallorca</t>
        </is>
      </c>
      <c r="S3240" t="n">
        <v>650000</v>
      </c>
      <c r="AH3240" t="inlineStr">
        <is>
          <t>Quelle: Pisos.com</t>
        </is>
      </c>
    </row>
    <row r="3241">
      <c r="A3241" t="n">
        <v>3054</v>
      </c>
      <c r="B3241" t="inlineStr">
        <is>
          <t>Chalet en Son Serra - La Vileta - Son Pereto</t>
        </is>
      </c>
      <c r="C3241" t="inlineStr">
        <is>
          <t>https://www.pisos.com/comprar/chalet-son_serra_sa_vileta_son_pereto07011-57588487408_100500/</t>
        </is>
      </c>
      <c r="E3241" t="n">
        <v>6</v>
      </c>
      <c r="J3241" t="inlineStr">
        <is>
          <t>Palma de Mallorca</t>
        </is>
      </c>
      <c r="K3241" t="n">
        <v>9.699999999999999</v>
      </c>
      <c r="L3241" t="n">
        <v>14</v>
      </c>
      <c r="M3241" t="n">
        <v>52.5</v>
      </c>
      <c r="N3241" t="n">
        <v>47</v>
      </c>
      <c r="O3241" t="n">
        <v>32.1</v>
      </c>
      <c r="P3241" t="n">
        <v>36</v>
      </c>
      <c r="Q3241" t="n">
        <v>50.2</v>
      </c>
      <c r="R3241" t="n">
        <v>44</v>
      </c>
      <c r="S3241" t="n">
        <v>1788066</v>
      </c>
      <c r="AH3241" t="inlineStr">
        <is>
          <t>Quelle: Pisos.com</t>
        </is>
      </c>
    </row>
    <row r="3242">
      <c r="A3242" t="n">
        <v>3055</v>
      </c>
      <c r="B3242" t="inlineStr">
        <is>
          <t>Casa en Sa Casa Blanca</t>
        </is>
      </c>
      <c r="C3242" t="inlineStr">
        <is>
          <t>https://www.pisos.com/comprar/casa-llevant_sa_casa_blanca07199-56761324476_109300/</t>
        </is>
      </c>
      <c r="E3242" t="n">
        <v>4</v>
      </c>
      <c r="J3242" t="inlineStr">
        <is>
          <t>Palma de Mallorca</t>
        </is>
      </c>
      <c r="K3242" t="n">
        <v>9.699999999999999</v>
      </c>
      <c r="L3242" t="n">
        <v>14</v>
      </c>
      <c r="M3242" t="n">
        <v>52.5</v>
      </c>
      <c r="N3242" t="n">
        <v>47</v>
      </c>
      <c r="O3242" t="n">
        <v>32.1</v>
      </c>
      <c r="P3242" t="n">
        <v>36</v>
      </c>
      <c r="Q3242" t="n">
        <v>50.2</v>
      </c>
      <c r="R3242" t="n">
        <v>44</v>
      </c>
      <c r="S3242" t="n">
        <v>4500000</v>
      </c>
      <c r="AH3242" t="inlineStr">
        <is>
          <t>Quelle: Pisos.com</t>
        </is>
      </c>
    </row>
    <row r="3243">
      <c r="A3243" t="n">
        <v>3056</v>
      </c>
      <c r="B3243" t="inlineStr">
        <is>
          <t>Casa adosada en Son Rapinya</t>
        </is>
      </c>
      <c r="C3243" t="inlineStr">
        <is>
          <t>https://www.pisos.com/comprar/casa_adosada-son_xigala07013-56737206777_100500/</t>
        </is>
      </c>
      <c r="E3243" t="n">
        <v>3</v>
      </c>
      <c r="J3243" t="inlineStr">
        <is>
          <t>Palma de Mallorca</t>
        </is>
      </c>
      <c r="S3243" t="n">
        <v>920000</v>
      </c>
      <c r="AH3243" t="inlineStr">
        <is>
          <t>Quelle: Pisos.com</t>
        </is>
      </c>
    </row>
    <row r="3244">
      <c r="A3244" t="n">
        <v>3057</v>
      </c>
      <c r="B3244" t="inlineStr">
        <is>
          <t>Chalet en Génova</t>
        </is>
      </c>
      <c r="C3244" t="inlineStr">
        <is>
          <t>https://www.pisos.com/comprar/chalet-ponent_genova07015-55925274299_100500/</t>
        </is>
      </c>
      <c r="E3244" t="n">
        <v>3</v>
      </c>
      <c r="J3244" t="inlineStr">
        <is>
          <t>Palma de Mallorca</t>
        </is>
      </c>
      <c r="K3244" t="n">
        <v>9.699999999999999</v>
      </c>
      <c r="L3244" t="n">
        <v>14</v>
      </c>
      <c r="M3244" t="n">
        <v>52.5</v>
      </c>
      <c r="N3244" t="n">
        <v>47</v>
      </c>
      <c r="O3244" t="n">
        <v>32.1</v>
      </c>
      <c r="P3244" t="n">
        <v>36</v>
      </c>
      <c r="Q3244" t="n">
        <v>50.2</v>
      </c>
      <c r="R3244" t="n">
        <v>44</v>
      </c>
      <c r="S3244" t="n">
        <v>2250000</v>
      </c>
      <c r="AH3244" t="inlineStr">
        <is>
          <t>Quelle: Pisos.com</t>
        </is>
      </c>
    </row>
    <row r="3245">
      <c r="A3245" t="n">
        <v>3058</v>
      </c>
      <c r="B3245" t="inlineStr">
        <is>
          <t>Casa pareada en Gènova</t>
        </is>
      </c>
      <c r="C3245" t="inlineStr">
        <is>
          <t>https://www.pisos.com/comprar/casa_pareada-ponent_genova07015-54222787229_109300/</t>
        </is>
      </c>
      <c r="E3245" t="n">
        <v>3</v>
      </c>
      <c r="J3245" t="inlineStr">
        <is>
          <t>Palma de Mallorca</t>
        </is>
      </c>
      <c r="S3245" t="n">
        <v>740000</v>
      </c>
      <c r="AH3245" t="inlineStr">
        <is>
          <t>Quelle: Pisos.com</t>
        </is>
      </c>
    </row>
    <row r="3246">
      <c r="A3246" t="n">
        <v>3059</v>
      </c>
      <c r="B3246" t="inlineStr">
        <is>
          <t>Casa en Son Serra - La Vileta - Son Pereto</t>
        </is>
      </c>
      <c r="C3246" t="inlineStr">
        <is>
          <t>https://www.pisos.com/comprar/casa-son_serra_sa_vileta_son_pereto07013-54239605331_100500/</t>
        </is>
      </c>
      <c r="E3246" t="n">
        <v>3</v>
      </c>
      <c r="J3246" t="inlineStr">
        <is>
          <t>Palma de Mallorca</t>
        </is>
      </c>
      <c r="S3246" t="n">
        <v>536000</v>
      </c>
      <c r="AH3246" t="inlineStr">
        <is>
          <t>Quelle: Pisos.com</t>
        </is>
      </c>
    </row>
    <row r="3247">
      <c r="A3247" t="n">
        <v>3060</v>
      </c>
      <c r="B3247" t="inlineStr">
        <is>
          <t>Casa en Coll Den Rabassa</t>
        </is>
      </c>
      <c r="C3247" t="inlineStr">
        <is>
          <t>https://www.pisos.com/comprar/casa-el_coll_en_rabassa07007-52507987019_100500/</t>
        </is>
      </c>
      <c r="E3247" t="n">
        <v>3</v>
      </c>
      <c r="J3247" t="inlineStr">
        <is>
          <t>Palma de Mallorca</t>
        </is>
      </c>
      <c r="K3247" t="n">
        <v>9.699999999999999</v>
      </c>
      <c r="L3247" t="n">
        <v>14</v>
      </c>
      <c r="M3247" t="n">
        <v>52.5</v>
      </c>
      <c r="N3247" t="n">
        <v>47</v>
      </c>
      <c r="O3247" t="n">
        <v>32.1</v>
      </c>
      <c r="P3247" t="n">
        <v>36</v>
      </c>
      <c r="Q3247" t="n">
        <v>50.2</v>
      </c>
      <c r="R3247" t="n">
        <v>44</v>
      </c>
      <c r="S3247" t="n">
        <v>1489900</v>
      </c>
      <c r="AH3247" t="inlineStr">
        <is>
          <t>Quelle: Pisos.com</t>
        </is>
      </c>
    </row>
    <row r="3248">
      <c r="A3248" t="n">
        <v>3061</v>
      </c>
      <c r="B3248" t="inlineStr">
        <is>
          <t>Casa en El Secar de La Real</t>
        </is>
      </c>
      <c r="C3248" t="inlineStr">
        <is>
          <t>https://www.pisos.com/comprar/casa-nord_el_secar_de_la_real07010-51669801156_527404/</t>
        </is>
      </c>
      <c r="E3248" t="n">
        <v>4</v>
      </c>
      <c r="J3248" t="inlineStr">
        <is>
          <t>Palma de Mallorca</t>
        </is>
      </c>
      <c r="S3248" t="n">
        <v>920000</v>
      </c>
      <c r="AH3248" t="inlineStr">
        <is>
          <t>Quelle: Pisos.com</t>
        </is>
      </c>
    </row>
    <row r="3249">
      <c r="A3249" t="n">
        <v>3062</v>
      </c>
      <c r="B3249" t="inlineStr">
        <is>
          <t>Casa en La Missió</t>
        </is>
      </c>
      <c r="C3249" t="inlineStr">
        <is>
          <t>https://www.pisos.com/comprar/casa-placa_dels_patins07003-45007103836_100500/</t>
        </is>
      </c>
      <c r="E3249" t="n">
        <v>6</v>
      </c>
      <c r="J3249" t="inlineStr">
        <is>
          <t>Palma de Mallorca</t>
        </is>
      </c>
      <c r="K3249" t="n">
        <v>9.699999999999999</v>
      </c>
      <c r="L3249" t="n">
        <v>14</v>
      </c>
      <c r="M3249" t="n">
        <v>52.5</v>
      </c>
      <c r="N3249" t="n">
        <v>47</v>
      </c>
      <c r="O3249" t="n">
        <v>32.1</v>
      </c>
      <c r="P3249" t="n">
        <v>36</v>
      </c>
      <c r="Q3249" t="n">
        <v>50.2</v>
      </c>
      <c r="R3249" t="n">
        <v>44</v>
      </c>
      <c r="S3249" t="n">
        <v>2000000</v>
      </c>
      <c r="AH3249" t="inlineStr">
        <is>
          <t>Quelle: Pisos.com</t>
        </is>
      </c>
    </row>
    <row r="3250">
      <c r="A3250" t="n">
        <v>3063</v>
      </c>
      <c r="B3250" t="inlineStr">
        <is>
          <t>Chalet en Génova</t>
        </is>
      </c>
      <c r="C3250" t="inlineStr">
        <is>
          <t>https://www.pisos.com/comprar/chalet-ponent_genova07015-43341363213_100500/</t>
        </is>
      </c>
      <c r="E3250" t="n">
        <v>4</v>
      </c>
      <c r="J3250" t="inlineStr">
        <is>
          <t>Palma de Mallorca</t>
        </is>
      </c>
      <c r="K3250" t="n">
        <v>9.699999999999999</v>
      </c>
      <c r="L3250" t="n">
        <v>14</v>
      </c>
      <c r="M3250" t="n">
        <v>52.5</v>
      </c>
      <c r="N3250" t="n">
        <v>47</v>
      </c>
      <c r="O3250" t="n">
        <v>32.1</v>
      </c>
      <c r="P3250" t="n">
        <v>36</v>
      </c>
      <c r="Q3250" t="n">
        <v>50.2</v>
      </c>
      <c r="R3250" t="n">
        <v>44</v>
      </c>
      <c r="S3250" t="n">
        <v>4900000</v>
      </c>
      <c r="AH3250" t="inlineStr">
        <is>
          <t>Quelle: Pisos.com</t>
        </is>
      </c>
    </row>
    <row r="3251">
      <c r="A3251" t="n">
        <v>3064</v>
      </c>
      <c r="B3251" t="inlineStr">
        <is>
          <t>Chalet en Son Espanyolet</t>
        </is>
      </c>
      <c r="C3251" t="inlineStr">
        <is>
          <t>https://www.pisos.com/comprar/chalet-ponent_son_espanyolet07014-34200657553_100500/</t>
        </is>
      </c>
      <c r="E3251" t="n">
        <v>3</v>
      </c>
      <c r="J3251" t="inlineStr">
        <is>
          <t>Palma de Mallorca</t>
        </is>
      </c>
      <c r="K3251" t="n">
        <v>9.699999999999999</v>
      </c>
      <c r="L3251" t="n">
        <v>14</v>
      </c>
      <c r="M3251" t="n">
        <v>52.5</v>
      </c>
      <c r="N3251" t="n">
        <v>47</v>
      </c>
      <c r="O3251" t="n">
        <v>32.1</v>
      </c>
      <c r="P3251" t="n">
        <v>36</v>
      </c>
      <c r="Q3251" t="n">
        <v>50.2</v>
      </c>
      <c r="R3251" t="n">
        <v>44</v>
      </c>
      <c r="S3251" t="n">
        <v>1140000</v>
      </c>
      <c r="AH3251" t="inlineStr">
        <is>
          <t>Quelle: Pisos.com</t>
        </is>
      </c>
    </row>
    <row r="3252">
      <c r="A3252" t="n">
        <v>3065</v>
      </c>
      <c r="B3252" t="inlineStr">
        <is>
          <t>Casa adosada en Sometimes</t>
        </is>
      </c>
      <c r="C3252" t="inlineStr">
        <is>
          <t>https://www.pisos.com/comprar/casa_adosada-can_pastilla-25043599327_291000/</t>
        </is>
      </c>
      <c r="E3252" t="n">
        <v>4</v>
      </c>
      <c r="J3252" t="inlineStr">
        <is>
          <t>Palma de Mallorca</t>
        </is>
      </c>
      <c r="K3252" t="n">
        <v>9.699999999999999</v>
      </c>
      <c r="L3252" t="n">
        <v>14</v>
      </c>
      <c r="M3252" t="n">
        <v>52.5</v>
      </c>
      <c r="N3252" t="n">
        <v>47</v>
      </c>
      <c r="O3252" t="n">
        <v>32.1</v>
      </c>
      <c r="P3252" t="n">
        <v>36</v>
      </c>
      <c r="Q3252" t="n">
        <v>50.2</v>
      </c>
      <c r="R3252" t="n">
        <v>44</v>
      </c>
      <c r="S3252" t="n">
        <v>1115000</v>
      </c>
      <c r="AH3252" t="inlineStr">
        <is>
          <t>Quelle: Pisos.com</t>
        </is>
      </c>
    </row>
    <row r="3253">
      <c r="A3253" t="n">
        <v>3066</v>
      </c>
      <c r="B3253" t="inlineStr">
        <is>
          <t>Casa rústica en Establiments</t>
        </is>
      </c>
      <c r="C3253" t="inlineStr">
        <is>
          <t>https://www.pisos.com/comprar/casa_rustica-establiments07010-61700551233_106600/</t>
        </is>
      </c>
      <c r="E3253" t="n">
        <v>6</v>
      </c>
      <c r="J3253" t="inlineStr">
        <is>
          <t>Palma de Mallorca</t>
        </is>
      </c>
      <c r="K3253" t="n">
        <v>9.699999999999999</v>
      </c>
      <c r="L3253" t="n">
        <v>14</v>
      </c>
      <c r="M3253" t="n">
        <v>52.5</v>
      </c>
      <c r="N3253" t="n">
        <v>47</v>
      </c>
      <c r="O3253" t="n">
        <v>32.1</v>
      </c>
      <c r="P3253" t="n">
        <v>36</v>
      </c>
      <c r="Q3253" t="n">
        <v>50.2</v>
      </c>
      <c r="R3253" t="n">
        <v>44</v>
      </c>
      <c r="S3253" t="n">
        <v>1680000</v>
      </c>
      <c r="AH3253" t="inlineStr">
        <is>
          <t>Quelle: Pisos.com</t>
        </is>
      </c>
    </row>
    <row r="3254">
      <c r="A3254" t="n">
        <v>3067</v>
      </c>
      <c r="B3254" t="inlineStr">
        <is>
          <t>Casa en Sa Casa Blanca</t>
        </is>
      </c>
      <c r="C3254" t="inlineStr">
        <is>
          <t>https://www.pisos.com/comprar/casa-llevant_sa_casa_blanca07199-61688341897_105600/</t>
        </is>
      </c>
      <c r="E3254" t="n">
        <v>6</v>
      </c>
      <c r="J3254" t="inlineStr">
        <is>
          <t>Palma de Mallorca</t>
        </is>
      </c>
      <c r="K3254" t="n">
        <v>9.699999999999999</v>
      </c>
      <c r="L3254" t="n">
        <v>14</v>
      </c>
      <c r="M3254" t="n">
        <v>52.5</v>
      </c>
      <c r="N3254" t="n">
        <v>47</v>
      </c>
      <c r="O3254" t="n">
        <v>32.1</v>
      </c>
      <c r="P3254" t="n">
        <v>36</v>
      </c>
      <c r="Q3254" t="n">
        <v>50.2</v>
      </c>
      <c r="R3254" t="n">
        <v>44</v>
      </c>
      <c r="S3254" t="n">
        <v>2500000</v>
      </c>
      <c r="AH3254" t="inlineStr">
        <is>
          <t>Quelle: Pisos.com</t>
        </is>
      </c>
    </row>
    <row r="3255">
      <c r="A3255" t="n">
        <v>3068</v>
      </c>
      <c r="B3255" t="inlineStr">
        <is>
          <t>Casa en Casa Unifamiliar en La Vileta</t>
        </is>
      </c>
      <c r="C3255" t="inlineStr">
        <is>
          <t>https://www.pisos.com/comprar/casa-son_xigala07011-61760033724_109100/</t>
        </is>
      </c>
      <c r="E3255" t="n">
        <v>7</v>
      </c>
      <c r="J3255" t="inlineStr">
        <is>
          <t>Palma de Mallorca</t>
        </is>
      </c>
      <c r="K3255" t="n">
        <v>9.699999999999999</v>
      </c>
      <c r="L3255" t="n">
        <v>14</v>
      </c>
      <c r="M3255" t="n">
        <v>52.5</v>
      </c>
      <c r="N3255" t="n">
        <v>47</v>
      </c>
      <c r="O3255" t="n">
        <v>32.1</v>
      </c>
      <c r="P3255" t="n">
        <v>36</v>
      </c>
      <c r="Q3255" t="n">
        <v>50.2</v>
      </c>
      <c r="R3255" t="n">
        <v>44</v>
      </c>
      <c r="S3255" t="n">
        <v>1490000</v>
      </c>
      <c r="AH3255" t="inlineStr">
        <is>
          <t>Quelle: Pisos.com</t>
        </is>
      </c>
    </row>
    <row r="3256">
      <c r="A3256" t="n">
        <v>3069</v>
      </c>
      <c r="B3256" t="inlineStr">
        <is>
          <t>Casa en Son Dureta</t>
        </is>
      </c>
      <c r="C3256" t="inlineStr">
        <is>
          <t>https://www.pisos.com/comprar/casa-son_dureta-61747368825_106600/</t>
        </is>
      </c>
      <c r="E3256" t="n">
        <v>4</v>
      </c>
      <c r="J3256" t="inlineStr">
        <is>
          <t>Palma de Mallorca</t>
        </is>
      </c>
      <c r="K3256" t="n">
        <v>9.699999999999999</v>
      </c>
      <c r="L3256" t="n">
        <v>14</v>
      </c>
      <c r="M3256" t="n">
        <v>52.5</v>
      </c>
      <c r="N3256" t="n">
        <v>47</v>
      </c>
      <c r="O3256" t="n">
        <v>32.1</v>
      </c>
      <c r="P3256" t="n">
        <v>36</v>
      </c>
      <c r="Q3256" t="n">
        <v>50.2</v>
      </c>
      <c r="R3256" t="n">
        <v>44</v>
      </c>
      <c r="S3256" t="n">
        <v>1575000</v>
      </c>
      <c r="AH3256" t="inlineStr">
        <is>
          <t>Quelle: Pisos.com</t>
        </is>
      </c>
    </row>
    <row r="3257">
      <c r="A3257" t="n">
        <v>3070</v>
      </c>
      <c r="B3257" t="inlineStr">
        <is>
          <t>Chalet en Palma de Mallorca</t>
        </is>
      </c>
      <c r="C3257" t="inlineStr">
        <is>
          <t>https://www.pisos.com/comprar/chalet-palma_de_mallorca-61678379913_108500/</t>
        </is>
      </c>
      <c r="E3257" t="n">
        <v>4</v>
      </c>
      <c r="J3257" t="inlineStr">
        <is>
          <t>Palma de Mallorca</t>
        </is>
      </c>
      <c r="S3257" t="n">
        <v>840000</v>
      </c>
      <c r="AH3257" t="inlineStr">
        <is>
          <t>Quelle: Pisos.com</t>
        </is>
      </c>
    </row>
    <row r="3258">
      <c r="A3258" t="n">
        <v>3071</v>
      </c>
      <c r="B3258" t="inlineStr">
        <is>
          <t>Casa rústica en Puntiró</t>
        </is>
      </c>
      <c r="C3258" t="inlineStr">
        <is>
          <t>https://www.pisos.com/comprar/casa_rustica-llevant_sa_casa_blanca07198-61718279174_106700/</t>
        </is>
      </c>
      <c r="E3258" t="n">
        <v>3</v>
      </c>
      <c r="J3258" t="inlineStr">
        <is>
          <t>Palma de Mallorca</t>
        </is>
      </c>
      <c r="K3258" t="n">
        <v>9.699999999999999</v>
      </c>
      <c r="L3258" t="n">
        <v>14</v>
      </c>
      <c r="M3258" t="n">
        <v>52.5</v>
      </c>
      <c r="N3258" t="n">
        <v>47</v>
      </c>
      <c r="O3258" t="n">
        <v>32.1</v>
      </c>
      <c r="P3258" t="n">
        <v>36</v>
      </c>
      <c r="Q3258" t="n">
        <v>50.2</v>
      </c>
      <c r="R3258" t="n">
        <v>44</v>
      </c>
      <c r="S3258" t="n">
        <v>1995000</v>
      </c>
      <c r="AH3258" t="inlineStr">
        <is>
          <t>Quelle: Pisos.com</t>
        </is>
      </c>
    </row>
    <row r="3259">
      <c r="A3259" t="n">
        <v>3072</v>
      </c>
      <c r="B3259" t="inlineStr">
        <is>
          <t>Casa adosada en El Viveró</t>
        </is>
      </c>
      <c r="C3259" t="inlineStr">
        <is>
          <t>https://www.pisos.com/comprar/casa_adosada-llevant_el_vivero07008-61670323140_101800/</t>
        </is>
      </c>
      <c r="E3259" t="n">
        <v>4</v>
      </c>
      <c r="J3259" t="inlineStr">
        <is>
          <t>Palma de Mallorca</t>
        </is>
      </c>
      <c r="S3259" t="n">
        <v>575000</v>
      </c>
      <c r="AH3259" t="inlineStr">
        <is>
          <t>Quelle: Pisos.com</t>
        </is>
      </c>
    </row>
    <row r="3260">
      <c r="A3260" t="n">
        <v>3073</v>
      </c>
      <c r="B3260" t="inlineStr">
        <is>
          <t>Chalet en Son Serra-Sa Vileta-Son Peretó</t>
        </is>
      </c>
      <c r="C3260" t="inlineStr">
        <is>
          <t>https://www.pisos.com/comprar/chalet-son_serra_sa_vileta_son_pereto07013-61705011808_101800/</t>
        </is>
      </c>
      <c r="E3260" t="n">
        <v>3</v>
      </c>
      <c r="J3260" t="inlineStr">
        <is>
          <t>Palma de Mallorca</t>
        </is>
      </c>
      <c r="S3260" t="n">
        <v>536000</v>
      </c>
      <c r="AH3260" t="inlineStr">
        <is>
          <t>Quelle: Pisos.com</t>
        </is>
      </c>
    </row>
    <row r="3261">
      <c r="A3261" t="n">
        <v>3074</v>
      </c>
      <c r="B3261" t="inlineStr">
        <is>
          <t>Casa en El Sindicat</t>
        </is>
      </c>
      <c r="C3261" t="inlineStr">
        <is>
          <t>https://www.pisos.com/comprar/casa-el_sindicat07002-56748000795_105600/</t>
        </is>
      </c>
      <c r="E3261" t="n">
        <v>5</v>
      </c>
      <c r="J3261" t="inlineStr">
        <is>
          <t>Palma de Mallorca</t>
        </is>
      </c>
      <c r="K3261" t="n">
        <v>9.699999999999999</v>
      </c>
      <c r="L3261" t="n">
        <v>14</v>
      </c>
      <c r="M3261" t="n">
        <v>52.5</v>
      </c>
      <c r="N3261" t="n">
        <v>47</v>
      </c>
      <c r="O3261" t="n">
        <v>32.1</v>
      </c>
      <c r="P3261" t="n">
        <v>36</v>
      </c>
      <c r="Q3261" t="n">
        <v>50.2</v>
      </c>
      <c r="R3261" t="n">
        <v>44</v>
      </c>
      <c r="S3261" t="n">
        <v>4500000</v>
      </c>
      <c r="AH3261" t="inlineStr">
        <is>
          <t>Quelle: Pisos.com</t>
        </is>
      </c>
    </row>
    <row r="3262">
      <c r="A3262" t="n">
        <v>3075</v>
      </c>
      <c r="B3262" t="inlineStr">
        <is>
          <t>Chalet en Cort</t>
        </is>
      </c>
      <c r="C3262" t="inlineStr">
        <is>
          <t>https://www.pisos.com/comprar/chalet-cort07001-61764727749_102300/</t>
        </is>
      </c>
      <c r="E3262" t="n">
        <v>10</v>
      </c>
      <c r="J3262" t="inlineStr">
        <is>
          <t>Palma de Mallorca</t>
        </is>
      </c>
      <c r="K3262" t="n">
        <v>9.699999999999999</v>
      </c>
      <c r="L3262" t="n">
        <v>14</v>
      </c>
      <c r="M3262" t="n">
        <v>52.5</v>
      </c>
      <c r="N3262" t="n">
        <v>47</v>
      </c>
      <c r="O3262" t="n">
        <v>32.1</v>
      </c>
      <c r="P3262" t="n">
        <v>36</v>
      </c>
      <c r="Q3262" t="n">
        <v>50.2</v>
      </c>
      <c r="R3262" t="n">
        <v>44</v>
      </c>
      <c r="S3262" t="n">
        <v>6500000</v>
      </c>
      <c r="AH3262" t="inlineStr">
        <is>
          <t>Quelle: Pisos.com</t>
        </is>
      </c>
    </row>
    <row r="3263">
      <c r="A3263" t="n">
        <v>3076</v>
      </c>
      <c r="B3263" t="inlineStr">
        <is>
          <t>Casa adosada en Sant Agustí</t>
        </is>
      </c>
      <c r="C3263" t="inlineStr">
        <is>
          <t>https://www.pisos.com/comprar/casa_adosada-ponent_sant_agusti-61731802066_102300/</t>
        </is>
      </c>
      <c r="E3263" t="n">
        <v>4</v>
      </c>
      <c r="J3263" t="inlineStr">
        <is>
          <t>Palma de Mallorca</t>
        </is>
      </c>
      <c r="S3263" t="n">
        <v>960000</v>
      </c>
      <c r="AH3263" t="inlineStr">
        <is>
          <t>Quelle: Pisos.com</t>
        </is>
      </c>
    </row>
    <row r="3264">
      <c r="A3264" t="n">
        <v>3077</v>
      </c>
      <c r="B3264" t="inlineStr">
        <is>
          <t>Chalet en Cort</t>
        </is>
      </c>
      <c r="C3264" t="inlineStr">
        <is>
          <t>https://www.pisos.com/comprar/chalet-cort07001-61732011890_102300/</t>
        </is>
      </c>
      <c r="E3264" t="n">
        <v>3</v>
      </c>
      <c r="J3264" t="inlineStr">
        <is>
          <t>Palma de Mallorca</t>
        </is>
      </c>
      <c r="K3264" t="n">
        <v>9.699999999999999</v>
      </c>
      <c r="L3264" t="n">
        <v>14</v>
      </c>
      <c r="M3264" t="n">
        <v>52.5</v>
      </c>
      <c r="N3264" t="n">
        <v>47</v>
      </c>
      <c r="O3264" t="n">
        <v>32.1</v>
      </c>
      <c r="P3264" t="n">
        <v>36</v>
      </c>
      <c r="Q3264" t="n">
        <v>50.2</v>
      </c>
      <c r="R3264" t="n">
        <v>44</v>
      </c>
      <c r="S3264" t="n">
        <v>1500000</v>
      </c>
      <c r="AH3264" t="inlineStr">
        <is>
          <t>Quelle: Pisos.com</t>
        </is>
      </c>
    </row>
    <row r="3265">
      <c r="A3265" t="n">
        <v>3078</v>
      </c>
      <c r="B3265" t="inlineStr">
        <is>
          <t>Chalet en Santa Catalina</t>
        </is>
      </c>
      <c r="C3265" t="inlineStr">
        <is>
          <t>https://www.pisos.com/comprar/chalet-ponent_santa_catalina07013-61733668989_102300/</t>
        </is>
      </c>
      <c r="E3265" t="n">
        <v>8</v>
      </c>
      <c r="J3265" t="inlineStr">
        <is>
          <t>Palma de Mallorca</t>
        </is>
      </c>
      <c r="K3265" t="n">
        <v>9.699999999999999</v>
      </c>
      <c r="L3265" t="n">
        <v>14</v>
      </c>
      <c r="M3265" t="n">
        <v>52.5</v>
      </c>
      <c r="N3265" t="n">
        <v>47</v>
      </c>
      <c r="O3265" t="n">
        <v>32.1</v>
      </c>
      <c r="P3265" t="n">
        <v>36</v>
      </c>
      <c r="Q3265" t="n">
        <v>50.2</v>
      </c>
      <c r="R3265" t="n">
        <v>44</v>
      </c>
      <c r="S3265" t="n">
        <v>1500000</v>
      </c>
      <c r="AH3265" t="inlineStr">
        <is>
          <t>Quelle: Pisos.com</t>
        </is>
      </c>
    </row>
    <row r="3266">
      <c r="A3266" t="n">
        <v>3079</v>
      </c>
      <c r="B3266" t="inlineStr">
        <is>
          <t>Chalet en Cort</t>
        </is>
      </c>
      <c r="C3266" t="inlineStr">
        <is>
          <t>https://www.pisos.com/comprar/chalet-cort07001-61688534964_102300/</t>
        </is>
      </c>
      <c r="E3266" t="n">
        <v>2</v>
      </c>
      <c r="J3266" t="inlineStr">
        <is>
          <t>Palma de Mallorca</t>
        </is>
      </c>
      <c r="K3266" t="n">
        <v>9.699999999999999</v>
      </c>
      <c r="L3266" t="n">
        <v>14</v>
      </c>
      <c r="M3266" t="n">
        <v>52.5</v>
      </c>
      <c r="N3266" t="n">
        <v>47</v>
      </c>
      <c r="O3266" t="n">
        <v>32.1</v>
      </c>
      <c r="P3266" t="n">
        <v>36</v>
      </c>
      <c r="Q3266" t="n">
        <v>50.2</v>
      </c>
      <c r="R3266" t="n">
        <v>44</v>
      </c>
      <c r="S3266" t="n">
        <v>1900000</v>
      </c>
      <c r="AH3266" t="inlineStr">
        <is>
          <t>Quelle: Pisos.com</t>
        </is>
      </c>
    </row>
    <row r="3267">
      <c r="A3267" t="n">
        <v>3080</v>
      </c>
      <c r="B3267" t="inlineStr">
        <is>
          <t>Chalet en Monti-sion</t>
        </is>
      </c>
      <c r="C3267" t="inlineStr">
        <is>
          <t>https://www.pisos.com/comprar/chalet-monti_sion-61756722046_102300/</t>
        </is>
      </c>
      <c r="E3267" t="n">
        <v>7</v>
      </c>
      <c r="J3267" t="inlineStr">
        <is>
          <t>Palma de Mallorca</t>
        </is>
      </c>
      <c r="K3267" t="n">
        <v>9.699999999999999</v>
      </c>
      <c r="L3267" t="n">
        <v>14</v>
      </c>
      <c r="M3267" t="n">
        <v>52.5</v>
      </c>
      <c r="N3267" t="n">
        <v>47</v>
      </c>
      <c r="O3267" t="n">
        <v>32.1</v>
      </c>
      <c r="P3267" t="n">
        <v>36</v>
      </c>
      <c r="Q3267" t="n">
        <v>50.2</v>
      </c>
      <c r="R3267" t="n">
        <v>44</v>
      </c>
      <c r="S3267" t="n">
        <v>3430000</v>
      </c>
      <c r="AH3267" t="inlineStr">
        <is>
          <t>Quelle: Pisos.com</t>
        </is>
      </c>
    </row>
    <row r="3268">
      <c r="A3268" t="n">
        <v>3081</v>
      </c>
      <c r="B3268" t="inlineStr">
        <is>
          <t>Chalet en Cort</t>
        </is>
      </c>
      <c r="C3268" t="inlineStr">
        <is>
          <t>https://www.pisos.com/comprar/chalet-cort07001-61674631086_102300/</t>
        </is>
      </c>
      <c r="E3268" t="n">
        <v>3</v>
      </c>
      <c r="J3268" t="inlineStr">
        <is>
          <t>Palma de Mallorca</t>
        </is>
      </c>
      <c r="K3268" t="n">
        <v>9.699999999999999</v>
      </c>
      <c r="L3268" t="n">
        <v>14</v>
      </c>
      <c r="M3268" t="n">
        <v>52.5</v>
      </c>
      <c r="N3268" t="n">
        <v>47</v>
      </c>
      <c r="O3268" t="n">
        <v>32.1</v>
      </c>
      <c r="P3268" t="n">
        <v>36</v>
      </c>
      <c r="Q3268" t="n">
        <v>50.2</v>
      </c>
      <c r="R3268" t="n">
        <v>44</v>
      </c>
      <c r="S3268" t="n">
        <v>1650000</v>
      </c>
      <c r="AH3268" t="inlineStr">
        <is>
          <t>Quelle: Pisos.com</t>
        </is>
      </c>
    </row>
    <row r="3269">
      <c r="A3269" t="n">
        <v>3082</v>
      </c>
      <c r="B3269" t="inlineStr">
        <is>
          <t>Chalet en Son Espanyolet</t>
        </is>
      </c>
      <c r="C3269" t="inlineStr">
        <is>
          <t>https://www.pisos.com/comprar/chalet-ponent_son_espanyolet07014-61681078094_102300/</t>
        </is>
      </c>
      <c r="E3269" t="n">
        <v>3</v>
      </c>
      <c r="J3269" t="inlineStr">
        <is>
          <t>Palma de Mallorca</t>
        </is>
      </c>
      <c r="K3269" t="n">
        <v>9.699999999999999</v>
      </c>
      <c r="L3269" t="n">
        <v>14</v>
      </c>
      <c r="M3269" t="n">
        <v>52.5</v>
      </c>
      <c r="N3269" t="n">
        <v>47</v>
      </c>
      <c r="O3269" t="n">
        <v>32.1</v>
      </c>
      <c r="P3269" t="n">
        <v>36</v>
      </c>
      <c r="Q3269" t="n">
        <v>50.2</v>
      </c>
      <c r="R3269" t="n">
        <v>44</v>
      </c>
      <c r="S3269" t="n">
        <v>3500000</v>
      </c>
      <c r="AH3269" t="inlineStr">
        <is>
          <t>Quelle: Pisos.com</t>
        </is>
      </c>
    </row>
    <row r="3270">
      <c r="A3270" t="n">
        <v>3083</v>
      </c>
      <c r="B3270" t="inlineStr">
        <is>
          <t>Chalet en Foners</t>
        </is>
      </c>
      <c r="C3270" t="inlineStr">
        <is>
          <t>https://www.pisos.com/comprar/chalet-foners07006-61697630916_102300/</t>
        </is>
      </c>
      <c r="E3270" t="n">
        <v>6</v>
      </c>
      <c r="J3270" t="inlineStr">
        <is>
          <t>Palma de Mallorca</t>
        </is>
      </c>
      <c r="K3270" t="n">
        <v>9.699999999999999</v>
      </c>
      <c r="L3270" t="n">
        <v>14</v>
      </c>
      <c r="M3270" t="n">
        <v>52.5</v>
      </c>
      <c r="N3270" t="n">
        <v>47</v>
      </c>
      <c r="O3270" t="n">
        <v>32.1</v>
      </c>
      <c r="P3270" t="n">
        <v>36</v>
      </c>
      <c r="Q3270" t="n">
        <v>50.2</v>
      </c>
      <c r="R3270" t="n">
        <v>44</v>
      </c>
      <c r="S3270" t="n">
        <v>1650000</v>
      </c>
      <c r="AH3270" t="inlineStr">
        <is>
          <t>Quelle: Pisos.com</t>
        </is>
      </c>
    </row>
    <row r="3271">
      <c r="A3271" t="n">
        <v>3084</v>
      </c>
      <c r="B3271" t="inlineStr">
        <is>
          <t>Chalet en Son Espanyolet</t>
        </is>
      </c>
      <c r="C3271" t="inlineStr">
        <is>
          <t>https://www.pisos.com/comprar/chalet-ponent_son_espanyolet07014-61743109445_102300/</t>
        </is>
      </c>
      <c r="E3271" t="n">
        <v>4</v>
      </c>
      <c r="J3271" t="inlineStr">
        <is>
          <t>Palma de Mallorca</t>
        </is>
      </c>
      <c r="K3271" t="n">
        <v>9.699999999999999</v>
      </c>
      <c r="L3271" t="n">
        <v>14</v>
      </c>
      <c r="M3271" t="n">
        <v>52.5</v>
      </c>
      <c r="N3271" t="n">
        <v>47</v>
      </c>
      <c r="O3271" t="n">
        <v>32.1</v>
      </c>
      <c r="P3271" t="n">
        <v>36</v>
      </c>
      <c r="Q3271" t="n">
        <v>50.2</v>
      </c>
      <c r="R3271" t="n">
        <v>44</v>
      </c>
      <c r="S3271" t="n">
        <v>3700000</v>
      </c>
      <c r="AH3271" t="inlineStr">
        <is>
          <t>Quelle: Pisos.com</t>
        </is>
      </c>
    </row>
    <row r="3272">
      <c r="A3272" t="n">
        <v>3085</v>
      </c>
      <c r="B3272" t="inlineStr">
        <is>
          <t>Chalet en Gènova</t>
        </is>
      </c>
      <c r="C3272" t="inlineStr">
        <is>
          <t>https://www.pisos.com/comprar/chalet-ponent_genova07015-61751658808_102300/</t>
        </is>
      </c>
      <c r="E3272" t="n">
        <v>6</v>
      </c>
      <c r="J3272" t="inlineStr">
        <is>
          <t>Palma de Mallorca</t>
        </is>
      </c>
      <c r="K3272" t="n">
        <v>9.699999999999999</v>
      </c>
      <c r="L3272" t="n">
        <v>14</v>
      </c>
      <c r="M3272" t="n">
        <v>52.5</v>
      </c>
      <c r="N3272" t="n">
        <v>47</v>
      </c>
      <c r="O3272" t="n">
        <v>32.1</v>
      </c>
      <c r="P3272" t="n">
        <v>36</v>
      </c>
      <c r="Q3272" t="n">
        <v>50.2</v>
      </c>
      <c r="R3272" t="n">
        <v>44</v>
      </c>
      <c r="S3272" t="n">
        <v>6950000</v>
      </c>
      <c r="AH3272" t="inlineStr">
        <is>
          <t>Quelle: Pisos.com</t>
        </is>
      </c>
    </row>
    <row r="3273">
      <c r="A3273" t="n">
        <v>3086</v>
      </c>
      <c r="B3273" t="inlineStr">
        <is>
          <t>Chalet en Ponent</t>
        </is>
      </c>
      <c r="C3273" t="inlineStr">
        <is>
          <t>https://www.pisos.com/comprar/chalet-ponent-61723972508_106700/</t>
        </is>
      </c>
      <c r="E3273" t="n">
        <v>5</v>
      </c>
      <c r="J3273" t="inlineStr">
        <is>
          <t>Palma de Mallorca</t>
        </is>
      </c>
      <c r="K3273" t="n">
        <v>9.699999999999999</v>
      </c>
      <c r="L3273" t="n">
        <v>14</v>
      </c>
      <c r="M3273" t="n">
        <v>52.5</v>
      </c>
      <c r="N3273" t="n">
        <v>47</v>
      </c>
      <c r="O3273" t="n">
        <v>32.1</v>
      </c>
      <c r="P3273" t="n">
        <v>36</v>
      </c>
      <c r="Q3273" t="n">
        <v>50.2</v>
      </c>
      <c r="R3273" t="n">
        <v>44</v>
      </c>
      <c r="S3273" t="n">
        <v>4900000</v>
      </c>
      <c r="AH3273" t="inlineStr">
        <is>
          <t>Quelle: Pisos.com</t>
        </is>
      </c>
    </row>
    <row r="3274">
      <c r="A3274" t="n">
        <v>3087</v>
      </c>
      <c r="B3274" t="inlineStr">
        <is>
          <t>Casa rústica en El Secar de la Real</t>
        </is>
      </c>
      <c r="C3274" t="inlineStr">
        <is>
          <t>https://www.pisos.com/comprar/casa_rustica-nord_el_secar_de_la_real07010-61686103662_106700/</t>
        </is>
      </c>
      <c r="E3274" t="n">
        <v>7</v>
      </c>
      <c r="J3274" t="inlineStr">
        <is>
          <t>Palma de Mallorca</t>
        </is>
      </c>
      <c r="K3274" t="n">
        <v>9.699999999999999</v>
      </c>
      <c r="L3274" t="n">
        <v>14</v>
      </c>
      <c r="M3274" t="n">
        <v>52.5</v>
      </c>
      <c r="N3274" t="n">
        <v>47</v>
      </c>
      <c r="O3274" t="n">
        <v>32.1</v>
      </c>
      <c r="P3274" t="n">
        <v>36</v>
      </c>
      <c r="Q3274" t="n">
        <v>50.2</v>
      </c>
      <c r="R3274" t="n">
        <v>44</v>
      </c>
      <c r="S3274" t="n">
        <v>2750000</v>
      </c>
      <c r="AH3274" t="inlineStr">
        <is>
          <t>Quelle: Pisos.com</t>
        </is>
      </c>
    </row>
    <row r="3275">
      <c r="A3275" t="n">
        <v>3088</v>
      </c>
      <c r="B3275" t="inlineStr">
        <is>
          <t>Chalet en Ses Cadenes-Arenal</t>
        </is>
      </c>
      <c r="C3275" t="inlineStr">
        <is>
          <t>https://www.pisos.com/comprar/chalet-platja_de_palma_sarenal07600-61689231309_100500/</t>
        </is>
      </c>
      <c r="E3275" t="n">
        <v>5</v>
      </c>
      <c r="J3275" t="inlineStr">
        <is>
          <t>Palma de Mallorca</t>
        </is>
      </c>
      <c r="K3275" t="n">
        <v>9.699999999999999</v>
      </c>
      <c r="L3275" t="n">
        <v>14</v>
      </c>
      <c r="M3275" t="n">
        <v>52.5</v>
      </c>
      <c r="N3275" t="n">
        <v>47</v>
      </c>
      <c r="O3275" t="n">
        <v>32.1</v>
      </c>
      <c r="P3275" t="n">
        <v>36</v>
      </c>
      <c r="Q3275" t="n">
        <v>50.2</v>
      </c>
      <c r="R3275" t="n">
        <v>44</v>
      </c>
      <c r="S3275" t="n">
        <v>689000</v>
      </c>
      <c r="AH3275" t="inlineStr">
        <is>
          <t>Quelle: Pisos.com</t>
        </is>
      </c>
    </row>
    <row r="3276">
      <c r="A3276" t="n">
        <v>3089</v>
      </c>
      <c r="B3276" t="inlineStr">
        <is>
          <t>Casa adosada en Son Xigala</t>
        </is>
      </c>
      <c r="C3276" t="inlineStr">
        <is>
          <t>https://www.pisos.com/comprar/casa_adosada-son_xigala07013-61681636817_101800/</t>
        </is>
      </c>
      <c r="E3276" t="n">
        <v>3</v>
      </c>
      <c r="J3276" t="inlineStr">
        <is>
          <t>Palma de Mallorca</t>
        </is>
      </c>
      <c r="S3276" t="n">
        <v>890000</v>
      </c>
      <c r="AH3276" t="inlineStr">
        <is>
          <t>Quelle: Pisos.com</t>
        </is>
      </c>
    </row>
    <row r="3277">
      <c r="A3277" t="n">
        <v>3090</v>
      </c>
      <c r="B3277" t="inlineStr">
        <is>
          <t>Casa adosada en L'Olivera</t>
        </is>
      </c>
      <c r="C3277" t="inlineStr">
        <is>
          <t>https://www.pisos.com/comprar/casa_adosada-olivera-61741073766_101800/</t>
        </is>
      </c>
      <c r="E3277" t="n">
        <v>2</v>
      </c>
      <c r="J3277" t="inlineStr">
        <is>
          <t>Palma de Mallorca</t>
        </is>
      </c>
      <c r="S3277" t="n">
        <v>675000</v>
      </c>
      <c r="AH3277" t="inlineStr">
        <is>
          <t>Quelle: Pisos.com</t>
        </is>
      </c>
    </row>
    <row r="3278">
      <c r="A3278" t="n">
        <v>3091</v>
      </c>
      <c r="B3278" t="inlineStr">
        <is>
          <t>Casa en Son Serra - La Vileta - Son Pereto</t>
        </is>
      </c>
      <c r="C3278" t="inlineStr">
        <is>
          <t>https://www.pisos.com/comprar/casa-son_serra_sa_vileta_son_pereto07011-61740672419_100500/</t>
        </is>
      </c>
      <c r="E3278" t="n">
        <v>5</v>
      </c>
      <c r="J3278" t="inlineStr">
        <is>
          <t>Palma de Mallorca</t>
        </is>
      </c>
      <c r="K3278" t="n">
        <v>9.699999999999999</v>
      </c>
      <c r="L3278" t="n">
        <v>14</v>
      </c>
      <c r="M3278" t="n">
        <v>52.5</v>
      </c>
      <c r="N3278" t="n">
        <v>47</v>
      </c>
      <c r="O3278" t="n">
        <v>32.1</v>
      </c>
      <c r="P3278" t="n">
        <v>36</v>
      </c>
      <c r="Q3278" t="n">
        <v>50.2</v>
      </c>
      <c r="R3278" t="n">
        <v>44</v>
      </c>
      <c r="S3278" t="n">
        <v>549000</v>
      </c>
      <c r="AH3278" t="inlineStr">
        <is>
          <t>Quelle: Pisos.com</t>
        </is>
      </c>
    </row>
    <row r="3279">
      <c r="A3279" t="n">
        <v>3092</v>
      </c>
      <c r="B3279" t="inlineStr">
        <is>
          <t>Chalet en Sant Jordi</t>
        </is>
      </c>
      <c r="C3279" t="inlineStr">
        <is>
          <t>https://www.pisos.com/comprar/chalet-llevant_sant_jordi07199-61702837556_109300/</t>
        </is>
      </c>
      <c r="E3279" t="n">
        <v>4</v>
      </c>
      <c r="J3279" t="inlineStr">
        <is>
          <t>Palma de Mallorca</t>
        </is>
      </c>
      <c r="K3279" t="n">
        <v>9.699999999999999</v>
      </c>
      <c r="L3279" t="n">
        <v>14</v>
      </c>
      <c r="M3279" t="n">
        <v>52.5</v>
      </c>
      <c r="N3279" t="n">
        <v>47</v>
      </c>
      <c r="O3279" t="n">
        <v>32.1</v>
      </c>
      <c r="P3279" t="n">
        <v>36</v>
      </c>
      <c r="Q3279" t="n">
        <v>50.2</v>
      </c>
      <c r="R3279" t="n">
        <v>44</v>
      </c>
      <c r="S3279" t="n">
        <v>1900000</v>
      </c>
      <c r="AH3279" t="inlineStr">
        <is>
          <t>Quelle: Pisos.com</t>
        </is>
      </c>
    </row>
    <row r="3280">
      <c r="A3280" t="n">
        <v>3093</v>
      </c>
      <c r="B3280" t="inlineStr">
        <is>
          <t>Chalet en Ponent</t>
        </is>
      </c>
      <c r="C3280" t="inlineStr">
        <is>
          <t>https://www.pisos.com/comprar/chalet-ponent-61700769690_106700/</t>
        </is>
      </c>
      <c r="E3280" t="n">
        <v>10</v>
      </c>
      <c r="J3280" t="inlineStr">
        <is>
          <t>Palma de Mallorca</t>
        </is>
      </c>
      <c r="K3280" t="n">
        <v>9.699999999999999</v>
      </c>
      <c r="L3280" t="n">
        <v>14</v>
      </c>
      <c r="M3280" t="n">
        <v>52.5</v>
      </c>
      <c r="N3280" t="n">
        <v>47</v>
      </c>
      <c r="O3280" t="n">
        <v>32.1</v>
      </c>
      <c r="P3280" t="n">
        <v>36</v>
      </c>
      <c r="Q3280" t="n">
        <v>50.2</v>
      </c>
      <c r="R3280" t="n">
        <v>44</v>
      </c>
      <c r="S3280" t="n">
        <v>1960000</v>
      </c>
      <c r="AH3280" t="inlineStr">
        <is>
          <t>Quelle: Pisos.com</t>
        </is>
      </c>
    </row>
    <row r="3281">
      <c r="A3281" t="n">
        <v>3094</v>
      </c>
      <c r="B3281" t="inlineStr">
        <is>
          <t>Casa en Monti-Sion</t>
        </is>
      </c>
      <c r="C3281" t="inlineStr">
        <is>
          <t>https://www.pisos.com/comprar/casa-la_llotja_born07012-61730451547_106700/</t>
        </is>
      </c>
      <c r="E3281" t="n">
        <v>7</v>
      </c>
      <c r="J3281" t="inlineStr">
        <is>
          <t>Palma de Mallorca</t>
        </is>
      </c>
      <c r="K3281" t="n">
        <v>9.699999999999999</v>
      </c>
      <c r="L3281" t="n">
        <v>14</v>
      </c>
      <c r="M3281" t="n">
        <v>52.5</v>
      </c>
      <c r="N3281" t="n">
        <v>47</v>
      </c>
      <c r="O3281" t="n">
        <v>32.1</v>
      </c>
      <c r="P3281" t="n">
        <v>36</v>
      </c>
      <c r="Q3281" t="n">
        <v>50.2</v>
      </c>
      <c r="R3281" t="n">
        <v>44</v>
      </c>
      <c r="S3281" t="n">
        <v>6350000</v>
      </c>
      <c r="AH3281" t="inlineStr">
        <is>
          <t>Quelle: Pisos.com</t>
        </is>
      </c>
    </row>
    <row r="3282">
      <c r="A3282" t="n">
        <v>3095</v>
      </c>
      <c r="B3282" t="inlineStr">
        <is>
          <t>Chalet en Son Vida</t>
        </is>
      </c>
      <c r="C3282" t="inlineStr">
        <is>
          <t>https://www.pisos.com/comprar/chalet-ponent-61761510847_106700/</t>
        </is>
      </c>
      <c r="E3282" t="n">
        <v>7</v>
      </c>
      <c r="J3282" t="inlineStr">
        <is>
          <t>Palma de Mallorca</t>
        </is>
      </c>
      <c r="K3282" t="n">
        <v>9.699999999999999</v>
      </c>
      <c r="L3282" t="n">
        <v>14</v>
      </c>
      <c r="M3282" t="n">
        <v>52.5</v>
      </c>
      <c r="N3282" t="n">
        <v>47</v>
      </c>
      <c r="O3282" t="n">
        <v>32.1</v>
      </c>
      <c r="P3282" t="n">
        <v>36</v>
      </c>
      <c r="Q3282" t="n">
        <v>50.2</v>
      </c>
      <c r="R3282" t="n">
        <v>44</v>
      </c>
      <c r="S3282" t="n">
        <v>2110000</v>
      </c>
      <c r="AH3282" t="inlineStr">
        <is>
          <t>Quelle: Pisos.com</t>
        </is>
      </c>
    </row>
    <row r="3283">
      <c r="A3283" t="n">
        <v>3096</v>
      </c>
      <c r="B3283" t="inlineStr">
        <is>
          <t>Casa en Son Ferriol</t>
        </is>
      </c>
      <c r="C3283" t="inlineStr">
        <is>
          <t>https://www.pisos.com/comprar/casa-llevant_son_ferriol07198-61723635983_100500/</t>
        </is>
      </c>
      <c r="E3283" t="n">
        <v>4</v>
      </c>
      <c r="J3283" t="inlineStr">
        <is>
          <t>Palma de Mallorca</t>
        </is>
      </c>
      <c r="S3283" t="n">
        <v>520000</v>
      </c>
      <c r="AH3283" t="inlineStr">
        <is>
          <t>Quelle: Pisos.com</t>
        </is>
      </c>
    </row>
    <row r="3284">
      <c r="A3284" t="n">
        <v>3097</v>
      </c>
      <c r="B3284" t="inlineStr">
        <is>
          <t>Chalet adosado en Sant Agustí</t>
        </is>
      </c>
      <c r="C3284" t="inlineStr">
        <is>
          <t>https://www.pisos.com/comprar/chalet_adosado-ponent_sant_agusti-61745270391_108900/</t>
        </is>
      </c>
      <c r="E3284" t="n">
        <v>4</v>
      </c>
      <c r="J3284" t="inlineStr">
        <is>
          <t>Palma de Mallorca</t>
        </is>
      </c>
      <c r="S3284" t="n">
        <v>939000</v>
      </c>
      <c r="AH3284" t="inlineStr">
        <is>
          <t>Quelle: Pisos.com</t>
        </is>
      </c>
    </row>
    <row r="3285">
      <c r="A3285" t="n">
        <v>3098</v>
      </c>
      <c r="B3285" t="inlineStr">
        <is>
          <t>Casa adosada en Son Ferriol</t>
        </is>
      </c>
      <c r="C3285" t="inlineStr">
        <is>
          <t>https://www.pisos.com/comprar/casa_adosada-llevant_son_ferriol07198-60849378302_100500/</t>
        </is>
      </c>
      <c r="E3285" t="n">
        <v>5</v>
      </c>
      <c r="J3285" t="inlineStr">
        <is>
          <t>Palma de Mallorca</t>
        </is>
      </c>
      <c r="K3285" t="n">
        <v>9.699999999999999</v>
      </c>
      <c r="L3285" t="n">
        <v>14</v>
      </c>
      <c r="M3285" t="n">
        <v>52.5</v>
      </c>
      <c r="N3285" t="n">
        <v>47</v>
      </c>
      <c r="O3285" t="n">
        <v>32.1</v>
      </c>
      <c r="P3285" t="n">
        <v>36</v>
      </c>
      <c r="Q3285" t="n">
        <v>50.2</v>
      </c>
      <c r="R3285" t="n">
        <v>44</v>
      </c>
      <c r="S3285" t="n">
        <v>635000</v>
      </c>
      <c r="AH3285" t="inlineStr">
        <is>
          <t>Quelle: Pisos.com</t>
        </is>
      </c>
    </row>
    <row r="3286">
      <c r="A3286" t="n">
        <v>3099</v>
      </c>
      <c r="B3286" t="inlineStr">
        <is>
          <t>Casa en Son Vida</t>
        </is>
      </c>
      <c r="C3286" t="inlineStr">
        <is>
          <t>https://www.pisos.com/comprar/casa-ponent_son_vida07013-60923422923_106700/</t>
        </is>
      </c>
      <c r="E3286" t="n">
        <v>4</v>
      </c>
      <c r="J3286" t="inlineStr">
        <is>
          <t>Palma de Mallorca</t>
        </is>
      </c>
      <c r="K3286" t="n">
        <v>9.699999999999999</v>
      </c>
      <c r="L3286" t="n">
        <v>14</v>
      </c>
      <c r="M3286" t="n">
        <v>52.5</v>
      </c>
      <c r="N3286" t="n">
        <v>47</v>
      </c>
      <c r="O3286" t="n">
        <v>32.1</v>
      </c>
      <c r="P3286" t="n">
        <v>36</v>
      </c>
      <c r="Q3286" t="n">
        <v>50.2</v>
      </c>
      <c r="R3286" t="n">
        <v>44</v>
      </c>
      <c r="S3286" t="n">
        <v>6950000</v>
      </c>
      <c r="AH3286" t="inlineStr">
        <is>
          <t>Quelle: Pisos.com</t>
        </is>
      </c>
    </row>
    <row r="3287">
      <c r="A3287" t="n">
        <v>3100</v>
      </c>
      <c r="B3287" t="inlineStr">
        <is>
          <t>Chalet en Son Gual</t>
        </is>
      </c>
      <c r="C3287" t="inlineStr">
        <is>
          <t>https://www.pisos.com/comprar/chalet-llevant_sant_jordi07199-60857265101_100500/</t>
        </is>
      </c>
      <c r="E3287" t="n">
        <v>4</v>
      </c>
      <c r="J3287" t="inlineStr">
        <is>
          <t>Palma de Mallorca</t>
        </is>
      </c>
      <c r="K3287" t="n">
        <v>9.699999999999999</v>
      </c>
      <c r="L3287" t="n">
        <v>14</v>
      </c>
      <c r="M3287" t="n">
        <v>52.5</v>
      </c>
      <c r="N3287" t="n">
        <v>47</v>
      </c>
      <c r="O3287" t="n">
        <v>32.1</v>
      </c>
      <c r="P3287" t="n">
        <v>36</v>
      </c>
      <c r="Q3287" t="n">
        <v>50.2</v>
      </c>
      <c r="R3287" t="n">
        <v>44</v>
      </c>
      <c r="S3287" t="n">
        <v>1100000</v>
      </c>
      <c r="AH3287" t="inlineStr">
        <is>
          <t>Quelle: Pisos.com</t>
        </is>
      </c>
    </row>
    <row r="3288">
      <c r="A3288" t="n">
        <v>3101</v>
      </c>
      <c r="B3288" t="inlineStr">
        <is>
          <t>Chalet en Palma de Mallorca</t>
        </is>
      </c>
      <c r="C3288" t="inlineStr">
        <is>
          <t>https://www.pisos.com/comprar/chalet-palma_de_mallorca-60895588382_106500/</t>
        </is>
      </c>
      <c r="E3288" t="n">
        <v>5</v>
      </c>
      <c r="J3288" t="inlineStr">
        <is>
          <t>Palma de Mallorca</t>
        </is>
      </c>
      <c r="K3288" t="n">
        <v>9.699999999999999</v>
      </c>
      <c r="L3288" t="n">
        <v>14</v>
      </c>
      <c r="M3288" t="n">
        <v>52.5</v>
      </c>
      <c r="N3288" t="n">
        <v>47</v>
      </c>
      <c r="O3288" t="n">
        <v>32.1</v>
      </c>
      <c r="P3288" t="n">
        <v>36</v>
      </c>
      <c r="Q3288" t="n">
        <v>50.2</v>
      </c>
      <c r="R3288" t="n">
        <v>44</v>
      </c>
      <c r="S3288" t="n">
        <v>689000</v>
      </c>
      <c r="AH3288" t="inlineStr">
        <is>
          <t>Quelle: Pisos.com</t>
        </is>
      </c>
    </row>
    <row r="3289">
      <c r="A3289" t="n">
        <v>3102</v>
      </c>
      <c r="B3289" t="inlineStr">
        <is>
          <t>Chalet unifamiliar en Sa Taulera</t>
        </is>
      </c>
      <c r="C3289" t="inlineStr">
        <is>
          <t>https://www.pisos.com/comprar/chalet_unifamiliar-la_teulera07014-41746624401_291000/</t>
        </is>
      </c>
      <c r="E3289" t="n">
        <v>5</v>
      </c>
      <c r="J3289" t="inlineStr">
        <is>
          <t>Palma de Mallorca</t>
        </is>
      </c>
      <c r="K3289" t="n">
        <v>9.699999999999999</v>
      </c>
      <c r="L3289" t="n">
        <v>14</v>
      </c>
      <c r="M3289" t="n">
        <v>52.5</v>
      </c>
      <c r="N3289" t="n">
        <v>47</v>
      </c>
      <c r="O3289" t="n">
        <v>32.1</v>
      </c>
      <c r="P3289" t="n">
        <v>36</v>
      </c>
      <c r="Q3289" t="n">
        <v>50.2</v>
      </c>
      <c r="R3289" t="n">
        <v>44</v>
      </c>
      <c r="S3289" t="n">
        <v>1950000</v>
      </c>
      <c r="AH3289" t="inlineStr">
        <is>
          <t>Quelle: Pisos.com</t>
        </is>
      </c>
    </row>
    <row r="3290">
      <c r="A3290" t="n">
        <v>3103</v>
      </c>
      <c r="B3290" t="inlineStr">
        <is>
          <t>Casa en Es Portixol-Es Molinar</t>
        </is>
      </c>
      <c r="C3290" t="inlineStr">
        <is>
          <t>https://www.pisos.com/comprar/casa-es_portixol_es_molinar07006-60894993345_101800/</t>
        </is>
      </c>
      <c r="E3290" t="n">
        <v>5</v>
      </c>
      <c r="J3290" t="inlineStr">
        <is>
          <t>Palma de Mallorca</t>
        </is>
      </c>
      <c r="K3290" t="n">
        <v>9.699999999999999</v>
      </c>
      <c r="L3290" t="n">
        <v>14</v>
      </c>
      <c r="M3290" t="n">
        <v>52.5</v>
      </c>
      <c r="N3290" t="n">
        <v>47</v>
      </c>
      <c r="O3290" t="n">
        <v>32.1</v>
      </c>
      <c r="P3290" t="n">
        <v>36</v>
      </c>
      <c r="Q3290" t="n">
        <v>50.2</v>
      </c>
      <c r="R3290" t="n">
        <v>44</v>
      </c>
      <c r="S3290" t="n">
        <v>1575000</v>
      </c>
      <c r="AH3290" t="inlineStr">
        <is>
          <t>Quelle: Pisos.com</t>
        </is>
      </c>
    </row>
    <row r="3291">
      <c r="A3291" t="n">
        <v>3104</v>
      </c>
      <c r="B3291" t="inlineStr">
        <is>
          <t>Casa en S'Aranjassa</t>
        </is>
      </c>
      <c r="C3291" t="inlineStr">
        <is>
          <t>https://www.pisos.com/comprar/casa-llevant_saranjassa-60884650598_106500/</t>
        </is>
      </c>
      <c r="E3291" t="n">
        <v>3</v>
      </c>
      <c r="J3291" t="inlineStr">
        <is>
          <t>Palma de Mallorca</t>
        </is>
      </c>
      <c r="S3291" t="n">
        <v>849000</v>
      </c>
      <c r="AH3291" t="inlineStr">
        <is>
          <t>Quelle: Pisos.com</t>
        </is>
      </c>
    </row>
    <row r="3292">
      <c r="A3292" t="n">
        <v>3105</v>
      </c>
      <c r="B3292" t="inlineStr">
        <is>
          <t>Casa en Génova</t>
        </is>
      </c>
      <c r="C3292" t="inlineStr">
        <is>
          <t>https://www.pisos.com/comprar/casa-ponent_genova07015-60888800637_100500/</t>
        </is>
      </c>
      <c r="E3292" t="n">
        <v>3</v>
      </c>
      <c r="J3292" t="inlineStr">
        <is>
          <t>Palma de Mallorca</t>
        </is>
      </c>
      <c r="K3292" t="n">
        <v>9.699999999999999</v>
      </c>
      <c r="L3292" t="n">
        <v>14</v>
      </c>
      <c r="M3292" t="n">
        <v>52.5</v>
      </c>
      <c r="N3292" t="n">
        <v>47</v>
      </c>
      <c r="O3292" t="n">
        <v>32.1</v>
      </c>
      <c r="P3292" t="n">
        <v>36</v>
      </c>
      <c r="Q3292" t="n">
        <v>50.2</v>
      </c>
      <c r="R3292" t="n">
        <v>44</v>
      </c>
      <c r="S3292" t="n">
        <v>1100000</v>
      </c>
      <c r="AH3292" t="inlineStr">
        <is>
          <t>Quelle: Pisos.com</t>
        </is>
      </c>
    </row>
    <row r="3293">
      <c r="A3293" t="n">
        <v>3106</v>
      </c>
      <c r="B3293" t="inlineStr">
        <is>
          <t>Chalet en Sant Jordi</t>
        </is>
      </c>
      <c r="C3293" t="inlineStr">
        <is>
          <t>https://www.pisos.com/comprar/chalet-llevant_sant_jordi07199-60930407815_101800/</t>
        </is>
      </c>
      <c r="E3293" t="n">
        <v>4</v>
      </c>
      <c r="J3293" t="inlineStr">
        <is>
          <t>Palma de Mallorca</t>
        </is>
      </c>
      <c r="K3293" t="n">
        <v>9.699999999999999</v>
      </c>
      <c r="L3293" t="n">
        <v>14</v>
      </c>
      <c r="M3293" t="n">
        <v>52.5</v>
      </c>
      <c r="N3293" t="n">
        <v>47</v>
      </c>
      <c r="O3293" t="n">
        <v>32.1</v>
      </c>
      <c r="P3293" t="n">
        <v>36</v>
      </c>
      <c r="Q3293" t="n">
        <v>50.2</v>
      </c>
      <c r="R3293" t="n">
        <v>44</v>
      </c>
      <c r="S3293" t="n">
        <v>1100000</v>
      </c>
      <c r="AH3293" t="inlineStr">
        <is>
          <t>Quelle: Pisos.com</t>
        </is>
      </c>
    </row>
    <row r="3294">
      <c r="A3294" t="n">
        <v>3107</v>
      </c>
      <c r="B3294" t="inlineStr">
        <is>
          <t>Casa adosada en Palma de Mallorca</t>
        </is>
      </c>
      <c r="C3294" t="inlineStr">
        <is>
          <t>https://www.pisos.com/comprar/casa_adosada-palma_de_mallorca-60883443878_106500/</t>
        </is>
      </c>
      <c r="E3294" t="n">
        <v>5</v>
      </c>
      <c r="J3294" t="inlineStr">
        <is>
          <t>Palma de Mallorca</t>
        </is>
      </c>
      <c r="K3294" t="n">
        <v>9.699999999999999</v>
      </c>
      <c r="L3294" t="n">
        <v>14</v>
      </c>
      <c r="M3294" t="n">
        <v>52.5</v>
      </c>
      <c r="N3294" t="n">
        <v>47</v>
      </c>
      <c r="O3294" t="n">
        <v>32.1</v>
      </c>
      <c r="P3294" t="n">
        <v>36</v>
      </c>
      <c r="Q3294" t="n">
        <v>50.2</v>
      </c>
      <c r="R3294" t="n">
        <v>44</v>
      </c>
      <c r="S3294" t="n">
        <v>615000</v>
      </c>
      <c r="AH3294" t="inlineStr">
        <is>
          <t>Quelle: Pisos.com</t>
        </is>
      </c>
    </row>
    <row r="3295">
      <c r="A3295" t="n">
        <v>3108</v>
      </c>
      <c r="B3295" t="inlineStr">
        <is>
          <t>Chalet en El Vivero</t>
        </is>
      </c>
      <c r="C3295" t="inlineStr">
        <is>
          <t>https://www.pisos.com/comprar/chalet-son_cladera_son_rutlan_verge_de_lluc07009-60842084732_100500/</t>
        </is>
      </c>
      <c r="E3295" t="n">
        <v>4</v>
      </c>
      <c r="J3295" t="inlineStr">
        <is>
          <t>Palma de Mallorca</t>
        </is>
      </c>
      <c r="S3295" t="n">
        <v>690000</v>
      </c>
      <c r="AH3295" t="inlineStr">
        <is>
          <t>Quelle: Pisos.com</t>
        </is>
      </c>
    </row>
    <row r="3296">
      <c r="A3296" t="n">
        <v>3109</v>
      </c>
      <c r="B3296" t="inlineStr">
        <is>
          <t>Casa en Son Roca-Son Ximelis-Son Anglada</t>
        </is>
      </c>
      <c r="C3296" t="inlineStr">
        <is>
          <t>https://www.pisos.com/comprar/casa-son_roca_son_ximelis_son_anglada07011-60862234965_100500/</t>
        </is>
      </c>
      <c r="E3296" t="n">
        <v>11</v>
      </c>
      <c r="J3296" t="inlineStr">
        <is>
          <t>Palma de Mallorca</t>
        </is>
      </c>
      <c r="K3296" t="n">
        <v>9.699999999999999</v>
      </c>
      <c r="L3296" t="n">
        <v>14</v>
      </c>
      <c r="M3296" t="n">
        <v>52.5</v>
      </c>
      <c r="N3296" t="n">
        <v>47</v>
      </c>
      <c r="O3296" t="n">
        <v>32.1</v>
      </c>
      <c r="P3296" t="n">
        <v>36</v>
      </c>
      <c r="Q3296" t="n">
        <v>50.2</v>
      </c>
      <c r="R3296" t="n">
        <v>44</v>
      </c>
      <c r="S3296" t="n">
        <v>5900000</v>
      </c>
      <c r="AH3296" t="inlineStr">
        <is>
          <t>Quelle: Pisos.com</t>
        </is>
      </c>
    </row>
    <row r="3297">
      <c r="A3297" t="n">
        <v>3110</v>
      </c>
      <c r="B3297" t="inlineStr">
        <is>
          <t>Casa en Establiments</t>
        </is>
      </c>
      <c r="C3297" t="inlineStr">
        <is>
          <t>https://www.pisos.com/comprar/casa-establiments07010-60888453538_101800/</t>
        </is>
      </c>
      <c r="E3297" t="n">
        <v>15</v>
      </c>
      <c r="J3297" t="inlineStr">
        <is>
          <t>Palma de Mallorca</t>
        </is>
      </c>
      <c r="K3297" t="n">
        <v>9.699999999999999</v>
      </c>
      <c r="L3297" t="n">
        <v>14</v>
      </c>
      <c r="M3297" t="n">
        <v>52.5</v>
      </c>
      <c r="N3297" t="n">
        <v>47</v>
      </c>
      <c r="O3297" t="n">
        <v>32.1</v>
      </c>
      <c r="P3297" t="n">
        <v>36</v>
      </c>
      <c r="Q3297" t="n">
        <v>50.2</v>
      </c>
      <c r="R3297" t="n">
        <v>44</v>
      </c>
      <c r="S3297" t="n">
        <v>9900000</v>
      </c>
      <c r="AH3297" t="inlineStr">
        <is>
          <t>Quelle: Pisos.com</t>
        </is>
      </c>
    </row>
    <row r="3298">
      <c r="A3298" t="n">
        <v>3111</v>
      </c>
      <c r="B3298" t="inlineStr">
        <is>
          <t>Casa rústica en Son Ferriol</t>
        </is>
      </c>
      <c r="C3298" t="inlineStr">
        <is>
          <t>https://www.pisos.com/comprar/casa_rustica-llevant_son_ferriol07007-60911349786_101800/</t>
        </is>
      </c>
      <c r="E3298" t="n">
        <v>10</v>
      </c>
      <c r="J3298" t="inlineStr">
        <is>
          <t>Palma de Mallorca</t>
        </is>
      </c>
      <c r="K3298" t="n">
        <v>9.699999999999999</v>
      </c>
      <c r="L3298" t="n">
        <v>14</v>
      </c>
      <c r="M3298" t="n">
        <v>52.5</v>
      </c>
      <c r="N3298" t="n">
        <v>47</v>
      </c>
      <c r="O3298" t="n">
        <v>32.1</v>
      </c>
      <c r="P3298" t="n">
        <v>36</v>
      </c>
      <c r="Q3298" t="n">
        <v>50.2</v>
      </c>
      <c r="R3298" t="n">
        <v>44</v>
      </c>
      <c r="S3298" t="n">
        <v>7490000</v>
      </c>
      <c r="AH3298" t="inlineStr">
        <is>
          <t>Quelle: Pisos.com</t>
        </is>
      </c>
    </row>
    <row r="3299">
      <c r="A3299" t="n">
        <v>3112</v>
      </c>
      <c r="B3299" t="inlineStr">
        <is>
          <t>Casa en Plaça dels Patins</t>
        </is>
      </c>
      <c r="C3299" t="inlineStr">
        <is>
          <t>https://www.pisos.com/comprar/casa-placa_dels_patins07003-60923287339_101800/</t>
        </is>
      </c>
      <c r="E3299" t="n">
        <v>10</v>
      </c>
      <c r="J3299" t="inlineStr">
        <is>
          <t>Palma de Mallorca</t>
        </is>
      </c>
      <c r="K3299" t="n">
        <v>9.699999999999999</v>
      </c>
      <c r="L3299" t="n">
        <v>14</v>
      </c>
      <c r="M3299" t="n">
        <v>52.5</v>
      </c>
      <c r="N3299" t="n">
        <v>47</v>
      </c>
      <c r="O3299" t="n">
        <v>32.1</v>
      </c>
      <c r="P3299" t="n">
        <v>36</v>
      </c>
      <c r="Q3299" t="n">
        <v>50.2</v>
      </c>
      <c r="R3299" t="n">
        <v>44</v>
      </c>
      <c r="S3299" t="n">
        <v>1850000</v>
      </c>
      <c r="AH3299" t="inlineStr">
        <is>
          <t>Quelle: Pisos.com</t>
        </is>
      </c>
    </row>
    <row r="3300">
      <c r="A3300" t="n">
        <v>3113</v>
      </c>
      <c r="B3300" t="inlineStr">
        <is>
          <t>Casa adosada en Palma de Mallorca</t>
        </is>
      </c>
      <c r="C3300" t="inlineStr">
        <is>
          <t>https://www.pisos.com/comprar/casa_adosada-palma_de_mallorca-60860184849_106500/</t>
        </is>
      </c>
      <c r="E3300" t="n">
        <v>4</v>
      </c>
      <c r="J3300" t="inlineStr">
        <is>
          <t>Palma de Mallorca</t>
        </is>
      </c>
      <c r="K3300" t="n">
        <v>9.699999999999999</v>
      </c>
      <c r="L3300" t="n">
        <v>14</v>
      </c>
      <c r="M3300" t="n">
        <v>52.5</v>
      </c>
      <c r="N3300" t="n">
        <v>47</v>
      </c>
      <c r="O3300" t="n">
        <v>32.1</v>
      </c>
      <c r="P3300" t="n">
        <v>36</v>
      </c>
      <c r="Q3300" t="n">
        <v>50.2</v>
      </c>
      <c r="R3300" t="n">
        <v>44</v>
      </c>
      <c r="S3300" t="n">
        <v>1317000</v>
      </c>
      <c r="AH3300" t="inlineStr">
        <is>
          <t>Quelle: Pisos.com</t>
        </is>
      </c>
    </row>
    <row r="3301">
      <c r="A3301" t="n">
        <v>3114</v>
      </c>
      <c r="B3301" t="inlineStr">
        <is>
          <t>Chalet en Les Maravelles</t>
        </is>
      </c>
      <c r="C3301" t="inlineStr">
        <is>
          <t>https://www.pisos.com/comprar/chalet-les_meravelles07610-60887475388_100500/</t>
        </is>
      </c>
      <c r="E3301" t="n">
        <v>4</v>
      </c>
      <c r="J3301" t="inlineStr">
        <is>
          <t>Palma de Mallorca</t>
        </is>
      </c>
      <c r="S3301" t="n">
        <v>950000</v>
      </c>
      <c r="AH3301" t="inlineStr">
        <is>
          <t>Quelle: Pisos.com</t>
        </is>
      </c>
    </row>
    <row r="3302">
      <c r="A3302" t="n">
        <v>3115</v>
      </c>
      <c r="B3302" t="inlineStr">
        <is>
          <t>Casa adosada en Palma de Mallorca</t>
        </is>
      </c>
      <c r="C3302" t="inlineStr">
        <is>
          <t>https://www.pisos.com/comprar/casa_adosada-palma_de_mallorca-60840133509_106500/</t>
        </is>
      </c>
      <c r="E3302" t="n">
        <v>4</v>
      </c>
      <c r="J3302" t="inlineStr">
        <is>
          <t>Palma de Mallorca</t>
        </is>
      </c>
      <c r="K3302" t="n">
        <v>9.699999999999999</v>
      </c>
      <c r="L3302" t="n">
        <v>14</v>
      </c>
      <c r="M3302" t="n">
        <v>52.5</v>
      </c>
      <c r="N3302" t="n">
        <v>47</v>
      </c>
      <c r="O3302" t="n">
        <v>32.1</v>
      </c>
      <c r="P3302" t="n">
        <v>36</v>
      </c>
      <c r="Q3302" t="n">
        <v>50.2</v>
      </c>
      <c r="R3302" t="n">
        <v>44</v>
      </c>
      <c r="S3302" t="n">
        <v>1145000</v>
      </c>
      <c r="AH3302" t="inlineStr">
        <is>
          <t>Quelle: Pisos.com</t>
        </is>
      </c>
    </row>
    <row r="3303">
      <c r="A3303" t="n">
        <v>3116</v>
      </c>
      <c r="B3303" t="inlineStr">
        <is>
          <t>Casa pareada en Gènova</t>
        </is>
      </c>
      <c r="C3303" t="inlineStr">
        <is>
          <t>https://www.pisos.com/comprar/casa_pareada-ponent_genova07015-60833698124_100500/</t>
        </is>
      </c>
      <c r="E3303" t="n">
        <v>4</v>
      </c>
      <c r="J3303" t="inlineStr">
        <is>
          <t>Palma de Mallorca</t>
        </is>
      </c>
      <c r="K3303" t="n">
        <v>9.699999999999999</v>
      </c>
      <c r="L3303" t="n">
        <v>14</v>
      </c>
      <c r="M3303" t="n">
        <v>52.5</v>
      </c>
      <c r="N3303" t="n">
        <v>47</v>
      </c>
      <c r="O3303" t="n">
        <v>32.1</v>
      </c>
      <c r="P3303" t="n">
        <v>36</v>
      </c>
      <c r="Q3303" t="n">
        <v>50.2</v>
      </c>
      <c r="R3303" t="n">
        <v>44</v>
      </c>
      <c r="S3303" t="n">
        <v>1380000</v>
      </c>
      <c r="AH3303" t="inlineStr">
        <is>
          <t>Quelle: Pisos.com</t>
        </is>
      </c>
    </row>
    <row r="3304">
      <c r="A3304" t="n">
        <v>3117</v>
      </c>
      <c r="B3304" t="inlineStr">
        <is>
          <t>Casa en Cort</t>
        </is>
      </c>
      <c r="C3304" t="inlineStr">
        <is>
          <t>https://www.pisos.com/comprar/casa-cort07001-60866898996_105600/</t>
        </is>
      </c>
      <c r="E3304" t="n">
        <v>11</v>
      </c>
      <c r="J3304" t="inlineStr">
        <is>
          <t>Palma de Mallorca</t>
        </is>
      </c>
      <c r="K3304" t="n">
        <v>9.699999999999999</v>
      </c>
      <c r="L3304" t="n">
        <v>14</v>
      </c>
      <c r="M3304" t="n">
        <v>52.5</v>
      </c>
      <c r="N3304" t="n">
        <v>47</v>
      </c>
      <c r="O3304" t="n">
        <v>32.1</v>
      </c>
      <c r="P3304" t="n">
        <v>36</v>
      </c>
      <c r="Q3304" t="n">
        <v>50.2</v>
      </c>
      <c r="R3304" t="n">
        <v>44</v>
      </c>
      <c r="S3304" t="n">
        <v>3500000</v>
      </c>
      <c r="AH3304" t="inlineStr">
        <is>
          <t>Quelle: Pisos.com</t>
        </is>
      </c>
    </row>
    <row r="3305">
      <c r="A3305" t="n">
        <v>3118</v>
      </c>
      <c r="B3305" t="inlineStr">
        <is>
          <t>Casa adosada en Son Dureta</t>
        </is>
      </c>
      <c r="C3305" t="inlineStr">
        <is>
          <t>https://www.pisos.com/comprar/casa_adosada-son_dureta07014-60002843668_101800/</t>
        </is>
      </c>
      <c r="E3305" t="n">
        <v>4</v>
      </c>
      <c r="J3305" t="inlineStr">
        <is>
          <t>Palma de Mallorca</t>
        </is>
      </c>
      <c r="K3305" t="n">
        <v>9.699999999999999</v>
      </c>
      <c r="L3305" t="n">
        <v>14</v>
      </c>
      <c r="M3305" t="n">
        <v>52.5</v>
      </c>
      <c r="N3305" t="n">
        <v>47</v>
      </c>
      <c r="O3305" t="n">
        <v>32.1</v>
      </c>
      <c r="P3305" t="n">
        <v>36</v>
      </c>
      <c r="Q3305" t="n">
        <v>50.2</v>
      </c>
      <c r="R3305" t="n">
        <v>44</v>
      </c>
      <c r="S3305" t="n">
        <v>1350000</v>
      </c>
      <c r="AH3305" t="inlineStr">
        <is>
          <t>Quelle: Pisos.com</t>
        </is>
      </c>
    </row>
    <row r="3306">
      <c r="A3306" t="n">
        <v>3119</v>
      </c>
      <c r="B3306" t="inlineStr">
        <is>
          <t>Casa en Son Vida</t>
        </is>
      </c>
      <c r="C3306" t="inlineStr">
        <is>
          <t>https://www.pisos.com/comprar/casa-ponent_son_vida07013-60063946290_108900/</t>
        </is>
      </c>
      <c r="E3306" t="n">
        <v>5</v>
      </c>
      <c r="J3306" t="inlineStr">
        <is>
          <t>Palma de Mallorca</t>
        </is>
      </c>
      <c r="K3306" t="n">
        <v>9.699999999999999</v>
      </c>
      <c r="L3306" t="n">
        <v>14</v>
      </c>
      <c r="M3306" t="n">
        <v>52.5</v>
      </c>
      <c r="N3306" t="n">
        <v>47</v>
      </c>
      <c r="O3306" t="n">
        <v>32.1</v>
      </c>
      <c r="P3306" t="n">
        <v>36</v>
      </c>
      <c r="Q3306" t="n">
        <v>50.2</v>
      </c>
      <c r="R3306" t="n">
        <v>44</v>
      </c>
      <c r="S3306" t="n">
        <v>8400000</v>
      </c>
      <c r="AH3306" t="inlineStr">
        <is>
          <t>Quelle: Pisos.com</t>
        </is>
      </c>
    </row>
    <row r="3307">
      <c r="A3307" t="n">
        <v>3120</v>
      </c>
      <c r="B3307" t="inlineStr">
        <is>
          <t>Chalet en Palma de Mallorca</t>
        </is>
      </c>
      <c r="C3307" t="inlineStr">
        <is>
          <t>https://www.pisos.com/comprar/chalet-palma_de_mallorca-60001022669_106500/</t>
        </is>
      </c>
      <c r="E3307" t="n">
        <v>5</v>
      </c>
      <c r="J3307" t="inlineStr">
        <is>
          <t>Palma de Mallorca</t>
        </is>
      </c>
      <c r="K3307" t="n">
        <v>9.699999999999999</v>
      </c>
      <c r="L3307" t="n">
        <v>14</v>
      </c>
      <c r="M3307" t="n">
        <v>52.5</v>
      </c>
      <c r="N3307" t="n">
        <v>47</v>
      </c>
      <c r="O3307" t="n">
        <v>32.1</v>
      </c>
      <c r="P3307" t="n">
        <v>36</v>
      </c>
      <c r="Q3307" t="n">
        <v>50.2</v>
      </c>
      <c r="R3307" t="n">
        <v>44</v>
      </c>
      <c r="S3307" t="n">
        <v>9200000</v>
      </c>
      <c r="AH3307" t="inlineStr">
        <is>
          <t>Quelle: Pisos.com</t>
        </is>
      </c>
    </row>
    <row r="3308">
      <c r="A3308" t="n">
        <v>3121</v>
      </c>
      <c r="B3308" t="inlineStr">
        <is>
          <t>Casa en Son Espanyolet</t>
        </is>
      </c>
      <c r="C3308" t="inlineStr">
        <is>
          <t>https://www.pisos.com/comprar/casa-ponent_son_espanyolet07014-60019821044_105600/</t>
        </is>
      </c>
      <c r="E3308" t="n">
        <v>4</v>
      </c>
      <c r="J3308" t="inlineStr">
        <is>
          <t>Palma de Mallorca</t>
        </is>
      </c>
      <c r="K3308" t="n">
        <v>9.699999999999999</v>
      </c>
      <c r="L3308" t="n">
        <v>14</v>
      </c>
      <c r="M3308" t="n">
        <v>52.5</v>
      </c>
      <c r="N3308" t="n">
        <v>47</v>
      </c>
      <c r="O3308" t="n">
        <v>32.1</v>
      </c>
      <c r="P3308" t="n">
        <v>36</v>
      </c>
      <c r="Q3308" t="n">
        <v>50.2</v>
      </c>
      <c r="R3308" t="n">
        <v>44</v>
      </c>
      <c r="S3308" t="n">
        <v>1350000</v>
      </c>
      <c r="AH3308" t="inlineStr">
        <is>
          <t>Quelle: Pisos.com</t>
        </is>
      </c>
    </row>
    <row r="3309">
      <c r="A3309" t="n">
        <v>3122</v>
      </c>
      <c r="B3309" t="inlineStr">
        <is>
          <t>Chalet en Palma de Mallorca</t>
        </is>
      </c>
      <c r="C3309" t="inlineStr">
        <is>
          <t>https://www.pisos.com/comprar/chalet-palma_de_mallorca-60028281624_106500/</t>
        </is>
      </c>
      <c r="J3309" t="inlineStr">
        <is>
          <t>Palma de Mallorca</t>
        </is>
      </c>
      <c r="K3309" t="n">
        <v>9.699999999999999</v>
      </c>
      <c r="L3309" t="n">
        <v>14</v>
      </c>
      <c r="M3309" t="n">
        <v>52.5</v>
      </c>
      <c r="N3309" t="n">
        <v>47</v>
      </c>
      <c r="O3309" t="n">
        <v>32.1</v>
      </c>
      <c r="P3309" t="n">
        <v>36</v>
      </c>
      <c r="Q3309" t="n">
        <v>50.2</v>
      </c>
      <c r="R3309" t="n">
        <v>44</v>
      </c>
      <c r="S3309" t="n">
        <v>2500000</v>
      </c>
      <c r="AH3309" t="inlineStr">
        <is>
          <t>Quelle: Pisos.com</t>
        </is>
      </c>
    </row>
    <row r="3310">
      <c r="A3310" t="n">
        <v>3123</v>
      </c>
      <c r="B3310" t="inlineStr">
        <is>
          <t>Casa en Sant Jordi</t>
        </is>
      </c>
      <c r="C3310" t="inlineStr">
        <is>
          <t>https://www.pisos.com/comprar/casa-llevant_sant_jordi07199-60058042667_106500/</t>
        </is>
      </c>
      <c r="E3310" t="n">
        <v>4</v>
      </c>
      <c r="J3310" t="inlineStr">
        <is>
          <t>Palma de Mallorca</t>
        </is>
      </c>
      <c r="K3310" t="n">
        <v>9.699999999999999</v>
      </c>
      <c r="L3310" t="n">
        <v>14</v>
      </c>
      <c r="M3310" t="n">
        <v>52.5</v>
      </c>
      <c r="N3310" t="n">
        <v>47</v>
      </c>
      <c r="O3310" t="n">
        <v>32.1</v>
      </c>
      <c r="P3310" t="n">
        <v>36</v>
      </c>
      <c r="Q3310" t="n">
        <v>50.2</v>
      </c>
      <c r="R3310" t="n">
        <v>44</v>
      </c>
      <c r="S3310" t="n">
        <v>2640000</v>
      </c>
      <c r="AH3310" t="inlineStr">
        <is>
          <t>Quelle: Pisos.com</t>
        </is>
      </c>
    </row>
    <row r="3311">
      <c r="A3311" t="n">
        <v>3124</v>
      </c>
      <c r="B3311" t="inlineStr">
        <is>
          <t>Casa en Sa Casa Blanca</t>
        </is>
      </c>
      <c r="C3311" t="inlineStr">
        <is>
          <t>https://www.pisos.com/comprar/casa-llevant_sa_casa_blanca07199-60059832690_106500/</t>
        </is>
      </c>
      <c r="E3311" t="n">
        <v>6</v>
      </c>
      <c r="J3311" t="inlineStr">
        <is>
          <t>Palma de Mallorca</t>
        </is>
      </c>
      <c r="K3311" t="n">
        <v>9.699999999999999</v>
      </c>
      <c r="L3311" t="n">
        <v>14</v>
      </c>
      <c r="M3311" t="n">
        <v>52.5</v>
      </c>
      <c r="N3311" t="n">
        <v>47</v>
      </c>
      <c r="O3311" t="n">
        <v>32.1</v>
      </c>
      <c r="P3311" t="n">
        <v>36</v>
      </c>
      <c r="Q3311" t="n">
        <v>50.2</v>
      </c>
      <c r="R3311" t="n">
        <v>44</v>
      </c>
      <c r="S3311" t="n">
        <v>2950000</v>
      </c>
      <c r="AH3311" t="inlineStr">
        <is>
          <t>Quelle: Pisos.com</t>
        </is>
      </c>
    </row>
    <row r="3312">
      <c r="A3312" t="n">
        <v>3125</v>
      </c>
      <c r="B3312" t="inlineStr">
        <is>
          <t>Casa en Palma de Mallorca</t>
        </is>
      </c>
      <c r="C3312" t="inlineStr">
        <is>
          <t>https://www.pisos.com/comprar/casa-palma_de_mallorca-60007105726_106500/</t>
        </is>
      </c>
      <c r="E3312" t="n">
        <v>4</v>
      </c>
      <c r="J3312" t="inlineStr">
        <is>
          <t>Palma de Mallorca</t>
        </is>
      </c>
      <c r="K3312" t="n">
        <v>9.699999999999999</v>
      </c>
      <c r="L3312" t="n">
        <v>14</v>
      </c>
      <c r="M3312" t="n">
        <v>52.5</v>
      </c>
      <c r="N3312" t="n">
        <v>47</v>
      </c>
      <c r="O3312" t="n">
        <v>32.1</v>
      </c>
      <c r="P3312" t="n">
        <v>36</v>
      </c>
      <c r="Q3312" t="n">
        <v>50.2</v>
      </c>
      <c r="R3312" t="n">
        <v>44</v>
      </c>
      <c r="S3312" t="n">
        <v>1100000</v>
      </c>
      <c r="AH3312" t="inlineStr">
        <is>
          <t>Quelle: Pisos.com</t>
        </is>
      </c>
    </row>
    <row r="3313">
      <c r="A3313" t="n">
        <v>3126</v>
      </c>
      <c r="B3313" t="inlineStr">
        <is>
          <t>Casa en El Coll d'en Rabassa</t>
        </is>
      </c>
      <c r="C3313" t="inlineStr">
        <is>
          <t>https://www.pisos.com/comprar/casa-el_coll_en_rabassa07007-60025579449_106500/</t>
        </is>
      </c>
      <c r="E3313" t="n">
        <v>4</v>
      </c>
      <c r="J3313" t="inlineStr">
        <is>
          <t>Palma de Mallorca</t>
        </is>
      </c>
      <c r="K3313" t="n">
        <v>9.699999999999999</v>
      </c>
      <c r="L3313" t="n">
        <v>14</v>
      </c>
      <c r="M3313" t="n">
        <v>52.5</v>
      </c>
      <c r="N3313" t="n">
        <v>47</v>
      </c>
      <c r="O3313" t="n">
        <v>32.1</v>
      </c>
      <c r="P3313" t="n">
        <v>36</v>
      </c>
      <c r="Q3313" t="n">
        <v>50.2</v>
      </c>
      <c r="R3313" t="n">
        <v>44</v>
      </c>
      <c r="S3313" t="n">
        <v>2800000</v>
      </c>
      <c r="AH3313" t="inlineStr">
        <is>
          <t>Quelle: Pisos.com</t>
        </is>
      </c>
    </row>
    <row r="3314">
      <c r="A3314" t="n">
        <v>3127</v>
      </c>
      <c r="B3314" t="inlineStr">
        <is>
          <t>Casa adosada en Palma de Mallorca</t>
        </is>
      </c>
      <c r="C3314" t="inlineStr">
        <is>
          <t>https://www.pisos.com/comprar/casa_adosada-palma_de_mallorca-60018410561_106500/</t>
        </is>
      </c>
      <c r="E3314" t="n">
        <v>3</v>
      </c>
      <c r="J3314" t="inlineStr">
        <is>
          <t>Palma de Mallorca</t>
        </is>
      </c>
      <c r="S3314" t="n">
        <v>700000</v>
      </c>
      <c r="AH3314" t="inlineStr">
        <is>
          <t>Quelle: Pisos.com</t>
        </is>
      </c>
    </row>
    <row r="3315">
      <c r="A3315" t="n">
        <v>3128</v>
      </c>
      <c r="B3315" t="inlineStr">
        <is>
          <t>Casa adosada en Palma de Mallorca</t>
        </is>
      </c>
      <c r="C3315" t="inlineStr">
        <is>
          <t>https://www.pisos.com/comprar/casa_adosada-palma_de_mallorca-60028409548_106500/</t>
        </is>
      </c>
      <c r="E3315" t="n">
        <v>2</v>
      </c>
      <c r="J3315" t="inlineStr">
        <is>
          <t>Palma de Mallorca</t>
        </is>
      </c>
      <c r="S3315" t="n">
        <v>980000</v>
      </c>
      <c r="AH3315" t="inlineStr">
        <is>
          <t>Quelle: Pisos.com</t>
        </is>
      </c>
    </row>
    <row r="3316">
      <c r="A3316" t="n">
        <v>3129</v>
      </c>
      <c r="B3316" t="inlineStr">
        <is>
          <t>Chalet en Palma de Mallorca</t>
        </is>
      </c>
      <c r="C3316" t="inlineStr">
        <is>
          <t>https://www.pisos.com/comprar/chalet-palma_de_mallorca-60089854207_106500/</t>
        </is>
      </c>
      <c r="E3316" t="n">
        <v>6</v>
      </c>
      <c r="J3316" t="inlineStr">
        <is>
          <t>Palma de Mallorca</t>
        </is>
      </c>
      <c r="K3316" t="n">
        <v>9.699999999999999</v>
      </c>
      <c r="L3316" t="n">
        <v>14</v>
      </c>
      <c r="M3316" t="n">
        <v>52.5</v>
      </c>
      <c r="N3316" t="n">
        <v>47</v>
      </c>
      <c r="O3316" t="n">
        <v>32.1</v>
      </c>
      <c r="P3316" t="n">
        <v>36</v>
      </c>
      <c r="Q3316" t="n">
        <v>50.2</v>
      </c>
      <c r="R3316" t="n">
        <v>44</v>
      </c>
      <c r="S3316" t="n">
        <v>6850000</v>
      </c>
      <c r="AH3316" t="inlineStr">
        <is>
          <t>Quelle: Pisos.com</t>
        </is>
      </c>
    </row>
    <row r="3317">
      <c r="A3317" t="n">
        <v>3130</v>
      </c>
      <c r="B3317" t="inlineStr">
        <is>
          <t>Chalet en Palma de Mallorca</t>
        </is>
      </c>
      <c r="C3317" t="inlineStr">
        <is>
          <t>https://www.pisos.com/comprar/chalet-palma_de_mallorca-60048550646_106500/</t>
        </is>
      </c>
      <c r="E3317" t="n">
        <v>4</v>
      </c>
      <c r="J3317" t="inlineStr">
        <is>
          <t>Palma de Mallorca</t>
        </is>
      </c>
      <c r="S3317" t="n">
        <v>930000</v>
      </c>
      <c r="AH3317" t="inlineStr">
        <is>
          <t>Quelle: Pisos.com</t>
        </is>
      </c>
    </row>
    <row r="3318">
      <c r="A3318" t="n">
        <v>3131</v>
      </c>
      <c r="B3318" t="inlineStr">
        <is>
          <t>Casa adosada en Palma de Mallorca</t>
        </is>
      </c>
      <c r="C3318" t="inlineStr">
        <is>
          <t>https://www.pisos.com/comprar/casa_adosada-palma_de_mallorca-60055509468_106500/</t>
        </is>
      </c>
      <c r="E3318" t="n">
        <v>3</v>
      </c>
      <c r="J3318" t="inlineStr">
        <is>
          <t>Palma de Mallorca</t>
        </is>
      </c>
      <c r="K3318" t="n">
        <v>9.699999999999999</v>
      </c>
      <c r="L3318" t="n">
        <v>14</v>
      </c>
      <c r="M3318" t="n">
        <v>52.5</v>
      </c>
      <c r="N3318" t="n">
        <v>47</v>
      </c>
      <c r="O3318" t="n">
        <v>32.1</v>
      </c>
      <c r="P3318" t="n">
        <v>36</v>
      </c>
      <c r="Q3318" t="n">
        <v>50.2</v>
      </c>
      <c r="R3318" t="n">
        <v>44</v>
      </c>
      <c r="S3318" t="n">
        <v>1780000</v>
      </c>
      <c r="AH3318" t="inlineStr">
        <is>
          <t>Quelle: Pisos.com</t>
        </is>
      </c>
    </row>
    <row r="3319">
      <c r="A3319" t="n">
        <v>3132</v>
      </c>
      <c r="B3319" t="inlineStr">
        <is>
          <t>Chalet en Palma de Mallorca</t>
        </is>
      </c>
      <c r="C3319" t="inlineStr">
        <is>
          <t>https://www.pisos.com/comprar/chalet-palma_de_mallorca-60055606899_106500/</t>
        </is>
      </c>
      <c r="E3319" t="n">
        <v>11</v>
      </c>
      <c r="J3319" t="inlineStr">
        <is>
          <t>Palma de Mallorca</t>
        </is>
      </c>
      <c r="K3319" t="n">
        <v>9.699999999999999</v>
      </c>
      <c r="L3319" t="n">
        <v>14</v>
      </c>
      <c r="M3319" t="n">
        <v>52.5</v>
      </c>
      <c r="N3319" t="n">
        <v>47</v>
      </c>
      <c r="O3319" t="n">
        <v>32.1</v>
      </c>
      <c r="P3319" t="n">
        <v>36</v>
      </c>
      <c r="Q3319" t="n">
        <v>50.2</v>
      </c>
      <c r="R3319" t="n">
        <v>44</v>
      </c>
      <c r="S3319" t="n">
        <v>3100000</v>
      </c>
      <c r="AH3319" t="inlineStr">
        <is>
          <t>Quelle: Pisos.com</t>
        </is>
      </c>
    </row>
    <row r="3320">
      <c r="A3320" t="n">
        <v>3133</v>
      </c>
      <c r="B3320" t="inlineStr">
        <is>
          <t>Chalet en Palma de Mallorca</t>
        </is>
      </c>
      <c r="C3320" t="inlineStr">
        <is>
          <t>https://www.pisos.com/comprar/chalet-palma_de_mallorca-60093605657_106500/</t>
        </is>
      </c>
      <c r="E3320" t="n">
        <v>6</v>
      </c>
      <c r="J3320" t="inlineStr">
        <is>
          <t>Palma de Mallorca</t>
        </is>
      </c>
      <c r="K3320" t="n">
        <v>9.699999999999999</v>
      </c>
      <c r="L3320" t="n">
        <v>14</v>
      </c>
      <c r="M3320" t="n">
        <v>52.5</v>
      </c>
      <c r="N3320" t="n">
        <v>47</v>
      </c>
      <c r="O3320" t="n">
        <v>32.1</v>
      </c>
      <c r="P3320" t="n">
        <v>36</v>
      </c>
      <c r="Q3320" t="n">
        <v>50.2</v>
      </c>
      <c r="R3320" t="n">
        <v>44</v>
      </c>
      <c r="S3320" t="n">
        <v>6950000</v>
      </c>
      <c r="AH3320" t="inlineStr">
        <is>
          <t>Quelle: Pisos.com</t>
        </is>
      </c>
    </row>
    <row r="3321">
      <c r="A3321" t="n">
        <v>3134</v>
      </c>
      <c r="B3321" t="inlineStr">
        <is>
          <t>Chalet en Palma de Mallorca</t>
        </is>
      </c>
      <c r="C3321" t="inlineStr">
        <is>
          <t>https://www.pisos.com/comprar/chalet-palma_de_mallorca-60073037796_106500/</t>
        </is>
      </c>
      <c r="E3321" t="n">
        <v>4</v>
      </c>
      <c r="J3321" t="inlineStr">
        <is>
          <t>Palma de Mallorca</t>
        </is>
      </c>
      <c r="K3321" t="n">
        <v>9.699999999999999</v>
      </c>
      <c r="L3321" t="n">
        <v>14</v>
      </c>
      <c r="M3321" t="n">
        <v>52.5</v>
      </c>
      <c r="N3321" t="n">
        <v>47</v>
      </c>
      <c r="O3321" t="n">
        <v>32.1</v>
      </c>
      <c r="P3321" t="n">
        <v>36</v>
      </c>
      <c r="Q3321" t="n">
        <v>50.2</v>
      </c>
      <c r="R3321" t="n">
        <v>44</v>
      </c>
      <c r="S3321" t="n">
        <v>8400000</v>
      </c>
      <c r="AH3321" t="inlineStr">
        <is>
          <t>Quelle: Pisos.com</t>
        </is>
      </c>
    </row>
    <row r="3322">
      <c r="A3322" t="n">
        <v>3135</v>
      </c>
      <c r="B3322" t="inlineStr">
        <is>
          <t>Chalet en Palma de Mallorca</t>
        </is>
      </c>
      <c r="C3322" t="inlineStr">
        <is>
          <t>https://www.pisos.com/comprar/chalet-palma_de_mallorca-60067737492_106500/</t>
        </is>
      </c>
      <c r="E3322" t="n">
        <v>4</v>
      </c>
      <c r="J3322" t="inlineStr">
        <is>
          <t>Palma de Mallorca</t>
        </is>
      </c>
      <c r="K3322" t="n">
        <v>9.699999999999999</v>
      </c>
      <c r="L3322" t="n">
        <v>14</v>
      </c>
      <c r="M3322" t="n">
        <v>52.5</v>
      </c>
      <c r="N3322" t="n">
        <v>47</v>
      </c>
      <c r="O3322" t="n">
        <v>32.1</v>
      </c>
      <c r="P3322" t="n">
        <v>36</v>
      </c>
      <c r="Q3322" t="n">
        <v>50.2</v>
      </c>
      <c r="R3322" t="n">
        <v>44</v>
      </c>
      <c r="S3322" t="n">
        <v>4995000</v>
      </c>
      <c r="AH3322" t="inlineStr">
        <is>
          <t>Quelle: Pisos.com</t>
        </is>
      </c>
    </row>
    <row r="3323">
      <c r="A3323" t="n">
        <v>3136</v>
      </c>
      <c r="B3323" t="inlineStr">
        <is>
          <t>Chalet en Palma de Mallorca</t>
        </is>
      </c>
      <c r="C3323" t="inlineStr">
        <is>
          <t>https://www.pisos.com/comprar/chalet-palma_de_mallorca-60038761847_106500/</t>
        </is>
      </c>
      <c r="E3323" t="n">
        <v>6</v>
      </c>
      <c r="J3323" t="inlineStr">
        <is>
          <t>Palma de Mallorca</t>
        </is>
      </c>
      <c r="K3323" t="n">
        <v>9.699999999999999</v>
      </c>
      <c r="L3323" t="n">
        <v>14</v>
      </c>
      <c r="M3323" t="n">
        <v>52.5</v>
      </c>
      <c r="N3323" t="n">
        <v>47</v>
      </c>
      <c r="O3323" t="n">
        <v>32.1</v>
      </c>
      <c r="P3323" t="n">
        <v>36</v>
      </c>
      <c r="Q3323" t="n">
        <v>50.2</v>
      </c>
      <c r="R3323" t="n">
        <v>44</v>
      </c>
      <c r="S3323" t="n">
        <v>4490000</v>
      </c>
      <c r="AH3323" t="inlineStr">
        <is>
          <t>Quelle: Pisos.com</t>
        </is>
      </c>
    </row>
    <row r="3324">
      <c r="A3324" t="n">
        <v>3137</v>
      </c>
      <c r="B3324" t="inlineStr">
        <is>
          <t>Chalet en Palma de Mallorca</t>
        </is>
      </c>
      <c r="C3324" t="inlineStr">
        <is>
          <t>https://www.pisos.com/comprar/chalet-palma_de_mallorca-60063014737_106500/</t>
        </is>
      </c>
      <c r="E3324" t="n">
        <v>3</v>
      </c>
      <c r="J3324" t="inlineStr">
        <is>
          <t>Palma de Mallorca</t>
        </is>
      </c>
      <c r="S3324" t="n">
        <v>809000</v>
      </c>
      <c r="AH3324" t="inlineStr">
        <is>
          <t>Quelle: Pisos.com</t>
        </is>
      </c>
    </row>
    <row r="3325">
      <c r="A3325" t="n">
        <v>3138</v>
      </c>
      <c r="B3325" t="inlineStr">
        <is>
          <t>Chalet en Palma de Mallorca</t>
        </is>
      </c>
      <c r="C3325" t="inlineStr">
        <is>
          <t>https://www.pisos.com/comprar/chalet-palma_de_mallorca-60070369300_106500/</t>
        </is>
      </c>
      <c r="E3325" t="n">
        <v>3</v>
      </c>
      <c r="J3325" t="inlineStr">
        <is>
          <t>Palma de Mallorca</t>
        </is>
      </c>
      <c r="K3325" t="n">
        <v>9.699999999999999</v>
      </c>
      <c r="L3325" t="n">
        <v>14</v>
      </c>
      <c r="M3325" t="n">
        <v>52.5</v>
      </c>
      <c r="N3325" t="n">
        <v>47</v>
      </c>
      <c r="O3325" t="n">
        <v>32.1</v>
      </c>
      <c r="P3325" t="n">
        <v>36</v>
      </c>
      <c r="Q3325" t="n">
        <v>50.2</v>
      </c>
      <c r="R3325" t="n">
        <v>44</v>
      </c>
      <c r="S3325" t="n">
        <v>3500000</v>
      </c>
      <c r="AH3325" t="inlineStr">
        <is>
          <t>Quelle: Pisos.com</t>
        </is>
      </c>
    </row>
    <row r="3326">
      <c r="A3326" t="n">
        <v>3139</v>
      </c>
      <c r="B3326" t="inlineStr">
        <is>
          <t>Casa rústica en El Secar de la Real</t>
        </is>
      </c>
      <c r="C3326" t="inlineStr">
        <is>
          <t>https://www.pisos.com/comprar/casa_rustica-nord_el_secar_de_la_real07010-60078523786_106500/</t>
        </is>
      </c>
      <c r="E3326" t="n">
        <v>7</v>
      </c>
      <c r="J3326" t="inlineStr">
        <is>
          <t>Palma de Mallorca</t>
        </is>
      </c>
      <c r="K3326" t="n">
        <v>9.699999999999999</v>
      </c>
      <c r="L3326" t="n">
        <v>14</v>
      </c>
      <c r="M3326" t="n">
        <v>52.5</v>
      </c>
      <c r="N3326" t="n">
        <v>47</v>
      </c>
      <c r="O3326" t="n">
        <v>32.1</v>
      </c>
      <c r="P3326" t="n">
        <v>36</v>
      </c>
      <c r="Q3326" t="n">
        <v>50.2</v>
      </c>
      <c r="R3326" t="n">
        <v>44</v>
      </c>
      <c r="S3326" t="n">
        <v>2750000</v>
      </c>
      <c r="AH3326" t="inlineStr">
        <is>
          <t>Quelle: Pisos.com</t>
        </is>
      </c>
    </row>
    <row r="3327">
      <c r="A3327" t="n">
        <v>3140</v>
      </c>
      <c r="B3327" t="inlineStr">
        <is>
          <t>Casa en Palma de Mallorca</t>
        </is>
      </c>
      <c r="C3327" t="inlineStr">
        <is>
          <t>https://www.pisos.com/comprar/casa-palma_de_mallorca-60094579436_106500/</t>
        </is>
      </c>
      <c r="E3327" t="n">
        <v>3</v>
      </c>
      <c r="J3327" t="inlineStr">
        <is>
          <t>Palma de Mallorca</t>
        </is>
      </c>
      <c r="K3327" t="n">
        <v>9.699999999999999</v>
      </c>
      <c r="L3327" t="n">
        <v>14</v>
      </c>
      <c r="M3327" t="n">
        <v>52.5</v>
      </c>
      <c r="N3327" t="n">
        <v>47</v>
      </c>
      <c r="O3327" t="n">
        <v>32.1</v>
      </c>
      <c r="P3327" t="n">
        <v>36</v>
      </c>
      <c r="Q3327" t="n">
        <v>50.2</v>
      </c>
      <c r="R3327" t="n">
        <v>44</v>
      </c>
      <c r="S3327" t="n">
        <v>2415000</v>
      </c>
      <c r="AH3327" t="inlineStr">
        <is>
          <t>Quelle: Pisos.com</t>
        </is>
      </c>
    </row>
    <row r="3328">
      <c r="A3328" t="n">
        <v>3141</v>
      </c>
      <c r="B3328" t="inlineStr">
        <is>
          <t>Casa en Palma de Mallorca</t>
        </is>
      </c>
      <c r="C3328" t="inlineStr">
        <is>
          <t>https://www.pisos.com/comprar/casa-palma_de_mallorca-60008319138_106500/</t>
        </is>
      </c>
      <c r="E3328" t="n">
        <v>4</v>
      </c>
      <c r="J3328" t="inlineStr">
        <is>
          <t>Palma de Mallorca</t>
        </is>
      </c>
      <c r="K3328" t="n">
        <v>9.699999999999999</v>
      </c>
      <c r="L3328" t="n">
        <v>14</v>
      </c>
      <c r="M3328" t="n">
        <v>52.5</v>
      </c>
      <c r="N3328" t="n">
        <v>47</v>
      </c>
      <c r="O3328" t="n">
        <v>32.1</v>
      </c>
      <c r="P3328" t="n">
        <v>36</v>
      </c>
      <c r="Q3328" t="n">
        <v>50.2</v>
      </c>
      <c r="R3328" t="n">
        <v>44</v>
      </c>
      <c r="S3328" t="n">
        <v>4500000</v>
      </c>
      <c r="AH3328" t="inlineStr">
        <is>
          <t>Quelle: Pisos.com</t>
        </is>
      </c>
    </row>
    <row r="3329">
      <c r="A3329" t="n">
        <v>3142</v>
      </c>
      <c r="B3329" t="inlineStr">
        <is>
          <t>Casa en Palma de Mallorca</t>
        </is>
      </c>
      <c r="C3329" t="inlineStr">
        <is>
          <t>https://www.pisos.com/comprar/casa-palma_de_mallorca-60033566118_106500/</t>
        </is>
      </c>
      <c r="E3329" t="n">
        <v>4</v>
      </c>
      <c r="J3329" t="inlineStr">
        <is>
          <t>Palma de Mallorca</t>
        </is>
      </c>
      <c r="S3329" t="n">
        <v>795000</v>
      </c>
      <c r="AH3329" t="inlineStr">
        <is>
          <t>Quelle: Pisos.com</t>
        </is>
      </c>
    </row>
    <row r="3330">
      <c r="A3330" t="n">
        <v>3143</v>
      </c>
      <c r="B3330" t="inlineStr">
        <is>
          <t>Casa en Son Rapinya-Los Almendros</t>
        </is>
      </c>
      <c r="C3330" t="inlineStr">
        <is>
          <t>https://www.pisos.com/comprar/casa-son_rapinya_los_almendros07013-60007871313_106500/</t>
        </is>
      </c>
      <c r="E3330" t="n">
        <v>4</v>
      </c>
      <c r="J3330" t="inlineStr">
        <is>
          <t>Palma de Mallorca</t>
        </is>
      </c>
      <c r="S3330" t="n">
        <v>985000</v>
      </c>
      <c r="AH3330" t="inlineStr">
        <is>
          <t>Quelle: Pisos.com</t>
        </is>
      </c>
    </row>
    <row r="3331">
      <c r="A3331" t="n">
        <v>3144</v>
      </c>
      <c r="B3331" t="inlineStr">
        <is>
          <t>Casa rústica en Palma de Mallorca</t>
        </is>
      </c>
      <c r="C3331" t="inlineStr">
        <is>
          <t>https://www.pisos.com/comprar/casa_rustica-palma_de_mallorca-60056743204_106500/</t>
        </is>
      </c>
      <c r="E3331" t="n">
        <v>5</v>
      </c>
      <c r="J3331" t="inlineStr">
        <is>
          <t>Palma de Mallorca</t>
        </is>
      </c>
      <c r="K3331" t="n">
        <v>9.699999999999999</v>
      </c>
      <c r="L3331" t="n">
        <v>14</v>
      </c>
      <c r="M3331" t="n">
        <v>52.5</v>
      </c>
      <c r="N3331" t="n">
        <v>47</v>
      </c>
      <c r="O3331" t="n">
        <v>32.1</v>
      </c>
      <c r="P3331" t="n">
        <v>36</v>
      </c>
      <c r="Q3331" t="n">
        <v>50.2</v>
      </c>
      <c r="R3331" t="n">
        <v>44</v>
      </c>
      <c r="S3331" t="n">
        <v>1350000</v>
      </c>
      <c r="AH3331" t="inlineStr">
        <is>
          <t>Quelle: Pisos.com</t>
        </is>
      </c>
    </row>
    <row r="3332">
      <c r="A3332" t="n">
        <v>3145</v>
      </c>
      <c r="B3332" t="inlineStr">
        <is>
          <t>Chalet en Palma de Mallorca</t>
        </is>
      </c>
      <c r="C3332" t="inlineStr">
        <is>
          <t>https://www.pisos.com/comprar/chalet-palma_de_mallorca-60012518672_106500/</t>
        </is>
      </c>
      <c r="E3332" t="n">
        <v>3</v>
      </c>
      <c r="J3332" t="inlineStr">
        <is>
          <t>Palma de Mallorca</t>
        </is>
      </c>
      <c r="K3332" t="n">
        <v>9.699999999999999</v>
      </c>
      <c r="L3332" t="n">
        <v>14</v>
      </c>
      <c r="M3332" t="n">
        <v>52.5</v>
      </c>
      <c r="N3332" t="n">
        <v>47</v>
      </c>
      <c r="O3332" t="n">
        <v>32.1</v>
      </c>
      <c r="P3332" t="n">
        <v>36</v>
      </c>
      <c r="Q3332" t="n">
        <v>50.2</v>
      </c>
      <c r="R3332" t="n">
        <v>44</v>
      </c>
      <c r="S3332" t="n">
        <v>2500000</v>
      </c>
      <c r="AH3332" t="inlineStr">
        <is>
          <t>Quelle: Pisos.com</t>
        </is>
      </c>
    </row>
    <row r="3333">
      <c r="A3333" t="n">
        <v>3146</v>
      </c>
      <c r="B3333" t="inlineStr">
        <is>
          <t>Casa en Palma de Mallorca</t>
        </is>
      </c>
      <c r="C3333" t="inlineStr">
        <is>
          <t>https://www.pisos.com/comprar/casa-palma_de_mallorca-60062550063_106500/</t>
        </is>
      </c>
      <c r="E3333" t="n">
        <v>6</v>
      </c>
      <c r="J3333" t="inlineStr">
        <is>
          <t>Palma de Mallorca</t>
        </is>
      </c>
      <c r="K3333" t="n">
        <v>9.699999999999999</v>
      </c>
      <c r="L3333" t="n">
        <v>14</v>
      </c>
      <c r="M3333" t="n">
        <v>52.5</v>
      </c>
      <c r="N3333" t="n">
        <v>47</v>
      </c>
      <c r="O3333" t="n">
        <v>32.1</v>
      </c>
      <c r="P3333" t="n">
        <v>36</v>
      </c>
      <c r="Q3333" t="n">
        <v>50.2</v>
      </c>
      <c r="R3333" t="n">
        <v>44</v>
      </c>
      <c r="S3333" t="n">
        <v>11750000</v>
      </c>
      <c r="AH3333" t="inlineStr">
        <is>
          <t>Quelle: Pisos.com</t>
        </is>
      </c>
    </row>
    <row r="3334">
      <c r="A3334" t="n">
        <v>3147</v>
      </c>
      <c r="B3334" t="inlineStr">
        <is>
          <t>Casa en Sant Jordi</t>
        </is>
      </c>
      <c r="C3334" t="inlineStr">
        <is>
          <t>https://www.pisos.com/comprar/casa-llevant_sant_jordi07199-60002885370_106500/</t>
        </is>
      </c>
      <c r="E3334" t="n">
        <v>3</v>
      </c>
      <c r="J3334" t="inlineStr">
        <is>
          <t>Palma de Mallorca</t>
        </is>
      </c>
      <c r="K3334" t="n">
        <v>9.699999999999999</v>
      </c>
      <c r="L3334" t="n">
        <v>14</v>
      </c>
      <c r="M3334" t="n">
        <v>52.5</v>
      </c>
      <c r="N3334" t="n">
        <v>47</v>
      </c>
      <c r="O3334" t="n">
        <v>32.1</v>
      </c>
      <c r="P3334" t="n">
        <v>36</v>
      </c>
      <c r="Q3334" t="n">
        <v>50.2</v>
      </c>
      <c r="R3334" t="n">
        <v>44</v>
      </c>
      <c r="S3334" t="n">
        <v>2835000</v>
      </c>
      <c r="AH3334" t="inlineStr">
        <is>
          <t>Quelle: Pisos.com</t>
        </is>
      </c>
    </row>
    <row r="3335">
      <c r="A3335" t="n">
        <v>3148</v>
      </c>
      <c r="B3335" t="inlineStr">
        <is>
          <t>Casa adosada en S'Arenal</t>
        </is>
      </c>
      <c r="C3335" t="inlineStr">
        <is>
          <t>https://www.pisos.com/comprar/casa_adosada-platja_de_palma_sarenal07600-60015445539_106500/</t>
        </is>
      </c>
      <c r="E3335" t="n">
        <v>3</v>
      </c>
      <c r="J3335" t="inlineStr">
        <is>
          <t>Palma de Mallorca</t>
        </is>
      </c>
      <c r="S3335" t="n">
        <v>535000</v>
      </c>
      <c r="AH3335" t="inlineStr">
        <is>
          <t>Quelle: Pisos.com</t>
        </is>
      </c>
    </row>
    <row r="3336">
      <c r="A3336" t="n">
        <v>3149</v>
      </c>
      <c r="B3336" t="inlineStr">
        <is>
          <t>Casa en Sant Jordi</t>
        </is>
      </c>
      <c r="C3336" t="inlineStr">
        <is>
          <t>https://www.pisos.com/comprar/casa-llevant_sant_jordi-60027729978_106500/</t>
        </is>
      </c>
      <c r="E3336" t="n">
        <v>4</v>
      </c>
      <c r="J3336" t="inlineStr">
        <is>
          <t>Palma de Mallorca</t>
        </is>
      </c>
      <c r="K3336" t="n">
        <v>9.699999999999999</v>
      </c>
      <c r="L3336" t="n">
        <v>14</v>
      </c>
      <c r="M3336" t="n">
        <v>52.5</v>
      </c>
      <c r="N3336" t="n">
        <v>47</v>
      </c>
      <c r="O3336" t="n">
        <v>32.1</v>
      </c>
      <c r="P3336" t="n">
        <v>36</v>
      </c>
      <c r="Q3336" t="n">
        <v>50.2</v>
      </c>
      <c r="R3336" t="n">
        <v>44</v>
      </c>
      <c r="S3336" t="n">
        <v>2790000</v>
      </c>
      <c r="AH3336" t="inlineStr">
        <is>
          <t>Quelle: Pisos.com</t>
        </is>
      </c>
    </row>
    <row r="3337">
      <c r="A3337" t="n">
        <v>3150</v>
      </c>
      <c r="B3337" t="inlineStr">
        <is>
          <t>Chalet en Palma de Mallorca</t>
        </is>
      </c>
      <c r="C3337" t="inlineStr">
        <is>
          <t>https://www.pisos.com/comprar/chalet-palma_de_mallorca-60034893684_106500/</t>
        </is>
      </c>
      <c r="E3337" t="n">
        <v>5</v>
      </c>
      <c r="J3337" t="inlineStr">
        <is>
          <t>Palma de Mallorca</t>
        </is>
      </c>
      <c r="K3337" t="n">
        <v>9.699999999999999</v>
      </c>
      <c r="L3337" t="n">
        <v>14</v>
      </c>
      <c r="M3337" t="n">
        <v>52.5</v>
      </c>
      <c r="N3337" t="n">
        <v>47</v>
      </c>
      <c r="O3337" t="n">
        <v>32.1</v>
      </c>
      <c r="P3337" t="n">
        <v>36</v>
      </c>
      <c r="Q3337" t="n">
        <v>50.2</v>
      </c>
      <c r="R3337" t="n">
        <v>44</v>
      </c>
      <c r="S3337" t="n">
        <v>9900000</v>
      </c>
      <c r="AH3337" t="inlineStr">
        <is>
          <t>Quelle: Pisos.com</t>
        </is>
      </c>
    </row>
    <row r="3338">
      <c r="A3338" t="n">
        <v>3151</v>
      </c>
      <c r="B3338" t="inlineStr">
        <is>
          <t>Chalet en Palma de Mallorca</t>
        </is>
      </c>
      <c r="C3338" t="inlineStr">
        <is>
          <t>https://www.pisos.com/comprar/chalet-palma_de_mallorca-60075857658_106500/</t>
        </is>
      </c>
      <c r="E3338" t="n">
        <v>4</v>
      </c>
      <c r="J3338" t="inlineStr">
        <is>
          <t>Palma de Mallorca</t>
        </is>
      </c>
      <c r="K3338" t="n">
        <v>9.699999999999999</v>
      </c>
      <c r="L3338" t="n">
        <v>14</v>
      </c>
      <c r="M3338" t="n">
        <v>52.5</v>
      </c>
      <c r="N3338" t="n">
        <v>47</v>
      </c>
      <c r="O3338" t="n">
        <v>32.1</v>
      </c>
      <c r="P3338" t="n">
        <v>36</v>
      </c>
      <c r="Q3338" t="n">
        <v>50.2</v>
      </c>
      <c r="R3338" t="n">
        <v>44</v>
      </c>
      <c r="S3338" t="n">
        <v>2790000</v>
      </c>
      <c r="AH3338" t="inlineStr">
        <is>
          <t>Quelle: Pisos.com</t>
        </is>
      </c>
    </row>
    <row r="3339">
      <c r="A3339" t="n">
        <v>3152</v>
      </c>
      <c r="B3339" t="inlineStr">
        <is>
          <t>Casa en Can Pastilla</t>
        </is>
      </c>
      <c r="C3339" t="inlineStr">
        <is>
          <t>https://www.pisos.com/comprar/casa-can_pastilla-60099862153_100500/</t>
        </is>
      </c>
      <c r="E3339" t="n">
        <v>3</v>
      </c>
      <c r="J3339" t="inlineStr">
        <is>
          <t>Palma de Mallorca</t>
        </is>
      </c>
      <c r="K3339" t="n">
        <v>9.699999999999999</v>
      </c>
      <c r="L3339" t="n">
        <v>14</v>
      </c>
      <c r="M3339" t="n">
        <v>52.5</v>
      </c>
      <c r="N3339" t="n">
        <v>47</v>
      </c>
      <c r="O3339" t="n">
        <v>32.1</v>
      </c>
      <c r="P3339" t="n">
        <v>36</v>
      </c>
      <c r="Q3339" t="n">
        <v>50.2</v>
      </c>
      <c r="R3339" t="n">
        <v>44</v>
      </c>
      <c r="S3339" t="n">
        <v>1290000</v>
      </c>
      <c r="AH3339" t="inlineStr">
        <is>
          <t>Quelle: Pisos.com</t>
        </is>
      </c>
    </row>
    <row r="3340">
      <c r="A3340" t="n">
        <v>3153</v>
      </c>
      <c r="B3340" t="inlineStr">
        <is>
          <t>Casa adosada en Son Ferriol</t>
        </is>
      </c>
      <c r="C3340" t="inlineStr">
        <is>
          <t>https://www.pisos.com/comprar/casa_adosada-llevant_son_ferriol07198-60053621866_101800/</t>
        </is>
      </c>
      <c r="E3340" t="n">
        <v>3</v>
      </c>
      <c r="J3340" t="inlineStr">
        <is>
          <t>Palma de Mallorca</t>
        </is>
      </c>
      <c r="S3340" t="n">
        <v>670000</v>
      </c>
      <c r="AH3340" t="inlineStr">
        <is>
          <t>Quelle: Pisos.com</t>
        </is>
      </c>
    </row>
    <row r="3341">
      <c r="A3341" t="n">
        <v>3154</v>
      </c>
      <c r="B3341" t="inlineStr">
        <is>
          <t>Casa en Son Armadams</t>
        </is>
      </c>
      <c r="C3341" t="inlineStr">
        <is>
          <t>https://www.pisos.com/comprar/casa-son_armadans-60024147197_109300/</t>
        </is>
      </c>
      <c r="E3341" t="n">
        <v>3</v>
      </c>
      <c r="J3341" t="inlineStr">
        <is>
          <t>Palma de Mallorca</t>
        </is>
      </c>
      <c r="K3341" t="n">
        <v>9.699999999999999</v>
      </c>
      <c r="L3341" t="n">
        <v>14</v>
      </c>
      <c r="M3341" t="n">
        <v>52.5</v>
      </c>
      <c r="N3341" t="n">
        <v>47</v>
      </c>
      <c r="O3341" t="n">
        <v>32.1</v>
      </c>
      <c r="P3341" t="n">
        <v>36</v>
      </c>
      <c r="Q3341" t="n">
        <v>50.2</v>
      </c>
      <c r="R3341" t="n">
        <v>44</v>
      </c>
      <c r="S3341" t="n">
        <v>1590000</v>
      </c>
      <c r="AH3341" t="inlineStr">
        <is>
          <t>Quelle: Pisos.com</t>
        </is>
      </c>
    </row>
    <row r="3342">
      <c r="A3342" t="n">
        <v>3155</v>
      </c>
      <c r="B3342" t="inlineStr">
        <is>
          <t>Chalet en Palma de Mallorca</t>
        </is>
      </c>
      <c r="C3342" t="inlineStr">
        <is>
          <t>https://www.pisos.com/comprar/chalet-palma_de_mallorca-60098015660_106500/</t>
        </is>
      </c>
      <c r="E3342" t="n">
        <v>7</v>
      </c>
      <c r="J3342" t="inlineStr">
        <is>
          <t>Palma de Mallorca</t>
        </is>
      </c>
      <c r="K3342" t="n">
        <v>9.699999999999999</v>
      </c>
      <c r="L3342" t="n">
        <v>14</v>
      </c>
      <c r="M3342" t="n">
        <v>52.5</v>
      </c>
      <c r="N3342" t="n">
        <v>47</v>
      </c>
      <c r="O3342" t="n">
        <v>32.1</v>
      </c>
      <c r="P3342" t="n">
        <v>36</v>
      </c>
      <c r="Q3342" t="n">
        <v>50.2</v>
      </c>
      <c r="R3342" t="n">
        <v>44</v>
      </c>
      <c r="S3342" t="n">
        <v>1690000</v>
      </c>
      <c r="AH3342" t="inlineStr">
        <is>
          <t>Quelle: Pisos.com</t>
        </is>
      </c>
    </row>
    <row r="3343">
      <c r="A3343" t="n">
        <v>3156</v>
      </c>
      <c r="B3343" t="inlineStr">
        <is>
          <t>Casa rústica en Palma de Mallorca</t>
        </is>
      </c>
      <c r="C3343" t="inlineStr">
        <is>
          <t>https://www.pisos.com/comprar/casa_rustica-palma_de_mallorca-60038028775_106600/</t>
        </is>
      </c>
      <c r="E3343" t="n">
        <v>10</v>
      </c>
      <c r="J3343" t="inlineStr">
        <is>
          <t>Palma de Mallorca</t>
        </is>
      </c>
      <c r="K3343" t="n">
        <v>9.699999999999999</v>
      </c>
      <c r="L3343" t="n">
        <v>14</v>
      </c>
      <c r="M3343" t="n">
        <v>52.5</v>
      </c>
      <c r="N3343" t="n">
        <v>47</v>
      </c>
      <c r="O3343" t="n">
        <v>32.1</v>
      </c>
      <c r="P3343" t="n">
        <v>36</v>
      </c>
      <c r="Q3343" t="n">
        <v>50.2</v>
      </c>
      <c r="R3343" t="n">
        <v>44</v>
      </c>
      <c r="S3343" t="n">
        <v>1800000</v>
      </c>
      <c r="AH3343" t="inlineStr">
        <is>
          <t>Quelle: Pisos.com</t>
        </is>
      </c>
    </row>
    <row r="3344">
      <c r="A3344" t="n">
        <v>3157</v>
      </c>
      <c r="B3344" t="inlineStr">
        <is>
          <t>Casa en Ciudad Jardín</t>
        </is>
      </c>
      <c r="C3344" t="inlineStr">
        <is>
          <t>https://www.pisos.com/comprar/casa-el_coll_en_rabassa07007-60014053109_100500/</t>
        </is>
      </c>
      <c r="E3344" t="n">
        <v>3</v>
      </c>
      <c r="J3344" t="inlineStr">
        <is>
          <t>Palma de Mallorca</t>
        </is>
      </c>
      <c r="K3344" t="n">
        <v>9.699999999999999</v>
      </c>
      <c r="L3344" t="n">
        <v>14</v>
      </c>
      <c r="M3344" t="n">
        <v>52.5</v>
      </c>
      <c r="N3344" t="n">
        <v>47</v>
      </c>
      <c r="O3344" t="n">
        <v>32.1</v>
      </c>
      <c r="P3344" t="n">
        <v>36</v>
      </c>
      <c r="Q3344" t="n">
        <v>50.2</v>
      </c>
      <c r="R3344" t="n">
        <v>44</v>
      </c>
      <c r="S3344" t="n">
        <v>1489900</v>
      </c>
      <c r="AH3344" t="inlineStr">
        <is>
          <t>Quelle: Pisos.com</t>
        </is>
      </c>
    </row>
    <row r="3345">
      <c r="A3345" t="n">
        <v>3158</v>
      </c>
      <c r="B3345" t="inlineStr">
        <is>
          <t>Casa en La Seu</t>
        </is>
      </c>
      <c r="C3345" t="inlineStr">
        <is>
          <t>https://www.pisos.com/comprar/casa-centre_la_seu-60007642906_106600/</t>
        </is>
      </c>
      <c r="E3345" t="n">
        <v>2</v>
      </c>
      <c r="J3345" t="inlineStr">
        <is>
          <t>Palma de Mallorca</t>
        </is>
      </c>
      <c r="S3345" t="n">
        <v>895000</v>
      </c>
      <c r="AH3345" t="inlineStr">
        <is>
          <t>Quelle: Pisos.com</t>
        </is>
      </c>
    </row>
    <row r="3346">
      <c r="A3346" t="n">
        <v>3159</v>
      </c>
      <c r="B3346" t="inlineStr">
        <is>
          <t>Chalet en Palma de Mallorca</t>
        </is>
      </c>
      <c r="C3346" t="inlineStr">
        <is>
          <t>https://www.pisos.com/comprar/chalet-palma_de_mallorca-60019362475_106600/</t>
        </is>
      </c>
      <c r="E3346" t="n">
        <v>4</v>
      </c>
      <c r="J3346" t="inlineStr">
        <is>
          <t>Palma de Mallorca</t>
        </is>
      </c>
      <c r="K3346" t="n">
        <v>9.699999999999999</v>
      </c>
      <c r="L3346" t="n">
        <v>14</v>
      </c>
      <c r="M3346" t="n">
        <v>52.5</v>
      </c>
      <c r="N3346" t="n">
        <v>47</v>
      </c>
      <c r="O3346" t="n">
        <v>32.1</v>
      </c>
      <c r="P3346" t="n">
        <v>36</v>
      </c>
      <c r="Q3346" t="n">
        <v>50.2</v>
      </c>
      <c r="R3346" t="n">
        <v>44</v>
      </c>
      <c r="S3346" t="n">
        <v>1820000</v>
      </c>
      <c r="AH3346" t="inlineStr">
        <is>
          <t>Quelle: Pisos.com</t>
        </is>
      </c>
    </row>
    <row r="3347">
      <c r="A3347" t="n">
        <v>3160</v>
      </c>
      <c r="B3347" t="inlineStr">
        <is>
          <t>Casa en Palma de Mallorca</t>
        </is>
      </c>
      <c r="C3347" t="inlineStr">
        <is>
          <t>https://www.pisos.com/comprar/casa-palma_de_mallorca-60086761243_106600/</t>
        </is>
      </c>
      <c r="E3347" t="n">
        <v>5</v>
      </c>
      <c r="J3347" t="inlineStr">
        <is>
          <t>Palma de Mallorca</t>
        </is>
      </c>
      <c r="K3347" t="n">
        <v>9.699999999999999</v>
      </c>
      <c r="L3347" t="n">
        <v>14</v>
      </c>
      <c r="M3347" t="n">
        <v>52.5</v>
      </c>
      <c r="N3347" t="n">
        <v>47</v>
      </c>
      <c r="O3347" t="n">
        <v>32.1</v>
      </c>
      <c r="P3347" t="n">
        <v>36</v>
      </c>
      <c r="Q3347" t="n">
        <v>50.2</v>
      </c>
      <c r="R3347" t="n">
        <v>44</v>
      </c>
      <c r="S3347" t="n">
        <v>2650000</v>
      </c>
      <c r="AH3347" t="inlineStr">
        <is>
          <t>Quelle: Pisos.com</t>
        </is>
      </c>
    </row>
    <row r="3348">
      <c r="A3348" t="n">
        <v>3161</v>
      </c>
      <c r="B3348" t="inlineStr">
        <is>
          <t>Chalet en Son Ferriol</t>
        </is>
      </c>
      <c r="C3348" t="inlineStr">
        <is>
          <t>https://www.pisos.com/comprar/chalet-llevant_son_ferriol07198-59258694069_108400/</t>
        </is>
      </c>
      <c r="E3348" t="n">
        <v>4</v>
      </c>
      <c r="J3348" t="inlineStr">
        <is>
          <t>Palma de Mallorca</t>
        </is>
      </c>
      <c r="K3348" t="n">
        <v>9.699999999999999</v>
      </c>
      <c r="L3348" t="n">
        <v>14</v>
      </c>
      <c r="M3348" t="n">
        <v>52.5</v>
      </c>
      <c r="N3348" t="n">
        <v>47</v>
      </c>
      <c r="O3348" t="n">
        <v>32.1</v>
      </c>
      <c r="P3348" t="n">
        <v>36</v>
      </c>
      <c r="Q3348" t="n">
        <v>50.2</v>
      </c>
      <c r="R3348" t="n">
        <v>44</v>
      </c>
      <c r="S3348" t="n">
        <v>1650000</v>
      </c>
      <c r="AH3348" t="inlineStr">
        <is>
          <t>Quelle: Pisos.com</t>
        </is>
      </c>
    </row>
    <row r="3349">
      <c r="A3349" t="n">
        <v>3162</v>
      </c>
      <c r="B3349" t="inlineStr">
        <is>
          <t>Casa adosada en Son Espanyolet</t>
        </is>
      </c>
      <c r="C3349" t="inlineStr">
        <is>
          <t>https://www.pisos.com/comprar/casa_adosada-ponent_son_espanyolet07014-59212213659_100500/</t>
        </is>
      </c>
      <c r="E3349" t="n">
        <v>5</v>
      </c>
      <c r="J3349" t="inlineStr">
        <is>
          <t>Palma de Mallorca</t>
        </is>
      </c>
      <c r="K3349" t="n">
        <v>9.699999999999999</v>
      </c>
      <c r="L3349" t="n">
        <v>14</v>
      </c>
      <c r="M3349" t="n">
        <v>52.5</v>
      </c>
      <c r="N3349" t="n">
        <v>47</v>
      </c>
      <c r="O3349" t="n">
        <v>32.1</v>
      </c>
      <c r="P3349" t="n">
        <v>36</v>
      </c>
      <c r="Q3349" t="n">
        <v>50.2</v>
      </c>
      <c r="R3349" t="n">
        <v>44</v>
      </c>
      <c r="S3349" t="n">
        <v>1050000</v>
      </c>
      <c r="AH3349" t="inlineStr">
        <is>
          <t>Quelle: Pisos.com</t>
        </is>
      </c>
    </row>
    <row r="3350">
      <c r="A3350" t="n">
        <v>3163</v>
      </c>
      <c r="B3350" t="inlineStr">
        <is>
          <t>Casa en Son Serra - La Vileta - Son Pereto</t>
        </is>
      </c>
      <c r="C3350" t="inlineStr">
        <is>
          <t>https://www.pisos.com/comprar/casa-son_serra_sa_vileta_son_pereto07013-59202955469_100500/</t>
        </is>
      </c>
      <c r="E3350" t="n">
        <v>6</v>
      </c>
      <c r="J3350" t="inlineStr">
        <is>
          <t>Palma de Mallorca</t>
        </is>
      </c>
      <c r="K3350" t="n">
        <v>9.699999999999999</v>
      </c>
      <c r="L3350" t="n">
        <v>14</v>
      </c>
      <c r="M3350" t="n">
        <v>52.5</v>
      </c>
      <c r="N3350" t="n">
        <v>47</v>
      </c>
      <c r="O3350" t="n">
        <v>32.1</v>
      </c>
      <c r="P3350" t="n">
        <v>36</v>
      </c>
      <c r="Q3350" t="n">
        <v>50.2</v>
      </c>
      <c r="R3350" t="n">
        <v>44</v>
      </c>
      <c r="S3350" t="n">
        <v>2999990</v>
      </c>
      <c r="AH3350" t="inlineStr">
        <is>
          <t>Quelle: Pisos.com</t>
        </is>
      </c>
    </row>
    <row r="3351">
      <c r="A3351" t="n">
        <v>3164</v>
      </c>
      <c r="B3351" t="inlineStr">
        <is>
          <t>Casa en Establiments</t>
        </is>
      </c>
      <c r="C3351" t="inlineStr">
        <is>
          <t>https://www.pisos.com/comprar/casa-establiments07010-51732326386_291000/</t>
        </is>
      </c>
      <c r="E3351" t="n">
        <v>4</v>
      </c>
      <c r="J3351" t="inlineStr">
        <is>
          <t>Palma de Mallorca</t>
        </is>
      </c>
      <c r="S3351" t="n">
        <v>737000</v>
      </c>
      <c r="AH3351" t="inlineStr">
        <is>
          <t>Quelle: Pisos.com</t>
        </is>
      </c>
    </row>
    <row r="3352">
      <c r="A3352" t="n">
        <v>3165</v>
      </c>
      <c r="B3352" t="inlineStr">
        <is>
          <t>Casa en Sa Casa Blanca</t>
        </is>
      </c>
      <c r="C3352" t="inlineStr">
        <is>
          <t>https://www.pisos.com/comprar/casa-llevant_sa_casa_blanca07198-59252480300_105600/</t>
        </is>
      </c>
      <c r="E3352" t="n">
        <v>5</v>
      </c>
      <c r="J3352" t="inlineStr">
        <is>
          <t>Palma de Mallorca</t>
        </is>
      </c>
      <c r="K3352" t="n">
        <v>9.699999999999999</v>
      </c>
      <c r="L3352" t="n">
        <v>14</v>
      </c>
      <c r="M3352" t="n">
        <v>52.5</v>
      </c>
      <c r="N3352" t="n">
        <v>47</v>
      </c>
      <c r="O3352" t="n">
        <v>32.1</v>
      </c>
      <c r="P3352" t="n">
        <v>36</v>
      </c>
      <c r="Q3352" t="n">
        <v>50.2</v>
      </c>
      <c r="R3352" t="n">
        <v>44</v>
      </c>
      <c r="S3352" t="n">
        <v>4100000</v>
      </c>
      <c r="AH3352" t="inlineStr">
        <is>
          <t>Quelle: Pisos.com</t>
        </is>
      </c>
    </row>
    <row r="3353">
      <c r="A3353" t="n">
        <v>3166</v>
      </c>
      <c r="B3353" t="inlineStr">
        <is>
          <t>Casa rústica en Son Sardina</t>
        </is>
      </c>
      <c r="C3353" t="inlineStr">
        <is>
          <t>https://www.pisos.com/comprar/casa_rustica-nord_son_sardina07120-59252318509_106700/</t>
        </is>
      </c>
      <c r="E3353" t="n">
        <v>6</v>
      </c>
      <c r="J3353" t="inlineStr">
        <is>
          <t>Palma de Mallorca</t>
        </is>
      </c>
      <c r="K3353" t="n">
        <v>9.699999999999999</v>
      </c>
      <c r="L3353" t="n">
        <v>14</v>
      </c>
      <c r="M3353" t="n">
        <v>52.5</v>
      </c>
      <c r="N3353" t="n">
        <v>47</v>
      </c>
      <c r="O3353" t="n">
        <v>32.1</v>
      </c>
      <c r="P3353" t="n">
        <v>36</v>
      </c>
      <c r="Q3353" t="n">
        <v>50.2</v>
      </c>
      <c r="R3353" t="n">
        <v>44</v>
      </c>
      <c r="S3353" t="n">
        <v>2400000</v>
      </c>
      <c r="AH3353" t="inlineStr">
        <is>
          <t>Quelle: Pisos.com</t>
        </is>
      </c>
    </row>
    <row r="3354">
      <c r="A3354" t="n">
        <v>3167</v>
      </c>
      <c r="B3354" t="inlineStr">
        <is>
          <t>Casa en Son Gual</t>
        </is>
      </c>
      <c r="C3354" t="inlineStr">
        <is>
          <t>https://www.pisos.com/comprar/casa-llevant_sant_jordi07199-59226179929_106700/</t>
        </is>
      </c>
      <c r="E3354" t="n">
        <v>4</v>
      </c>
      <c r="J3354" t="inlineStr">
        <is>
          <t>Palma de Mallorca</t>
        </is>
      </c>
      <c r="K3354" t="n">
        <v>9.699999999999999</v>
      </c>
      <c r="L3354" t="n">
        <v>14</v>
      </c>
      <c r="M3354" t="n">
        <v>52.5</v>
      </c>
      <c r="N3354" t="n">
        <v>47</v>
      </c>
      <c r="O3354" t="n">
        <v>32.1</v>
      </c>
      <c r="P3354" t="n">
        <v>36</v>
      </c>
      <c r="Q3354" t="n">
        <v>50.2</v>
      </c>
      <c r="R3354" t="n">
        <v>44</v>
      </c>
      <c r="S3354" t="n">
        <v>2640000</v>
      </c>
      <c r="AH3354" t="inlineStr">
        <is>
          <t>Quelle: Pisos.com</t>
        </is>
      </c>
    </row>
    <row r="3355">
      <c r="A3355" t="n">
        <v>3168</v>
      </c>
      <c r="B3355" t="inlineStr">
        <is>
          <t>Chalet en Can Pastilla</t>
        </is>
      </c>
      <c r="C3355" t="inlineStr">
        <is>
          <t>https://www.pisos.com/comprar/chalet-can_pastilla-59264893519_100500/</t>
        </is>
      </c>
      <c r="E3355" t="n">
        <v>4</v>
      </c>
      <c r="J3355" t="inlineStr">
        <is>
          <t>Palma de Mallorca</t>
        </is>
      </c>
      <c r="S3355" t="n">
        <v>795000</v>
      </c>
      <c r="AH3355" t="inlineStr">
        <is>
          <t>Quelle: Pisos.com</t>
        </is>
      </c>
    </row>
    <row r="3356">
      <c r="A3356" t="n">
        <v>3169</v>
      </c>
      <c r="B3356" t="inlineStr">
        <is>
          <t>Casa en La Bonanova-Porto Pi</t>
        </is>
      </c>
      <c r="C3356" t="inlineStr">
        <is>
          <t>https://www.pisos.com/comprar/casa-la_bonanova_porto_pi07015-59169087611_106500/</t>
        </is>
      </c>
      <c r="E3356" t="n">
        <v>4</v>
      </c>
      <c r="J3356" t="inlineStr">
        <is>
          <t>Palma de Mallorca</t>
        </is>
      </c>
      <c r="K3356" t="n">
        <v>9.699999999999999</v>
      </c>
      <c r="L3356" t="n">
        <v>14</v>
      </c>
      <c r="M3356" t="n">
        <v>52.5</v>
      </c>
      <c r="N3356" t="n">
        <v>47</v>
      </c>
      <c r="O3356" t="n">
        <v>32.1</v>
      </c>
      <c r="P3356" t="n">
        <v>36</v>
      </c>
      <c r="Q3356" t="n">
        <v>50.2</v>
      </c>
      <c r="R3356" t="n">
        <v>44</v>
      </c>
      <c r="S3356" t="n">
        <v>1090000</v>
      </c>
      <c r="AH3356" t="inlineStr">
        <is>
          <t>Quelle: Pisos.com</t>
        </is>
      </c>
    </row>
    <row r="3357">
      <c r="A3357" t="n">
        <v>3170</v>
      </c>
      <c r="B3357" t="inlineStr">
        <is>
          <t>Casa en Pere Garau</t>
        </is>
      </c>
      <c r="C3357" t="inlineStr">
        <is>
          <t>https://www.pisos.com/comprar/casa-pere_garau07005-59240078977_101800/</t>
        </is>
      </c>
      <c r="E3357" t="n">
        <v>3</v>
      </c>
      <c r="J3357" t="inlineStr">
        <is>
          <t>Palma de Mallorca</t>
        </is>
      </c>
      <c r="S3357" t="n">
        <v>454000</v>
      </c>
      <c r="AH3357" t="inlineStr">
        <is>
          <t>Quelle: Pisos.com</t>
        </is>
      </c>
    </row>
    <row r="3358">
      <c r="A3358" t="n">
        <v>3171</v>
      </c>
      <c r="B3358" t="inlineStr">
        <is>
          <t>Casa en Palma de Mallorca</t>
        </is>
      </c>
      <c r="C3358" t="inlineStr">
        <is>
          <t>https://www.pisos.com/comprar/casa-palma_de_mallorca-59184659511_106600/</t>
        </is>
      </c>
      <c r="E3358" t="n">
        <v>4</v>
      </c>
      <c r="J3358" t="inlineStr">
        <is>
          <t>Palma de Mallorca</t>
        </is>
      </c>
      <c r="S3358" t="n">
        <v>985000</v>
      </c>
      <c r="AH3358" t="inlineStr">
        <is>
          <t>Quelle: Pisos.com</t>
        </is>
      </c>
    </row>
    <row r="3359">
      <c r="A3359" t="n">
        <v>3172</v>
      </c>
      <c r="B3359" t="inlineStr">
        <is>
          <t>Casa adosada en Gènova</t>
        </is>
      </c>
      <c r="C3359" t="inlineStr">
        <is>
          <t>https://www.pisos.com/comprar/casa_adosada-ponent_genova07015-59205650595_108400/</t>
        </is>
      </c>
      <c r="E3359" t="n">
        <v>3</v>
      </c>
      <c r="J3359" t="inlineStr">
        <is>
          <t>Palma de Mallorca</t>
        </is>
      </c>
      <c r="K3359" t="n">
        <v>9.699999999999999</v>
      </c>
      <c r="L3359" t="n">
        <v>14</v>
      </c>
      <c r="M3359" t="n">
        <v>52.5</v>
      </c>
      <c r="N3359" t="n">
        <v>47</v>
      </c>
      <c r="O3359" t="n">
        <v>32.1</v>
      </c>
      <c r="P3359" t="n">
        <v>36</v>
      </c>
      <c r="Q3359" t="n">
        <v>50.2</v>
      </c>
      <c r="R3359" t="n">
        <v>44</v>
      </c>
      <c r="S3359" t="n">
        <v>1750000</v>
      </c>
      <c r="AH3359" t="inlineStr">
        <is>
          <t>Quelle: Pisos.com</t>
        </is>
      </c>
    </row>
    <row r="3360">
      <c r="A3360" t="n">
        <v>3173</v>
      </c>
      <c r="B3360" t="inlineStr">
        <is>
          <t>Chalet en Palma</t>
        </is>
      </c>
      <c r="C3360" t="inlineStr">
        <is>
          <t>https://www.pisos.com/comprar/chalet-son_roca_son_ximelis_son_anglada07011-59213675420_100500/</t>
        </is>
      </c>
      <c r="E3360" t="n">
        <v>6</v>
      </c>
      <c r="J3360" t="inlineStr">
        <is>
          <t>Palma de Mallorca</t>
        </is>
      </c>
      <c r="K3360" t="n">
        <v>9.699999999999999</v>
      </c>
      <c r="L3360" t="n">
        <v>14</v>
      </c>
      <c r="M3360" t="n">
        <v>52.5</v>
      </c>
      <c r="N3360" t="n">
        <v>47</v>
      </c>
      <c r="O3360" t="n">
        <v>32.1</v>
      </c>
      <c r="P3360" t="n">
        <v>36</v>
      </c>
      <c r="Q3360" t="n">
        <v>50.2</v>
      </c>
      <c r="R3360" t="n">
        <v>44</v>
      </c>
      <c r="S3360" t="n">
        <v>2490000</v>
      </c>
      <c r="AH3360" t="inlineStr">
        <is>
          <t>Quelle: Pisos.com</t>
        </is>
      </c>
    </row>
    <row r="3361">
      <c r="A3361" t="n">
        <v>3174</v>
      </c>
      <c r="B3361" t="inlineStr">
        <is>
          <t>Casa en Palma de Mallorca</t>
        </is>
      </c>
      <c r="C3361" t="inlineStr">
        <is>
          <t>https://www.pisos.com/comprar/casa-palma_de_mallorca-58411123802_106600/</t>
        </is>
      </c>
      <c r="E3361" t="n">
        <v>5</v>
      </c>
      <c r="J3361" t="inlineStr">
        <is>
          <t>Palma de Mallorca</t>
        </is>
      </c>
      <c r="K3361" t="n">
        <v>9.699999999999999</v>
      </c>
      <c r="L3361" t="n">
        <v>14</v>
      </c>
      <c r="M3361" t="n">
        <v>52.5</v>
      </c>
      <c r="N3361" t="n">
        <v>47</v>
      </c>
      <c r="O3361" t="n">
        <v>32.1</v>
      </c>
      <c r="P3361" t="n">
        <v>36</v>
      </c>
      <c r="Q3361" t="n">
        <v>50.2</v>
      </c>
      <c r="R3361" t="n">
        <v>44</v>
      </c>
      <c r="S3361" t="n">
        <v>2390000</v>
      </c>
      <c r="AH3361" t="inlineStr">
        <is>
          <t>Quelle: Pisos.com</t>
        </is>
      </c>
    </row>
    <row r="3362">
      <c r="A3362" t="n">
        <v>3175</v>
      </c>
      <c r="B3362" t="inlineStr">
        <is>
          <t>Chalet en Es Pil·larí</t>
        </is>
      </c>
      <c r="C3362" t="inlineStr">
        <is>
          <t>https://www.pisos.com/comprar/chalet-es_pillari07600-58371952742_101800/</t>
        </is>
      </c>
      <c r="E3362" t="n">
        <v>4</v>
      </c>
      <c r="J3362" t="inlineStr">
        <is>
          <t>Palma de Mallorca</t>
        </is>
      </c>
      <c r="S3362" t="n">
        <v>880000</v>
      </c>
      <c r="AH3362" t="inlineStr">
        <is>
          <t>Quelle: Pisos.com</t>
        </is>
      </c>
    </row>
    <row r="3363">
      <c r="A3363" t="n">
        <v>3176</v>
      </c>
      <c r="B3363" t="inlineStr">
        <is>
          <t>Casa en Arxiduc</t>
        </is>
      </c>
      <c r="C3363" t="inlineStr">
        <is>
          <t>https://www.pisos.com/comprar/casa-arxiduc07004-58364913431_106600/</t>
        </is>
      </c>
      <c r="E3363" t="n">
        <v>3</v>
      </c>
      <c r="J3363" t="inlineStr">
        <is>
          <t>Palma de Mallorca</t>
        </is>
      </c>
      <c r="S3363" t="n">
        <v>530000</v>
      </c>
      <c r="AH3363" t="inlineStr">
        <is>
          <t>Quelle: Pisos.com</t>
        </is>
      </c>
    </row>
    <row r="3364">
      <c r="A3364" t="n">
        <v>3177</v>
      </c>
      <c r="B3364" t="inlineStr">
        <is>
          <t>Casa rústica en Palma de Mallorca</t>
        </is>
      </c>
      <c r="C3364" t="inlineStr">
        <is>
          <t>https://www.pisos.com/comprar/casa_rustica-palma_de_mallorca-58375852121_106500/</t>
        </is>
      </c>
      <c r="E3364" t="n">
        <v>9</v>
      </c>
      <c r="J3364" t="inlineStr">
        <is>
          <t>Palma de Mallorca</t>
        </is>
      </c>
      <c r="K3364" t="n">
        <v>9.699999999999999</v>
      </c>
      <c r="L3364" t="n">
        <v>14</v>
      </c>
      <c r="M3364" t="n">
        <v>52.5</v>
      </c>
      <c r="N3364" t="n">
        <v>47</v>
      </c>
      <c r="O3364" t="n">
        <v>32.1</v>
      </c>
      <c r="P3364" t="n">
        <v>36</v>
      </c>
      <c r="Q3364" t="n">
        <v>50.2</v>
      </c>
      <c r="R3364" t="n">
        <v>44</v>
      </c>
      <c r="S3364" t="n">
        <v>2500000</v>
      </c>
      <c r="AH3364" t="inlineStr">
        <is>
          <t>Quelle: Pisos.com</t>
        </is>
      </c>
    </row>
    <row r="3365">
      <c r="A3365" t="n">
        <v>3178</v>
      </c>
      <c r="B3365" t="inlineStr">
        <is>
          <t>Casa rústica en Palma de Mallorca</t>
        </is>
      </c>
      <c r="C3365" t="inlineStr">
        <is>
          <t>https://www.pisos.com/comprar/casa_rustica-palma_de_mallorca-58410554546_106500/</t>
        </is>
      </c>
      <c r="E3365" t="n">
        <v>6</v>
      </c>
      <c r="J3365" t="inlineStr">
        <is>
          <t>Palma de Mallorca</t>
        </is>
      </c>
      <c r="K3365" t="n">
        <v>9.699999999999999</v>
      </c>
      <c r="L3365" t="n">
        <v>14</v>
      </c>
      <c r="M3365" t="n">
        <v>52.5</v>
      </c>
      <c r="N3365" t="n">
        <v>47</v>
      </c>
      <c r="O3365" t="n">
        <v>32.1</v>
      </c>
      <c r="P3365" t="n">
        <v>36</v>
      </c>
      <c r="Q3365" t="n">
        <v>50.2</v>
      </c>
      <c r="R3365" t="n">
        <v>44</v>
      </c>
      <c r="S3365" t="n">
        <v>4500000</v>
      </c>
      <c r="AH3365" t="inlineStr">
        <is>
          <t>Quelle: Pisos.com</t>
        </is>
      </c>
    </row>
    <row r="3366">
      <c r="A3366" t="n">
        <v>3179</v>
      </c>
      <c r="B3366" t="inlineStr">
        <is>
          <t>Casa en Palma de Mallorca</t>
        </is>
      </c>
      <c r="C3366" t="inlineStr">
        <is>
          <t>https://www.pisos.com/comprar/casa-palma_de_mallorca-58369032068_106500/</t>
        </is>
      </c>
      <c r="E3366" t="n">
        <v>4</v>
      </c>
      <c r="J3366" t="inlineStr">
        <is>
          <t>Palma de Mallorca</t>
        </is>
      </c>
      <c r="S3366" t="n">
        <v>640000</v>
      </c>
      <c r="AH3366" t="inlineStr">
        <is>
          <t>Quelle: Pisos.com</t>
        </is>
      </c>
    </row>
    <row r="3367">
      <c r="A3367" t="n">
        <v>3180</v>
      </c>
      <c r="B3367" t="inlineStr">
        <is>
          <t>Chalet en Palma de Mallorca</t>
        </is>
      </c>
      <c r="C3367" t="inlineStr">
        <is>
          <t>https://www.pisos.com/comprar/chalet-palma_de_mallorca-58376375937_106500/</t>
        </is>
      </c>
      <c r="E3367" t="n">
        <v>4</v>
      </c>
      <c r="J3367" t="inlineStr">
        <is>
          <t>Palma de Mallorca</t>
        </is>
      </c>
      <c r="S3367" t="n">
        <v>980000</v>
      </c>
      <c r="AH3367" t="inlineStr">
        <is>
          <t>Quelle: Pisos.com</t>
        </is>
      </c>
    </row>
    <row r="3368">
      <c r="A3368" t="n">
        <v>3181</v>
      </c>
      <c r="B3368" t="inlineStr">
        <is>
          <t>Chalet en Palma de Mallorca</t>
        </is>
      </c>
      <c r="C3368" t="inlineStr">
        <is>
          <t>https://www.pisos.com/comprar/chalet-palma_de_mallorca-58414729641_106500/</t>
        </is>
      </c>
      <c r="J3368" t="inlineStr">
        <is>
          <t>Palma de Mallorca</t>
        </is>
      </c>
      <c r="K3368" t="n">
        <v>9.699999999999999</v>
      </c>
      <c r="L3368" t="n">
        <v>14</v>
      </c>
      <c r="M3368" t="n">
        <v>52.5</v>
      </c>
      <c r="N3368" t="n">
        <v>47</v>
      </c>
      <c r="O3368" t="n">
        <v>32.1</v>
      </c>
      <c r="P3368" t="n">
        <v>36</v>
      </c>
      <c r="Q3368" t="n">
        <v>50.2</v>
      </c>
      <c r="R3368" t="n">
        <v>44</v>
      </c>
      <c r="S3368" t="n">
        <v>1250000</v>
      </c>
      <c r="AH3368" t="inlineStr">
        <is>
          <t>Quelle: Pisos.com</t>
        </is>
      </c>
    </row>
    <row r="3369">
      <c r="A3369" t="n">
        <v>3182</v>
      </c>
      <c r="B3369" t="inlineStr">
        <is>
          <t>Casa en Génova</t>
        </is>
      </c>
      <c r="C3369" t="inlineStr">
        <is>
          <t>https://www.pisos.com/comprar/casa-ponent_genova07015-58334108025_106700/</t>
        </is>
      </c>
      <c r="E3369" t="n">
        <v>4</v>
      </c>
      <c r="J3369" t="inlineStr">
        <is>
          <t>Palma de Mallorca</t>
        </is>
      </c>
      <c r="K3369" t="n">
        <v>9.699999999999999</v>
      </c>
      <c r="L3369" t="n">
        <v>14</v>
      </c>
      <c r="M3369" t="n">
        <v>52.5</v>
      </c>
      <c r="N3369" t="n">
        <v>47</v>
      </c>
      <c r="O3369" t="n">
        <v>32.1</v>
      </c>
      <c r="P3369" t="n">
        <v>36</v>
      </c>
      <c r="Q3369" t="n">
        <v>50.2</v>
      </c>
      <c r="R3369" t="n">
        <v>44</v>
      </c>
      <c r="S3369" t="n">
        <v>2750000</v>
      </c>
      <c r="AH3369" t="inlineStr">
        <is>
          <t>Quelle: Pisos.com</t>
        </is>
      </c>
    </row>
    <row r="3370">
      <c r="A3370" t="n">
        <v>3183</v>
      </c>
      <c r="B3370" t="inlineStr">
        <is>
          <t>Casa adosada en Amanecer</t>
        </is>
      </c>
      <c r="C3370" t="inlineStr">
        <is>
          <t>https://www.pisos.com/comprar/casa_adosada-olivera-58353400211_100500/</t>
        </is>
      </c>
      <c r="E3370" t="n">
        <v>2</v>
      </c>
      <c r="J3370" t="inlineStr">
        <is>
          <t>Palma de Mallorca</t>
        </is>
      </c>
      <c r="S3370" t="n">
        <v>675000</v>
      </c>
      <c r="AH3370" t="inlineStr">
        <is>
          <t>Quelle: Pisos.com</t>
        </is>
      </c>
    </row>
    <row r="3371">
      <c r="A3371" t="n">
        <v>3184</v>
      </c>
      <c r="B3371" t="inlineStr">
        <is>
          <t>Casa en Cort</t>
        </is>
      </c>
      <c r="C3371" t="inlineStr">
        <is>
          <t>https://www.pisos.com/comprar/casa-cort07001-58381492455_105600/</t>
        </is>
      </c>
      <c r="E3371" t="n">
        <v>3</v>
      </c>
      <c r="J3371" t="inlineStr">
        <is>
          <t>Palma de Mallorca</t>
        </is>
      </c>
      <c r="K3371" t="n">
        <v>9.699999999999999</v>
      </c>
      <c r="L3371" t="n">
        <v>14</v>
      </c>
      <c r="M3371" t="n">
        <v>52.5</v>
      </c>
      <c r="N3371" t="n">
        <v>47</v>
      </c>
      <c r="O3371" t="n">
        <v>32.1</v>
      </c>
      <c r="P3371" t="n">
        <v>36</v>
      </c>
      <c r="Q3371" t="n">
        <v>50.2</v>
      </c>
      <c r="R3371" t="n">
        <v>44</v>
      </c>
      <c r="S3371" t="n">
        <v>3500000</v>
      </c>
      <c r="AH3371" t="inlineStr">
        <is>
          <t>Quelle: Pisos.com</t>
        </is>
      </c>
    </row>
    <row r="3372">
      <c r="A3372" t="n">
        <v>3185</v>
      </c>
      <c r="B3372" t="inlineStr">
        <is>
          <t>Casa adosada en Sant Agustí</t>
        </is>
      </c>
      <c r="C3372" t="inlineStr">
        <is>
          <t>https://www.pisos.com/comprar/casa_adosada-ponent_sant_agusti-58433211590_106500/</t>
        </is>
      </c>
      <c r="E3372" t="n">
        <v>5</v>
      </c>
      <c r="J3372" t="inlineStr">
        <is>
          <t>Palma de Mallorca</t>
        </is>
      </c>
      <c r="K3372" t="n">
        <v>9.699999999999999</v>
      </c>
      <c r="L3372" t="n">
        <v>14</v>
      </c>
      <c r="M3372" t="n">
        <v>52.5</v>
      </c>
      <c r="N3372" t="n">
        <v>47</v>
      </c>
      <c r="O3372" t="n">
        <v>32.1</v>
      </c>
      <c r="P3372" t="n">
        <v>36</v>
      </c>
      <c r="Q3372" t="n">
        <v>50.2</v>
      </c>
      <c r="R3372" t="n">
        <v>44</v>
      </c>
      <c r="S3372" t="n">
        <v>939000</v>
      </c>
      <c r="AH3372" t="inlineStr">
        <is>
          <t>Quelle: Pisos.com</t>
        </is>
      </c>
    </row>
    <row r="3373">
      <c r="A3373" t="n">
        <v>3186</v>
      </c>
      <c r="B3373" t="inlineStr">
        <is>
          <t>Casa en Establiments</t>
        </is>
      </c>
      <c r="C3373" t="inlineStr">
        <is>
          <t>https://www.pisos.com/comprar/casa-establiments07010-58378507339_105600/</t>
        </is>
      </c>
      <c r="E3373" t="n">
        <v>3</v>
      </c>
      <c r="J3373" t="inlineStr">
        <is>
          <t>Palma de Mallorca</t>
        </is>
      </c>
      <c r="K3373" t="n">
        <v>9.699999999999999</v>
      </c>
      <c r="L3373" t="n">
        <v>14</v>
      </c>
      <c r="M3373" t="n">
        <v>52.5</v>
      </c>
      <c r="N3373" t="n">
        <v>47</v>
      </c>
      <c r="O3373" t="n">
        <v>32.1</v>
      </c>
      <c r="P3373" t="n">
        <v>36</v>
      </c>
      <c r="Q3373" t="n">
        <v>50.2</v>
      </c>
      <c r="R3373" t="n">
        <v>44</v>
      </c>
      <c r="S3373" t="n">
        <v>1650000</v>
      </c>
      <c r="AH3373" t="inlineStr">
        <is>
          <t>Quelle: Pisos.com</t>
        </is>
      </c>
    </row>
    <row r="3374">
      <c r="A3374" t="n">
        <v>3187</v>
      </c>
      <c r="B3374" t="inlineStr">
        <is>
          <t>Casa en Son Espanyolet</t>
        </is>
      </c>
      <c r="C3374" t="inlineStr">
        <is>
          <t>https://www.pisos.com/comprar/casa-ponent_son_espanyolet07014-58383500772_105600/</t>
        </is>
      </c>
      <c r="E3374" t="n">
        <v>2</v>
      </c>
      <c r="J3374" t="inlineStr">
        <is>
          <t>Palma de Mallorca</t>
        </is>
      </c>
      <c r="S3374" t="n">
        <v>610000</v>
      </c>
      <c r="AH3374" t="inlineStr">
        <is>
          <t>Quelle: Pisos.com</t>
        </is>
      </c>
    </row>
    <row r="3375">
      <c r="A3375" t="n">
        <v>3188</v>
      </c>
      <c r="B3375" t="inlineStr">
        <is>
          <t>Casa adosada en Es Pil·larí</t>
        </is>
      </c>
      <c r="C3375" t="inlineStr">
        <is>
          <t>https://www.pisos.com/comprar/casa_adosada-es_pillari07610-58403531173_100500/</t>
        </is>
      </c>
      <c r="E3375" t="n">
        <v>2</v>
      </c>
      <c r="J3375" t="inlineStr">
        <is>
          <t>Palma de Mallorca</t>
        </is>
      </c>
      <c r="S3375" t="n">
        <v>950000</v>
      </c>
      <c r="AH3375" t="inlineStr">
        <is>
          <t>Quelle: Pisos.com</t>
        </is>
      </c>
    </row>
    <row r="3376">
      <c r="A3376" t="n">
        <v>3189</v>
      </c>
      <c r="B3376" t="inlineStr">
        <is>
          <t>Chalet en Es Camp d'en Serralta</t>
        </is>
      </c>
      <c r="C3376" t="inlineStr">
        <is>
          <t>https://www.pisos.com/comprar/chalet-es_camp_en_serralta07013-58347374199_100500/</t>
        </is>
      </c>
      <c r="E3376" t="n">
        <v>3</v>
      </c>
      <c r="J3376" t="inlineStr">
        <is>
          <t>Palma de Mallorca</t>
        </is>
      </c>
      <c r="K3376" t="n">
        <v>9.699999999999999</v>
      </c>
      <c r="L3376" t="n">
        <v>14</v>
      </c>
      <c r="M3376" t="n">
        <v>52.5</v>
      </c>
      <c r="N3376" t="n">
        <v>47</v>
      </c>
      <c r="O3376" t="n">
        <v>32.1</v>
      </c>
      <c r="P3376" t="n">
        <v>36</v>
      </c>
      <c r="Q3376" t="n">
        <v>50.2</v>
      </c>
      <c r="R3376" t="n">
        <v>44</v>
      </c>
      <c r="S3376" t="n">
        <v>1650000</v>
      </c>
      <c r="AH3376" t="inlineStr">
        <is>
          <t>Quelle: Pisos.com</t>
        </is>
      </c>
    </row>
    <row r="3377">
      <c r="A3377" t="n">
        <v>3190</v>
      </c>
      <c r="B3377" t="inlineStr">
        <is>
          <t>Casa en Cala Major</t>
        </is>
      </c>
      <c r="C3377" t="inlineStr">
        <is>
          <t>https://www.pisos.com/comprar/casa-cala_major-58382996567_105600/</t>
        </is>
      </c>
      <c r="E3377" t="n">
        <v>3</v>
      </c>
      <c r="J3377" t="inlineStr">
        <is>
          <t>Palma de Mallorca</t>
        </is>
      </c>
      <c r="K3377" t="n">
        <v>9.699999999999999</v>
      </c>
      <c r="L3377" t="n">
        <v>14</v>
      </c>
      <c r="M3377" t="n">
        <v>52.5</v>
      </c>
      <c r="N3377" t="n">
        <v>47</v>
      </c>
      <c r="O3377" t="n">
        <v>32.1</v>
      </c>
      <c r="P3377" t="n">
        <v>36</v>
      </c>
      <c r="Q3377" t="n">
        <v>50.2</v>
      </c>
      <c r="R3377" t="n">
        <v>44</v>
      </c>
      <c r="S3377" t="n">
        <v>1750000</v>
      </c>
      <c r="AH3377" t="inlineStr">
        <is>
          <t>Quelle: Pisos.com</t>
        </is>
      </c>
    </row>
    <row r="3378">
      <c r="A3378" t="n">
        <v>3191</v>
      </c>
      <c r="B3378" t="inlineStr">
        <is>
          <t>Casa rústica en Establiments</t>
        </is>
      </c>
      <c r="C3378" t="inlineStr">
        <is>
          <t>https://www.pisos.com/comprar/casa_rustica-establiments07010-58418869071_106700/</t>
        </is>
      </c>
      <c r="E3378" t="n">
        <v>5</v>
      </c>
      <c r="J3378" t="inlineStr">
        <is>
          <t>Palma de Mallorca</t>
        </is>
      </c>
      <c r="K3378" t="n">
        <v>9.699999999999999</v>
      </c>
      <c r="L3378" t="n">
        <v>14</v>
      </c>
      <c r="M3378" t="n">
        <v>52.5</v>
      </c>
      <c r="N3378" t="n">
        <v>47</v>
      </c>
      <c r="O3378" t="n">
        <v>32.1</v>
      </c>
      <c r="P3378" t="n">
        <v>36</v>
      </c>
      <c r="Q3378" t="n">
        <v>50.2</v>
      </c>
      <c r="R3378" t="n">
        <v>44</v>
      </c>
      <c r="S3378" t="n">
        <v>2200000</v>
      </c>
      <c r="AH3378" t="inlineStr">
        <is>
          <t>Quelle: Pisos.com</t>
        </is>
      </c>
    </row>
    <row r="3379">
      <c r="A3379" t="n">
        <v>3192</v>
      </c>
      <c r="B3379" t="inlineStr">
        <is>
          <t>Chalet en Palma de Mallorca</t>
        </is>
      </c>
      <c r="C3379" t="inlineStr">
        <is>
          <t>https://www.pisos.com/comprar/chalet-palma_de_mallorca-58381139719_106600/</t>
        </is>
      </c>
      <c r="E3379" t="n">
        <v>5</v>
      </c>
      <c r="J3379" t="inlineStr">
        <is>
          <t>Palma de Mallorca</t>
        </is>
      </c>
      <c r="K3379" t="n">
        <v>9.699999999999999</v>
      </c>
      <c r="L3379" t="n">
        <v>14</v>
      </c>
      <c r="M3379" t="n">
        <v>52.5</v>
      </c>
      <c r="N3379" t="n">
        <v>47</v>
      </c>
      <c r="O3379" t="n">
        <v>32.1</v>
      </c>
      <c r="P3379" t="n">
        <v>36</v>
      </c>
      <c r="Q3379" t="n">
        <v>50.2</v>
      </c>
      <c r="R3379" t="n">
        <v>44</v>
      </c>
      <c r="S3379" t="n">
        <v>2490000</v>
      </c>
      <c r="AH3379" t="inlineStr">
        <is>
          <t>Quelle: Pisos.com</t>
        </is>
      </c>
    </row>
    <row r="3380">
      <c r="A3380" t="n">
        <v>3193</v>
      </c>
      <c r="B3380" t="inlineStr">
        <is>
          <t>Chalet en Palma de Mallorca</t>
        </is>
      </c>
      <c r="C3380" t="inlineStr">
        <is>
          <t>https://www.pisos.com/comprar/chalet-palma_de_mallorca-58433013705_106600/</t>
        </is>
      </c>
      <c r="E3380" t="n">
        <v>4</v>
      </c>
      <c r="J3380" t="inlineStr">
        <is>
          <t>Palma de Mallorca</t>
        </is>
      </c>
      <c r="K3380" t="n">
        <v>9.699999999999999</v>
      </c>
      <c r="L3380" t="n">
        <v>14</v>
      </c>
      <c r="M3380" t="n">
        <v>52.5</v>
      </c>
      <c r="N3380" t="n">
        <v>47</v>
      </c>
      <c r="O3380" t="n">
        <v>32.1</v>
      </c>
      <c r="P3380" t="n">
        <v>36</v>
      </c>
      <c r="Q3380" t="n">
        <v>50.2</v>
      </c>
      <c r="R3380" t="n">
        <v>44</v>
      </c>
      <c r="S3380" t="n">
        <v>1100000</v>
      </c>
      <c r="AH3380" t="inlineStr">
        <is>
          <t>Quelle: Pisos.com</t>
        </is>
      </c>
    </row>
    <row r="3381">
      <c r="A3381" t="n">
        <v>3194</v>
      </c>
      <c r="B3381" t="inlineStr">
        <is>
          <t>Chalet en Palma de Mallorca</t>
        </is>
      </c>
      <c r="C3381" t="inlineStr">
        <is>
          <t>https://www.pisos.com/comprar/chalet-palma_de_mallorca-58402106994_106500/</t>
        </is>
      </c>
      <c r="E3381" t="n">
        <v>2</v>
      </c>
      <c r="J3381" t="inlineStr">
        <is>
          <t>Palma de Mallorca</t>
        </is>
      </c>
      <c r="S3381" t="n">
        <v>535000</v>
      </c>
      <c r="AH3381" t="inlineStr">
        <is>
          <t>Quelle: Pisos.com</t>
        </is>
      </c>
    </row>
    <row r="3382">
      <c r="A3382" t="n">
        <v>3195</v>
      </c>
      <c r="B3382" t="inlineStr">
        <is>
          <t>Casa en Son Gual</t>
        </is>
      </c>
      <c r="C3382" t="inlineStr">
        <is>
          <t>https://www.pisos.com/comprar/casa-llevant_sant_jordi07199-58350936982_106700/</t>
        </is>
      </c>
      <c r="E3382" t="n">
        <v>5</v>
      </c>
      <c r="J3382" t="inlineStr">
        <is>
          <t>Palma de Mallorca</t>
        </is>
      </c>
      <c r="K3382" t="n">
        <v>9.699999999999999</v>
      </c>
      <c r="L3382" t="n">
        <v>14</v>
      </c>
      <c r="M3382" t="n">
        <v>52.5</v>
      </c>
      <c r="N3382" t="n">
        <v>47</v>
      </c>
      <c r="O3382" t="n">
        <v>32.1</v>
      </c>
      <c r="P3382" t="n">
        <v>36</v>
      </c>
      <c r="Q3382" t="n">
        <v>50.2</v>
      </c>
      <c r="R3382" t="n">
        <v>44</v>
      </c>
      <c r="S3382" t="n">
        <v>6900000</v>
      </c>
      <c r="AH3382" t="inlineStr">
        <is>
          <t>Quelle: Pisos.com</t>
        </is>
      </c>
    </row>
    <row r="3383">
      <c r="A3383" t="n">
        <v>3196</v>
      </c>
      <c r="B3383" t="inlineStr">
        <is>
          <t>Casa adosada en Palma de Mallorca</t>
        </is>
      </c>
      <c r="C3383" t="inlineStr">
        <is>
          <t>https://www.pisos.com/comprar/casa_adosada-palma_de_mallorca-58409174130_106600/</t>
        </is>
      </c>
      <c r="E3383" t="n">
        <v>4</v>
      </c>
      <c r="J3383" t="inlineStr">
        <is>
          <t>Palma de Mallorca</t>
        </is>
      </c>
      <c r="K3383" t="n">
        <v>9.699999999999999</v>
      </c>
      <c r="L3383" t="n">
        <v>14</v>
      </c>
      <c r="M3383" t="n">
        <v>52.5</v>
      </c>
      <c r="N3383" t="n">
        <v>47</v>
      </c>
      <c r="O3383" t="n">
        <v>32.1</v>
      </c>
      <c r="P3383" t="n">
        <v>36</v>
      </c>
      <c r="Q3383" t="n">
        <v>50.2</v>
      </c>
      <c r="R3383" t="n">
        <v>44</v>
      </c>
      <c r="S3383" t="n">
        <v>1115000</v>
      </c>
      <c r="AH3383" t="inlineStr">
        <is>
          <t>Quelle: Pisos.com</t>
        </is>
      </c>
    </row>
    <row r="3384">
      <c r="A3384" t="n">
        <v>3197</v>
      </c>
      <c r="B3384" t="inlineStr">
        <is>
          <t>Casa en El Secar de la Real</t>
        </is>
      </c>
      <c r="C3384" t="inlineStr">
        <is>
          <t>https://www.pisos.com/comprar/casa-nord_el_secar_de_la_real-58337948491_106600/</t>
        </is>
      </c>
      <c r="E3384" t="n">
        <v>4</v>
      </c>
      <c r="J3384" t="inlineStr">
        <is>
          <t>Palma de Mallorca</t>
        </is>
      </c>
      <c r="S3384" t="n">
        <v>786000</v>
      </c>
      <c r="AH3384" t="inlineStr">
        <is>
          <t>Quelle: Pisos.com</t>
        </is>
      </c>
    </row>
    <row r="3385">
      <c r="A3385" t="n">
        <v>3198</v>
      </c>
      <c r="B3385" t="inlineStr">
        <is>
          <t>Casa en Sa Casa Blanca</t>
        </is>
      </c>
      <c r="C3385" t="inlineStr">
        <is>
          <t>https://www.pisos.com/comprar/casa-llevant_sa_casa_blanca07198-58370238394_105600/</t>
        </is>
      </c>
      <c r="E3385" t="n">
        <v>4</v>
      </c>
      <c r="J3385" t="inlineStr">
        <is>
          <t>Palma de Mallorca</t>
        </is>
      </c>
      <c r="K3385" t="n">
        <v>9.699999999999999</v>
      </c>
      <c r="L3385" t="n">
        <v>14</v>
      </c>
      <c r="M3385" t="n">
        <v>52.5</v>
      </c>
      <c r="N3385" t="n">
        <v>47</v>
      </c>
      <c r="O3385" t="n">
        <v>32.1</v>
      </c>
      <c r="P3385" t="n">
        <v>36</v>
      </c>
      <c r="Q3385" t="n">
        <v>50.2</v>
      </c>
      <c r="R3385" t="n">
        <v>44</v>
      </c>
      <c r="S3385" t="n">
        <v>2900000</v>
      </c>
      <c r="AH3385" t="inlineStr">
        <is>
          <t>Quelle: Pisos.com</t>
        </is>
      </c>
    </row>
    <row r="3386">
      <c r="A3386" t="n">
        <v>3199</v>
      </c>
      <c r="B3386" t="inlineStr">
        <is>
          <t>Casa en Palma de Mallorca</t>
        </is>
      </c>
      <c r="C3386" t="inlineStr">
        <is>
          <t>https://www.pisos.com/comprar/casa-palma_de_mallorca-58411003539_106600/</t>
        </is>
      </c>
      <c r="E3386" t="n">
        <v>6</v>
      </c>
      <c r="J3386" t="inlineStr">
        <is>
          <t>Palma de Mallorca</t>
        </is>
      </c>
      <c r="K3386" t="n">
        <v>9.699999999999999</v>
      </c>
      <c r="L3386" t="n">
        <v>14</v>
      </c>
      <c r="M3386" t="n">
        <v>52.5</v>
      </c>
      <c r="N3386" t="n">
        <v>47</v>
      </c>
      <c r="O3386" t="n">
        <v>32.1</v>
      </c>
      <c r="P3386" t="n">
        <v>36</v>
      </c>
      <c r="Q3386" t="n">
        <v>50.2</v>
      </c>
      <c r="R3386" t="n">
        <v>44</v>
      </c>
      <c r="S3386" t="n">
        <v>2950000</v>
      </c>
      <c r="AH3386" t="inlineStr">
        <is>
          <t>Quelle: Pisos.com</t>
        </is>
      </c>
    </row>
    <row r="3387">
      <c r="A3387" t="n">
        <v>3200</v>
      </c>
      <c r="B3387" t="inlineStr">
        <is>
          <t>Casa en Es Camp d'en Serralta</t>
        </is>
      </c>
      <c r="C3387" t="inlineStr">
        <is>
          <t>https://www.pisos.com/comprar/casa-es_camp_en_serralta07013-57527797308_105600/</t>
        </is>
      </c>
      <c r="E3387" t="n">
        <v>4</v>
      </c>
      <c r="J3387" t="inlineStr">
        <is>
          <t>Palma de Mallorca</t>
        </is>
      </c>
      <c r="S3387" t="n">
        <v>798000</v>
      </c>
      <c r="AH3387" t="inlineStr">
        <is>
          <t>Quelle: Pisos.com</t>
        </is>
      </c>
    </row>
    <row r="3388">
      <c r="A3388" t="n">
        <v>3201</v>
      </c>
      <c r="B3388" t="inlineStr">
        <is>
          <t>Casa en Les Meravelles</t>
        </is>
      </c>
      <c r="C3388" t="inlineStr">
        <is>
          <t>https://www.pisos.com/comprar/casa-les_meravelles07610-57522431408_106500/</t>
        </is>
      </c>
      <c r="E3388" t="n">
        <v>5</v>
      </c>
      <c r="J3388" t="inlineStr">
        <is>
          <t>Palma de Mallorca</t>
        </is>
      </c>
      <c r="K3388" t="n">
        <v>9.699999999999999</v>
      </c>
      <c r="L3388" t="n">
        <v>14</v>
      </c>
      <c r="M3388" t="n">
        <v>52.5</v>
      </c>
      <c r="N3388" t="n">
        <v>47</v>
      </c>
      <c r="O3388" t="n">
        <v>32.1</v>
      </c>
      <c r="P3388" t="n">
        <v>36</v>
      </c>
      <c r="Q3388" t="n">
        <v>50.2</v>
      </c>
      <c r="R3388" t="n">
        <v>44</v>
      </c>
      <c r="S3388" t="n">
        <v>2200000</v>
      </c>
      <c r="AH3388" t="inlineStr">
        <is>
          <t>Quelle: Pisos.com</t>
        </is>
      </c>
    </row>
    <row r="3389">
      <c r="A3389" t="n">
        <v>3202</v>
      </c>
      <c r="B3389" t="inlineStr">
        <is>
          <t>Casa en Es Portixol-Es Molinar</t>
        </is>
      </c>
      <c r="C3389" t="inlineStr">
        <is>
          <t>https://www.pisos.com/comprar/casa-es_portixol_es_molinar07006-57582197606_105600/</t>
        </is>
      </c>
      <c r="E3389" t="n">
        <v>3</v>
      </c>
      <c r="J3389" t="inlineStr">
        <is>
          <t>Palma de Mallorca</t>
        </is>
      </c>
      <c r="K3389" t="n">
        <v>9.699999999999999</v>
      </c>
      <c r="L3389" t="n">
        <v>14</v>
      </c>
      <c r="M3389" t="n">
        <v>52.5</v>
      </c>
      <c r="N3389" t="n">
        <v>47</v>
      </c>
      <c r="O3389" t="n">
        <v>32.1</v>
      </c>
      <c r="P3389" t="n">
        <v>36</v>
      </c>
      <c r="Q3389" t="n">
        <v>50.2</v>
      </c>
      <c r="R3389" t="n">
        <v>44</v>
      </c>
      <c r="S3389" t="n">
        <v>1795000</v>
      </c>
      <c r="AH3389" t="inlineStr">
        <is>
          <t>Quelle: Pisos.com</t>
        </is>
      </c>
    </row>
    <row r="3390">
      <c r="A3390" t="n">
        <v>3203</v>
      </c>
      <c r="B3390" t="inlineStr">
        <is>
          <t>Casa en Son Espanyol</t>
        </is>
      </c>
      <c r="C3390" t="inlineStr">
        <is>
          <t>https://www.pisos.com/comprar/casa-son_espanyol07120-57543398434_106700/</t>
        </is>
      </c>
      <c r="E3390" t="n">
        <v>4</v>
      </c>
      <c r="J3390" t="inlineStr">
        <is>
          <t>Palma de Mallorca</t>
        </is>
      </c>
      <c r="K3390" t="n">
        <v>9.699999999999999</v>
      </c>
      <c r="L3390" t="n">
        <v>14</v>
      </c>
      <c r="M3390" t="n">
        <v>52.5</v>
      </c>
      <c r="N3390" t="n">
        <v>47</v>
      </c>
      <c r="O3390" t="n">
        <v>32.1</v>
      </c>
      <c r="P3390" t="n">
        <v>36</v>
      </c>
      <c r="Q3390" t="n">
        <v>50.2</v>
      </c>
      <c r="R3390" t="n">
        <v>44</v>
      </c>
      <c r="S3390" t="n">
        <v>1490000</v>
      </c>
      <c r="AH3390" t="inlineStr">
        <is>
          <t>Quelle: Pisos.com</t>
        </is>
      </c>
    </row>
    <row r="3391">
      <c r="A3391" t="n">
        <v>3204</v>
      </c>
      <c r="B3391" t="inlineStr">
        <is>
          <t>Chalet en Les Meravelles</t>
        </is>
      </c>
      <c r="C3391" t="inlineStr">
        <is>
          <t>https://www.pisos.com/comprar/chalet-les_meravelles07610-57508544940_101800/</t>
        </is>
      </c>
      <c r="E3391" t="n">
        <v>5</v>
      </c>
      <c r="J3391" t="inlineStr">
        <is>
          <t>Palma de Mallorca</t>
        </is>
      </c>
      <c r="K3391" t="n">
        <v>9.699999999999999</v>
      </c>
      <c r="L3391" t="n">
        <v>14</v>
      </c>
      <c r="M3391" t="n">
        <v>52.5</v>
      </c>
      <c r="N3391" t="n">
        <v>47</v>
      </c>
      <c r="O3391" t="n">
        <v>32.1</v>
      </c>
      <c r="P3391" t="n">
        <v>36</v>
      </c>
      <c r="Q3391" t="n">
        <v>50.2</v>
      </c>
      <c r="R3391" t="n">
        <v>44</v>
      </c>
      <c r="S3391" t="n">
        <v>1675000</v>
      </c>
      <c r="AH3391" t="inlineStr">
        <is>
          <t>Quelle: Pisos.com</t>
        </is>
      </c>
    </row>
    <row r="3392">
      <c r="A3392" t="n">
        <v>3205</v>
      </c>
      <c r="B3392" t="inlineStr">
        <is>
          <t>Casa rústica en Puntiró</t>
        </is>
      </c>
      <c r="C3392" t="inlineStr">
        <is>
          <t>https://www.pisos.com/comprar/casa_rustica-llevant_sa_casa_blanca07198-57582745520_106700/</t>
        </is>
      </c>
      <c r="E3392" t="n">
        <v>5</v>
      </c>
      <c r="J3392" t="inlineStr">
        <is>
          <t>Palma de Mallorca</t>
        </is>
      </c>
      <c r="K3392" t="n">
        <v>9.699999999999999</v>
      </c>
      <c r="L3392" t="n">
        <v>14</v>
      </c>
      <c r="M3392" t="n">
        <v>52.5</v>
      </c>
      <c r="N3392" t="n">
        <v>47</v>
      </c>
      <c r="O3392" t="n">
        <v>32.1</v>
      </c>
      <c r="P3392" t="n">
        <v>36</v>
      </c>
      <c r="Q3392" t="n">
        <v>50.2</v>
      </c>
      <c r="R3392" t="n">
        <v>44</v>
      </c>
      <c r="S3392" t="n">
        <v>3999000</v>
      </c>
      <c r="AH3392" t="inlineStr">
        <is>
          <t>Quelle: Pisos.com</t>
        </is>
      </c>
    </row>
    <row r="3393">
      <c r="A3393" t="n">
        <v>3206</v>
      </c>
      <c r="B3393" t="inlineStr">
        <is>
          <t>Chalet adosado en S´Arenal</t>
        </is>
      </c>
      <c r="C3393" t="inlineStr">
        <is>
          <t>https://www.pisos.com/comprar/chalet_adosado-platja_de_palma_sarenal07600-57565644239_515181/</t>
        </is>
      </c>
      <c r="E3393" t="n">
        <v>8</v>
      </c>
      <c r="J3393" t="inlineStr">
        <is>
          <t>Palma de Mallorca</t>
        </is>
      </c>
      <c r="K3393" t="n">
        <v>9.699999999999999</v>
      </c>
      <c r="L3393" t="n">
        <v>14</v>
      </c>
      <c r="M3393" t="n">
        <v>52.5</v>
      </c>
      <c r="N3393" t="n">
        <v>47</v>
      </c>
      <c r="O3393" t="n">
        <v>32.1</v>
      </c>
      <c r="P3393" t="n">
        <v>36</v>
      </c>
      <c r="Q3393" t="n">
        <v>50.2</v>
      </c>
      <c r="R3393" t="n">
        <v>44</v>
      </c>
      <c r="S3393" t="n">
        <v>450000</v>
      </c>
      <c r="AH3393" t="inlineStr">
        <is>
          <t>Quelle: Pisos.com</t>
        </is>
      </c>
    </row>
    <row r="3394">
      <c r="A3394" t="n">
        <v>3207</v>
      </c>
      <c r="B3394" t="inlineStr">
        <is>
          <t>Chalet en Palma de Mallorca</t>
        </is>
      </c>
      <c r="C3394" t="inlineStr">
        <is>
          <t>https://www.pisos.com/comprar/chalet-palma_de_mallorca-57560680119_106500/</t>
        </is>
      </c>
      <c r="E3394" t="n">
        <v>5</v>
      </c>
      <c r="J3394" t="inlineStr">
        <is>
          <t>Palma de Mallorca</t>
        </is>
      </c>
      <c r="K3394" t="n">
        <v>9.699999999999999</v>
      </c>
      <c r="L3394" t="n">
        <v>14</v>
      </c>
      <c r="M3394" t="n">
        <v>52.5</v>
      </c>
      <c r="N3394" t="n">
        <v>47</v>
      </c>
      <c r="O3394" t="n">
        <v>32.1</v>
      </c>
      <c r="P3394" t="n">
        <v>36</v>
      </c>
      <c r="Q3394" t="n">
        <v>50.2</v>
      </c>
      <c r="R3394" t="n">
        <v>44</v>
      </c>
      <c r="S3394" t="n">
        <v>1500000</v>
      </c>
      <c r="AH3394" t="inlineStr">
        <is>
          <t>Quelle: Pisos.com</t>
        </is>
      </c>
    </row>
    <row r="3395">
      <c r="A3395" t="n">
        <v>3208</v>
      </c>
      <c r="B3395" t="inlineStr">
        <is>
          <t>Casa adosada en Santa Catalina</t>
        </is>
      </c>
      <c r="C3395" t="inlineStr">
        <is>
          <t>https://www.pisos.com/comprar/casa_adosada-ponent_santa_catalina07013-57504147819_108400/</t>
        </is>
      </c>
      <c r="E3395" t="n">
        <v>2</v>
      </c>
      <c r="J3395" t="inlineStr">
        <is>
          <t>Palma de Mallorca</t>
        </is>
      </c>
      <c r="K3395" t="n">
        <v>9.699999999999999</v>
      </c>
      <c r="L3395" t="n">
        <v>14</v>
      </c>
      <c r="M3395" t="n">
        <v>52.5</v>
      </c>
      <c r="N3395" t="n">
        <v>47</v>
      </c>
      <c r="O3395" t="n">
        <v>32.1</v>
      </c>
      <c r="P3395" t="n">
        <v>36</v>
      </c>
      <c r="Q3395" t="n">
        <v>50.2</v>
      </c>
      <c r="R3395" t="n">
        <v>44</v>
      </c>
      <c r="S3395" t="n">
        <v>1295000</v>
      </c>
      <c r="AH3395" t="inlineStr">
        <is>
          <t>Quelle: Pisos.com</t>
        </is>
      </c>
    </row>
    <row r="3396">
      <c r="A3396" t="n">
        <v>3209</v>
      </c>
      <c r="B3396" t="inlineStr">
        <is>
          <t>Casa en Palma de Mallorca</t>
        </is>
      </c>
      <c r="C3396" t="inlineStr">
        <is>
          <t>https://www.pisos.com/comprar/casa-palma_de_mallorca-57573565563_106600/</t>
        </is>
      </c>
      <c r="E3396" t="n">
        <v>3</v>
      </c>
      <c r="J3396" t="inlineStr">
        <is>
          <t>Palma de Mallorca</t>
        </is>
      </c>
      <c r="K3396" t="n">
        <v>9.699999999999999</v>
      </c>
      <c r="L3396" t="n">
        <v>14</v>
      </c>
      <c r="M3396" t="n">
        <v>52.5</v>
      </c>
      <c r="N3396" t="n">
        <v>47</v>
      </c>
      <c r="O3396" t="n">
        <v>32.1</v>
      </c>
      <c r="P3396" t="n">
        <v>36</v>
      </c>
      <c r="Q3396" t="n">
        <v>50.2</v>
      </c>
      <c r="R3396" t="n">
        <v>44</v>
      </c>
      <c r="S3396" t="n">
        <v>1650000</v>
      </c>
      <c r="AH3396" t="inlineStr">
        <is>
          <t>Quelle: Pisos.com</t>
        </is>
      </c>
    </row>
    <row r="3397">
      <c r="A3397" t="n">
        <v>3210</v>
      </c>
      <c r="B3397" t="inlineStr">
        <is>
          <t>Chalet en Sant Jordi</t>
        </is>
      </c>
      <c r="C3397" t="inlineStr">
        <is>
          <t>https://www.pisos.com/comprar/chalet-llevant_sant_jordi07199-57583225084_109300/</t>
        </is>
      </c>
      <c r="E3397" t="n">
        <v>4</v>
      </c>
      <c r="J3397" t="inlineStr">
        <is>
          <t>Palma de Mallorca</t>
        </is>
      </c>
      <c r="K3397" t="n">
        <v>9.699999999999999</v>
      </c>
      <c r="L3397" t="n">
        <v>14</v>
      </c>
      <c r="M3397" t="n">
        <v>52.5</v>
      </c>
      <c r="N3397" t="n">
        <v>47</v>
      </c>
      <c r="O3397" t="n">
        <v>32.1</v>
      </c>
      <c r="P3397" t="n">
        <v>36</v>
      </c>
      <c r="Q3397" t="n">
        <v>50.2</v>
      </c>
      <c r="R3397" t="n">
        <v>44</v>
      </c>
      <c r="S3397" t="n">
        <v>2790000</v>
      </c>
      <c r="AH3397" t="inlineStr">
        <is>
          <t>Quelle: Pisos.com</t>
        </is>
      </c>
    </row>
    <row r="3398">
      <c r="A3398" t="n">
        <v>3211</v>
      </c>
      <c r="B3398" t="inlineStr">
        <is>
          <t>Casa en Santa Ponsa</t>
        </is>
      </c>
      <c r="C3398" t="inlineStr">
        <is>
          <t>https://www.pisos.com/comprar/casa-nou_llevant07006-57525995750_102200/</t>
        </is>
      </c>
      <c r="E3398" t="n">
        <v>5</v>
      </c>
      <c r="J3398" t="inlineStr">
        <is>
          <t>Palma de Mallorca</t>
        </is>
      </c>
      <c r="K3398" t="n">
        <v>9.699999999999999</v>
      </c>
      <c r="L3398" t="n">
        <v>14</v>
      </c>
      <c r="M3398" t="n">
        <v>52.5</v>
      </c>
      <c r="N3398" t="n">
        <v>47</v>
      </c>
      <c r="O3398" t="n">
        <v>32.1</v>
      </c>
      <c r="P3398" t="n">
        <v>36</v>
      </c>
      <c r="Q3398" t="n">
        <v>50.2</v>
      </c>
      <c r="R3398" t="n">
        <v>44</v>
      </c>
      <c r="S3398" t="n">
        <v>2625000</v>
      </c>
      <c r="AH3398" t="inlineStr">
        <is>
          <t>Quelle: Pisos.com</t>
        </is>
      </c>
    </row>
    <row r="3399">
      <c r="A3399" t="n">
        <v>3212</v>
      </c>
      <c r="B3399" t="inlineStr">
        <is>
          <t>Casa en Son Serra-Sa Vileta-Son Peretó</t>
        </is>
      </c>
      <c r="C3399" t="inlineStr">
        <is>
          <t>https://www.pisos.com/comprar/casa-son_serra_sa_vileta_son_pereto07013-56733090194_106600/</t>
        </is>
      </c>
      <c r="E3399" t="n">
        <v>4</v>
      </c>
      <c r="J3399" t="inlineStr">
        <is>
          <t>Palma de Mallorca</t>
        </is>
      </c>
      <c r="S3399" t="n">
        <v>640000</v>
      </c>
      <c r="AH3399" t="inlineStr">
        <is>
          <t>Quelle: Pisos.com</t>
        </is>
      </c>
    </row>
    <row r="3400">
      <c r="A3400" t="n">
        <v>3213</v>
      </c>
      <c r="B3400" t="inlineStr">
        <is>
          <t>Casa en Son Vida</t>
        </is>
      </c>
      <c r="C3400" t="inlineStr">
        <is>
          <t>https://www.pisos.com/comprar/casa-ponent_son_vida07013-56712602181_105600/</t>
        </is>
      </c>
      <c r="E3400" t="n">
        <v>5</v>
      </c>
      <c r="J3400" t="inlineStr">
        <is>
          <t>Palma de Mallorca</t>
        </is>
      </c>
      <c r="K3400" t="n">
        <v>9.699999999999999</v>
      </c>
      <c r="L3400" t="n">
        <v>14</v>
      </c>
      <c r="M3400" t="n">
        <v>52.5</v>
      </c>
      <c r="N3400" t="n">
        <v>47</v>
      </c>
      <c r="O3400" t="n">
        <v>32.1</v>
      </c>
      <c r="P3400" t="n">
        <v>36</v>
      </c>
      <c r="Q3400" t="n">
        <v>50.2</v>
      </c>
      <c r="R3400" t="n">
        <v>44</v>
      </c>
      <c r="S3400" t="n">
        <v>5500000</v>
      </c>
      <c r="AH3400" t="inlineStr">
        <is>
          <t>Quelle: Pisos.com</t>
        </is>
      </c>
    </row>
    <row r="3401">
      <c r="A3401" t="n">
        <v>3214</v>
      </c>
      <c r="B3401" t="inlineStr">
        <is>
          <t>Casa en Sant Agustí</t>
        </is>
      </c>
      <c r="C3401" t="inlineStr">
        <is>
          <t>https://www.pisos.com/comprar/casa-ponent_sant_agusti-56685244113_105600/</t>
        </is>
      </c>
      <c r="E3401" t="n">
        <v>11</v>
      </c>
      <c r="J3401" t="inlineStr">
        <is>
          <t>Palma de Mallorca</t>
        </is>
      </c>
      <c r="K3401" t="n">
        <v>9.699999999999999</v>
      </c>
      <c r="L3401" t="n">
        <v>14</v>
      </c>
      <c r="M3401" t="n">
        <v>52.5</v>
      </c>
      <c r="N3401" t="n">
        <v>47</v>
      </c>
      <c r="O3401" t="n">
        <v>32.1</v>
      </c>
      <c r="P3401" t="n">
        <v>36</v>
      </c>
      <c r="Q3401" t="n">
        <v>50.2</v>
      </c>
      <c r="R3401" t="n">
        <v>44</v>
      </c>
      <c r="S3401" t="n">
        <v>3500000</v>
      </c>
      <c r="AH3401" t="inlineStr">
        <is>
          <t>Quelle: Pisos.com</t>
        </is>
      </c>
    </row>
    <row r="3402">
      <c r="A3402" t="n">
        <v>3215</v>
      </c>
      <c r="B3402" t="inlineStr">
        <is>
          <t>Casa en La Bonanova-Porto Pi</t>
        </is>
      </c>
      <c r="C3402" t="inlineStr">
        <is>
          <t>https://www.pisos.com/comprar/casa-la_bonanova_porto_pi07015-56680488736_105600/</t>
        </is>
      </c>
      <c r="E3402" t="n">
        <v>5</v>
      </c>
      <c r="J3402" t="inlineStr">
        <is>
          <t>Palma de Mallorca</t>
        </is>
      </c>
      <c r="K3402" t="n">
        <v>9.699999999999999</v>
      </c>
      <c r="L3402" t="n">
        <v>14</v>
      </c>
      <c r="M3402" t="n">
        <v>52.5</v>
      </c>
      <c r="N3402" t="n">
        <v>47</v>
      </c>
      <c r="O3402" t="n">
        <v>32.1</v>
      </c>
      <c r="P3402" t="n">
        <v>36</v>
      </c>
      <c r="Q3402" t="n">
        <v>50.2</v>
      </c>
      <c r="R3402" t="n">
        <v>44</v>
      </c>
      <c r="S3402" t="n">
        <v>3350000</v>
      </c>
      <c r="AH3402" t="inlineStr">
        <is>
          <t>Quelle: Pisos.com</t>
        </is>
      </c>
    </row>
    <row r="3403">
      <c r="A3403" t="n">
        <v>3216</v>
      </c>
      <c r="B3403" t="inlineStr">
        <is>
          <t>Casa en Son Rapinya-Los Almendros</t>
        </is>
      </c>
      <c r="C3403" t="inlineStr">
        <is>
          <t>https://www.pisos.com/comprar/casa-son_rapinya_los_almendros07013-56712267448_105600/</t>
        </is>
      </c>
      <c r="E3403" t="n">
        <v>1</v>
      </c>
      <c r="J3403" t="inlineStr">
        <is>
          <t>Palma de Mallorca</t>
        </is>
      </c>
      <c r="K3403" t="n">
        <v>9.699999999999999</v>
      </c>
      <c r="L3403" t="n">
        <v>14</v>
      </c>
      <c r="M3403" t="n">
        <v>52.5</v>
      </c>
      <c r="N3403" t="n">
        <v>47</v>
      </c>
      <c r="O3403" t="n">
        <v>32.1</v>
      </c>
      <c r="P3403" t="n">
        <v>36</v>
      </c>
      <c r="Q3403" t="n">
        <v>50.2</v>
      </c>
      <c r="R3403" t="n">
        <v>44</v>
      </c>
      <c r="S3403" t="n">
        <v>2000000</v>
      </c>
      <c r="AH3403" t="inlineStr">
        <is>
          <t>Quelle: Pisos.com</t>
        </is>
      </c>
    </row>
    <row r="3404">
      <c r="A3404" t="n">
        <v>3217</v>
      </c>
      <c r="B3404" t="inlineStr">
        <is>
          <t>Casa en S'Arenal</t>
        </is>
      </c>
      <c r="C3404" t="inlineStr">
        <is>
          <t>https://www.pisos.com/comprar/casa-platja_de_palma_sarenal07600-56670034220_105600/</t>
        </is>
      </c>
      <c r="E3404" t="n">
        <v>8</v>
      </c>
      <c r="J3404" t="inlineStr">
        <is>
          <t>Palma de Mallorca</t>
        </is>
      </c>
      <c r="K3404" t="n">
        <v>9.699999999999999</v>
      </c>
      <c r="L3404" t="n">
        <v>14</v>
      </c>
      <c r="M3404" t="n">
        <v>52.5</v>
      </c>
      <c r="N3404" t="n">
        <v>47</v>
      </c>
      <c r="O3404" t="n">
        <v>32.1</v>
      </c>
      <c r="P3404" t="n">
        <v>36</v>
      </c>
      <c r="Q3404" t="n">
        <v>50.2</v>
      </c>
      <c r="R3404" t="n">
        <v>44</v>
      </c>
      <c r="S3404" t="n">
        <v>1800000</v>
      </c>
      <c r="AH3404" t="inlineStr">
        <is>
          <t>Quelle: Pisos.com</t>
        </is>
      </c>
    </row>
    <row r="3405">
      <c r="A3405" t="n">
        <v>3218</v>
      </c>
      <c r="B3405" t="inlineStr">
        <is>
          <t>Casa en El Coll d'en Rabassa</t>
        </is>
      </c>
      <c r="C3405" t="inlineStr">
        <is>
          <t>https://www.pisos.com/comprar/casa-el_coll_en_rabassa07007-56669408858_105600/</t>
        </is>
      </c>
      <c r="E3405" t="n">
        <v>5</v>
      </c>
      <c r="J3405" t="inlineStr">
        <is>
          <t>Palma de Mallorca</t>
        </is>
      </c>
      <c r="K3405" t="n">
        <v>9.699999999999999</v>
      </c>
      <c r="L3405" t="n">
        <v>14</v>
      </c>
      <c r="M3405" t="n">
        <v>52.5</v>
      </c>
      <c r="N3405" t="n">
        <v>47</v>
      </c>
      <c r="O3405" t="n">
        <v>32.1</v>
      </c>
      <c r="P3405" t="n">
        <v>36</v>
      </c>
      <c r="Q3405" t="n">
        <v>50.2</v>
      </c>
      <c r="R3405" t="n">
        <v>44</v>
      </c>
      <c r="S3405" t="n">
        <v>3450000</v>
      </c>
      <c r="AH3405" t="inlineStr">
        <is>
          <t>Quelle: Pisos.com</t>
        </is>
      </c>
    </row>
    <row r="3406">
      <c r="A3406" t="n">
        <v>3219</v>
      </c>
      <c r="B3406" t="inlineStr">
        <is>
          <t>Casa en Sant Jordi</t>
        </is>
      </c>
      <c r="C3406" t="inlineStr">
        <is>
          <t>https://www.pisos.com/comprar/casa-llevant_sant_jordi07199-56676721929_105600/</t>
        </is>
      </c>
      <c r="E3406" t="n">
        <v>4</v>
      </c>
      <c r="J3406" t="inlineStr">
        <is>
          <t>Palma de Mallorca</t>
        </is>
      </c>
      <c r="K3406" t="n">
        <v>9.699999999999999</v>
      </c>
      <c r="L3406" t="n">
        <v>14</v>
      </c>
      <c r="M3406" t="n">
        <v>52.5</v>
      </c>
      <c r="N3406" t="n">
        <v>47</v>
      </c>
      <c r="O3406" t="n">
        <v>32.1</v>
      </c>
      <c r="P3406" t="n">
        <v>36</v>
      </c>
      <c r="Q3406" t="n">
        <v>50.2</v>
      </c>
      <c r="R3406" t="n">
        <v>44</v>
      </c>
      <c r="S3406" t="n">
        <v>2640000</v>
      </c>
      <c r="AH3406" t="inlineStr">
        <is>
          <t>Quelle: Pisos.com</t>
        </is>
      </c>
    </row>
    <row r="3407">
      <c r="A3407" t="n">
        <v>3220</v>
      </c>
      <c r="B3407" t="inlineStr">
        <is>
          <t>Casa en Gènova</t>
        </is>
      </c>
      <c r="C3407" t="inlineStr">
        <is>
          <t>https://www.pisos.com/comprar/casa-ponent_genova07015-56764319719_105600/</t>
        </is>
      </c>
      <c r="E3407" t="n">
        <v>4</v>
      </c>
      <c r="J3407" t="inlineStr">
        <is>
          <t>Palma de Mallorca</t>
        </is>
      </c>
      <c r="K3407" t="n">
        <v>9.699999999999999</v>
      </c>
      <c r="L3407" t="n">
        <v>14</v>
      </c>
      <c r="M3407" t="n">
        <v>52.5</v>
      </c>
      <c r="N3407" t="n">
        <v>47</v>
      </c>
      <c r="O3407" t="n">
        <v>32.1</v>
      </c>
      <c r="P3407" t="n">
        <v>36</v>
      </c>
      <c r="Q3407" t="n">
        <v>50.2</v>
      </c>
      <c r="R3407" t="n">
        <v>44</v>
      </c>
      <c r="S3407" t="n">
        <v>4100000</v>
      </c>
      <c r="AH3407" t="inlineStr">
        <is>
          <t>Quelle: Pisos.com</t>
        </is>
      </c>
    </row>
    <row r="3408">
      <c r="A3408" t="n">
        <v>3221</v>
      </c>
      <c r="B3408" t="inlineStr">
        <is>
          <t>Casa en Son Vida</t>
        </is>
      </c>
      <c r="C3408" t="inlineStr">
        <is>
          <t>https://www.pisos.com/comprar/casa-ponent_son_vida07013-56704769837_105600/</t>
        </is>
      </c>
      <c r="E3408" t="n">
        <v>6</v>
      </c>
      <c r="J3408" t="inlineStr">
        <is>
          <t>Palma de Mallorca</t>
        </is>
      </c>
      <c r="K3408" t="n">
        <v>9.699999999999999</v>
      </c>
      <c r="L3408" t="n">
        <v>14</v>
      </c>
      <c r="M3408" t="n">
        <v>52.5</v>
      </c>
      <c r="N3408" t="n">
        <v>47</v>
      </c>
      <c r="O3408" t="n">
        <v>32.1</v>
      </c>
      <c r="P3408" t="n">
        <v>36</v>
      </c>
      <c r="Q3408" t="n">
        <v>50.2</v>
      </c>
      <c r="R3408" t="n">
        <v>44</v>
      </c>
      <c r="S3408" t="n">
        <v>4970000</v>
      </c>
      <c r="AH3408" t="inlineStr">
        <is>
          <t>Quelle: Pisos.com</t>
        </is>
      </c>
    </row>
    <row r="3409">
      <c r="A3409" t="n">
        <v>3222</v>
      </c>
      <c r="B3409" t="inlineStr">
        <is>
          <t>Casa en Son Rapinya-Los Almendros</t>
        </is>
      </c>
      <c r="C3409" t="inlineStr">
        <is>
          <t>https://www.pisos.com/comprar/casa-son_rapinya_los_almendros07013-56754701084_105600/</t>
        </is>
      </c>
      <c r="E3409" t="n">
        <v>4</v>
      </c>
      <c r="J3409" t="inlineStr">
        <is>
          <t>Palma de Mallorca</t>
        </is>
      </c>
      <c r="S3409" t="n">
        <v>880000</v>
      </c>
      <c r="AH3409" t="inlineStr">
        <is>
          <t>Quelle: Pisos.com</t>
        </is>
      </c>
    </row>
    <row r="3410">
      <c r="A3410" t="n">
        <v>3223</v>
      </c>
      <c r="B3410" t="inlineStr">
        <is>
          <t>Casa en Sant Jordi</t>
        </is>
      </c>
      <c r="C3410" t="inlineStr">
        <is>
          <t>https://www.pisos.com/comprar/casa-llevant_sant_jordi07199-56681691529_105600/</t>
        </is>
      </c>
      <c r="E3410" t="n">
        <v>4</v>
      </c>
      <c r="J3410" t="inlineStr">
        <is>
          <t>Palma de Mallorca</t>
        </is>
      </c>
      <c r="K3410" t="n">
        <v>9.699999999999999</v>
      </c>
      <c r="L3410" t="n">
        <v>14</v>
      </c>
      <c r="M3410" t="n">
        <v>52.5</v>
      </c>
      <c r="N3410" t="n">
        <v>47</v>
      </c>
      <c r="O3410" t="n">
        <v>32.1</v>
      </c>
      <c r="P3410" t="n">
        <v>36</v>
      </c>
      <c r="Q3410" t="n">
        <v>50.2</v>
      </c>
      <c r="R3410" t="n">
        <v>44</v>
      </c>
      <c r="S3410" t="n">
        <v>3495000</v>
      </c>
      <c r="AH3410" t="inlineStr">
        <is>
          <t>Quelle: Pisos.com</t>
        </is>
      </c>
    </row>
    <row r="3411">
      <c r="A3411" t="n">
        <v>3224</v>
      </c>
      <c r="B3411" t="inlineStr">
        <is>
          <t>Casa en Sa Casa Blanca</t>
        </is>
      </c>
      <c r="C3411" t="inlineStr">
        <is>
          <t>https://www.pisos.com/comprar/casa-llevant_sa_casa_blanca07198-56710072641_105600/</t>
        </is>
      </c>
      <c r="E3411" t="n">
        <v>5</v>
      </c>
      <c r="J3411" t="inlineStr">
        <is>
          <t>Palma de Mallorca</t>
        </is>
      </c>
      <c r="K3411" t="n">
        <v>9.699999999999999</v>
      </c>
      <c r="L3411" t="n">
        <v>14</v>
      </c>
      <c r="M3411" t="n">
        <v>52.5</v>
      </c>
      <c r="N3411" t="n">
        <v>47</v>
      </c>
      <c r="O3411" t="n">
        <v>32.1</v>
      </c>
      <c r="P3411" t="n">
        <v>36</v>
      </c>
      <c r="Q3411" t="n">
        <v>50.2</v>
      </c>
      <c r="R3411" t="n">
        <v>44</v>
      </c>
      <c r="S3411" t="n">
        <v>1700000</v>
      </c>
      <c r="AH3411" t="inlineStr">
        <is>
          <t>Quelle: Pisos.com</t>
        </is>
      </c>
    </row>
    <row r="3412">
      <c r="A3412" t="n">
        <v>3225</v>
      </c>
      <c r="B3412" t="inlineStr">
        <is>
          <t>Casa en Gènova</t>
        </is>
      </c>
      <c r="C3412" t="inlineStr">
        <is>
          <t>https://www.pisos.com/comprar/casa-ponent_genova07015-56697137540_105600/</t>
        </is>
      </c>
      <c r="E3412" t="n">
        <v>11</v>
      </c>
      <c r="J3412" t="inlineStr">
        <is>
          <t>Palma de Mallorca</t>
        </is>
      </c>
      <c r="K3412" t="n">
        <v>9.699999999999999</v>
      </c>
      <c r="L3412" t="n">
        <v>14</v>
      </c>
      <c r="M3412" t="n">
        <v>52.5</v>
      </c>
      <c r="N3412" t="n">
        <v>47</v>
      </c>
      <c r="O3412" t="n">
        <v>32.1</v>
      </c>
      <c r="P3412" t="n">
        <v>36</v>
      </c>
      <c r="Q3412" t="n">
        <v>50.2</v>
      </c>
      <c r="R3412" t="n">
        <v>44</v>
      </c>
      <c r="S3412" t="n">
        <v>12900000</v>
      </c>
      <c r="AH3412" t="inlineStr">
        <is>
          <t>Quelle: Pisos.com</t>
        </is>
      </c>
    </row>
    <row r="3413">
      <c r="A3413" t="n">
        <v>3226</v>
      </c>
      <c r="B3413" t="inlineStr">
        <is>
          <t>Casa en Son Dureta</t>
        </is>
      </c>
      <c r="C3413" t="inlineStr">
        <is>
          <t>https://www.pisos.com/comprar/casa-son_dureta07014-56684366110_105600/</t>
        </is>
      </c>
      <c r="E3413" t="n">
        <v>4</v>
      </c>
      <c r="J3413" t="inlineStr">
        <is>
          <t>Palma de Mallorca</t>
        </is>
      </c>
      <c r="K3413" t="n">
        <v>9.699999999999999</v>
      </c>
      <c r="L3413" t="n">
        <v>14</v>
      </c>
      <c r="M3413" t="n">
        <v>52.5</v>
      </c>
      <c r="N3413" t="n">
        <v>47</v>
      </c>
      <c r="O3413" t="n">
        <v>32.1</v>
      </c>
      <c r="P3413" t="n">
        <v>36</v>
      </c>
      <c r="Q3413" t="n">
        <v>50.2</v>
      </c>
      <c r="R3413" t="n">
        <v>44</v>
      </c>
      <c r="S3413" t="n">
        <v>1950000</v>
      </c>
      <c r="AH3413" t="inlineStr">
        <is>
          <t>Quelle: Pisos.com</t>
        </is>
      </c>
    </row>
    <row r="3414">
      <c r="A3414" t="n">
        <v>3227</v>
      </c>
      <c r="B3414" t="inlineStr">
        <is>
          <t>Casa en Son Sardina</t>
        </is>
      </c>
      <c r="C3414" t="inlineStr">
        <is>
          <t>https://www.pisos.com/comprar/casa-nord_son_sardina07120-56710611497_105600/</t>
        </is>
      </c>
      <c r="E3414" t="n">
        <v>7</v>
      </c>
      <c r="J3414" t="inlineStr">
        <is>
          <t>Palma de Mallorca</t>
        </is>
      </c>
      <c r="K3414" t="n">
        <v>9.699999999999999</v>
      </c>
      <c r="L3414" t="n">
        <v>14</v>
      </c>
      <c r="M3414" t="n">
        <v>52.5</v>
      </c>
      <c r="N3414" t="n">
        <v>47</v>
      </c>
      <c r="O3414" t="n">
        <v>32.1</v>
      </c>
      <c r="P3414" t="n">
        <v>36</v>
      </c>
      <c r="Q3414" t="n">
        <v>50.2</v>
      </c>
      <c r="R3414" t="n">
        <v>44</v>
      </c>
      <c r="S3414" t="n">
        <v>1690000</v>
      </c>
      <c r="AH3414" t="inlineStr">
        <is>
          <t>Quelle: Pisos.com</t>
        </is>
      </c>
    </row>
    <row r="3415">
      <c r="A3415" t="n">
        <v>3228</v>
      </c>
      <c r="B3415" t="inlineStr">
        <is>
          <t>Casa en Les Meravelles</t>
        </is>
      </c>
      <c r="C3415" t="inlineStr">
        <is>
          <t>https://www.pisos.com/comprar/casa-les_meravelles07610-56698298685_105600/</t>
        </is>
      </c>
      <c r="E3415" t="n">
        <v>4</v>
      </c>
      <c r="J3415" t="inlineStr">
        <is>
          <t>Palma de Mallorca</t>
        </is>
      </c>
      <c r="K3415" t="n">
        <v>9.699999999999999</v>
      </c>
      <c r="L3415" t="n">
        <v>14</v>
      </c>
      <c r="M3415" t="n">
        <v>52.5</v>
      </c>
      <c r="N3415" t="n">
        <v>47</v>
      </c>
      <c r="O3415" t="n">
        <v>32.1</v>
      </c>
      <c r="P3415" t="n">
        <v>36</v>
      </c>
      <c r="Q3415" t="n">
        <v>50.2</v>
      </c>
      <c r="R3415" t="n">
        <v>44</v>
      </c>
      <c r="S3415" t="n">
        <v>1650000</v>
      </c>
      <c r="AH3415" t="inlineStr">
        <is>
          <t>Quelle: Pisos.com</t>
        </is>
      </c>
    </row>
    <row r="3416">
      <c r="A3416" t="n">
        <v>3229</v>
      </c>
      <c r="B3416" t="inlineStr">
        <is>
          <t>Casa en Son Espanyolet</t>
        </is>
      </c>
      <c r="C3416" t="inlineStr">
        <is>
          <t>https://www.pisos.com/comprar/casa-ponent_son_espanyolet07014-56709146899_105600/</t>
        </is>
      </c>
      <c r="E3416" t="n">
        <v>2</v>
      </c>
      <c r="J3416" t="inlineStr">
        <is>
          <t>Palma de Mallorca</t>
        </is>
      </c>
      <c r="S3416" t="n">
        <v>435000</v>
      </c>
      <c r="AH3416" t="inlineStr">
        <is>
          <t>Quelle: Pisos.com</t>
        </is>
      </c>
    </row>
    <row r="3417">
      <c r="A3417" t="n">
        <v>3230</v>
      </c>
      <c r="B3417" t="inlineStr">
        <is>
          <t>Casa en Sant Jordi</t>
        </is>
      </c>
      <c r="C3417" t="inlineStr">
        <is>
          <t>https://www.pisos.com/comprar/casa-llevant_sant_jordi07199-56713810727_105600/</t>
        </is>
      </c>
      <c r="E3417" t="n">
        <v>4</v>
      </c>
      <c r="J3417" t="inlineStr">
        <is>
          <t>Palma de Mallorca</t>
        </is>
      </c>
      <c r="K3417" t="n">
        <v>9.699999999999999</v>
      </c>
      <c r="L3417" t="n">
        <v>14</v>
      </c>
      <c r="M3417" t="n">
        <v>52.5</v>
      </c>
      <c r="N3417" t="n">
        <v>47</v>
      </c>
      <c r="O3417" t="n">
        <v>32.1</v>
      </c>
      <c r="P3417" t="n">
        <v>36</v>
      </c>
      <c r="Q3417" t="n">
        <v>50.2</v>
      </c>
      <c r="R3417" t="n">
        <v>44</v>
      </c>
      <c r="S3417" t="n">
        <v>2790000</v>
      </c>
      <c r="AH3417" t="inlineStr">
        <is>
          <t>Quelle: Pisos.com</t>
        </is>
      </c>
    </row>
    <row r="3418">
      <c r="A3418" t="n">
        <v>3231</v>
      </c>
      <c r="B3418" t="inlineStr">
        <is>
          <t>Casa en Establiments</t>
        </is>
      </c>
      <c r="C3418" t="inlineStr">
        <is>
          <t>https://www.pisos.com/comprar/casa-establiments07010-56746900446_105600/</t>
        </is>
      </c>
      <c r="E3418" t="n">
        <v>3</v>
      </c>
      <c r="J3418" t="inlineStr">
        <is>
          <t>Palma de Mallorca</t>
        </is>
      </c>
      <c r="K3418" t="n">
        <v>9.699999999999999</v>
      </c>
      <c r="L3418" t="n">
        <v>14</v>
      </c>
      <c r="M3418" t="n">
        <v>52.5</v>
      </c>
      <c r="N3418" t="n">
        <v>47</v>
      </c>
      <c r="O3418" t="n">
        <v>32.1</v>
      </c>
      <c r="P3418" t="n">
        <v>36</v>
      </c>
      <c r="Q3418" t="n">
        <v>50.2</v>
      </c>
      <c r="R3418" t="n">
        <v>44</v>
      </c>
      <c r="S3418" t="n">
        <v>3050000</v>
      </c>
      <c r="AH3418" t="inlineStr">
        <is>
          <t>Quelle: Pisos.com</t>
        </is>
      </c>
    </row>
    <row r="3419">
      <c r="A3419" t="n">
        <v>3232</v>
      </c>
      <c r="B3419" t="inlineStr">
        <is>
          <t>Casa en Les Meravelles</t>
        </is>
      </c>
      <c r="C3419" t="inlineStr">
        <is>
          <t>https://www.pisos.com/comprar/casa-les_meravelles07610-56727381693_105600/</t>
        </is>
      </c>
      <c r="E3419" t="n">
        <v>4</v>
      </c>
      <c r="J3419" t="inlineStr">
        <is>
          <t>Palma de Mallorca</t>
        </is>
      </c>
      <c r="K3419" t="n">
        <v>9.699999999999999</v>
      </c>
      <c r="L3419" t="n">
        <v>14</v>
      </c>
      <c r="M3419" t="n">
        <v>52.5</v>
      </c>
      <c r="N3419" t="n">
        <v>47</v>
      </c>
      <c r="O3419" t="n">
        <v>32.1</v>
      </c>
      <c r="P3419" t="n">
        <v>36</v>
      </c>
      <c r="Q3419" t="n">
        <v>50.2</v>
      </c>
      <c r="R3419" t="n">
        <v>44</v>
      </c>
      <c r="S3419" t="n">
        <v>1790000</v>
      </c>
      <c r="AH3419" t="inlineStr">
        <is>
          <t>Quelle: Pisos.com</t>
        </is>
      </c>
    </row>
    <row r="3420">
      <c r="A3420" t="n">
        <v>3233</v>
      </c>
      <c r="B3420" t="inlineStr">
        <is>
          <t>Casa en El Terreno</t>
        </is>
      </c>
      <c r="C3420" t="inlineStr">
        <is>
          <t>https://www.pisos.com/comprar/casa-el_terreno07015-56711598003_105600/</t>
        </is>
      </c>
      <c r="E3420" t="n">
        <v>5</v>
      </c>
      <c r="J3420" t="inlineStr">
        <is>
          <t>Palma de Mallorca</t>
        </is>
      </c>
      <c r="K3420" t="n">
        <v>9.699999999999999</v>
      </c>
      <c r="L3420" t="n">
        <v>14</v>
      </c>
      <c r="M3420" t="n">
        <v>52.5</v>
      </c>
      <c r="N3420" t="n">
        <v>47</v>
      </c>
      <c r="O3420" t="n">
        <v>32.1</v>
      </c>
      <c r="P3420" t="n">
        <v>36</v>
      </c>
      <c r="Q3420" t="n">
        <v>50.2</v>
      </c>
      <c r="R3420" t="n">
        <v>44</v>
      </c>
      <c r="S3420" t="n">
        <v>10000000</v>
      </c>
      <c r="AH3420" t="inlineStr">
        <is>
          <t>Quelle: Pisos.com</t>
        </is>
      </c>
    </row>
    <row r="3421">
      <c r="A3421" t="n">
        <v>3234</v>
      </c>
      <c r="B3421" t="inlineStr">
        <is>
          <t>Casa en Gènova</t>
        </is>
      </c>
      <c r="C3421" t="inlineStr">
        <is>
          <t>https://www.pisos.com/comprar/casa-ponent_genova07015-56752174253_105600/</t>
        </is>
      </c>
      <c r="E3421" t="n">
        <v>5</v>
      </c>
      <c r="J3421" t="inlineStr">
        <is>
          <t>Palma de Mallorca</t>
        </is>
      </c>
      <c r="K3421" t="n">
        <v>9.699999999999999</v>
      </c>
      <c r="L3421" t="n">
        <v>14</v>
      </c>
      <c r="M3421" t="n">
        <v>52.5</v>
      </c>
      <c r="N3421" t="n">
        <v>47</v>
      </c>
      <c r="O3421" t="n">
        <v>32.1</v>
      </c>
      <c r="P3421" t="n">
        <v>36</v>
      </c>
      <c r="Q3421" t="n">
        <v>50.2</v>
      </c>
      <c r="R3421" t="n">
        <v>44</v>
      </c>
      <c r="S3421" t="n">
        <v>3200000</v>
      </c>
      <c r="AH3421" t="inlineStr">
        <is>
          <t>Quelle: Pisos.com</t>
        </is>
      </c>
    </row>
    <row r="3422">
      <c r="A3422" t="n">
        <v>3235</v>
      </c>
      <c r="B3422" t="inlineStr">
        <is>
          <t>Casa en Son Sardina</t>
        </is>
      </c>
      <c r="C3422" t="inlineStr">
        <is>
          <t>https://www.pisos.com/comprar/casa-nord_son_sardina07120-56671775654_105600/</t>
        </is>
      </c>
      <c r="E3422" t="n">
        <v>6</v>
      </c>
      <c r="J3422" t="inlineStr">
        <is>
          <t>Palma de Mallorca</t>
        </is>
      </c>
      <c r="K3422" t="n">
        <v>9.699999999999999</v>
      </c>
      <c r="L3422" t="n">
        <v>14</v>
      </c>
      <c r="M3422" t="n">
        <v>52.5</v>
      </c>
      <c r="N3422" t="n">
        <v>47</v>
      </c>
      <c r="O3422" t="n">
        <v>32.1</v>
      </c>
      <c r="P3422" t="n">
        <v>36</v>
      </c>
      <c r="Q3422" t="n">
        <v>50.2</v>
      </c>
      <c r="R3422" t="n">
        <v>44</v>
      </c>
      <c r="S3422" t="n">
        <v>2600000</v>
      </c>
      <c r="AH3422" t="inlineStr">
        <is>
          <t>Quelle: Pisos.com</t>
        </is>
      </c>
    </row>
    <row r="3423">
      <c r="A3423" t="n">
        <v>3236</v>
      </c>
      <c r="B3423" t="inlineStr">
        <is>
          <t>Casa en Cas Capiscol</t>
        </is>
      </c>
      <c r="C3423" t="inlineStr">
        <is>
          <t>https://www.pisos.com/comprar/casa-olivera-56747073780_100500/</t>
        </is>
      </c>
      <c r="E3423" t="n">
        <v>4</v>
      </c>
      <c r="J3423" t="inlineStr">
        <is>
          <t>Palma de Mallorca</t>
        </is>
      </c>
      <c r="S3423" t="n">
        <v>680000</v>
      </c>
      <c r="AH3423" t="inlineStr">
        <is>
          <t>Quelle: Pisos.com</t>
        </is>
      </c>
    </row>
    <row r="3424">
      <c r="A3424" t="n">
        <v>3237</v>
      </c>
      <c r="B3424" t="inlineStr">
        <is>
          <t>Chalet en La Llotja-Born</t>
        </is>
      </c>
      <c r="C3424" t="inlineStr">
        <is>
          <t>https://www.pisos.com/comprar/chalet-la_llotja_born-56717341499_106600/</t>
        </is>
      </c>
      <c r="E3424" t="n">
        <v>8</v>
      </c>
      <c r="J3424" t="inlineStr">
        <is>
          <t>Palma de Mallorca</t>
        </is>
      </c>
      <c r="K3424" t="n">
        <v>9.699999999999999</v>
      </c>
      <c r="L3424" t="n">
        <v>14</v>
      </c>
      <c r="M3424" t="n">
        <v>52.5</v>
      </c>
      <c r="N3424" t="n">
        <v>47</v>
      </c>
      <c r="O3424" t="n">
        <v>32.1</v>
      </c>
      <c r="P3424" t="n">
        <v>36</v>
      </c>
      <c r="Q3424" t="n">
        <v>50.2</v>
      </c>
      <c r="R3424" t="n">
        <v>44</v>
      </c>
      <c r="S3424" t="n">
        <v>1898000</v>
      </c>
      <c r="AH3424" t="inlineStr">
        <is>
          <t>Quelle: Pisos.com</t>
        </is>
      </c>
    </row>
    <row r="3425">
      <c r="A3425" t="n">
        <v>3238</v>
      </c>
      <c r="B3425" t="inlineStr">
        <is>
          <t>Chalet en Palma de Mallorca</t>
        </is>
      </c>
      <c r="C3425" t="inlineStr">
        <is>
          <t>https://www.pisos.com/comprar/chalet-palma_de_mallorca-56695338171_106500/</t>
        </is>
      </c>
      <c r="E3425" t="n">
        <v>4</v>
      </c>
      <c r="J3425" t="inlineStr">
        <is>
          <t>Palma de Mallorca</t>
        </is>
      </c>
      <c r="S3425" t="n">
        <v>885000</v>
      </c>
      <c r="AH3425" t="inlineStr">
        <is>
          <t>Quelle: Pisos.com</t>
        </is>
      </c>
    </row>
    <row r="3426">
      <c r="A3426" t="n">
        <v>3239</v>
      </c>
      <c r="B3426" t="inlineStr">
        <is>
          <t>Casa en Terreno</t>
        </is>
      </c>
      <c r="C3426" t="inlineStr">
        <is>
          <t>https://www.pisos.com/comprar/casa-la_bonanova_porto_pi07015-56708136096_106000/</t>
        </is>
      </c>
      <c r="E3426" t="n">
        <v>2</v>
      </c>
      <c r="J3426" t="inlineStr">
        <is>
          <t>Palma de Mallorca</t>
        </is>
      </c>
      <c r="S3426" t="n">
        <v>840000</v>
      </c>
      <c r="AH3426" t="inlineStr">
        <is>
          <t>Quelle: Pisos.com</t>
        </is>
      </c>
    </row>
    <row r="3427">
      <c r="A3427" t="n">
        <v>3240</v>
      </c>
      <c r="B3427" t="inlineStr">
        <is>
          <t>Chalet en Sant Agustí</t>
        </is>
      </c>
      <c r="C3427" t="inlineStr">
        <is>
          <t>https://www.pisos.com/comprar/chalet-ponent_sant_agusti-56723119841_106600/</t>
        </is>
      </c>
      <c r="E3427" t="n">
        <v>11</v>
      </c>
      <c r="J3427" t="inlineStr">
        <is>
          <t>Palma de Mallorca</t>
        </is>
      </c>
      <c r="K3427" t="n">
        <v>9.699999999999999</v>
      </c>
      <c r="L3427" t="n">
        <v>14</v>
      </c>
      <c r="M3427" t="n">
        <v>52.5</v>
      </c>
      <c r="N3427" t="n">
        <v>47</v>
      </c>
      <c r="O3427" t="n">
        <v>32.1</v>
      </c>
      <c r="P3427" t="n">
        <v>36</v>
      </c>
      <c r="Q3427" t="n">
        <v>50.2</v>
      </c>
      <c r="R3427" t="n">
        <v>44</v>
      </c>
      <c r="S3427" t="n">
        <v>3500000</v>
      </c>
      <c r="AH3427" t="inlineStr">
        <is>
          <t>Quelle: Pisos.com</t>
        </is>
      </c>
    </row>
    <row r="3428">
      <c r="A3428" t="n">
        <v>3241</v>
      </c>
      <c r="B3428" t="inlineStr">
        <is>
          <t>Chalet en Es Camp d'en Serralta</t>
        </is>
      </c>
      <c r="C3428" t="inlineStr">
        <is>
          <t>https://www.pisos.com/comprar/chalet-es_camp_en_serralta07013-56671021123_106600/</t>
        </is>
      </c>
      <c r="E3428" t="n">
        <v>3</v>
      </c>
      <c r="J3428" t="inlineStr">
        <is>
          <t>Palma de Mallorca</t>
        </is>
      </c>
      <c r="S3428" t="n">
        <v>995000</v>
      </c>
      <c r="AH3428" t="inlineStr">
        <is>
          <t>Quelle: Pisos.com</t>
        </is>
      </c>
    </row>
    <row r="3429">
      <c r="A3429" t="n">
        <v>3242</v>
      </c>
      <c r="B3429" t="inlineStr">
        <is>
          <t>Chalet en Sant Jordi</t>
        </is>
      </c>
      <c r="C3429" t="inlineStr">
        <is>
          <t>https://www.pisos.com/comprar/chalet-llevant_sant_jordi-56690156637_106600/</t>
        </is>
      </c>
      <c r="E3429" t="n">
        <v>4</v>
      </c>
      <c r="J3429" t="inlineStr">
        <is>
          <t>Palma de Mallorca</t>
        </is>
      </c>
      <c r="K3429" t="n">
        <v>9.699999999999999</v>
      </c>
      <c r="L3429" t="n">
        <v>14</v>
      </c>
      <c r="M3429" t="n">
        <v>52.5</v>
      </c>
      <c r="N3429" t="n">
        <v>47</v>
      </c>
      <c r="O3429" t="n">
        <v>32.1</v>
      </c>
      <c r="P3429" t="n">
        <v>36</v>
      </c>
      <c r="Q3429" t="n">
        <v>50.2</v>
      </c>
      <c r="R3429" t="n">
        <v>44</v>
      </c>
      <c r="S3429" t="n">
        <v>2790000</v>
      </c>
      <c r="AH3429" t="inlineStr">
        <is>
          <t>Quelle: Pisos.com</t>
        </is>
      </c>
    </row>
    <row r="3430">
      <c r="A3430" t="n">
        <v>3243</v>
      </c>
      <c r="B3430" t="inlineStr">
        <is>
          <t>Chalet en Palma de Mallorca</t>
        </is>
      </c>
      <c r="C3430" t="inlineStr">
        <is>
          <t>https://www.pisos.com/comprar/chalet-palma_de_mallorca-56761189949_106500/</t>
        </is>
      </c>
      <c r="E3430" t="n">
        <v>5</v>
      </c>
      <c r="J3430" t="inlineStr">
        <is>
          <t>Palma de Mallorca</t>
        </is>
      </c>
      <c r="K3430" t="n">
        <v>9.699999999999999</v>
      </c>
      <c r="L3430" t="n">
        <v>14</v>
      </c>
      <c r="M3430" t="n">
        <v>52.5</v>
      </c>
      <c r="N3430" t="n">
        <v>47</v>
      </c>
      <c r="O3430" t="n">
        <v>32.1</v>
      </c>
      <c r="P3430" t="n">
        <v>36</v>
      </c>
      <c r="Q3430" t="n">
        <v>50.2</v>
      </c>
      <c r="R3430" t="n">
        <v>44</v>
      </c>
      <c r="S3430" t="n">
        <v>6900000</v>
      </c>
      <c r="AH3430" t="inlineStr">
        <is>
          <t>Quelle: Pisos.com</t>
        </is>
      </c>
    </row>
    <row r="3431">
      <c r="A3431" t="n">
        <v>3244</v>
      </c>
      <c r="B3431" t="inlineStr">
        <is>
          <t>Casa rústica en Sa Casa Blanca</t>
        </is>
      </c>
      <c r="C3431" t="inlineStr">
        <is>
          <t>https://www.pisos.com/comprar/casa_rustica-llevant_sa_casa_blanca07199-56739297903_106500/</t>
        </is>
      </c>
      <c r="E3431" t="n">
        <v>3</v>
      </c>
      <c r="J3431" t="inlineStr">
        <is>
          <t>Palma de Mallorca</t>
        </is>
      </c>
      <c r="S3431" t="n">
        <v>549000</v>
      </c>
      <c r="AH3431" t="inlineStr">
        <is>
          <t>Quelle: Pisos.com</t>
        </is>
      </c>
    </row>
    <row r="3432">
      <c r="A3432" t="n">
        <v>3245</v>
      </c>
      <c r="B3432" t="inlineStr">
        <is>
          <t>Casa en Gènova</t>
        </is>
      </c>
      <c r="C3432" t="inlineStr">
        <is>
          <t>https://www.pisos.com/comprar/casa-ponent_genova07015-56760222717_106600/</t>
        </is>
      </c>
      <c r="E3432" t="n">
        <v>3</v>
      </c>
      <c r="J3432" t="inlineStr">
        <is>
          <t>Palma de Mallorca</t>
        </is>
      </c>
      <c r="K3432" t="n">
        <v>9.699999999999999</v>
      </c>
      <c r="L3432" t="n">
        <v>14</v>
      </c>
      <c r="M3432" t="n">
        <v>52.5</v>
      </c>
      <c r="N3432" t="n">
        <v>47</v>
      </c>
      <c r="O3432" t="n">
        <v>32.1</v>
      </c>
      <c r="P3432" t="n">
        <v>36</v>
      </c>
      <c r="Q3432" t="n">
        <v>50.2</v>
      </c>
      <c r="R3432" t="n">
        <v>44</v>
      </c>
      <c r="S3432" t="n">
        <v>1395000</v>
      </c>
      <c r="AH3432" t="inlineStr">
        <is>
          <t>Quelle: Pisos.com</t>
        </is>
      </c>
    </row>
    <row r="3433">
      <c r="A3433" t="n">
        <v>3246</v>
      </c>
      <c r="B3433" t="inlineStr">
        <is>
          <t>Casa adosada en Palma de Mallorca</t>
        </is>
      </c>
      <c r="C3433" t="inlineStr">
        <is>
          <t>https://www.pisos.com/comprar/casa_adosada-palma_de_mallorca-56758815985_106500/</t>
        </is>
      </c>
      <c r="E3433" t="n">
        <v>3</v>
      </c>
      <c r="J3433" t="inlineStr">
        <is>
          <t>Palma de Mallorca</t>
        </is>
      </c>
      <c r="K3433" t="n">
        <v>9.699999999999999</v>
      </c>
      <c r="L3433" t="n">
        <v>14</v>
      </c>
      <c r="M3433" t="n">
        <v>52.5</v>
      </c>
      <c r="N3433" t="n">
        <v>47</v>
      </c>
      <c r="O3433" t="n">
        <v>32.1</v>
      </c>
      <c r="P3433" t="n">
        <v>36</v>
      </c>
      <c r="Q3433" t="n">
        <v>50.2</v>
      </c>
      <c r="R3433" t="n">
        <v>44</v>
      </c>
      <c r="S3433" t="n">
        <v>1490000</v>
      </c>
      <c r="AH3433" t="inlineStr">
        <is>
          <t>Quelle: Pisos.com</t>
        </is>
      </c>
    </row>
    <row r="3434">
      <c r="A3434" t="n">
        <v>3247</v>
      </c>
      <c r="B3434" t="inlineStr">
        <is>
          <t>Chalet en Palma de Mallorca</t>
        </is>
      </c>
      <c r="C3434" t="inlineStr">
        <is>
          <t>https://www.pisos.com/comprar/chalet-palma_de_mallorca-56670547574_106600/</t>
        </is>
      </c>
      <c r="E3434" t="n">
        <v>5</v>
      </c>
      <c r="J3434" t="inlineStr">
        <is>
          <t>Palma de Mallorca</t>
        </is>
      </c>
      <c r="K3434" t="n">
        <v>9.699999999999999</v>
      </c>
      <c r="L3434" t="n">
        <v>14</v>
      </c>
      <c r="M3434" t="n">
        <v>52.5</v>
      </c>
      <c r="N3434" t="n">
        <v>47</v>
      </c>
      <c r="O3434" t="n">
        <v>32.1</v>
      </c>
      <c r="P3434" t="n">
        <v>36</v>
      </c>
      <c r="Q3434" t="n">
        <v>50.2</v>
      </c>
      <c r="R3434" t="n">
        <v>44</v>
      </c>
      <c r="S3434" t="n">
        <v>4950000</v>
      </c>
      <c r="AH3434" t="inlineStr">
        <is>
          <t>Quelle: Pisos.com</t>
        </is>
      </c>
    </row>
    <row r="3435">
      <c r="A3435" t="n">
        <v>3248</v>
      </c>
      <c r="B3435" t="inlineStr">
        <is>
          <t>Chalet en Gènova</t>
        </is>
      </c>
      <c r="C3435" t="inlineStr">
        <is>
          <t>https://www.pisos.com/comprar/chalet-ponent_genova07015-55923638266_101800/</t>
        </is>
      </c>
      <c r="E3435" t="n">
        <v>3</v>
      </c>
      <c r="J3435" t="inlineStr">
        <is>
          <t>Palma de Mallorca</t>
        </is>
      </c>
      <c r="K3435" t="n">
        <v>9.699999999999999</v>
      </c>
      <c r="L3435" t="n">
        <v>14</v>
      </c>
      <c r="M3435" t="n">
        <v>52.5</v>
      </c>
      <c r="N3435" t="n">
        <v>47</v>
      </c>
      <c r="O3435" t="n">
        <v>32.1</v>
      </c>
      <c r="P3435" t="n">
        <v>36</v>
      </c>
      <c r="Q3435" t="n">
        <v>50.2</v>
      </c>
      <c r="R3435" t="n">
        <v>44</v>
      </c>
      <c r="S3435" t="n">
        <v>1200000</v>
      </c>
      <c r="AH3435" t="inlineStr">
        <is>
          <t>Quelle: Pisos.com</t>
        </is>
      </c>
    </row>
    <row r="3436">
      <c r="A3436" t="n">
        <v>3249</v>
      </c>
      <c r="B3436" t="inlineStr">
        <is>
          <t>Casa adosada en Cort</t>
        </is>
      </c>
      <c r="C3436" t="inlineStr">
        <is>
          <t>https://www.pisos.com/comprar/casa_adosada-cort07001-55835170306_106500/</t>
        </is>
      </c>
      <c r="E3436" t="n">
        <v>4</v>
      </c>
      <c r="J3436" t="inlineStr">
        <is>
          <t>Palma de Mallorca</t>
        </is>
      </c>
      <c r="K3436" t="n">
        <v>9.699999999999999</v>
      </c>
      <c r="L3436" t="n">
        <v>14</v>
      </c>
      <c r="M3436" t="n">
        <v>52.5</v>
      </c>
      <c r="N3436" t="n">
        <v>47</v>
      </c>
      <c r="O3436" t="n">
        <v>32.1</v>
      </c>
      <c r="P3436" t="n">
        <v>36</v>
      </c>
      <c r="Q3436" t="n">
        <v>50.2</v>
      </c>
      <c r="R3436" t="n">
        <v>44</v>
      </c>
      <c r="S3436" t="n">
        <v>1397000</v>
      </c>
      <c r="AH3436" t="inlineStr">
        <is>
          <t>Quelle: Pisos.com</t>
        </is>
      </c>
    </row>
    <row r="3437">
      <c r="A3437" t="n">
        <v>3250</v>
      </c>
      <c r="B3437" t="inlineStr">
        <is>
          <t>Casa adosada en Palma de Mallorca</t>
        </is>
      </c>
      <c r="C3437" t="inlineStr">
        <is>
          <t>https://www.pisos.com/comprar/casa_adosada-palma_de_mallorca-55859328601_106500/</t>
        </is>
      </c>
      <c r="E3437" t="n">
        <v>4</v>
      </c>
      <c r="J3437" t="inlineStr">
        <is>
          <t>Palma de Mallorca</t>
        </is>
      </c>
      <c r="K3437" t="n">
        <v>9.699999999999999</v>
      </c>
      <c r="L3437" t="n">
        <v>14</v>
      </c>
      <c r="M3437" t="n">
        <v>52.5</v>
      </c>
      <c r="N3437" t="n">
        <v>47</v>
      </c>
      <c r="O3437" t="n">
        <v>32.1</v>
      </c>
      <c r="P3437" t="n">
        <v>36</v>
      </c>
      <c r="Q3437" t="n">
        <v>50.2</v>
      </c>
      <c r="R3437" t="n">
        <v>44</v>
      </c>
      <c r="S3437" t="n">
        <v>1317000</v>
      </c>
      <c r="AH3437" t="inlineStr">
        <is>
          <t>Quelle: Pisos.com</t>
        </is>
      </c>
    </row>
    <row r="3438">
      <c r="A3438" t="n">
        <v>3251</v>
      </c>
      <c r="B3438" t="inlineStr">
        <is>
          <t>Casa adosada en Palma de Mallorca</t>
        </is>
      </c>
      <c r="C3438" t="inlineStr">
        <is>
          <t>https://www.pisos.com/comprar/casa_adosada-palma_de_mallorca-55918559722_106500/</t>
        </is>
      </c>
      <c r="E3438" t="n">
        <v>4</v>
      </c>
      <c r="J3438" t="inlineStr">
        <is>
          <t>Palma de Mallorca</t>
        </is>
      </c>
      <c r="K3438" t="n">
        <v>9.699999999999999</v>
      </c>
      <c r="L3438" t="n">
        <v>14</v>
      </c>
      <c r="M3438" t="n">
        <v>52.5</v>
      </c>
      <c r="N3438" t="n">
        <v>47</v>
      </c>
      <c r="O3438" t="n">
        <v>32.1</v>
      </c>
      <c r="P3438" t="n">
        <v>36</v>
      </c>
      <c r="Q3438" t="n">
        <v>50.2</v>
      </c>
      <c r="R3438" t="n">
        <v>44</v>
      </c>
      <c r="S3438" t="n">
        <v>1115000</v>
      </c>
      <c r="AH3438" t="inlineStr">
        <is>
          <t>Quelle: Pisos.com</t>
        </is>
      </c>
    </row>
    <row r="3439">
      <c r="A3439" t="n">
        <v>3252</v>
      </c>
      <c r="B3439" t="inlineStr">
        <is>
          <t>Casa rústica en El Secar de La Real</t>
        </is>
      </c>
      <c r="C3439" t="inlineStr">
        <is>
          <t>https://www.pisos.com/comprar/casa_rustica-es_camp_redo-55873680840_106700/</t>
        </is>
      </c>
      <c r="E3439" t="n">
        <v>4</v>
      </c>
      <c r="J3439" t="inlineStr">
        <is>
          <t>Palma de Mallorca</t>
        </is>
      </c>
      <c r="K3439" t="n">
        <v>9.699999999999999</v>
      </c>
      <c r="L3439" t="n">
        <v>14</v>
      </c>
      <c r="M3439" t="n">
        <v>52.5</v>
      </c>
      <c r="N3439" t="n">
        <v>47</v>
      </c>
      <c r="O3439" t="n">
        <v>32.1</v>
      </c>
      <c r="P3439" t="n">
        <v>36</v>
      </c>
      <c r="Q3439" t="n">
        <v>50.2</v>
      </c>
      <c r="R3439" t="n">
        <v>44</v>
      </c>
      <c r="S3439" t="n">
        <v>5250000</v>
      </c>
      <c r="AH3439" t="inlineStr">
        <is>
          <t>Quelle: Pisos.com</t>
        </is>
      </c>
    </row>
    <row r="3440">
      <c r="A3440" t="n">
        <v>3253</v>
      </c>
      <c r="B3440" t="inlineStr">
        <is>
          <t>Chalet en Palma de Mallorca</t>
        </is>
      </c>
      <c r="C3440" t="inlineStr">
        <is>
          <t>https://www.pisos.com/comprar/chalet-palma_de_mallorca-55922724805_106500/</t>
        </is>
      </c>
      <c r="E3440" t="n">
        <v>6</v>
      </c>
      <c r="J3440" t="inlineStr">
        <is>
          <t>Palma de Mallorca</t>
        </is>
      </c>
      <c r="K3440" t="n">
        <v>9.699999999999999</v>
      </c>
      <c r="L3440" t="n">
        <v>14</v>
      </c>
      <c r="M3440" t="n">
        <v>52.5</v>
      </c>
      <c r="N3440" t="n">
        <v>47</v>
      </c>
      <c r="O3440" t="n">
        <v>32.1</v>
      </c>
      <c r="P3440" t="n">
        <v>36</v>
      </c>
      <c r="Q3440" t="n">
        <v>50.2</v>
      </c>
      <c r="R3440" t="n">
        <v>44</v>
      </c>
      <c r="S3440" t="n">
        <v>10900000</v>
      </c>
      <c r="AH3440" t="inlineStr">
        <is>
          <t>Quelle: Pisos.com</t>
        </is>
      </c>
    </row>
    <row r="3441">
      <c r="A3441" t="n">
        <v>3254</v>
      </c>
      <c r="B3441" t="inlineStr">
        <is>
          <t>Chalet en Palma de Mallorca</t>
        </is>
      </c>
      <c r="C3441" t="inlineStr">
        <is>
          <t>https://www.pisos.com/comprar/chalet-palma_de_mallorca-55840329495_106500/</t>
        </is>
      </c>
      <c r="E3441" t="n">
        <v>5</v>
      </c>
      <c r="J3441" t="inlineStr">
        <is>
          <t>Palma de Mallorca</t>
        </is>
      </c>
      <c r="K3441" t="n">
        <v>9.699999999999999</v>
      </c>
      <c r="L3441" t="n">
        <v>14</v>
      </c>
      <c r="M3441" t="n">
        <v>52.5</v>
      </c>
      <c r="N3441" t="n">
        <v>47</v>
      </c>
      <c r="O3441" t="n">
        <v>32.1</v>
      </c>
      <c r="P3441" t="n">
        <v>36</v>
      </c>
      <c r="Q3441" t="n">
        <v>50.2</v>
      </c>
      <c r="R3441" t="n">
        <v>44</v>
      </c>
      <c r="S3441" t="n">
        <v>7900000</v>
      </c>
      <c r="AH3441" t="inlineStr">
        <is>
          <t>Quelle: Pisos.com</t>
        </is>
      </c>
    </row>
    <row r="3442">
      <c r="A3442" t="n">
        <v>3255</v>
      </c>
      <c r="B3442" t="inlineStr">
        <is>
          <t>Chalet en Palma de Mallorca</t>
        </is>
      </c>
      <c r="C3442" t="inlineStr">
        <is>
          <t>https://www.pisos.com/comprar/chalet-palma_de_mallorca-55898870529_106500/</t>
        </is>
      </c>
      <c r="E3442" t="n">
        <v>5</v>
      </c>
      <c r="J3442" t="inlineStr">
        <is>
          <t>Palma de Mallorca</t>
        </is>
      </c>
      <c r="K3442" t="n">
        <v>9.699999999999999</v>
      </c>
      <c r="L3442" t="n">
        <v>14</v>
      </c>
      <c r="M3442" t="n">
        <v>52.5</v>
      </c>
      <c r="N3442" t="n">
        <v>47</v>
      </c>
      <c r="O3442" t="n">
        <v>32.1</v>
      </c>
      <c r="P3442" t="n">
        <v>36</v>
      </c>
      <c r="Q3442" t="n">
        <v>50.2</v>
      </c>
      <c r="R3442" t="n">
        <v>44</v>
      </c>
      <c r="S3442" t="n">
        <v>4450000</v>
      </c>
      <c r="AH3442" t="inlineStr">
        <is>
          <t>Quelle: Pisos.com</t>
        </is>
      </c>
    </row>
    <row r="3443">
      <c r="A3443" t="n">
        <v>3256</v>
      </c>
      <c r="B3443" t="inlineStr">
        <is>
          <t>Chalet en Palma de Mallorca</t>
        </is>
      </c>
      <c r="C3443" t="inlineStr">
        <is>
          <t>https://www.pisos.com/comprar/chalet-palma_de_mallorca-55930488834_106500/</t>
        </is>
      </c>
      <c r="E3443" t="n">
        <v>6</v>
      </c>
      <c r="J3443" t="inlineStr">
        <is>
          <t>Palma de Mallorca</t>
        </is>
      </c>
      <c r="K3443" t="n">
        <v>9.699999999999999</v>
      </c>
      <c r="L3443" t="n">
        <v>14</v>
      </c>
      <c r="M3443" t="n">
        <v>52.5</v>
      </c>
      <c r="N3443" t="n">
        <v>47</v>
      </c>
      <c r="O3443" t="n">
        <v>32.1</v>
      </c>
      <c r="P3443" t="n">
        <v>36</v>
      </c>
      <c r="Q3443" t="n">
        <v>50.2</v>
      </c>
      <c r="R3443" t="n">
        <v>44</v>
      </c>
      <c r="S3443" t="n">
        <v>12000000</v>
      </c>
      <c r="AH3443" t="inlineStr">
        <is>
          <t>Quelle: Pisos.com</t>
        </is>
      </c>
    </row>
    <row r="3444">
      <c r="A3444" t="n">
        <v>3257</v>
      </c>
      <c r="B3444" t="inlineStr">
        <is>
          <t>Casa rústica en Les Meravelles</t>
        </is>
      </c>
      <c r="C3444" t="inlineStr">
        <is>
          <t>https://www.pisos.com/comprar/casa_rustica-les_meravelles-55874252010_106500/</t>
        </is>
      </c>
      <c r="E3444" t="n">
        <v>5</v>
      </c>
      <c r="J3444" t="inlineStr">
        <is>
          <t>Palma de Mallorca</t>
        </is>
      </c>
      <c r="K3444" t="n">
        <v>9.699999999999999</v>
      </c>
      <c r="L3444" t="n">
        <v>14</v>
      </c>
      <c r="M3444" t="n">
        <v>52.5</v>
      </c>
      <c r="N3444" t="n">
        <v>47</v>
      </c>
      <c r="O3444" t="n">
        <v>32.1</v>
      </c>
      <c r="P3444" t="n">
        <v>36</v>
      </c>
      <c r="Q3444" t="n">
        <v>50.2</v>
      </c>
      <c r="R3444" t="n">
        <v>44</v>
      </c>
      <c r="S3444" t="n">
        <v>2500000</v>
      </c>
      <c r="AH3444" t="inlineStr">
        <is>
          <t>Quelle: Pisos.com</t>
        </is>
      </c>
    </row>
    <row r="3445">
      <c r="A3445" t="n">
        <v>3258</v>
      </c>
      <c r="B3445" t="inlineStr">
        <is>
          <t>Casa rústica en El Coll d'en Rabassa</t>
        </is>
      </c>
      <c r="C3445" t="inlineStr">
        <is>
          <t>https://www.pisos.com/comprar/casa_rustica-el_coll_en_rabassa07007-55893429924_106500/</t>
        </is>
      </c>
      <c r="E3445" t="n">
        <v>9</v>
      </c>
      <c r="J3445" t="inlineStr">
        <is>
          <t>Palma de Mallorca</t>
        </is>
      </c>
      <c r="K3445" t="n">
        <v>9.699999999999999</v>
      </c>
      <c r="L3445" t="n">
        <v>14</v>
      </c>
      <c r="M3445" t="n">
        <v>52.5</v>
      </c>
      <c r="N3445" t="n">
        <v>47</v>
      </c>
      <c r="O3445" t="n">
        <v>32.1</v>
      </c>
      <c r="P3445" t="n">
        <v>36</v>
      </c>
      <c r="Q3445" t="n">
        <v>50.2</v>
      </c>
      <c r="R3445" t="n">
        <v>44</v>
      </c>
      <c r="S3445" t="n">
        <v>2340000</v>
      </c>
      <c r="AH3445" t="inlineStr">
        <is>
          <t>Quelle: Pisos.com</t>
        </is>
      </c>
    </row>
    <row r="3446">
      <c r="A3446" t="n">
        <v>3259</v>
      </c>
      <c r="B3446" t="inlineStr">
        <is>
          <t>Casa en S'aranjassa</t>
        </is>
      </c>
      <c r="C3446" t="inlineStr">
        <is>
          <t>https://www.pisos.com/comprar/casa-llevant_saranjassa07199-55842612978_106700/</t>
        </is>
      </c>
      <c r="E3446" t="n">
        <v>5</v>
      </c>
      <c r="J3446" t="inlineStr">
        <is>
          <t>Palma de Mallorca</t>
        </is>
      </c>
      <c r="K3446" t="n">
        <v>9.699999999999999</v>
      </c>
      <c r="L3446" t="n">
        <v>14</v>
      </c>
      <c r="M3446" t="n">
        <v>52.5</v>
      </c>
      <c r="N3446" t="n">
        <v>47</v>
      </c>
      <c r="O3446" t="n">
        <v>32.1</v>
      </c>
      <c r="P3446" t="n">
        <v>36</v>
      </c>
      <c r="Q3446" t="n">
        <v>50.2</v>
      </c>
      <c r="R3446" t="n">
        <v>44</v>
      </c>
      <c r="S3446" t="n">
        <v>2950000</v>
      </c>
      <c r="AH3446" t="inlineStr">
        <is>
          <t>Quelle: Pisos.com</t>
        </is>
      </c>
    </row>
    <row r="3447">
      <c r="A3447" t="n">
        <v>3260</v>
      </c>
      <c r="B3447" t="inlineStr">
        <is>
          <t>Chalet en Els Hostalets</t>
        </is>
      </c>
      <c r="C3447" t="inlineStr">
        <is>
          <t>https://www.pisos.com/comprar/chalet-els_hostalets_son_fortesa07005-55891868125_100500/</t>
        </is>
      </c>
      <c r="E3447" t="n">
        <v>5</v>
      </c>
      <c r="J3447" t="inlineStr">
        <is>
          <t>Palma de Mallorca</t>
        </is>
      </c>
      <c r="K3447" t="n">
        <v>9.699999999999999</v>
      </c>
      <c r="L3447" t="n">
        <v>14</v>
      </c>
      <c r="M3447" t="n">
        <v>52.5</v>
      </c>
      <c r="N3447" t="n">
        <v>47</v>
      </c>
      <c r="O3447" t="n">
        <v>32.1</v>
      </c>
      <c r="P3447" t="n">
        <v>36</v>
      </c>
      <c r="Q3447" t="n">
        <v>50.2</v>
      </c>
      <c r="R3447" t="n">
        <v>44</v>
      </c>
      <c r="S3447" t="n">
        <v>475000</v>
      </c>
      <c r="AH3447" t="inlineStr">
        <is>
          <t>Quelle: Pisos.com</t>
        </is>
      </c>
    </row>
    <row r="3448">
      <c r="A3448" t="n">
        <v>3261</v>
      </c>
      <c r="B3448" t="inlineStr">
        <is>
          <t>Casa en Santa Catalina</t>
        </is>
      </c>
      <c r="C3448" t="inlineStr">
        <is>
          <t>https://www.pisos.com/comprar/casa-ponent_santa_catalina07013-55860746558_109300/</t>
        </is>
      </c>
      <c r="E3448" t="n">
        <v>2</v>
      </c>
      <c r="J3448" t="inlineStr">
        <is>
          <t>Palma de Mallorca</t>
        </is>
      </c>
      <c r="K3448" t="n">
        <v>9.699999999999999</v>
      </c>
      <c r="L3448" t="n">
        <v>14</v>
      </c>
      <c r="M3448" t="n">
        <v>52.5</v>
      </c>
      <c r="N3448" t="n">
        <v>47</v>
      </c>
      <c r="O3448" t="n">
        <v>32.1</v>
      </c>
      <c r="P3448" t="n">
        <v>36</v>
      </c>
      <c r="Q3448" t="n">
        <v>50.2</v>
      </c>
      <c r="R3448" t="n">
        <v>44</v>
      </c>
      <c r="S3448" t="n">
        <v>1290000</v>
      </c>
      <c r="AH3448" t="inlineStr">
        <is>
          <t>Quelle: Pisos.com</t>
        </is>
      </c>
    </row>
    <row r="3449">
      <c r="A3449" t="n">
        <v>3262</v>
      </c>
      <c r="B3449" t="inlineStr">
        <is>
          <t>Chalet en Palma de Mallorca</t>
        </is>
      </c>
      <c r="C3449" t="inlineStr">
        <is>
          <t>https://www.pisos.com/comprar/chalet-palma_de_mallorca-55901900922_106600/</t>
        </is>
      </c>
      <c r="E3449" t="n">
        <v>5</v>
      </c>
      <c r="J3449" t="inlineStr">
        <is>
          <t>Palma de Mallorca</t>
        </is>
      </c>
      <c r="K3449" t="n">
        <v>9.699999999999999</v>
      </c>
      <c r="L3449" t="n">
        <v>14</v>
      </c>
      <c r="M3449" t="n">
        <v>52.5</v>
      </c>
      <c r="N3449" t="n">
        <v>47</v>
      </c>
      <c r="O3449" t="n">
        <v>32.1</v>
      </c>
      <c r="P3449" t="n">
        <v>36</v>
      </c>
      <c r="Q3449" t="n">
        <v>50.2</v>
      </c>
      <c r="R3449" t="n">
        <v>44</v>
      </c>
      <c r="S3449" t="n">
        <v>4900000</v>
      </c>
      <c r="AH3449" t="inlineStr">
        <is>
          <t>Quelle: Pisos.com</t>
        </is>
      </c>
    </row>
    <row r="3450">
      <c r="A3450" t="n">
        <v>3263</v>
      </c>
      <c r="B3450" t="inlineStr">
        <is>
          <t>Casa en Son Roca-Son Ximelis-Son Anglada</t>
        </is>
      </c>
      <c r="C3450" t="inlineStr">
        <is>
          <t>https://www.pisos.com/comprar/casa-son_roca_son_ximelis_son_anglada07011-55905961196_106600/</t>
        </is>
      </c>
      <c r="E3450" t="n">
        <v>6</v>
      </c>
      <c r="J3450" t="inlineStr">
        <is>
          <t>Palma de Mallorca</t>
        </is>
      </c>
      <c r="K3450" t="n">
        <v>9.699999999999999</v>
      </c>
      <c r="L3450" t="n">
        <v>14</v>
      </c>
      <c r="M3450" t="n">
        <v>52.5</v>
      </c>
      <c r="N3450" t="n">
        <v>47</v>
      </c>
      <c r="O3450" t="n">
        <v>32.1</v>
      </c>
      <c r="P3450" t="n">
        <v>36</v>
      </c>
      <c r="Q3450" t="n">
        <v>50.2</v>
      </c>
      <c r="R3450" t="n">
        <v>44</v>
      </c>
      <c r="S3450" t="n">
        <v>1795000</v>
      </c>
      <c r="AH3450" t="inlineStr">
        <is>
          <t>Quelle: Pisos.com</t>
        </is>
      </c>
    </row>
    <row r="3451">
      <c r="A3451" t="n">
        <v>3264</v>
      </c>
      <c r="B3451" t="inlineStr">
        <is>
          <t>Chalet en Palma de Mallorca</t>
        </is>
      </c>
      <c r="C3451" t="inlineStr">
        <is>
          <t>https://www.pisos.com/comprar/chalet-palma_de_mallorca-55867395891_106600/</t>
        </is>
      </c>
      <c r="E3451" t="n">
        <v>4</v>
      </c>
      <c r="J3451" t="inlineStr">
        <is>
          <t>Palma de Mallorca</t>
        </is>
      </c>
      <c r="S3451" t="n">
        <v>850000</v>
      </c>
      <c r="AH3451" t="inlineStr">
        <is>
          <t>Quelle: Pisos.com</t>
        </is>
      </c>
    </row>
    <row r="3452">
      <c r="A3452" t="n">
        <v>3265</v>
      </c>
      <c r="B3452" t="inlineStr">
        <is>
          <t>Chalet en Palma de Mallorca</t>
        </is>
      </c>
      <c r="C3452" t="inlineStr">
        <is>
          <t>https://www.pisos.com/comprar/chalet-palma_de_mallorca-55898532025_106600/</t>
        </is>
      </c>
      <c r="E3452" t="n">
        <v>7</v>
      </c>
      <c r="J3452" t="inlineStr">
        <is>
          <t>Palma de Mallorca</t>
        </is>
      </c>
      <c r="K3452" t="n">
        <v>9.699999999999999</v>
      </c>
      <c r="L3452" t="n">
        <v>14</v>
      </c>
      <c r="M3452" t="n">
        <v>52.5</v>
      </c>
      <c r="N3452" t="n">
        <v>47</v>
      </c>
      <c r="O3452" t="n">
        <v>32.1</v>
      </c>
      <c r="P3452" t="n">
        <v>36</v>
      </c>
      <c r="Q3452" t="n">
        <v>50.2</v>
      </c>
      <c r="R3452" t="n">
        <v>44</v>
      </c>
      <c r="S3452" t="n">
        <v>4900000</v>
      </c>
      <c r="AH3452" t="inlineStr">
        <is>
          <t>Quelle: Pisos.com</t>
        </is>
      </c>
    </row>
    <row r="3453">
      <c r="A3453" t="n">
        <v>3266</v>
      </c>
      <c r="B3453" t="inlineStr">
        <is>
          <t>Casa en Son Xigala</t>
        </is>
      </c>
      <c r="C3453" t="inlineStr">
        <is>
          <t>https://www.pisos.com/comprar/casa-son_xigala-55864317646_106600/</t>
        </is>
      </c>
      <c r="E3453" t="n">
        <v>4</v>
      </c>
      <c r="J3453" t="inlineStr">
        <is>
          <t>Palma de Mallorca</t>
        </is>
      </c>
      <c r="S3453" t="n">
        <v>753000</v>
      </c>
      <c r="AH3453" t="inlineStr">
        <is>
          <t>Quelle: Pisos.com</t>
        </is>
      </c>
    </row>
    <row r="3454">
      <c r="A3454" t="n">
        <v>3267</v>
      </c>
      <c r="B3454" t="inlineStr">
        <is>
          <t>Casa en Establiments</t>
        </is>
      </c>
      <c r="C3454" t="inlineStr">
        <is>
          <t>https://www.pisos.com/comprar/casa-establiments07010-55889739724_106600/</t>
        </is>
      </c>
      <c r="E3454" t="n">
        <v>4</v>
      </c>
      <c r="J3454" t="inlineStr">
        <is>
          <t>Palma de Mallorca</t>
        </is>
      </c>
      <c r="S3454" t="n">
        <v>906000</v>
      </c>
      <c r="AH3454" t="inlineStr">
        <is>
          <t>Quelle: Pisos.com</t>
        </is>
      </c>
    </row>
    <row r="3455">
      <c r="A3455" t="n">
        <v>3268</v>
      </c>
      <c r="B3455" t="inlineStr">
        <is>
          <t>Casa en La Bonanova-Porto Pi</t>
        </is>
      </c>
      <c r="C3455" t="inlineStr">
        <is>
          <t>https://www.pisos.com/comprar/casa-la_bonanova_porto_pi07015-55925749092_106600/</t>
        </is>
      </c>
      <c r="E3455" t="n">
        <v>4</v>
      </c>
      <c r="J3455" t="inlineStr">
        <is>
          <t>Palma de Mallorca</t>
        </is>
      </c>
      <c r="K3455" t="n">
        <v>9.699999999999999</v>
      </c>
      <c r="L3455" t="n">
        <v>14</v>
      </c>
      <c r="M3455" t="n">
        <v>52.5</v>
      </c>
      <c r="N3455" t="n">
        <v>47</v>
      </c>
      <c r="O3455" t="n">
        <v>32.1</v>
      </c>
      <c r="P3455" t="n">
        <v>36</v>
      </c>
      <c r="Q3455" t="n">
        <v>50.2</v>
      </c>
      <c r="R3455" t="n">
        <v>44</v>
      </c>
      <c r="S3455" t="n">
        <v>1700000</v>
      </c>
      <c r="AH3455" t="inlineStr">
        <is>
          <t>Quelle: Pisos.com</t>
        </is>
      </c>
    </row>
    <row r="3456">
      <c r="A3456" t="n">
        <v>3269</v>
      </c>
      <c r="B3456" t="inlineStr">
        <is>
          <t>Casa en S'Aranjassa</t>
        </is>
      </c>
      <c r="C3456" t="inlineStr">
        <is>
          <t>https://www.pisos.com/comprar/casa-llevant_saranjassa07199-55921730120_106600/</t>
        </is>
      </c>
      <c r="E3456" t="n">
        <v>5</v>
      </c>
      <c r="J3456" t="inlineStr">
        <is>
          <t>Palma de Mallorca</t>
        </is>
      </c>
      <c r="K3456" t="n">
        <v>9.699999999999999</v>
      </c>
      <c r="L3456" t="n">
        <v>14</v>
      </c>
      <c r="M3456" t="n">
        <v>52.5</v>
      </c>
      <c r="N3456" t="n">
        <v>47</v>
      </c>
      <c r="O3456" t="n">
        <v>32.1</v>
      </c>
      <c r="P3456" t="n">
        <v>36</v>
      </c>
      <c r="Q3456" t="n">
        <v>50.2</v>
      </c>
      <c r="R3456" t="n">
        <v>44</v>
      </c>
      <c r="S3456" t="n">
        <v>2950000</v>
      </c>
      <c r="AH3456" t="inlineStr">
        <is>
          <t>Quelle: Pisos.com</t>
        </is>
      </c>
    </row>
    <row r="3457">
      <c r="A3457" t="n">
        <v>3270</v>
      </c>
      <c r="B3457" t="inlineStr">
        <is>
          <t>Casa en La Bonanova-Porto Pi</t>
        </is>
      </c>
      <c r="C3457" t="inlineStr">
        <is>
          <t>https://www.pisos.com/comprar/casa-la_bonanova_porto_pi-55893221694_106600/</t>
        </is>
      </c>
      <c r="E3457" t="n">
        <v>4</v>
      </c>
      <c r="J3457" t="inlineStr">
        <is>
          <t>Palma de Mallorca</t>
        </is>
      </c>
      <c r="K3457" t="n">
        <v>9.699999999999999</v>
      </c>
      <c r="L3457" t="n">
        <v>14</v>
      </c>
      <c r="M3457" t="n">
        <v>52.5</v>
      </c>
      <c r="N3457" t="n">
        <v>47</v>
      </c>
      <c r="O3457" t="n">
        <v>32.1</v>
      </c>
      <c r="P3457" t="n">
        <v>36</v>
      </c>
      <c r="Q3457" t="n">
        <v>50.2</v>
      </c>
      <c r="R3457" t="n">
        <v>44</v>
      </c>
      <c r="S3457" t="n">
        <v>2250000</v>
      </c>
      <c r="AH3457" t="inlineStr">
        <is>
          <t>Quelle: Pisos.com</t>
        </is>
      </c>
    </row>
    <row r="3458">
      <c r="A3458" t="n">
        <v>3271</v>
      </c>
      <c r="B3458" t="inlineStr">
        <is>
          <t>Casa en Palma de Mallorca</t>
        </is>
      </c>
      <c r="C3458" t="inlineStr">
        <is>
          <t>https://www.pisos.com/comprar/casa-palma_de_mallorca-55843488748_106600/</t>
        </is>
      </c>
      <c r="E3458" t="n">
        <v>6</v>
      </c>
      <c r="J3458" t="inlineStr">
        <is>
          <t>Palma de Mallorca</t>
        </is>
      </c>
      <c r="K3458" t="n">
        <v>9.699999999999999</v>
      </c>
      <c r="L3458" t="n">
        <v>14</v>
      </c>
      <c r="M3458" t="n">
        <v>52.5</v>
      </c>
      <c r="N3458" t="n">
        <v>47</v>
      </c>
      <c r="O3458" t="n">
        <v>32.1</v>
      </c>
      <c r="P3458" t="n">
        <v>36</v>
      </c>
      <c r="Q3458" t="n">
        <v>50.2</v>
      </c>
      <c r="R3458" t="n">
        <v>44</v>
      </c>
      <c r="S3458" t="n">
        <v>2200000</v>
      </c>
      <c r="AH3458" t="inlineStr">
        <is>
          <t>Quelle: Pisos.com</t>
        </is>
      </c>
    </row>
    <row r="3459">
      <c r="A3459" t="n">
        <v>3272</v>
      </c>
      <c r="B3459" t="inlineStr">
        <is>
          <t>Casa en Palma de Mallorca</t>
        </is>
      </c>
      <c r="C3459" t="inlineStr">
        <is>
          <t>https://www.pisos.com/comprar/casa-palma_de_mallorca-55930157890_106600/</t>
        </is>
      </c>
      <c r="E3459" t="n">
        <v>3</v>
      </c>
      <c r="J3459" t="inlineStr">
        <is>
          <t>Palma de Mallorca</t>
        </is>
      </c>
      <c r="K3459" t="n">
        <v>9.699999999999999</v>
      </c>
      <c r="L3459" t="n">
        <v>14</v>
      </c>
      <c r="M3459" t="n">
        <v>52.5</v>
      </c>
      <c r="N3459" t="n">
        <v>47</v>
      </c>
      <c r="O3459" t="n">
        <v>32.1</v>
      </c>
      <c r="P3459" t="n">
        <v>36</v>
      </c>
      <c r="Q3459" t="n">
        <v>50.2</v>
      </c>
      <c r="R3459" t="n">
        <v>44</v>
      </c>
      <c r="S3459" t="n">
        <v>1300000</v>
      </c>
      <c r="AH3459" t="inlineStr">
        <is>
          <t>Quelle: Pisos.com</t>
        </is>
      </c>
    </row>
    <row r="3460">
      <c r="A3460" t="n">
        <v>3273</v>
      </c>
      <c r="B3460" t="inlineStr">
        <is>
          <t>Chalet en Palma de Mallorca</t>
        </is>
      </c>
      <c r="C3460" t="inlineStr">
        <is>
          <t>https://www.pisos.com/comprar/chalet-palma_de_mallorca-55896912434_106600/</t>
        </is>
      </c>
      <c r="E3460" t="n">
        <v>4</v>
      </c>
      <c r="J3460" t="inlineStr">
        <is>
          <t>Palma de Mallorca</t>
        </is>
      </c>
      <c r="K3460" t="n">
        <v>9.699999999999999</v>
      </c>
      <c r="L3460" t="n">
        <v>14</v>
      </c>
      <c r="M3460" t="n">
        <v>52.5</v>
      </c>
      <c r="N3460" t="n">
        <v>47</v>
      </c>
      <c r="O3460" t="n">
        <v>32.1</v>
      </c>
      <c r="P3460" t="n">
        <v>36</v>
      </c>
      <c r="Q3460" t="n">
        <v>50.2</v>
      </c>
      <c r="R3460" t="n">
        <v>44</v>
      </c>
      <c r="S3460" t="n">
        <v>1950000</v>
      </c>
      <c r="AH3460" t="inlineStr">
        <is>
          <t>Quelle: Pisos.com</t>
        </is>
      </c>
    </row>
    <row r="3461">
      <c r="A3461" t="n">
        <v>3274</v>
      </c>
      <c r="B3461" t="inlineStr">
        <is>
          <t>Casa en Cort</t>
        </is>
      </c>
      <c r="C3461" t="inlineStr">
        <is>
          <t>https://www.pisos.com/comprar/casa-cort-55838405067_106600/</t>
        </is>
      </c>
      <c r="E3461" t="n">
        <v>6</v>
      </c>
      <c r="J3461" t="inlineStr">
        <is>
          <t>Palma de Mallorca</t>
        </is>
      </c>
      <c r="K3461" t="n">
        <v>9.699999999999999</v>
      </c>
      <c r="L3461" t="n">
        <v>14</v>
      </c>
      <c r="M3461" t="n">
        <v>52.5</v>
      </c>
      <c r="N3461" t="n">
        <v>47</v>
      </c>
      <c r="O3461" t="n">
        <v>32.1</v>
      </c>
      <c r="P3461" t="n">
        <v>36</v>
      </c>
      <c r="Q3461" t="n">
        <v>50.2</v>
      </c>
      <c r="R3461" t="n">
        <v>44</v>
      </c>
      <c r="S3461" t="n">
        <v>2000000</v>
      </c>
      <c r="AH3461" t="inlineStr">
        <is>
          <t>Quelle: Pisos.com</t>
        </is>
      </c>
    </row>
    <row r="3462">
      <c r="A3462" t="n">
        <v>3275</v>
      </c>
      <c r="B3462" t="inlineStr">
        <is>
          <t>Casa en Palma de Mallorca</t>
        </is>
      </c>
      <c r="C3462" t="inlineStr">
        <is>
          <t>https://www.pisos.com/comprar/casa-palma_de_mallorca-55846216363_106600/</t>
        </is>
      </c>
      <c r="E3462" t="n">
        <v>9</v>
      </c>
      <c r="J3462" t="inlineStr">
        <is>
          <t>Palma de Mallorca</t>
        </is>
      </c>
      <c r="K3462" t="n">
        <v>9.699999999999999</v>
      </c>
      <c r="L3462" t="n">
        <v>14</v>
      </c>
      <c r="M3462" t="n">
        <v>52.5</v>
      </c>
      <c r="N3462" t="n">
        <v>47</v>
      </c>
      <c r="O3462" t="n">
        <v>32.1</v>
      </c>
      <c r="P3462" t="n">
        <v>36</v>
      </c>
      <c r="Q3462" t="n">
        <v>50.2</v>
      </c>
      <c r="R3462" t="n">
        <v>44</v>
      </c>
      <c r="S3462" t="n">
        <v>2700000</v>
      </c>
      <c r="AH3462" t="inlineStr">
        <is>
          <t>Quelle: Pisos.com</t>
        </is>
      </c>
    </row>
    <row r="3463">
      <c r="A3463" t="n">
        <v>3276</v>
      </c>
      <c r="B3463" t="inlineStr">
        <is>
          <t>Casa en Sant Jaume</t>
        </is>
      </c>
      <c r="C3463" t="inlineStr">
        <is>
          <t>https://www.pisos.com/comprar/casa-sant_jaume07003-55090671710_108900/</t>
        </is>
      </c>
      <c r="E3463" t="n">
        <v>4</v>
      </c>
      <c r="J3463" t="inlineStr">
        <is>
          <t>Palma de Mallorca</t>
        </is>
      </c>
      <c r="S3463" t="n">
        <v>930000</v>
      </c>
      <c r="AH3463" t="inlineStr">
        <is>
          <t>Quelle: Pisos.com</t>
        </is>
      </c>
    </row>
    <row r="3464">
      <c r="A3464" t="n">
        <v>3277</v>
      </c>
      <c r="B3464" t="inlineStr">
        <is>
          <t>Casa en Son Espanyolet</t>
        </is>
      </c>
      <c r="C3464" t="inlineStr">
        <is>
          <t>https://www.pisos.com/comprar/casa-ponent_son_espanyolet07014-55089293216_106700/</t>
        </is>
      </c>
      <c r="E3464" t="n">
        <v>3</v>
      </c>
      <c r="J3464" t="inlineStr">
        <is>
          <t>Palma de Mallorca</t>
        </is>
      </c>
      <c r="K3464" t="n">
        <v>9.699999999999999</v>
      </c>
      <c r="L3464" t="n">
        <v>14</v>
      </c>
      <c r="M3464" t="n">
        <v>52.5</v>
      </c>
      <c r="N3464" t="n">
        <v>47</v>
      </c>
      <c r="O3464" t="n">
        <v>32.1</v>
      </c>
      <c r="P3464" t="n">
        <v>36</v>
      </c>
      <c r="Q3464" t="n">
        <v>50.2</v>
      </c>
      <c r="R3464" t="n">
        <v>44</v>
      </c>
      <c r="S3464" t="n">
        <v>3500000</v>
      </c>
      <c r="AH3464" t="inlineStr">
        <is>
          <t>Quelle: Pisos.com</t>
        </is>
      </c>
    </row>
    <row r="3465">
      <c r="A3465" t="n">
        <v>3278</v>
      </c>
      <c r="B3465" t="inlineStr">
        <is>
          <t>Chalet en Sant Agustí</t>
        </is>
      </c>
      <c r="C3465" t="inlineStr">
        <is>
          <t>https://www.pisos.com/comprar/chalet-ponent_sant_agusti-55058329920_108400/</t>
        </is>
      </c>
      <c r="E3465" t="n">
        <v>11</v>
      </c>
      <c r="J3465" t="inlineStr">
        <is>
          <t>Palma de Mallorca</t>
        </is>
      </c>
      <c r="K3465" t="n">
        <v>9.699999999999999</v>
      </c>
      <c r="L3465" t="n">
        <v>14</v>
      </c>
      <c r="M3465" t="n">
        <v>52.5</v>
      </c>
      <c r="N3465" t="n">
        <v>47</v>
      </c>
      <c r="O3465" t="n">
        <v>32.1</v>
      </c>
      <c r="P3465" t="n">
        <v>36</v>
      </c>
      <c r="Q3465" t="n">
        <v>50.2</v>
      </c>
      <c r="R3465" t="n">
        <v>44</v>
      </c>
      <c r="S3465" t="n">
        <v>3500000</v>
      </c>
      <c r="AH3465" t="inlineStr">
        <is>
          <t>Quelle: Pisos.com</t>
        </is>
      </c>
    </row>
    <row r="3466">
      <c r="A3466" t="n">
        <v>3279</v>
      </c>
      <c r="B3466" t="inlineStr">
        <is>
          <t>Casa rústica en Puntiró</t>
        </is>
      </c>
      <c r="C3466" t="inlineStr">
        <is>
          <t>https://www.pisos.com/comprar/casa_rustica-llevant_sa_casa_blanca07198-55063240566_106700/</t>
        </is>
      </c>
      <c r="E3466" t="n">
        <v>4</v>
      </c>
      <c r="J3466" t="inlineStr">
        <is>
          <t>Palma de Mallorca</t>
        </is>
      </c>
      <c r="K3466" t="n">
        <v>9.699999999999999</v>
      </c>
      <c r="L3466" t="n">
        <v>14</v>
      </c>
      <c r="M3466" t="n">
        <v>52.5</v>
      </c>
      <c r="N3466" t="n">
        <v>47</v>
      </c>
      <c r="O3466" t="n">
        <v>32.1</v>
      </c>
      <c r="P3466" t="n">
        <v>36</v>
      </c>
      <c r="Q3466" t="n">
        <v>50.2</v>
      </c>
      <c r="R3466" t="n">
        <v>44</v>
      </c>
      <c r="S3466" t="n">
        <v>4500000</v>
      </c>
      <c r="AH3466" t="inlineStr">
        <is>
          <t>Quelle: Pisos.com</t>
        </is>
      </c>
    </row>
    <row r="3467">
      <c r="A3467" t="n">
        <v>3280</v>
      </c>
      <c r="B3467" t="inlineStr">
        <is>
          <t>Casa rústica en Establiments</t>
        </is>
      </c>
      <c r="C3467" t="inlineStr">
        <is>
          <t>https://www.pisos.com/comprar/casa_rustica-establiments07010-55013195500_106700/</t>
        </is>
      </c>
      <c r="E3467" t="n">
        <v>12</v>
      </c>
      <c r="J3467" t="inlineStr">
        <is>
          <t>Palma de Mallorca</t>
        </is>
      </c>
      <c r="K3467" t="n">
        <v>9.699999999999999</v>
      </c>
      <c r="L3467" t="n">
        <v>14</v>
      </c>
      <c r="M3467" t="n">
        <v>52.5</v>
      </c>
      <c r="N3467" t="n">
        <v>47</v>
      </c>
      <c r="O3467" t="n">
        <v>32.1</v>
      </c>
      <c r="P3467" t="n">
        <v>36</v>
      </c>
      <c r="Q3467" t="n">
        <v>50.2</v>
      </c>
      <c r="R3467" t="n">
        <v>44</v>
      </c>
      <c r="S3467" t="n">
        <v>24500000</v>
      </c>
      <c r="AH3467" t="inlineStr">
        <is>
          <t>Quelle: Pisos.com</t>
        </is>
      </c>
    </row>
    <row r="3468">
      <c r="A3468" t="n">
        <v>3281</v>
      </c>
      <c r="B3468" t="inlineStr">
        <is>
          <t>Casa rústica en Puntiró</t>
        </is>
      </c>
      <c r="C3468" t="inlineStr">
        <is>
          <t>https://www.pisos.com/comprar/casa_rustica-llevant_sant_jordi07199-55031085552_106700/</t>
        </is>
      </c>
      <c r="E3468" t="n">
        <v>5</v>
      </c>
      <c r="J3468" t="inlineStr">
        <is>
          <t>Palma de Mallorca</t>
        </is>
      </c>
      <c r="K3468" t="n">
        <v>9.699999999999999</v>
      </c>
      <c r="L3468" t="n">
        <v>14</v>
      </c>
      <c r="M3468" t="n">
        <v>52.5</v>
      </c>
      <c r="N3468" t="n">
        <v>47</v>
      </c>
      <c r="O3468" t="n">
        <v>32.1</v>
      </c>
      <c r="P3468" t="n">
        <v>36</v>
      </c>
      <c r="Q3468" t="n">
        <v>50.2</v>
      </c>
      <c r="R3468" t="n">
        <v>44</v>
      </c>
      <c r="S3468" t="n">
        <v>2700000</v>
      </c>
      <c r="AH3468" t="inlineStr">
        <is>
          <t>Quelle: Pisos.com</t>
        </is>
      </c>
    </row>
    <row r="3469">
      <c r="A3469" t="n">
        <v>3282</v>
      </c>
      <c r="B3469" t="inlineStr">
        <is>
          <t>Casa en La Missió</t>
        </is>
      </c>
      <c r="C3469" t="inlineStr">
        <is>
          <t>https://www.pisos.com/comprar/casa-la_missio07003-55019236685_106700/</t>
        </is>
      </c>
      <c r="E3469" t="n">
        <v>16</v>
      </c>
      <c r="J3469" t="inlineStr">
        <is>
          <t>Palma de Mallorca</t>
        </is>
      </c>
      <c r="K3469" t="n">
        <v>9.699999999999999</v>
      </c>
      <c r="L3469" t="n">
        <v>14</v>
      </c>
      <c r="M3469" t="n">
        <v>52.5</v>
      </c>
      <c r="N3469" t="n">
        <v>47</v>
      </c>
      <c r="O3469" t="n">
        <v>32.1</v>
      </c>
      <c r="P3469" t="n">
        <v>36</v>
      </c>
      <c r="Q3469" t="n">
        <v>50.2</v>
      </c>
      <c r="R3469" t="n">
        <v>44</v>
      </c>
      <c r="S3469" t="n">
        <v>11800000</v>
      </c>
      <c r="AH3469" t="inlineStr">
        <is>
          <t>Quelle: Pisos.com</t>
        </is>
      </c>
    </row>
    <row r="3470">
      <c r="A3470" t="n">
        <v>3283</v>
      </c>
      <c r="B3470" t="inlineStr">
        <is>
          <t>Casa rústica en Son Dameto</t>
        </is>
      </c>
      <c r="C3470" t="inlineStr">
        <is>
          <t>https://www.pisos.com/comprar/casa_rustica-son_rapinya_los_almendros07013-55032914687_106700/</t>
        </is>
      </c>
      <c r="E3470" t="n">
        <v>8</v>
      </c>
      <c r="J3470" t="inlineStr">
        <is>
          <t>Palma de Mallorca</t>
        </is>
      </c>
      <c r="K3470" t="n">
        <v>9.699999999999999</v>
      </c>
      <c r="L3470" t="n">
        <v>14</v>
      </c>
      <c r="M3470" t="n">
        <v>52.5</v>
      </c>
      <c r="N3470" t="n">
        <v>47</v>
      </c>
      <c r="O3470" t="n">
        <v>32.1</v>
      </c>
      <c r="P3470" t="n">
        <v>36</v>
      </c>
      <c r="Q3470" t="n">
        <v>50.2</v>
      </c>
      <c r="R3470" t="n">
        <v>44</v>
      </c>
      <c r="S3470" t="n">
        <v>5800000</v>
      </c>
      <c r="AH3470" t="inlineStr">
        <is>
          <t>Quelle: Pisos.com</t>
        </is>
      </c>
    </row>
    <row r="3471">
      <c r="A3471" t="n">
        <v>3284</v>
      </c>
      <c r="B3471" t="inlineStr">
        <is>
          <t>Casa adosada en Palma de Mallorca</t>
        </is>
      </c>
      <c r="C3471" t="inlineStr">
        <is>
          <t>https://www.pisos.com/comprar/casa_adosada-palma_de_mallorca-55074196375_106600/</t>
        </is>
      </c>
      <c r="E3471" t="n">
        <v>2</v>
      </c>
      <c r="J3471" t="inlineStr">
        <is>
          <t>Palma de Mallorca</t>
        </is>
      </c>
      <c r="S3471" t="n">
        <v>690000</v>
      </c>
      <c r="AH3471" t="inlineStr">
        <is>
          <t>Quelle: Pisos.com</t>
        </is>
      </c>
    </row>
    <row r="3472">
      <c r="A3472" t="n">
        <v>3285</v>
      </c>
      <c r="B3472" t="inlineStr">
        <is>
          <t>Casa en El Terreno</t>
        </is>
      </c>
      <c r="C3472" t="inlineStr">
        <is>
          <t>https://www.pisos.com/comprar/casa-son_armadans-55004500784_106700/</t>
        </is>
      </c>
      <c r="E3472" t="n">
        <v>5</v>
      </c>
      <c r="J3472" t="inlineStr">
        <is>
          <t>Palma de Mallorca</t>
        </is>
      </c>
      <c r="K3472" t="n">
        <v>9.699999999999999</v>
      </c>
      <c r="L3472" t="n">
        <v>14</v>
      </c>
      <c r="M3472" t="n">
        <v>52.5</v>
      </c>
      <c r="N3472" t="n">
        <v>47</v>
      </c>
      <c r="O3472" t="n">
        <v>32.1</v>
      </c>
      <c r="P3472" t="n">
        <v>36</v>
      </c>
      <c r="Q3472" t="n">
        <v>50.2</v>
      </c>
      <c r="R3472" t="n">
        <v>44</v>
      </c>
      <c r="S3472" t="n">
        <v>2750000</v>
      </c>
      <c r="AH3472" t="inlineStr">
        <is>
          <t>Quelle: Pisos.com</t>
        </is>
      </c>
    </row>
    <row r="3473">
      <c r="A3473" t="n">
        <v>3286</v>
      </c>
      <c r="B3473" t="inlineStr">
        <is>
          <t>Casa rústica en Establiments</t>
        </is>
      </c>
      <c r="C3473" t="inlineStr">
        <is>
          <t>https://www.pisos.com/comprar/casa_rustica-establiments-55078632844_106700/</t>
        </is>
      </c>
      <c r="E3473" t="n">
        <v>7</v>
      </c>
      <c r="J3473" t="inlineStr">
        <is>
          <t>Palma de Mallorca</t>
        </is>
      </c>
      <c r="K3473" t="n">
        <v>9.699999999999999</v>
      </c>
      <c r="L3473" t="n">
        <v>14</v>
      </c>
      <c r="M3473" t="n">
        <v>52.5</v>
      </c>
      <c r="N3473" t="n">
        <v>47</v>
      </c>
      <c r="O3473" t="n">
        <v>32.1</v>
      </c>
      <c r="P3473" t="n">
        <v>36</v>
      </c>
      <c r="Q3473" t="n">
        <v>50.2</v>
      </c>
      <c r="R3473" t="n">
        <v>44</v>
      </c>
      <c r="S3473" t="n">
        <v>7900000</v>
      </c>
      <c r="AH3473" t="inlineStr">
        <is>
          <t>Quelle: Pisos.com</t>
        </is>
      </c>
    </row>
    <row r="3474">
      <c r="A3474" t="n">
        <v>3287</v>
      </c>
      <c r="B3474" t="inlineStr">
        <is>
          <t>Casa en La Bonanova</t>
        </is>
      </c>
      <c r="C3474" t="inlineStr">
        <is>
          <t>https://www.pisos.com/comprar/casa-la_bonanova_porto_pi07015-55068860498_106700/</t>
        </is>
      </c>
      <c r="E3474" t="n">
        <v>4</v>
      </c>
      <c r="J3474" t="inlineStr">
        <is>
          <t>Palma de Mallorca</t>
        </is>
      </c>
      <c r="K3474" t="n">
        <v>9.699999999999999</v>
      </c>
      <c r="L3474" t="n">
        <v>14</v>
      </c>
      <c r="M3474" t="n">
        <v>52.5</v>
      </c>
      <c r="N3474" t="n">
        <v>47</v>
      </c>
      <c r="O3474" t="n">
        <v>32.1</v>
      </c>
      <c r="P3474" t="n">
        <v>36</v>
      </c>
      <c r="Q3474" t="n">
        <v>50.2</v>
      </c>
      <c r="R3474" t="n">
        <v>44</v>
      </c>
      <c r="S3474" t="n">
        <v>2000000</v>
      </c>
      <c r="AH3474" t="inlineStr">
        <is>
          <t>Quelle: Pisos.com</t>
        </is>
      </c>
    </row>
    <row r="3475">
      <c r="A3475" t="n">
        <v>3288</v>
      </c>
      <c r="B3475" t="inlineStr">
        <is>
          <t>Casa en Can Pastilla</t>
        </is>
      </c>
      <c r="C3475" t="inlineStr">
        <is>
          <t>https://www.pisos.com/comprar/casa-les_meravelles07610-55028076222_106700/</t>
        </is>
      </c>
      <c r="E3475" t="n">
        <v>4</v>
      </c>
      <c r="J3475" t="inlineStr">
        <is>
          <t>Palma de Mallorca</t>
        </is>
      </c>
      <c r="K3475" t="n">
        <v>9.699999999999999</v>
      </c>
      <c r="L3475" t="n">
        <v>14</v>
      </c>
      <c r="M3475" t="n">
        <v>52.5</v>
      </c>
      <c r="N3475" t="n">
        <v>47</v>
      </c>
      <c r="O3475" t="n">
        <v>32.1</v>
      </c>
      <c r="P3475" t="n">
        <v>36</v>
      </c>
      <c r="Q3475" t="n">
        <v>50.2</v>
      </c>
      <c r="R3475" t="n">
        <v>44</v>
      </c>
      <c r="S3475" t="n">
        <v>1100000</v>
      </c>
      <c r="AH3475" t="inlineStr">
        <is>
          <t>Quelle: Pisos.com</t>
        </is>
      </c>
    </row>
    <row r="3476">
      <c r="A3476" t="n">
        <v>3289</v>
      </c>
      <c r="B3476" t="inlineStr">
        <is>
          <t>Casa rústica en Establiments</t>
        </is>
      </c>
      <c r="C3476" t="inlineStr">
        <is>
          <t>https://www.pisos.com/comprar/casa_rustica-establiments07010-55009562043_106700/</t>
        </is>
      </c>
      <c r="E3476" t="n">
        <v>3</v>
      </c>
      <c r="J3476" t="inlineStr">
        <is>
          <t>Palma de Mallorca</t>
        </is>
      </c>
      <c r="K3476" t="n">
        <v>9.699999999999999</v>
      </c>
      <c r="L3476" t="n">
        <v>14</v>
      </c>
      <c r="M3476" t="n">
        <v>52.5</v>
      </c>
      <c r="N3476" t="n">
        <v>47</v>
      </c>
      <c r="O3476" t="n">
        <v>32.1</v>
      </c>
      <c r="P3476" t="n">
        <v>36</v>
      </c>
      <c r="Q3476" t="n">
        <v>50.2</v>
      </c>
      <c r="R3476" t="n">
        <v>44</v>
      </c>
      <c r="S3476" t="n">
        <v>1450000</v>
      </c>
      <c r="AH3476" t="inlineStr">
        <is>
          <t>Quelle: Pisos.com</t>
        </is>
      </c>
    </row>
    <row r="3477">
      <c r="A3477" t="n">
        <v>3290</v>
      </c>
      <c r="B3477" t="inlineStr">
        <is>
          <t>Casa en El Secar de La Real</t>
        </is>
      </c>
      <c r="C3477" t="inlineStr">
        <is>
          <t>https://www.pisos.com/comprar/casa-nord_el_secar_de_la_real07010-55061512497_106700/</t>
        </is>
      </c>
      <c r="E3477" t="n">
        <v>10</v>
      </c>
      <c r="J3477" t="inlineStr">
        <is>
          <t>Palma de Mallorca</t>
        </is>
      </c>
      <c r="K3477" t="n">
        <v>9.699999999999999</v>
      </c>
      <c r="L3477" t="n">
        <v>14</v>
      </c>
      <c r="M3477" t="n">
        <v>52.5</v>
      </c>
      <c r="N3477" t="n">
        <v>47</v>
      </c>
      <c r="O3477" t="n">
        <v>32.1</v>
      </c>
      <c r="P3477" t="n">
        <v>36</v>
      </c>
      <c r="Q3477" t="n">
        <v>50.2</v>
      </c>
      <c r="R3477" t="n">
        <v>44</v>
      </c>
      <c r="S3477" t="n">
        <v>9700000</v>
      </c>
      <c r="AH3477" t="inlineStr">
        <is>
          <t>Quelle: Pisos.com</t>
        </is>
      </c>
    </row>
    <row r="3478">
      <c r="A3478" t="n">
        <v>3291</v>
      </c>
      <c r="B3478" t="inlineStr">
        <is>
          <t>Casa rústica en Establiments</t>
        </is>
      </c>
      <c r="C3478" t="inlineStr">
        <is>
          <t>https://www.pisos.com/comprar/casa_rustica-establiments-55031796020_106700/</t>
        </is>
      </c>
      <c r="E3478" t="n">
        <v>6</v>
      </c>
      <c r="J3478" t="inlineStr">
        <is>
          <t>Palma de Mallorca</t>
        </is>
      </c>
      <c r="K3478" t="n">
        <v>9.699999999999999</v>
      </c>
      <c r="L3478" t="n">
        <v>14</v>
      </c>
      <c r="M3478" t="n">
        <v>52.5</v>
      </c>
      <c r="N3478" t="n">
        <v>47</v>
      </c>
      <c r="O3478" t="n">
        <v>32.1</v>
      </c>
      <c r="P3478" t="n">
        <v>36</v>
      </c>
      <c r="Q3478" t="n">
        <v>50.2</v>
      </c>
      <c r="R3478" t="n">
        <v>44</v>
      </c>
      <c r="S3478" t="n">
        <v>2600000</v>
      </c>
      <c r="AH3478" t="inlineStr">
        <is>
          <t>Quelle: Pisos.com</t>
        </is>
      </c>
    </row>
    <row r="3479">
      <c r="A3479" t="n">
        <v>3292</v>
      </c>
      <c r="B3479" t="inlineStr">
        <is>
          <t>Casa rústica en Son Serra - Sa Vileta</t>
        </is>
      </c>
      <c r="C3479" t="inlineStr">
        <is>
          <t>https://www.pisos.com/comprar/casa_rustica-son_roca_son_ximelis_son_anglada07011-55011200182_106700/</t>
        </is>
      </c>
      <c r="E3479" t="n">
        <v>11</v>
      </c>
      <c r="J3479" t="inlineStr">
        <is>
          <t>Palma de Mallorca</t>
        </is>
      </c>
      <c r="K3479" t="n">
        <v>9.699999999999999</v>
      </c>
      <c r="L3479" t="n">
        <v>14</v>
      </c>
      <c r="M3479" t="n">
        <v>52.5</v>
      </c>
      <c r="N3479" t="n">
        <v>47</v>
      </c>
      <c r="O3479" t="n">
        <v>32.1</v>
      </c>
      <c r="P3479" t="n">
        <v>36</v>
      </c>
      <c r="Q3479" t="n">
        <v>50.2</v>
      </c>
      <c r="R3479" t="n">
        <v>44</v>
      </c>
      <c r="S3479" t="n">
        <v>5900000</v>
      </c>
      <c r="AH3479" t="inlineStr">
        <is>
          <t>Quelle: Pisos.com</t>
        </is>
      </c>
    </row>
    <row r="3480">
      <c r="A3480" t="n">
        <v>3293</v>
      </c>
      <c r="B3480" t="inlineStr">
        <is>
          <t>Casa en Génova</t>
        </is>
      </c>
      <c r="C3480" t="inlineStr">
        <is>
          <t>https://www.pisos.com/comprar/casa-ponent_genova07015-55077442227_106700/</t>
        </is>
      </c>
      <c r="E3480" t="n">
        <v>3</v>
      </c>
      <c r="J3480" t="inlineStr">
        <is>
          <t>Palma de Mallorca</t>
        </is>
      </c>
      <c r="K3480" t="n">
        <v>9.699999999999999</v>
      </c>
      <c r="L3480" t="n">
        <v>14</v>
      </c>
      <c r="M3480" t="n">
        <v>52.5</v>
      </c>
      <c r="N3480" t="n">
        <v>47</v>
      </c>
      <c r="O3480" t="n">
        <v>32.1</v>
      </c>
      <c r="P3480" t="n">
        <v>36</v>
      </c>
      <c r="Q3480" t="n">
        <v>50.2</v>
      </c>
      <c r="R3480" t="n">
        <v>44</v>
      </c>
      <c r="S3480" t="n">
        <v>2995000</v>
      </c>
      <c r="AH3480" t="inlineStr">
        <is>
          <t>Quelle: Pisos.com</t>
        </is>
      </c>
    </row>
    <row r="3481">
      <c r="A3481" t="n">
        <v>3294</v>
      </c>
      <c r="B3481" t="inlineStr">
        <is>
          <t>Casa en Génova</t>
        </is>
      </c>
      <c r="C3481" t="inlineStr">
        <is>
          <t>https://www.pisos.com/comprar/casa-ponent_genova07015-55040434192_106700/</t>
        </is>
      </c>
      <c r="E3481" t="n">
        <v>4</v>
      </c>
      <c r="J3481" t="inlineStr">
        <is>
          <t>Palma de Mallorca</t>
        </is>
      </c>
      <c r="K3481" t="n">
        <v>9.699999999999999</v>
      </c>
      <c r="L3481" t="n">
        <v>14</v>
      </c>
      <c r="M3481" t="n">
        <v>52.5</v>
      </c>
      <c r="N3481" t="n">
        <v>47</v>
      </c>
      <c r="O3481" t="n">
        <v>32.1</v>
      </c>
      <c r="P3481" t="n">
        <v>36</v>
      </c>
      <c r="Q3481" t="n">
        <v>50.2</v>
      </c>
      <c r="R3481" t="n">
        <v>44</v>
      </c>
      <c r="S3481" t="n">
        <v>4500000</v>
      </c>
      <c r="AH3481" t="inlineStr">
        <is>
          <t>Quelle: Pisos.com</t>
        </is>
      </c>
    </row>
    <row r="3482">
      <c r="A3482" t="n">
        <v>3295</v>
      </c>
      <c r="B3482" t="inlineStr">
        <is>
          <t>Casa en Son Sardina</t>
        </is>
      </c>
      <c r="C3482" t="inlineStr">
        <is>
          <t>https://www.pisos.com/comprar/casa-nord_son_sardina07120-55005538141_106700/</t>
        </is>
      </c>
      <c r="E3482" t="n">
        <v>7</v>
      </c>
      <c r="J3482" t="inlineStr">
        <is>
          <t>Palma de Mallorca</t>
        </is>
      </c>
      <c r="K3482" t="n">
        <v>9.699999999999999</v>
      </c>
      <c r="L3482" t="n">
        <v>14</v>
      </c>
      <c r="M3482" t="n">
        <v>52.5</v>
      </c>
      <c r="N3482" t="n">
        <v>47</v>
      </c>
      <c r="O3482" t="n">
        <v>32.1</v>
      </c>
      <c r="P3482" t="n">
        <v>36</v>
      </c>
      <c r="Q3482" t="n">
        <v>50.2</v>
      </c>
      <c r="R3482" t="n">
        <v>44</v>
      </c>
      <c r="S3482" t="n">
        <v>1690000</v>
      </c>
      <c r="AH3482" t="inlineStr">
        <is>
          <t>Quelle: Pisos.com</t>
        </is>
      </c>
    </row>
    <row r="3483">
      <c r="A3483" t="n">
        <v>3296</v>
      </c>
      <c r="B3483" t="inlineStr">
        <is>
          <t>Casa en Es Portixol - Es Molinar</t>
        </is>
      </c>
      <c r="C3483" t="inlineStr">
        <is>
          <t>https://www.pisos.com/comprar/casa-es_portixol_es_molinar07006-55092181528_106700/</t>
        </is>
      </c>
      <c r="E3483" t="n">
        <v>4</v>
      </c>
      <c r="J3483" t="inlineStr">
        <is>
          <t>Palma de Mallorca</t>
        </is>
      </c>
      <c r="K3483" t="n">
        <v>9.699999999999999</v>
      </c>
      <c r="L3483" t="n">
        <v>14</v>
      </c>
      <c r="M3483" t="n">
        <v>52.5</v>
      </c>
      <c r="N3483" t="n">
        <v>47</v>
      </c>
      <c r="O3483" t="n">
        <v>32.1</v>
      </c>
      <c r="P3483" t="n">
        <v>36</v>
      </c>
      <c r="Q3483" t="n">
        <v>50.2</v>
      </c>
      <c r="R3483" t="n">
        <v>44</v>
      </c>
      <c r="S3483" t="n">
        <v>2800000</v>
      </c>
      <c r="AH3483" t="inlineStr">
        <is>
          <t>Quelle: Pisos.com</t>
        </is>
      </c>
    </row>
    <row r="3484">
      <c r="A3484" t="n">
        <v>3297</v>
      </c>
      <c r="B3484" t="inlineStr">
        <is>
          <t>Casa en La Llotja - Born</t>
        </is>
      </c>
      <c r="C3484" t="inlineStr">
        <is>
          <t>https://www.pisos.com/comprar/casa-sant_nicolau-55060325085_106700/</t>
        </is>
      </c>
      <c r="E3484" t="n">
        <v>4</v>
      </c>
      <c r="J3484" t="inlineStr">
        <is>
          <t>Palma de Mallorca</t>
        </is>
      </c>
      <c r="K3484" t="n">
        <v>9.699999999999999</v>
      </c>
      <c r="L3484" t="n">
        <v>14</v>
      </c>
      <c r="M3484" t="n">
        <v>52.5</v>
      </c>
      <c r="N3484" t="n">
        <v>47</v>
      </c>
      <c r="O3484" t="n">
        <v>32.1</v>
      </c>
      <c r="P3484" t="n">
        <v>36</v>
      </c>
      <c r="Q3484" t="n">
        <v>50.2</v>
      </c>
      <c r="R3484" t="n">
        <v>44</v>
      </c>
      <c r="S3484" t="n">
        <v>7000000</v>
      </c>
      <c r="AH3484" t="inlineStr">
        <is>
          <t>Quelle: Pisos.com</t>
        </is>
      </c>
    </row>
    <row r="3485">
      <c r="A3485" t="n">
        <v>3298</v>
      </c>
      <c r="B3485" t="inlineStr">
        <is>
          <t>Casa rústica en S'aranjassa</t>
        </is>
      </c>
      <c r="C3485" t="inlineStr">
        <is>
          <t>https://www.pisos.com/comprar/casa_rustica-llevant_saranjassa07199-55079674060_106700/</t>
        </is>
      </c>
      <c r="E3485" t="n">
        <v>6</v>
      </c>
      <c r="J3485" t="inlineStr">
        <is>
          <t>Palma de Mallorca</t>
        </is>
      </c>
      <c r="K3485" t="n">
        <v>9.699999999999999</v>
      </c>
      <c r="L3485" t="n">
        <v>14</v>
      </c>
      <c r="M3485" t="n">
        <v>52.5</v>
      </c>
      <c r="N3485" t="n">
        <v>47</v>
      </c>
      <c r="O3485" t="n">
        <v>32.1</v>
      </c>
      <c r="P3485" t="n">
        <v>36</v>
      </c>
      <c r="Q3485" t="n">
        <v>50.2</v>
      </c>
      <c r="R3485" t="n">
        <v>44</v>
      </c>
      <c r="S3485" t="n">
        <v>2190000</v>
      </c>
      <c r="AH3485" t="inlineStr">
        <is>
          <t>Quelle: Pisos.com</t>
        </is>
      </c>
    </row>
    <row r="3486">
      <c r="A3486" t="n">
        <v>3299</v>
      </c>
      <c r="B3486" t="inlineStr">
        <is>
          <t>Casa en El Mercat</t>
        </is>
      </c>
      <c r="C3486" t="inlineStr">
        <is>
          <t>https://www.pisos.com/comprar/casa-cort07001-55070941531_106700/</t>
        </is>
      </c>
      <c r="E3486" t="n">
        <v>7</v>
      </c>
      <c r="J3486" t="inlineStr">
        <is>
          <t>Palma de Mallorca</t>
        </is>
      </c>
      <c r="K3486" t="n">
        <v>9.699999999999999</v>
      </c>
      <c r="L3486" t="n">
        <v>14</v>
      </c>
      <c r="M3486" t="n">
        <v>52.5</v>
      </c>
      <c r="N3486" t="n">
        <v>47</v>
      </c>
      <c r="O3486" t="n">
        <v>32.1</v>
      </c>
      <c r="P3486" t="n">
        <v>36</v>
      </c>
      <c r="Q3486" t="n">
        <v>50.2</v>
      </c>
      <c r="R3486" t="n">
        <v>44</v>
      </c>
      <c r="S3486" t="n">
        <v>2500000</v>
      </c>
      <c r="AH3486" t="inlineStr">
        <is>
          <t>Quelle: Pisos.com</t>
        </is>
      </c>
    </row>
    <row r="3487">
      <c r="A3487" t="n">
        <v>3300</v>
      </c>
      <c r="B3487" t="inlineStr">
        <is>
          <t>Casa en Santa Catalina</t>
        </is>
      </c>
      <c r="C3487" t="inlineStr">
        <is>
          <t>https://www.pisos.com/comprar/casa-ponent_santa_catalina07013-55052866710_106700/</t>
        </is>
      </c>
      <c r="E3487" t="n">
        <v>3</v>
      </c>
      <c r="J3487" t="inlineStr">
        <is>
          <t>Palma de Mallorca</t>
        </is>
      </c>
      <c r="K3487" t="n">
        <v>9.699999999999999</v>
      </c>
      <c r="L3487" t="n">
        <v>14</v>
      </c>
      <c r="M3487" t="n">
        <v>52.5</v>
      </c>
      <c r="N3487" t="n">
        <v>47</v>
      </c>
      <c r="O3487" t="n">
        <v>32.1</v>
      </c>
      <c r="P3487" t="n">
        <v>36</v>
      </c>
      <c r="Q3487" t="n">
        <v>50.2</v>
      </c>
      <c r="R3487" t="n">
        <v>44</v>
      </c>
      <c r="S3487" t="n">
        <v>2400000</v>
      </c>
      <c r="AH3487" t="inlineStr">
        <is>
          <t>Quelle: Pisos.com</t>
        </is>
      </c>
    </row>
    <row r="3488">
      <c r="A3488" t="n">
        <v>3301</v>
      </c>
      <c r="B3488" t="inlineStr">
        <is>
          <t>Casa rústica en Son Gual</t>
        </is>
      </c>
      <c r="C3488" t="inlineStr">
        <is>
          <t>https://www.pisos.com/comprar/casa_rustica-llevant_saranjassa07199-55086483666_106700/</t>
        </is>
      </c>
      <c r="E3488" t="n">
        <v>13</v>
      </c>
      <c r="J3488" t="inlineStr">
        <is>
          <t>Palma de Mallorca</t>
        </is>
      </c>
      <c r="K3488" t="n">
        <v>9.699999999999999</v>
      </c>
      <c r="L3488" t="n">
        <v>14</v>
      </c>
      <c r="M3488" t="n">
        <v>52.5</v>
      </c>
      <c r="N3488" t="n">
        <v>47</v>
      </c>
      <c r="O3488" t="n">
        <v>32.1</v>
      </c>
      <c r="P3488" t="n">
        <v>36</v>
      </c>
      <c r="Q3488" t="n">
        <v>50.2</v>
      </c>
      <c r="R3488" t="n">
        <v>44</v>
      </c>
      <c r="S3488" t="n">
        <v>4900000</v>
      </c>
      <c r="AH3488" t="inlineStr">
        <is>
          <t>Quelle: Pisos.com</t>
        </is>
      </c>
    </row>
    <row r="3489">
      <c r="A3489" t="n">
        <v>3302</v>
      </c>
      <c r="B3489" t="inlineStr">
        <is>
          <t>Casa en calle Joan Rossello de Son Fort</t>
        </is>
      </c>
      <c r="C3489" t="inlineStr">
        <is>
          <t>https://www.pisos.com/comprar/casa-amanecer07004-54263265839_100700/</t>
        </is>
      </c>
      <c r="E3489" t="n">
        <v>4</v>
      </c>
      <c r="J3489" t="inlineStr">
        <is>
          <t>Palma de Mallorca</t>
        </is>
      </c>
      <c r="S3489" t="n">
        <v>795000</v>
      </c>
      <c r="AH3489" t="inlineStr">
        <is>
          <t>Quelle: Pisos.com</t>
        </is>
      </c>
    </row>
    <row r="3490">
      <c r="A3490" t="n">
        <v>3303</v>
      </c>
      <c r="B3490" t="inlineStr">
        <is>
          <t>Casa adosada en Es Portixol-Es Molinar</t>
        </is>
      </c>
      <c r="C3490" t="inlineStr">
        <is>
          <t>https://www.pisos.com/comprar/casa_adosada-es_portixol_es_molinar-54263690754_106600/</t>
        </is>
      </c>
      <c r="E3490" t="n">
        <v>4</v>
      </c>
      <c r="J3490" t="inlineStr">
        <is>
          <t>Palma de Mallorca</t>
        </is>
      </c>
      <c r="K3490" t="n">
        <v>9.699999999999999</v>
      </c>
      <c r="L3490" t="n">
        <v>14</v>
      </c>
      <c r="M3490" t="n">
        <v>52.5</v>
      </c>
      <c r="N3490" t="n">
        <v>47</v>
      </c>
      <c r="O3490" t="n">
        <v>32.1</v>
      </c>
      <c r="P3490" t="n">
        <v>36</v>
      </c>
      <c r="Q3490" t="n">
        <v>50.2</v>
      </c>
      <c r="R3490" t="n">
        <v>44</v>
      </c>
      <c r="S3490" t="n">
        <v>1795000</v>
      </c>
      <c r="AH3490" t="inlineStr">
        <is>
          <t>Quelle: Pisos.com</t>
        </is>
      </c>
    </row>
    <row r="3491">
      <c r="A3491" t="n">
        <v>3304</v>
      </c>
      <c r="B3491" t="inlineStr">
        <is>
          <t>Casa adosada en Es Portixol-Es Molinar</t>
        </is>
      </c>
      <c r="C3491" t="inlineStr">
        <is>
          <t>https://www.pisos.com/comprar/casa_adosada-es_portixol_es_molinar-54198306347_106600/</t>
        </is>
      </c>
      <c r="E3491" t="n">
        <v>4</v>
      </c>
      <c r="J3491" t="inlineStr">
        <is>
          <t>Palma de Mallorca</t>
        </is>
      </c>
      <c r="K3491" t="n">
        <v>9.699999999999999</v>
      </c>
      <c r="L3491" t="n">
        <v>14</v>
      </c>
      <c r="M3491" t="n">
        <v>52.5</v>
      </c>
      <c r="N3491" t="n">
        <v>47</v>
      </c>
      <c r="O3491" t="n">
        <v>32.1</v>
      </c>
      <c r="P3491" t="n">
        <v>36</v>
      </c>
      <c r="Q3491" t="n">
        <v>50.2</v>
      </c>
      <c r="R3491" t="n">
        <v>44</v>
      </c>
      <c r="S3491" t="n">
        <v>3900000</v>
      </c>
      <c r="AH3491" t="inlineStr">
        <is>
          <t>Quelle: Pisos.com</t>
        </is>
      </c>
    </row>
    <row r="3492">
      <c r="A3492" t="n">
        <v>3305</v>
      </c>
      <c r="B3492" t="inlineStr">
        <is>
          <t>Casa adosada en La Llotja-Born</t>
        </is>
      </c>
      <c r="C3492" t="inlineStr">
        <is>
          <t>https://www.pisos.com/comprar/casa_adosada-la_llotja_born-54189275001_106600/</t>
        </is>
      </c>
      <c r="E3492" t="n">
        <v>7</v>
      </c>
      <c r="J3492" t="inlineStr">
        <is>
          <t>Palma de Mallorca</t>
        </is>
      </c>
      <c r="K3492" t="n">
        <v>9.699999999999999</v>
      </c>
      <c r="L3492" t="n">
        <v>14</v>
      </c>
      <c r="M3492" t="n">
        <v>52.5</v>
      </c>
      <c r="N3492" t="n">
        <v>47</v>
      </c>
      <c r="O3492" t="n">
        <v>32.1</v>
      </c>
      <c r="P3492" t="n">
        <v>36</v>
      </c>
      <c r="Q3492" t="n">
        <v>50.2</v>
      </c>
      <c r="R3492" t="n">
        <v>44</v>
      </c>
      <c r="S3492" t="n">
        <v>5540000</v>
      </c>
      <c r="AH3492" t="inlineStr">
        <is>
          <t>Quelle: Pisos.com</t>
        </is>
      </c>
    </row>
    <row r="3493">
      <c r="A3493" t="n">
        <v>3306</v>
      </c>
      <c r="B3493" t="inlineStr">
        <is>
          <t>Casa adosada en Cala Major</t>
        </is>
      </c>
      <c r="C3493" t="inlineStr">
        <is>
          <t>https://www.pisos.com/comprar/casa_adosada-cala_major-54188731930_106600/</t>
        </is>
      </c>
      <c r="E3493" t="n">
        <v>3</v>
      </c>
      <c r="J3493" t="inlineStr">
        <is>
          <t>Palma de Mallorca</t>
        </is>
      </c>
      <c r="K3493" t="n">
        <v>9.699999999999999</v>
      </c>
      <c r="L3493" t="n">
        <v>14</v>
      </c>
      <c r="M3493" t="n">
        <v>52.5</v>
      </c>
      <c r="N3493" t="n">
        <v>47</v>
      </c>
      <c r="O3493" t="n">
        <v>32.1</v>
      </c>
      <c r="P3493" t="n">
        <v>36</v>
      </c>
      <c r="Q3493" t="n">
        <v>50.2</v>
      </c>
      <c r="R3493" t="n">
        <v>44</v>
      </c>
      <c r="S3493" t="n">
        <v>1100000</v>
      </c>
      <c r="AH3493" t="inlineStr">
        <is>
          <t>Quelle: Pisos.com</t>
        </is>
      </c>
    </row>
    <row r="3494">
      <c r="A3494" t="n">
        <v>3307</v>
      </c>
      <c r="B3494" t="inlineStr">
        <is>
          <t>Casa en Son Vida</t>
        </is>
      </c>
      <c r="C3494" t="inlineStr">
        <is>
          <t>https://www.pisos.com/comprar/casa-ponent_son_vida-53367744899_100500/</t>
        </is>
      </c>
      <c r="E3494" t="n">
        <v>5</v>
      </c>
      <c r="J3494" t="inlineStr">
        <is>
          <t>Palma de Mallorca</t>
        </is>
      </c>
      <c r="K3494" t="n">
        <v>9.699999999999999</v>
      </c>
      <c r="L3494" t="n">
        <v>14</v>
      </c>
      <c r="M3494" t="n">
        <v>52.5</v>
      </c>
      <c r="N3494" t="n">
        <v>47</v>
      </c>
      <c r="O3494" t="n">
        <v>32.1</v>
      </c>
      <c r="P3494" t="n">
        <v>36</v>
      </c>
      <c r="Q3494" t="n">
        <v>50.2</v>
      </c>
      <c r="R3494" t="n">
        <v>44</v>
      </c>
      <c r="S3494" t="n">
        <v>5490000</v>
      </c>
      <c r="AH3494" t="inlineStr">
        <is>
          <t>Quelle: Pisos.com</t>
        </is>
      </c>
    </row>
    <row r="3495">
      <c r="A3495" t="n">
        <v>3308</v>
      </c>
      <c r="B3495" t="inlineStr">
        <is>
          <t>Casa adosada en S'Arenal</t>
        </is>
      </c>
      <c r="C3495" t="inlineStr">
        <is>
          <t>https://www.pisos.com/comprar/casa_adosada-platja_de_palma_sarenal07610-53396889286_101800/</t>
        </is>
      </c>
      <c r="E3495" t="n">
        <v>4</v>
      </c>
      <c r="J3495" t="inlineStr">
        <is>
          <t>Palma de Mallorca</t>
        </is>
      </c>
      <c r="K3495" t="n">
        <v>9.699999999999999</v>
      </c>
      <c r="L3495" t="n">
        <v>14</v>
      </c>
      <c r="M3495" t="n">
        <v>52.5</v>
      </c>
      <c r="N3495" t="n">
        <v>47</v>
      </c>
      <c r="O3495" t="n">
        <v>32.1</v>
      </c>
      <c r="P3495" t="n">
        <v>36</v>
      </c>
      <c r="Q3495" t="n">
        <v>50.2</v>
      </c>
      <c r="R3495" t="n">
        <v>44</v>
      </c>
      <c r="S3495" t="n">
        <v>1100000</v>
      </c>
      <c r="AH3495" t="inlineStr">
        <is>
          <t>Quelle: Pisos.com</t>
        </is>
      </c>
    </row>
    <row r="3496">
      <c r="A3496" t="n">
        <v>3309</v>
      </c>
      <c r="B3496" t="inlineStr">
        <is>
          <t>Casa en Cala Major</t>
        </is>
      </c>
      <c r="C3496" t="inlineStr">
        <is>
          <t>https://www.pisos.com/comprar/casa-cala_major-53369896451_100500/</t>
        </is>
      </c>
      <c r="E3496" t="n">
        <v>5</v>
      </c>
      <c r="J3496" t="inlineStr">
        <is>
          <t>Palma de Mallorca</t>
        </is>
      </c>
      <c r="K3496" t="n">
        <v>9.699999999999999</v>
      </c>
      <c r="L3496" t="n">
        <v>14</v>
      </c>
      <c r="M3496" t="n">
        <v>52.5</v>
      </c>
      <c r="N3496" t="n">
        <v>47</v>
      </c>
      <c r="O3496" t="n">
        <v>32.1</v>
      </c>
      <c r="P3496" t="n">
        <v>36</v>
      </c>
      <c r="Q3496" t="n">
        <v>50.2</v>
      </c>
      <c r="R3496" t="n">
        <v>44</v>
      </c>
      <c r="S3496" t="n">
        <v>2995000</v>
      </c>
      <c r="AH3496" t="inlineStr">
        <is>
          <t>Quelle: Pisos.com</t>
        </is>
      </c>
    </row>
    <row r="3497">
      <c r="A3497" t="n">
        <v>3310</v>
      </c>
      <c r="B3497" t="inlineStr">
        <is>
          <t>Chalet en Son Xigala</t>
        </is>
      </c>
      <c r="C3497" t="inlineStr">
        <is>
          <t>https://www.pisos.com/comprar/chalet-son_xigala07013-52599702508_101800/</t>
        </is>
      </c>
      <c r="E3497" t="n">
        <v>5</v>
      </c>
      <c r="J3497" t="inlineStr">
        <is>
          <t>Palma de Mallorca</t>
        </is>
      </c>
      <c r="K3497" t="n">
        <v>9.699999999999999</v>
      </c>
      <c r="L3497" t="n">
        <v>14</v>
      </c>
      <c r="M3497" t="n">
        <v>52.5</v>
      </c>
      <c r="N3497" t="n">
        <v>47</v>
      </c>
      <c r="O3497" t="n">
        <v>32.1</v>
      </c>
      <c r="P3497" t="n">
        <v>36</v>
      </c>
      <c r="Q3497" t="n">
        <v>50.2</v>
      </c>
      <c r="R3497" t="n">
        <v>44</v>
      </c>
      <c r="S3497" t="n">
        <v>1456000</v>
      </c>
      <c r="AH3497" t="inlineStr">
        <is>
          <t>Quelle: Pisos.com</t>
        </is>
      </c>
    </row>
    <row r="3498">
      <c r="A3498" t="n">
        <v>3311</v>
      </c>
      <c r="B3498" t="inlineStr">
        <is>
          <t>Casa en Establiments - Son Sardina</t>
        </is>
      </c>
      <c r="C3498" t="inlineStr">
        <is>
          <t>https://www.pisos.com/comprar/casa-nord_son_sardina07120-51746076172_100500/</t>
        </is>
      </c>
      <c r="E3498" t="n">
        <v>6</v>
      </c>
      <c r="J3498" t="inlineStr">
        <is>
          <t>Palma de Mallorca</t>
        </is>
      </c>
      <c r="K3498" t="n">
        <v>9.699999999999999</v>
      </c>
      <c r="L3498" t="n">
        <v>14</v>
      </c>
      <c r="M3498" t="n">
        <v>52.5</v>
      </c>
      <c r="N3498" t="n">
        <v>47</v>
      </c>
      <c r="O3498" t="n">
        <v>32.1</v>
      </c>
      <c r="P3498" t="n">
        <v>36</v>
      </c>
      <c r="Q3498" t="n">
        <v>50.2</v>
      </c>
      <c r="R3498" t="n">
        <v>44</v>
      </c>
      <c r="S3498" t="n">
        <v>870000</v>
      </c>
      <c r="AH3498" t="inlineStr">
        <is>
          <t>Quelle: Pisos.com</t>
        </is>
      </c>
    </row>
    <row r="3499">
      <c r="A3499" t="n">
        <v>3312</v>
      </c>
      <c r="B3499" t="inlineStr">
        <is>
          <t>Casa en Son Vida</t>
        </is>
      </c>
      <c r="C3499" t="inlineStr">
        <is>
          <t>https://www.pisos.com/comprar/casa-ponent_son_vida07013-51712199165_100500/</t>
        </is>
      </c>
      <c r="E3499" t="n">
        <v>4</v>
      </c>
      <c r="J3499" t="inlineStr">
        <is>
          <t>Palma de Mallorca</t>
        </is>
      </c>
      <c r="K3499" t="n">
        <v>9.699999999999999</v>
      </c>
      <c r="L3499" t="n">
        <v>14</v>
      </c>
      <c r="M3499" t="n">
        <v>52.5</v>
      </c>
      <c r="N3499" t="n">
        <v>47</v>
      </c>
      <c r="O3499" t="n">
        <v>32.1</v>
      </c>
      <c r="P3499" t="n">
        <v>36</v>
      </c>
      <c r="Q3499" t="n">
        <v>50.2</v>
      </c>
      <c r="R3499" t="n">
        <v>44</v>
      </c>
      <c r="S3499" t="n">
        <v>6950000</v>
      </c>
      <c r="AH3499" t="inlineStr">
        <is>
          <t>Quelle: Pisos.com</t>
        </is>
      </c>
    </row>
    <row r="3500">
      <c r="A3500" t="n">
        <v>3313</v>
      </c>
      <c r="B3500" t="inlineStr">
        <is>
          <t>Casa en Coll Den Rabassa</t>
        </is>
      </c>
      <c r="C3500" t="inlineStr">
        <is>
          <t>https://www.pisos.com/comprar/casa-el_coll_en_rabassa07007-51733172183_109300/</t>
        </is>
      </c>
      <c r="E3500" t="n">
        <v>4</v>
      </c>
      <c r="J3500" t="inlineStr">
        <is>
          <t>Palma de Mallorca</t>
        </is>
      </c>
      <c r="S3500" t="n">
        <v>499000</v>
      </c>
      <c r="AH3500" t="inlineStr">
        <is>
          <t>Quelle: Pisos.com</t>
        </is>
      </c>
    </row>
    <row r="3501">
      <c r="A3501" t="n">
        <v>3314</v>
      </c>
      <c r="B3501" t="inlineStr">
        <is>
          <t>Chalet en Palma</t>
        </is>
      </c>
      <c r="C3501" t="inlineStr">
        <is>
          <t>https://www.pisos.com/comprar/chalet-son_xigala07011-49197438710_100500/</t>
        </is>
      </c>
      <c r="E3501" t="n">
        <v>4</v>
      </c>
      <c r="J3501" t="inlineStr">
        <is>
          <t>Palma de Mallorca</t>
        </is>
      </c>
      <c r="K3501" t="n">
        <v>9.699999999999999</v>
      </c>
      <c r="L3501" t="n">
        <v>14</v>
      </c>
      <c r="M3501" t="n">
        <v>52.5</v>
      </c>
      <c r="N3501" t="n">
        <v>47</v>
      </c>
      <c r="O3501" t="n">
        <v>32.1</v>
      </c>
      <c r="P3501" t="n">
        <v>36</v>
      </c>
      <c r="Q3501" t="n">
        <v>50.2</v>
      </c>
      <c r="R3501" t="n">
        <v>44</v>
      </c>
      <c r="S3501" t="n">
        <v>1450000</v>
      </c>
      <c r="AH3501" t="inlineStr">
        <is>
          <t>Quelle: Pisos.com</t>
        </is>
      </c>
    </row>
    <row r="3502">
      <c r="A3502" t="n">
        <v>3315</v>
      </c>
      <c r="B3502" t="inlineStr">
        <is>
          <t>Casa adosada en El Molinar</t>
        </is>
      </c>
      <c r="C3502" t="inlineStr">
        <is>
          <t>https://www.pisos.com/comprar/casa_adosada-es_portixol_es_molinar07006-45837797973_100500/</t>
        </is>
      </c>
      <c r="E3502" t="n">
        <v>4</v>
      </c>
      <c r="J3502" t="inlineStr">
        <is>
          <t>Palma de Mallorca</t>
        </is>
      </c>
      <c r="K3502" t="n">
        <v>9.699999999999999</v>
      </c>
      <c r="L3502" t="n">
        <v>14</v>
      </c>
      <c r="M3502" t="n">
        <v>52.5</v>
      </c>
      <c r="N3502" t="n">
        <v>47</v>
      </c>
      <c r="O3502" t="n">
        <v>32.1</v>
      </c>
      <c r="P3502" t="n">
        <v>36</v>
      </c>
      <c r="Q3502" t="n">
        <v>50.2</v>
      </c>
      <c r="R3502" t="n">
        <v>44</v>
      </c>
      <c r="S3502" t="n">
        <v>3900000</v>
      </c>
      <c r="AH3502" t="inlineStr">
        <is>
          <t>Quelle: Pisos.com</t>
        </is>
      </c>
    </row>
    <row r="3503">
      <c r="A3503" t="n">
        <v>3316</v>
      </c>
      <c r="B3503" t="inlineStr">
        <is>
          <t>Chalet en Son Vida</t>
        </is>
      </c>
      <c r="C3503" t="inlineStr">
        <is>
          <t>https://www.pisos.com/comprar/chalet-ponent_son_vida07013-45020525795_100500/</t>
        </is>
      </c>
      <c r="E3503" t="n">
        <v>6</v>
      </c>
      <c r="J3503" t="inlineStr">
        <is>
          <t>Palma de Mallorca</t>
        </is>
      </c>
      <c r="K3503" t="n">
        <v>9.699999999999999</v>
      </c>
      <c r="L3503" t="n">
        <v>14</v>
      </c>
      <c r="M3503" t="n">
        <v>52.5</v>
      </c>
      <c r="N3503" t="n">
        <v>47</v>
      </c>
      <c r="O3503" t="n">
        <v>32.1</v>
      </c>
      <c r="P3503" t="n">
        <v>36</v>
      </c>
      <c r="Q3503" t="n">
        <v>50.2</v>
      </c>
      <c r="R3503" t="n">
        <v>44</v>
      </c>
      <c r="S3503" t="n">
        <v>10900000</v>
      </c>
      <c r="AH3503" t="inlineStr">
        <is>
          <t>Quelle: Pisos.com</t>
        </is>
      </c>
    </row>
    <row r="3504">
      <c r="A3504" t="n">
        <v>3317</v>
      </c>
      <c r="B3504" t="inlineStr">
        <is>
          <t>Casa rústica en Es Pil·larí</t>
        </is>
      </c>
      <c r="C3504" t="inlineStr">
        <is>
          <t>https://www.pisos.com/comprar/casa_rustica-es_pillari07600-44241962779_101800/</t>
        </is>
      </c>
      <c r="E3504" t="n">
        <v>5</v>
      </c>
      <c r="J3504" t="inlineStr">
        <is>
          <t>Palma de Mallorca</t>
        </is>
      </c>
      <c r="K3504" t="n">
        <v>9.699999999999999</v>
      </c>
      <c r="L3504" t="n">
        <v>14</v>
      </c>
      <c r="M3504" t="n">
        <v>52.5</v>
      </c>
      <c r="N3504" t="n">
        <v>47</v>
      </c>
      <c r="O3504" t="n">
        <v>32.1</v>
      </c>
      <c r="P3504" t="n">
        <v>36</v>
      </c>
      <c r="Q3504" t="n">
        <v>50.2</v>
      </c>
      <c r="R3504" t="n">
        <v>44</v>
      </c>
      <c r="S3504" t="n">
        <v>1750000</v>
      </c>
      <c r="AH3504" t="inlineStr">
        <is>
          <t>Quelle: Pisos.com</t>
        </is>
      </c>
    </row>
    <row r="3505">
      <c r="A3505" t="n">
        <v>3318</v>
      </c>
      <c r="B3505" t="inlineStr">
        <is>
          <t>Casa en Son Vida</t>
        </is>
      </c>
      <c r="C3505" t="inlineStr">
        <is>
          <t>https://www.pisos.com/comprar/casa-ponent_son_vida07013-40897666580_100500/</t>
        </is>
      </c>
      <c r="E3505" t="n">
        <v>6</v>
      </c>
      <c r="J3505" t="inlineStr">
        <is>
          <t>Palma de Mallorca</t>
        </is>
      </c>
      <c r="K3505" t="n">
        <v>9.699999999999999</v>
      </c>
      <c r="L3505" t="n">
        <v>14</v>
      </c>
      <c r="M3505" t="n">
        <v>52.5</v>
      </c>
      <c r="N3505" t="n">
        <v>47</v>
      </c>
      <c r="O3505" t="n">
        <v>32.1</v>
      </c>
      <c r="P3505" t="n">
        <v>36</v>
      </c>
      <c r="Q3505" t="n">
        <v>50.2</v>
      </c>
      <c r="R3505" t="n">
        <v>44</v>
      </c>
      <c r="S3505" t="n">
        <v>6850000</v>
      </c>
      <c r="AH3505" t="inlineStr">
        <is>
          <t>Quelle: Pisos.com</t>
        </is>
      </c>
    </row>
    <row r="3506">
      <c r="A3506" t="n">
        <v>3319</v>
      </c>
      <c r="B3506" t="inlineStr">
        <is>
          <t>Chalet en S'Aranjassa</t>
        </is>
      </c>
      <c r="C3506" t="inlineStr">
        <is>
          <t>https://www.pisos.com/comprar/chalet-llevant_saranjassa07199-38401444890_101800/</t>
        </is>
      </c>
      <c r="E3506" t="n">
        <v>12</v>
      </c>
      <c r="J3506" t="inlineStr">
        <is>
          <t>Palma de Mallorca</t>
        </is>
      </c>
      <c r="K3506" t="n">
        <v>9.699999999999999</v>
      </c>
      <c r="L3506" t="n">
        <v>14</v>
      </c>
      <c r="M3506" t="n">
        <v>52.5</v>
      </c>
      <c r="N3506" t="n">
        <v>47</v>
      </c>
      <c r="O3506" t="n">
        <v>32.1</v>
      </c>
      <c r="P3506" t="n">
        <v>36</v>
      </c>
      <c r="Q3506" t="n">
        <v>50.2</v>
      </c>
      <c r="R3506" t="n">
        <v>44</v>
      </c>
      <c r="S3506" t="n">
        <v>2200000</v>
      </c>
      <c r="AH3506" t="inlineStr">
        <is>
          <t>Quelle: Pisos.com</t>
        </is>
      </c>
    </row>
    <row r="3507">
      <c r="A3507" t="n">
        <v>3320</v>
      </c>
      <c r="B3507" t="inlineStr">
        <is>
          <t>Chalet en Son Sardina</t>
        </is>
      </c>
      <c r="C3507" t="inlineStr">
        <is>
          <t>https://www.pisos.com/comprar/chalet-nord_son_sardina07120-38423317737_101800/</t>
        </is>
      </c>
      <c r="E3507" t="n">
        <v>6</v>
      </c>
      <c r="J3507" t="inlineStr">
        <is>
          <t>Palma de Mallorca</t>
        </is>
      </c>
      <c r="K3507" t="n">
        <v>9.699999999999999</v>
      </c>
      <c r="L3507" t="n">
        <v>14</v>
      </c>
      <c r="M3507" t="n">
        <v>52.5</v>
      </c>
      <c r="N3507" t="n">
        <v>47</v>
      </c>
      <c r="O3507" t="n">
        <v>32.1</v>
      </c>
      <c r="P3507" t="n">
        <v>36</v>
      </c>
      <c r="Q3507" t="n">
        <v>50.2</v>
      </c>
      <c r="R3507" t="n">
        <v>44</v>
      </c>
      <c r="S3507" t="n">
        <v>870000</v>
      </c>
      <c r="AH3507" t="inlineStr">
        <is>
          <t>Quelle: Pisos.com</t>
        </is>
      </c>
    </row>
    <row r="3508">
      <c r="A3508" t="n">
        <v>3321</v>
      </c>
      <c r="B3508" t="inlineStr">
        <is>
          <t>Chalet en La Bonanova-Porto Pi</t>
        </is>
      </c>
      <c r="C3508" t="inlineStr">
        <is>
          <t>https://www.pisos.com/comprar/chalet-la_bonanova_porto_pi07015-9254151593_101800/</t>
        </is>
      </c>
      <c r="E3508" t="n">
        <v>6</v>
      </c>
      <c r="J3508" t="inlineStr">
        <is>
          <t>Palma de Mallorca</t>
        </is>
      </c>
      <c r="K3508" t="n">
        <v>9.699999999999999</v>
      </c>
      <c r="L3508" t="n">
        <v>14</v>
      </c>
      <c r="M3508" t="n">
        <v>52.5</v>
      </c>
      <c r="N3508" t="n">
        <v>47</v>
      </c>
      <c r="O3508" t="n">
        <v>32.1</v>
      </c>
      <c r="P3508" t="n">
        <v>36</v>
      </c>
      <c r="Q3508" t="n">
        <v>50.2</v>
      </c>
      <c r="R3508" t="n">
        <v>44</v>
      </c>
      <c r="S3508" t="n">
        <v>3500000</v>
      </c>
      <c r="AH3508" t="inlineStr">
        <is>
          <t>Quelle: Pisos.com</t>
        </is>
      </c>
    </row>
    <row r="3509">
      <c r="A3509" t="n">
        <v>3322</v>
      </c>
      <c r="B3509" t="inlineStr">
        <is>
          <t>Chalet en Son Armadans</t>
        </is>
      </c>
      <c r="C3509" t="inlineStr">
        <is>
          <t>https://www.pisos.com/comprar/chalet-son_armadans-33366821254_101800/</t>
        </is>
      </c>
      <c r="E3509" t="n">
        <v>4</v>
      </c>
      <c r="J3509" t="inlineStr">
        <is>
          <t>Palma de Mallorca</t>
        </is>
      </c>
      <c r="K3509" t="n">
        <v>9.699999999999999</v>
      </c>
      <c r="L3509" t="n">
        <v>14</v>
      </c>
      <c r="M3509" t="n">
        <v>52.5</v>
      </c>
      <c r="N3509" t="n">
        <v>47</v>
      </c>
      <c r="O3509" t="n">
        <v>32.1</v>
      </c>
      <c r="P3509" t="n">
        <v>36</v>
      </c>
      <c r="Q3509" t="n">
        <v>50.2</v>
      </c>
      <c r="R3509" t="n">
        <v>44</v>
      </c>
      <c r="S3509" t="n">
        <v>1750000</v>
      </c>
      <c r="AH3509" t="inlineStr">
        <is>
          <t>Quelle: Pisos.com</t>
        </is>
      </c>
    </row>
    <row r="3510">
      <c r="A3510" t="n">
        <v>3323</v>
      </c>
      <c r="B3510" t="inlineStr">
        <is>
          <t>Casa adosada en Gènova</t>
        </is>
      </c>
      <c r="C3510" t="inlineStr">
        <is>
          <t>https://www.pisos.com/comprar/casa_adosada-ponent_genova07015-32527703959_100500/</t>
        </is>
      </c>
      <c r="E3510" t="n">
        <v>3</v>
      </c>
      <c r="J3510" t="inlineStr">
        <is>
          <t>Palma de Mallorca</t>
        </is>
      </c>
      <c r="K3510" t="n">
        <v>9.699999999999999</v>
      </c>
      <c r="L3510" t="n">
        <v>14</v>
      </c>
      <c r="M3510" t="n">
        <v>52.5</v>
      </c>
      <c r="N3510" t="n">
        <v>47</v>
      </c>
      <c r="O3510" t="n">
        <v>32.1</v>
      </c>
      <c r="P3510" t="n">
        <v>36</v>
      </c>
      <c r="Q3510" t="n">
        <v>50.2</v>
      </c>
      <c r="R3510" t="n">
        <v>44</v>
      </c>
      <c r="S3510" t="n">
        <v>1200000</v>
      </c>
      <c r="AH3510" t="inlineStr">
        <is>
          <t>Quelle: Pisos.com</t>
        </is>
      </c>
    </row>
    <row r="3511">
      <c r="A3511" t="n">
        <v>3324</v>
      </c>
      <c r="B3511" t="inlineStr">
        <is>
          <t>Casa rústica en Son Sardina</t>
        </is>
      </c>
      <c r="C3511" t="inlineStr">
        <is>
          <t>https://www.pisos.com/comprar/casa_rustica-nord_son_sardina07120-1688114464_101800/</t>
        </is>
      </c>
      <c r="E3511" t="n">
        <v>3</v>
      </c>
      <c r="J3511" t="inlineStr">
        <is>
          <t>Palma de Mallorca</t>
        </is>
      </c>
      <c r="K3511" t="n">
        <v>9.699999999999999</v>
      </c>
      <c r="L3511" t="n">
        <v>14</v>
      </c>
      <c r="M3511" t="n">
        <v>52.5</v>
      </c>
      <c r="N3511" t="n">
        <v>47</v>
      </c>
      <c r="O3511" t="n">
        <v>32.1</v>
      </c>
      <c r="P3511" t="n">
        <v>36</v>
      </c>
      <c r="Q3511" t="n">
        <v>50.2</v>
      </c>
      <c r="R3511" t="n">
        <v>44</v>
      </c>
      <c r="S3511" t="n">
        <v>1590000</v>
      </c>
      <c r="AH3511" t="inlineStr">
        <is>
          <t>Quelle: Pisos.com</t>
        </is>
      </c>
    </row>
    <row r="3512">
      <c r="A3512" t="n">
        <v>3325</v>
      </c>
      <c r="B3512" t="inlineStr">
        <is>
          <t>Casa rústica en Son Ferriol</t>
        </is>
      </c>
      <c r="C3512" t="inlineStr">
        <is>
          <t>https://www.pisos.com/comprar/casa_rustica-llevant_son_ferriol07198-98347052109_101800/</t>
        </is>
      </c>
      <c r="E3512" t="n">
        <v>5</v>
      </c>
      <c r="J3512" t="inlineStr">
        <is>
          <t>Palma de Mallorca</t>
        </is>
      </c>
      <c r="K3512" t="n">
        <v>9.699999999999999</v>
      </c>
      <c r="L3512" t="n">
        <v>14</v>
      </c>
      <c r="M3512" t="n">
        <v>52.5</v>
      </c>
      <c r="N3512" t="n">
        <v>47</v>
      </c>
      <c r="O3512" t="n">
        <v>32.1</v>
      </c>
      <c r="P3512" t="n">
        <v>36</v>
      </c>
      <c r="Q3512" t="n">
        <v>50.2</v>
      </c>
      <c r="R3512" t="n">
        <v>44</v>
      </c>
      <c r="S3512" t="n">
        <v>2800000</v>
      </c>
      <c r="AH3512" t="inlineStr">
        <is>
          <t>Quelle: Pisos.com</t>
        </is>
      </c>
    </row>
    <row r="3513">
      <c r="A3513" t="n">
        <v>3326</v>
      </c>
      <c r="B3513" t="inlineStr">
        <is>
          <t>Casa en La Missió</t>
        </is>
      </c>
      <c r="C3513" t="inlineStr">
        <is>
          <t>https://www.pisos.com/comprar/casa-la_missio07003-87511678103_109300/</t>
        </is>
      </c>
      <c r="E3513" t="n">
        <v>6</v>
      </c>
      <c r="J3513" t="inlineStr">
        <is>
          <t>Palma de Mallorca</t>
        </is>
      </c>
      <c r="K3513" t="n">
        <v>9.699999999999999</v>
      </c>
      <c r="L3513" t="n">
        <v>14</v>
      </c>
      <c r="M3513" t="n">
        <v>52.5</v>
      </c>
      <c r="N3513" t="n">
        <v>47</v>
      </c>
      <c r="O3513" t="n">
        <v>32.1</v>
      </c>
      <c r="P3513" t="n">
        <v>36</v>
      </c>
      <c r="Q3513" t="n">
        <v>50.2</v>
      </c>
      <c r="R3513" t="n">
        <v>44</v>
      </c>
      <c r="S3513" t="n">
        <v>1800000</v>
      </c>
      <c r="AH3513" t="inlineStr">
        <is>
          <t>Quelle: Pisos.com</t>
        </is>
      </c>
    </row>
    <row r="3514">
      <c r="A3514" t="n">
        <v>3327</v>
      </c>
      <c r="B3514" t="inlineStr">
        <is>
          <t>Casa en Gènova</t>
        </is>
      </c>
      <c r="C3514" t="inlineStr">
        <is>
          <t>https://www.pisos.com/comprar/casa-ponent_genova-61692832443_105600/</t>
        </is>
      </c>
      <c r="E3514" t="n">
        <v>5</v>
      </c>
      <c r="J3514" t="inlineStr">
        <is>
          <t>Palma de Mallorca</t>
        </is>
      </c>
      <c r="K3514" t="n">
        <v>9.699999999999999</v>
      </c>
      <c r="L3514" t="n">
        <v>14</v>
      </c>
      <c r="M3514" t="n">
        <v>52.5</v>
      </c>
      <c r="N3514" t="n">
        <v>47</v>
      </c>
      <c r="O3514" t="n">
        <v>32.1</v>
      </c>
      <c r="P3514" t="n">
        <v>36</v>
      </c>
      <c r="Q3514" t="n">
        <v>50.2</v>
      </c>
      <c r="R3514" t="n">
        <v>44</v>
      </c>
      <c r="S3514" t="n">
        <v>890000</v>
      </c>
      <c r="AH3514" t="inlineStr">
        <is>
          <t>Quelle: Pisos.com</t>
        </is>
      </c>
    </row>
    <row r="3515">
      <c r="A3515" t="n">
        <v>3328</v>
      </c>
      <c r="B3515" t="inlineStr">
        <is>
          <t>Casa adosada en Son Espanyolet</t>
        </is>
      </c>
      <c r="C3515" t="inlineStr">
        <is>
          <t>https://www.pisos.com/comprar/casa_adosada-ponent_son_espanyolet07014-59223278910_106600/</t>
        </is>
      </c>
      <c r="E3515" t="n">
        <v>3</v>
      </c>
      <c r="J3515" t="inlineStr">
        <is>
          <t>Palma de Mallorca</t>
        </is>
      </c>
      <c r="K3515" t="n">
        <v>9.699999999999999</v>
      </c>
      <c r="L3515" t="n">
        <v>14</v>
      </c>
      <c r="M3515" t="n">
        <v>52.5</v>
      </c>
      <c r="N3515" t="n">
        <v>47</v>
      </c>
      <c r="O3515" t="n">
        <v>32.1</v>
      </c>
      <c r="P3515" t="n">
        <v>36</v>
      </c>
      <c r="Q3515" t="n">
        <v>50.2</v>
      </c>
      <c r="R3515" t="n">
        <v>44</v>
      </c>
      <c r="S3515" t="n">
        <v>1500000</v>
      </c>
      <c r="AH3515" t="inlineStr">
        <is>
          <t>Quelle: Pisos.com</t>
        </is>
      </c>
    </row>
    <row r="3516">
      <c r="A3516" t="n">
        <v>3329</v>
      </c>
      <c r="B3516" t="inlineStr">
        <is>
          <t>Casa en Palma de Mallorca</t>
        </is>
      </c>
      <c r="C3516" t="inlineStr">
        <is>
          <t>https://www.pisos.com/comprar/casa-palma_de_mallorca-58401899606_106500/</t>
        </is>
      </c>
      <c r="E3516" t="n">
        <v>6</v>
      </c>
      <c r="J3516" t="inlineStr">
        <is>
          <t>Palma de Mallorca</t>
        </is>
      </c>
      <c r="K3516" t="n">
        <v>9.699999999999999</v>
      </c>
      <c r="L3516" t="n">
        <v>14</v>
      </c>
      <c r="M3516" t="n">
        <v>52.5</v>
      </c>
      <c r="N3516" t="n">
        <v>47</v>
      </c>
      <c r="O3516" t="n">
        <v>32.1</v>
      </c>
      <c r="P3516" t="n">
        <v>36</v>
      </c>
      <c r="Q3516" t="n">
        <v>50.2</v>
      </c>
      <c r="R3516" t="n">
        <v>44</v>
      </c>
      <c r="S3516" t="n">
        <v>1185000</v>
      </c>
      <c r="AH3516" t="inlineStr">
        <is>
          <t>Quelle: Pisos.com</t>
        </is>
      </c>
    </row>
    <row r="3517">
      <c r="A3517" t="n">
        <v>3330</v>
      </c>
      <c r="B3517" t="inlineStr">
        <is>
          <t>Casa en Sant Jordi</t>
        </is>
      </c>
      <c r="C3517" t="inlineStr">
        <is>
          <t>https://www.pisos.com/comprar/casa-llevant_sant_jordi07199-56736419577_105600/</t>
        </is>
      </c>
      <c r="E3517" t="n">
        <v>4</v>
      </c>
      <c r="J3517" t="inlineStr">
        <is>
          <t>Palma de Mallorca</t>
        </is>
      </c>
      <c r="K3517" t="n">
        <v>9.699999999999999</v>
      </c>
      <c r="L3517" t="n">
        <v>14</v>
      </c>
      <c r="M3517" t="n">
        <v>52.5</v>
      </c>
      <c r="N3517" t="n">
        <v>47</v>
      </c>
      <c r="O3517" t="n">
        <v>32.1</v>
      </c>
      <c r="P3517" t="n">
        <v>36</v>
      </c>
      <c r="Q3517" t="n">
        <v>50.2</v>
      </c>
      <c r="R3517" t="n">
        <v>44</v>
      </c>
      <c r="S3517" t="n">
        <v>2640000</v>
      </c>
      <c r="AH3517" t="inlineStr">
        <is>
          <t>Quelle: Pisos.com</t>
        </is>
      </c>
    </row>
    <row r="3518">
      <c r="A3518" t="n">
        <v>3331</v>
      </c>
      <c r="B3518" t="inlineStr">
        <is>
          <t>Casa adosada en Palma de Mallorca</t>
        </is>
      </c>
      <c r="C3518" t="inlineStr">
        <is>
          <t>https://www.pisos.com/comprar/casa_adosada-palma_de_mallorca-55854530219_106500/</t>
        </is>
      </c>
      <c r="E3518" t="n">
        <v>4</v>
      </c>
      <c r="J3518" t="inlineStr">
        <is>
          <t>Palma de Mallorca</t>
        </is>
      </c>
      <c r="K3518" t="n">
        <v>9.699999999999999</v>
      </c>
      <c r="L3518" t="n">
        <v>14</v>
      </c>
      <c r="M3518" t="n">
        <v>52.5</v>
      </c>
      <c r="N3518" t="n">
        <v>47</v>
      </c>
      <c r="O3518" t="n">
        <v>32.1</v>
      </c>
      <c r="P3518" t="n">
        <v>36</v>
      </c>
      <c r="Q3518" t="n">
        <v>50.2</v>
      </c>
      <c r="R3518" t="n">
        <v>44</v>
      </c>
      <c r="S3518" t="n">
        <v>1155000</v>
      </c>
      <c r="AH3518" t="inlineStr">
        <is>
          <t>Quelle: Pisos.com</t>
        </is>
      </c>
    </row>
    <row r="3519">
      <c r="A3519" t="n">
        <v>3332</v>
      </c>
      <c r="B3519" t="inlineStr">
        <is>
          <t>Chalet en Palma de Mallorca</t>
        </is>
      </c>
      <c r="C3519" t="inlineStr">
        <is>
          <t>https://www.pisos.com/comprar/chalet-palma_de_mallorca-55871719237_106500/</t>
        </is>
      </c>
      <c r="E3519" t="n">
        <v>4</v>
      </c>
      <c r="J3519" t="inlineStr">
        <is>
          <t>Palma de Mallorca</t>
        </is>
      </c>
      <c r="K3519" t="n">
        <v>9.699999999999999</v>
      </c>
      <c r="L3519" t="n">
        <v>14</v>
      </c>
      <c r="M3519" t="n">
        <v>52.5</v>
      </c>
      <c r="N3519" t="n">
        <v>47</v>
      </c>
      <c r="O3519" t="n">
        <v>32.1</v>
      </c>
      <c r="P3519" t="n">
        <v>36</v>
      </c>
      <c r="Q3519" t="n">
        <v>50.2</v>
      </c>
      <c r="R3519" t="n">
        <v>44</v>
      </c>
      <c r="S3519" t="n">
        <v>2395000</v>
      </c>
      <c r="AH3519" t="inlineStr">
        <is>
          <t>Quelle: Pisos.com</t>
        </is>
      </c>
    </row>
    <row r="3520">
      <c r="A3520" t="n">
        <v>3333</v>
      </c>
      <c r="B3520" t="inlineStr">
        <is>
          <t>Casa adosada en Palma de Mallorca</t>
        </is>
      </c>
      <c r="C3520" t="inlineStr">
        <is>
          <t>https://www.pisos.com/comprar/casa_adosada-palma_de_mallorca-60080897734_106500/</t>
        </is>
      </c>
      <c r="E3520" t="n">
        <v>3</v>
      </c>
      <c r="J3520" t="inlineStr">
        <is>
          <t>Palma de Mallorca</t>
        </is>
      </c>
      <c r="K3520" t="n">
        <v>9.699999999999999</v>
      </c>
      <c r="L3520" t="n">
        <v>14</v>
      </c>
      <c r="M3520" t="n">
        <v>52.5</v>
      </c>
      <c r="N3520" t="n">
        <v>47</v>
      </c>
      <c r="O3520" t="n">
        <v>32.1</v>
      </c>
      <c r="P3520" t="n">
        <v>36</v>
      </c>
      <c r="Q3520" t="n">
        <v>50.2</v>
      </c>
      <c r="R3520" t="n">
        <v>44</v>
      </c>
      <c r="S3520" t="n">
        <v>1060000</v>
      </c>
      <c r="AH3520" t="inlineStr">
        <is>
          <t>Quelle: Pisos.com</t>
        </is>
      </c>
    </row>
    <row r="3521">
      <c r="A3521" t="n">
        <v>3334</v>
      </c>
      <c r="B3521" t="inlineStr">
        <is>
          <t>Casa adosada en Palma de Mallorca</t>
        </is>
      </c>
      <c r="C3521" t="inlineStr">
        <is>
          <t>https://www.pisos.com/comprar/casa_adosada-palma_de_mallorca-60020995998_106500/</t>
        </is>
      </c>
      <c r="E3521" t="n">
        <v>3</v>
      </c>
      <c r="J3521" t="inlineStr">
        <is>
          <t>Palma de Mallorca</t>
        </is>
      </c>
      <c r="K3521" t="n">
        <v>9.699999999999999</v>
      </c>
      <c r="L3521" t="n">
        <v>14</v>
      </c>
      <c r="M3521" t="n">
        <v>52.5</v>
      </c>
      <c r="N3521" t="n">
        <v>47</v>
      </c>
      <c r="O3521" t="n">
        <v>32.1</v>
      </c>
      <c r="P3521" t="n">
        <v>36</v>
      </c>
      <c r="Q3521" t="n">
        <v>50.2</v>
      </c>
      <c r="R3521" t="n">
        <v>44</v>
      </c>
      <c r="S3521" t="n">
        <v>1380000</v>
      </c>
      <c r="AH3521" t="inlineStr">
        <is>
          <t>Quelle: Pisos.com</t>
        </is>
      </c>
    </row>
    <row r="3522">
      <c r="A3522" t="n">
        <v>3335</v>
      </c>
      <c r="B3522" t="inlineStr">
        <is>
          <t>Casa adosada en Son Espanyolet</t>
        </is>
      </c>
      <c r="C3522" t="inlineStr">
        <is>
          <t>https://www.pisos.com/comprar/casa_adosada-ponent_son_espanyolet07014-59260329599_106600/</t>
        </is>
      </c>
      <c r="E3522" t="n">
        <v>3</v>
      </c>
      <c r="J3522" t="inlineStr">
        <is>
          <t>Palma de Mallorca</t>
        </is>
      </c>
      <c r="K3522" t="n">
        <v>9.699999999999999</v>
      </c>
      <c r="L3522" t="n">
        <v>14</v>
      </c>
      <c r="M3522" t="n">
        <v>52.5</v>
      </c>
      <c r="N3522" t="n">
        <v>47</v>
      </c>
      <c r="O3522" t="n">
        <v>32.1</v>
      </c>
      <c r="P3522" t="n">
        <v>36</v>
      </c>
      <c r="Q3522" t="n">
        <v>50.2</v>
      </c>
      <c r="R3522" t="n">
        <v>44</v>
      </c>
      <c r="S3522" t="n">
        <v>1500000</v>
      </c>
      <c r="AH3522" t="inlineStr">
        <is>
          <t>Quelle: Pisos.com</t>
        </is>
      </c>
    </row>
    <row r="3523">
      <c r="A3523" t="n">
        <v>3336</v>
      </c>
      <c r="B3523" t="inlineStr">
        <is>
          <t>Casa adosada en Son Espanyolet</t>
        </is>
      </c>
      <c r="C3523" t="inlineStr">
        <is>
          <t>https://www.pisos.com/comprar/casa_adosada-ponent_son_espanyolet07014-59177475430_106600/</t>
        </is>
      </c>
      <c r="E3523" t="n">
        <v>3</v>
      </c>
      <c r="J3523" t="inlineStr">
        <is>
          <t>Palma de Mallorca</t>
        </is>
      </c>
      <c r="K3523" t="n">
        <v>9.699999999999999</v>
      </c>
      <c r="L3523" t="n">
        <v>14</v>
      </c>
      <c r="M3523" t="n">
        <v>52.5</v>
      </c>
      <c r="N3523" t="n">
        <v>47</v>
      </c>
      <c r="O3523" t="n">
        <v>32.1</v>
      </c>
      <c r="P3523" t="n">
        <v>36</v>
      </c>
      <c r="Q3523" t="n">
        <v>50.2</v>
      </c>
      <c r="R3523" t="n">
        <v>44</v>
      </c>
      <c r="S3523" t="n">
        <v>1500000</v>
      </c>
      <c r="AH3523" t="inlineStr">
        <is>
          <t>Quelle: Pisos.com</t>
        </is>
      </c>
    </row>
    <row r="3524">
      <c r="A3524" t="n">
        <v>3337</v>
      </c>
      <c r="B3524" t="inlineStr">
        <is>
          <t>Casa adosada en Son Espanyolet</t>
        </is>
      </c>
      <c r="C3524" t="inlineStr">
        <is>
          <t>https://www.pisos.com/comprar/casa_adosada-ponent_son_espanyolet07014-59177907715_106600/</t>
        </is>
      </c>
      <c r="E3524" t="n">
        <v>3</v>
      </c>
      <c r="J3524" t="inlineStr">
        <is>
          <t>Palma de Mallorca</t>
        </is>
      </c>
      <c r="K3524" t="n">
        <v>9.699999999999999</v>
      </c>
      <c r="L3524" t="n">
        <v>14</v>
      </c>
      <c r="M3524" t="n">
        <v>52.5</v>
      </c>
      <c r="N3524" t="n">
        <v>47</v>
      </c>
      <c r="O3524" t="n">
        <v>32.1</v>
      </c>
      <c r="P3524" t="n">
        <v>36</v>
      </c>
      <c r="Q3524" t="n">
        <v>50.2</v>
      </c>
      <c r="R3524" t="n">
        <v>44</v>
      </c>
      <c r="S3524" t="n">
        <v>1500000</v>
      </c>
      <c r="AH3524" t="inlineStr">
        <is>
          <t>Quelle: Pisos.com</t>
        </is>
      </c>
    </row>
    <row r="3525">
      <c r="A3525" t="n">
        <v>3338</v>
      </c>
      <c r="B3525" t="inlineStr">
        <is>
          <t>Casa en Son Gual</t>
        </is>
      </c>
      <c r="C3525" t="inlineStr">
        <is>
          <t>https://www.pisos.com/comprar/casa-llevant_sant_jordi07199-59189200143_106700/</t>
        </is>
      </c>
      <c r="E3525" t="n">
        <v>4</v>
      </c>
      <c r="J3525" t="inlineStr">
        <is>
          <t>Palma de Mallorca</t>
        </is>
      </c>
      <c r="K3525" t="n">
        <v>9.699999999999999</v>
      </c>
      <c r="L3525" t="n">
        <v>14</v>
      </c>
      <c r="M3525" t="n">
        <v>52.5</v>
      </c>
      <c r="N3525" t="n">
        <v>47</v>
      </c>
      <c r="O3525" t="n">
        <v>32.1</v>
      </c>
      <c r="P3525" t="n">
        <v>36</v>
      </c>
      <c r="Q3525" t="n">
        <v>50.2</v>
      </c>
      <c r="R3525" t="n">
        <v>44</v>
      </c>
      <c r="S3525" t="n">
        <v>2640000</v>
      </c>
      <c r="AH3525" t="inlineStr">
        <is>
          <t>Quelle: Pisos.com</t>
        </is>
      </c>
    </row>
    <row r="3526">
      <c r="A3526" t="n">
        <v>3339</v>
      </c>
      <c r="B3526" t="inlineStr">
        <is>
          <t>Casa en Son Espanyolet</t>
        </is>
      </c>
      <c r="C3526" t="inlineStr">
        <is>
          <t>https://www.pisos.com/comprar/casa-ponent_son_espanyolet07014-58348402454_105600/</t>
        </is>
      </c>
      <c r="E3526" t="n">
        <v>3</v>
      </c>
      <c r="J3526" t="inlineStr">
        <is>
          <t>Palma de Mallorca</t>
        </is>
      </c>
      <c r="K3526" t="n">
        <v>9.699999999999999</v>
      </c>
      <c r="L3526" t="n">
        <v>14</v>
      </c>
      <c r="M3526" t="n">
        <v>52.5</v>
      </c>
      <c r="N3526" t="n">
        <v>47</v>
      </c>
      <c r="O3526" t="n">
        <v>32.1</v>
      </c>
      <c r="P3526" t="n">
        <v>36</v>
      </c>
      <c r="Q3526" t="n">
        <v>50.2</v>
      </c>
      <c r="R3526" t="n">
        <v>44</v>
      </c>
      <c r="S3526" t="n">
        <v>1500000</v>
      </c>
      <c r="AH3526" t="inlineStr">
        <is>
          <t>Quelle: Pisos.com</t>
        </is>
      </c>
    </row>
    <row r="3527">
      <c r="A3527" t="n">
        <v>3340</v>
      </c>
      <c r="B3527" t="inlineStr">
        <is>
          <t>Casa en Son Espanyolet</t>
        </is>
      </c>
      <c r="C3527" t="inlineStr">
        <is>
          <t>https://www.pisos.com/comprar/casa-ponent_son_espanyolet07014-58395918028_105600/</t>
        </is>
      </c>
      <c r="E3527" t="n">
        <v>3</v>
      </c>
      <c r="J3527" t="inlineStr">
        <is>
          <t>Palma de Mallorca</t>
        </is>
      </c>
      <c r="K3527" t="n">
        <v>9.699999999999999</v>
      </c>
      <c r="L3527" t="n">
        <v>14</v>
      </c>
      <c r="M3527" t="n">
        <v>52.5</v>
      </c>
      <c r="N3527" t="n">
        <v>47</v>
      </c>
      <c r="O3527" t="n">
        <v>32.1</v>
      </c>
      <c r="P3527" t="n">
        <v>36</v>
      </c>
      <c r="Q3527" t="n">
        <v>50.2</v>
      </c>
      <c r="R3527" t="n">
        <v>44</v>
      </c>
      <c r="S3527" t="n">
        <v>1500000</v>
      </c>
      <c r="AH3527" t="inlineStr">
        <is>
          <t>Quelle: Pisos.com</t>
        </is>
      </c>
    </row>
    <row r="3528">
      <c r="A3528" t="n">
        <v>3341</v>
      </c>
      <c r="B3528" t="inlineStr">
        <is>
          <t>Casa en Son Espanyolet</t>
        </is>
      </c>
      <c r="C3528" t="inlineStr">
        <is>
          <t>https://www.pisos.com/comprar/casa-ponent_son_espanyolet07014-58341006795_105600/</t>
        </is>
      </c>
      <c r="E3528" t="n">
        <v>3</v>
      </c>
      <c r="J3528" t="inlineStr">
        <is>
          <t>Palma de Mallorca</t>
        </is>
      </c>
      <c r="K3528" t="n">
        <v>9.699999999999999</v>
      </c>
      <c r="L3528" t="n">
        <v>14</v>
      </c>
      <c r="M3528" t="n">
        <v>52.5</v>
      </c>
      <c r="N3528" t="n">
        <v>47</v>
      </c>
      <c r="O3528" t="n">
        <v>32.1</v>
      </c>
      <c r="P3528" t="n">
        <v>36</v>
      </c>
      <c r="Q3528" t="n">
        <v>50.2</v>
      </c>
      <c r="R3528" t="n">
        <v>44</v>
      </c>
      <c r="S3528" t="n">
        <v>1500000</v>
      </c>
      <c r="AH3528" t="inlineStr">
        <is>
          <t>Quelle: Pisos.com</t>
        </is>
      </c>
    </row>
    <row r="3529">
      <c r="A3529" t="n">
        <v>3342</v>
      </c>
      <c r="B3529" t="inlineStr">
        <is>
          <t>Casa en Son Espanyolet</t>
        </is>
      </c>
      <c r="C3529" t="inlineStr">
        <is>
          <t>https://www.pisos.com/comprar/casa-ponent_son_espanyolet07014-58337792857_105600/</t>
        </is>
      </c>
      <c r="E3529" t="n">
        <v>3</v>
      </c>
      <c r="J3529" t="inlineStr">
        <is>
          <t>Palma de Mallorca</t>
        </is>
      </c>
      <c r="K3529" t="n">
        <v>9.699999999999999</v>
      </c>
      <c r="L3529" t="n">
        <v>14</v>
      </c>
      <c r="M3529" t="n">
        <v>52.5</v>
      </c>
      <c r="N3529" t="n">
        <v>47</v>
      </c>
      <c r="O3529" t="n">
        <v>32.1</v>
      </c>
      <c r="P3529" t="n">
        <v>36</v>
      </c>
      <c r="Q3529" t="n">
        <v>50.2</v>
      </c>
      <c r="R3529" t="n">
        <v>44</v>
      </c>
      <c r="S3529" t="n">
        <v>1500000</v>
      </c>
      <c r="AH3529" t="inlineStr">
        <is>
          <t>Quelle: Pisos.com</t>
        </is>
      </c>
    </row>
    <row r="3530">
      <c r="A3530" t="n">
        <v>3343</v>
      </c>
      <c r="B3530" t="inlineStr">
        <is>
          <t>Casa en Establiments</t>
        </is>
      </c>
      <c r="C3530" t="inlineStr">
        <is>
          <t>https://www.pisos.com/comprar/casa-establiments07010-56754895701_105600/</t>
        </is>
      </c>
      <c r="E3530" t="n">
        <v>3</v>
      </c>
      <c r="J3530" t="inlineStr">
        <is>
          <t>Palma de Mallorca</t>
        </is>
      </c>
      <c r="K3530" t="n">
        <v>9.699999999999999</v>
      </c>
      <c r="L3530" t="n">
        <v>14</v>
      </c>
      <c r="M3530" t="n">
        <v>52.5</v>
      </c>
      <c r="N3530" t="n">
        <v>47</v>
      </c>
      <c r="O3530" t="n">
        <v>32.1</v>
      </c>
      <c r="P3530" t="n">
        <v>36</v>
      </c>
      <c r="Q3530" t="n">
        <v>50.2</v>
      </c>
      <c r="R3530" t="n">
        <v>44</v>
      </c>
      <c r="S3530" t="n">
        <v>1200000</v>
      </c>
      <c r="AH3530" t="inlineStr">
        <is>
          <t>Quelle: Pisos.com</t>
        </is>
      </c>
    </row>
    <row r="3531">
      <c r="A3531" t="n">
        <v>3344</v>
      </c>
      <c r="B3531" t="inlineStr">
        <is>
          <t>Casa en Es Jonquet</t>
        </is>
      </c>
      <c r="C3531" t="inlineStr">
        <is>
          <t>https://www.pisos.com/comprar/casa-ponent_santa_catalina07013-55019270072_106700/</t>
        </is>
      </c>
      <c r="E3531" t="n">
        <v>2</v>
      </c>
      <c r="J3531" t="inlineStr">
        <is>
          <t>Palma de Mallorca</t>
        </is>
      </c>
      <c r="K3531" t="n">
        <v>9.699999999999999</v>
      </c>
      <c r="L3531" t="n">
        <v>14</v>
      </c>
      <c r="M3531" t="n">
        <v>52.5</v>
      </c>
      <c r="N3531" t="n">
        <v>47</v>
      </c>
      <c r="O3531" t="n">
        <v>32.1</v>
      </c>
      <c r="P3531" t="n">
        <v>36</v>
      </c>
      <c r="Q3531" t="n">
        <v>50.2</v>
      </c>
      <c r="R3531" t="n">
        <v>44</v>
      </c>
      <c r="S3531" t="n">
        <v>2590000</v>
      </c>
      <c r="AH3531" t="inlineStr">
        <is>
          <t>Quelle: Pisos.com</t>
        </is>
      </c>
    </row>
    <row r="3532">
      <c r="A3532" t="n">
        <v>3345</v>
      </c>
      <c r="B3532" t="inlineStr">
        <is>
          <t>Casa en Paseo Marítimo</t>
        </is>
      </c>
      <c r="C3532" t="inlineStr">
        <is>
          <t>https://www.pisos.com/comprar/casa-son_armadans-55062159850_100500/</t>
        </is>
      </c>
      <c r="E3532" t="n">
        <v>4</v>
      </c>
      <c r="J3532" t="inlineStr">
        <is>
          <t>Palma de Mallorca</t>
        </is>
      </c>
      <c r="K3532" t="n">
        <v>9.699999999999999</v>
      </c>
      <c r="L3532" t="n">
        <v>14</v>
      </c>
      <c r="M3532" t="n">
        <v>52.5</v>
      </c>
      <c r="N3532" t="n">
        <v>47</v>
      </c>
      <c r="O3532" t="n">
        <v>32.1</v>
      </c>
      <c r="P3532" t="n">
        <v>36</v>
      </c>
      <c r="Q3532" t="n">
        <v>50.2</v>
      </c>
      <c r="R3532" t="n">
        <v>44</v>
      </c>
      <c r="S3532" t="n">
        <v>2750000</v>
      </c>
      <c r="AH3532" t="inlineStr">
        <is>
          <t>Quelle: Pisos.com</t>
        </is>
      </c>
    </row>
    <row r="3533">
      <c r="A3533" t="n">
        <v>3346</v>
      </c>
      <c r="B3533" t="inlineStr">
        <is>
          <t>Casa adosada en La Calatrava</t>
        </is>
      </c>
      <c r="C3533" t="inlineStr">
        <is>
          <t>https://www.pisos.com/comprar/casa_adosada-la_calatrava-54236134050_106600/</t>
        </is>
      </c>
      <c r="E3533" t="n">
        <v>3</v>
      </c>
      <c r="J3533" t="inlineStr">
        <is>
          <t>Palma de Mallorca</t>
        </is>
      </c>
      <c r="K3533" t="n">
        <v>9.699999999999999</v>
      </c>
      <c r="L3533" t="n">
        <v>14</v>
      </c>
      <c r="M3533" t="n">
        <v>52.5</v>
      </c>
      <c r="N3533" t="n">
        <v>47</v>
      </c>
      <c r="O3533" t="n">
        <v>32.1</v>
      </c>
      <c r="P3533" t="n">
        <v>36</v>
      </c>
      <c r="Q3533" t="n">
        <v>50.2</v>
      </c>
      <c r="R3533" t="n">
        <v>44</v>
      </c>
      <c r="S3533" t="n">
        <v>2550000</v>
      </c>
      <c r="AH3533" t="inlineStr">
        <is>
          <t>Quelle: Pisos.com</t>
        </is>
      </c>
    </row>
    <row r="3534">
      <c r="A3534" t="n">
        <v>3347</v>
      </c>
      <c r="B3534" t="inlineStr">
        <is>
          <t>Chalet en Son Rapinya-Los Almendros</t>
        </is>
      </c>
      <c r="C3534" t="inlineStr">
        <is>
          <t>https://www.pisos.com/comprar/chalet-son_rapinya_los_almendros07013-54224613524_101800/</t>
        </is>
      </c>
      <c r="J3534" t="inlineStr">
        <is>
          <t>Palma de Mallorca</t>
        </is>
      </c>
      <c r="K3534" t="n">
        <v>9.699999999999999</v>
      </c>
      <c r="L3534" t="n">
        <v>14</v>
      </c>
      <c r="M3534" t="n">
        <v>52.5</v>
      </c>
      <c r="N3534" t="n">
        <v>47</v>
      </c>
      <c r="O3534" t="n">
        <v>32.1</v>
      </c>
      <c r="P3534" t="n">
        <v>36</v>
      </c>
      <c r="Q3534" t="n">
        <v>50.2</v>
      </c>
      <c r="R3534" t="n">
        <v>44</v>
      </c>
      <c r="S3534" t="n">
        <v>5900000</v>
      </c>
      <c r="AH3534" t="inlineStr">
        <is>
          <t>Quelle: Pisos.com</t>
        </is>
      </c>
    </row>
    <row r="3535">
      <c r="A3535" t="n">
        <v>3348</v>
      </c>
      <c r="B3535" t="inlineStr">
        <is>
          <t>Casa adosada en Son Cladera-Son Rutlan-Verge de Lluc</t>
        </is>
      </c>
      <c r="C3535" t="inlineStr">
        <is>
          <t>https://www.pisos.com/comprar/casa_adosada-son_cladera_son_rutlan_verge_de_lluc07009-42516042876_101800/</t>
        </is>
      </c>
      <c r="E3535" t="n">
        <v>2</v>
      </c>
      <c r="J3535" t="inlineStr">
        <is>
          <t>Palma de Mallorca</t>
        </is>
      </c>
      <c r="S3535" t="n">
        <v>499000</v>
      </c>
      <c r="AH3535" t="inlineStr">
        <is>
          <t>Quelle: Pisos.com</t>
        </is>
      </c>
    </row>
    <row r="3536">
      <c r="A3536" t="n">
        <v>3349</v>
      </c>
      <c r="B3536" t="inlineStr">
        <is>
          <t>Casa en Santa Catalina</t>
        </is>
      </c>
      <c r="C3536" t="inlineStr">
        <is>
          <t>https://www.pisos.com/comprar/casa-ponent_son_espanyolet07014-61714966267_106700/</t>
        </is>
      </c>
      <c r="E3536" t="n">
        <v>2</v>
      </c>
      <c r="J3536" t="inlineStr">
        <is>
          <t>Palma de Mallorca</t>
        </is>
      </c>
      <c r="K3536" t="n">
        <v>9.699999999999999</v>
      </c>
      <c r="L3536" t="n">
        <v>14</v>
      </c>
      <c r="M3536" t="n">
        <v>52.5</v>
      </c>
      <c r="N3536" t="n">
        <v>47</v>
      </c>
      <c r="O3536" t="n">
        <v>32.1</v>
      </c>
      <c r="P3536" t="n">
        <v>36</v>
      </c>
      <c r="Q3536" t="n">
        <v>50.2</v>
      </c>
      <c r="R3536" t="n">
        <v>44</v>
      </c>
      <c r="S3536" t="n">
        <v>1290000</v>
      </c>
      <c r="AH3536" t="inlineStr">
        <is>
          <t>Quelle: Pisos.com</t>
        </is>
      </c>
    </row>
    <row r="3537">
      <c r="A3537" t="n">
        <v>3350</v>
      </c>
      <c r="B3537" t="inlineStr">
        <is>
          <t>Chalet en Palma de Mallorca</t>
        </is>
      </c>
      <c r="C3537" t="inlineStr">
        <is>
          <t>https://www.pisos.com/comprar/chalet-palma_de_mallorca-61667992158_106500/</t>
        </is>
      </c>
      <c r="E3537" t="n">
        <v>7</v>
      </c>
      <c r="J3537" t="inlineStr">
        <is>
          <t>Palma de Mallorca</t>
        </is>
      </c>
      <c r="K3537" t="n">
        <v>9.699999999999999</v>
      </c>
      <c r="L3537" t="n">
        <v>14</v>
      </c>
      <c r="M3537" t="n">
        <v>52.5</v>
      </c>
      <c r="N3537" t="n">
        <v>47</v>
      </c>
      <c r="O3537" t="n">
        <v>32.1</v>
      </c>
      <c r="P3537" t="n">
        <v>36</v>
      </c>
      <c r="Q3537" t="n">
        <v>50.2</v>
      </c>
      <c r="R3537" t="n">
        <v>44</v>
      </c>
      <c r="S3537" t="n">
        <v>14500000</v>
      </c>
      <c r="AH3537" t="inlineStr">
        <is>
          <t>Quelle: Pisos.com</t>
        </is>
      </c>
    </row>
    <row r="3538">
      <c r="A3538" t="n">
        <v>3351</v>
      </c>
      <c r="B3538" t="inlineStr">
        <is>
          <t>Taylor Wimpey casa</t>
        </is>
      </c>
      <c r="C3538" t="inlineStr">
        <is>
          <t>https://taylorwimpeyspain.com/es/casa/</t>
        </is>
      </c>
      <c r="E3538" t="n">
        <v>2</v>
      </c>
      <c r="J3538" t="inlineStr">
        <is>
          <t>Mallorca</t>
        </is>
      </c>
      <c r="S3538" t="n">
        <v>150000</v>
      </c>
      <c r="AH3538" t="inlineStr">
        <is>
          <t>Quelle: Taylor Wimpey España</t>
        </is>
      </c>
    </row>
    <row r="3539">
      <c r="A3539" t="n">
        <v>3352</v>
      </c>
      <c r="B3539" t="inlineStr">
        <is>
          <t>Compass – Cala D'Or Mallorca</t>
        </is>
      </c>
      <c r="C3539" t="inlineStr">
        <is>
          <t>https://taylorwimpeyspain.com/es/casa/compass-cala-dor-mallorca-apartamentos/</t>
        </is>
      </c>
      <c r="E3539" t="n">
        <v>2</v>
      </c>
      <c r="J3539" t="inlineStr">
        <is>
          <t>Cala D'Or</t>
        </is>
      </c>
      <c r="S3539" t="n">
        <v>398000</v>
      </c>
      <c r="AH3539" t="inlineStr">
        <is>
          <t>Quelle: Taylor Wimpey España</t>
        </is>
      </c>
    </row>
    <row r="3540">
      <c r="A3540" t="n">
        <v>3353</v>
      </c>
      <c r="B3540" t="inlineStr">
        <is>
          <t>Oliu – Capdepera Mallorca</t>
        </is>
      </c>
      <c r="C3540" t="inlineStr">
        <is>
          <t>https://taylorwimpeyspain.com/es/casa/oliu-capdepera-mallorca/</t>
        </is>
      </c>
      <c r="E3540" t="n">
        <v>2</v>
      </c>
      <c r="J3540" t="inlineStr">
        <is>
          <t>Capdepera</t>
        </is>
      </c>
      <c r="S3540" t="n">
        <v>475000</v>
      </c>
      <c r="AH3540" t="inlineStr">
        <is>
          <t>Quelle: Taylor Wimpey España</t>
        </is>
      </c>
    </row>
    <row r="3541">
      <c r="A3541" t="n">
        <v>3354</v>
      </c>
      <c r="B3541" t="inlineStr">
        <is>
          <t>6 Palma – Palma Centre</t>
        </is>
      </c>
      <c r="C3541" t="inlineStr">
        <is>
          <t>https://taylorwimpeyspain.com/es/casa/6-palma-apartamentos/</t>
        </is>
      </c>
      <c r="E3541" t="n">
        <v>2</v>
      </c>
      <c r="J3541" t="inlineStr">
        <is>
          <t>Palma de Mallorca</t>
        </is>
      </c>
      <c r="S3541" t="n">
        <v>395000</v>
      </c>
      <c r="AH3541" t="inlineStr">
        <is>
          <t>Quelle: Taylor Wimpey España</t>
        </is>
      </c>
    </row>
    <row r="3542">
      <c r="A3542" t="n">
        <v>3355</v>
      </c>
      <c r="B3542" t="inlineStr">
        <is>
          <t>Es Voltor – Esporles</t>
        </is>
      </c>
      <c r="C3542" t="inlineStr">
        <is>
          <t>https://taylorwimpeyspain.com/es/casa/es-voltor-esporles-mallorca/</t>
        </is>
      </c>
      <c r="E3542" t="n">
        <v>3</v>
      </c>
      <c r="J3542" t="inlineStr">
        <is>
          <t>Esporles</t>
        </is>
      </c>
      <c r="S3542" t="n">
        <v>420000</v>
      </c>
      <c r="AH3542" t="inlineStr">
        <is>
          <t>Quelle: Taylor Wimpey España</t>
        </is>
      </c>
    </row>
    <row r="3543">
      <c r="A3543" t="n">
        <v>3356</v>
      </c>
      <c r="B3543" t="inlineStr">
        <is>
          <t>Eclipse – San Telmo</t>
        </is>
      </c>
      <c r="C3543" t="inlineStr">
        <is>
          <t>https://taylorwimpeyspain.com/es/casa/eclipse-san-telmo-mallorca/</t>
        </is>
      </c>
      <c r="E3543" t="n">
        <v>3</v>
      </c>
      <c r="J3543" t="inlineStr">
        <is>
          <t>San Telmo / Andratx</t>
        </is>
      </c>
      <c r="S3543" t="n">
        <v>450000</v>
      </c>
      <c r="AH3543" t="inlineStr">
        <is>
          <t>Quelle: Taylor Wimpey España</t>
        </is>
      </c>
    </row>
    <row r="3544">
      <c r="A3544" t="n">
        <v>3357</v>
      </c>
      <c r="B3544" t="inlineStr">
        <is>
          <t>Aura – Artà</t>
        </is>
      </c>
      <c r="C3544" t="inlineStr">
        <is>
          <t>https://taylorwimpeyspain.com/es/casa/aura-arta-mallorca/</t>
        </is>
      </c>
      <c r="E3544" t="n">
        <v>3</v>
      </c>
      <c r="J3544" t="inlineStr">
        <is>
          <t>Artà</t>
        </is>
      </c>
      <c r="S3544" t="n">
        <v>380000</v>
      </c>
      <c r="AH3544" t="inlineStr">
        <is>
          <t>Quelle: Taylor Wimpey España</t>
        </is>
      </c>
    </row>
    <row r="3545">
      <c r="A3545" t="n">
        <v>3358</v>
      </c>
      <c r="B3545" t="inlineStr">
        <is>
          <t>Marina Golf – Nova Santa Ponsa</t>
        </is>
      </c>
      <c r="C3545" t="inlineStr">
        <is>
          <t>https://taylorwimpeyspain.com/es/casa/marina-golf-nova-santa-ponsa-mallorca/</t>
        </is>
      </c>
      <c r="E3545" t="n">
        <v>3</v>
      </c>
      <c r="J3545" t="inlineStr">
        <is>
          <t>Santa Ponsa</t>
        </is>
      </c>
      <c r="S3545" t="n">
        <v>550000</v>
      </c>
      <c r="AH3545" t="inlineStr">
        <is>
          <t>Quelle: Taylor Wimpey España</t>
        </is>
      </c>
    </row>
    <row r="3546">
      <c r="A3546" t="n">
        <v>3359</v>
      </c>
      <c r="B3546" t="inlineStr">
        <is>
          <t>Próximamente – Casas en Mallorca – Taylor Wimpey - Apartamentos y casas</t>
        </is>
      </c>
      <c r="C3546" t="inlineStr">
        <is>
          <t>https://taylorwimpeyspain.com/es/casa/proximamente/</t>
        </is>
      </c>
      <c r="E3546" t="n">
        <v>2</v>
      </c>
      <c r="J3546" t="inlineStr">
        <is>
          <t>Mallorca</t>
        </is>
      </c>
      <c r="S3546" t="n">
        <v>150000</v>
      </c>
      <c r="AH3546" t="inlineStr">
        <is>
          <t>Quelle: Taylor Wimpey España</t>
        </is>
      </c>
    </row>
    <row r="3547">
      <c r="A3547" t="n">
        <v>3360</v>
      </c>
      <c r="B3547" t="inlineStr">
        <is>
          <t>Tremendous villa with character for sale in the luxury residential area of Son Vida in Palma de mallorca.</t>
        </is>
      </c>
      <c r="C3547" t="inlineStr">
        <is>
          <t>https://www.uniquemallorca.com/property-sales/villa-for-sale-in-son-vida-palma-de-mallorca-v-sonvida-151/</t>
        </is>
      </c>
      <c r="J3547" t="inlineStr">
        <is>
          <t>The construction of the property extends throughou</t>
        </is>
      </c>
      <c r="AH3547" t="inlineStr">
        <is>
          <t>Quelle: Unique Mallorca</t>
        </is>
      </c>
    </row>
    <row r="3548">
      <c r="A3548" t="n">
        <v>3361</v>
      </c>
      <c r="B3548" t="inlineStr">
        <is>
          <t>Awaiting information.</t>
        </is>
      </c>
      <c r="C3548" t="inlineStr">
        <is>
          <t>https://www.uniquemallorca.com/property-sales/building-plot-for-sale-in-marbella-p-marbella-100/</t>
        </is>
      </c>
      <c r="J3548" t="inlineStr">
        <is>
          <t>the prestigious part of spain, marbella. This land is frontline to the sea and boasts absolutely incredible sea views.</t>
        </is>
      </c>
      <c r="AH3548" t="inlineStr">
        <is>
          <t>Quelle: Unique Mallorca</t>
        </is>
      </c>
    </row>
    <row r="3549">
      <c r="A3549" t="n">
        <v>3362</v>
      </c>
      <c r="B3549" t="inlineStr">
        <is>
          <t>Stunning frontline stone house in Camp de Mar, Paguera, villas in Paguera, Mallorca.</t>
        </is>
      </c>
      <c r="C3549" t="inlineStr">
        <is>
          <t>https://www.uniquemallorca.com/property-sales/villa-for-sale-in-camp-de-mar-andratx-v-campmar-130/</t>
        </is>
      </c>
      <c r="J3549" t="inlineStr">
        <is>
          <t>camp de mar, paguera, villas in paguera, mallorca</t>
        </is>
      </c>
      <c r="K3549" t="n">
        <v>35.3</v>
      </c>
      <c r="L3549" t="n">
        <v>30</v>
      </c>
      <c r="M3549" t="n">
        <v>78</v>
      </c>
      <c r="N3549" t="n">
        <v>63</v>
      </c>
      <c r="O3549" t="n">
        <v>9.1</v>
      </c>
      <c r="P3549" t="n">
        <v>14</v>
      </c>
      <c r="Q3549" t="n">
        <v>75.7</v>
      </c>
      <c r="R3549" t="n">
        <v>60</v>
      </c>
      <c r="S3549" t="n">
        <v>35000000</v>
      </c>
      <c r="AH3549" t="inlineStr">
        <is>
          <t>Quelle: Unique Mallorca</t>
        </is>
      </c>
    </row>
    <row r="3550">
      <c r="A3550" t="n">
        <v>3363</v>
      </c>
      <c r="B3550" t="inlineStr">
        <is>
          <t>4-star hotel in the Italian Alps, business opportunity in a ski area in Cortina d''Ampezzo, Italy.</t>
        </is>
      </c>
      <c r="C3550" t="inlineStr">
        <is>
          <t>https://www.uniquemallorca.com/property-sales/hotel-for-sale-in-belluno-h-italy-101/</t>
        </is>
      </c>
      <c r="J3550" t="inlineStr">
        <is>
          <t>the renowned italian city of cortina d''ampezzo.the original building dates from the early twentieth century and was the subject of numerous construction interventions for extension and</t>
        </is>
      </c>
      <c r="K3550" t="n">
        <v>47.4</v>
      </c>
      <c r="L3550" t="n">
        <v>40</v>
      </c>
      <c r="M3550" t="n">
        <v>51.8</v>
      </c>
      <c r="N3550" t="n">
        <v>55</v>
      </c>
      <c r="O3550" t="n">
        <v>70</v>
      </c>
      <c r="P3550" t="n">
        <v>56</v>
      </c>
      <c r="Q3550" t="n">
        <v>49.5</v>
      </c>
      <c r="R3550" t="n">
        <v>51</v>
      </c>
      <c r="S3550" t="n">
        <v>26750000</v>
      </c>
      <c r="AH3550" t="inlineStr">
        <is>
          <t>Quelle: Unique Mallorca</t>
        </is>
      </c>
    </row>
    <row r="3551">
      <c r="A3551" t="n">
        <v>3364</v>
      </c>
      <c r="B3551" t="inlineStr">
        <is>
          <t>Magnificent luxury Mansion with own boathouse and private sea access in La Mola.</t>
        </is>
      </c>
      <c r="C3551" t="inlineStr">
        <is>
          <t>https://www.uniquemallorca.com/property-sales/villa-for-sale-in-la-mola-andratx-v-andratx-150/</t>
        </is>
      </c>
      <c r="J3551" t="inlineStr">
        <is>
          <t>sheer luxury in this majestic and exclusive mansion. If you are looking for class, elegance and unsurpassable luxury, then look no further.</t>
        </is>
      </c>
      <c r="AH3551" t="inlineStr">
        <is>
          <t>Quelle: Unique Mallorca</t>
        </is>
      </c>
    </row>
    <row r="3552">
      <c r="A3552" t="n">
        <v>3365</v>
      </c>
      <c r="B3552" t="inlineStr">
        <is>
          <t>Luxury Modern Villa with breathtaking seaviews for sale in Portals vells in Sol de Mallorca on the southwest of Mallorca.</t>
        </is>
      </c>
      <c r="C3552" t="inlineStr">
        <is>
          <t>https://www.uniquemallorca.com/property-sales/villa-for-sale-in-portals-vells-calvia-v-pvells-105/</t>
        </is>
      </c>
      <c r="J3552" t="inlineStr">
        <is>
          <t>sol de mallorca. This luxury property is built up to high standards and is located in 2,187 m² of plot with garden and has</t>
        </is>
      </c>
      <c r="AH3552" t="inlineStr">
        <is>
          <t>Quelle: Unique Mallorca</t>
        </is>
      </c>
    </row>
    <row r="3553">
      <c r="A3553" t="n">
        <v>3366</v>
      </c>
      <c r="B3553" t="inlineStr">
        <is>
          <t>Luxury new built villa for sale in the prestigious area of Son Vida, close to Palma de Mallorca.</t>
        </is>
      </c>
      <c r="C3553" t="inlineStr">
        <is>
          <t>https://www.uniquemallorca.com/property-sales/villa-for-sale-in-son-vida-palma-de-mallorca-v-sonvida-175/</t>
        </is>
      </c>
      <c r="J3553" t="inlineStr">
        <is>
          <t>This extraordinary newbuilt villa offers 5 bedroom</t>
        </is>
      </c>
      <c r="K3553" t="n">
        <v>47.4</v>
      </c>
      <c r="L3553" t="n">
        <v>40</v>
      </c>
      <c r="M3553" t="n">
        <v>51.8</v>
      </c>
      <c r="N3553" t="n">
        <v>55</v>
      </c>
      <c r="O3553" t="n">
        <v>70</v>
      </c>
      <c r="P3553" t="n">
        <v>56</v>
      </c>
      <c r="Q3553" t="n">
        <v>49.5</v>
      </c>
      <c r="R3553" t="n">
        <v>51</v>
      </c>
      <c r="S3553" t="n">
        <v>19800000</v>
      </c>
      <c r="AH3553" t="inlineStr">
        <is>
          <t>Quelle: Unique Mallorca</t>
        </is>
      </c>
    </row>
    <row r="3554">
      <c r="A3554" t="n">
        <v>3367</v>
      </c>
      <c r="B3554" t="inlineStr">
        <is>
          <t>The Pinnacle of Prestige.</t>
        </is>
      </c>
      <c r="C3554" t="inlineStr">
        <is>
          <t>https://www.uniquemallorca.com/property-sales/villa-for-sale-in-puerto-andratx-andratx-v-andratx-252/</t>
        </is>
      </c>
      <c r="J3554" t="inlineStr">
        <is>
          <t>one of mallorca''s most</t>
        </is>
      </c>
      <c r="K3554" t="n">
        <v>47.4</v>
      </c>
      <c r="L3554" t="n">
        <v>40</v>
      </c>
      <c r="M3554" t="n">
        <v>51.8</v>
      </c>
      <c r="N3554" t="n">
        <v>55</v>
      </c>
      <c r="O3554" t="n">
        <v>70</v>
      </c>
      <c r="P3554" t="n">
        <v>56</v>
      </c>
      <c r="Q3554" t="n">
        <v>49.5</v>
      </c>
      <c r="R3554" t="n">
        <v>51</v>
      </c>
      <c r="S3554" t="n">
        <v>17950000</v>
      </c>
      <c r="AH3554" t="inlineStr">
        <is>
          <t>Quelle: Unique Mallorca</t>
        </is>
      </c>
    </row>
    <row r="3555">
      <c r="A3555" t="n">
        <v>3368</v>
      </c>
      <c r="B3555" t="inlineStr">
        <is>
          <t>Opulent newly built luxury sea view villa for sale in Mont Port.</t>
        </is>
      </c>
      <c r="C3555" t="inlineStr">
        <is>
          <t>https://www.uniquemallorca.com/property-sales/villa-for-sale-in-andratx-v-andratx-127/</t>
        </is>
      </c>
      <c r="J3555" t="inlineStr">
        <is>
          <t>the residential area of puerto de andratx, this lavishly luxurious, newly built sea view villa for sale in mont port</t>
        </is>
      </c>
      <c r="AH3555" t="inlineStr">
        <is>
          <t>Quelle: Unique Mallorca</t>
        </is>
      </c>
    </row>
    <row r="3556">
      <c r="A3556" t="n">
        <v>3369</v>
      </c>
      <c r="B3556" t="inlineStr">
        <is>
          <t>Where Imagination Sparks Reality, A Fresh Modern Sanctuary in Portals Nous.</t>
        </is>
      </c>
      <c r="C3556" t="inlineStr">
        <is>
          <t>https://www.uniquemallorca.com/property-sales/villa-for-sale-calvia-v-portals-300/</t>
        </is>
      </c>
      <c r="J3556" t="inlineStr">
        <is>
          <t>the elevated green heart of portals, this extraordinary villa is a bold statement of modern mediterranean architecture, surrounded by nature and graced with panoramic vistas that sweep from woodland to open bay. Designed for</t>
        </is>
      </c>
      <c r="K3556" t="n">
        <v>47.4</v>
      </c>
      <c r="L3556" t="n">
        <v>40</v>
      </c>
      <c r="M3556" t="n">
        <v>51.8</v>
      </c>
      <c r="N3556" t="n">
        <v>55</v>
      </c>
      <c r="O3556" t="n">
        <v>70</v>
      </c>
      <c r="P3556" t="n">
        <v>56</v>
      </c>
      <c r="Q3556" t="n">
        <v>49.5</v>
      </c>
      <c r="R3556" t="n">
        <v>51</v>
      </c>
      <c r="S3556" t="n">
        <v>16900000</v>
      </c>
      <c r="AH3556" t="inlineStr">
        <is>
          <t>Quelle: Unique Mallorca</t>
        </is>
      </c>
    </row>
    <row r="3557">
      <c r="A3557" t="n">
        <v>3370</v>
      </c>
      <c r="B3557" t="inlineStr">
        <is>
          <t>Ultra-Modern Front Line Villa with Helipad in Cala Vinyas, South West Mallorca.</t>
        </is>
      </c>
      <c r="C3557" t="inlineStr">
        <is>
          <t>https://www.uniquemallorca.com/property-sales/villa-for-sale-in-mallorca-v-vinyas-117/</t>
        </is>
      </c>
      <c r="J3557" t="inlineStr">
        <is>
          <t>mallorca, a spectacular contemporary villa boasting panoramic sea views, cutting</t>
        </is>
      </c>
      <c r="AH3557" t="inlineStr">
        <is>
          <t>Quelle: Unique Mallorca</t>
        </is>
      </c>
    </row>
    <row r="3558">
      <c r="A3558" t="n">
        <v>3371</v>
      </c>
      <c r="B3558" t="inlineStr">
        <is>
          <t>Ref. PS5025Port de Sóller27.000 €</t>
        </is>
      </c>
      <c r="C3558" t="inlineStr">
        <is>
          <t>https://www.mallorcadreamhomes.com/REF-PS5025</t>
        </is>
      </c>
      <c r="J3558" t="inlineStr">
        <is>
          <t>Sóller</t>
        </is>
      </c>
      <c r="AH3558" t="inlineStr">
        <is>
          <t>Quelle: Mallorca Dream Homes</t>
        </is>
      </c>
    </row>
    <row r="3559">
      <c r="A3559" t="n">
        <v>3372</v>
      </c>
      <c r="B3559" t="inlineStr">
        <is>
          <t>Ref. FO1424Fornalutx75.000 €</t>
        </is>
      </c>
      <c r="C3559" t="inlineStr">
        <is>
          <t>https://www.mallorcadreamhomes.com/REF-FO1424</t>
        </is>
      </c>
      <c r="J3559" t="inlineStr">
        <is>
          <t>Sóller</t>
        </is>
      </c>
      <c r="AH3559" t="inlineStr">
        <is>
          <t>Quelle: Mallorca Dream Homes</t>
        </is>
      </c>
    </row>
    <row r="3560">
      <c r="A3560" t="n">
        <v>3373</v>
      </c>
      <c r="B3560" t="inlineStr">
        <is>
          <t>Ref. SO1222Sóller110.000 €</t>
        </is>
      </c>
      <c r="C3560" t="inlineStr">
        <is>
          <t>https://www.mallorcadreamhomes.com/REF-SO1222</t>
        </is>
      </c>
      <c r="J3560" t="inlineStr">
        <is>
          <t>Sóller</t>
        </is>
      </c>
      <c r="AH3560" t="inlineStr">
        <is>
          <t>Quelle: Mallorca Dream Homes</t>
        </is>
      </c>
    </row>
    <row r="3561">
      <c r="A3561" t="n">
        <v>3374</v>
      </c>
      <c r="B3561" t="inlineStr">
        <is>
          <t>Ref. FO3444Fornalutx125.000 €</t>
        </is>
      </c>
      <c r="C3561" t="inlineStr">
        <is>
          <t>https://www.mallorcadreamhomes.com/REF-FO3444</t>
        </is>
      </c>
      <c r="J3561" t="inlineStr">
        <is>
          <t>Sóller</t>
        </is>
      </c>
      <c r="AH3561" t="inlineStr">
        <is>
          <t>Quelle: Mallorca Dream Homes</t>
        </is>
      </c>
    </row>
    <row r="3562">
      <c r="A3562" t="n">
        <v>3375</v>
      </c>
      <c r="B3562" t="inlineStr">
        <is>
          <t>Ref. SO1295Sóller190.000 €</t>
        </is>
      </c>
      <c r="C3562" t="inlineStr">
        <is>
          <t>https://www.mallorcadreamhomes.com/REF-SO1295</t>
        </is>
      </c>
      <c r="J3562" t="inlineStr">
        <is>
          <t>Sóller</t>
        </is>
      </c>
      <c r="AH3562" t="inlineStr">
        <is>
          <t>Quelle: Mallorca Dream Homes</t>
        </is>
      </c>
    </row>
    <row r="3563">
      <c r="A3563" t="n">
        <v>3376</v>
      </c>
      <c r="B3563" t="inlineStr">
        <is>
          <t>Ref. FO1788Fornalutx300.000 €</t>
        </is>
      </c>
      <c r="C3563" t="inlineStr">
        <is>
          <t>https://www.mallorcadreamhomes.com/REF-FO1788</t>
        </is>
      </c>
      <c r="J3563" t="inlineStr">
        <is>
          <t>Sóller</t>
        </is>
      </c>
      <c r="AH3563" t="inlineStr">
        <is>
          <t>Quelle: Mallorca Dream Homes</t>
        </is>
      </c>
    </row>
    <row r="3564">
      <c r="A3564" t="n">
        <v>3377</v>
      </c>
      <c r="B3564" t="inlineStr">
        <is>
          <t>Ref. PS4222Port de Sóller320.000 €</t>
        </is>
      </c>
      <c r="C3564" t="inlineStr">
        <is>
          <t>https://www.mallorcadreamhomes.com/REF-PS4222</t>
        </is>
      </c>
      <c r="J3564" t="inlineStr">
        <is>
          <t>Sóller</t>
        </is>
      </c>
      <c r="AH3564" t="inlineStr">
        <is>
          <t>Quelle: Mallorca Dream Homes</t>
        </is>
      </c>
    </row>
    <row r="3565">
      <c r="A3565" t="n">
        <v>3378</v>
      </c>
      <c r="B3565" t="inlineStr">
        <is>
          <t>Ref. PS2886Port de Sóller325.000 €</t>
        </is>
      </c>
      <c r="C3565" t="inlineStr">
        <is>
          <t>https://www.mallorcadreamhomes.com/REF-PS2886</t>
        </is>
      </c>
      <c r="J3565" t="inlineStr">
        <is>
          <t>Sóller</t>
        </is>
      </c>
      <c r="AH3565" t="inlineStr">
        <is>
          <t>Quelle: Mallorca Dream Homes</t>
        </is>
      </c>
    </row>
    <row r="3566">
      <c r="A3566" t="n">
        <v>3379</v>
      </c>
      <c r="B3566" t="inlineStr">
        <is>
          <t>Ref. PS3903Port de Sóller370.000 €</t>
        </is>
      </c>
      <c r="C3566" t="inlineStr">
        <is>
          <t>https://www.mallorcadreamhomes.com/REF-PS3903</t>
        </is>
      </c>
      <c r="J3566" t="inlineStr">
        <is>
          <t>Sóller</t>
        </is>
      </c>
      <c r="AH3566" t="inlineStr">
        <is>
          <t>Quelle: Mallorca Dream Homes</t>
        </is>
      </c>
    </row>
    <row r="3567">
      <c r="A3567" t="n">
        <v>3380</v>
      </c>
      <c r="B3567" t="inlineStr">
        <is>
          <t>Ref. PS2434Port de Sóller390.000 €</t>
        </is>
      </c>
      <c r="C3567" t="inlineStr">
        <is>
          <t>https://www.mallorcadreamhomes.com/REF-PS2434</t>
        </is>
      </c>
      <c r="J3567" t="inlineStr">
        <is>
          <t>Sóller</t>
        </is>
      </c>
      <c r="AH3567" t="inlineStr">
        <is>
          <t>Quelle: Mallorca Dream Homes</t>
        </is>
      </c>
    </row>
    <row r="3568">
      <c r="A3568" t="n">
        <v>3381</v>
      </c>
      <c r="B3568" t="inlineStr">
        <is>
          <t>REF PS1789</t>
        </is>
      </c>
      <c r="C3568" t="inlineStr">
        <is>
          <t>https://www.mallorcadreamhomes.com/REF-PS1789</t>
        </is>
      </c>
      <c r="J3568" t="inlineStr">
        <is>
          <t>Sóller</t>
        </is>
      </c>
      <c r="AH3568" t="inlineStr">
        <is>
          <t>Quelle: Mallorca Dream Homes</t>
        </is>
      </c>
    </row>
    <row r="3569">
      <c r="A3569" t="n">
        <v>3382</v>
      </c>
      <c r="B3569" t="inlineStr">
        <is>
          <t>REF SO1559</t>
        </is>
      </c>
      <c r="C3569" t="inlineStr">
        <is>
          <t>https://www.mallorcadreamhomes.com/REF-SO1559</t>
        </is>
      </c>
      <c r="J3569" t="inlineStr">
        <is>
          <t>Sóller</t>
        </is>
      </c>
      <c r="AH3569" t="inlineStr">
        <is>
          <t>Quelle: Mallorca Dream Homes</t>
        </is>
      </c>
    </row>
    <row r="3570">
      <c r="A3570" t="n">
        <v>3383</v>
      </c>
      <c r="B3570" t="inlineStr">
        <is>
          <t>REF SO1924</t>
        </is>
      </c>
      <c r="C3570" t="inlineStr">
        <is>
          <t>https://www.mallorcadreamhomes.com/REF-SO1924</t>
        </is>
      </c>
      <c r="J3570" t="inlineStr">
        <is>
          <t>Sóller</t>
        </is>
      </c>
      <c r="AH3570" t="inlineStr">
        <is>
          <t>Quelle: Mallorca Dream Homes</t>
        </is>
      </c>
    </row>
    <row r="3571">
      <c r="A3571" t="n">
        <v>3384</v>
      </c>
      <c r="B3571" t="inlineStr">
        <is>
          <t>REF PS2000A</t>
        </is>
      </c>
      <c r="C3571" t="inlineStr">
        <is>
          <t>https://www.mallorcadreamhomes.com/REF-PS2000A</t>
        </is>
      </c>
      <c r="J3571" t="inlineStr">
        <is>
          <t>Sóller</t>
        </is>
      </c>
      <c r="AH3571" t="inlineStr">
        <is>
          <t>Quelle: Mallorca Dream Homes</t>
        </is>
      </c>
    </row>
    <row r="3572">
      <c r="A3572" t="n">
        <v>3385</v>
      </c>
      <c r="B3572" t="inlineStr">
        <is>
          <t>REF SO1109</t>
        </is>
      </c>
      <c r="C3572" t="inlineStr">
        <is>
          <t>https://www.mallorcadreamhomes.com/REF-SO1109</t>
        </is>
      </c>
      <c r="J3572" t="inlineStr">
        <is>
          <t>Sóller</t>
        </is>
      </c>
      <c r="AH3572" t="inlineStr">
        <is>
          <t>Quelle: Mallorca Dream Homes</t>
        </is>
      </c>
    </row>
    <row r="3573">
      <c r="A3573" t="n">
        <v>3386</v>
      </c>
      <c r="B3573" t="inlineStr">
        <is>
          <t>REF SO1004</t>
        </is>
      </c>
      <c r="C3573" t="inlineStr">
        <is>
          <t>https://www.mallorcadreamhomes.com/REF-SO1004</t>
        </is>
      </c>
      <c r="J3573" t="inlineStr">
        <is>
          <t>Sóller</t>
        </is>
      </c>
      <c r="AH3573" t="inlineStr">
        <is>
          <t>Quelle: Mallorca Dream Homes</t>
        </is>
      </c>
    </row>
    <row r="3574">
      <c r="A3574" t="n">
        <v>3387</v>
      </c>
      <c r="B3574" t="inlineStr">
        <is>
          <t>REF BI1510</t>
        </is>
      </c>
      <c r="C3574" t="inlineStr">
        <is>
          <t>https://www.mallorcadreamhomes.com/REF-BI1510</t>
        </is>
      </c>
      <c r="J3574" t="inlineStr">
        <is>
          <t>Sóller</t>
        </is>
      </c>
      <c r="AH3574" t="inlineStr">
        <is>
          <t>Quelle: Mallorca Dream Homes</t>
        </is>
      </c>
    </row>
    <row r="3575">
      <c r="A3575" t="n">
        <v>3388</v>
      </c>
      <c r="B3575" t="inlineStr">
        <is>
          <t>REF SO1746</t>
        </is>
      </c>
      <c r="C3575" t="inlineStr">
        <is>
          <t>https://www.mallorcadreamhomes.com/REF-SO1746</t>
        </is>
      </c>
      <c r="J3575" t="inlineStr">
        <is>
          <t>Sóller</t>
        </is>
      </c>
      <c r="AH3575" t="inlineStr">
        <is>
          <t>Quelle: Mallorca Dream Homes</t>
        </is>
      </c>
    </row>
    <row r="3576">
      <c r="A3576" t="n">
        <v>3389</v>
      </c>
      <c r="B3576" t="inlineStr">
        <is>
          <t>REF PS1420</t>
        </is>
      </c>
      <c r="C3576" t="inlineStr">
        <is>
          <t>https://www.mallorcadreamhomes.com/REF-PS1420</t>
        </is>
      </c>
      <c r="J3576" t="inlineStr">
        <is>
          <t>Sóller</t>
        </is>
      </c>
      <c r="AH3576" t="inlineStr">
        <is>
          <t>Quelle: Mallorca Dream Homes</t>
        </is>
      </c>
    </row>
    <row r="3577">
      <c r="A3577" t="n">
        <v>3390</v>
      </c>
      <c r="B3577" t="inlineStr">
        <is>
          <t>REF FO1812</t>
        </is>
      </c>
      <c r="C3577" t="inlineStr">
        <is>
          <t>https://www.mallorcadreamhomes.com/REF-FO1812</t>
        </is>
      </c>
      <c r="J3577" t="inlineStr">
        <is>
          <t>Sóller</t>
        </is>
      </c>
      <c r="AH3577" t="inlineStr">
        <is>
          <t>Quelle: Mallorca Dream Homes</t>
        </is>
      </c>
    </row>
    <row r="3578">
      <c r="A3578" t="n">
        <v>3391</v>
      </c>
      <c r="B3578" t="inlineStr">
        <is>
          <t>Südwesten</t>
        </is>
      </c>
      <c r="C3578" t="inlineStr">
        <is>
          <t>https://www.privatepropertymallorca.com/state/suedwesten/</t>
        </is>
      </c>
      <c r="AH3578" t="inlineStr">
        <is>
          <t>Quelle: Private Property Mallorca</t>
        </is>
      </c>
    </row>
    <row r="3579">
      <c r="A3579" t="n">
        <v>3392</v>
      </c>
      <c r="B3579" t="inlineStr">
        <is>
          <t>Inselmitte</t>
        </is>
      </c>
      <c r="C3579" t="inlineStr">
        <is>
          <t>https://www.privatepropertymallorca.com/state/inselmitte/</t>
        </is>
      </c>
      <c r="AH3579" t="inlineStr">
        <is>
          <t>Quelle: Private Property Mallorca</t>
        </is>
      </c>
    </row>
    <row r="3580">
      <c r="A3580" t="n">
        <v>3393</v>
      </c>
      <c r="B3580" t="inlineStr">
        <is>
          <t>Südosten</t>
        </is>
      </c>
      <c r="C3580" t="inlineStr">
        <is>
          <t>https://www.privatepropertymallorca.com/state/suedosten/</t>
        </is>
      </c>
      <c r="AH3580" t="inlineStr">
        <is>
          <t>Quelle: Private Property Mallorca</t>
        </is>
      </c>
    </row>
    <row r="3581">
      <c r="A3581" t="n">
        <v>3394</v>
      </c>
      <c r="B3581" t="inlineStr">
        <is>
          <t>Port AndratxLuxusvilla mit sensationellem Blick auf 100.000 m² LandPreis:auf AnfrageRef:26937Immobil</t>
        </is>
      </c>
      <c r="C3581" t="inlineStr">
        <is>
          <t>https://www.minkner.com/expose/808434/</t>
        </is>
      </c>
      <c r="S3581" t="n">
        <v>26937</v>
      </c>
      <c r="AH3581" t="inlineStr">
        <is>
          <t>Quelle: Minkner &amp; Bonitz</t>
        </is>
      </c>
    </row>
    <row r="3582">
      <c r="A3582" t="n">
        <v>3395</v>
      </c>
      <c r="B3582" t="inlineStr">
        <is>
          <t>LlucmajorRepräsentatives Anwesen als Privatresidenz mit fantastischem WeitblickPreis:€25.000.000Ref:</t>
        </is>
      </c>
      <c r="C3582" t="inlineStr">
        <is>
          <t>https://www.minkner.com/expose/804000/</t>
        </is>
      </c>
      <c r="S3582" t="n">
        <v>25000000</v>
      </c>
      <c r="AH3582" t="inlineStr">
        <is>
          <t>Quelle: Minkner &amp; Bonitz</t>
        </is>
      </c>
    </row>
    <row r="3583">
      <c r="A3583" t="n">
        <v>3396</v>
      </c>
      <c r="B3583" t="inlineStr">
        <is>
          <t>Camp de MarModerne Luxusvilla mit direktem MeereszugangPreis:€24.000.000Ref:27024Immobilie anzeigen</t>
        </is>
      </c>
      <c r="C3583" t="inlineStr">
        <is>
          <t>https://www.minkner.com/expose/801060/</t>
        </is>
      </c>
      <c r="S3583" t="n">
        <v>24000000</v>
      </c>
      <c r="AH3583" t="inlineStr">
        <is>
          <t>Quelle: Minkner &amp; Bonitz</t>
        </is>
      </c>
    </row>
    <row r="3584">
      <c r="A3584" t="n">
        <v>3397</v>
      </c>
      <c r="B3584" t="inlineStr">
        <is>
          <t>Camp de MarEinmaliges Grundstück mit genehmigtem Projekt in 1. MeeresliniePreis:€19.000.000Ref:26737</t>
        </is>
      </c>
      <c r="C3584" t="inlineStr">
        <is>
          <t>https://www.minkner.com/expose/806733/</t>
        </is>
      </c>
      <c r="S3584" t="n">
        <v>19000000</v>
      </c>
      <c r="AH3584" t="inlineStr">
        <is>
          <t>Quelle: Minkner &amp; Bonitz</t>
        </is>
      </c>
    </row>
    <row r="3585">
      <c r="A3585" t="n">
        <v>3398</v>
      </c>
      <c r="B3585" t="inlineStr">
        <is>
          <t>Port AndratxVilla der Extraklasse mit fantastischem MeerblickPreis:€17.900.000Ref:27091Immobilie anz</t>
        </is>
      </c>
      <c r="C3585" t="inlineStr">
        <is>
          <t>https://www.minkner.com/expose/811755/</t>
        </is>
      </c>
      <c r="S3585" t="n">
        <v>17900000</v>
      </c>
      <c r="AH3585" t="inlineStr">
        <is>
          <t>Quelle: Minkner &amp; Bonitz</t>
        </is>
      </c>
    </row>
    <row r="3586">
      <c r="A3586" t="n">
        <v>3399</v>
      </c>
      <c r="B3586" t="inlineStr">
        <is>
          <t>AlgaidaExklusives Fincaanwesen mit 4 einzigartigen Residenzen und 3 Pools mit traumhaften Panoramabl</t>
        </is>
      </c>
      <c r="C3586" t="inlineStr">
        <is>
          <t>https://www.minkner.com/expose/797456/</t>
        </is>
      </c>
      <c r="S3586" t="n">
        <v>17500000</v>
      </c>
      <c r="AH3586" t="inlineStr">
        <is>
          <t>Quelle: Minkner &amp; Bonitz</t>
        </is>
      </c>
    </row>
    <row r="3587">
      <c r="A3587" t="n">
        <v>3400</v>
      </c>
      <c r="B3587" t="inlineStr">
        <is>
          <t xml:space="preserve">Port AndratxCala Egos: Luxuriöse Finca auf 60.375 ​​​​​​​m² LandPreis:€15.750.000Ref:26063Immobilie </t>
        </is>
      </c>
      <c r="C3587" t="inlineStr">
        <is>
          <t>https://www.minkner.com/expose/746352/</t>
        </is>
      </c>
      <c r="S3587" t="n">
        <v>15750000</v>
      </c>
      <c r="AH3587" t="inlineStr">
        <is>
          <t>Quelle: Minkner &amp; Bonitz</t>
        </is>
      </c>
    </row>
    <row r="3588">
      <c r="A3588" t="n">
        <v>3401</v>
      </c>
      <c r="B3588" t="inlineStr">
        <is>
          <t>Camp de MarEinzigartige Designervilla mit Gästehaus und direktem MeerzugangPreis:€15.000.000Ref:2601</t>
        </is>
      </c>
      <c r="C3588" t="inlineStr">
        <is>
          <t>https://www.minkner.com/expose/734946/</t>
        </is>
      </c>
      <c r="S3588" t="n">
        <v>15000000</v>
      </c>
      <c r="AH3588" t="inlineStr">
        <is>
          <t>Quelle: Minkner &amp; Bonitz</t>
        </is>
      </c>
    </row>
    <row r="3589">
      <c r="A3589" t="n">
        <v>3402</v>
      </c>
      <c r="B3589" t="inlineStr">
        <is>
          <t>Santa PonsaGrandiose Villa in privilegierter Lage mit sensationeller AussichtPreis:€14.900.000Ref:20</t>
        </is>
      </c>
      <c r="C3589" t="inlineStr">
        <is>
          <t>https://www.minkner.com/expose/705870/</t>
        </is>
      </c>
      <c r="S3589" t="n">
        <v>14900000</v>
      </c>
      <c r="AH3589" t="inlineStr">
        <is>
          <t>Quelle: Minkner &amp; Bonitz</t>
        </is>
      </c>
    </row>
    <row r="3590">
      <c r="A3590" t="n">
        <v>3403</v>
      </c>
      <c r="B3590" t="inlineStr">
        <is>
          <t>Port AndratxLuxusvilla mit fantastischem Meer- und Hafenblick zum ErstbezugPreis:€13.900.000Ref:2639</t>
        </is>
      </c>
      <c r="C3590" t="inlineStr">
        <is>
          <t>https://www.minkner.com/expose/764192/</t>
        </is>
      </c>
      <c r="S3590" t="n">
        <v>13900000</v>
      </c>
      <c r="AH3590" t="inlineStr">
        <is>
          <t>Quelle: Minkner &amp; Bonitz</t>
        </is>
      </c>
    </row>
    <row r="3591">
      <c r="A3591" t="n">
        <v>3404</v>
      </c>
      <c r="B3591" t="inlineStr">
        <is>
          <t>Search</t>
        </is>
      </c>
      <c r="C3591" t="inlineStr">
        <is>
          <t>https://www.sothebysrealty.com#</t>
        </is>
      </c>
      <c r="S3591" t="n">
        <v>300000000</v>
      </c>
      <c r="AH3591" t="inlineStr">
        <is>
          <t>Quelle: Mallorca Sotheby's</t>
        </is>
      </c>
    </row>
    <row r="3592">
      <c r="A3592" t="n">
        <v>3405</v>
      </c>
      <c r="B3592" t="inlineStr">
        <is>
          <t>Viewing 24 of 781,881 Homes for Sale inShowing listings marketed by all brokers in the searched area</t>
        </is>
      </c>
      <c r="C3592" t="inlineStr">
        <is>
          <t>https://www.sothebysrealty.com/eng/sales/detail/180-l-963-mzy8yj/161-stillwater-road-aspen-co-81611</t>
        </is>
      </c>
      <c r="S3592" t="n">
        <v>300000000</v>
      </c>
      <c r="AH3592" t="inlineStr">
        <is>
          <t>Quelle: Mallorca Sotheby's</t>
        </is>
      </c>
    </row>
    <row r="3593">
      <c r="A3593" t="n">
        <v>3406</v>
      </c>
      <c r="B3593" t="inlineStr">
        <is>
          <t>Mallorca – mehr als ein Zuhause. Ein Lebensgefühl</t>
        </is>
      </c>
      <c r="C3593" t="inlineStr">
        <is>
          <t>https://www.dahlercompany.com/de/mallorca-entdecken</t>
        </is>
      </c>
      <c r="AH3593" t="inlineStr">
        <is>
          <t>Quelle: DAHLER Company</t>
        </is>
      </c>
    </row>
    <row r="3594">
      <c r="A3594" t="n">
        <v>3407</v>
      </c>
      <c r="B3594" t="inlineStr">
        <is>
          <t>Solar Urbano Venta Sant Julià de Lòria</t>
        </is>
      </c>
      <c r="C3594" t="inlineStr">
        <is>
          <t>https://www.coldwellbanker.es/propiedades/?pais=ES&amp;region=Islas+Baleares&amp;habitaciones=5</t>
        </is>
      </c>
      <c r="J3594" t="inlineStr">
        <is>
          <t>Sant Julià de Lòria</t>
        </is>
      </c>
      <c r="K3594" t="n">
        <v>47.4</v>
      </c>
      <c r="L3594" t="n">
        <v>40</v>
      </c>
      <c r="M3594" t="n">
        <v>51.8</v>
      </c>
      <c r="N3594" t="n">
        <v>55</v>
      </c>
      <c r="O3594" t="n">
        <v>70</v>
      </c>
      <c r="P3594" t="n">
        <v>56</v>
      </c>
      <c r="Q3594" t="n">
        <v>49.5</v>
      </c>
      <c r="R3594" t="n">
        <v>51</v>
      </c>
      <c r="S3594" t="n">
        <v>1266000</v>
      </c>
      <c r="AH3594" t="inlineStr">
        <is>
          <t>Quelle: Coldwell Banker</t>
        </is>
      </c>
    </row>
    <row r="3595">
      <c r="A3595" t="n">
        <v>3408</v>
      </c>
      <c r="B3595" t="inlineStr">
        <is>
          <t>Hotel en Manacor</t>
        </is>
      </c>
      <c r="C3595" t="inlineStr">
        <is>
          <t>https://www.haya.es/es/comprar/vivienda/248489</t>
        </is>
      </c>
      <c r="E3595" t="n">
        <v>1</v>
      </c>
      <c r="H3595" t="n">
        <v>239.04</v>
      </c>
      <c r="J3595" t="inlineStr">
        <is>
          <t>Manacor</t>
        </is>
      </c>
      <c r="S3595" t="n">
        <v>88000</v>
      </c>
      <c r="T3595" t="n">
        <v>368</v>
      </c>
      <c r="AH3595" t="inlineStr">
        <is>
          <t>Quelle: Solvia / Haya Real Estate</t>
        </is>
      </c>
    </row>
    <row r="3596">
      <c r="A3596" t="n">
        <v>3409</v>
      </c>
      <c r="B3596" t="inlineStr">
        <is>
          <t>En Construccion en Alaior</t>
        </is>
      </c>
      <c r="C3596" t="inlineStr">
        <is>
          <t>https://www.haya.es/es/comprar/vivienda/262352</t>
        </is>
      </c>
      <c r="E3596" t="n">
        <v>4</v>
      </c>
      <c r="H3596" t="n">
        <v>244.05</v>
      </c>
      <c r="J3596" t="inlineStr">
        <is>
          <t>Alaior</t>
        </is>
      </c>
      <c r="S3596" t="n">
        <v>295000</v>
      </c>
      <c r="T3596" t="n">
        <v>1209</v>
      </c>
      <c r="AH3596" t="inlineStr">
        <is>
          <t>Quelle: Solvia / Haya Real Estate</t>
        </is>
      </c>
    </row>
    <row r="3597">
      <c r="A3597" t="n">
        <v>3410</v>
      </c>
      <c r="B3597" t="inlineStr">
        <is>
          <t>En Construccion en Felanitx</t>
        </is>
      </c>
      <c r="C3597" t="inlineStr">
        <is>
          <t>https://www.haya.es/es/comprar/vivienda/204692</t>
        </is>
      </c>
      <c r="E3597" t="n">
        <v>2</v>
      </c>
      <c r="H3597" t="n">
        <v>281.15</v>
      </c>
      <c r="J3597" t="inlineStr">
        <is>
          <t>Felanitx</t>
        </is>
      </c>
      <c r="S3597" t="n">
        <v>297000</v>
      </c>
      <c r="T3597" t="n">
        <v>1056</v>
      </c>
      <c r="AH3597" t="inlineStr">
        <is>
          <t>Quelle: Solvia / Haya Real Estate</t>
        </is>
      </c>
    </row>
    <row r="3598">
      <c r="A3598" t="n">
        <v>3411</v>
      </c>
      <c r="B3598" t="inlineStr">
        <is>
          <t>En Construccion en Manacor</t>
        </is>
      </c>
      <c r="C3598" t="inlineStr">
        <is>
          <t>https://www.haya.es/es/comprar/vivienda/183404</t>
        </is>
      </c>
      <c r="E3598" t="n">
        <v>1</v>
      </c>
      <c r="H3598" t="n">
        <v>995.6</v>
      </c>
      <c r="J3598" t="inlineStr">
        <is>
          <t>Manacor</t>
        </is>
      </c>
      <c r="S3598" t="n">
        <v>428000</v>
      </c>
      <c r="T3598" t="n">
        <v>430</v>
      </c>
      <c r="AH3598" t="inlineStr">
        <is>
          <t>Quelle: Solvia / Haya Real Estate</t>
        </is>
      </c>
    </row>
    <row r="3599">
      <c r="A3599" t="n">
        <v>3412</v>
      </c>
      <c r="B3599" t="inlineStr">
        <is>
          <t>En Construccion en Son Servera</t>
        </is>
      </c>
      <c r="C3599" t="inlineStr">
        <is>
          <t>https://www.haya.es/es/comprar/vivienda/226311</t>
        </is>
      </c>
      <c r="E3599" t="n">
        <v>4</v>
      </c>
      <c r="H3599" t="n">
        <v>406.7</v>
      </c>
      <c r="J3599" t="inlineStr">
        <is>
          <t>Son Servera</t>
        </is>
      </c>
      <c r="S3599" t="n">
        <v>437600</v>
      </c>
      <c r="T3599" t="n">
        <v>1076</v>
      </c>
      <c r="AH3599" t="inlineStr">
        <is>
          <t>Quelle: Solvia / Haya Real Estate</t>
        </is>
      </c>
    </row>
    <row r="3600">
      <c r="A3600" t="n">
        <v>3413</v>
      </c>
      <c r="B3600" t="inlineStr">
        <is>
          <t>Hotel en Pobla (Sa)</t>
        </is>
      </c>
      <c r="C3600" t="inlineStr">
        <is>
          <t>https://www.haya.es/es/comprar/vivienda/206842</t>
        </is>
      </c>
      <c r="E3600" t="n">
        <v>10</v>
      </c>
      <c r="H3600" t="n">
        <v>1990.22</v>
      </c>
      <c r="J3600" t="inlineStr">
        <is>
          <t>Pobla (Sa)</t>
        </is>
      </c>
      <c r="K3600" t="n">
        <v>52.7</v>
      </c>
      <c r="L3600" t="n">
        <v>41</v>
      </c>
      <c r="M3600" t="n">
        <v>59.6</v>
      </c>
      <c r="N3600" t="n">
        <v>65</v>
      </c>
      <c r="O3600" t="n">
        <v>75.3</v>
      </c>
      <c r="P3600" t="n">
        <v>57</v>
      </c>
      <c r="Q3600" t="n">
        <v>57.3</v>
      </c>
      <c r="R3600" t="n">
        <v>61</v>
      </c>
      <c r="S3600" t="n">
        <v>646000</v>
      </c>
      <c r="T3600" t="n">
        <v>325</v>
      </c>
      <c r="AH3600" t="inlineStr">
        <is>
          <t>Quelle: Solvia / Haya Real Estate</t>
        </is>
      </c>
    </row>
    <row r="3601">
      <c r="A3601" t="n">
        <v>3414</v>
      </c>
      <c r="B3601" t="inlineStr">
        <is>
          <t>Hotel en Capdepera</t>
        </is>
      </c>
      <c r="C3601" t="inlineStr">
        <is>
          <t>https://www.haya.es/es/comprar/vivienda/263165</t>
        </is>
      </c>
      <c r="H3601" t="n">
        <v>38.82</v>
      </c>
      <c r="J3601" t="inlineStr">
        <is>
          <t>Capdepera</t>
        </is>
      </c>
      <c r="K3601" t="n">
        <v>74.40000000000001</v>
      </c>
      <c r="L3601" t="n">
        <v>63</v>
      </c>
      <c r="M3601" t="n">
        <v>69.8</v>
      </c>
      <c r="N3601" t="n">
        <v>66</v>
      </c>
      <c r="O3601" t="n">
        <v>108.6</v>
      </c>
      <c r="P3601" t="n">
        <v>88</v>
      </c>
      <c r="Q3601" t="n">
        <v>67.5</v>
      </c>
      <c r="R3601" t="n">
        <v>63</v>
      </c>
      <c r="S3601" t="n">
        <v>5942335</v>
      </c>
      <c r="T3601" t="n">
        <v>153074</v>
      </c>
      <c r="AH3601" t="inlineStr">
        <is>
          <t>Quelle: Solvia / Haya Real Estate</t>
        </is>
      </c>
    </row>
    <row r="3602">
      <c r="A3602" t="n">
        <v>3415</v>
      </c>
      <c r="B3602" t="inlineStr">
        <is>
          <t>Nueva en el mercado</t>
        </is>
      </c>
      <c r="C3602" t="inlineStr">
        <is>
          <t>https://www.remax.es../buscador-de-inmuebles/venta/casa-rural/baleares-islas-baleares/consell/todos/RL00056/</t>
        </is>
      </c>
      <c r="E3602" t="n">
        <v>3</v>
      </c>
      <c r="J3602" t="inlineStr">
        <is>
          <t>Baleares</t>
        </is>
      </c>
      <c r="S3602" t="n">
        <v>800000</v>
      </c>
      <c r="AH3602" t="inlineStr">
        <is>
          <t>Quelle: Re/Max Mallorca</t>
        </is>
      </c>
    </row>
    <row r="3603">
      <c r="A3603" t="n">
        <v>3416</v>
      </c>
      <c r="B3603" t="inlineStr">
        <is>
          <t>Nueva en el mercado</t>
        </is>
      </c>
      <c r="C3603" t="inlineStr">
        <is>
          <t>https://www.remax.es../buscador-de-inmuebles/venta/casa-rural/baleares-islas-baleares/manacor/todos/101-CP1280/</t>
        </is>
      </c>
      <c r="E3603" t="n">
        <v>4</v>
      </c>
      <c r="J3603" t="inlineStr">
        <is>
          <t>Baleares</t>
        </is>
      </c>
      <c r="S3603" t="n">
        <v>480000</v>
      </c>
      <c r="AH3603" t="inlineStr">
        <is>
          <t>Quelle: Re/Max Mallorca</t>
        </is>
      </c>
    </row>
    <row r="3604">
      <c r="A3604" t="n">
        <v>3417</v>
      </c>
      <c r="B3604" t="inlineStr">
        <is>
          <t>Nueva en el mercado</t>
        </is>
      </c>
      <c r="C3604" t="inlineStr">
        <is>
          <t>https://www.remax.es../buscador-de-inmuebles/venta/casa-rural/baleares-islas-baleares/campos/todos/NK2602/</t>
        </is>
      </c>
      <c r="E3604" t="n">
        <v>8</v>
      </c>
      <c r="J3604" t="inlineStr">
        <is>
          <t>Baleares</t>
        </is>
      </c>
      <c r="K3604" t="n">
        <v>47.4</v>
      </c>
      <c r="L3604" t="n">
        <v>40</v>
      </c>
      <c r="M3604" t="n">
        <v>51.8</v>
      </c>
      <c r="N3604" t="n">
        <v>55</v>
      </c>
      <c r="O3604" t="n">
        <v>70</v>
      </c>
      <c r="P3604" t="n">
        <v>56</v>
      </c>
      <c r="Q3604" t="n">
        <v>49.5</v>
      </c>
      <c r="R3604" t="n">
        <v>51</v>
      </c>
      <c r="S3604" t="n">
        <v>2250000</v>
      </c>
      <c r="AH3604" t="inlineStr">
        <is>
          <t>Quelle: Re/Max Mallorca</t>
        </is>
      </c>
    </row>
    <row r="3605">
      <c r="A3605" t="n">
        <v>3418</v>
      </c>
      <c r="B3605" t="inlineStr">
        <is>
          <t>Nueva en el mercado</t>
        </is>
      </c>
      <c r="C3605" t="inlineStr">
        <is>
          <t>https://www.remax.es../buscador-de-inmuebles/venta/casa-rural/baleares-islas-baleares/inca/todos/101-FA1221/</t>
        </is>
      </c>
      <c r="E3605" t="n">
        <v>5</v>
      </c>
      <c r="J3605" t="inlineStr">
        <is>
          <t>Baleares</t>
        </is>
      </c>
      <c r="K3605" t="n">
        <v>47.4</v>
      </c>
      <c r="L3605" t="n">
        <v>40</v>
      </c>
      <c r="M3605" t="n">
        <v>51.8</v>
      </c>
      <c r="N3605" t="n">
        <v>55</v>
      </c>
      <c r="O3605" t="n">
        <v>70</v>
      </c>
      <c r="P3605" t="n">
        <v>56</v>
      </c>
      <c r="Q3605" t="n">
        <v>49.5</v>
      </c>
      <c r="R3605" t="n">
        <v>51</v>
      </c>
      <c r="S3605" t="n">
        <v>1790000</v>
      </c>
      <c r="AH3605" t="inlineStr">
        <is>
          <t>Quelle: Re/Max Mallorca</t>
        </is>
      </c>
    </row>
    <row r="3606">
      <c r="A3606" t="n">
        <v>3419</v>
      </c>
      <c r="C3606" t="inlineStr">
        <is>
          <t>https://www.remax.es../buscador-de-inmuebles/venta/casa-rural/baleares-islas-baleares/pollenca/todos/3579-V/</t>
        </is>
      </c>
      <c r="E3606" t="n">
        <v>4</v>
      </c>
      <c r="J3606" t="inlineStr">
        <is>
          <t>Baleares</t>
        </is>
      </c>
      <c r="S3606" t="n">
        <v>750000</v>
      </c>
      <c r="AH3606" t="inlineStr">
        <is>
          <t>Quelle: Re/Max Mallorca</t>
        </is>
      </c>
    </row>
    <row r="3607">
      <c r="A3607" t="n">
        <v>3420</v>
      </c>
      <c r="B3607" t="inlineStr">
        <is>
          <t>Nueva en el mercado</t>
        </is>
      </c>
      <c r="C3607" t="inlineStr">
        <is>
          <t>https://www.remax.es../buscador-de-inmuebles/venta/casa-rural/baleares-islas-baleares/llucmajor/todos/rm1112/</t>
        </is>
      </c>
      <c r="J3607" t="inlineStr">
        <is>
          <t>Baleares</t>
        </is>
      </c>
      <c r="S3607" t="n">
        <v>400000</v>
      </c>
      <c r="AH3607" t="inlineStr">
        <is>
          <t>Quelle: Re/Max Mallorca</t>
        </is>
      </c>
    </row>
    <row r="3608">
      <c r="A3608" t="n">
        <v>3421</v>
      </c>
      <c r="B3608" t="inlineStr">
        <is>
          <t>Nueva en el mercado</t>
        </is>
      </c>
      <c r="C3608" t="inlineStr">
        <is>
          <t>https://www.remax.es../buscador-de-inmuebles/venta/casa-rural/baleares-islas-baleares/alaro/todos/VFI-0007/</t>
        </is>
      </c>
      <c r="E3608" t="n">
        <v>3</v>
      </c>
      <c r="J3608" t="inlineStr">
        <is>
          <t>Baleares</t>
        </is>
      </c>
      <c r="S3608" t="n">
        <v>716000</v>
      </c>
      <c r="AH3608" t="inlineStr">
        <is>
          <t>Quelle: Re/Max Mallorca</t>
        </is>
      </c>
    </row>
    <row r="3609">
      <c r="A3609" t="n">
        <v>3422</v>
      </c>
      <c r="B3609" t="inlineStr">
        <is>
          <t>Nueva en el mercado</t>
        </is>
      </c>
      <c r="C3609" t="inlineStr">
        <is>
          <t>https://www.remax.es../buscador-de-inmuebles/venta/casa-rural/baleares-islas-baleares/llubi/todos/VFI-0006/</t>
        </is>
      </c>
      <c r="J3609" t="inlineStr">
        <is>
          <t>Baleares</t>
        </is>
      </c>
      <c r="S3609" t="n">
        <v>300000</v>
      </c>
      <c r="AH3609" t="inlineStr">
        <is>
          <t>Quelle: Re/Max Mallorca</t>
        </is>
      </c>
    </row>
    <row r="3610">
      <c r="A3610" t="n">
        <v>3423</v>
      </c>
      <c r="B3610" t="inlineStr">
        <is>
          <t>Nueva en el mercado</t>
        </is>
      </c>
      <c r="C3610" t="inlineStr">
        <is>
          <t>https://www.remax.es../buscador-de-inmuebles/venta/casa-rural/baleares-islas-baleares/andratx/todos/100-PV112/</t>
        </is>
      </c>
      <c r="E3610" t="n">
        <v>1</v>
      </c>
      <c r="J3610" t="inlineStr">
        <is>
          <t>Baleares</t>
        </is>
      </c>
      <c r="S3610" t="n">
        <v>110000</v>
      </c>
      <c r="AH3610" t="inlineStr">
        <is>
          <t>Quelle: Re/Max Mallorca</t>
        </is>
      </c>
    </row>
    <row r="3611">
      <c r="A3611" t="n">
        <v>3424</v>
      </c>
      <c r="C3611" t="inlineStr">
        <is>
          <t>https://www.remax.es../buscador-de-inmuebles/venta/casa-rural/baleares-islas-baleares/arta/todos/3563-V/</t>
        </is>
      </c>
      <c r="E3611" t="n">
        <v>2</v>
      </c>
      <c r="J3611" t="inlineStr">
        <is>
          <t>Baleares</t>
        </is>
      </c>
      <c r="S3611" t="n">
        <v>850000</v>
      </c>
      <c r="AH3611" t="inlineStr">
        <is>
          <t>Quelle: Re/Max Mallorca</t>
        </is>
      </c>
    </row>
    <row r="3612">
      <c r="A3612" t="n">
        <v>3425</v>
      </c>
      <c r="B3612" t="inlineStr">
        <is>
          <t>Nueva en el mercado</t>
        </is>
      </c>
      <c r="C3612" t="inlineStr">
        <is>
          <t>https://www.remax.es../buscador-de-inmuebles/venta/casa-rural/baleares-islas-baleares/santanyi/todos/X-012/</t>
        </is>
      </c>
      <c r="E3612" t="n">
        <v>3</v>
      </c>
      <c r="J3612" t="inlineStr">
        <is>
          <t>Baleares</t>
        </is>
      </c>
      <c r="K3612" t="n">
        <v>47.4</v>
      </c>
      <c r="L3612" t="n">
        <v>40</v>
      </c>
      <c r="M3612" t="n">
        <v>51.8</v>
      </c>
      <c r="N3612" t="n">
        <v>55</v>
      </c>
      <c r="O3612" t="n">
        <v>70</v>
      </c>
      <c r="P3612" t="n">
        <v>56</v>
      </c>
      <c r="Q3612" t="n">
        <v>49.5</v>
      </c>
      <c r="R3612" t="n">
        <v>51</v>
      </c>
      <c r="S3612" t="n">
        <v>5800000</v>
      </c>
      <c r="AH3612" t="inlineStr">
        <is>
          <t>Quelle: Re/Max Mallorca</t>
        </is>
      </c>
    </row>
    <row r="3613">
      <c r="A3613" t="n">
        <v>3426</v>
      </c>
      <c r="C3613" t="inlineStr">
        <is>
          <t>https://www.remax.es../buscador-de-inmuebles/venta/casa-rural/baleares-islas-baleares/campanet/todos/100CG3971/</t>
        </is>
      </c>
      <c r="E3613" t="n">
        <v>6</v>
      </c>
      <c r="J3613" t="inlineStr">
        <is>
          <t>Baleares</t>
        </is>
      </c>
      <c r="K3613" t="n">
        <v>47.4</v>
      </c>
      <c r="L3613" t="n">
        <v>40</v>
      </c>
      <c r="M3613" t="n">
        <v>51.8</v>
      </c>
      <c r="N3613" t="n">
        <v>55</v>
      </c>
      <c r="O3613" t="n">
        <v>70</v>
      </c>
      <c r="P3613" t="n">
        <v>56</v>
      </c>
      <c r="Q3613" t="n">
        <v>49.5</v>
      </c>
      <c r="R3613" t="n">
        <v>51</v>
      </c>
      <c r="S3613" t="n">
        <v>650000</v>
      </c>
      <c r="AH3613" t="inlineStr">
        <is>
          <t>Quelle: Re/Max Mallorca</t>
        </is>
      </c>
    </row>
    <row r="3614">
      <c r="A3614" t="n">
        <v>3427</v>
      </c>
      <c r="C3614" t="inlineStr">
        <is>
          <t>https://www.remax.es../buscador-de-inmuebles/venta/casa-rural/baleares-islas-baleares/andratx/todos/3529-V/</t>
        </is>
      </c>
      <c r="E3614" t="n">
        <v>2</v>
      </c>
      <c r="J3614" t="inlineStr">
        <is>
          <t>Baleares</t>
        </is>
      </c>
      <c r="S3614" t="n">
        <v>895000</v>
      </c>
      <c r="AH3614" t="inlineStr">
        <is>
          <t>Quelle: Re/Max Mallorca</t>
        </is>
      </c>
    </row>
    <row r="3615">
      <c r="A3615" t="n">
        <v>3428</v>
      </c>
      <c r="C3615" t="inlineStr">
        <is>
          <t>https://www.remax.es../buscador-de-inmuebles/venta/casa-rural/baleares-islas-baleares/sant-joan/todos/100PV106/</t>
        </is>
      </c>
      <c r="E3615" t="n">
        <v>3</v>
      </c>
      <c r="J3615" t="inlineStr">
        <is>
          <t>Baleares</t>
        </is>
      </c>
      <c r="S3615" t="n">
        <v>470000</v>
      </c>
      <c r="AH3615" t="inlineStr">
        <is>
          <t>Quelle: Re/Max Mallorca</t>
        </is>
      </c>
    </row>
    <row r="3616">
      <c r="A3616" t="n">
        <v>3429</v>
      </c>
      <c r="B3616" t="inlineStr">
        <is>
          <t>Nueva en el mercado</t>
        </is>
      </c>
      <c r="C3616" t="inlineStr">
        <is>
          <t>https://www.remax.es../buscador-de-inmuebles/venta/casa-rural/baleares-islas-baleares/sa-pobla/todos/100-HP011/</t>
        </is>
      </c>
      <c r="E3616" t="n">
        <v>3</v>
      </c>
      <c r="J3616" t="inlineStr">
        <is>
          <t>Baleares</t>
        </is>
      </c>
      <c r="S3616" t="n">
        <v>750000</v>
      </c>
      <c r="AH3616" t="inlineStr">
        <is>
          <t>Quelle: Re/Max Mallorca</t>
        </is>
      </c>
    </row>
    <row r="3617">
      <c r="A3617" t="n">
        <v>3430</v>
      </c>
      <c r="B3617" t="inlineStr">
        <is>
          <t>Nueva en el mercado</t>
        </is>
      </c>
      <c r="C3617" t="inlineStr">
        <is>
          <t>https://www.remax.es../buscador-de-inmuebles/venta/casa-rural/baleares-islas-baleares/llucmajor/todos/VFI-0003/</t>
        </is>
      </c>
      <c r="E3617" t="n">
        <v>3</v>
      </c>
      <c r="H3617" t="n">
        <v>0</v>
      </c>
      <c r="J3617" t="inlineStr">
        <is>
          <t>Baleares</t>
        </is>
      </c>
      <c r="K3617" t="n">
        <v>47.4</v>
      </c>
      <c r="L3617" t="n">
        <v>40</v>
      </c>
      <c r="M3617" t="n">
        <v>51.8</v>
      </c>
      <c r="N3617" t="n">
        <v>55</v>
      </c>
      <c r="O3617" t="n">
        <v>70</v>
      </c>
      <c r="P3617" t="n">
        <v>56</v>
      </c>
      <c r="Q3617" t="n">
        <v>49.5</v>
      </c>
      <c r="R3617" t="n">
        <v>51</v>
      </c>
      <c r="S3617" t="n">
        <v>1300000</v>
      </c>
      <c r="AH3617" t="inlineStr">
        <is>
          <t>Quelle: Re/Max Mallorca</t>
        </is>
      </c>
    </row>
    <row r="3618">
      <c r="A3618" t="n">
        <v>3431</v>
      </c>
      <c r="B3618" t="inlineStr">
        <is>
          <t>Nueva en el mercado</t>
        </is>
      </c>
      <c r="C3618" t="inlineStr">
        <is>
          <t>https://www.remax.es../buscador-de-inmuebles/venta/casa-rural/baleares-islas-baleares/palma-de-mallorca/llevant-sa-casa-blanca/RI-00649/</t>
        </is>
      </c>
      <c r="E3618" t="n">
        <v>1</v>
      </c>
      <c r="J3618" t="inlineStr">
        <is>
          <t>Baleares</t>
        </is>
      </c>
      <c r="S3618" t="n">
        <v>135000</v>
      </c>
      <c r="AH3618" t="inlineStr">
        <is>
          <t>Quelle: Re/Max Mallorca</t>
        </is>
      </c>
    </row>
    <row r="3619">
      <c r="A3619" t="n">
        <v>3432</v>
      </c>
      <c r="B3619" t="inlineStr">
        <is>
          <t>Nueva en el mercado</t>
        </is>
      </c>
      <c r="C3619" t="inlineStr">
        <is>
          <t>https://www.remax.es../buscador-de-inmuebles/venta/casa-rural/baleares-islas-baleares/manacor/todos/RI-00638/</t>
        </is>
      </c>
      <c r="E3619" t="n">
        <v>1</v>
      </c>
      <c r="J3619" t="inlineStr">
        <is>
          <t>Baleares</t>
        </is>
      </c>
      <c r="S3619" t="n">
        <v>260000</v>
      </c>
      <c r="AH3619" t="inlineStr">
        <is>
          <t>Quelle: Re/Max Mallorca</t>
        </is>
      </c>
    </row>
    <row r="3620">
      <c r="A3620" t="n">
        <v>3433</v>
      </c>
      <c r="B3620" t="inlineStr">
        <is>
          <t>Nueva en el mercado</t>
        </is>
      </c>
      <c r="C3620" t="inlineStr">
        <is>
          <t>https://www.remax.es../buscador-de-inmuebles/venta/casa-rural/baleares-islas-baleares/campanet/todos/101-FA1213/</t>
        </is>
      </c>
      <c r="E3620" t="n">
        <v>2</v>
      </c>
      <c r="J3620" t="inlineStr">
        <is>
          <t>Baleares</t>
        </is>
      </c>
      <c r="S3620" t="n">
        <v>695000</v>
      </c>
      <c r="AH3620" t="inlineStr">
        <is>
          <t>Quelle: Re/Max Mallorca</t>
        </is>
      </c>
    </row>
    <row r="3621">
      <c r="A3621" t="n">
        <v>3434</v>
      </c>
      <c r="B3621" t="inlineStr">
        <is>
          <t>Nueva en el mercado</t>
        </is>
      </c>
      <c r="C3621" t="inlineStr">
        <is>
          <t>https://www.remax.es../buscador-de-inmuebles/venta/casa-rural/baleares-islas-baleares/el-palmer/todos/X-005/</t>
        </is>
      </c>
      <c r="E3621" t="n">
        <v>3</v>
      </c>
      <c r="J3621" t="inlineStr">
        <is>
          <t>Baleares</t>
        </is>
      </c>
      <c r="S3621" t="n">
        <v>698000</v>
      </c>
      <c r="AH3621" t="inlineStr">
        <is>
          <t>Quelle: Re/Max Mallorca</t>
        </is>
      </c>
    </row>
    <row r="3622">
      <c r="A3622" t="n">
        <v>3435</v>
      </c>
      <c r="B3622" t="inlineStr">
        <is>
          <t>Nueva en el mercado</t>
        </is>
      </c>
      <c r="C3622" t="inlineStr">
        <is>
          <t>https://www.remax.es../buscador-de-inmuebles/venta/casa-rural/baleares-islas-baleares/palma-de-mallorca/llevant-sa-casa-blanca/101-FA1211/</t>
        </is>
      </c>
      <c r="E3622" t="n">
        <v>4</v>
      </c>
      <c r="J3622" t="inlineStr">
        <is>
          <t>Baleares</t>
        </is>
      </c>
      <c r="S3622" t="n">
        <v>595000</v>
      </c>
      <c r="AH3622" t="inlineStr">
        <is>
          <t>Quelle: Re/Max Mallorca</t>
        </is>
      </c>
    </row>
    <row r="3623">
      <c r="A3623" t="n">
        <v>3436</v>
      </c>
      <c r="B3623" t="inlineStr">
        <is>
          <t>Nueva en el mercado</t>
        </is>
      </c>
      <c r="C3623" t="inlineStr">
        <is>
          <t>https://www.remax.es../buscador-de-inmuebles/venta/casa-rural/baleares-islas-baleares/cugulutx/todos/JJ2503/</t>
        </is>
      </c>
      <c r="E3623" t="n">
        <v>8</v>
      </c>
      <c r="J3623" t="inlineStr">
        <is>
          <t>Baleares</t>
        </is>
      </c>
      <c r="K3623" t="n">
        <v>47.4</v>
      </c>
      <c r="L3623" t="n">
        <v>40</v>
      </c>
      <c r="M3623" t="n">
        <v>51.8</v>
      </c>
      <c r="N3623" t="n">
        <v>55</v>
      </c>
      <c r="O3623" t="n">
        <v>70</v>
      </c>
      <c r="P3623" t="n">
        <v>56</v>
      </c>
      <c r="Q3623" t="n">
        <v>49.5</v>
      </c>
      <c r="R3623" t="n">
        <v>51</v>
      </c>
      <c r="S3623" t="n">
        <v>1195000</v>
      </c>
      <c r="AH3623" t="inlineStr">
        <is>
          <t>Quelle: Re/Max Mallorca</t>
        </is>
      </c>
    </row>
    <row r="3624">
      <c r="A3624" t="n">
        <v>3437</v>
      </c>
      <c r="B3624" t="inlineStr">
        <is>
          <t>Nueva en el mercado</t>
        </is>
      </c>
      <c r="C3624" t="inlineStr">
        <is>
          <t>https://www.remax.es../buscador-de-inmuebles/venta/casa-rural/baleares-islas-baleares/son-moro-bonavista/todos/JS1222/</t>
        </is>
      </c>
      <c r="E3624" t="n">
        <v>3</v>
      </c>
      <c r="J3624" t="inlineStr">
        <is>
          <t>Baleares</t>
        </is>
      </c>
      <c r="S3624" t="n">
        <v>799900</v>
      </c>
      <c r="AH3624" t="inlineStr">
        <is>
          <t>Quelle: Re/Max Mallorca</t>
        </is>
      </c>
    </row>
    <row r="3625">
      <c r="A3625" t="n">
        <v>3438</v>
      </c>
      <c r="C3625" t="inlineStr">
        <is>
          <t>https://www.remax.es../buscador-de-inmuebles/venta/casa-rural/baleares-islas-baleares/felanitx/todos/3339-V/</t>
        </is>
      </c>
      <c r="E3625" t="n">
        <v>7</v>
      </c>
      <c r="J3625" t="inlineStr">
        <is>
          <t>Baleares</t>
        </is>
      </c>
      <c r="K3625" t="n">
        <v>47.4</v>
      </c>
      <c r="L3625" t="n">
        <v>40</v>
      </c>
      <c r="M3625" t="n">
        <v>51.8</v>
      </c>
      <c r="N3625" t="n">
        <v>55</v>
      </c>
      <c r="O3625" t="n">
        <v>70</v>
      </c>
      <c r="P3625" t="n">
        <v>56</v>
      </c>
      <c r="Q3625" t="n">
        <v>49.5</v>
      </c>
      <c r="R3625" t="n">
        <v>51</v>
      </c>
      <c r="S3625" t="n">
        <v>6500000</v>
      </c>
      <c r="AH3625" t="inlineStr">
        <is>
          <t>Quelle: Re/Max Mallorca</t>
        </is>
      </c>
    </row>
    <row r="3626">
      <c r="A3626" t="n">
        <v>3439</v>
      </c>
      <c r="B3626" t="inlineStr">
        <is>
          <t>Nueva en el mercado</t>
        </is>
      </c>
      <c r="C3626" t="inlineStr">
        <is>
          <t>https://www.remax.es../buscador-de-inmuebles/venta/casa-rural/baleares-islas-baleares/pollenca/todos/100-HP02/</t>
        </is>
      </c>
      <c r="E3626" t="n">
        <v>3</v>
      </c>
      <c r="J3626" t="inlineStr">
        <is>
          <t>Baleares</t>
        </is>
      </c>
      <c r="S3626" t="n">
        <v>950000</v>
      </c>
      <c r="AH3626" t="inlineStr">
        <is>
          <t>Quelle: Re/Max Mallorca</t>
        </is>
      </c>
    </row>
    <row r="3627">
      <c r="A3627" t="n">
        <v>3440</v>
      </c>
      <c r="B3627" t="inlineStr">
        <is>
          <t>Nueva en el mercado</t>
        </is>
      </c>
      <c r="C3627" t="inlineStr">
        <is>
          <t>https://www.remax.es../buscador-de-inmuebles/venta/casa-rural/baleares-islas-baleares/marratxinet/todos/100-CA3989/</t>
        </is>
      </c>
      <c r="E3627" t="n">
        <v>4</v>
      </c>
      <c r="J3627" t="inlineStr">
        <is>
          <t>Baleares</t>
        </is>
      </c>
      <c r="K3627" t="n">
        <v>47.4</v>
      </c>
      <c r="L3627" t="n">
        <v>40</v>
      </c>
      <c r="M3627" t="n">
        <v>51.8</v>
      </c>
      <c r="N3627" t="n">
        <v>55</v>
      </c>
      <c r="O3627" t="n">
        <v>70</v>
      </c>
      <c r="P3627" t="n">
        <v>56</v>
      </c>
      <c r="Q3627" t="n">
        <v>49.5</v>
      </c>
      <c r="R3627" t="n">
        <v>51</v>
      </c>
      <c r="S3627" t="n">
        <v>1300000</v>
      </c>
      <c r="AH3627" t="inlineStr">
        <is>
          <t>Quelle: Re/Max Mallorca</t>
        </is>
      </c>
    </row>
    <row r="3628">
      <c r="A3628" t="n">
        <v>3441</v>
      </c>
      <c r="C3628" t="inlineStr">
        <is>
          <t>https://www.remax.es../buscador-de-inmuebles/venta/casa-rural/baleares-islas-baleares/biniali/todos/RI-00607/</t>
        </is>
      </c>
      <c r="E3628" t="n">
        <v>3</v>
      </c>
      <c r="H3628" t="n">
        <v>220</v>
      </c>
      <c r="J3628" t="inlineStr">
        <is>
          <t>Baleares</t>
        </is>
      </c>
      <c r="S3628" t="n">
        <v>890000</v>
      </c>
      <c r="T3628" t="n">
        <v>4045</v>
      </c>
      <c r="AH3628" t="inlineStr">
        <is>
          <t>Quelle: Re/Max Mallorca</t>
        </is>
      </c>
    </row>
    <row r="3629">
      <c r="A3629" t="n">
        <v>3442</v>
      </c>
      <c r="C3629" t="inlineStr">
        <is>
          <t>https://www.remax.es../buscador-de-inmuebles/venta/casa-rural/baleares-islas-baleares/campos/todos/JM-001413/</t>
        </is>
      </c>
      <c r="E3629" t="n">
        <v>4</v>
      </c>
      <c r="H3629" t="n">
        <v>31</v>
      </c>
      <c r="J3629" t="inlineStr">
        <is>
          <t>Baleares</t>
        </is>
      </c>
      <c r="S3629" t="n">
        <v>950000</v>
      </c>
      <c r="T3629" t="n">
        <v>30645</v>
      </c>
      <c r="AH3629" t="inlineStr">
        <is>
          <t>Quelle: Re/Max Mallorca</t>
        </is>
      </c>
    </row>
    <row r="3630">
      <c r="A3630" t="n">
        <v>3443</v>
      </c>
      <c r="C3630" t="inlineStr">
        <is>
          <t>https://www.remax.es../buscador-de-inmuebles/venta/casa-rural/baleares-islas-baleares/pollenca/todos/3171-V/</t>
        </is>
      </c>
      <c r="E3630" t="n">
        <v>3</v>
      </c>
      <c r="H3630" t="n">
        <v>357</v>
      </c>
      <c r="J3630" t="inlineStr">
        <is>
          <t>Baleares</t>
        </is>
      </c>
      <c r="K3630" t="n">
        <v>47.4</v>
      </c>
      <c r="L3630" t="n">
        <v>40</v>
      </c>
      <c r="M3630" t="n">
        <v>51.8</v>
      </c>
      <c r="N3630" t="n">
        <v>55</v>
      </c>
      <c r="O3630" t="n">
        <v>70</v>
      </c>
      <c r="P3630" t="n">
        <v>56</v>
      </c>
      <c r="Q3630" t="n">
        <v>49.5</v>
      </c>
      <c r="R3630" t="n">
        <v>51</v>
      </c>
      <c r="S3630" t="n">
        <v>1500000</v>
      </c>
      <c r="T3630" t="n">
        <v>4202</v>
      </c>
      <c r="AH3630" t="inlineStr">
        <is>
          <t>Quelle: Re/Max Mallorca</t>
        </is>
      </c>
    </row>
    <row r="3631">
      <c r="A3631" t="n">
        <v>3444</v>
      </c>
      <c r="C3631" t="inlineStr">
        <is>
          <t>https://www.remax.es../buscador-de-inmuebles/venta/casa-rural/baleares-islas-baleares/muro/todos/RR2507/</t>
        </is>
      </c>
      <c r="E3631" t="n">
        <v>3</v>
      </c>
      <c r="J3631" t="inlineStr">
        <is>
          <t>Baleares</t>
        </is>
      </c>
      <c r="S3631" t="n">
        <v>437000</v>
      </c>
      <c r="AH3631" t="inlineStr">
        <is>
          <t>Quelle: Re/Max Mallorca</t>
        </is>
      </c>
    </row>
    <row r="3632">
      <c r="A3632" t="n">
        <v>3445</v>
      </c>
      <c r="B3632" t="inlineStr">
        <is>
          <t>Nueva en el mercado</t>
        </is>
      </c>
      <c r="C3632" t="inlineStr">
        <is>
          <t>https://www.remax.es../buscador-de-inmuebles/venta/casa-rural/baleares-islas-baleares/mao/todos/200-JM143/</t>
        </is>
      </c>
      <c r="E3632" t="n">
        <v>12</v>
      </c>
      <c r="J3632" t="inlineStr">
        <is>
          <t>Baleares</t>
        </is>
      </c>
      <c r="K3632" t="n">
        <v>47.4</v>
      </c>
      <c r="L3632" t="n">
        <v>40</v>
      </c>
      <c r="M3632" t="n">
        <v>51.8</v>
      </c>
      <c r="N3632" t="n">
        <v>55</v>
      </c>
      <c r="O3632" t="n">
        <v>70</v>
      </c>
      <c r="P3632" t="n">
        <v>56</v>
      </c>
      <c r="Q3632" t="n">
        <v>49.5</v>
      </c>
      <c r="R3632" t="n">
        <v>51</v>
      </c>
      <c r="S3632" t="n">
        <v>6500000</v>
      </c>
      <c r="AH3632" t="inlineStr">
        <is>
          <t>Quelle: Re/Max Mallorca</t>
        </is>
      </c>
    </row>
    <row r="3633">
      <c r="A3633" t="n">
        <v>3446</v>
      </c>
      <c r="B3633" t="inlineStr">
        <is>
          <t>Nueva en el mercado</t>
        </is>
      </c>
      <c r="C3633" t="inlineStr">
        <is>
          <t>https://www.remax.es../buscador-de-inmuebles/venta/casa-rural/baleares-islas-baleares/puigpunyent/todos/RI-00599/</t>
        </is>
      </c>
      <c r="E3633" t="n">
        <v>2</v>
      </c>
      <c r="J3633" t="inlineStr">
        <is>
          <t>Baleares</t>
        </is>
      </c>
      <c r="S3633" t="n">
        <v>799000</v>
      </c>
      <c r="AH3633" t="inlineStr">
        <is>
          <t>Quelle: Re/Max Mallorca</t>
        </is>
      </c>
    </row>
    <row r="3634">
      <c r="A3634" t="n">
        <v>3447</v>
      </c>
      <c r="B3634" t="inlineStr">
        <is>
          <t>Nueva en el mercado</t>
        </is>
      </c>
      <c r="C3634" t="inlineStr">
        <is>
          <t>https://www.remax.es../buscador-de-inmuebles/venta/casa-rural/baleares-islas-baleares/marratxi/urbanitzacio-pla-de-son-nebot/100-J2262/</t>
        </is>
      </c>
      <c r="E3634" t="n">
        <v>6</v>
      </c>
      <c r="J3634" t="inlineStr">
        <is>
          <t>Baleares</t>
        </is>
      </c>
      <c r="K3634" t="n">
        <v>47.4</v>
      </c>
      <c r="L3634" t="n">
        <v>40</v>
      </c>
      <c r="M3634" t="n">
        <v>51.8</v>
      </c>
      <c r="N3634" t="n">
        <v>55</v>
      </c>
      <c r="O3634" t="n">
        <v>70</v>
      </c>
      <c r="P3634" t="n">
        <v>56</v>
      </c>
      <c r="Q3634" t="n">
        <v>49.5</v>
      </c>
      <c r="R3634" t="n">
        <v>51</v>
      </c>
      <c r="S3634" t="n">
        <v>2300000</v>
      </c>
      <c r="AH3634" t="inlineStr">
        <is>
          <t>Quelle: Re/Max Mallorca</t>
        </is>
      </c>
    </row>
    <row r="3635">
      <c r="A3635" t="n">
        <v>3448</v>
      </c>
      <c r="C3635" t="inlineStr">
        <is>
          <t>https://www.remax.es../buscador-de-inmuebles/venta/casa-rural/baleares-islas-baleares/son-gual/llevant-sa-casa-blanca/100J3983/</t>
        </is>
      </c>
      <c r="E3635" t="n">
        <v>2</v>
      </c>
      <c r="H3635" t="n">
        <v>0</v>
      </c>
      <c r="J3635" t="inlineStr">
        <is>
          <t>Baleares</t>
        </is>
      </c>
      <c r="S3635" t="n">
        <v>640000</v>
      </c>
      <c r="AH3635" t="inlineStr">
        <is>
          <t>Quelle: Re/Max Mallorca</t>
        </is>
      </c>
    </row>
    <row r="3636">
      <c r="A3636" t="n">
        <v>3449</v>
      </c>
      <c r="B3636" t="inlineStr">
        <is>
          <t>Nueva en el mercado</t>
        </is>
      </c>
      <c r="C3636" t="inlineStr">
        <is>
          <t>https://www.remax.es../buscador-de-inmuebles/venta/casa-rural/baleares-islas-baleares/es-migjorn-gran/todos/200-JM126/</t>
        </is>
      </c>
      <c r="E3636" t="n">
        <v>3</v>
      </c>
      <c r="J3636" t="inlineStr">
        <is>
          <t>Baleares</t>
        </is>
      </c>
      <c r="S3636" t="n">
        <v>450000</v>
      </c>
      <c r="AH3636" t="inlineStr">
        <is>
          <t>Quelle: Re/Max Mallorca</t>
        </is>
      </c>
    </row>
    <row r="3637">
      <c r="A3637" t="n">
        <v>3450</v>
      </c>
      <c r="B3637" t="inlineStr">
        <is>
          <t>Nueva en el mercado</t>
        </is>
      </c>
      <c r="C3637" t="inlineStr">
        <is>
          <t>https://www.remax.es../buscador-de-inmuebles/venta/casa-rural/baleares-islas-baleares/alaior/todos/200-JM128/</t>
        </is>
      </c>
      <c r="E3637" t="n">
        <v>6</v>
      </c>
      <c r="J3637" t="inlineStr">
        <is>
          <t>Baleares</t>
        </is>
      </c>
      <c r="K3637" t="n">
        <v>47.4</v>
      </c>
      <c r="L3637" t="n">
        <v>40</v>
      </c>
      <c r="M3637" t="n">
        <v>51.8</v>
      </c>
      <c r="N3637" t="n">
        <v>55</v>
      </c>
      <c r="O3637" t="n">
        <v>70</v>
      </c>
      <c r="P3637" t="n">
        <v>56</v>
      </c>
      <c r="Q3637" t="n">
        <v>49.5</v>
      </c>
      <c r="R3637" t="n">
        <v>51</v>
      </c>
      <c r="S3637" t="n">
        <v>2990000</v>
      </c>
      <c r="AH3637" t="inlineStr">
        <is>
          <t>Quelle: Re/Max Mallorca</t>
        </is>
      </c>
    </row>
    <row r="3638">
      <c r="A3638" t="n">
        <v>3451</v>
      </c>
      <c r="B3638" t="inlineStr">
        <is>
          <t>Nueva en el mercado</t>
        </is>
      </c>
      <c r="C3638" t="inlineStr">
        <is>
          <t>https://www.remax.es../buscador-de-inmuebles/venta/casa-rural/baleares-islas-baleares/sant-joan/todos/101-2057/</t>
        </is>
      </c>
      <c r="E3638" t="n">
        <v>2</v>
      </c>
      <c r="J3638" t="inlineStr">
        <is>
          <t>Baleares</t>
        </is>
      </c>
      <c r="S3638" t="n">
        <v>478000</v>
      </c>
      <c r="AH3638" t="inlineStr">
        <is>
          <t>Quelle: Re/Max Mallorca</t>
        </is>
      </c>
    </row>
    <row r="3639">
      <c r="A3639" t="n">
        <v>3452</v>
      </c>
      <c r="B3639" t="inlineStr">
        <is>
          <t>Nueva en el mercado</t>
        </is>
      </c>
      <c r="C3639" t="inlineStr">
        <is>
          <t>https://www.remax.es../buscador-de-inmuebles/venta/casa-rural/baleares-islas-baleares/santa-margalida/todos/101-CP1106/</t>
        </is>
      </c>
      <c r="E3639" t="n">
        <v>1</v>
      </c>
      <c r="J3639" t="inlineStr">
        <is>
          <t>Baleares</t>
        </is>
      </c>
      <c r="S3639" t="n">
        <v>365000</v>
      </c>
      <c r="AH3639" t="inlineStr">
        <is>
          <t>Quelle: Re/Max Mallorca</t>
        </is>
      </c>
    </row>
    <row r="3640">
      <c r="A3640" t="n">
        <v>3453</v>
      </c>
      <c r="B3640" t="inlineStr">
        <is>
          <t>Nueva en el mercado</t>
        </is>
      </c>
      <c r="C3640" t="inlineStr">
        <is>
          <t>https://www.remax.es../buscador-de-inmuebles/venta/casa-rural/baleares-islas-baleares/felanitx/todos/RI-00574/</t>
        </is>
      </c>
      <c r="E3640" t="n">
        <v>3</v>
      </c>
      <c r="J3640" t="inlineStr">
        <is>
          <t>Baleares</t>
        </is>
      </c>
      <c r="S3640" t="n">
        <v>475000</v>
      </c>
      <c r="AH3640" t="inlineStr">
        <is>
          <t>Quelle: Re/Max Mallorca</t>
        </is>
      </c>
    </row>
    <row r="3641">
      <c r="A3641" t="n">
        <v>3454</v>
      </c>
      <c r="B3641" t="inlineStr">
        <is>
          <t>Nueva en el mercado</t>
        </is>
      </c>
      <c r="C3641" t="inlineStr">
        <is>
          <t>https://www.remax.es../buscador-de-inmuebles/venta/casa-rural/baleares-islas-baleares/algaida/todos/LH-001347/</t>
        </is>
      </c>
      <c r="E3641" t="n">
        <v>4</v>
      </c>
      <c r="J3641" t="inlineStr">
        <is>
          <t>Baleares</t>
        </is>
      </c>
      <c r="K3641" t="n">
        <v>47.4</v>
      </c>
      <c r="L3641" t="n">
        <v>40</v>
      </c>
      <c r="M3641" t="n">
        <v>51.8</v>
      </c>
      <c r="N3641" t="n">
        <v>55</v>
      </c>
      <c r="O3641" t="n">
        <v>70</v>
      </c>
      <c r="P3641" t="n">
        <v>56</v>
      </c>
      <c r="Q3641" t="n">
        <v>49.5</v>
      </c>
      <c r="R3641" t="n">
        <v>51</v>
      </c>
      <c r="S3641" t="n">
        <v>1875000</v>
      </c>
      <c r="AH3641" t="inlineStr">
        <is>
          <t>Quelle: Re/Max Mallorca</t>
        </is>
      </c>
    </row>
    <row r="3642">
      <c r="A3642" t="n">
        <v>3455</v>
      </c>
      <c r="C3642" t="inlineStr">
        <is>
          <t>https://www.remax.es../buscador-de-inmuebles/venta/casa-rural/baleares-islas-baleares/felanitx/todos/RI-00562/</t>
        </is>
      </c>
      <c r="E3642" t="n">
        <v>4</v>
      </c>
      <c r="J3642" t="inlineStr">
        <is>
          <t>Baleares</t>
        </is>
      </c>
      <c r="K3642" t="n">
        <v>47.4</v>
      </c>
      <c r="L3642" t="n">
        <v>40</v>
      </c>
      <c r="M3642" t="n">
        <v>51.8</v>
      </c>
      <c r="N3642" t="n">
        <v>55</v>
      </c>
      <c r="O3642" t="n">
        <v>70</v>
      </c>
      <c r="P3642" t="n">
        <v>56</v>
      </c>
      <c r="Q3642" t="n">
        <v>49.5</v>
      </c>
      <c r="R3642" t="n">
        <v>51</v>
      </c>
      <c r="S3642" t="n">
        <v>1500000</v>
      </c>
      <c r="AH3642" t="inlineStr">
        <is>
          <t>Quelle: Re/Max Mallorca</t>
        </is>
      </c>
    </row>
    <row r="3643">
      <c r="A3643" t="n">
        <v>3456</v>
      </c>
      <c r="B3643" t="inlineStr">
        <is>
          <t>Nueva en el mercado</t>
        </is>
      </c>
      <c r="C3643" t="inlineStr">
        <is>
          <t>https://www.remax.es../buscador-de-inmuebles/venta/casa-rural/baleares-islas-baleares/son-serra-de-marina/todos/JM-24-009/</t>
        </is>
      </c>
      <c r="E3643" t="n">
        <v>20</v>
      </c>
      <c r="J3643" t="inlineStr">
        <is>
          <t>Baleares</t>
        </is>
      </c>
      <c r="K3643" t="n">
        <v>47.4</v>
      </c>
      <c r="L3643" t="n">
        <v>40</v>
      </c>
      <c r="M3643" t="n">
        <v>51.8</v>
      </c>
      <c r="N3643" t="n">
        <v>55</v>
      </c>
      <c r="O3643" t="n">
        <v>70</v>
      </c>
      <c r="P3643" t="n">
        <v>56</v>
      </c>
      <c r="Q3643" t="n">
        <v>49.5</v>
      </c>
      <c r="R3643" t="n">
        <v>51</v>
      </c>
      <c r="S3643" t="n">
        <v>14000000</v>
      </c>
      <c r="AH3643" t="inlineStr">
        <is>
          <t>Quelle: Re/Max Mallorca</t>
        </is>
      </c>
    </row>
    <row r="3644">
      <c r="A3644" t="n">
        <v>3457</v>
      </c>
      <c r="C3644" t="inlineStr">
        <is>
          <t>https://www.remax.es../buscador-de-inmuebles/venta/casa-rural/baleares-islas-baleares/campanet/todos/2763-V/</t>
        </is>
      </c>
      <c r="E3644" t="n">
        <v>5</v>
      </c>
      <c r="H3644" t="n">
        <v>0</v>
      </c>
      <c r="J3644" t="inlineStr">
        <is>
          <t>Baleares</t>
        </is>
      </c>
      <c r="K3644" t="n">
        <v>47.4</v>
      </c>
      <c r="L3644" t="n">
        <v>40</v>
      </c>
      <c r="M3644" t="n">
        <v>51.8</v>
      </c>
      <c r="N3644" t="n">
        <v>55</v>
      </c>
      <c r="O3644" t="n">
        <v>70</v>
      </c>
      <c r="P3644" t="n">
        <v>56</v>
      </c>
      <c r="Q3644" t="n">
        <v>49.5</v>
      </c>
      <c r="R3644" t="n">
        <v>51</v>
      </c>
      <c r="S3644" t="n">
        <v>7500000</v>
      </c>
      <c r="AH3644" t="inlineStr">
        <is>
          <t>Quelle: Re/Max Mallorca</t>
        </is>
      </c>
    </row>
    <row r="3645">
      <c r="A3645" t="n">
        <v>3458</v>
      </c>
      <c r="B3645" t="inlineStr">
        <is>
          <t>Nueva en el mercado</t>
        </is>
      </c>
      <c r="C3645" t="inlineStr">
        <is>
          <t>https://www.remax.es../buscador-de-inmuebles/venta/casa-rural/baleares-islas-baleares/santa-maria-del-camino/todos/RI-00435/</t>
        </is>
      </c>
      <c r="E3645" t="n">
        <v>5</v>
      </c>
      <c r="J3645" t="inlineStr">
        <is>
          <t>Baleares</t>
        </is>
      </c>
      <c r="K3645" t="n">
        <v>47.4</v>
      </c>
      <c r="L3645" t="n">
        <v>40</v>
      </c>
      <c r="M3645" t="n">
        <v>51.8</v>
      </c>
      <c r="N3645" t="n">
        <v>55</v>
      </c>
      <c r="O3645" t="n">
        <v>70</v>
      </c>
      <c r="P3645" t="n">
        <v>56</v>
      </c>
      <c r="Q3645" t="n">
        <v>49.5</v>
      </c>
      <c r="R3645" t="n">
        <v>51</v>
      </c>
      <c r="S3645" t="n">
        <v>2000000</v>
      </c>
      <c r="AH3645" t="inlineStr">
        <is>
          <t>Quelle: Re/Max Mallorca</t>
        </is>
      </c>
    </row>
    <row r="3646">
      <c r="A3646" t="n">
        <v>3459</v>
      </c>
      <c r="C3646" t="inlineStr">
        <is>
          <t>https://www.remax.es../buscador-de-inmuebles/venta/casa-rural/baleares-islas-baleares/campos/todos/RI-00432/</t>
        </is>
      </c>
      <c r="E3646" t="n">
        <v>4</v>
      </c>
      <c r="H3646" t="n">
        <v>852</v>
      </c>
      <c r="J3646" t="inlineStr">
        <is>
          <t>Baleares</t>
        </is>
      </c>
      <c r="S3646" t="n">
        <v>897000</v>
      </c>
      <c r="T3646" t="n">
        <v>1053</v>
      </c>
      <c r="AH3646" t="inlineStr">
        <is>
          <t>Quelle: Re/Max Mallorca</t>
        </is>
      </c>
    </row>
    <row r="3647">
      <c r="A3647" t="n">
        <v>3460</v>
      </c>
      <c r="B3647" t="inlineStr">
        <is>
          <t>Nueva en el mercado</t>
        </is>
      </c>
      <c r="C3647" t="inlineStr">
        <is>
          <t>https://www.remax.es../buscador-de-inmuebles/venta/casa-rural/baleares-islas-baleares/llucmajor/todos/RI-00424/</t>
        </is>
      </c>
      <c r="E3647" t="n">
        <v>4</v>
      </c>
      <c r="J3647" t="inlineStr">
        <is>
          <t>Baleares</t>
        </is>
      </c>
      <c r="K3647" t="n">
        <v>47.4</v>
      </c>
      <c r="L3647" t="n">
        <v>40</v>
      </c>
      <c r="M3647" t="n">
        <v>51.8</v>
      </c>
      <c r="N3647" t="n">
        <v>55</v>
      </c>
      <c r="O3647" t="n">
        <v>70</v>
      </c>
      <c r="P3647" t="n">
        <v>56</v>
      </c>
      <c r="Q3647" t="n">
        <v>49.5</v>
      </c>
      <c r="R3647" t="n">
        <v>51</v>
      </c>
      <c r="S3647" t="n">
        <v>3500000</v>
      </c>
      <c r="AH3647" t="inlineStr">
        <is>
          <t>Quelle: Re/Max Mallorca</t>
        </is>
      </c>
    </row>
    <row r="3648">
      <c r="A3648" t="n">
        <v>3461</v>
      </c>
      <c r="B3648" t="inlineStr">
        <is>
          <t>Nueva en el mercado</t>
        </is>
      </c>
      <c r="C3648" t="inlineStr">
        <is>
          <t>https://www.remax.es../buscador-de-inmuebles/venta/casa-rural/baleares-islas-baleares/cas-catala/todos/RI-00420/</t>
        </is>
      </c>
      <c r="E3648" t="n">
        <v>2</v>
      </c>
      <c r="J3648" t="inlineStr">
        <is>
          <t>Baleares</t>
        </is>
      </c>
      <c r="K3648" t="n">
        <v>47.4</v>
      </c>
      <c r="L3648" t="n">
        <v>40</v>
      </c>
      <c r="M3648" t="n">
        <v>51.8</v>
      </c>
      <c r="N3648" t="n">
        <v>55</v>
      </c>
      <c r="O3648" t="n">
        <v>70</v>
      </c>
      <c r="P3648" t="n">
        <v>56</v>
      </c>
      <c r="Q3648" t="n">
        <v>49.5</v>
      </c>
      <c r="R3648" t="n">
        <v>51</v>
      </c>
      <c r="S3648" t="n">
        <v>1150000</v>
      </c>
      <c r="AH3648" t="inlineStr">
        <is>
          <t>Quelle: Re/Max Mallorca</t>
        </is>
      </c>
    </row>
    <row r="3649">
      <c r="A3649" t="n">
        <v>3462</v>
      </c>
      <c r="C3649" t="inlineStr">
        <is>
          <t>https://www.remax.es../buscador-de-inmuebles/venta/casa-rural/baleares-islas-baleares/pollenca/todos/1692-V/</t>
        </is>
      </c>
      <c r="E3649" t="n">
        <v>4</v>
      </c>
      <c r="H3649" t="n">
        <v>0</v>
      </c>
      <c r="J3649" t="inlineStr">
        <is>
          <t>Baleares</t>
        </is>
      </c>
      <c r="K3649" t="n">
        <v>47.4</v>
      </c>
      <c r="L3649" t="n">
        <v>40</v>
      </c>
      <c r="M3649" t="n">
        <v>51.8</v>
      </c>
      <c r="N3649" t="n">
        <v>55</v>
      </c>
      <c r="O3649" t="n">
        <v>70</v>
      </c>
      <c r="P3649" t="n">
        <v>56</v>
      </c>
      <c r="Q3649" t="n">
        <v>49.5</v>
      </c>
      <c r="R3649" t="n">
        <v>51</v>
      </c>
      <c r="S3649" t="n">
        <v>1800000</v>
      </c>
      <c r="AH3649" t="inlineStr">
        <is>
          <t>Quelle: Re/Max Mallorca</t>
        </is>
      </c>
    </row>
    <row r="3650">
      <c r="A3650" t="n">
        <v>3463</v>
      </c>
      <c r="B3650" t="inlineStr">
        <is>
          <t>Nueva en el mercado</t>
        </is>
      </c>
      <c r="C3650" t="inlineStr">
        <is>
          <t>https://www.remax.es../buscador-de-inmuebles/venta/casa-rural/baleares-islas-baleares/palma-de-mallorca/ponent-genova/RI-00402/</t>
        </is>
      </c>
      <c r="E3650" t="n">
        <v>6</v>
      </c>
      <c r="J3650" t="inlineStr">
        <is>
          <t>Baleares</t>
        </is>
      </c>
      <c r="K3650" t="n">
        <v>47.4</v>
      </c>
      <c r="L3650" t="n">
        <v>40</v>
      </c>
      <c r="M3650" t="n">
        <v>51.8</v>
      </c>
      <c r="N3650" t="n">
        <v>55</v>
      </c>
      <c r="O3650" t="n">
        <v>70</v>
      </c>
      <c r="P3650" t="n">
        <v>56</v>
      </c>
      <c r="Q3650" t="n">
        <v>49.5</v>
      </c>
      <c r="R3650" t="n">
        <v>51</v>
      </c>
      <c r="S3650" t="n">
        <v>4900000</v>
      </c>
      <c r="AH3650" t="inlineStr">
        <is>
          <t>Quelle: Re/Max Mallorca</t>
        </is>
      </c>
    </row>
    <row r="3651">
      <c r="A3651" t="n">
        <v>3464</v>
      </c>
      <c r="B3651" t="inlineStr">
        <is>
          <t>Nueva en el mercado</t>
        </is>
      </c>
      <c r="C3651" t="inlineStr">
        <is>
          <t>https://www.remax.es../buscador-de-inmuebles/venta/casa-rural/baleares-islas-baleares/palma-de-mallorca/nord-establiments/RI-00064/</t>
        </is>
      </c>
      <c r="E3651" t="n">
        <v>15</v>
      </c>
      <c r="J3651" t="inlineStr">
        <is>
          <t>Baleares</t>
        </is>
      </c>
      <c r="K3651" t="n">
        <v>47.4</v>
      </c>
      <c r="L3651" t="n">
        <v>40</v>
      </c>
      <c r="M3651" t="n">
        <v>51.8</v>
      </c>
      <c r="N3651" t="n">
        <v>55</v>
      </c>
      <c r="O3651" t="n">
        <v>70</v>
      </c>
      <c r="P3651" t="n">
        <v>56</v>
      </c>
      <c r="Q3651" t="n">
        <v>49.5</v>
      </c>
      <c r="R3651" t="n">
        <v>51</v>
      </c>
      <c r="S3651" t="n">
        <v>9900000</v>
      </c>
      <c r="AH3651" t="inlineStr">
        <is>
          <t>Quelle: Re/Max Mallorca</t>
        </is>
      </c>
    </row>
    <row r="3652">
      <c r="A3652" t="n">
        <v>3465</v>
      </c>
      <c r="B3652" t="inlineStr">
        <is>
          <t>Filter your results</t>
        </is>
      </c>
      <c r="C3652" t="inlineStr">
        <is>
          <t>https://www.fineandcountry.es#</t>
        </is>
      </c>
      <c r="S3652" t="n">
        <v>1000</v>
      </c>
      <c r="AH3652" t="inlineStr">
        <is>
          <t>Quelle: Fine &amp; Country</t>
        </is>
      </c>
    </row>
    <row r="3653">
      <c r="A3653" t="n">
        <v>3466</v>
      </c>
      <c r="B3653" t="inlineStr">
        <is>
          <t>Santa Maria</t>
        </is>
      </c>
      <c r="C3653" t="inlineStr">
        <is>
          <t>https://www.fineandcountry.es/en/mallorca-estate-agents/property-sale/5-bedroom-villa-for-sale-in-santa-maria/4511437</t>
        </is>
      </c>
      <c r="S3653" t="n">
        <v>8750000</v>
      </c>
      <c r="AH3653" t="inlineStr">
        <is>
          <t>Quelle: Fine &amp; Country</t>
        </is>
      </c>
    </row>
    <row r="3654">
      <c r="A3654" t="n">
        <v>3467</v>
      </c>
      <c r="B3654" t="inlineStr">
        <is>
          <t>Alaro</t>
        </is>
      </c>
      <c r="C3654" t="inlineStr">
        <is>
          <t>https://www.fineandcountry.es/en/mallorca-estate-agents/property-sale/4-bedroom-villa-for-sale-in-alaro/4507716</t>
        </is>
      </c>
      <c r="S3654" t="n">
        <v>8495000</v>
      </c>
      <c r="AH3654" t="inlineStr">
        <is>
          <t>Quelle: Fine &amp; Country</t>
        </is>
      </c>
    </row>
    <row r="3655">
      <c r="A3655" t="n">
        <v>3468</v>
      </c>
      <c r="B3655" t="inlineStr">
        <is>
          <t>Binissalem</t>
        </is>
      </c>
      <c r="C3655" t="inlineStr">
        <is>
          <t>https://www.fineandcountry.es/en/mallorca-estate-agents/property-sale/4-bedroom-villa-for-sale-in-binissalem/4460150</t>
        </is>
      </c>
      <c r="S3655" t="n">
        <v>7995000</v>
      </c>
      <c r="AH3655" t="inlineStr">
        <is>
          <t>Quelle: Fine &amp; Country</t>
        </is>
      </c>
    </row>
    <row r="3656">
      <c r="A3656" t="n">
        <v>3469</v>
      </c>
      <c r="B3656" t="inlineStr">
        <is>
          <t>Pollensa</t>
        </is>
      </c>
      <c r="C3656" t="inlineStr">
        <is>
          <t>https://www.fineandcountry.es/en/mallorca-estate-agents/property-sale/4-bedroom-villa-for-sale-in-pollensa/4454240</t>
        </is>
      </c>
      <c r="S3656" t="n">
        <v>5200000</v>
      </c>
      <c r="AH3656" t="inlineStr">
        <is>
          <t>Quelle: Fine &amp; Country</t>
        </is>
      </c>
    </row>
    <row r="3657">
      <c r="A3657" t="n">
        <v>3470</v>
      </c>
      <c r="B3657" t="inlineStr">
        <is>
          <t>Manacor</t>
        </is>
      </c>
      <c r="C3657" t="inlineStr">
        <is>
          <t>https://www.fineandcountry.es/en/mallorca-estate-agents/property-sale/6-bedroom-villa-for-sale-in-manacor/4518242</t>
        </is>
      </c>
      <c r="S3657" t="n">
        <v>4150000</v>
      </c>
      <c r="AH3657" t="inlineStr">
        <is>
          <t>Quelle: Fine &amp; Country</t>
        </is>
      </c>
    </row>
    <row r="3658">
      <c r="A3658" t="n">
        <v>3471</v>
      </c>
      <c r="B3658" t="inlineStr">
        <is>
          <t>Binissalem</t>
        </is>
      </c>
      <c r="C3658" t="inlineStr">
        <is>
          <t>https://www.fineandcountry.es/en/mallorca-estate-agents/property-sale/8-bedroom-villa-for-sale-in-binissalem/4540230</t>
        </is>
      </c>
      <c r="S3658" t="n">
        <v>3400000</v>
      </c>
      <c r="AH3658" t="inlineStr">
        <is>
          <t>Quelle: Fine &amp; Country</t>
        </is>
      </c>
    </row>
    <row r="3659">
      <c r="A3659" t="n">
        <v>3472</v>
      </c>
      <c r="B3659" t="inlineStr">
        <is>
          <t>Alcudia</t>
        </is>
      </c>
      <c r="C3659" t="inlineStr">
        <is>
          <t>https://www.fineandcountry.es/en/mallorca-estate-agents/property-sale/5-bedroom-villa-for-sale-in-alcudia/4437282</t>
        </is>
      </c>
      <c r="S3659" t="n">
        <v>3330000</v>
      </c>
      <c r="AH3659" t="inlineStr">
        <is>
          <t>Quelle: Fine &amp; Country</t>
        </is>
      </c>
    </row>
    <row r="3660">
      <c r="A3660" t="n">
        <v>3473</v>
      </c>
      <c r="B3660" t="inlineStr">
        <is>
          <t>Capdepera</t>
        </is>
      </c>
      <c r="C3660" t="inlineStr">
        <is>
          <t>https://www.fineandcountry.es/en/mallorca-estate-agents/property-sale/5-bedroom-villa-for-sale-in-capdepera/4526239</t>
        </is>
      </c>
      <c r="S3660" t="n">
        <v>2980000</v>
      </c>
      <c r="AH3660" t="inlineStr">
        <is>
          <t>Quelle: Fine &amp; Country</t>
        </is>
      </c>
    </row>
    <row r="3661">
      <c r="A3661" t="n">
        <v>3474</v>
      </c>
      <c r="B3661" t="inlineStr">
        <is>
          <t>Son Carrio</t>
        </is>
      </c>
      <c r="C3661" t="inlineStr">
        <is>
          <t>https://www.fineandcountry.es/en/mallorca-estate-agents/property-sale/5-bedroom-villa-for-sale-in-son-carrio/4377427</t>
        </is>
      </c>
      <c r="S3661" t="n">
        <v>2900000</v>
      </c>
      <c r="AH3661" t="inlineStr">
        <is>
          <t>Quelle: Fine &amp; Country</t>
        </is>
      </c>
    </row>
    <row r="3662">
      <c r="A3662" t="n">
        <v>3475</v>
      </c>
      <c r="B3662" t="inlineStr">
        <is>
          <t>Arta</t>
        </is>
      </c>
      <c r="C3662" t="inlineStr">
        <is>
          <t>https://www.fineandcountry.es/en/mallorca-estate-agents/property-sale/4-bedroom-town-house-for-sale-in-arta/4399015</t>
        </is>
      </c>
      <c r="S3662" t="n">
        <v>2200000</v>
      </c>
      <c r="AH3662" t="inlineStr">
        <is>
          <t>Quelle: Fine &amp; Country</t>
        </is>
      </c>
    </row>
    <row r="3663">
      <c r="A3663" t="n">
        <v>3476</v>
      </c>
      <c r="B3663" t="inlineStr">
        <is>
          <t>‹›</t>
        </is>
      </c>
      <c r="C3663" t="inlineStr">
        <is>
          <t>https://kensington-international.com/de/expose/mediterranes-neubau-reihenhaus-mit-suedgarten-und-gemeinschaftspool-in-arta-kpno1021?cHash=9db0cbd4bb40e8f02e792a276d3432f0</t>
        </is>
      </c>
      <c r="AH3663" t="inlineStr">
        <is>
          <t>Quelle: Kensington Finest</t>
        </is>
      </c>
    </row>
    <row r="3664">
      <c r="A3664" t="n">
        <v>3477</v>
      </c>
      <c r="B3664" t="inlineStr">
        <is>
          <t>‹›</t>
        </is>
      </c>
      <c r="C3664" t="inlineStr">
        <is>
          <t>https://kensington-international.com/de/expose/modernes-neubau-reihenhaus-mit-garage-und-gemeinschaftspool-in-attraktiver-lage-von-arta-kpno1022?cHash=d4782ae986d02e8694f1a2a7aefcdba1</t>
        </is>
      </c>
      <c r="AH3664" t="inlineStr">
        <is>
          <t>Quelle: Kensington Finest</t>
        </is>
      </c>
    </row>
    <row r="3665">
      <c r="A3665" t="n">
        <v>3478</v>
      </c>
      <c r="B3665" t="inlineStr">
        <is>
          <t>‹›</t>
        </is>
      </c>
      <c r="C3665" t="inlineStr">
        <is>
          <t>https://kensington-international.com/de/expose/penthouse-in-erster-meereslinie-mit-pool-in-colonia-de-sant-pere-kpno988?cHash=3491c293b8c514d2358a029cc2b710f6</t>
        </is>
      </c>
      <c r="AH3665" t="inlineStr">
        <is>
          <t>Quelle: Kensington Finest</t>
        </is>
      </c>
    </row>
    <row r="3666">
      <c r="A3666" t="n">
        <v>3479</v>
      </c>
      <c r="B3666" t="inlineStr">
        <is>
          <t>‹›</t>
        </is>
      </c>
      <c r="C3666" t="inlineStr">
        <is>
          <t>https://kensington-international.com/de/expose/modernes-reihenhaus-mit-meerblick-und-in-der-naehe-des-strandes-von-illetas?cHash=37c4902e5fd7fcf0c3135acc29eff7e2</t>
        </is>
      </c>
      <c r="AH3666" t="inlineStr">
        <is>
          <t>Quelle: Kensington Finest</t>
        </is>
      </c>
    </row>
    <row r="3667">
      <c r="A3667" t="n">
        <v>3480</v>
      </c>
      <c r="B3667" t="inlineStr">
        <is>
          <t>‹›</t>
        </is>
      </c>
      <c r="C3667" t="inlineStr">
        <is>
          <t>https://kensington-international.com/de/expose/stellen-sie-sich-das-leben-ueber-dem-mittelmeer-in-port-andratx-vor?cHash=c5d5f7f398ee77fc380a750b27c6e39b</t>
        </is>
      </c>
      <c r="AH3667" t="inlineStr">
        <is>
          <t>Quelle: Kensington Finest</t>
        </is>
      </c>
    </row>
    <row r="3668">
      <c r="A3668" t="n">
        <v>3481</v>
      </c>
      <c r="B3668" t="inlineStr">
        <is>
          <t>‹›</t>
        </is>
      </c>
      <c r="C3668" t="inlineStr">
        <is>
          <t>https://kensington-international.com/de/expose/zeitlose-eleganz-in-bester-lage-von-nova-santa-ponsa-ksp01774?cHash=940481ecb3ee2beea3ea4f7e3634a04e</t>
        </is>
      </c>
      <c r="AH3668" t="inlineStr">
        <is>
          <t>Quelle: Kensington Finest</t>
        </is>
      </c>
    </row>
    <row r="3669">
      <c r="A3669" t="n">
        <v>3482</v>
      </c>
      <c r="B3669" t="inlineStr">
        <is>
          <t>‹›</t>
        </is>
      </c>
      <c r="C3669" t="inlineStr">
        <is>
          <t>https://kensington-international.com/de/expose/investitionsgelegenheit-neubauprojekt-mit-fantastischem-meerblick-pool-und-parkplatz-in-genova-kpp07760?cHash=cef998098f30e971d26655facf10ae42</t>
        </is>
      </c>
      <c r="AH3669" t="inlineStr">
        <is>
          <t>Quelle: Kensington Finest</t>
        </is>
      </c>
    </row>
    <row r="3670">
      <c r="A3670" t="n">
        <v>3483</v>
      </c>
      <c r="B3670" t="inlineStr">
        <is>
          <t>‹›</t>
        </is>
      </c>
      <c r="C3670" t="inlineStr">
        <is>
          <t>https://kensington-international.com/de/expose/exklusiv-haus-mit-garten-und-pool-in-sant-andreu-de-llavaneres-kbmn492?cHash=1282694bb42a3b099c8340fb7198d3de</t>
        </is>
      </c>
      <c r="AH3670" t="inlineStr">
        <is>
          <t>Quelle: Kensington Finest</t>
        </is>
      </c>
    </row>
    <row r="3671">
      <c r="A3671" t="n">
        <v>3484</v>
      </c>
      <c r="B3671" t="inlineStr">
        <is>
          <t>‹›</t>
        </is>
      </c>
      <c r="C3671" t="inlineStr">
        <is>
          <t>https://kensington-international.com/de/expose/villa-mit-meerblick-in-costa-den-blanes-kpo01592-s?cHash=77fcd04e6de79a9bc26548135461ea13</t>
        </is>
      </c>
      <c r="AH3671" t="inlineStr">
        <is>
          <t>Quelle: Kensington Finest</t>
        </is>
      </c>
    </row>
    <row r="3672">
      <c r="A3672" t="n">
        <v>3485</v>
      </c>
      <c r="B3672" t="inlineStr">
        <is>
          <t>Modernes Stadthaus mit Dachterrasse und Garage im Herzen von Artà</t>
        </is>
      </c>
      <c r="C3672" t="inlineStr">
        <is>
          <t>https://kensington-international.com/de/expose/modernes-stadthaus-mit-dachterrasse-und-garage-im-herzen-von-arta-kpno965?cHash=61bbaa3a6ef7f244311888c1084b3236</t>
        </is>
      </c>
      <c r="J3672" t="inlineStr">
        <is>
          <t>Artà</t>
        </is>
      </c>
      <c r="S3672" t="n">
        <v>825000</v>
      </c>
      <c r="AH3672" t="inlineStr">
        <is>
          <t>Quelle: Kensington Finest</t>
        </is>
      </c>
    </row>
    <row r="3673">
      <c r="A3673" t="n">
        <v>3486</v>
      </c>
      <c r="B3673" t="inlineStr">
        <is>
          <t>Neubau Chalet mit Pool und wunderschönen Meerblick in Colonia de Sant Pere</t>
        </is>
      </c>
      <c r="C3673" t="inlineStr">
        <is>
          <t>https://kensington-international.com/de/expose/neubau-chalet-mit-pool-und-wunderschoenen-meerblick-in-colonia-de-sant-pere-kpno997?cHash=dcb6cb1b4e4c000f3856553edbe6ec91</t>
        </is>
      </c>
      <c r="J3673" t="inlineStr">
        <is>
          <t>Colònia de Sant Pere / Artà</t>
        </is>
      </c>
      <c r="K3673" t="n">
        <v>70</v>
      </c>
      <c r="L3673" t="n">
        <v>60</v>
      </c>
      <c r="M3673" t="n">
        <v>65.40000000000001</v>
      </c>
      <c r="N3673" t="n">
        <v>63</v>
      </c>
      <c r="O3673" t="n">
        <v>105.9</v>
      </c>
      <c r="P3673" t="n">
        <v>84</v>
      </c>
      <c r="Q3673" t="n">
        <v>63.1</v>
      </c>
      <c r="R3673" t="n">
        <v>60</v>
      </c>
      <c r="S3673" t="n">
        <v>2200000</v>
      </c>
      <c r="AH3673" t="inlineStr">
        <is>
          <t>Quelle: Kensington Finest</t>
        </is>
      </c>
    </row>
    <row r="3674">
      <c r="A3674" t="n">
        <v>3487</v>
      </c>
      <c r="B3674" t="inlineStr">
        <is>
          <t>Moderne Erdgeschosswohnung mit 64 m² Terrasse im Herzen von Artà</t>
        </is>
      </c>
      <c r="C3674" t="inlineStr">
        <is>
          <t>https://kensington-international.com/de/expose/moderne-erdgeschosswohnung-mit-64-m-terrasse-im-herzen-von-arta-kpno1016?cHash=bbf1b04f78c9690140e8b80b078f0a5f</t>
        </is>
      </c>
      <c r="J3674" t="inlineStr">
        <is>
          <t>Artà</t>
        </is>
      </c>
      <c r="S3674" t="n">
        <v>638000</v>
      </c>
      <c r="AH3674" t="inlineStr">
        <is>
          <t>Quelle: Kensington Finest</t>
        </is>
      </c>
    </row>
    <row r="3675">
      <c r="A3675" t="n">
        <v>3488</v>
      </c>
      <c r="B3675" t="inlineStr">
        <is>
          <t>Stilvolle Neubau-Erdgeschosswohnung in Artà mit 86 m² Terrasse &amp; offener Designküche</t>
        </is>
      </c>
      <c r="C3675" t="inlineStr">
        <is>
          <t>https://kensington-international.com/de/expose/stilvolle-neubau-erdgeschosswohnung-in-arta-mit-86-m-terrasse-offener-designkueche-kpno1017?cHash=eb35e3e26e8bd95b324651634006974b</t>
        </is>
      </c>
      <c r="J3675" t="inlineStr">
        <is>
          <t>Artà</t>
        </is>
      </c>
      <c r="S3675" t="n">
        <v>520000</v>
      </c>
      <c r="AH3675" t="inlineStr">
        <is>
          <t>Quelle: Kensington Finest</t>
        </is>
      </c>
    </row>
    <row r="3676">
      <c r="A3676" t="n">
        <v>3489</v>
      </c>
      <c r="B3676" t="inlineStr">
        <is>
          <t>Moderne Neubauwohnung im Herzen von Artà mit schönem Balkon &amp; TG-Stellplatz</t>
        </is>
      </c>
      <c r="C3676" t="inlineStr">
        <is>
          <t>https://kensington-international.com/de/expose/moderne-neubauwohnung-im-herzen-von-arta-mit-schoenem-balkon-tg-stellplatz-kpno1018?cHash=fe9d37f7fa0b1396dd1b0ccb08356d7e</t>
        </is>
      </c>
      <c r="J3676" t="inlineStr">
        <is>
          <t>Artà</t>
        </is>
      </c>
      <c r="S3676" t="n">
        <v>480000</v>
      </c>
      <c r="AH3676" t="inlineStr">
        <is>
          <t>Quelle: Kensington Finest</t>
        </is>
      </c>
    </row>
    <row r="3677">
      <c r="A3677" t="n">
        <v>3490</v>
      </c>
      <c r="B3677" t="inlineStr">
        <is>
          <t>Luxuriöses Neubau-Penthouse in Artà mit Panorama-Dachterrasse &amp; direktem Liftzugang</t>
        </is>
      </c>
      <c r="C3677" t="inlineStr">
        <is>
          <t>https://kensington-international.com/de/expose/luxurioeses-neubau-penthouse-in-arta-mit-panorama-dachterrasse-direktem-liftzugang-kpno1019?cHash=2813ee76fbae67af01aa0f03cccb20d9</t>
        </is>
      </c>
      <c r="J3677" t="inlineStr">
        <is>
          <t>Artà</t>
        </is>
      </c>
      <c r="K3677" t="n">
        <v>68.3</v>
      </c>
      <c r="L3677" t="n">
        <v>61</v>
      </c>
      <c r="M3677" t="n">
        <v>63.7</v>
      </c>
      <c r="N3677" t="n">
        <v>64</v>
      </c>
      <c r="O3677" t="n">
        <v>102.5</v>
      </c>
      <c r="P3677" t="n">
        <v>86</v>
      </c>
      <c r="Q3677" t="n">
        <v>61.4</v>
      </c>
      <c r="R3677" t="n">
        <v>61</v>
      </c>
      <c r="S3677" t="n">
        <v>1540000</v>
      </c>
      <c r="AH3677" t="inlineStr">
        <is>
          <t>Quelle: Kensington Finest</t>
        </is>
      </c>
    </row>
    <row r="3678">
      <c r="A3678" t="n">
        <v>3491</v>
      </c>
      <c r="B3678" t="inlineStr">
        <is>
          <t>Umnutzung eines Wohnhauses mit hohem Potenzial in bester Lage in Palma</t>
        </is>
      </c>
      <c r="C3678" t="inlineStr">
        <is>
          <t>https://kensington-international.com/de/expose/umnutzung-eines-wohnhauses-mit-hohem-potenzial-in-bester-lage-in-palma-kpp08307?cHash=5a08ef0be0ed6256a7e357c54783c148</t>
        </is>
      </c>
      <c r="J3678" t="inlineStr">
        <is>
          <t>Palma</t>
        </is>
      </c>
      <c r="K3678" t="n">
        <v>9.699999999999999</v>
      </c>
      <c r="L3678" t="n">
        <v>14</v>
      </c>
      <c r="M3678" t="n">
        <v>52.5</v>
      </c>
      <c r="N3678" t="n">
        <v>47</v>
      </c>
      <c r="O3678" t="n">
        <v>32.1</v>
      </c>
      <c r="P3678" t="n">
        <v>36</v>
      </c>
      <c r="Q3678" t="n">
        <v>50.2</v>
      </c>
      <c r="R3678" t="n">
        <v>44</v>
      </c>
      <c r="S3678" t="n">
        <v>3600000</v>
      </c>
      <c r="AH3678" t="inlineStr">
        <is>
          <t>Quelle: Kensington Finest</t>
        </is>
      </c>
    </row>
    <row r="3679">
      <c r="A3679" t="n">
        <v>3492</v>
      </c>
      <c r="B3679" t="inlineStr">
        <is>
          <t>Neubau-Penthouse mit Meerblick &amp; Dachterrasse in Bonanova, Palma de Mallorca</t>
        </is>
      </c>
      <c r="C3679" t="inlineStr">
        <is>
          <t>https://kensington-international.com/de/expose/neubau-penthouse-mit-meerblick-dachterrasse-in-bonanova-palma-de-mallorca-kpp06345-3?cHash=853ccd142330b26d59b53d1268c60cba</t>
        </is>
      </c>
      <c r="J3679" t="inlineStr">
        <is>
          <t>Palma</t>
        </is>
      </c>
      <c r="K3679" t="n">
        <v>9.699999999999999</v>
      </c>
      <c r="L3679" t="n">
        <v>14</v>
      </c>
      <c r="M3679" t="n">
        <v>52.5</v>
      </c>
      <c r="N3679" t="n">
        <v>47</v>
      </c>
      <c r="O3679" t="n">
        <v>32.1</v>
      </c>
      <c r="P3679" t="n">
        <v>36</v>
      </c>
      <c r="Q3679" t="n">
        <v>50.2</v>
      </c>
      <c r="R3679" t="n">
        <v>44</v>
      </c>
      <c r="S3679" t="n">
        <v>2495000</v>
      </c>
      <c r="AH3679" t="inlineStr">
        <is>
          <t>Quelle: Kensington Finest</t>
        </is>
      </c>
    </row>
    <row r="3680">
      <c r="A3680" t="n">
        <v>3493</v>
      </c>
      <c r="B3680" t="inlineStr">
        <is>
          <t>Genehmigtes Baugrundstück zwischen Sencelles und Binissalem mit atemberaubendem Blick</t>
        </is>
      </c>
      <c r="C3680" t="inlineStr">
        <is>
          <t>https://kensington-international.com/de/expose/genehmigtes-baugrundstueck-zwischen-sencelles-und-binissalem-mit-atemberaubendem-blick-kpp08293?cHash=3cbbc373987b2e8056358f55947d4040</t>
        </is>
      </c>
      <c r="J3680" t="inlineStr">
        <is>
          <t>Sencelles</t>
        </is>
      </c>
      <c r="S3680" t="n">
        <v>695000</v>
      </c>
      <c r="AH3680" t="inlineStr">
        <is>
          <t>Quelle: Kensington Finest</t>
        </is>
      </c>
    </row>
    <row r="3681">
      <c r="A3681" t="n">
        <v>3494</v>
      </c>
      <c r="B3681" t="inlineStr">
        <is>
          <t>Moderne mediterrane Erdgeschosswohnung mit Meerblick und Pool in Cala Major</t>
        </is>
      </c>
      <c r="C3681" t="inlineStr">
        <is>
          <t>https://kensington-international.com/de/expose/moderne-mediterrane-erdgeschosswohnung-mit-meerblick-und-pool-in-cala-major-kpp08297?cHash=e1ca389fb2128cc113ce865d9f1a4724</t>
        </is>
      </c>
      <c r="J3681" t="inlineStr">
        <is>
          <t>Palma</t>
        </is>
      </c>
      <c r="K3681" t="n">
        <v>9.699999999999999</v>
      </c>
      <c r="L3681" t="n">
        <v>14</v>
      </c>
      <c r="M3681" t="n">
        <v>52.5</v>
      </c>
      <c r="N3681" t="n">
        <v>47</v>
      </c>
      <c r="O3681" t="n">
        <v>32.1</v>
      </c>
      <c r="P3681" t="n">
        <v>36</v>
      </c>
      <c r="Q3681" t="n">
        <v>50.2</v>
      </c>
      <c r="R3681" t="n">
        <v>44</v>
      </c>
      <c r="S3681" t="n">
        <v>1500000</v>
      </c>
      <c r="AH3681" t="inlineStr">
        <is>
          <t>Quelle: Kensington Finest</t>
        </is>
      </c>
    </row>
    <row r="3682">
      <c r="A3682" t="n">
        <v>3495</v>
      </c>
      <c r="B3682" t="inlineStr">
        <is>
          <t>Moderne und mediterrane Etagenwohnung mit Meerblick und Pool in Cala Major</t>
        </is>
      </c>
      <c r="C3682" t="inlineStr">
        <is>
          <t>https://kensington-international.com/de/expose/moderne-und-mediterrane-etagenwohnung-mit-meerblick-und-pool-in-cala-major-kpp08305?cHash=8bef4fbc4120c9325112734b669eef4a</t>
        </is>
      </c>
      <c r="J3682" t="inlineStr">
        <is>
          <t>Palma</t>
        </is>
      </c>
      <c r="K3682" t="n">
        <v>9.699999999999999</v>
      </c>
      <c r="L3682" t="n">
        <v>14</v>
      </c>
      <c r="M3682" t="n">
        <v>52.5</v>
      </c>
      <c r="N3682" t="n">
        <v>47</v>
      </c>
      <c r="O3682" t="n">
        <v>32.1</v>
      </c>
      <c r="P3682" t="n">
        <v>36</v>
      </c>
      <c r="Q3682" t="n">
        <v>50.2</v>
      </c>
      <c r="R3682" t="n">
        <v>44</v>
      </c>
      <c r="S3682" t="n">
        <v>1450000</v>
      </c>
      <c r="AH3682" t="inlineStr">
        <is>
          <t>Quelle: Kensington Finest</t>
        </is>
      </c>
    </row>
    <row r="3683">
      <c r="A3683" t="n">
        <v>3496</v>
      </c>
      <c r="B3683" t="inlineStr">
        <is>
          <t>Modernes mediterranes Penthouse mit Meerblick und Pool in Cala Major</t>
        </is>
      </c>
      <c r="C3683" t="inlineStr">
        <is>
          <t>https://kensington-international.com/de/expose/modernes-mediterranes-penthouse-mit-meerblick-und-pool-in-cala-major-kpp08306?cHash=791d42d13b3256960f169377a5ee064a</t>
        </is>
      </c>
      <c r="J3683" t="inlineStr">
        <is>
          <t>Palma</t>
        </is>
      </c>
      <c r="K3683" t="n">
        <v>9.699999999999999</v>
      </c>
      <c r="L3683" t="n">
        <v>14</v>
      </c>
      <c r="M3683" t="n">
        <v>52.5</v>
      </c>
      <c r="N3683" t="n">
        <v>47</v>
      </c>
      <c r="O3683" t="n">
        <v>32.1</v>
      </c>
      <c r="P3683" t="n">
        <v>36</v>
      </c>
      <c r="Q3683" t="n">
        <v>50.2</v>
      </c>
      <c r="R3683" t="n">
        <v>44</v>
      </c>
      <c r="S3683" t="n">
        <v>1995000</v>
      </c>
      <c r="AH3683" t="inlineStr">
        <is>
          <t>Quelle: Kensington Finest</t>
        </is>
      </c>
    </row>
    <row r="3684">
      <c r="A3684" t="n">
        <v>3497</v>
      </c>
      <c r="B3684" t="inlineStr">
        <is>
          <t>Renovierte Wohnung am Paseo Marítimo mit Meerblick und Gemeinschaftspool</t>
        </is>
      </c>
      <c r="C3684" t="inlineStr">
        <is>
          <t>https://kensington-international.com/de/expose/renovierte-wohnung-am-paseo-maritimo-mit-meerblick-und-gemeinschaftspool?cHash=81e11f06122188296ebff767ad276094</t>
        </is>
      </c>
      <c r="J3684" t="inlineStr">
        <is>
          <t>Palma</t>
        </is>
      </c>
      <c r="K3684" t="n">
        <v>9.699999999999999</v>
      </c>
      <c r="L3684" t="n">
        <v>14</v>
      </c>
      <c r="M3684" t="n">
        <v>52.5</v>
      </c>
      <c r="N3684" t="n">
        <v>47</v>
      </c>
      <c r="O3684" t="n">
        <v>32.1</v>
      </c>
      <c r="P3684" t="n">
        <v>36</v>
      </c>
      <c r="Q3684" t="n">
        <v>50.2</v>
      </c>
      <c r="R3684" t="n">
        <v>44</v>
      </c>
      <c r="S3684" t="n">
        <v>1395000</v>
      </c>
      <c r="AH3684" t="inlineStr">
        <is>
          <t>Quelle: Kensington Finest</t>
        </is>
      </c>
    </row>
    <row r="3685">
      <c r="A3685" t="n">
        <v>3498</v>
      </c>
      <c r="B3685" t="inlineStr">
        <is>
          <t>Renovierter Loft mit Gartenterrasse Mitten im Zentrum von Palma de Mallorca</t>
        </is>
      </c>
      <c r="C3685" t="inlineStr">
        <is>
          <t>https://kensington-international.com/de/expose/renovierter-loft-mit-gartenterrasse-mitten-im-zentrum-von-palma-de-mallorca?cHash=30dbd0dd2c09e83deae8b23ef1d18612</t>
        </is>
      </c>
      <c r="J3685" t="inlineStr">
        <is>
          <t>Palma</t>
        </is>
      </c>
      <c r="S3685" t="n">
        <v>695000</v>
      </c>
      <c r="AH3685" t="inlineStr">
        <is>
          <t>Quelle: Kensington Finest</t>
        </is>
      </c>
    </row>
    <row r="3686">
      <c r="A3686" t="n">
        <v>3499</v>
      </c>
      <c r="B3686" t="inlineStr">
        <is>
          <t>Großzügige Villa mit 6 Schlafzimmern und Pool in Crestatx, Sa Pobla</t>
        </is>
      </c>
      <c r="C3686" t="inlineStr">
        <is>
          <t>https://kensington-international.com/de/expose/grosszuegige-villa-mit-6-schlafzimmern-in-crestatx-sa-pobla-ideal-fuer-familien-und-geselliges-wohnen-knp08308?cHash=cfd56327cb1028996b23749a710393a2</t>
        </is>
      </c>
      <c r="E3686" t="n">
        <v>6</v>
      </c>
      <c r="J3686" t="inlineStr">
        <is>
          <t>Sa Pobla</t>
        </is>
      </c>
      <c r="K3686" t="n">
        <v>52.7</v>
      </c>
      <c r="L3686" t="n">
        <v>41</v>
      </c>
      <c r="M3686" t="n">
        <v>59.6</v>
      </c>
      <c r="N3686" t="n">
        <v>65</v>
      </c>
      <c r="O3686" t="n">
        <v>75.3</v>
      </c>
      <c r="P3686" t="n">
        <v>57</v>
      </c>
      <c r="Q3686" t="n">
        <v>57.3</v>
      </c>
      <c r="R3686" t="n">
        <v>61</v>
      </c>
      <c r="S3686" t="n">
        <v>1250000</v>
      </c>
      <c r="AH3686" t="inlineStr">
        <is>
          <t>Quelle: Kensington Finest</t>
        </is>
      </c>
    </row>
    <row r="3687">
      <c r="A3687" t="n">
        <v>3500</v>
      </c>
      <c r="B3687" t="inlineStr">
        <is>
          <t>Charmantes Stadthaus in Sa Pobla mit technischen Projekt und Lizenzgebühren</t>
        </is>
      </c>
      <c r="C3687" t="inlineStr">
        <is>
          <t>https://kensington-international.com/de/expose/charmantes-stadthaus-in-sa-pobla-mallorca-mit-renovierungspotenzial?cHash=dec26f77132160a7c4770dbbd7096bc4</t>
        </is>
      </c>
      <c r="J3687" t="inlineStr">
        <is>
          <t>Sa Pobla</t>
        </is>
      </c>
      <c r="S3687" t="n">
        <v>360500</v>
      </c>
      <c r="AH3687" t="inlineStr">
        <is>
          <t>Quelle: Kensington Finest</t>
        </is>
      </c>
    </row>
    <row r="3688">
      <c r="A3688" t="n">
        <v>3501</v>
      </c>
      <c r="B3688" t="inlineStr">
        <is>
          <t>Mediterrane Villa in Can Picafort – Nur 5 Minuten vom Strand entfernt</t>
        </is>
      </c>
      <c r="C3688" t="inlineStr">
        <is>
          <t>https://kensington-international.com/de/expose/mediterrane-villa-in-can-picafort-nur-5-minuten-vom-strand-entfernt-knp08337?cHash=6ef00527c6793cfa483f94476e518488</t>
        </is>
      </c>
      <c r="J3688" t="inlineStr">
        <is>
          <t>Can Picafort</t>
        </is>
      </c>
      <c r="S3688" t="n">
        <v>895000</v>
      </c>
      <c r="AH3688" t="inlineStr">
        <is>
          <t>Quelle: Kensington Finest</t>
        </is>
      </c>
    </row>
    <row r="3689">
      <c r="A3689" t="n">
        <v>3502</v>
      </c>
      <c r="B3689" t="inlineStr">
        <is>
          <t>Außergewöhnliches Weingut-Anwesen im Hacienda-Stil nahe dem Golfplatz Pollensa</t>
        </is>
      </c>
      <c r="C3689" t="inlineStr">
        <is>
          <t>https://kensington-international.com/de/expose/aussergewoehnliches-weingut-anwesen-im-hacienda-stil-nahe-dem-golfplatz-pollensa-knp08385?cHash=81333971082e37c992bd3d0b73d6cd19</t>
        </is>
      </c>
      <c r="J3689" t="inlineStr">
        <is>
          <t>Pollença</t>
        </is>
      </c>
      <c r="K3689" t="n">
        <v>60.6</v>
      </c>
      <c r="L3689" t="n">
        <v>47</v>
      </c>
      <c r="M3689" t="n">
        <v>78.7</v>
      </c>
      <c r="N3689" t="n">
        <v>74</v>
      </c>
      <c r="O3689" t="n">
        <v>83.2</v>
      </c>
      <c r="P3689" t="n">
        <v>63</v>
      </c>
      <c r="Q3689" t="n">
        <v>76.40000000000001</v>
      </c>
      <c r="R3689" t="n">
        <v>70</v>
      </c>
      <c r="S3689" t="n">
        <v>7650000</v>
      </c>
      <c r="AH3689" t="inlineStr">
        <is>
          <t>Quelle: Kensington Finest</t>
        </is>
      </c>
    </row>
    <row r="3690">
      <c r="A3690" t="n">
        <v>3503</v>
      </c>
      <c r="B3690" t="inlineStr">
        <is>
          <t>Reihenhaus mit 5 Schlafzimmern und privatem Pool in der ruhigen Wohngegend Pinaret, Puerto Pollensa</t>
        </is>
      </c>
      <c r="C3690" t="inlineStr">
        <is>
          <t>https://kensington-international.com/de/expose/reihenhaus-mit-5-schlafzimmern-und-privatem-pool-in-der-ruhigen-wohngegend-pinaret-puerto-pollensa-knp08416?cHash=f7dd8965aba1d60812b309ba56796798</t>
        </is>
      </c>
      <c r="E3690" t="n">
        <v>5</v>
      </c>
      <c r="J3690" t="inlineStr">
        <is>
          <t>Puerto Pollensa</t>
        </is>
      </c>
      <c r="K3690" t="n">
        <v>66.90000000000001</v>
      </c>
      <c r="L3690" t="n">
        <v>52</v>
      </c>
      <c r="M3690" t="n">
        <v>85</v>
      </c>
      <c r="N3690" t="n">
        <v>78</v>
      </c>
      <c r="O3690" t="n">
        <v>89.5</v>
      </c>
      <c r="P3690" t="n">
        <v>68</v>
      </c>
      <c r="Q3690" t="n">
        <v>82.7</v>
      </c>
      <c r="R3690" t="n">
        <v>75</v>
      </c>
      <c r="S3690" t="n">
        <v>1600000</v>
      </c>
      <c r="AH3690" t="inlineStr">
        <is>
          <t>Quelle: Kensington Finest</t>
        </is>
      </c>
    </row>
    <row r="3691">
      <c r="A3691" t="n">
        <v>3504</v>
      </c>
      <c r="B3691" t="inlineStr">
        <is>
          <t>Architektonisches Juwel eines Stadthauses in Puerto Alcudia Mallorca</t>
        </is>
      </c>
      <c r="C3691" t="inlineStr">
        <is>
          <t>https://kensington-international.com/de/expose/architektonisches-juwel-eines-stadthauses-in-puerto-alcudia-mallorca?cHash=7b34e3dffde5ca08751db1920e127a7d</t>
        </is>
      </c>
      <c r="J3691" t="inlineStr">
        <is>
          <t>Port d'Alcúdia</t>
        </is>
      </c>
      <c r="S3691" t="n">
        <v>890000</v>
      </c>
      <c r="AH3691" t="inlineStr">
        <is>
          <t>Quelle: Kensington Finest</t>
        </is>
      </c>
    </row>
    <row r="3692">
      <c r="A3692" t="n">
        <v>3505</v>
      </c>
      <c r="B3692" t="inlineStr">
        <is>
          <t>Luxuriöses Anwesen erste Meereslinie in Bonaire Alcudia Mallorca</t>
        </is>
      </c>
      <c r="C3692" t="inlineStr">
        <is>
          <t>https://kensington-international.com/de/expose/luxurioeses-anwesen-erste-meereslinie-in-bonaire-alcudia-mallorca?cHash=d5fa733e3e88997bcea15f9721b3befd</t>
        </is>
      </c>
      <c r="J3692" t="inlineStr">
        <is>
          <t>Alcudia Bonaire</t>
        </is>
      </c>
      <c r="K3692" t="n">
        <v>64.40000000000001</v>
      </c>
      <c r="L3692" t="n">
        <v>54</v>
      </c>
      <c r="M3692" t="n">
        <v>82.5</v>
      </c>
      <c r="N3692" t="n">
        <v>80</v>
      </c>
      <c r="O3692" t="n">
        <v>87</v>
      </c>
      <c r="P3692" t="n">
        <v>70</v>
      </c>
      <c r="Q3692" t="n">
        <v>80.2</v>
      </c>
      <c r="R3692" t="n">
        <v>77</v>
      </c>
      <c r="S3692" t="n">
        <v>7500000</v>
      </c>
      <c r="AH3692" t="inlineStr">
        <is>
          <t>Quelle: Kensington Finest</t>
        </is>
      </c>
    </row>
    <row r="3693">
      <c r="A3693" t="n">
        <v>3506</v>
      </c>
      <c r="B3693" t="inlineStr">
        <is>
          <t>Stadthaus mit Ladenlokal in Puerto Pollensa mit überdachtem Privatparkplatz zu verkaufen</t>
        </is>
      </c>
      <c r="C3693" t="inlineStr">
        <is>
          <t>https://kensington-international.com/de/expose/stadthaus-mit-ladenlokal-in-puerto-pollensa-mit-ueberdachtem-privatparkplatz-zu-verkaufen?cHash=08be00ee6b8abbdd0207b21795871a5a</t>
        </is>
      </c>
      <c r="J3693" t="inlineStr">
        <is>
          <t>Puerto Pollensa</t>
        </is>
      </c>
      <c r="S3693" t="n">
        <v>900000</v>
      </c>
      <c r="AH3693" t="inlineStr">
        <is>
          <t>Quelle: Kensington Finest</t>
        </is>
      </c>
    </row>
    <row r="3694">
      <c r="A3694" t="n">
        <v>3507</v>
      </c>
      <c r="B3694" t="inlineStr">
        <is>
          <t>Stadthaus in Puerto Pollensa mit privater Zufahrt, Parkplatz und Terrasse zu verkaufen</t>
        </is>
      </c>
      <c r="C3694" t="inlineStr">
        <is>
          <t>https://kensington-international.com/de/expose/stadthaus-in-puerto-pollensa-mit-privater-zufahrt-parkplatz-und-terrasse-zu-verkaufen?cHash=cacba6fb521887f08dc045236fd97ad3</t>
        </is>
      </c>
      <c r="J3694" t="inlineStr">
        <is>
          <t>Puerto Pollensa</t>
        </is>
      </c>
      <c r="S3694" t="n">
        <v>450000</v>
      </c>
      <c r="AH3694" t="inlineStr">
        <is>
          <t>Quelle: Kensington Finest</t>
        </is>
      </c>
    </row>
    <row r="3695">
      <c r="A3695" t="n">
        <v>3508</v>
      </c>
      <c r="B3695" t="inlineStr">
        <is>
          <t>Mediterrane Villa mit Panoramablick über die Bucht von Palmanova</t>
        </is>
      </c>
      <c r="C3695" t="inlineStr">
        <is>
          <t>https://kensington-international.com/de/expose/mediterrane-villa-mit-panoramablick-ueber-die-bucht-von-palmanova-kpo01564?cHash=7c34ccbb15372b744ea1ada7a299d1bd</t>
        </is>
      </c>
      <c r="J3695" t="inlineStr">
        <is>
          <t>Palmanova</t>
        </is>
      </c>
      <c r="K3695" t="n">
        <v>25.9</v>
      </c>
      <c r="L3695" t="n">
        <v>24</v>
      </c>
      <c r="M3695" t="n">
        <v>68.59999999999999</v>
      </c>
      <c r="N3695" t="n">
        <v>57</v>
      </c>
      <c r="O3695" t="n">
        <v>18.5</v>
      </c>
      <c r="P3695" t="n">
        <v>21</v>
      </c>
      <c r="Q3695" t="n">
        <v>66.3</v>
      </c>
      <c r="R3695" t="n">
        <v>54</v>
      </c>
      <c r="S3695" t="n">
        <v>2550000</v>
      </c>
      <c r="AH3695" t="inlineStr">
        <is>
          <t>Quelle: Kensington Finest</t>
        </is>
      </c>
    </row>
    <row r="3696">
      <c r="A3696" t="n">
        <v>3509</v>
      </c>
      <c r="B3696" t="inlineStr">
        <is>
          <t>Mediterrane Villa mit Meerblick und zeitlosem Charme in Costa d'en Blanes</t>
        </is>
      </c>
      <c r="C3696" t="inlineStr">
        <is>
          <t>https://kensington-international.com/de/expose/mediterrane-villa-mit-meerblick-und-zeitlosem-charme-in-costa-den-blanes-kpo01852?cHash=7285b25f782a45787d06ef9cdd2e1a80</t>
        </is>
      </c>
      <c r="J3696" t="inlineStr">
        <is>
          <t>Costa d'en Blanes</t>
        </is>
      </c>
      <c r="K3696" t="n">
        <v>23.3</v>
      </c>
      <c r="L3696" t="n">
        <v>21</v>
      </c>
      <c r="M3696" t="n">
        <v>66.09999999999999</v>
      </c>
      <c r="N3696" t="n">
        <v>54</v>
      </c>
      <c r="O3696" t="n">
        <v>21</v>
      </c>
      <c r="P3696" t="n">
        <v>21</v>
      </c>
      <c r="Q3696" t="n">
        <v>63.8</v>
      </c>
      <c r="R3696" t="n">
        <v>51</v>
      </c>
      <c r="S3696" t="n">
        <v>3000000</v>
      </c>
      <c r="AH3696" t="inlineStr">
        <is>
          <t>Quelle: Kensington Finest</t>
        </is>
      </c>
    </row>
    <row r="3697">
      <c r="A3697" t="n">
        <v>3510</v>
      </c>
      <c r="B3697" t="inlineStr">
        <is>
          <t>Luxuriöse Villa mit Panoramablick aufs Meer</t>
        </is>
      </c>
      <c r="C3697" t="inlineStr">
        <is>
          <t>https://kensington-international.com/de/expose/luxurioese-villa-mit-panoramablick-aufs-meer-kpo01853?cHash=22f50bf3bbcccfcc587f85fad9c25c1c</t>
        </is>
      </c>
      <c r="J3697" t="inlineStr">
        <is>
          <t>Costa d'en Blanes</t>
        </is>
      </c>
      <c r="K3697" t="n">
        <v>23.3</v>
      </c>
      <c r="L3697" t="n">
        <v>21</v>
      </c>
      <c r="M3697" t="n">
        <v>66.09999999999999</v>
      </c>
      <c r="N3697" t="n">
        <v>54</v>
      </c>
      <c r="O3697" t="n">
        <v>21</v>
      </c>
      <c r="P3697" t="n">
        <v>21</v>
      </c>
      <c r="Q3697" t="n">
        <v>63.8</v>
      </c>
      <c r="R3697" t="n">
        <v>51</v>
      </c>
      <c r="S3697" t="n">
        <v>13000000</v>
      </c>
      <c r="AH3697" t="inlineStr">
        <is>
          <t>Quelle: Kensington Finest</t>
        </is>
      </c>
    </row>
    <row r="3698">
      <c r="A3698" t="n">
        <v>3511</v>
      </c>
      <c r="B3698" t="inlineStr">
        <is>
          <t>Stadthaus in bester Lage in Portals Nous</t>
        </is>
      </c>
      <c r="C3698" t="inlineStr">
        <is>
          <t>https://kensington-international.com/de/expose/stadthaus-in-bester-lage-in-portals-nous-kpo01820?cHash=35d4ca8960cfa17b93157e80792c3eb9</t>
        </is>
      </c>
      <c r="J3698" t="inlineStr">
        <is>
          <t>Portals Nous</t>
        </is>
      </c>
      <c r="K3698" t="n">
        <v>23.8</v>
      </c>
      <c r="L3698" t="n">
        <v>23</v>
      </c>
      <c r="M3698" t="n">
        <v>66.59999999999999</v>
      </c>
      <c r="N3698" t="n">
        <v>56</v>
      </c>
      <c r="O3698" t="n">
        <v>21.8</v>
      </c>
      <c r="P3698" t="n">
        <v>22</v>
      </c>
      <c r="Q3698" t="n">
        <v>64.3</v>
      </c>
      <c r="R3698" t="n">
        <v>52</v>
      </c>
      <c r="S3698" t="n">
        <v>1525000</v>
      </c>
      <c r="AH3698" t="inlineStr">
        <is>
          <t>Quelle: Kensington Finest</t>
        </is>
      </c>
    </row>
    <row r="3699">
      <c r="A3699" t="n">
        <v>3512</v>
      </c>
      <c r="B3699" t="inlineStr">
        <is>
          <t>Ein freistehendes Familienhaus voller Potenzial und mit Meerblick</t>
        </is>
      </c>
      <c r="C3699" t="inlineStr">
        <is>
          <t>https://kensington-international.com/de/expose/ein-freistehendes-familienhaus-voller-potenzial-und-mit-meerblick-kpo01830?cHash=9abaea85813f1e465b87cd9c50c56654</t>
        </is>
      </c>
      <c r="J3699" t="inlineStr">
        <is>
          <t>Calvia / Sol de Mallorca</t>
        </is>
      </c>
      <c r="K3699" t="n">
        <v>32.2</v>
      </c>
      <c r="L3699" t="n">
        <v>31</v>
      </c>
      <c r="M3699" t="n">
        <v>75</v>
      </c>
      <c r="N3699" t="n">
        <v>64</v>
      </c>
      <c r="O3699" t="n">
        <v>21.2</v>
      </c>
      <c r="P3699" t="n">
        <v>25</v>
      </c>
      <c r="Q3699" t="n">
        <v>72.7</v>
      </c>
      <c r="R3699" t="n">
        <v>60</v>
      </c>
      <c r="S3699" t="n">
        <v>2350000</v>
      </c>
      <c r="AH3699" t="inlineStr">
        <is>
          <t>Quelle: Kensington Finest</t>
        </is>
      </c>
    </row>
    <row r="3700">
      <c r="A3700" t="n">
        <v>3513</v>
      </c>
      <c r="B3700" t="inlineStr">
        <is>
          <t>Architektonisches Meisterwerk mit zeitgenössischen Kurven</t>
        </is>
      </c>
      <c r="C3700" t="inlineStr">
        <is>
          <t>https://kensington-international.com/de/expose/architektonisches-meisterwerk-mit-zeitgenoessischen-kurven?cHash=8e4c9d50072ccee4fc31cb36096efd70</t>
        </is>
      </c>
      <c r="J3700" t="inlineStr">
        <is>
          <t>Bendinat</t>
        </is>
      </c>
      <c r="K3700" t="n">
        <v>23.1</v>
      </c>
      <c r="L3700" t="n">
        <v>22</v>
      </c>
      <c r="M3700" t="n">
        <v>65.8</v>
      </c>
      <c r="N3700" t="n">
        <v>55</v>
      </c>
      <c r="O3700" t="n">
        <v>23.2</v>
      </c>
      <c r="P3700" t="n">
        <v>23</v>
      </c>
      <c r="Q3700" t="n">
        <v>63.5</v>
      </c>
      <c r="R3700" t="n">
        <v>51</v>
      </c>
      <c r="S3700" t="n">
        <v>7800000</v>
      </c>
      <c r="AH3700" t="inlineStr">
        <is>
          <t>Quelle: Kensington Finest</t>
        </is>
      </c>
    </row>
    <row r="3701">
      <c r="A3701" t="n">
        <v>3514</v>
      </c>
      <c r="B3701" t="inlineStr">
        <is>
          <t>Außergewöhnliches Penthouse mit Dachterrasse und Panoramablick aufs Meer</t>
        </is>
      </c>
      <c r="C3701" t="inlineStr">
        <is>
          <t>https://kensington-international.com/de/expose/aussergewoehnliches-penthouse-mit-dachterrasse-und-panoramablick-aufs-meer?cHash=6ae1a9c973fc770ad39d754302c0b965</t>
        </is>
      </c>
      <c r="J3701" t="inlineStr">
        <is>
          <t>Cas Català</t>
        </is>
      </c>
      <c r="K3701" t="n">
        <v>20</v>
      </c>
      <c r="L3701" t="n">
        <v>22</v>
      </c>
      <c r="M3701" t="n">
        <v>62.8</v>
      </c>
      <c r="N3701" t="n">
        <v>55</v>
      </c>
      <c r="O3701" t="n">
        <v>23.7</v>
      </c>
      <c r="P3701" t="n">
        <v>23</v>
      </c>
      <c r="Q3701" t="n">
        <v>60.5</v>
      </c>
      <c r="R3701" t="n">
        <v>51</v>
      </c>
      <c r="S3701" t="n">
        <v>1590000</v>
      </c>
      <c r="AH3701" t="inlineStr">
        <is>
          <t>Quelle: Kensington Finest</t>
        </is>
      </c>
    </row>
    <row r="3702">
      <c r="A3702" t="n">
        <v>3515</v>
      </c>
      <c r="B3702" t="inlineStr">
        <is>
          <t>Leben am Meer</t>
        </is>
      </c>
      <c r="C3702" t="inlineStr">
        <is>
          <t>https://kensington-international.com/de/expose/leben-am-meer?cHash=bacd021b09c2c4421cb86e85cfc4e1f2</t>
        </is>
      </c>
      <c r="J3702" t="inlineStr">
        <is>
          <t>Andratx</t>
        </is>
      </c>
      <c r="S3702" t="n">
        <v>849000</v>
      </c>
      <c r="AH3702" t="inlineStr">
        <is>
          <t>Quelle: Kensington Finest</t>
        </is>
      </c>
    </row>
    <row r="3703">
      <c r="A3703" t="n">
        <v>3516</v>
      </c>
      <c r="B3703" t="inlineStr">
        <is>
          <t>Eine verträumte Flucht im Herzen von Andratx mit Meerblick</t>
        </is>
      </c>
      <c r="C3703" t="inlineStr">
        <is>
          <t>https://kensington-international.com/de/expose/eine-vertraeumte-flucht-im-herzen-von-andratx?cHash=d0d10e8424af2e83e196dae825e44348</t>
        </is>
      </c>
      <c r="J3703" t="inlineStr">
        <is>
          <t>Andratx</t>
        </is>
      </c>
      <c r="S3703" t="n">
        <v>729000</v>
      </c>
      <c r="AH3703" t="inlineStr">
        <is>
          <t>Quelle: Kensington Finest</t>
        </is>
      </c>
    </row>
    <row r="3704">
      <c r="A3704" t="n">
        <v>3517</v>
      </c>
      <c r="B3704" t="inlineStr">
        <is>
          <t>Traum in San Telmo</t>
        </is>
      </c>
      <c r="C3704" t="inlineStr">
        <is>
          <t>https://kensington-international.com/de/expose/traum-in-san-telmo-kao1053?cHash=55ed71be5ec111adc11227298e0727a7</t>
        </is>
      </c>
      <c r="J3704" t="inlineStr">
        <is>
          <t>Sant Elm</t>
        </is>
      </c>
      <c r="S3704" t="n">
        <v>872500</v>
      </c>
      <c r="AH3704" t="inlineStr">
        <is>
          <t>Quelle: Kensington Finest</t>
        </is>
      </c>
    </row>
    <row r="3705">
      <c r="A3705" t="n">
        <v>3518</v>
      </c>
      <c r="B3705" t="inlineStr">
        <is>
          <t>Fantastische Wohnung mit Meerblick und Zugang zum Meer in La Mola Port Andratx, Mallorca</t>
        </is>
      </c>
      <c r="C3705" t="inlineStr">
        <is>
          <t>https://kensington-international.com/de/expose/traumhafte-meerblick-wohnung-mit-meerzugang-in-la-mola-port-andratx?cHash=20ff1746f922a917d6c677efff64180b</t>
        </is>
      </c>
      <c r="J3705" t="inlineStr">
        <is>
          <t>Port d'Andratx, Illes Balears</t>
        </is>
      </c>
      <c r="K3705" t="n">
        <v>43.5</v>
      </c>
      <c r="L3705" t="n">
        <v>38</v>
      </c>
      <c r="M3705" t="n">
        <v>86.2</v>
      </c>
      <c r="N3705" t="n">
        <v>71</v>
      </c>
      <c r="O3705" t="n">
        <v>6.3</v>
      </c>
      <c r="P3705" t="n">
        <v>11</v>
      </c>
      <c r="Q3705" t="n">
        <v>83.90000000000001</v>
      </c>
      <c r="R3705" t="n">
        <v>68</v>
      </c>
      <c r="S3705" t="n">
        <v>1050000</v>
      </c>
      <c r="AH3705" t="inlineStr">
        <is>
          <t>Quelle: Kensington Finest</t>
        </is>
      </c>
    </row>
    <row r="3706">
      <c r="A3706" t="n">
        <v>3519</v>
      </c>
      <c r="B3706" t="inlineStr">
        <is>
          <t>Schöne Wohnung im Industriestil am Hafen</t>
        </is>
      </c>
      <c r="C3706" t="inlineStr">
        <is>
          <t>https://kensington-international.com/de/expose/schoene-wohnung-im-industriestil-am-hafen?cHash=75dadc7b23bca5a97e51f90e37e130aa</t>
        </is>
      </c>
      <c r="J3706" t="inlineStr">
        <is>
          <t>Port d'Andratx</t>
        </is>
      </c>
      <c r="S3706" t="n">
        <v>695000</v>
      </c>
      <c r="AH3706" t="inlineStr">
        <is>
          <t>Quelle: Kensington Finest</t>
        </is>
      </c>
    </row>
    <row r="3707">
      <c r="A3707" t="n">
        <v>3520</v>
      </c>
      <c r="B3707" t="inlineStr">
        <is>
          <t>Ein moderner mediterraner Traum - wo sich jeder Tag wie Urlaub anfühlt</t>
        </is>
      </c>
      <c r="C3707" t="inlineStr">
        <is>
          <t>https://kensington-international.com/de/expose/ein-moderner-mediterraner-traum-wo-sich-jeder-tag-wie-urlaub-anfuehlt?cHash=0a09095873857d6199fc8ad5817ed49b</t>
        </is>
      </c>
      <c r="J3707" t="inlineStr">
        <is>
          <t>Port d’Andratx</t>
        </is>
      </c>
      <c r="K3707" t="n">
        <v>43.5</v>
      </c>
      <c r="L3707" t="n">
        <v>38</v>
      </c>
      <c r="M3707" t="n">
        <v>86.2</v>
      </c>
      <c r="N3707" t="n">
        <v>71</v>
      </c>
      <c r="O3707" t="n">
        <v>6.3</v>
      </c>
      <c r="P3707" t="n">
        <v>11</v>
      </c>
      <c r="Q3707" t="n">
        <v>83.90000000000001</v>
      </c>
      <c r="R3707" t="n">
        <v>68</v>
      </c>
      <c r="S3707" t="n">
        <v>3750000</v>
      </c>
      <c r="AH3707" t="inlineStr">
        <is>
          <t>Quelle: Kensington Finest</t>
        </is>
      </c>
    </row>
    <row r="3708">
      <c r="A3708" t="n">
        <v>3521</v>
      </c>
      <c r="B3708" t="inlineStr">
        <is>
          <t>Private Luxusvilla mit Pool direkt am Hafen von Port Andratx, Mallorca</t>
        </is>
      </c>
      <c r="C3708" t="inlineStr">
        <is>
          <t>https://kensington-international.com/de/expose/private-luxusvilla-mit-pool-direkt-am-hafen-von-port-andratx-mallorca?cHash=d7eb412eb022012147bde3146f73e6d7</t>
        </is>
      </c>
      <c r="J3708" t="inlineStr">
        <is>
          <t>Port d’Andratx</t>
        </is>
      </c>
      <c r="K3708" t="n">
        <v>43.5</v>
      </c>
      <c r="L3708" t="n">
        <v>38</v>
      </c>
      <c r="M3708" t="n">
        <v>86.2</v>
      </c>
      <c r="N3708" t="n">
        <v>71</v>
      </c>
      <c r="O3708" t="n">
        <v>6.3</v>
      </c>
      <c r="P3708" t="n">
        <v>11</v>
      </c>
      <c r="Q3708" t="n">
        <v>83.90000000000001</v>
      </c>
      <c r="R3708" t="n">
        <v>68</v>
      </c>
      <c r="S3708" t="n">
        <v>3550000</v>
      </c>
      <c r="AH3708" t="inlineStr">
        <is>
          <t>Quelle: Kensington Finest</t>
        </is>
      </c>
    </row>
    <row r="3709">
      <c r="A3709" t="n">
        <v>3522</v>
      </c>
      <c r="B3709" t="inlineStr">
        <is>
          <t>Meerblick-Finca mit Pool bei Andratx, Mallorca</t>
        </is>
      </c>
      <c r="C3709" t="inlineStr">
        <is>
          <t>https://kensington-international.com/de/expose/meerblick-finca-mit-pool-bei-andratx-mallorca?cHash=0279e930a243d95404451d8efec342f2</t>
        </is>
      </c>
      <c r="J3709" t="inlineStr">
        <is>
          <t>Andratx</t>
        </is>
      </c>
      <c r="K3709" t="n">
        <v>40.3</v>
      </c>
      <c r="L3709" t="n">
        <v>36</v>
      </c>
      <c r="M3709" t="n">
        <v>83</v>
      </c>
      <c r="N3709" t="n">
        <v>68</v>
      </c>
      <c r="O3709" t="n">
        <v>2.7</v>
      </c>
      <c r="P3709" t="n">
        <v>7</v>
      </c>
      <c r="Q3709" t="n">
        <v>80.7</v>
      </c>
      <c r="R3709" t="n">
        <v>65</v>
      </c>
      <c r="S3709" t="n">
        <v>3950000</v>
      </c>
      <c r="AH3709" t="inlineStr">
        <is>
          <t>Quelle: Kensington Finest</t>
        </is>
      </c>
    </row>
    <row r="3710">
      <c r="A3710" t="n">
        <v>3523</v>
      </c>
      <c r="B3710" t="inlineStr">
        <is>
          <t>Mediterrane Villa in Top-Qualität</t>
        </is>
      </c>
      <c r="C3710" t="inlineStr">
        <is>
          <t>https://kensington-international.com/de/expose/mediterrane-villa-in-top-qualitaet-ksp01830?cHash=bd66d8ba713fa95fef021158870ca25b</t>
        </is>
      </c>
      <c r="J3710" t="inlineStr">
        <is>
          <t>Son Vida</t>
        </is>
      </c>
      <c r="K3710" t="n">
        <v>19.2</v>
      </c>
      <c r="L3710" t="n">
        <v>22</v>
      </c>
      <c r="M3710" t="n">
        <v>61.9</v>
      </c>
      <c r="N3710" t="n">
        <v>55</v>
      </c>
      <c r="O3710" t="n">
        <v>31</v>
      </c>
      <c r="P3710" t="n">
        <v>31</v>
      </c>
      <c r="Q3710" t="n">
        <v>59.6</v>
      </c>
      <c r="R3710" t="n">
        <v>51</v>
      </c>
      <c r="S3710" t="n">
        <v>11400000</v>
      </c>
      <c r="AH3710" t="inlineStr">
        <is>
          <t>Quelle: Kensington Finest</t>
        </is>
      </c>
    </row>
    <row r="3711">
      <c r="A3711" t="n">
        <v>3524</v>
      </c>
      <c r="B3711" t="inlineStr">
        <is>
          <t>Qualitäts-Neubauvilla mit 1A-Meerblick in Son Vida, Palma de Mallorca</t>
        </is>
      </c>
      <c r="C3711" t="inlineStr">
        <is>
          <t>https://kensington-international.com/de/expose/qualitaets-neubauvilla-mit-1a-meerblick-in-son-vida-palma-de-mallorca?cHash=42588573bc35e2ff76c04da53271f206</t>
        </is>
      </c>
      <c r="J3711" t="inlineStr">
        <is>
          <t>Son Vida</t>
        </is>
      </c>
      <c r="K3711" t="n">
        <v>19.2</v>
      </c>
      <c r="L3711" t="n">
        <v>22</v>
      </c>
      <c r="M3711" t="n">
        <v>61.9</v>
      </c>
      <c r="N3711" t="n">
        <v>55</v>
      </c>
      <c r="O3711" t="n">
        <v>31</v>
      </c>
      <c r="P3711" t="n">
        <v>31</v>
      </c>
      <c r="Q3711" t="n">
        <v>59.6</v>
      </c>
      <c r="R3711" t="n">
        <v>51</v>
      </c>
      <c r="S3711" t="n">
        <v>8900000</v>
      </c>
      <c r="AH3711" t="inlineStr">
        <is>
          <t>Quelle: Kensington Finest</t>
        </is>
      </c>
    </row>
    <row r="3712">
      <c r="A3712" t="n">
        <v>3525</v>
      </c>
      <c r="B3712" t="inlineStr">
        <is>
          <t>Anwesen mit Panoramablick &amp; totaler Privatsphäre in Son Vida, Palma de Mallorca</t>
        </is>
      </c>
      <c r="C3712" t="inlineStr">
        <is>
          <t>https://kensington-international.com/de/expose/anwesen-mit-panoramablick-totaler-privatsphaere-in-son-vida-palma-de-mallorca?cHash=c5d85ef2516777e28d974ccae4abea25</t>
        </is>
      </c>
      <c r="J3712" t="inlineStr">
        <is>
          <t>Son Vida</t>
        </is>
      </c>
      <c r="K3712" t="n">
        <v>19.2</v>
      </c>
      <c r="L3712" t="n">
        <v>22</v>
      </c>
      <c r="M3712" t="n">
        <v>61.9</v>
      </c>
      <c r="N3712" t="n">
        <v>55</v>
      </c>
      <c r="O3712" t="n">
        <v>31</v>
      </c>
      <c r="P3712" t="n">
        <v>31</v>
      </c>
      <c r="Q3712" t="n">
        <v>59.6</v>
      </c>
      <c r="R3712" t="n">
        <v>51</v>
      </c>
      <c r="S3712" t="n">
        <v>21000000</v>
      </c>
      <c r="AH3712" t="inlineStr">
        <is>
          <t>Quelle: Kensington Finest</t>
        </is>
      </c>
    </row>
    <row r="3713">
      <c r="A3713" t="n">
        <v>3526</v>
      </c>
      <c r="B3713" t="inlineStr">
        <is>
          <t>Einzigartiges Baugrundstück in bester Nachbarschaft mit Projekt und Meerblick in Son Vida, Mallorca</t>
        </is>
      </c>
      <c r="C3713" t="inlineStr">
        <is>
          <t>https://kensington-international.com/de/expose/einzigartiges-baugrundstueck-in-bester-nachbarschaft-mit-projekt-und-meerblick-in-son-vida-mallorca?cHash=2c26020903c9bf8d3479e9524d09f896</t>
        </is>
      </c>
      <c r="J3713" t="inlineStr">
        <is>
          <t>Son Vida</t>
        </is>
      </c>
      <c r="K3713" t="n">
        <v>19.2</v>
      </c>
      <c r="L3713" t="n">
        <v>22</v>
      </c>
      <c r="M3713" t="n">
        <v>61.9</v>
      </c>
      <c r="N3713" t="n">
        <v>55</v>
      </c>
      <c r="O3713" t="n">
        <v>31</v>
      </c>
      <c r="P3713" t="n">
        <v>31</v>
      </c>
      <c r="Q3713" t="n">
        <v>59.6</v>
      </c>
      <c r="R3713" t="n">
        <v>51</v>
      </c>
      <c r="S3713" t="n">
        <v>2600000</v>
      </c>
      <c r="AH3713" t="inlineStr">
        <is>
          <t>Quelle: Kensington Finest</t>
        </is>
      </c>
    </row>
    <row r="3714">
      <c r="A3714" t="n">
        <v>3527</v>
      </c>
      <c r="B3714" t="inlineStr">
        <is>
          <t>Baugrundstück mit beeindruckendem Meerblick und Projekt in Son Vida, Mallorca</t>
        </is>
      </c>
      <c r="C3714" t="inlineStr">
        <is>
          <t>https://kensington-international.com/de/expose/baugrundstueck-mit-beeindruckendem-meerblick-und-projekt-in-son-vida-mallorca?cHash=004239b47a0f9e4a1a91e18de20e8e3b</t>
        </is>
      </c>
      <c r="J3714" t="inlineStr">
        <is>
          <t>Son Vida</t>
        </is>
      </c>
      <c r="K3714" t="n">
        <v>19.2</v>
      </c>
      <c r="L3714" t="n">
        <v>22</v>
      </c>
      <c r="M3714" t="n">
        <v>61.9</v>
      </c>
      <c r="N3714" t="n">
        <v>55</v>
      </c>
      <c r="O3714" t="n">
        <v>31</v>
      </c>
      <c r="P3714" t="n">
        <v>31</v>
      </c>
      <c r="Q3714" t="n">
        <v>59.6</v>
      </c>
      <c r="R3714" t="n">
        <v>51</v>
      </c>
      <c r="S3714" t="n">
        <v>2900000</v>
      </c>
      <c r="AH3714" t="inlineStr">
        <is>
          <t>Quelle: Kensington Finest</t>
        </is>
      </c>
    </row>
    <row r="3715">
      <c r="A3715" t="n">
        <v>3528</v>
      </c>
      <c r="B3715" t="inlineStr">
        <is>
          <t>Wunderschönes Baugrundstück mit Projekt und Meerblick in Son Vida, Mallorca</t>
        </is>
      </c>
      <c r="C3715" t="inlineStr">
        <is>
          <t>https://kensington-international.com/de/expose/wunderschoenes-baugrundstueck-mit-projekt-und-meerblick-in-son-vida-mallorca?cHash=3de4b3567c1fef6f62326a00fcc621fa</t>
        </is>
      </c>
      <c r="J3715" t="inlineStr">
        <is>
          <t>Son Vida</t>
        </is>
      </c>
      <c r="K3715" t="n">
        <v>19.2</v>
      </c>
      <c r="L3715" t="n">
        <v>22</v>
      </c>
      <c r="M3715" t="n">
        <v>61.9</v>
      </c>
      <c r="N3715" t="n">
        <v>55</v>
      </c>
      <c r="O3715" t="n">
        <v>31</v>
      </c>
      <c r="P3715" t="n">
        <v>31</v>
      </c>
      <c r="Q3715" t="n">
        <v>59.6</v>
      </c>
      <c r="R3715" t="n">
        <v>51</v>
      </c>
      <c r="S3715" t="n">
        <v>2700000</v>
      </c>
      <c r="AH3715" t="inlineStr">
        <is>
          <t>Quelle: Kensington Finest</t>
        </is>
      </c>
    </row>
    <row r="3716">
      <c r="A3716" t="n">
        <v>3529</v>
      </c>
      <c r="B3716" t="inlineStr">
        <is>
          <t>Elegante Villa in Son Vida mit Gästehaus, Pool &amp; Parkplatz</t>
        </is>
      </c>
      <c r="C3716" t="inlineStr">
        <is>
          <t>https://kensington-international.com/de/expose/elegante-villa-in-son-vida-mit-gaestehaus-pool-parkplatz?cHash=2eeda9bf5b24b4bda4e67ac3387a144c</t>
        </is>
      </c>
      <c r="J3716" t="inlineStr">
        <is>
          <t>Son Vida</t>
        </is>
      </c>
      <c r="K3716" t="n">
        <v>19.2</v>
      </c>
      <c r="L3716" t="n">
        <v>22</v>
      </c>
      <c r="M3716" t="n">
        <v>61.9</v>
      </c>
      <c r="N3716" t="n">
        <v>55</v>
      </c>
      <c r="O3716" t="n">
        <v>31</v>
      </c>
      <c r="P3716" t="n">
        <v>31</v>
      </c>
      <c r="Q3716" t="n">
        <v>59.6</v>
      </c>
      <c r="R3716" t="n">
        <v>51</v>
      </c>
      <c r="S3716" t="n">
        <v>4690000</v>
      </c>
      <c r="AH3716" t="inlineStr">
        <is>
          <t>Quelle: Kensington Finest</t>
        </is>
      </c>
    </row>
    <row r="3717">
      <c r="A3717" t="n">
        <v>3530</v>
      </c>
      <c r="B3717" t="inlineStr">
        <is>
          <t>Renovierte Villa mit Meer- und Golfblick in Son Vida, Palma de Mallorca</t>
        </is>
      </c>
      <c r="C3717" t="inlineStr">
        <is>
          <t>https://kensington-international.com/de/expose/renovierte-villa-mit-meer-und-golfblick-in-son-vida-palma-de-mallorca?cHash=0e37a9cecaab3388f8819a51a1f7d57c</t>
        </is>
      </c>
      <c r="J3717" t="inlineStr">
        <is>
          <t>Son Vida</t>
        </is>
      </c>
      <c r="K3717" t="n">
        <v>19.2</v>
      </c>
      <c r="L3717" t="n">
        <v>22</v>
      </c>
      <c r="M3717" t="n">
        <v>61.9</v>
      </c>
      <c r="N3717" t="n">
        <v>55</v>
      </c>
      <c r="O3717" t="n">
        <v>31</v>
      </c>
      <c r="P3717" t="n">
        <v>31</v>
      </c>
      <c r="Q3717" t="n">
        <v>59.6</v>
      </c>
      <c r="R3717" t="n">
        <v>51</v>
      </c>
      <c r="S3717" t="n">
        <v>3970000</v>
      </c>
      <c r="AH3717" t="inlineStr">
        <is>
          <t>Quelle: Kensington Finest</t>
        </is>
      </c>
    </row>
    <row r="3718">
      <c r="A3718" t="n">
        <v>3531</v>
      </c>
      <c r="B3718" t="inlineStr">
        <is>
          <t>Beeindruckendes Landhaus mit Ferienvermietungslizenz  und Avocadoplantage in Son Sardina, Mallorca</t>
        </is>
      </c>
      <c r="C3718" t="inlineStr">
        <is>
          <t>https://kensington-international.com/de/expose/beeindruckendes-landhaus-mit-ferienvermietungslizenz-und-avocadoplantage-in-son-sardina-mallorca?cHash=be32ab9677403ac699388cfb6345b807</t>
        </is>
      </c>
      <c r="J3718" t="inlineStr">
        <is>
          <t>Son Sardina</t>
        </is>
      </c>
      <c r="K3718" t="n">
        <v>14.1</v>
      </c>
      <c r="L3718" t="n">
        <v>17</v>
      </c>
      <c r="M3718" t="n">
        <v>56.8</v>
      </c>
      <c r="N3718" t="n">
        <v>50</v>
      </c>
      <c r="O3718" t="n">
        <v>33.8</v>
      </c>
      <c r="P3718" t="n">
        <v>30</v>
      </c>
      <c r="Q3718" t="n">
        <v>54.5</v>
      </c>
      <c r="R3718" t="n">
        <v>47</v>
      </c>
      <c r="S3718" t="n">
        <v>1995000</v>
      </c>
      <c r="AH3718" t="inlineStr">
        <is>
          <t>Quelle: Kensington Finest</t>
        </is>
      </c>
    </row>
    <row r="3719">
      <c r="A3719" t="n">
        <v>3532</v>
      </c>
      <c r="B3719" t="inlineStr">
        <is>
          <t>Garaje en Palma de Mallorca</t>
        </is>
      </c>
      <c r="C3719" t="inlineStr">
        <is>
          <t>https://www.bbva.es/personas/hipotecas/inmuebles/inmueble-191928.html</t>
        </is>
      </c>
      <c r="H3719" t="n">
        <v>1.18</v>
      </c>
      <c r="J3719" t="inlineStr">
        <is>
          <t>Palma de Mallorca</t>
        </is>
      </c>
      <c r="S3719" t="n">
        <v>1000</v>
      </c>
      <c r="T3719" t="n">
        <v>847</v>
      </c>
      <c r="AH3719" t="inlineStr">
        <is>
          <t>Quelle: BBVA Inmuebles (Solvia)</t>
        </is>
      </c>
    </row>
    <row r="3720">
      <c r="A3720" t="n">
        <v>3533</v>
      </c>
      <c r="B3720" t="inlineStr">
        <is>
          <t>Garaje en Sant Llorenç des Cardassar</t>
        </is>
      </c>
      <c r="C3720" t="inlineStr">
        <is>
          <t>https://www.bbva.es/personas/hipotecas/inmuebles/inmueble-83351.html</t>
        </is>
      </c>
      <c r="H3720" t="n">
        <v>12</v>
      </c>
      <c r="J3720" t="inlineStr">
        <is>
          <t>Sant Llorenç des Cardassar</t>
        </is>
      </c>
      <c r="S3720" t="n">
        <v>1800</v>
      </c>
      <c r="T3720" t="n">
        <v>150</v>
      </c>
      <c r="AH3720" t="inlineStr">
        <is>
          <t>Quelle: BBVA Inmuebles (Solvia)</t>
        </is>
      </c>
    </row>
    <row r="3721">
      <c r="A3721" t="n">
        <v>3534</v>
      </c>
      <c r="B3721" t="inlineStr">
        <is>
          <t>Garaje en Calvià</t>
        </is>
      </c>
      <c r="C3721" t="inlineStr">
        <is>
          <t>https://www.bbva.es/personas/hipotecas/inmuebles/inmueble-200909.html</t>
        </is>
      </c>
      <c r="H3721" t="n">
        <v>10</v>
      </c>
      <c r="J3721" t="inlineStr">
        <is>
          <t>Calvià</t>
        </is>
      </c>
      <c r="S3721" t="n">
        <v>3000</v>
      </c>
      <c r="T3721" t="n">
        <v>300</v>
      </c>
      <c r="AH3721" t="inlineStr">
        <is>
          <t>Quelle: BBVA Inmuebles (Solvia)</t>
        </is>
      </c>
    </row>
    <row r="3722">
      <c r="A3722" t="n">
        <v>3535</v>
      </c>
      <c r="B3722" t="inlineStr">
        <is>
          <t>Garaje en Mahón</t>
        </is>
      </c>
      <c r="C3722" t="inlineStr">
        <is>
          <t>https://www.bbva.es/personas/hipotecas/inmuebles/inmueble-203011.html</t>
        </is>
      </c>
      <c r="H3722" t="n">
        <v>7</v>
      </c>
      <c r="J3722" t="inlineStr">
        <is>
          <t>Mahón</t>
        </is>
      </c>
      <c r="S3722" t="n">
        <v>3000</v>
      </c>
      <c r="T3722" t="n">
        <v>429</v>
      </c>
      <c r="AH3722" t="inlineStr">
        <is>
          <t>Quelle: BBVA Inmuebles (Solvia)</t>
        </is>
      </c>
    </row>
    <row r="3723">
      <c r="A3723" t="n">
        <v>3536</v>
      </c>
      <c r="B3723" t="inlineStr">
        <is>
          <t>Garaje en Campos</t>
        </is>
      </c>
      <c r="C3723" t="inlineStr">
        <is>
          <t>https://www.bbva.es/personas/hipotecas/inmuebles/inmueble-199398.html</t>
        </is>
      </c>
      <c r="H3723" t="n">
        <v>12.15</v>
      </c>
      <c r="J3723" t="inlineStr">
        <is>
          <t>Campos</t>
        </is>
      </c>
      <c r="S3723" t="n">
        <v>5000</v>
      </c>
      <c r="T3723" t="n">
        <v>412</v>
      </c>
      <c r="AH3723" t="inlineStr">
        <is>
          <t>Quelle: BBVA Inmuebles (Solvia)</t>
        </is>
      </c>
    </row>
    <row r="3724">
      <c r="A3724" t="n">
        <v>3537</v>
      </c>
      <c r="B3724" t="inlineStr">
        <is>
          <t>Garaje moto en Santa Eulalia del Río</t>
        </is>
      </c>
      <c r="C3724" t="inlineStr">
        <is>
          <t>https://www.bbva.es/personas/hipotecas/inmuebles/inmueble-227132.html</t>
        </is>
      </c>
      <c r="H3724" t="n">
        <v>2.13</v>
      </c>
      <c r="J3724" t="inlineStr">
        <is>
          <t>Santa Eulalia del Río</t>
        </is>
      </c>
      <c r="S3724" t="n">
        <v>5000</v>
      </c>
      <c r="T3724" t="n">
        <v>2347</v>
      </c>
      <c r="AH3724" t="inlineStr">
        <is>
          <t>Quelle: BBVA Inmuebles (Solvia)</t>
        </is>
      </c>
    </row>
    <row r="3725">
      <c r="A3725" t="n">
        <v>3538</v>
      </c>
      <c r="B3725" t="inlineStr">
        <is>
          <t>Garaje moto en Santa Eulalia del Río</t>
        </is>
      </c>
      <c r="C3725" t="inlineStr">
        <is>
          <t>https://www.bbva.es/personas/hipotecas/inmuebles/inmueble-227130.html</t>
        </is>
      </c>
      <c r="H3725" t="n">
        <v>2.13</v>
      </c>
      <c r="J3725" t="inlineStr">
        <is>
          <t>Santa Eulalia del Río</t>
        </is>
      </c>
      <c r="S3725" t="n">
        <v>5000</v>
      </c>
      <c r="T3725" t="n">
        <v>2347</v>
      </c>
      <c r="AH3725" t="inlineStr">
        <is>
          <t>Quelle: BBVA Inmuebles (Solvia)</t>
        </is>
      </c>
    </row>
    <row r="3726">
      <c r="A3726" t="n">
        <v>3539</v>
      </c>
      <c r="B3726" t="inlineStr">
        <is>
          <t>Garaje en Santa Eulalia del Río</t>
        </is>
      </c>
      <c r="C3726" t="inlineStr">
        <is>
          <t>https://www.bbva.es/personas/hipotecas/inmuebles/inmueble-227131.html</t>
        </is>
      </c>
      <c r="H3726" t="n">
        <v>2.13</v>
      </c>
      <c r="J3726" t="inlineStr">
        <is>
          <t>Santa Eulalia del Río</t>
        </is>
      </c>
      <c r="S3726" t="n">
        <v>5000</v>
      </c>
      <c r="T3726" t="n">
        <v>2347</v>
      </c>
      <c r="AH3726" t="inlineStr">
        <is>
          <t>Quelle: BBVA Inmuebles (Solvia)</t>
        </is>
      </c>
    </row>
    <row r="3727">
      <c r="A3727" t="n">
        <v>3540</v>
      </c>
      <c r="B3727" t="inlineStr">
        <is>
          <t>Garaje en Santa Eulalia del Río</t>
        </is>
      </c>
      <c r="C3727" t="inlineStr">
        <is>
          <t>https://www.bbva.es/personas/hipotecas/inmuebles/inmueble-227129.html</t>
        </is>
      </c>
      <c r="H3727" t="n">
        <v>2.13</v>
      </c>
      <c r="J3727" t="inlineStr">
        <is>
          <t>Santa Eulalia del Río</t>
        </is>
      </c>
      <c r="S3727" t="n">
        <v>5000</v>
      </c>
      <c r="T3727" t="n">
        <v>2347</v>
      </c>
      <c r="AH3727" t="inlineStr">
        <is>
          <t>Quelle: BBVA Inmuebles (Solvia)</t>
        </is>
      </c>
    </row>
    <row r="3728">
      <c r="A3728" t="n">
        <v>3541</v>
      </c>
      <c r="B3728" t="inlineStr">
        <is>
          <t>Garaje en Inca</t>
        </is>
      </c>
      <c r="C3728" t="inlineStr">
        <is>
          <t>https://www.bbva.es/personas/hipotecas/inmuebles/inmueble-184510.html</t>
        </is>
      </c>
      <c r="H3728" t="n">
        <v>9.9</v>
      </c>
      <c r="J3728" t="inlineStr">
        <is>
          <t>Inca</t>
        </is>
      </c>
      <c r="S3728" t="n">
        <v>6000</v>
      </c>
      <c r="T3728" t="n">
        <v>606</v>
      </c>
      <c r="AH3728" t="inlineStr">
        <is>
          <t>Quelle: BBVA Inmuebles (Solvia)</t>
        </is>
      </c>
    </row>
    <row r="3729">
      <c r="A3729" t="n">
        <v>3542</v>
      </c>
      <c r="B3729" t="inlineStr">
        <is>
          <t>Garaje en Calvià</t>
        </is>
      </c>
      <c r="C3729" t="inlineStr">
        <is>
          <t>https://www.bbva.es/personas/hipotecas/inmuebles/inmueble-192167.html</t>
        </is>
      </c>
      <c r="H3729" t="n">
        <v>32</v>
      </c>
      <c r="J3729" t="inlineStr">
        <is>
          <t>Calvià</t>
        </is>
      </c>
      <c r="S3729" t="n">
        <v>8000</v>
      </c>
      <c r="T3729" t="n">
        <v>250</v>
      </c>
      <c r="AH3729" t="inlineStr">
        <is>
          <t>Quelle: BBVA Inmuebles (Solvia)</t>
        </is>
      </c>
    </row>
    <row r="3730">
      <c r="A3730" t="n">
        <v>3543</v>
      </c>
      <c r="B3730" t="inlineStr">
        <is>
          <t>Garaje en Campos</t>
        </is>
      </c>
      <c r="C3730" t="inlineStr">
        <is>
          <t>https://www.bbva.es/personas/hipotecas/inmuebles/inmueble-192611.html</t>
        </is>
      </c>
      <c r="H3730" t="n">
        <v>12.25</v>
      </c>
      <c r="J3730" t="inlineStr">
        <is>
          <t>Campos</t>
        </is>
      </c>
      <c r="S3730" t="n">
        <v>9000</v>
      </c>
      <c r="T3730" t="n">
        <v>735</v>
      </c>
      <c r="AH3730" t="inlineStr">
        <is>
          <t>Quelle: BBVA Inmuebles (Solvia)</t>
        </is>
      </c>
    </row>
    <row r="3731">
      <c r="A3731" t="n">
        <v>3544</v>
      </c>
      <c r="B3731" t="inlineStr">
        <is>
          <t>Garaje en Manacor</t>
        </is>
      </c>
      <c r="C3731" t="inlineStr">
        <is>
          <t>https://www.bbva.es/personas/hipotecas/inmuebles/inmueble-188034.html</t>
        </is>
      </c>
      <c r="H3731" t="n">
        <v>23</v>
      </c>
      <c r="J3731" t="inlineStr">
        <is>
          <t>Manacor</t>
        </is>
      </c>
      <c r="S3731" t="n">
        <v>9700</v>
      </c>
      <c r="T3731" t="n">
        <v>422</v>
      </c>
      <c r="AH3731" t="inlineStr">
        <is>
          <t>Quelle: BBVA Inmuebles (Solvia)</t>
        </is>
      </c>
    </row>
    <row r="3732">
      <c r="A3732" t="n">
        <v>3545</v>
      </c>
      <c r="B3732" t="inlineStr">
        <is>
          <t>Garaje en Palmanyola</t>
        </is>
      </c>
      <c r="C3732" t="inlineStr">
        <is>
          <t>https://www.bbva.es/personas/hipotecas/inmuebles/inmueble-99260.html</t>
        </is>
      </c>
      <c r="H3732" t="n">
        <v>11.25</v>
      </c>
      <c r="J3732" t="inlineStr">
        <is>
          <t>Palmanyola</t>
        </is>
      </c>
      <c r="S3732" t="n">
        <v>10000</v>
      </c>
      <c r="T3732" t="n">
        <v>889</v>
      </c>
      <c r="AH3732" t="inlineStr">
        <is>
          <t>Quelle: BBVA Inmuebles (Solvia)</t>
        </is>
      </c>
    </row>
    <row r="3733">
      <c r="A3733" t="n">
        <v>3546</v>
      </c>
      <c r="B3733" t="inlineStr">
        <is>
          <t>Suelo Rústico en Porreres</t>
        </is>
      </c>
      <c r="C3733" t="inlineStr">
        <is>
          <t>https://www.bbva.es/personas/hipotecas/inmuebles/inmueble-108729.html</t>
        </is>
      </c>
      <c r="H3733" t="n">
        <v>1775</v>
      </c>
      <c r="J3733" t="inlineStr">
        <is>
          <t>Porreres</t>
        </is>
      </c>
      <c r="S3733" t="n">
        <v>10000</v>
      </c>
      <c r="T3733" t="n">
        <v>6</v>
      </c>
      <c r="AH3733" t="inlineStr">
        <is>
          <t>Quelle: BBVA Inmuebles (Solvia)</t>
        </is>
      </c>
    </row>
    <row r="3734">
      <c r="A3734" t="n">
        <v>3547</v>
      </c>
      <c r="B3734" t="inlineStr">
        <is>
          <t>Garaje en Mahón</t>
        </is>
      </c>
      <c r="C3734" t="inlineStr">
        <is>
          <t>https://www.bbva.es/personas/hipotecas/inmuebles/inmueble-200107.html</t>
        </is>
      </c>
      <c r="J3734" t="inlineStr">
        <is>
          <t>Mahón</t>
        </is>
      </c>
      <c r="S3734" t="n">
        <v>10000</v>
      </c>
      <c r="AH3734" t="inlineStr">
        <is>
          <t>Quelle: BBVA Inmuebles (Solvia)</t>
        </is>
      </c>
    </row>
    <row r="3735">
      <c r="A3735" t="n">
        <v>3548</v>
      </c>
      <c r="B3735" t="inlineStr">
        <is>
          <t>Garaje en Sant Josep de sa Talaia</t>
        </is>
      </c>
      <c r="C3735" t="inlineStr">
        <is>
          <t>https://www.bbva.es/personas/hipotecas/inmuebles/inmueble-91519.html</t>
        </is>
      </c>
      <c r="H3735" t="n">
        <v>12.7</v>
      </c>
      <c r="J3735" t="inlineStr">
        <is>
          <t>Sant Josep de sa Talaia</t>
        </is>
      </c>
      <c r="S3735" t="n">
        <v>12000</v>
      </c>
      <c r="T3735" t="n">
        <v>945</v>
      </c>
      <c r="AH3735" t="inlineStr">
        <is>
          <t>Quelle: BBVA Inmuebles (Solvia)</t>
        </is>
      </c>
    </row>
    <row r="3736">
      <c r="A3736" t="n">
        <v>3549</v>
      </c>
      <c r="B3736" t="inlineStr">
        <is>
          <t>Garaje en Mahón</t>
        </is>
      </c>
      <c r="C3736" t="inlineStr">
        <is>
          <t>https://www.bbva.es/personas/hipotecas/inmuebles/inmueble-204628.html</t>
        </is>
      </c>
      <c r="H3736" t="n">
        <v>33.78</v>
      </c>
      <c r="J3736" t="inlineStr">
        <is>
          <t>Mahón</t>
        </is>
      </c>
      <c r="S3736" t="n">
        <v>12000</v>
      </c>
      <c r="T3736" t="n">
        <v>355</v>
      </c>
      <c r="AH3736" t="inlineStr">
        <is>
          <t>Quelle: BBVA Inmuebles (Solvia)</t>
        </is>
      </c>
    </row>
    <row r="3737">
      <c r="A3737" t="n">
        <v>3550</v>
      </c>
      <c r="B3737" t="inlineStr">
        <is>
          <t>Garaje en Palma de Mallorca</t>
        </is>
      </c>
      <c r="C3737" t="inlineStr">
        <is>
          <t>https://www.bbva.es/personas/hipotecas/inmuebles/inmueble-194522.html</t>
        </is>
      </c>
      <c r="H3737" t="n">
        <v>27</v>
      </c>
      <c r="J3737" t="inlineStr">
        <is>
          <t>Palma de Mallorca</t>
        </is>
      </c>
      <c r="S3737" t="n">
        <v>12400</v>
      </c>
      <c r="T3737" t="n">
        <v>459</v>
      </c>
      <c r="AH3737" t="inlineStr">
        <is>
          <t>Quelle: BBVA Inmuebles (Solvia)</t>
        </is>
      </c>
    </row>
    <row r="3738">
      <c r="A3738" t="n">
        <v>3551</v>
      </c>
      <c r="B3738" t="inlineStr">
        <is>
          <t>Garaje en Palma de Mallorca</t>
        </is>
      </c>
      <c r="C3738" t="inlineStr">
        <is>
          <t>https://www.bbva.es/personas/hipotecas/inmuebles/inmueble-194578.html</t>
        </is>
      </c>
      <c r="H3738" t="n">
        <v>27</v>
      </c>
      <c r="J3738" t="inlineStr">
        <is>
          <t>Palma de Mallorca</t>
        </is>
      </c>
      <c r="S3738" t="n">
        <v>12400</v>
      </c>
      <c r="T3738" t="n">
        <v>459</v>
      </c>
      <c r="AH3738" t="inlineStr">
        <is>
          <t>Quelle: BBVA Inmuebles (Solvia)</t>
        </is>
      </c>
    </row>
    <row r="3739">
      <c r="A3739" t="n">
        <v>3552</v>
      </c>
      <c r="B3739" t="inlineStr">
        <is>
          <t>Garaje en Manacor</t>
        </is>
      </c>
      <c r="C3739" t="inlineStr">
        <is>
          <t>https://www.bbva.es/personas/hipotecas/inmuebles/inmueble-250005.html</t>
        </is>
      </c>
      <c r="H3739" t="n">
        <v>27</v>
      </c>
      <c r="J3739" t="inlineStr">
        <is>
          <t>Manacor</t>
        </is>
      </c>
      <c r="S3739" t="n">
        <v>13800</v>
      </c>
      <c r="T3739" t="n">
        <v>511</v>
      </c>
      <c r="AH3739" t="inlineStr">
        <is>
          <t>Quelle: BBVA Inmuebles (Solvia)</t>
        </is>
      </c>
    </row>
    <row r="3740">
      <c r="A3740" t="n">
        <v>3553</v>
      </c>
      <c r="B3740" t="inlineStr">
        <is>
          <t>Garaje en Santanyí</t>
        </is>
      </c>
      <c r="C3740" t="inlineStr">
        <is>
          <t>https://www.bbva.es/personas/hipotecas/inmuebles/inmueble-190931.html</t>
        </is>
      </c>
      <c r="H3740" t="n">
        <v>28</v>
      </c>
      <c r="J3740" t="inlineStr">
        <is>
          <t>Santanyí</t>
        </is>
      </c>
      <c r="S3740" t="n">
        <v>18000</v>
      </c>
      <c r="T3740" t="n">
        <v>643</v>
      </c>
      <c r="AH3740" t="inlineStr">
        <is>
          <t>Quelle: BBVA Inmuebles (Solvia)</t>
        </is>
      </c>
    </row>
    <row r="3741">
      <c r="A3741" t="n">
        <v>3554</v>
      </c>
      <c r="B3741" t="inlineStr">
        <is>
          <t>Garaje en Santanyí</t>
        </is>
      </c>
      <c r="C3741" t="inlineStr">
        <is>
          <t>https://www.bbva.es/personas/hipotecas/inmuebles/inmueble-186616.html</t>
        </is>
      </c>
      <c r="H3741" t="n">
        <v>25</v>
      </c>
      <c r="J3741" t="inlineStr">
        <is>
          <t>Santanyí</t>
        </is>
      </c>
      <c r="S3741" t="n">
        <v>19000</v>
      </c>
      <c r="T3741" t="n">
        <v>760</v>
      </c>
      <c r="AH3741" t="inlineStr">
        <is>
          <t>Quelle: BBVA Inmuebles (Solvia)</t>
        </is>
      </c>
    </row>
    <row r="3742">
      <c r="A3742" t="n">
        <v>3555</v>
      </c>
      <c r="B3742" t="inlineStr">
        <is>
          <t>Garaje en Palma de Mallorca</t>
        </is>
      </c>
      <c r="C3742" t="inlineStr">
        <is>
          <t>https://www.bbva.es/personas/hipotecas/inmuebles/inmueble-227532.html</t>
        </is>
      </c>
      <c r="H3742" t="n">
        <v>20</v>
      </c>
      <c r="J3742" t="inlineStr">
        <is>
          <t>Palma de Mallorca</t>
        </is>
      </c>
      <c r="S3742" t="n">
        <v>22900</v>
      </c>
      <c r="T3742" t="n">
        <v>1145</v>
      </c>
      <c r="AH3742" t="inlineStr">
        <is>
          <t>Quelle: BBVA Inmuebles (Solvia)</t>
        </is>
      </c>
    </row>
    <row r="3743">
      <c r="A3743" t="n">
        <v>3556</v>
      </c>
      <c r="B3743" t="inlineStr">
        <is>
          <t>Locales en Ciutadella de Menorca</t>
        </is>
      </c>
      <c r="C3743" t="inlineStr">
        <is>
          <t>https://www.bbva.es/personas/hipotecas/inmuebles/inmueble-194742.html</t>
        </is>
      </c>
      <c r="H3743" t="n">
        <v>27.5</v>
      </c>
      <c r="J3743" t="inlineStr">
        <is>
          <t>Ciutadella de Menorca</t>
        </is>
      </c>
      <c r="S3743" t="n">
        <v>23000</v>
      </c>
      <c r="T3743" t="n">
        <v>836</v>
      </c>
      <c r="AH3743" t="inlineStr">
        <is>
          <t>Quelle: BBVA Inmuebles (Solvia)</t>
        </is>
      </c>
    </row>
    <row r="3744">
      <c r="A3744" t="n">
        <v>3557</v>
      </c>
      <c r="B3744" t="inlineStr">
        <is>
          <t>Terreno con edificación en Santa Eugènia</t>
        </is>
      </c>
      <c r="C3744" t="inlineStr">
        <is>
          <t>https://www.bbva.es/personas/hipotecas/inmuebles/inmueble-255451.html</t>
        </is>
      </c>
      <c r="H3744" t="n">
        <v>6508</v>
      </c>
      <c r="J3744" t="inlineStr">
        <is>
          <t>Santa Eugènia</t>
        </is>
      </c>
      <c r="S3744" t="n">
        <v>30000</v>
      </c>
      <c r="T3744" t="n">
        <v>5</v>
      </c>
      <c r="AH3744" t="inlineStr">
        <is>
          <t>Quelle: BBVA Inmuebles (Solvia)</t>
        </is>
      </c>
    </row>
    <row r="3745">
      <c r="A3745" t="n">
        <v>3558</v>
      </c>
      <c r="B3745" t="inlineStr">
        <is>
          <t>Garaje en Capdepera</t>
        </is>
      </c>
      <c r="C3745" t="inlineStr">
        <is>
          <t>https://www.bbva.es/personas/hipotecas/inmuebles/inmueble-246561.html</t>
        </is>
      </c>
      <c r="H3745" t="n">
        <v>101.7</v>
      </c>
      <c r="J3745" t="inlineStr">
        <is>
          <t>Capdepera</t>
        </is>
      </c>
      <c r="S3745" t="n">
        <v>32700</v>
      </c>
      <c r="T3745" t="n">
        <v>322</v>
      </c>
      <c r="AH3745" t="inlineStr">
        <is>
          <t>Quelle: BBVA Inmuebles (Solvia)</t>
        </is>
      </c>
    </row>
    <row r="3746">
      <c r="A3746" t="n">
        <v>3559</v>
      </c>
      <c r="B3746" t="inlineStr">
        <is>
          <t>Piso en Sant Josep de sa Talaia</t>
        </is>
      </c>
      <c r="C3746" t="inlineStr">
        <is>
          <t>https://www.bbva.es/personas/hipotecas/inmuebles/inmueble-193817.html</t>
        </is>
      </c>
      <c r="E3746" t="n">
        <v>1</v>
      </c>
      <c r="H3746" t="n">
        <v>75.5</v>
      </c>
      <c r="J3746" t="inlineStr">
        <is>
          <t>Sant Josep de sa Talaia</t>
        </is>
      </c>
      <c r="S3746" t="n">
        <v>38000</v>
      </c>
      <c r="T3746" t="n">
        <v>503</v>
      </c>
      <c r="AH3746" t="inlineStr">
        <is>
          <t>Quelle: BBVA Inmuebles (Solvia)</t>
        </is>
      </c>
    </row>
    <row r="3747">
      <c r="A3747" t="n">
        <v>3560</v>
      </c>
      <c r="B3747" t="inlineStr">
        <is>
          <t>Suelo urbano no consolidado en Manacor</t>
        </is>
      </c>
      <c r="C3747" t="inlineStr">
        <is>
          <t>https://www.bbva.es/personas/hipotecas/inmuebles/inmueble-247770.html</t>
        </is>
      </c>
      <c r="J3747" t="inlineStr">
        <is>
          <t>Manacor</t>
        </is>
      </c>
      <c r="S3747" t="n">
        <v>48400</v>
      </c>
      <c r="AH3747" t="inlineStr">
        <is>
          <t>Quelle: BBVA Inmuebles (Solvia)</t>
        </is>
      </c>
    </row>
    <row r="3748">
      <c r="A3748" t="n">
        <v>3561</v>
      </c>
      <c r="B3748" t="inlineStr">
        <is>
          <t>Suelo Rústico en Pollença</t>
        </is>
      </c>
      <c r="C3748" t="inlineStr">
        <is>
          <t>https://www.bbva.es/personas/hipotecas/inmuebles/inmueble-200893.html</t>
        </is>
      </c>
      <c r="H3748" t="n">
        <v>1792</v>
      </c>
      <c r="J3748" t="inlineStr">
        <is>
          <t>Pollença</t>
        </is>
      </c>
      <c r="S3748" t="n">
        <v>49000</v>
      </c>
      <c r="T3748" t="n">
        <v>27</v>
      </c>
      <c r="AH3748" t="inlineStr">
        <is>
          <t>Quelle: BBVA Inmuebles (Solvia)</t>
        </is>
      </c>
    </row>
    <row r="3749">
      <c r="A3749" t="n">
        <v>3562</v>
      </c>
      <c r="B3749" t="inlineStr">
        <is>
          <t>Suelo Rústico en Llucmajor</t>
        </is>
      </c>
      <c r="C3749" t="inlineStr">
        <is>
          <t>https://www.bbva.es/personas/hipotecas/inmuebles/inmueble-128316.html</t>
        </is>
      </c>
      <c r="H3749" t="n">
        <v>4750</v>
      </c>
      <c r="J3749" t="inlineStr">
        <is>
          <t>Llucmajor</t>
        </is>
      </c>
      <c r="S3749" t="n">
        <v>49000</v>
      </c>
      <c r="T3749" t="n">
        <v>10</v>
      </c>
      <c r="AH3749" t="inlineStr">
        <is>
          <t>Quelle: BBVA Inmuebles (Solvia)</t>
        </is>
      </c>
    </row>
    <row r="3750">
      <c r="A3750" t="n">
        <v>3563</v>
      </c>
      <c r="B3750" t="inlineStr">
        <is>
          <t>Locales en Calvià</t>
        </is>
      </c>
      <c r="C3750" t="inlineStr">
        <is>
          <t>https://www.bbva.es/personas/hipotecas/inmuebles/inmueble-232156.html</t>
        </is>
      </c>
      <c r="H3750" t="n">
        <v>155</v>
      </c>
      <c r="J3750" t="inlineStr">
        <is>
          <t>Calvià</t>
        </is>
      </c>
      <c r="S3750" t="n">
        <v>57900</v>
      </c>
      <c r="T3750" t="n">
        <v>374</v>
      </c>
      <c r="AH3750" t="inlineStr">
        <is>
          <t>Quelle: BBVA Inmuebles (Solvia)</t>
        </is>
      </c>
    </row>
    <row r="3751">
      <c r="A3751" t="n">
        <v>3564</v>
      </c>
      <c r="B3751" t="inlineStr">
        <is>
          <t>Piso en Palma de Mallorca</t>
        </is>
      </c>
      <c r="C3751" t="inlineStr">
        <is>
          <t>https://www.bbva.es/personas/hipotecas/inmuebles/inmueble-252973.html</t>
        </is>
      </c>
      <c r="E3751" t="n">
        <v>2</v>
      </c>
      <c r="H3751" t="n">
        <v>55</v>
      </c>
      <c r="J3751" t="inlineStr">
        <is>
          <t>Palma de Mallorca</t>
        </is>
      </c>
      <c r="S3751" t="n">
        <v>75500</v>
      </c>
      <c r="T3751" t="n">
        <v>1373</v>
      </c>
      <c r="AH3751" t="inlineStr">
        <is>
          <t>Quelle: BBVA Inmuebles (Solvia)</t>
        </is>
      </c>
    </row>
    <row r="3752">
      <c r="A3752" t="n">
        <v>3565</v>
      </c>
      <c r="B3752" t="inlineStr">
        <is>
          <t>Piso en Palma de Mallorca</t>
        </is>
      </c>
      <c r="C3752" t="inlineStr">
        <is>
          <t>https://www.bbva.es/personas/hipotecas/inmuebles/inmueble-254915.html</t>
        </is>
      </c>
      <c r="E3752" t="n">
        <v>3</v>
      </c>
      <c r="H3752" t="n">
        <v>67</v>
      </c>
      <c r="J3752" t="inlineStr">
        <is>
          <t>Palma de Mallorca</t>
        </is>
      </c>
      <c r="S3752" t="n">
        <v>76000</v>
      </c>
      <c r="T3752" t="n">
        <v>1134</v>
      </c>
      <c r="AH3752" t="inlineStr">
        <is>
          <t>Quelle: BBVA Inmuebles (Solvia)</t>
        </is>
      </c>
    </row>
    <row r="3753">
      <c r="A3753" t="n">
        <v>3566</v>
      </c>
      <c r="B3753" t="inlineStr">
        <is>
          <t>Apartamento en Palma de Mallorca</t>
        </is>
      </c>
      <c r="C3753" t="inlineStr">
        <is>
          <t>https://www.bbva.es/personas/hipotecas/inmuebles/inmueble-93993.html</t>
        </is>
      </c>
      <c r="H3753" t="n">
        <v>21.29</v>
      </c>
      <c r="J3753" t="inlineStr">
        <is>
          <t>Palma de Mallorca</t>
        </is>
      </c>
      <c r="S3753" t="n">
        <v>86000</v>
      </c>
      <c r="T3753" t="n">
        <v>4039</v>
      </c>
      <c r="AH3753" t="inlineStr">
        <is>
          <t>Quelle: BBVA Inmuebles (Solvia)</t>
        </is>
      </c>
    </row>
    <row r="3754">
      <c r="A3754" t="n">
        <v>3567</v>
      </c>
      <c r="B3754" t="inlineStr">
        <is>
          <t>Hotel en Manacor</t>
        </is>
      </c>
      <c r="C3754" t="inlineStr">
        <is>
          <t>https://www.bbva.es/personas/hipotecas/inmuebles/inmueble-248489.html</t>
        </is>
      </c>
      <c r="E3754" t="n">
        <v>1</v>
      </c>
      <c r="H3754" t="n">
        <v>239.04</v>
      </c>
      <c r="J3754" t="inlineStr">
        <is>
          <t>Manacor</t>
        </is>
      </c>
      <c r="S3754" t="n">
        <v>88000</v>
      </c>
      <c r="T3754" t="n">
        <v>368</v>
      </c>
      <c r="AH3754" t="inlineStr">
        <is>
          <t>Quelle: BBVA Inmuebles (Solvia)</t>
        </is>
      </c>
    </row>
    <row r="3755">
      <c r="A3755" t="n">
        <v>3568</v>
      </c>
      <c r="B3755" t="inlineStr">
        <is>
          <t>Suelo Rústico en Palma de Mallorca</t>
        </is>
      </c>
      <c r="C3755" t="inlineStr">
        <is>
          <t>https://www.bbva.es/personas/hipotecas/inmuebles/inmueble-135269.html</t>
        </is>
      </c>
      <c r="H3755" t="n">
        <v>2000</v>
      </c>
      <c r="J3755" t="inlineStr">
        <is>
          <t>Palma de Mallorca</t>
        </is>
      </c>
      <c r="S3755" t="n">
        <v>89000</v>
      </c>
      <c r="T3755" t="n">
        <v>44</v>
      </c>
      <c r="AH3755" t="inlineStr">
        <is>
          <t>Quelle: BBVA Inmuebles (Solvia)</t>
        </is>
      </c>
    </row>
    <row r="3756">
      <c r="A3756" t="n">
        <v>3569</v>
      </c>
      <c r="B3756" t="inlineStr">
        <is>
          <t>Locales en Manacor</t>
        </is>
      </c>
      <c r="C3756" t="inlineStr">
        <is>
          <t>https://www.bbva.es/personas/hipotecas/inmuebles/inmueble-109727.html</t>
        </is>
      </c>
      <c r="H3756" t="n">
        <v>145</v>
      </c>
      <c r="J3756" t="inlineStr">
        <is>
          <t>Manacor</t>
        </is>
      </c>
      <c r="S3756" t="n">
        <v>89900</v>
      </c>
      <c r="T3756" t="n">
        <v>620</v>
      </c>
      <c r="AH3756" t="inlineStr">
        <is>
          <t>Quelle: BBVA Inmuebles (Solvia)</t>
        </is>
      </c>
    </row>
    <row r="3757">
      <c r="A3757" t="n">
        <v>3570</v>
      </c>
      <c r="B3757" t="inlineStr">
        <is>
          <t>Locales en Palma de Mallorca</t>
        </is>
      </c>
      <c r="C3757" t="inlineStr">
        <is>
          <t>https://www.bbva.es/personas/hipotecas/inmuebles/inmueble-196942.html</t>
        </is>
      </c>
      <c r="H3757" t="n">
        <v>103.81</v>
      </c>
      <c r="J3757" t="inlineStr">
        <is>
          <t>Palma de Mallorca</t>
        </is>
      </c>
      <c r="S3757" t="n">
        <v>90000</v>
      </c>
      <c r="T3757" t="n">
        <v>867</v>
      </c>
      <c r="AH3757" t="inlineStr">
        <is>
          <t>Quelle: BBVA Inmuebles (Solvia)</t>
        </is>
      </c>
    </row>
    <row r="3758">
      <c r="A3758" t="n">
        <v>3571</v>
      </c>
      <c r="B3758" t="inlineStr">
        <is>
          <t>Locales en Calvià</t>
        </is>
      </c>
      <c r="C3758" t="inlineStr">
        <is>
          <t>https://www.bbva.es/personas/hipotecas/inmuebles/inmueble-97185.html</t>
        </is>
      </c>
      <c r="H3758" t="n">
        <v>153.7</v>
      </c>
      <c r="J3758" t="inlineStr">
        <is>
          <t>Calvià</t>
        </is>
      </c>
      <c r="S3758" t="n">
        <v>95000</v>
      </c>
      <c r="T3758" t="n">
        <v>618</v>
      </c>
      <c r="AH3758" t="inlineStr">
        <is>
          <t>Quelle: BBVA Inmuebles (Solvia)</t>
        </is>
      </c>
    </row>
    <row r="3759">
      <c r="A3759" t="n">
        <v>3572</v>
      </c>
      <c r="B3759" t="inlineStr">
        <is>
          <t>Piso en Mahón</t>
        </is>
      </c>
      <c r="C3759" t="inlineStr">
        <is>
          <t>https://www.bbva.es/personas/hipotecas/inmuebles/inmueble-206404.html</t>
        </is>
      </c>
      <c r="E3759" t="n">
        <v>1</v>
      </c>
      <c r="H3759" t="n">
        <v>62</v>
      </c>
      <c r="J3759" t="inlineStr">
        <is>
          <t>Mahón</t>
        </is>
      </c>
      <c r="S3759" t="n">
        <v>100000</v>
      </c>
      <c r="T3759" t="n">
        <v>1613</v>
      </c>
      <c r="AH3759" t="inlineStr">
        <is>
          <t>Quelle: BBVA Inmuebles (Solvia)</t>
        </is>
      </c>
    </row>
    <row r="3760">
      <c r="A3760" t="n">
        <v>3573</v>
      </c>
      <c r="B3760" t="inlineStr">
        <is>
          <t>Suelo (otros) en Capdepera</t>
        </is>
      </c>
      <c r="C3760" t="inlineStr">
        <is>
          <t>https://www.bbva.es/personas/hipotecas/inmuebles/inmueble-251083.html</t>
        </is>
      </c>
      <c r="H3760" t="n">
        <v>402</v>
      </c>
      <c r="J3760" t="inlineStr">
        <is>
          <t>Capdepera</t>
        </is>
      </c>
      <c r="S3760" t="n">
        <v>101000</v>
      </c>
      <c r="T3760" t="n">
        <v>251</v>
      </c>
      <c r="AH3760" t="inlineStr">
        <is>
          <t>Quelle: BBVA Inmuebles (Solvia)</t>
        </is>
      </c>
    </row>
    <row r="3761">
      <c r="A3761" t="n">
        <v>3574</v>
      </c>
      <c r="B3761" t="inlineStr">
        <is>
          <t>Locales en Pobla (Sa)</t>
        </is>
      </c>
      <c r="C3761" t="inlineStr">
        <is>
          <t>https://www.bbva.es/personas/hipotecas/inmuebles/inmueble-248459.html</t>
        </is>
      </c>
      <c r="H3761" t="n">
        <v>207.9</v>
      </c>
      <c r="J3761" t="inlineStr">
        <is>
          <t>Pobla (Sa)</t>
        </is>
      </c>
      <c r="S3761" t="n">
        <v>105000</v>
      </c>
      <c r="T3761" t="n">
        <v>505</v>
      </c>
      <c r="AH3761" t="inlineStr">
        <is>
          <t>Quelle: BBVA Inmuebles (Solvia)</t>
        </is>
      </c>
    </row>
    <row r="3762">
      <c r="A3762" t="n">
        <v>3575</v>
      </c>
      <c r="B3762" t="inlineStr">
        <is>
          <t>Locales en Pobla (Sa)</t>
        </is>
      </c>
      <c r="C3762" t="inlineStr">
        <is>
          <t>https://www.bbva.es/personas/hipotecas/inmuebles/inmueble-269167.html</t>
        </is>
      </c>
      <c r="H3762" t="n">
        <v>207.9</v>
      </c>
      <c r="J3762" t="inlineStr">
        <is>
          <t>Pobla (Sa)</t>
        </is>
      </c>
      <c r="S3762" t="n">
        <v>105000</v>
      </c>
      <c r="T3762" t="n">
        <v>505</v>
      </c>
      <c r="AH3762" t="inlineStr">
        <is>
          <t>Quelle: BBVA Inmuebles (Solvia)</t>
        </is>
      </c>
    </row>
    <row r="3763">
      <c r="A3763" t="n">
        <v>3576</v>
      </c>
      <c r="B3763" t="inlineStr">
        <is>
          <t>Locales en Santanyí</t>
        </is>
      </c>
      <c r="C3763" t="inlineStr">
        <is>
          <t>https://www.bbva.es/personas/hipotecas/inmuebles/inmueble-185817.html</t>
        </is>
      </c>
      <c r="H3763" t="n">
        <v>217</v>
      </c>
      <c r="J3763" t="inlineStr">
        <is>
          <t>Santanyí</t>
        </is>
      </c>
      <c r="S3763" t="n">
        <v>118000</v>
      </c>
      <c r="T3763" t="n">
        <v>544</v>
      </c>
      <c r="AH3763" t="inlineStr">
        <is>
          <t>Quelle: BBVA Inmuebles (Solvia)</t>
        </is>
      </c>
    </row>
    <row r="3764">
      <c r="A3764" t="n">
        <v>3577</v>
      </c>
      <c r="B3764" t="inlineStr">
        <is>
          <t>Locales en Palma de Mallorca</t>
        </is>
      </c>
      <c r="C3764" t="inlineStr">
        <is>
          <t>https://www.bbva.es/personas/hipotecas/inmuebles/inmueble-255957.html</t>
        </is>
      </c>
      <c r="H3764" t="n">
        <v>24.6</v>
      </c>
      <c r="J3764" t="inlineStr">
        <is>
          <t>Palma de Mallorca</t>
        </is>
      </c>
      <c r="S3764" t="n">
        <v>125950</v>
      </c>
      <c r="T3764" t="n">
        <v>5120</v>
      </c>
      <c r="AH3764" t="inlineStr">
        <is>
          <t>Quelle: BBVA Inmuebles (Solvia)</t>
        </is>
      </c>
    </row>
    <row r="3765">
      <c r="A3765" t="n">
        <v>3578</v>
      </c>
      <c r="B3765" t="inlineStr">
        <is>
          <t>Piso en Palma de Mallorca</t>
        </is>
      </c>
      <c r="C3765" t="inlineStr">
        <is>
          <t>https://www.bbva.es/personas/hipotecas/inmuebles/inmueble-201526.html</t>
        </is>
      </c>
      <c r="E3765" t="n">
        <v>3</v>
      </c>
      <c r="H3765" t="n">
        <v>45.82</v>
      </c>
      <c r="J3765" t="inlineStr">
        <is>
          <t>Palma de Mallorca</t>
        </is>
      </c>
      <c r="S3765" t="n">
        <v>132000</v>
      </c>
      <c r="T3765" t="n">
        <v>2881</v>
      </c>
      <c r="AH3765" t="inlineStr">
        <is>
          <t>Quelle: BBVA Inmuebles (Solvia)</t>
        </is>
      </c>
    </row>
    <row r="3766">
      <c r="A3766" t="n">
        <v>3579</v>
      </c>
      <c r="B3766" t="inlineStr">
        <is>
          <t>Piso en Palma de Mallorca</t>
        </is>
      </c>
      <c r="C3766" t="inlineStr">
        <is>
          <t>https://www.bbva.es/personas/hipotecas/inmuebles/inmueble-159602.html</t>
        </is>
      </c>
      <c r="E3766" t="n">
        <v>1</v>
      </c>
      <c r="H3766" t="n">
        <v>90</v>
      </c>
      <c r="J3766" t="inlineStr">
        <is>
          <t>Palma de Mallorca</t>
        </is>
      </c>
      <c r="S3766" t="n">
        <v>139000</v>
      </c>
      <c r="T3766" t="n">
        <v>1544</v>
      </c>
      <c r="AH3766" t="inlineStr">
        <is>
          <t>Quelle: BBVA Inmuebles (Solvia)</t>
        </is>
      </c>
    </row>
    <row r="3767">
      <c r="A3767" t="n">
        <v>3580</v>
      </c>
      <c r="B3767" t="inlineStr">
        <is>
          <t>Locales en Marratxí</t>
        </is>
      </c>
      <c r="C3767" t="inlineStr">
        <is>
          <t>https://www.bbva.es/personas/hipotecas/inmuebles/inmueble-268970.html</t>
        </is>
      </c>
      <c r="H3767" t="n">
        <v>91.84</v>
      </c>
      <c r="J3767" t="inlineStr">
        <is>
          <t>Marratxí</t>
        </is>
      </c>
      <c r="S3767" t="n">
        <v>140000</v>
      </c>
      <c r="T3767" t="n">
        <v>1524</v>
      </c>
      <c r="AH3767" t="inlineStr">
        <is>
          <t>Quelle: BBVA Inmuebles (Solvia)</t>
        </is>
      </c>
    </row>
    <row r="3768">
      <c r="A3768" t="n">
        <v>3581</v>
      </c>
      <c r="B3768" t="inlineStr">
        <is>
          <t>Piso en Palma de Mallorca</t>
        </is>
      </c>
      <c r="C3768" t="inlineStr">
        <is>
          <t>https://www.bbva.es/personas/hipotecas/inmuebles/inmueble-179205.html</t>
        </is>
      </c>
      <c r="E3768" t="n">
        <v>4</v>
      </c>
      <c r="H3768" t="n">
        <v>122</v>
      </c>
      <c r="J3768" t="inlineStr">
        <is>
          <t>Palma de Mallorca</t>
        </is>
      </c>
      <c r="S3768" t="n">
        <v>144719.19</v>
      </c>
      <c r="T3768" t="n">
        <v>1186</v>
      </c>
      <c r="AH3768" t="inlineStr">
        <is>
          <t>Quelle: BBVA Inmuebles (Solvia)</t>
        </is>
      </c>
    </row>
    <row r="3769">
      <c r="A3769" t="n">
        <v>3582</v>
      </c>
      <c r="B3769" t="inlineStr">
        <is>
          <t>Piso en Palma de Mallorca</t>
        </is>
      </c>
      <c r="C3769" t="inlineStr">
        <is>
          <t>https://www.bbva.es/personas/hipotecas/inmuebles/inmueble-183512.html</t>
        </is>
      </c>
      <c r="E3769" t="n">
        <v>1</v>
      </c>
      <c r="H3769" t="n">
        <v>84</v>
      </c>
      <c r="J3769" t="inlineStr">
        <is>
          <t>Palma de Mallorca</t>
        </is>
      </c>
      <c r="S3769" t="n">
        <v>145000</v>
      </c>
      <c r="T3769" t="n">
        <v>1726</v>
      </c>
      <c r="AH3769" t="inlineStr">
        <is>
          <t>Quelle: BBVA Inmuebles (Solvia)</t>
        </is>
      </c>
    </row>
    <row r="3770">
      <c r="A3770" t="n">
        <v>3583</v>
      </c>
      <c r="B3770" t="inlineStr">
        <is>
          <t>Chalet independiente en Llucmajor</t>
        </is>
      </c>
      <c r="C3770" t="inlineStr">
        <is>
          <t>https://www.bbva.es/personas/hipotecas/inmuebles/inmueble-255437.html</t>
        </is>
      </c>
      <c r="E3770" t="n">
        <v>2</v>
      </c>
      <c r="H3770" t="n">
        <v>60.47</v>
      </c>
      <c r="J3770" t="inlineStr">
        <is>
          <t>Llucmajor</t>
        </is>
      </c>
      <c r="S3770" t="n">
        <v>150000</v>
      </c>
      <c r="T3770" t="n">
        <v>2481</v>
      </c>
      <c r="AH3770" t="inlineStr">
        <is>
          <t>Quelle: BBVA Inmuebles (Solvia)</t>
        </is>
      </c>
    </row>
    <row r="3771">
      <c r="A3771" t="n">
        <v>3584</v>
      </c>
      <c r="B3771" t="inlineStr">
        <is>
          <t>Piso en Palma de Mallorca</t>
        </is>
      </c>
      <c r="C3771" t="inlineStr">
        <is>
          <t>https://www.bbva.es/personas/hipotecas/inmuebles/inmueble-182467.html</t>
        </is>
      </c>
      <c r="E3771" t="n">
        <v>3</v>
      </c>
      <c r="H3771" t="n">
        <v>86.5</v>
      </c>
      <c r="J3771" t="inlineStr">
        <is>
          <t>Palma de Mallorca</t>
        </is>
      </c>
      <c r="S3771" t="n">
        <v>150500</v>
      </c>
      <c r="T3771" t="n">
        <v>1740</v>
      </c>
      <c r="AH3771" t="inlineStr">
        <is>
          <t>Quelle: BBVA Inmuebles (Solvia)</t>
        </is>
      </c>
    </row>
    <row r="3772">
      <c r="A3772" t="n">
        <v>3585</v>
      </c>
      <c r="B3772" t="inlineStr">
        <is>
          <t>Piso en Inca</t>
        </is>
      </c>
      <c r="C3772" t="inlineStr">
        <is>
          <t>https://www.bbva.es/personas/hipotecas/inmuebles/inmueble-189388.html</t>
        </is>
      </c>
      <c r="E3772" t="n">
        <v>2</v>
      </c>
      <c r="H3772" t="n">
        <v>85</v>
      </c>
      <c r="J3772" t="inlineStr">
        <is>
          <t>Inca</t>
        </is>
      </c>
      <c r="S3772" t="n">
        <v>154000</v>
      </c>
      <c r="T3772" t="n">
        <v>1812</v>
      </c>
      <c r="AH3772" t="inlineStr">
        <is>
          <t>Quelle: BBVA Inmuebles (Solvia)</t>
        </is>
      </c>
    </row>
    <row r="3773">
      <c r="A3773" t="n">
        <v>3586</v>
      </c>
      <c r="B3773" t="inlineStr">
        <is>
          <t>Piso en Palma de Mallorca</t>
        </is>
      </c>
      <c r="C3773" t="inlineStr">
        <is>
          <t>https://www.bbva.es/personas/hipotecas/inmuebles/inmueble-144510.html</t>
        </is>
      </c>
      <c r="E3773" t="n">
        <v>1</v>
      </c>
      <c r="H3773" t="n">
        <v>77</v>
      </c>
      <c r="J3773" t="inlineStr">
        <is>
          <t>Palma de Mallorca</t>
        </is>
      </c>
      <c r="S3773" t="n">
        <v>160000</v>
      </c>
      <c r="T3773" t="n">
        <v>2078</v>
      </c>
      <c r="AH3773" t="inlineStr">
        <is>
          <t>Quelle: BBVA Inmuebles (Solvia)</t>
        </is>
      </c>
    </row>
    <row r="3774">
      <c r="A3774" t="n">
        <v>3587</v>
      </c>
      <c r="B3774" t="inlineStr">
        <is>
          <t>Piso en Palma de Mallorca</t>
        </is>
      </c>
      <c r="C3774" t="inlineStr">
        <is>
          <t>https://www.bbva.es/personas/hipotecas/inmuebles/inmueble-232275.html</t>
        </is>
      </c>
      <c r="E3774" t="n">
        <v>3</v>
      </c>
      <c r="H3774" t="n">
        <v>70.2</v>
      </c>
      <c r="J3774" t="inlineStr">
        <is>
          <t>Palma de Mallorca</t>
        </is>
      </c>
      <c r="S3774" t="n">
        <v>160300</v>
      </c>
      <c r="T3774" t="n">
        <v>2283</v>
      </c>
      <c r="AH3774" t="inlineStr">
        <is>
          <t>Quelle: BBVA Inmuebles (Solvia)</t>
        </is>
      </c>
    </row>
    <row r="3775">
      <c r="A3775" t="n">
        <v>3588</v>
      </c>
      <c r="B3775" t="inlineStr">
        <is>
          <t>Piso en Mahón</t>
        </is>
      </c>
      <c r="C3775" t="inlineStr">
        <is>
          <t>https://www.bbva.es/personas/hipotecas/inmuebles/inmueble-183558.html</t>
        </is>
      </c>
      <c r="E3775" t="n">
        <v>3</v>
      </c>
      <c r="H3775" t="n">
        <v>106</v>
      </c>
      <c r="J3775" t="inlineStr">
        <is>
          <t>Mahón</t>
        </is>
      </c>
      <c r="S3775" t="n">
        <v>169000</v>
      </c>
      <c r="T3775" t="n">
        <v>1594</v>
      </c>
      <c r="AH3775" t="inlineStr">
        <is>
          <t>Quelle: BBVA Inmuebles (Solvia)</t>
        </is>
      </c>
    </row>
    <row r="3776">
      <c r="A3776" t="n">
        <v>3589</v>
      </c>
      <c r="B3776" t="inlineStr">
        <is>
          <t>Locales en Llucmajor</t>
        </is>
      </c>
      <c r="C3776" t="inlineStr">
        <is>
          <t>https://www.bbva.es/personas/hipotecas/inmuebles/inmueble-263960.html</t>
        </is>
      </c>
      <c r="H3776" t="n">
        <v>142</v>
      </c>
      <c r="J3776" t="inlineStr">
        <is>
          <t>Llucmajor</t>
        </is>
      </c>
      <c r="S3776" t="n">
        <v>173000</v>
      </c>
      <c r="T3776" t="n">
        <v>1218</v>
      </c>
      <c r="AH3776" t="inlineStr">
        <is>
          <t>Quelle: BBVA Inmuebles (Solvia)</t>
        </is>
      </c>
    </row>
    <row r="3777">
      <c r="A3777" t="n">
        <v>3590</v>
      </c>
      <c r="B3777" t="inlineStr">
        <is>
          <t>Locales en Artà</t>
        </is>
      </c>
      <c r="C3777" t="inlineStr">
        <is>
          <t>https://www.bbva.es/personas/hipotecas/inmuebles/inmueble-261477.html</t>
        </is>
      </c>
      <c r="J3777" t="inlineStr">
        <is>
          <t>Artà</t>
        </is>
      </c>
      <c r="S3777" t="n">
        <v>175000</v>
      </c>
      <c r="AH3777" t="inlineStr">
        <is>
          <t>Quelle: BBVA Inmuebles (Solvia)</t>
        </is>
      </c>
    </row>
    <row r="3778">
      <c r="A3778" t="n">
        <v>3591</v>
      </c>
      <c r="B3778" t="inlineStr">
        <is>
          <t>Oficina en Palma de Mallorca</t>
        </is>
      </c>
      <c r="C3778" t="inlineStr">
        <is>
          <t>https://www.bbva.es/personas/hipotecas/inmuebles/inmueble-248571.html</t>
        </is>
      </c>
      <c r="H3778" t="n">
        <v>60</v>
      </c>
      <c r="J3778" t="inlineStr">
        <is>
          <t>Palma de Mallorca</t>
        </is>
      </c>
      <c r="S3778" t="n">
        <v>178500</v>
      </c>
      <c r="T3778" t="n">
        <v>2975</v>
      </c>
      <c r="AH3778" t="inlineStr">
        <is>
          <t>Quelle: BBVA Inmuebles (Solvia)</t>
        </is>
      </c>
    </row>
    <row r="3779">
      <c r="A3779" t="n">
        <v>3592</v>
      </c>
      <c r="B3779" t="inlineStr">
        <is>
          <t>Nave Industrial en Sant Lluís</t>
        </is>
      </c>
      <c r="C3779" t="inlineStr">
        <is>
          <t>https://www.bbva.es/personas/hipotecas/inmuebles/inmueble-250202.html</t>
        </is>
      </c>
      <c r="H3779" t="n">
        <v>228.71</v>
      </c>
      <c r="J3779" t="inlineStr">
        <is>
          <t>Sant Lluís</t>
        </is>
      </c>
      <c r="S3779" t="n">
        <v>180000</v>
      </c>
      <c r="T3779" t="n">
        <v>787</v>
      </c>
      <c r="AH3779" t="inlineStr">
        <is>
          <t>Quelle: BBVA Inmuebles (Solvia)</t>
        </is>
      </c>
    </row>
    <row r="3780">
      <c r="A3780" t="n">
        <v>3593</v>
      </c>
      <c r="B3780" t="inlineStr">
        <is>
          <t>Piso en Manacor</t>
        </is>
      </c>
      <c r="C3780" t="inlineStr">
        <is>
          <t>https://www.bbva.es/personas/hipotecas/inmuebles/inmueble-106229.html</t>
        </is>
      </c>
      <c r="E3780" t="n">
        <v>3</v>
      </c>
      <c r="H3780" t="n">
        <v>89.84</v>
      </c>
      <c r="J3780" t="inlineStr">
        <is>
          <t>Manacor</t>
        </is>
      </c>
      <c r="S3780" t="n">
        <v>184000</v>
      </c>
      <c r="T3780" t="n">
        <v>2048</v>
      </c>
      <c r="AH3780" t="inlineStr">
        <is>
          <t>Quelle: BBVA Inmuebles (Solvia)</t>
        </is>
      </c>
    </row>
    <row r="3781">
      <c r="A3781" t="n">
        <v>3594</v>
      </c>
      <c r="B3781" t="inlineStr">
        <is>
          <t>Piso en Manacor</t>
        </is>
      </c>
      <c r="C3781" t="inlineStr">
        <is>
          <t>https://www.bbva.es/personas/hipotecas/inmuebles/inmueble-56854.html</t>
        </is>
      </c>
      <c r="E3781" t="n">
        <v>3</v>
      </c>
      <c r="H3781" t="n">
        <v>99</v>
      </c>
      <c r="J3781" t="inlineStr">
        <is>
          <t>Manacor</t>
        </is>
      </c>
      <c r="S3781" t="n">
        <v>184000</v>
      </c>
      <c r="T3781" t="n">
        <v>1859</v>
      </c>
      <c r="AH3781" t="inlineStr">
        <is>
          <t>Quelle: BBVA Inmuebles (Solvia)</t>
        </is>
      </c>
    </row>
    <row r="3782">
      <c r="A3782" t="n">
        <v>3595</v>
      </c>
      <c r="B3782" t="inlineStr">
        <is>
          <t>Apartamento en Sant Joan de Labritja</t>
        </is>
      </c>
      <c r="C3782" t="inlineStr">
        <is>
          <t>https://www.bbva.es/personas/hipotecas/inmuebles/inmueble-227265.html</t>
        </is>
      </c>
      <c r="E3782" t="n">
        <v>1</v>
      </c>
      <c r="H3782" t="n">
        <v>40</v>
      </c>
      <c r="J3782" t="inlineStr">
        <is>
          <t>Sant Joan de Labritja</t>
        </is>
      </c>
      <c r="S3782" t="n">
        <v>190000</v>
      </c>
      <c r="T3782" t="n">
        <v>4750</v>
      </c>
      <c r="AH3782" t="inlineStr">
        <is>
          <t>Quelle: BBVA Inmuebles (Solvia)</t>
        </is>
      </c>
    </row>
    <row r="3783">
      <c r="A3783" t="n">
        <v>3596</v>
      </c>
      <c r="B3783" t="inlineStr">
        <is>
          <t>Apartamento en Palma de Mallorca</t>
        </is>
      </c>
      <c r="C3783" t="inlineStr">
        <is>
          <t>https://www.bbva.es/personas/hipotecas/inmuebles/inmueble-98001.html</t>
        </is>
      </c>
      <c r="E3783" t="n">
        <v>1</v>
      </c>
      <c r="H3783" t="n">
        <v>85.89</v>
      </c>
      <c r="J3783" t="inlineStr">
        <is>
          <t>Palma de Mallorca</t>
        </is>
      </c>
      <c r="S3783" t="n">
        <v>190500</v>
      </c>
      <c r="T3783" t="n">
        <v>2218</v>
      </c>
      <c r="AH3783" t="inlineStr">
        <is>
          <t>Quelle: BBVA Inmuebles (Solvia)</t>
        </is>
      </c>
    </row>
    <row r="3784">
      <c r="A3784" t="n">
        <v>3597</v>
      </c>
      <c r="B3784" t="inlineStr">
        <is>
          <t>Otros en Marratxí</t>
        </is>
      </c>
      <c r="C3784" t="inlineStr">
        <is>
          <t>https://www.bbva.es/personas/hipotecas/inmuebles/inmueble-248560.html</t>
        </is>
      </c>
      <c r="H3784" t="n">
        <v>1504</v>
      </c>
      <c r="J3784" t="inlineStr">
        <is>
          <t>Marratxí</t>
        </is>
      </c>
      <c r="S3784" t="n">
        <v>199000</v>
      </c>
      <c r="T3784" t="n">
        <v>132</v>
      </c>
      <c r="AH3784" t="inlineStr">
        <is>
          <t>Quelle: BBVA Inmuebles (Solvia)</t>
        </is>
      </c>
    </row>
    <row r="3785">
      <c r="A3785" t="n">
        <v>3598</v>
      </c>
      <c r="B3785" t="inlineStr">
        <is>
          <t>Piso en Palma de Mallorca</t>
        </is>
      </c>
      <c r="C3785" t="inlineStr">
        <is>
          <t>https://www.bbva.es/personas/hipotecas/inmuebles/inmueble-81246.html</t>
        </is>
      </c>
      <c r="E3785" t="n">
        <v>3</v>
      </c>
      <c r="H3785" t="n">
        <v>61</v>
      </c>
      <c r="J3785" t="inlineStr">
        <is>
          <t>Palma de Mallorca</t>
        </is>
      </c>
      <c r="S3785" t="n">
        <v>208000</v>
      </c>
      <c r="T3785" t="n">
        <v>3410</v>
      </c>
      <c r="AH3785" t="inlineStr">
        <is>
          <t>Quelle: BBVA Inmuebles (Solvia)</t>
        </is>
      </c>
    </row>
    <row r="3786">
      <c r="A3786" t="n">
        <v>3599</v>
      </c>
      <c r="B3786" t="inlineStr">
        <is>
          <t>Piso en Manacor</t>
        </is>
      </c>
      <c r="C3786" t="inlineStr">
        <is>
          <t>https://www.bbva.es/personas/hipotecas/inmuebles/inmueble-100067.html</t>
        </is>
      </c>
      <c r="E3786" t="n">
        <v>3</v>
      </c>
      <c r="H3786" t="n">
        <v>85</v>
      </c>
      <c r="J3786" t="inlineStr">
        <is>
          <t>Manacor</t>
        </is>
      </c>
      <c r="S3786" t="n">
        <v>210000</v>
      </c>
      <c r="T3786" t="n">
        <v>2471</v>
      </c>
      <c r="AH3786" t="inlineStr">
        <is>
          <t>Quelle: BBVA Inmuebles (Solvia)</t>
        </is>
      </c>
    </row>
    <row r="3787">
      <c r="A3787" t="n">
        <v>3600</v>
      </c>
      <c r="B3787" t="inlineStr">
        <is>
          <t>Piso en Inca</t>
        </is>
      </c>
      <c r="C3787" t="inlineStr">
        <is>
          <t>https://www.bbva.es/personas/hipotecas/inmuebles/inmueble-108098.html</t>
        </is>
      </c>
      <c r="E3787" t="n">
        <v>2</v>
      </c>
      <c r="H3787" t="n">
        <v>93</v>
      </c>
      <c r="J3787" t="inlineStr">
        <is>
          <t>Inca</t>
        </is>
      </c>
      <c r="S3787" t="n">
        <v>210000</v>
      </c>
      <c r="T3787" t="n">
        <v>2258</v>
      </c>
      <c r="AH3787" t="inlineStr">
        <is>
          <t>Quelle: BBVA Inmuebles (Solvia)</t>
        </is>
      </c>
    </row>
    <row r="3788">
      <c r="A3788" t="n">
        <v>3601</v>
      </c>
      <c r="B3788" t="inlineStr">
        <is>
          <t>Piso en Palma de Mallorca</t>
        </is>
      </c>
      <c r="C3788" t="inlineStr">
        <is>
          <t>https://www.bbva.es/personas/hipotecas/inmuebles/inmueble-175375.html</t>
        </is>
      </c>
      <c r="E3788" t="n">
        <v>1</v>
      </c>
      <c r="H3788" t="n">
        <v>92</v>
      </c>
      <c r="J3788" t="inlineStr">
        <is>
          <t>Palma de Mallorca</t>
        </is>
      </c>
      <c r="S3788" t="n">
        <v>211000</v>
      </c>
      <c r="T3788" t="n">
        <v>2293</v>
      </c>
      <c r="AH3788" t="inlineStr">
        <is>
          <t>Quelle: BBVA Inmuebles (Solvia)</t>
        </is>
      </c>
    </row>
    <row r="3789">
      <c r="A3789" t="n">
        <v>3602</v>
      </c>
      <c r="B3789" t="inlineStr">
        <is>
          <t>Piso en Palma de Mallorca</t>
        </is>
      </c>
      <c r="C3789" t="inlineStr">
        <is>
          <t>https://www.bbva.es/personas/hipotecas/inmuebles/inmueble-124372.html</t>
        </is>
      </c>
      <c r="E3789" t="n">
        <v>1</v>
      </c>
      <c r="H3789" t="n">
        <v>89.73</v>
      </c>
      <c r="J3789" t="inlineStr">
        <is>
          <t>Palma de Mallorca</t>
        </is>
      </c>
      <c r="S3789" t="n">
        <v>211800</v>
      </c>
      <c r="T3789" t="n">
        <v>2360</v>
      </c>
      <c r="AH3789" t="inlineStr">
        <is>
          <t>Quelle: BBVA Inmuebles (Solvia)</t>
        </is>
      </c>
    </row>
    <row r="3790">
      <c r="A3790" t="n">
        <v>3603</v>
      </c>
      <c r="B3790" t="inlineStr">
        <is>
          <t>Piso en Ciutadella de Menorca</t>
        </is>
      </c>
      <c r="C3790" t="inlineStr">
        <is>
          <t>https://www.bbva.es/personas/hipotecas/inmuebles/inmueble-188082.html</t>
        </is>
      </c>
      <c r="E3790" t="n">
        <v>3</v>
      </c>
      <c r="H3790" t="n">
        <v>67.5</v>
      </c>
      <c r="J3790" t="inlineStr">
        <is>
          <t>Ciutadella de Menorca</t>
        </is>
      </c>
      <c r="S3790" t="n">
        <v>215000</v>
      </c>
      <c r="T3790" t="n">
        <v>3185</v>
      </c>
      <c r="AH3790" t="inlineStr">
        <is>
          <t>Quelle: BBVA Inmuebles (Solvia)</t>
        </is>
      </c>
    </row>
    <row r="3791">
      <c r="A3791" t="n">
        <v>3604</v>
      </c>
      <c r="B3791" t="inlineStr">
        <is>
          <t>Piso en Sant Josep de sa Talaia</t>
        </is>
      </c>
      <c r="C3791" t="inlineStr">
        <is>
          <t>https://www.bbva.es/personas/hipotecas/inmuebles/inmueble-192054.html</t>
        </is>
      </c>
      <c r="E3791" t="n">
        <v>1</v>
      </c>
      <c r="H3791" t="n">
        <v>65.02</v>
      </c>
      <c r="J3791" t="inlineStr">
        <is>
          <t>Sant Josep de sa Talaia</t>
        </is>
      </c>
      <c r="S3791" t="n">
        <v>219000</v>
      </c>
      <c r="T3791" t="n">
        <v>3368</v>
      </c>
      <c r="AH3791" t="inlineStr">
        <is>
          <t>Quelle: BBVA Inmuebles (Solvia)</t>
        </is>
      </c>
    </row>
    <row r="3792">
      <c r="A3792" t="n">
        <v>3605</v>
      </c>
      <c r="B3792" t="inlineStr">
        <is>
          <t>Piso en Manacor</t>
        </is>
      </c>
      <c r="C3792" t="inlineStr">
        <is>
          <t>https://www.bbva.es/personas/hipotecas/inmuebles/inmueble-252718.html</t>
        </is>
      </c>
      <c r="E3792" t="n">
        <v>2</v>
      </c>
      <c r="H3792" t="n">
        <v>112.2</v>
      </c>
      <c r="J3792" t="inlineStr">
        <is>
          <t>Manacor</t>
        </is>
      </c>
      <c r="S3792" t="n">
        <v>220100</v>
      </c>
      <c r="T3792" t="n">
        <v>1962</v>
      </c>
      <c r="AH3792" t="inlineStr">
        <is>
          <t>Quelle: BBVA Inmuebles (Solvia)</t>
        </is>
      </c>
    </row>
    <row r="3793">
      <c r="A3793" t="n">
        <v>3606</v>
      </c>
      <c r="B3793" t="inlineStr">
        <is>
          <t>Piso en Palma de Mallorca</t>
        </is>
      </c>
      <c r="C3793" t="inlineStr">
        <is>
          <t>https://www.bbva.es/personas/hipotecas/inmuebles/inmueble-83830.html</t>
        </is>
      </c>
      <c r="E3793" t="n">
        <v>3</v>
      </c>
      <c r="H3793" t="n">
        <v>116.09</v>
      </c>
      <c r="J3793" t="inlineStr">
        <is>
          <t>Palma de Mallorca</t>
        </is>
      </c>
      <c r="S3793" t="n">
        <v>222000</v>
      </c>
      <c r="T3793" t="n">
        <v>1912</v>
      </c>
      <c r="AH3793" t="inlineStr">
        <is>
          <t>Quelle: BBVA Inmuebles (Solvia)</t>
        </is>
      </c>
    </row>
    <row r="3794">
      <c r="A3794" t="n">
        <v>3607</v>
      </c>
      <c r="B3794" t="inlineStr">
        <is>
          <t>Piso en Llucmajor</t>
        </is>
      </c>
      <c r="C3794" t="inlineStr">
        <is>
          <t>https://www.bbva.es/personas/hipotecas/inmuebles/inmueble-247694.html</t>
        </is>
      </c>
      <c r="E3794" t="n">
        <v>1</v>
      </c>
      <c r="H3794" t="n">
        <v>79.2</v>
      </c>
      <c r="J3794" t="inlineStr">
        <is>
          <t>Llucmajor</t>
        </is>
      </c>
      <c r="S3794" t="n">
        <v>229000</v>
      </c>
      <c r="T3794" t="n">
        <v>2891</v>
      </c>
      <c r="AH3794" t="inlineStr">
        <is>
          <t>Quelle: BBVA Inmuebles (Solvia)</t>
        </is>
      </c>
    </row>
    <row r="3795">
      <c r="A3795" t="n">
        <v>3608</v>
      </c>
      <c r="B3795" t="inlineStr">
        <is>
          <t>Suelo Rústico en Palma de Mallorca</t>
        </is>
      </c>
      <c r="C3795" t="inlineStr">
        <is>
          <t>https://www.bbva.es/personas/hipotecas/inmuebles/inmueble-190522.html</t>
        </is>
      </c>
      <c r="H3795" t="n">
        <v>11840</v>
      </c>
      <c r="J3795" t="inlineStr">
        <is>
          <t>Palma de Mallorca</t>
        </is>
      </c>
      <c r="S3795" t="n">
        <v>238000</v>
      </c>
      <c r="T3795" t="n">
        <v>20</v>
      </c>
      <c r="AH3795" t="inlineStr">
        <is>
          <t>Quelle: BBVA Inmuebles (Solvia)</t>
        </is>
      </c>
    </row>
    <row r="3796">
      <c r="A3796" t="n">
        <v>3609</v>
      </c>
      <c r="B3796" t="inlineStr">
        <is>
          <t>Casa en Mahón</t>
        </is>
      </c>
      <c r="C3796" t="inlineStr">
        <is>
          <t>https://www.bbva.es/personas/hipotecas/inmuebles/inmueble-98719.html</t>
        </is>
      </c>
      <c r="E3796" t="n">
        <v>6</v>
      </c>
      <c r="H3796" t="n">
        <v>172</v>
      </c>
      <c r="J3796" t="inlineStr">
        <is>
          <t>Mahón</t>
        </is>
      </c>
      <c r="K3796" t="n">
        <v>214.2</v>
      </c>
      <c r="L3796" t="n">
        <v>386</v>
      </c>
      <c r="M3796" t="n">
        <v>257</v>
      </c>
      <c r="N3796" t="n">
        <v>419</v>
      </c>
      <c r="O3796" t="n">
        <v>228.2</v>
      </c>
      <c r="P3796" t="n">
        <v>391</v>
      </c>
      <c r="Q3796" t="n">
        <v>254.7</v>
      </c>
      <c r="R3796" t="n">
        <v>416</v>
      </c>
      <c r="S3796" t="n">
        <v>238000</v>
      </c>
      <c r="T3796" t="n">
        <v>1384</v>
      </c>
      <c r="AH3796" t="inlineStr">
        <is>
          <t>Quelle: BBVA Inmuebles (Solvia)</t>
        </is>
      </c>
    </row>
    <row r="3797">
      <c r="A3797" t="n">
        <v>3610</v>
      </c>
      <c r="B3797" t="inlineStr">
        <is>
          <t>Piso en Palma de Mallorca</t>
        </is>
      </c>
      <c r="C3797" t="inlineStr">
        <is>
          <t>https://www.bbva.es/personas/hipotecas/inmuebles/inmueble-18036.html</t>
        </is>
      </c>
      <c r="E3797" t="n">
        <v>3</v>
      </c>
      <c r="H3797" t="n">
        <v>76</v>
      </c>
      <c r="J3797" t="inlineStr">
        <is>
          <t>Palma de Mallorca</t>
        </is>
      </c>
      <c r="S3797" t="n">
        <v>242000</v>
      </c>
      <c r="T3797" t="n">
        <v>3184</v>
      </c>
      <c r="AH3797" t="inlineStr">
        <is>
          <t>Quelle: BBVA Inmuebles (Solvia)</t>
        </is>
      </c>
    </row>
    <row r="3798">
      <c r="A3798" t="n">
        <v>3611</v>
      </c>
      <c r="B3798" t="inlineStr">
        <is>
          <t>Chalet adosado en Santa Margalida</t>
        </is>
      </c>
      <c r="C3798" t="inlineStr">
        <is>
          <t>https://www.bbva.es/personas/hipotecas/inmuebles/inmueble-149567.html</t>
        </is>
      </c>
      <c r="E3798" t="n">
        <v>4</v>
      </c>
      <c r="H3798" t="n">
        <v>337.9</v>
      </c>
      <c r="J3798" t="inlineStr">
        <is>
          <t>Santa Margalida</t>
        </is>
      </c>
      <c r="S3798" t="n">
        <v>245000</v>
      </c>
      <c r="T3798" t="n">
        <v>725</v>
      </c>
      <c r="AH3798" t="inlineStr">
        <is>
          <t>Quelle: BBVA Inmuebles (Solvia)</t>
        </is>
      </c>
    </row>
    <row r="3799">
      <c r="A3799" t="n">
        <v>3612</v>
      </c>
      <c r="B3799" t="inlineStr">
        <is>
          <t>Piso en Mercadal (Es)</t>
        </is>
      </c>
      <c r="C3799" t="inlineStr">
        <is>
          <t>https://www.bbva.es/personas/hipotecas/inmuebles/inmueble-265196.html</t>
        </is>
      </c>
      <c r="E3799" t="n">
        <v>2</v>
      </c>
      <c r="H3799" t="n">
        <v>69.12</v>
      </c>
      <c r="J3799" t="inlineStr">
        <is>
          <t>Mercadal (Es)</t>
        </is>
      </c>
      <c r="S3799" t="n">
        <v>246500</v>
      </c>
      <c r="T3799" t="n">
        <v>3566</v>
      </c>
      <c r="AH3799" t="inlineStr">
        <is>
          <t>Quelle: BBVA Inmuebles (Solvia)</t>
        </is>
      </c>
    </row>
    <row r="3800">
      <c r="A3800" t="n">
        <v>3613</v>
      </c>
      <c r="B3800" t="inlineStr">
        <is>
          <t>Piso en Palma de Mallorca</t>
        </is>
      </c>
      <c r="C3800" t="inlineStr">
        <is>
          <t>https://www.bbva.es/personas/hipotecas/inmuebles/inmueble-106432.html</t>
        </is>
      </c>
      <c r="E3800" t="n">
        <v>1</v>
      </c>
      <c r="H3800" t="n">
        <v>78.40000000000001</v>
      </c>
      <c r="J3800" t="inlineStr">
        <is>
          <t>Palma de Mallorca</t>
        </is>
      </c>
      <c r="S3800" t="n">
        <v>255000</v>
      </c>
      <c r="T3800" t="n">
        <v>3253</v>
      </c>
      <c r="AH3800" t="inlineStr">
        <is>
          <t>Quelle: BBVA Inmuebles (Solvia)</t>
        </is>
      </c>
    </row>
    <row r="3801">
      <c r="A3801" t="n">
        <v>3614</v>
      </c>
      <c r="B3801" t="inlineStr">
        <is>
          <t>Piso en Palma de Mallorca</t>
        </is>
      </c>
      <c r="C3801" t="inlineStr">
        <is>
          <t>https://www.bbva.es/personas/hipotecas/inmuebles/inmueble-239303.html</t>
        </is>
      </c>
      <c r="E3801" t="n">
        <v>2</v>
      </c>
      <c r="H3801" t="n">
        <v>74</v>
      </c>
      <c r="J3801" t="inlineStr">
        <is>
          <t>Palma de Mallorca</t>
        </is>
      </c>
      <c r="S3801" t="n">
        <v>255300</v>
      </c>
      <c r="T3801" t="n">
        <v>3450</v>
      </c>
      <c r="AH3801" t="inlineStr">
        <is>
          <t>Quelle: BBVA Inmuebles (Solvia)</t>
        </is>
      </c>
    </row>
    <row r="3802">
      <c r="A3802" t="n">
        <v>3615</v>
      </c>
      <c r="B3802" t="inlineStr">
        <is>
          <t>Piso en Palma de Mallorca</t>
        </is>
      </c>
      <c r="C3802" t="inlineStr">
        <is>
          <t>https://www.bbva.es/personas/hipotecas/inmuebles/inmueble-14686.html</t>
        </is>
      </c>
      <c r="E3802" t="n">
        <v>3</v>
      </c>
      <c r="H3802" t="n">
        <v>88.15000000000001</v>
      </c>
      <c r="J3802" t="inlineStr">
        <is>
          <t>Palma de Mallorca</t>
        </is>
      </c>
      <c r="S3802" t="n">
        <v>260000</v>
      </c>
      <c r="T3802" t="n">
        <v>2950</v>
      </c>
      <c r="AH3802" t="inlineStr">
        <is>
          <t>Quelle: BBVA Inmuebles (Solvia)</t>
        </is>
      </c>
    </row>
    <row r="3803">
      <c r="A3803" t="n">
        <v>3616</v>
      </c>
      <c r="B3803" t="inlineStr">
        <is>
          <t>Piso en Marratxí</t>
        </is>
      </c>
      <c r="C3803" t="inlineStr">
        <is>
          <t>https://www.bbva.es/personas/hipotecas/inmuebles/inmueble-264110.html</t>
        </is>
      </c>
      <c r="E3803" t="n">
        <v>1</v>
      </c>
      <c r="H3803" t="n">
        <v>65.65000000000001</v>
      </c>
      <c r="J3803" t="inlineStr">
        <is>
          <t>Marratxí</t>
        </is>
      </c>
      <c r="S3803" t="n">
        <v>265000</v>
      </c>
      <c r="T3803" t="n">
        <v>4037</v>
      </c>
      <c r="AH3803" t="inlineStr">
        <is>
          <t>Quelle: BBVA Inmuebles (Solvia)</t>
        </is>
      </c>
    </row>
    <row r="3804">
      <c r="A3804" t="n">
        <v>3617</v>
      </c>
      <c r="B3804" t="inlineStr">
        <is>
          <t>Piso en Palma de Mallorca</t>
        </is>
      </c>
      <c r="C3804" t="inlineStr">
        <is>
          <t>https://www.bbva.es/personas/hipotecas/inmuebles/inmueble-118038.html</t>
        </is>
      </c>
      <c r="E3804" t="n">
        <v>3</v>
      </c>
      <c r="H3804" t="n">
        <v>69.70999999999999</v>
      </c>
      <c r="J3804" t="inlineStr">
        <is>
          <t>Palma de Mallorca</t>
        </is>
      </c>
      <c r="S3804" t="n">
        <v>266000</v>
      </c>
      <c r="T3804" t="n">
        <v>3816</v>
      </c>
      <c r="AH3804" t="inlineStr">
        <is>
          <t>Quelle: BBVA Inmuebles (Solvia)</t>
        </is>
      </c>
    </row>
    <row r="3805">
      <c r="A3805" t="n">
        <v>3618</v>
      </c>
      <c r="B3805" t="inlineStr">
        <is>
          <t>Piso en Palma de Mallorca</t>
        </is>
      </c>
      <c r="C3805" t="inlineStr">
        <is>
          <t>https://www.bbva.es/personas/hipotecas/inmuebles/inmueble-87306.html</t>
        </is>
      </c>
      <c r="E3805" t="n">
        <v>2</v>
      </c>
      <c r="H3805" t="n">
        <v>70</v>
      </c>
      <c r="J3805" t="inlineStr">
        <is>
          <t>Palma de Mallorca</t>
        </is>
      </c>
      <c r="S3805" t="n">
        <v>266000</v>
      </c>
      <c r="T3805" t="n">
        <v>3800</v>
      </c>
      <c r="AH3805" t="inlineStr">
        <is>
          <t>Quelle: BBVA Inmuebles (Solvia)</t>
        </is>
      </c>
    </row>
    <row r="3806">
      <c r="A3806" t="n">
        <v>3619</v>
      </c>
      <c r="B3806" t="inlineStr">
        <is>
          <t>Dúplex en Mahón</t>
        </is>
      </c>
      <c r="C3806" t="inlineStr">
        <is>
          <t>https://www.bbva.es/personas/hipotecas/inmuebles/inmueble-192099.html</t>
        </is>
      </c>
      <c r="E3806" t="n">
        <v>3</v>
      </c>
      <c r="H3806" t="n">
        <v>204</v>
      </c>
      <c r="J3806" t="inlineStr">
        <is>
          <t>Mahón</t>
        </is>
      </c>
      <c r="S3806" t="n">
        <v>268000</v>
      </c>
      <c r="T3806" t="n">
        <v>1314</v>
      </c>
      <c r="AH3806" t="inlineStr">
        <is>
          <t>Quelle: BBVA Inmuebles (Solvia)</t>
        </is>
      </c>
    </row>
    <row r="3807">
      <c r="A3807" t="n">
        <v>3620</v>
      </c>
      <c r="B3807" t="inlineStr">
        <is>
          <t>Piso en Palma de Mallorca</t>
        </is>
      </c>
      <c r="C3807" t="inlineStr">
        <is>
          <t>https://www.bbva.es/personas/hipotecas/inmuebles/inmueble-162312.html</t>
        </is>
      </c>
      <c r="E3807" t="n">
        <v>3</v>
      </c>
      <c r="H3807" t="n">
        <v>77.90000000000001</v>
      </c>
      <c r="J3807" t="inlineStr">
        <is>
          <t>Palma de Mallorca</t>
        </is>
      </c>
      <c r="S3807" t="n">
        <v>269000</v>
      </c>
      <c r="T3807" t="n">
        <v>3453</v>
      </c>
      <c r="AH3807" t="inlineStr">
        <is>
          <t>Quelle: BBVA Inmuebles (Solvia)</t>
        </is>
      </c>
    </row>
    <row r="3808">
      <c r="A3808" t="n">
        <v>3621</v>
      </c>
      <c r="B3808" t="inlineStr">
        <is>
          <t>Piso en Manacor</t>
        </is>
      </c>
      <c r="C3808" t="inlineStr">
        <is>
          <t>https://www.bbva.es/personas/hipotecas/inmuebles/inmueble-111380.html</t>
        </is>
      </c>
      <c r="E3808" t="n">
        <v>3</v>
      </c>
      <c r="H3808" t="n">
        <v>83.56</v>
      </c>
      <c r="J3808" t="inlineStr">
        <is>
          <t>Manacor</t>
        </is>
      </c>
      <c r="S3808" t="n">
        <v>269000</v>
      </c>
      <c r="T3808" t="n">
        <v>3219</v>
      </c>
      <c r="AH3808" t="inlineStr">
        <is>
          <t>Quelle: BBVA Inmuebles (Solvia)</t>
        </is>
      </c>
    </row>
    <row r="3809">
      <c r="A3809" t="n">
        <v>3622</v>
      </c>
      <c r="B3809" t="inlineStr">
        <is>
          <t>Piso en Manacor</t>
        </is>
      </c>
      <c r="C3809" t="inlineStr">
        <is>
          <t>https://www.bbva.es/personas/hipotecas/inmuebles/inmueble-97242.html</t>
        </is>
      </c>
      <c r="E3809" t="n">
        <v>3</v>
      </c>
      <c r="H3809" t="n">
        <v>128</v>
      </c>
      <c r="J3809" t="inlineStr">
        <is>
          <t>Manacor</t>
        </is>
      </c>
      <c r="S3809" t="n">
        <v>275000</v>
      </c>
      <c r="T3809" t="n">
        <v>2148</v>
      </c>
      <c r="AH3809" t="inlineStr">
        <is>
          <t>Quelle: BBVA Inmuebles (Solvia)</t>
        </is>
      </c>
    </row>
    <row r="3810">
      <c r="A3810" t="n">
        <v>3623</v>
      </c>
      <c r="B3810" t="inlineStr">
        <is>
          <t>Piso en Palma de Mallorca</t>
        </is>
      </c>
      <c r="C3810" t="inlineStr">
        <is>
          <t>https://www.bbva.es/personas/hipotecas/inmuebles/inmueble-85934.html</t>
        </is>
      </c>
      <c r="E3810" t="n">
        <v>3</v>
      </c>
      <c r="H3810" t="n">
        <v>88.25</v>
      </c>
      <c r="J3810" t="inlineStr">
        <is>
          <t>Palma de Mallorca</t>
        </is>
      </c>
      <c r="S3810" t="n">
        <v>278000</v>
      </c>
      <c r="T3810" t="n">
        <v>3150</v>
      </c>
      <c r="AH3810" t="inlineStr">
        <is>
          <t>Quelle: BBVA Inmuebles (Solvia)</t>
        </is>
      </c>
    </row>
    <row r="3811">
      <c r="A3811" t="n">
        <v>3624</v>
      </c>
      <c r="B3811" t="inlineStr">
        <is>
          <t>Piso en Palma de Mallorca</t>
        </is>
      </c>
      <c r="C3811" t="inlineStr">
        <is>
          <t>https://www.bbva.es/personas/hipotecas/inmuebles/inmueble-60139.html</t>
        </is>
      </c>
      <c r="E3811" t="n">
        <v>3</v>
      </c>
      <c r="H3811" t="n">
        <v>64.2</v>
      </c>
      <c r="J3811" t="inlineStr">
        <is>
          <t>Palma de Mallorca</t>
        </is>
      </c>
      <c r="S3811" t="n">
        <v>278000</v>
      </c>
      <c r="T3811" t="n">
        <v>4330</v>
      </c>
      <c r="AH3811" t="inlineStr">
        <is>
          <t>Quelle: BBVA Inmuebles (Solvia)</t>
        </is>
      </c>
    </row>
    <row r="3812">
      <c r="A3812" t="n">
        <v>3625</v>
      </c>
      <c r="B3812" t="inlineStr">
        <is>
          <t>Piso en Palma de Mallorca</t>
        </is>
      </c>
      <c r="C3812" t="inlineStr">
        <is>
          <t>https://www.bbva.es/personas/hipotecas/inmuebles/inmueble-137549.html</t>
        </is>
      </c>
      <c r="E3812" t="n">
        <v>3</v>
      </c>
      <c r="H3812" t="n">
        <v>90.09999999999999</v>
      </c>
      <c r="J3812" t="inlineStr">
        <is>
          <t>Palma de Mallorca</t>
        </is>
      </c>
      <c r="S3812" t="n">
        <v>278000</v>
      </c>
      <c r="T3812" t="n">
        <v>3085</v>
      </c>
      <c r="AH3812" t="inlineStr">
        <is>
          <t>Quelle: BBVA Inmuebles (Solvia)</t>
        </is>
      </c>
    </row>
    <row r="3813">
      <c r="A3813" t="n">
        <v>3626</v>
      </c>
      <c r="B3813" t="inlineStr">
        <is>
          <t>Piso en Palma de Mallorca</t>
        </is>
      </c>
      <c r="C3813" t="inlineStr">
        <is>
          <t>https://www.bbva.es/personas/hipotecas/inmuebles/inmueble-77774.html</t>
        </is>
      </c>
      <c r="E3813" t="n">
        <v>3</v>
      </c>
      <c r="H3813" t="n">
        <v>86.31</v>
      </c>
      <c r="J3813" t="inlineStr">
        <is>
          <t>Palma de Mallorca</t>
        </is>
      </c>
      <c r="S3813" t="n">
        <v>280000</v>
      </c>
      <c r="T3813" t="n">
        <v>3244</v>
      </c>
      <c r="AH3813" t="inlineStr">
        <is>
          <t>Quelle: BBVA Inmuebles (Solvia)</t>
        </is>
      </c>
    </row>
    <row r="3814">
      <c r="A3814" t="n">
        <v>3627</v>
      </c>
      <c r="B3814" t="inlineStr">
        <is>
          <t>Piso en Palma de Mallorca</t>
        </is>
      </c>
      <c r="C3814" t="inlineStr">
        <is>
          <t>https://www.bbva.es/personas/hipotecas/inmuebles/inmueble-117979.html</t>
        </is>
      </c>
      <c r="E3814" t="n">
        <v>3</v>
      </c>
      <c r="H3814" t="n">
        <v>68</v>
      </c>
      <c r="J3814" t="inlineStr">
        <is>
          <t>Palma de Mallorca</t>
        </is>
      </c>
      <c r="S3814" t="n">
        <v>289000</v>
      </c>
      <c r="T3814" t="n">
        <v>4250</v>
      </c>
      <c r="AH3814" t="inlineStr">
        <is>
          <t>Quelle: BBVA Inmuebles (Solvia)</t>
        </is>
      </c>
    </row>
    <row r="3815">
      <c r="A3815" t="n">
        <v>3628</v>
      </c>
      <c r="B3815" t="inlineStr">
        <is>
          <t>Piso en Palma de Mallorca</t>
        </is>
      </c>
      <c r="C3815" t="inlineStr">
        <is>
          <t>https://www.bbva.es/personas/hipotecas/inmuebles/inmueble-88174.html</t>
        </is>
      </c>
      <c r="E3815" t="n">
        <v>3</v>
      </c>
      <c r="H3815" t="n">
        <v>78.53</v>
      </c>
      <c r="J3815" t="inlineStr">
        <is>
          <t>Palma de Mallorca</t>
        </is>
      </c>
      <c r="S3815" t="n">
        <v>289000</v>
      </c>
      <c r="T3815" t="n">
        <v>3680</v>
      </c>
      <c r="AH3815" t="inlineStr">
        <is>
          <t>Quelle: BBVA Inmuebles (Solvia)</t>
        </is>
      </c>
    </row>
    <row r="3816">
      <c r="A3816" t="n">
        <v>3629</v>
      </c>
      <c r="B3816" t="inlineStr">
        <is>
          <t>Piso en Palma de Mallorca</t>
        </is>
      </c>
      <c r="C3816" t="inlineStr">
        <is>
          <t>https://www.bbva.es/personas/hipotecas/inmuebles/inmueble-115862.html</t>
        </is>
      </c>
      <c r="E3816" t="n">
        <v>3</v>
      </c>
      <c r="H3816" t="n">
        <v>102.71</v>
      </c>
      <c r="J3816" t="inlineStr">
        <is>
          <t>Palma de Mallorca</t>
        </is>
      </c>
      <c r="S3816" t="n">
        <v>289000</v>
      </c>
      <c r="T3816" t="n">
        <v>2814</v>
      </c>
      <c r="AH3816" t="inlineStr">
        <is>
          <t>Quelle: BBVA Inmuebles (Solvia)</t>
        </is>
      </c>
    </row>
    <row r="3817">
      <c r="A3817" t="n">
        <v>3630</v>
      </c>
      <c r="B3817" t="inlineStr">
        <is>
          <t>Piso en Palma de Mallorca</t>
        </is>
      </c>
      <c r="C3817" t="inlineStr">
        <is>
          <t>https://www.bbva.es/personas/hipotecas/inmuebles/inmueble-81470.html</t>
        </is>
      </c>
      <c r="E3817" t="n">
        <v>2</v>
      </c>
      <c r="H3817" t="n">
        <v>90.40000000000001</v>
      </c>
      <c r="J3817" t="inlineStr">
        <is>
          <t>Palma de Mallorca</t>
        </is>
      </c>
      <c r="S3817" t="n">
        <v>289000</v>
      </c>
      <c r="T3817" t="n">
        <v>3197</v>
      </c>
      <c r="AH3817" t="inlineStr">
        <is>
          <t>Quelle: BBVA Inmuebles (Solvia)</t>
        </is>
      </c>
    </row>
    <row r="3818">
      <c r="A3818" t="n">
        <v>3631</v>
      </c>
      <c r="B3818" t="inlineStr">
        <is>
          <t>Piso en Palma de Mallorca</t>
        </is>
      </c>
      <c r="C3818" t="inlineStr">
        <is>
          <t>https://www.bbva.es/personas/hipotecas/inmuebles/inmueble-137656.html</t>
        </is>
      </c>
      <c r="E3818" t="n">
        <v>2</v>
      </c>
      <c r="H3818" t="n">
        <v>74</v>
      </c>
      <c r="J3818" t="inlineStr">
        <is>
          <t>Palma de Mallorca</t>
        </is>
      </c>
      <c r="S3818" t="n">
        <v>290000</v>
      </c>
      <c r="T3818" t="n">
        <v>3919</v>
      </c>
      <c r="AH3818" t="inlineStr">
        <is>
          <t>Quelle: BBVA Inmuebles (Solvia)</t>
        </is>
      </c>
    </row>
    <row r="3819">
      <c r="A3819" t="n">
        <v>3632</v>
      </c>
      <c r="B3819" t="inlineStr">
        <is>
          <t>Piso en Palma de Mallorca</t>
        </is>
      </c>
      <c r="C3819" t="inlineStr">
        <is>
          <t>https://www.bbva.es/personas/hipotecas/inmuebles/inmueble-73834.html</t>
        </is>
      </c>
      <c r="H3819" t="n">
        <v>93.18000000000001</v>
      </c>
      <c r="J3819" t="inlineStr">
        <is>
          <t>Palma de Mallorca</t>
        </is>
      </c>
      <c r="S3819" t="n">
        <v>290000</v>
      </c>
      <c r="T3819" t="n">
        <v>3112</v>
      </c>
      <c r="AH3819" t="inlineStr">
        <is>
          <t>Quelle: BBVA Inmuebles (Solvia)</t>
        </is>
      </c>
    </row>
    <row r="3820">
      <c r="A3820" t="n">
        <v>3633</v>
      </c>
      <c r="B3820" t="inlineStr">
        <is>
          <t>Oficina en Palma de Mallorca</t>
        </is>
      </c>
      <c r="C3820" t="inlineStr">
        <is>
          <t>https://www.bbva.es/personas/hipotecas/inmuebles/inmueble-101007.html</t>
        </is>
      </c>
      <c r="H3820" t="n">
        <v>320.32</v>
      </c>
      <c r="J3820" t="inlineStr">
        <is>
          <t>Palma de Mallorca</t>
        </is>
      </c>
      <c r="S3820" t="n">
        <v>292000</v>
      </c>
      <c r="T3820" t="n">
        <v>912</v>
      </c>
      <c r="AH3820" t="inlineStr">
        <is>
          <t>Quelle: BBVA Inmuebles (Solvia)</t>
        </is>
      </c>
    </row>
    <row r="3821">
      <c r="A3821" t="n">
        <v>3634</v>
      </c>
      <c r="B3821" t="inlineStr">
        <is>
          <t>En Construccion en Alaior</t>
        </is>
      </c>
      <c r="C3821" t="inlineStr">
        <is>
          <t>https://www.bbva.es/personas/hipotecas/inmuebles/inmueble-262352.html</t>
        </is>
      </c>
      <c r="E3821" t="n">
        <v>4</v>
      </c>
      <c r="H3821" t="n">
        <v>244.05</v>
      </c>
      <c r="J3821" t="inlineStr">
        <is>
          <t>Alaior</t>
        </is>
      </c>
      <c r="S3821" t="n">
        <v>295000</v>
      </c>
      <c r="T3821" t="n">
        <v>1209</v>
      </c>
      <c r="AH3821" t="inlineStr">
        <is>
          <t>Quelle: BBVA Inmuebles (Solvia)</t>
        </is>
      </c>
    </row>
    <row r="3822">
      <c r="A3822" t="n">
        <v>3635</v>
      </c>
      <c r="B3822" t="inlineStr">
        <is>
          <t>Piso en Manacor</t>
        </is>
      </c>
      <c r="C3822" t="inlineStr">
        <is>
          <t>https://www.bbva.es/personas/hipotecas/inmuebles/inmueble-253250.html</t>
        </is>
      </c>
      <c r="E3822" t="n">
        <v>4</v>
      </c>
      <c r="H3822" t="n">
        <v>111.02</v>
      </c>
      <c r="J3822" t="inlineStr">
        <is>
          <t>Manacor</t>
        </is>
      </c>
      <c r="S3822" t="n">
        <v>296700</v>
      </c>
      <c r="T3822" t="n">
        <v>2672</v>
      </c>
      <c r="AH3822" t="inlineStr">
        <is>
          <t>Quelle: BBVA Inmuebles (Solvia)</t>
        </is>
      </c>
    </row>
    <row r="3823">
      <c r="A3823" t="n">
        <v>3636</v>
      </c>
      <c r="B3823" t="inlineStr">
        <is>
          <t>En Construccion en Felanitx</t>
        </is>
      </c>
      <c r="C3823" t="inlineStr">
        <is>
          <t>https://www.bbva.es/personas/hipotecas/inmuebles/inmueble-204692.html</t>
        </is>
      </c>
      <c r="E3823" t="n">
        <v>2</v>
      </c>
      <c r="H3823" t="n">
        <v>281.15</v>
      </c>
      <c r="J3823" t="inlineStr">
        <is>
          <t>Felanitx</t>
        </is>
      </c>
      <c r="S3823" t="n">
        <v>297000</v>
      </c>
      <c r="T3823" t="n">
        <v>1056</v>
      </c>
      <c r="AH3823" t="inlineStr">
        <is>
          <t>Quelle: BBVA Inmuebles (Solvia)</t>
        </is>
      </c>
    </row>
    <row r="3824">
      <c r="A3824" t="n">
        <v>3637</v>
      </c>
      <c r="B3824" t="inlineStr">
        <is>
          <t>Piso en Palma de Mallorca</t>
        </is>
      </c>
      <c r="C3824" t="inlineStr">
        <is>
          <t>https://www.bbva.es/personas/hipotecas/inmuebles/inmueble-103522.html</t>
        </is>
      </c>
      <c r="E3824" t="n">
        <v>4</v>
      </c>
      <c r="H3824" t="n">
        <v>105.7</v>
      </c>
      <c r="J3824" t="inlineStr">
        <is>
          <t>Palma de Mallorca</t>
        </is>
      </c>
      <c r="S3824" t="n">
        <v>299000</v>
      </c>
      <c r="T3824" t="n">
        <v>2829</v>
      </c>
      <c r="AH3824" t="inlineStr">
        <is>
          <t>Quelle: BBVA Inmuebles (Solvia)</t>
        </is>
      </c>
    </row>
    <row r="3825">
      <c r="A3825" t="n">
        <v>3638</v>
      </c>
      <c r="B3825" t="inlineStr">
        <is>
          <t>Piso en Palma de Mallorca</t>
        </is>
      </c>
      <c r="C3825" t="inlineStr">
        <is>
          <t>https://www.bbva.es/personas/hipotecas/inmuebles/inmueble-161558.html</t>
        </is>
      </c>
      <c r="E3825" t="n">
        <v>2</v>
      </c>
      <c r="H3825" t="n">
        <v>66.56</v>
      </c>
      <c r="J3825" t="inlineStr">
        <is>
          <t>Palma de Mallorca</t>
        </is>
      </c>
      <c r="S3825" t="n">
        <v>301000</v>
      </c>
      <c r="T3825" t="n">
        <v>4522</v>
      </c>
      <c r="AH3825" t="inlineStr">
        <is>
          <t>Quelle: BBVA Inmuebles (Solvia)</t>
        </is>
      </c>
    </row>
    <row r="3826">
      <c r="A3826" t="n">
        <v>3639</v>
      </c>
      <c r="B3826" t="inlineStr">
        <is>
          <t>Piso en Palma de Mallorca</t>
        </is>
      </c>
      <c r="C3826" t="inlineStr">
        <is>
          <t>https://www.bbva.es/personas/hipotecas/inmuebles/inmueble-107371.html</t>
        </is>
      </c>
      <c r="E3826" t="n">
        <v>3</v>
      </c>
      <c r="H3826" t="n">
        <v>77</v>
      </c>
      <c r="J3826" t="inlineStr">
        <is>
          <t>Palma de Mallorca</t>
        </is>
      </c>
      <c r="S3826" t="n">
        <v>307000</v>
      </c>
      <c r="T3826" t="n">
        <v>3987</v>
      </c>
      <c r="AH3826" t="inlineStr">
        <is>
          <t>Quelle: BBVA Inmuebles (Solvia)</t>
        </is>
      </c>
    </row>
    <row r="3827">
      <c r="A3827" t="n">
        <v>3640</v>
      </c>
      <c r="B3827" t="inlineStr">
        <is>
          <t>Piso en Palma de Mallorca</t>
        </is>
      </c>
      <c r="C3827" t="inlineStr">
        <is>
          <t>https://www.bbva.es/personas/hipotecas/inmuebles/inmueble-143269.html</t>
        </is>
      </c>
      <c r="E3827" t="n">
        <v>3</v>
      </c>
      <c r="H3827" t="n">
        <v>100.3</v>
      </c>
      <c r="J3827" t="inlineStr">
        <is>
          <t>Palma de Mallorca</t>
        </is>
      </c>
      <c r="S3827" t="n">
        <v>309000</v>
      </c>
      <c r="T3827" t="n">
        <v>3081</v>
      </c>
      <c r="AH3827" t="inlineStr">
        <is>
          <t>Quelle: BBVA Inmuebles (Solvia)</t>
        </is>
      </c>
    </row>
    <row r="3828">
      <c r="A3828" t="n">
        <v>3641</v>
      </c>
      <c r="B3828" t="inlineStr">
        <is>
          <t>Locales en Palma de Mallorca</t>
        </is>
      </c>
      <c r="C3828" t="inlineStr">
        <is>
          <t>https://www.bbva.es/personas/hipotecas/inmuebles/inmueble-182603.html</t>
        </is>
      </c>
      <c r="H3828" t="n">
        <v>317.35</v>
      </c>
      <c r="J3828" t="inlineStr">
        <is>
          <t>Palma de Mallorca</t>
        </is>
      </c>
      <c r="S3828" t="n">
        <v>313500</v>
      </c>
      <c r="T3828" t="n">
        <v>988</v>
      </c>
      <c r="AH3828" t="inlineStr">
        <is>
          <t>Quelle: BBVA Inmuebles (Solvia)</t>
        </is>
      </c>
    </row>
    <row r="3829">
      <c r="A3829" t="n">
        <v>3642</v>
      </c>
      <c r="B3829" t="inlineStr">
        <is>
          <t>Ático en Palma de Mallorca</t>
        </is>
      </c>
      <c r="C3829" t="inlineStr">
        <is>
          <t>https://www.bbva.es/personas/hipotecas/inmuebles/inmueble-175367.html</t>
        </is>
      </c>
      <c r="E3829" t="n">
        <v>3</v>
      </c>
      <c r="H3829" t="n">
        <v>74.81</v>
      </c>
      <c r="J3829" t="inlineStr">
        <is>
          <t>Palma de Mallorca</t>
        </is>
      </c>
      <c r="S3829" t="n">
        <v>318000</v>
      </c>
      <c r="T3829" t="n">
        <v>4251</v>
      </c>
      <c r="AH3829" t="inlineStr">
        <is>
          <t>Quelle: BBVA Inmuebles (Solvia)</t>
        </is>
      </c>
    </row>
    <row r="3830">
      <c r="A3830" t="n">
        <v>3643</v>
      </c>
      <c r="B3830" t="inlineStr">
        <is>
          <t>Piso en Palma de Mallorca</t>
        </is>
      </c>
      <c r="C3830" t="inlineStr">
        <is>
          <t>https://www.bbva.es/personas/hipotecas/inmuebles/inmueble-85788.html</t>
        </is>
      </c>
      <c r="E3830" t="n">
        <v>3</v>
      </c>
      <c r="H3830" t="n">
        <v>87.58</v>
      </c>
      <c r="J3830" t="inlineStr">
        <is>
          <t>Palma de Mallorca</t>
        </is>
      </c>
      <c r="S3830" t="n">
        <v>318000</v>
      </c>
      <c r="T3830" t="n">
        <v>3631</v>
      </c>
      <c r="AH3830" t="inlineStr">
        <is>
          <t>Quelle: BBVA Inmuebles (Solvia)</t>
        </is>
      </c>
    </row>
    <row r="3831">
      <c r="A3831" t="n">
        <v>3644</v>
      </c>
      <c r="B3831" t="inlineStr">
        <is>
          <t>Chalet adosado en Felanitx</t>
        </is>
      </c>
      <c r="C3831" t="inlineStr">
        <is>
          <t>https://www.bbva.es/personas/hipotecas/inmuebles/inmueble-192297.html</t>
        </is>
      </c>
      <c r="E3831" t="n">
        <v>2</v>
      </c>
      <c r="H3831" t="n">
        <v>430.2</v>
      </c>
      <c r="J3831" t="inlineStr">
        <is>
          <t>Felanitx</t>
        </is>
      </c>
      <c r="S3831" t="n">
        <v>319000</v>
      </c>
      <c r="T3831" t="n">
        <v>742</v>
      </c>
      <c r="AH3831" t="inlineStr">
        <is>
          <t>Quelle: BBVA Inmuebles (Solvia)</t>
        </is>
      </c>
    </row>
    <row r="3832">
      <c r="A3832" t="n">
        <v>3645</v>
      </c>
      <c r="B3832" t="inlineStr">
        <is>
          <t>Piso en Palma de Mallorca</t>
        </is>
      </c>
      <c r="C3832" t="inlineStr">
        <is>
          <t>https://www.bbva.es/personas/hipotecas/inmuebles/inmueble-46525.html</t>
        </is>
      </c>
      <c r="E3832" t="n">
        <v>4</v>
      </c>
      <c r="H3832" t="n">
        <v>84.98999999999999</v>
      </c>
      <c r="J3832" t="inlineStr">
        <is>
          <t>Palma de Mallorca</t>
        </is>
      </c>
      <c r="S3832" t="n">
        <v>324000</v>
      </c>
      <c r="T3832" t="n">
        <v>3812</v>
      </c>
      <c r="AH3832" t="inlineStr">
        <is>
          <t>Quelle: BBVA Inmuebles (Solvia)</t>
        </is>
      </c>
    </row>
    <row r="3833">
      <c r="A3833" t="n">
        <v>3646</v>
      </c>
      <c r="B3833" t="inlineStr">
        <is>
          <t>Chalet adosado en Santa Eulalia del Río</t>
        </is>
      </c>
      <c r="C3833" t="inlineStr">
        <is>
          <t>https://www.bbva.es/personas/hipotecas/inmuebles/inmueble-224290.html</t>
        </is>
      </c>
      <c r="E3833" t="n">
        <v>1</v>
      </c>
      <c r="H3833" t="n">
        <v>63.72</v>
      </c>
      <c r="J3833" t="inlineStr">
        <is>
          <t>Santa Eulalia del Río</t>
        </is>
      </c>
      <c r="S3833" t="n">
        <v>325000</v>
      </c>
      <c r="T3833" t="n">
        <v>5100</v>
      </c>
      <c r="AH3833" t="inlineStr">
        <is>
          <t>Quelle: BBVA Inmuebles (Solvia)</t>
        </is>
      </c>
    </row>
    <row r="3834">
      <c r="A3834" t="n">
        <v>3647</v>
      </c>
      <c r="B3834" t="inlineStr">
        <is>
          <t>Piso en Palma de Mallorca</t>
        </is>
      </c>
      <c r="C3834" t="inlineStr">
        <is>
          <t>https://www.bbva.es/personas/hipotecas/inmuebles/inmueble-149629.html</t>
        </is>
      </c>
      <c r="E3834" t="n">
        <v>3</v>
      </c>
      <c r="H3834" t="n">
        <v>93.54000000000001</v>
      </c>
      <c r="J3834" t="inlineStr">
        <is>
          <t>Palma de Mallorca</t>
        </is>
      </c>
      <c r="S3834" t="n">
        <v>327000</v>
      </c>
      <c r="T3834" t="n">
        <v>3496</v>
      </c>
      <c r="AH3834" t="inlineStr">
        <is>
          <t>Quelle: BBVA Inmuebles (Solvia)</t>
        </is>
      </c>
    </row>
    <row r="3835">
      <c r="A3835" t="n">
        <v>3648</v>
      </c>
      <c r="B3835" t="inlineStr">
        <is>
          <t>Piso en Palma de Mallorca</t>
        </is>
      </c>
      <c r="C3835" t="inlineStr">
        <is>
          <t>https://www.bbva.es/personas/hipotecas/inmuebles/inmueble-137685.html</t>
        </is>
      </c>
      <c r="E3835" t="n">
        <v>3</v>
      </c>
      <c r="H3835" t="n">
        <v>107</v>
      </c>
      <c r="J3835" t="inlineStr">
        <is>
          <t>Palma de Mallorca</t>
        </is>
      </c>
      <c r="S3835" t="n">
        <v>327000</v>
      </c>
      <c r="T3835" t="n">
        <v>3056</v>
      </c>
      <c r="AH3835" t="inlineStr">
        <is>
          <t>Quelle: BBVA Inmuebles (Solvia)</t>
        </is>
      </c>
    </row>
    <row r="3836">
      <c r="A3836" t="n">
        <v>3649</v>
      </c>
      <c r="B3836" t="inlineStr">
        <is>
          <t>Locales en Calvià</t>
        </is>
      </c>
      <c r="C3836" t="inlineStr">
        <is>
          <t>https://www.bbva.es/personas/hipotecas/inmuebles/inmueble-73819.html</t>
        </is>
      </c>
      <c r="H3836" t="n">
        <v>1466.14</v>
      </c>
      <c r="J3836" t="inlineStr">
        <is>
          <t>Calvià</t>
        </is>
      </c>
      <c r="S3836" t="n">
        <v>327000</v>
      </c>
      <c r="T3836" t="n">
        <v>223</v>
      </c>
      <c r="AH3836" t="inlineStr">
        <is>
          <t>Quelle: BBVA Inmuebles (Solvia)</t>
        </is>
      </c>
    </row>
    <row r="3837">
      <c r="A3837" t="n">
        <v>3650</v>
      </c>
      <c r="B3837" t="inlineStr">
        <is>
          <t>Piso en Palma de Mallorca</t>
        </is>
      </c>
      <c r="C3837" t="inlineStr">
        <is>
          <t>https://www.bbva.es/personas/hipotecas/inmuebles/inmueble-47329.html</t>
        </is>
      </c>
      <c r="E3837" t="n">
        <v>4</v>
      </c>
      <c r="H3837" t="n">
        <v>85</v>
      </c>
      <c r="J3837" t="inlineStr">
        <is>
          <t>Palma de Mallorca</t>
        </is>
      </c>
      <c r="S3837" t="n">
        <v>336000</v>
      </c>
      <c r="T3837" t="n">
        <v>3953</v>
      </c>
      <c r="AH3837" t="inlineStr">
        <is>
          <t>Quelle: BBVA Inmuebles (Solvia)</t>
        </is>
      </c>
    </row>
    <row r="3838">
      <c r="A3838" t="n">
        <v>3651</v>
      </c>
      <c r="B3838" t="inlineStr">
        <is>
          <t>Piso en Palma de Mallorca</t>
        </is>
      </c>
      <c r="C3838" t="inlineStr">
        <is>
          <t>https://www.bbva.es/personas/hipotecas/inmuebles/inmueble-120608.html</t>
        </is>
      </c>
      <c r="E3838" t="n">
        <v>3</v>
      </c>
      <c r="H3838" t="n">
        <v>77.05</v>
      </c>
      <c r="J3838" t="inlineStr">
        <is>
          <t>Palma de Mallorca</t>
        </is>
      </c>
      <c r="S3838" t="n">
        <v>336000</v>
      </c>
      <c r="T3838" t="n">
        <v>4361</v>
      </c>
      <c r="AH3838" t="inlineStr">
        <is>
          <t>Quelle: BBVA Inmuebles (Solvia)</t>
        </is>
      </c>
    </row>
    <row r="3839">
      <c r="A3839" t="n">
        <v>3652</v>
      </c>
      <c r="B3839" t="inlineStr">
        <is>
          <t>Piso en Palma de Mallorca</t>
        </is>
      </c>
      <c r="C3839" t="inlineStr">
        <is>
          <t>https://www.bbva.es/personas/hipotecas/inmuebles/inmueble-94749.html</t>
        </is>
      </c>
      <c r="E3839" t="n">
        <v>3</v>
      </c>
      <c r="H3839" t="n">
        <v>89.12</v>
      </c>
      <c r="J3839" t="inlineStr">
        <is>
          <t>Palma de Mallorca</t>
        </is>
      </c>
      <c r="S3839" t="n">
        <v>336000</v>
      </c>
      <c r="T3839" t="n">
        <v>3770</v>
      </c>
      <c r="AH3839" t="inlineStr">
        <is>
          <t>Quelle: BBVA Inmuebles (Solvia)</t>
        </is>
      </c>
    </row>
    <row r="3840">
      <c r="A3840" t="n">
        <v>3653</v>
      </c>
      <c r="B3840" t="inlineStr">
        <is>
          <t>Piso en Palma de Mallorca</t>
        </is>
      </c>
      <c r="C3840" t="inlineStr">
        <is>
          <t>https://www.bbva.es/personas/hipotecas/inmuebles/inmueble-100662.html</t>
        </is>
      </c>
      <c r="E3840" t="n">
        <v>3</v>
      </c>
      <c r="H3840" t="n">
        <v>71.36</v>
      </c>
      <c r="J3840" t="inlineStr">
        <is>
          <t>Palma de Mallorca</t>
        </is>
      </c>
      <c r="S3840" t="n">
        <v>336000</v>
      </c>
      <c r="T3840" t="n">
        <v>4709</v>
      </c>
      <c r="AH3840" t="inlineStr">
        <is>
          <t>Quelle: BBVA Inmuebles (Solvia)</t>
        </is>
      </c>
    </row>
    <row r="3841">
      <c r="A3841" t="n">
        <v>3654</v>
      </c>
      <c r="B3841" t="inlineStr">
        <is>
          <t>Piso en Palma de Mallorca</t>
        </is>
      </c>
      <c r="C3841" t="inlineStr">
        <is>
          <t>https://www.bbva.es/personas/hipotecas/inmuebles/inmueble-87469.html</t>
        </is>
      </c>
      <c r="E3841" t="n">
        <v>2</v>
      </c>
      <c r="H3841" t="n">
        <v>71.70999999999999</v>
      </c>
      <c r="J3841" t="inlineStr">
        <is>
          <t>Palma de Mallorca</t>
        </is>
      </c>
      <c r="S3841" t="n">
        <v>336000</v>
      </c>
      <c r="T3841" t="n">
        <v>4686</v>
      </c>
      <c r="AH3841" t="inlineStr">
        <is>
          <t>Quelle: BBVA Inmuebles (Solvia)</t>
        </is>
      </c>
    </row>
    <row r="3842">
      <c r="A3842" t="n">
        <v>3655</v>
      </c>
      <c r="B3842" t="inlineStr">
        <is>
          <t>Piso en Palma de Mallorca</t>
        </is>
      </c>
      <c r="C3842" t="inlineStr">
        <is>
          <t>https://www.bbva.es/personas/hipotecas/inmuebles/inmueble-89724.html</t>
        </is>
      </c>
      <c r="E3842" t="n">
        <v>3</v>
      </c>
      <c r="H3842" t="n">
        <v>87</v>
      </c>
      <c r="J3842" t="inlineStr">
        <is>
          <t>Palma de Mallorca</t>
        </is>
      </c>
      <c r="S3842" t="n">
        <v>336000</v>
      </c>
      <c r="T3842" t="n">
        <v>3862</v>
      </c>
      <c r="AH3842" t="inlineStr">
        <is>
          <t>Quelle: BBVA Inmuebles (Solvia)</t>
        </is>
      </c>
    </row>
    <row r="3843">
      <c r="A3843" t="n">
        <v>3656</v>
      </c>
      <c r="B3843" t="inlineStr">
        <is>
          <t>Locales en Calvià</t>
        </is>
      </c>
      <c r="C3843" t="inlineStr">
        <is>
          <t>https://www.bbva.es/personas/hipotecas/inmuebles/inmueble-207278.html</t>
        </is>
      </c>
      <c r="H3843" t="n">
        <v>242.19</v>
      </c>
      <c r="J3843" t="inlineStr">
        <is>
          <t>Calvià</t>
        </is>
      </c>
      <c r="S3843" t="n">
        <v>340000</v>
      </c>
      <c r="T3843" t="n">
        <v>1404</v>
      </c>
      <c r="AH3843" t="inlineStr">
        <is>
          <t>Quelle: BBVA Inmuebles (Solvia)</t>
        </is>
      </c>
    </row>
    <row r="3844">
      <c r="A3844" t="n">
        <v>3657</v>
      </c>
      <c r="B3844" t="inlineStr">
        <is>
          <t>Piso en Palma de Mallorca</t>
        </is>
      </c>
      <c r="C3844" t="inlineStr">
        <is>
          <t>https://www.bbva.es/personas/hipotecas/inmuebles/inmueble-151340.html</t>
        </is>
      </c>
      <c r="E3844" t="n">
        <v>3</v>
      </c>
      <c r="H3844" t="n">
        <v>97.48</v>
      </c>
      <c r="J3844" t="inlineStr">
        <is>
          <t>Palma de Mallorca</t>
        </is>
      </c>
      <c r="S3844" t="n">
        <v>344000</v>
      </c>
      <c r="T3844" t="n">
        <v>3529</v>
      </c>
      <c r="AH3844" t="inlineStr">
        <is>
          <t>Quelle: BBVA Inmuebles (Solvia)</t>
        </is>
      </c>
    </row>
    <row r="3845">
      <c r="A3845" t="n">
        <v>3658</v>
      </c>
      <c r="B3845" t="inlineStr">
        <is>
          <t>Piso en Palma de Mallorca</t>
        </is>
      </c>
      <c r="C3845" t="inlineStr">
        <is>
          <t>https://www.bbva.es/personas/hipotecas/inmuebles/inmueble-120768.html</t>
        </is>
      </c>
      <c r="E3845" t="n">
        <v>4</v>
      </c>
      <c r="H3845" t="n">
        <v>104</v>
      </c>
      <c r="J3845" t="inlineStr">
        <is>
          <t>Palma de Mallorca</t>
        </is>
      </c>
      <c r="S3845" t="n">
        <v>345000</v>
      </c>
      <c r="T3845" t="n">
        <v>3317</v>
      </c>
      <c r="AH3845" t="inlineStr">
        <is>
          <t>Quelle: BBVA Inmuebles (Solvia)</t>
        </is>
      </c>
    </row>
    <row r="3846">
      <c r="A3846" t="n">
        <v>3659</v>
      </c>
      <c r="B3846" t="inlineStr">
        <is>
          <t>Piso en Palma de Mallorca</t>
        </is>
      </c>
      <c r="C3846" t="inlineStr">
        <is>
          <t>https://www.bbva.es/personas/hipotecas/inmuebles/inmueble-89246.html</t>
        </is>
      </c>
      <c r="E3846" t="n">
        <v>1</v>
      </c>
      <c r="H3846" t="n">
        <v>92.01000000000001</v>
      </c>
      <c r="J3846" t="inlineStr">
        <is>
          <t>Palma de Mallorca</t>
        </is>
      </c>
      <c r="S3846" t="n">
        <v>345000</v>
      </c>
      <c r="T3846" t="n">
        <v>3750</v>
      </c>
      <c r="AH3846" t="inlineStr">
        <is>
          <t>Quelle: BBVA Inmuebles (Solvia)</t>
        </is>
      </c>
    </row>
    <row r="3847">
      <c r="A3847" t="n">
        <v>3660</v>
      </c>
      <c r="B3847" t="inlineStr">
        <is>
          <t>Piso en Palma de Mallorca</t>
        </is>
      </c>
      <c r="C3847" t="inlineStr">
        <is>
          <t>https://www.bbva.es/personas/hipotecas/inmuebles/inmueble-104240.html</t>
        </is>
      </c>
      <c r="E3847" t="n">
        <v>3</v>
      </c>
      <c r="H3847" t="n">
        <v>91.5</v>
      </c>
      <c r="J3847" t="inlineStr">
        <is>
          <t>Palma de Mallorca</t>
        </is>
      </c>
      <c r="S3847" t="n">
        <v>347000</v>
      </c>
      <c r="T3847" t="n">
        <v>3792</v>
      </c>
      <c r="AH3847" t="inlineStr">
        <is>
          <t>Quelle: BBVA Inmuebles (Solvia)</t>
        </is>
      </c>
    </row>
    <row r="3848">
      <c r="A3848" t="n">
        <v>3661</v>
      </c>
      <c r="B3848" t="inlineStr">
        <is>
          <t>Piso en Palma de Mallorca</t>
        </is>
      </c>
      <c r="C3848" t="inlineStr">
        <is>
          <t>https://www.bbva.es/personas/hipotecas/inmuebles/inmueble-160328.html</t>
        </is>
      </c>
      <c r="E3848" t="n">
        <v>3</v>
      </c>
      <c r="H3848" t="n">
        <v>89.59999999999999</v>
      </c>
      <c r="J3848" t="inlineStr">
        <is>
          <t>Palma de Mallorca</t>
        </is>
      </c>
      <c r="S3848" t="n">
        <v>347000</v>
      </c>
      <c r="T3848" t="n">
        <v>3873</v>
      </c>
      <c r="AH3848" t="inlineStr">
        <is>
          <t>Quelle: BBVA Inmuebles (Solvia)</t>
        </is>
      </c>
    </row>
    <row r="3849">
      <c r="A3849" t="n">
        <v>3662</v>
      </c>
      <c r="B3849" t="inlineStr">
        <is>
          <t>Suelo urbano no consolidado en Sant Josep de sa Talaia</t>
        </is>
      </c>
      <c r="C3849" t="inlineStr">
        <is>
          <t>https://www.bbva.es/personas/hipotecas/inmuebles/inmueble-202269.html</t>
        </is>
      </c>
      <c r="H3849" t="n">
        <v>2000</v>
      </c>
      <c r="J3849" t="inlineStr">
        <is>
          <t>Sant Josep de sa Talaia</t>
        </is>
      </c>
      <c r="S3849" t="n">
        <v>350000</v>
      </c>
      <c r="T3849" t="n">
        <v>175</v>
      </c>
      <c r="AH3849" t="inlineStr">
        <is>
          <t>Quelle: BBVA Inmuebles (Solvia)</t>
        </is>
      </c>
    </row>
    <row r="3850">
      <c r="A3850" t="n">
        <v>3663</v>
      </c>
      <c r="B3850" t="inlineStr">
        <is>
          <t>Piso en Palma de Mallorca</t>
        </is>
      </c>
      <c r="C3850" t="inlineStr">
        <is>
          <t>https://www.bbva.es/personas/hipotecas/inmuebles/inmueble-137772.html</t>
        </is>
      </c>
      <c r="E3850" t="n">
        <v>3</v>
      </c>
      <c r="H3850" t="n">
        <v>92.12</v>
      </c>
      <c r="J3850" t="inlineStr">
        <is>
          <t>Palma de Mallorca</t>
        </is>
      </c>
      <c r="S3850" t="n">
        <v>354000</v>
      </c>
      <c r="T3850" t="n">
        <v>3843</v>
      </c>
      <c r="AH3850" t="inlineStr">
        <is>
          <t>Quelle: BBVA Inmuebles (Solvia)</t>
        </is>
      </c>
    </row>
    <row r="3851">
      <c r="A3851" t="n">
        <v>3664</v>
      </c>
      <c r="B3851" t="inlineStr">
        <is>
          <t>Piso en Palma de Mallorca</t>
        </is>
      </c>
      <c r="C3851" t="inlineStr">
        <is>
          <t>https://www.bbva.es/personas/hipotecas/inmuebles/inmueble-120315.html</t>
        </is>
      </c>
      <c r="E3851" t="n">
        <v>3</v>
      </c>
      <c r="H3851" t="n">
        <v>68</v>
      </c>
      <c r="J3851" t="inlineStr">
        <is>
          <t>Palma de Mallorca</t>
        </is>
      </c>
      <c r="S3851" t="n">
        <v>356000</v>
      </c>
      <c r="T3851" t="n">
        <v>5235</v>
      </c>
      <c r="AH3851" t="inlineStr">
        <is>
          <t>Quelle: BBVA Inmuebles (Solvia)</t>
        </is>
      </c>
    </row>
    <row r="3852">
      <c r="A3852" t="n">
        <v>3665</v>
      </c>
      <c r="B3852" t="inlineStr">
        <is>
          <t>Piso en Palma de Mallorca</t>
        </is>
      </c>
      <c r="C3852" t="inlineStr">
        <is>
          <t>https://www.bbva.es/personas/hipotecas/inmuebles/inmueble-137736.html</t>
        </is>
      </c>
      <c r="E3852" t="n">
        <v>4</v>
      </c>
      <c r="H3852" t="n">
        <v>89.15000000000001</v>
      </c>
      <c r="J3852" t="inlineStr">
        <is>
          <t>Palma de Mallorca</t>
        </is>
      </c>
      <c r="S3852" t="n">
        <v>358000</v>
      </c>
      <c r="T3852" t="n">
        <v>4016</v>
      </c>
      <c r="AH3852" t="inlineStr">
        <is>
          <t>Quelle: BBVA Inmuebles (Solvia)</t>
        </is>
      </c>
    </row>
    <row r="3853">
      <c r="A3853" t="n">
        <v>3666</v>
      </c>
      <c r="B3853" t="inlineStr">
        <is>
          <t>Piso en Palma de Mallorca</t>
        </is>
      </c>
      <c r="C3853" t="inlineStr">
        <is>
          <t>https://www.bbva.es/personas/hipotecas/inmuebles/inmueble-102278.html</t>
        </is>
      </c>
      <c r="E3853" t="n">
        <v>3</v>
      </c>
      <c r="H3853" t="n">
        <v>100</v>
      </c>
      <c r="J3853" t="inlineStr">
        <is>
          <t>Palma de Mallorca</t>
        </is>
      </c>
      <c r="S3853" t="n">
        <v>359000</v>
      </c>
      <c r="T3853" t="n">
        <v>3590</v>
      </c>
      <c r="AH3853" t="inlineStr">
        <is>
          <t>Quelle: BBVA Inmuebles (Solvia)</t>
        </is>
      </c>
    </row>
    <row r="3854">
      <c r="A3854" t="n">
        <v>3667</v>
      </c>
      <c r="B3854" t="inlineStr">
        <is>
          <t>Piso en Palma de Mallorca</t>
        </is>
      </c>
      <c r="C3854" t="inlineStr">
        <is>
          <t>https://www.bbva.es/personas/hipotecas/inmuebles/inmueble-88471.html</t>
        </is>
      </c>
      <c r="E3854" t="n">
        <v>1</v>
      </c>
      <c r="H3854" t="n">
        <v>66.56999999999999</v>
      </c>
      <c r="J3854" t="inlineStr">
        <is>
          <t>Palma de Mallorca</t>
        </is>
      </c>
      <c r="S3854" t="n">
        <v>359000</v>
      </c>
      <c r="T3854" t="n">
        <v>5393</v>
      </c>
      <c r="AH3854" t="inlineStr">
        <is>
          <t>Quelle: BBVA Inmuebles (Solvia)</t>
        </is>
      </c>
    </row>
    <row r="3855">
      <c r="A3855" t="n">
        <v>3668</v>
      </c>
      <c r="B3855" t="inlineStr">
        <is>
          <t>Casa en Palma de Mallorca</t>
        </is>
      </c>
      <c r="C3855" t="inlineStr">
        <is>
          <t>https://www.bbva.es/personas/hipotecas/inmuebles/inmueble-226660.html</t>
        </is>
      </c>
      <c r="E3855" t="n">
        <v>1</v>
      </c>
      <c r="H3855" t="n">
        <v>245.65</v>
      </c>
      <c r="J3855" t="inlineStr">
        <is>
          <t>Palma de Mallorca</t>
        </is>
      </c>
      <c r="S3855" t="n">
        <v>365000</v>
      </c>
      <c r="T3855" t="n">
        <v>1486</v>
      </c>
      <c r="AH3855" t="inlineStr">
        <is>
          <t>Quelle: BBVA Inmuebles (Solvia)</t>
        </is>
      </c>
    </row>
    <row r="3856">
      <c r="A3856" t="n">
        <v>3669</v>
      </c>
      <c r="B3856" t="inlineStr">
        <is>
          <t>Piso en Eivissa</t>
        </is>
      </c>
      <c r="C3856" t="inlineStr">
        <is>
          <t>https://www.bbva.es/personas/hipotecas/inmuebles/inmueble-107757.html</t>
        </is>
      </c>
      <c r="E3856" t="n">
        <v>1</v>
      </c>
      <c r="H3856" t="n">
        <v>104.52</v>
      </c>
      <c r="J3856" t="inlineStr">
        <is>
          <t>Eivissa</t>
        </is>
      </c>
      <c r="S3856" t="n">
        <v>371000</v>
      </c>
      <c r="T3856" t="n">
        <v>3550</v>
      </c>
      <c r="AH3856" t="inlineStr">
        <is>
          <t>Quelle: BBVA Inmuebles (Solvia)</t>
        </is>
      </c>
    </row>
    <row r="3857">
      <c r="A3857" t="n">
        <v>3670</v>
      </c>
      <c r="B3857" t="inlineStr">
        <is>
          <t>Chalet independiente en Ciutadella de Menorca</t>
        </is>
      </c>
      <c r="C3857" t="inlineStr">
        <is>
          <t>https://www.bbva.es/personas/hipotecas/inmuebles/inmueble-162552.html</t>
        </is>
      </c>
      <c r="E3857" t="n">
        <v>1</v>
      </c>
      <c r="H3857" t="n">
        <v>529.25</v>
      </c>
      <c r="J3857" t="inlineStr">
        <is>
          <t>Ciutadella de Menorca</t>
        </is>
      </c>
      <c r="S3857" t="n">
        <v>375000</v>
      </c>
      <c r="T3857" t="n">
        <v>709</v>
      </c>
      <c r="AH3857" t="inlineStr">
        <is>
          <t>Quelle: BBVA Inmuebles (Solvia)</t>
        </is>
      </c>
    </row>
    <row r="3858">
      <c r="A3858" t="n">
        <v>3671</v>
      </c>
      <c r="B3858" t="inlineStr">
        <is>
          <t>Piso en Palma de Mallorca</t>
        </is>
      </c>
      <c r="C3858" t="inlineStr">
        <is>
          <t>https://www.bbva.es/personas/hipotecas/inmuebles/inmueble-147176.html</t>
        </is>
      </c>
      <c r="E3858" t="n">
        <v>3</v>
      </c>
      <c r="H3858" t="n">
        <v>87.09999999999999</v>
      </c>
      <c r="J3858" t="inlineStr">
        <is>
          <t>Palma de Mallorca</t>
        </is>
      </c>
      <c r="S3858" t="n">
        <v>380000</v>
      </c>
      <c r="T3858" t="n">
        <v>4363</v>
      </c>
      <c r="AH3858" t="inlineStr">
        <is>
          <t>Quelle: BBVA Inmuebles (Solvia)</t>
        </is>
      </c>
    </row>
    <row r="3859">
      <c r="A3859" t="n">
        <v>3672</v>
      </c>
      <c r="B3859" t="inlineStr">
        <is>
          <t>Piso en Palma de Mallorca</t>
        </is>
      </c>
      <c r="C3859" t="inlineStr">
        <is>
          <t>https://www.bbva.es/personas/hipotecas/inmuebles/inmueble-98524.html</t>
        </is>
      </c>
      <c r="E3859" t="n">
        <v>1</v>
      </c>
      <c r="H3859" t="n">
        <v>78.59999999999999</v>
      </c>
      <c r="J3859" t="inlineStr">
        <is>
          <t>Palma de Mallorca</t>
        </is>
      </c>
      <c r="S3859" t="n">
        <v>385000</v>
      </c>
      <c r="T3859" t="n">
        <v>4898</v>
      </c>
      <c r="AH3859" t="inlineStr">
        <is>
          <t>Quelle: BBVA Inmuebles (Solvia)</t>
        </is>
      </c>
    </row>
    <row r="3860">
      <c r="A3860" t="n">
        <v>3673</v>
      </c>
      <c r="B3860" t="inlineStr">
        <is>
          <t>Piso en Palma de Mallorca</t>
        </is>
      </c>
      <c r="C3860" t="inlineStr">
        <is>
          <t>https://www.bbva.es/personas/hipotecas/inmuebles/inmueble-10855.html</t>
        </is>
      </c>
      <c r="E3860" t="n">
        <v>4</v>
      </c>
      <c r="H3860" t="n">
        <v>89.95999999999999</v>
      </c>
      <c r="J3860" t="inlineStr">
        <is>
          <t>Palma de Mallorca</t>
        </is>
      </c>
      <c r="S3860" t="n">
        <v>388000</v>
      </c>
      <c r="T3860" t="n">
        <v>4313</v>
      </c>
      <c r="AH3860" t="inlineStr">
        <is>
          <t>Quelle: BBVA Inmuebles (Solvia)</t>
        </is>
      </c>
    </row>
    <row r="3861">
      <c r="A3861" t="n">
        <v>3674</v>
      </c>
      <c r="B3861" t="inlineStr">
        <is>
          <t>Piso en Palma de Mallorca</t>
        </is>
      </c>
      <c r="C3861" t="inlineStr">
        <is>
          <t>https://www.bbva.es/personas/hipotecas/inmuebles/inmueble-101194.html</t>
        </is>
      </c>
      <c r="E3861" t="n">
        <v>1</v>
      </c>
      <c r="H3861" t="n">
        <v>115</v>
      </c>
      <c r="J3861" t="inlineStr">
        <is>
          <t>Palma de Mallorca</t>
        </is>
      </c>
      <c r="S3861" t="n">
        <v>390000</v>
      </c>
      <c r="T3861" t="n">
        <v>3391</v>
      </c>
      <c r="AH3861" t="inlineStr">
        <is>
          <t>Quelle: BBVA Inmuebles (Solvia)</t>
        </is>
      </c>
    </row>
    <row r="3862">
      <c r="A3862" t="n">
        <v>3675</v>
      </c>
      <c r="B3862" t="inlineStr">
        <is>
          <t>Piso en Palma de Mallorca</t>
        </is>
      </c>
      <c r="C3862" t="inlineStr">
        <is>
          <t>https://www.bbva.es/personas/hipotecas/inmuebles/inmueble-7681.html</t>
        </is>
      </c>
      <c r="E3862" t="n">
        <v>3</v>
      </c>
      <c r="H3862" t="n">
        <v>60.9</v>
      </c>
      <c r="J3862" t="inlineStr">
        <is>
          <t>Palma de Mallorca</t>
        </is>
      </c>
      <c r="S3862" t="n">
        <v>392000</v>
      </c>
      <c r="T3862" t="n">
        <v>6437</v>
      </c>
      <c r="AH3862" t="inlineStr">
        <is>
          <t>Quelle: BBVA Inmuebles (Solvia)</t>
        </is>
      </c>
    </row>
    <row r="3863">
      <c r="A3863" t="n">
        <v>3676</v>
      </c>
      <c r="B3863" t="inlineStr">
        <is>
          <t>Piso en Palma de Mallorca</t>
        </is>
      </c>
      <c r="C3863" t="inlineStr">
        <is>
          <t>https://www.bbva.es/personas/hipotecas/inmuebles/inmueble-161127.html</t>
        </is>
      </c>
      <c r="E3863" t="n">
        <v>4</v>
      </c>
      <c r="H3863" t="n">
        <v>110</v>
      </c>
      <c r="J3863" t="inlineStr">
        <is>
          <t>Palma de Mallorca</t>
        </is>
      </c>
      <c r="S3863" t="n">
        <v>395000</v>
      </c>
      <c r="T3863" t="n">
        <v>3591</v>
      </c>
      <c r="AH3863" t="inlineStr">
        <is>
          <t>Quelle: BBVA Inmuebles (Solvia)</t>
        </is>
      </c>
    </row>
    <row r="3864">
      <c r="A3864" t="n">
        <v>3677</v>
      </c>
      <c r="B3864" t="inlineStr">
        <is>
          <t>Chalet independiente en Andratx</t>
        </is>
      </c>
      <c r="C3864" t="inlineStr">
        <is>
          <t>https://www.bbva.es/personas/hipotecas/inmuebles/inmueble-97309.html</t>
        </is>
      </c>
      <c r="E3864" t="n">
        <v>6</v>
      </c>
      <c r="H3864" t="n">
        <v>411.38</v>
      </c>
      <c r="J3864" t="inlineStr">
        <is>
          <t>Andratx</t>
        </is>
      </c>
      <c r="K3864" t="n">
        <v>40.3</v>
      </c>
      <c r="L3864" t="n">
        <v>36</v>
      </c>
      <c r="M3864" t="n">
        <v>83</v>
      </c>
      <c r="N3864" t="n">
        <v>68</v>
      </c>
      <c r="O3864" t="n">
        <v>2.7</v>
      </c>
      <c r="P3864" t="n">
        <v>7</v>
      </c>
      <c r="Q3864" t="n">
        <v>80.7</v>
      </c>
      <c r="R3864" t="n">
        <v>65</v>
      </c>
      <c r="S3864" t="n">
        <v>399000</v>
      </c>
      <c r="T3864" t="n">
        <v>970</v>
      </c>
      <c r="AH3864" t="inlineStr">
        <is>
          <t>Quelle: BBVA Inmuebles (Solvia)</t>
        </is>
      </c>
    </row>
    <row r="3865">
      <c r="A3865" t="n">
        <v>3678</v>
      </c>
      <c r="B3865" t="inlineStr">
        <is>
          <t>Casa en Campos</t>
        </is>
      </c>
      <c r="C3865" t="inlineStr">
        <is>
          <t>https://www.bbva.es/personas/hipotecas/inmuebles/inmueble-200456.html</t>
        </is>
      </c>
      <c r="E3865" t="n">
        <v>4</v>
      </c>
      <c r="H3865" t="n">
        <v>439</v>
      </c>
      <c r="J3865" t="inlineStr">
        <is>
          <t>Campos</t>
        </is>
      </c>
      <c r="S3865" t="n">
        <v>399000</v>
      </c>
      <c r="T3865" t="n">
        <v>909</v>
      </c>
      <c r="AH3865" t="inlineStr">
        <is>
          <t>Quelle: BBVA Inmuebles (Solvia)</t>
        </is>
      </c>
    </row>
    <row r="3866">
      <c r="A3866" t="n">
        <v>3679</v>
      </c>
      <c r="B3866" t="inlineStr">
        <is>
          <t>Piso en Palma de Mallorca</t>
        </is>
      </c>
      <c r="C3866" t="inlineStr">
        <is>
          <t>https://www.bbva.es/personas/hipotecas/inmuebles/inmueble-1651.html</t>
        </is>
      </c>
      <c r="E3866" t="n">
        <v>3</v>
      </c>
      <c r="H3866" t="n">
        <v>71.40000000000001</v>
      </c>
      <c r="J3866" t="inlineStr">
        <is>
          <t>Palma de Mallorca</t>
        </is>
      </c>
      <c r="S3866" t="n">
        <v>404000</v>
      </c>
      <c r="T3866" t="n">
        <v>5658</v>
      </c>
      <c r="AH3866" t="inlineStr">
        <is>
          <t>Quelle: BBVA Inmuebles (Solvia)</t>
        </is>
      </c>
    </row>
    <row r="3867">
      <c r="A3867" t="n">
        <v>3680</v>
      </c>
      <c r="B3867" t="inlineStr">
        <is>
          <t>Piso en Palma de Mallorca</t>
        </is>
      </c>
      <c r="C3867" t="inlineStr">
        <is>
          <t>https://www.bbva.es/personas/hipotecas/inmuebles/inmueble-85195.html</t>
        </is>
      </c>
      <c r="E3867" t="n">
        <v>3</v>
      </c>
      <c r="H3867" t="n">
        <v>102.24</v>
      </c>
      <c r="J3867" t="inlineStr">
        <is>
          <t>Palma de Mallorca</t>
        </is>
      </c>
      <c r="S3867" t="n">
        <v>413000</v>
      </c>
      <c r="T3867" t="n">
        <v>4040</v>
      </c>
      <c r="AH3867" t="inlineStr">
        <is>
          <t>Quelle: BBVA Inmuebles (Solvia)</t>
        </is>
      </c>
    </row>
    <row r="3868">
      <c r="A3868" t="n">
        <v>3681</v>
      </c>
      <c r="B3868" t="inlineStr">
        <is>
          <t>Edificio en Mahón</t>
        </is>
      </c>
      <c r="C3868" t="inlineStr">
        <is>
          <t>https://www.bbva.es/personas/hipotecas/inmuebles/inmueble-166575.html</t>
        </is>
      </c>
      <c r="H3868" t="n">
        <v>415</v>
      </c>
      <c r="J3868" t="inlineStr">
        <is>
          <t>Mahón</t>
        </is>
      </c>
      <c r="S3868" t="n">
        <v>426000</v>
      </c>
      <c r="T3868" t="n">
        <v>1027</v>
      </c>
      <c r="AH3868" t="inlineStr">
        <is>
          <t>Quelle: BBVA Inmuebles (Solvia)</t>
        </is>
      </c>
    </row>
    <row r="3869">
      <c r="A3869" t="n">
        <v>3682</v>
      </c>
      <c r="B3869" t="inlineStr">
        <is>
          <t>En Construccion en Manacor</t>
        </is>
      </c>
      <c r="C3869" t="inlineStr">
        <is>
          <t>https://www.bbva.es/personas/hipotecas/inmuebles/inmueble-183404.html</t>
        </is>
      </c>
      <c r="E3869" t="n">
        <v>1</v>
      </c>
      <c r="H3869" t="n">
        <v>995.6</v>
      </c>
      <c r="J3869" t="inlineStr">
        <is>
          <t>Manacor</t>
        </is>
      </c>
      <c r="S3869" t="n">
        <v>428000</v>
      </c>
      <c r="T3869" t="n">
        <v>430</v>
      </c>
      <c r="AH3869" t="inlineStr">
        <is>
          <t>Quelle: BBVA Inmuebles (Solvia)</t>
        </is>
      </c>
    </row>
    <row r="3870">
      <c r="A3870" t="n">
        <v>3683</v>
      </c>
      <c r="B3870" t="inlineStr">
        <is>
          <t>Bajo en Marratxí</t>
        </is>
      </c>
      <c r="C3870" t="inlineStr">
        <is>
          <t>https://www.bbva.es/personas/hipotecas/inmuebles/inmueble-141067.html</t>
        </is>
      </c>
      <c r="E3870" t="n">
        <v>2</v>
      </c>
      <c r="H3870" t="n">
        <v>71.63</v>
      </c>
      <c r="J3870" t="inlineStr">
        <is>
          <t>Marratxí</t>
        </is>
      </c>
      <c r="S3870" t="n">
        <v>436000</v>
      </c>
      <c r="T3870" t="n">
        <v>6087</v>
      </c>
      <c r="AH3870" t="inlineStr">
        <is>
          <t>Quelle: BBVA Inmuebles (Solvia)</t>
        </is>
      </c>
    </row>
    <row r="3871">
      <c r="A3871" t="n">
        <v>3684</v>
      </c>
      <c r="B3871" t="inlineStr">
        <is>
          <t>En Construccion en Son Servera</t>
        </is>
      </c>
      <c r="C3871" t="inlineStr">
        <is>
          <t>https://www.bbva.es/personas/hipotecas/inmuebles/inmueble-226311.html</t>
        </is>
      </c>
      <c r="E3871" t="n">
        <v>4</v>
      </c>
      <c r="H3871" t="n">
        <v>406.7</v>
      </c>
      <c r="J3871" t="inlineStr">
        <is>
          <t>Son Servera</t>
        </is>
      </c>
      <c r="S3871" t="n">
        <v>437600</v>
      </c>
      <c r="T3871" t="n">
        <v>1076</v>
      </c>
      <c r="AH3871" t="inlineStr">
        <is>
          <t>Quelle: BBVA Inmuebles (Solvia)</t>
        </is>
      </c>
    </row>
    <row r="3872">
      <c r="A3872" t="n">
        <v>3685</v>
      </c>
      <c r="B3872" t="inlineStr">
        <is>
          <t>Edificio en Son Servera</t>
        </is>
      </c>
      <c r="C3872" t="inlineStr">
        <is>
          <t>https://www.bbva.es/personas/hipotecas/inmuebles/inmueble-214985.html</t>
        </is>
      </c>
      <c r="E3872" t="n">
        <v>4</v>
      </c>
      <c r="H3872" t="n">
        <v>396.65</v>
      </c>
      <c r="J3872" t="inlineStr">
        <is>
          <t>Son Servera</t>
        </is>
      </c>
      <c r="S3872" t="n">
        <v>465800</v>
      </c>
      <c r="T3872" t="n">
        <v>1174</v>
      </c>
      <c r="AH3872" t="inlineStr">
        <is>
          <t>Quelle: BBVA Inmuebles (Solvia)</t>
        </is>
      </c>
    </row>
    <row r="3873">
      <c r="A3873" t="n">
        <v>3686</v>
      </c>
      <c r="B3873" t="inlineStr">
        <is>
          <t>Edificio en Artà</t>
        </is>
      </c>
      <c r="C3873" t="inlineStr">
        <is>
          <t>https://www.bbva.es/personas/hipotecas/inmuebles/inmueble-253979.html</t>
        </is>
      </c>
      <c r="E3873" t="n">
        <v>3</v>
      </c>
      <c r="H3873" t="n">
        <v>395</v>
      </c>
      <c r="J3873" t="inlineStr">
        <is>
          <t>Artà</t>
        </is>
      </c>
      <c r="S3873" t="n">
        <v>475000</v>
      </c>
      <c r="T3873" t="n">
        <v>1203</v>
      </c>
      <c r="AH3873" t="inlineStr">
        <is>
          <t>Quelle: BBVA Inmuebles (Solvia)</t>
        </is>
      </c>
    </row>
    <row r="3874">
      <c r="A3874" t="n">
        <v>3687</v>
      </c>
      <c r="B3874" t="inlineStr">
        <is>
          <t>Solares en Capdepera</t>
        </is>
      </c>
      <c r="C3874" t="inlineStr">
        <is>
          <t>https://www.bbva.es/personas/hipotecas/inmuebles/inmueble-135268.html</t>
        </is>
      </c>
      <c r="H3874" t="n">
        <v>483</v>
      </c>
      <c r="J3874" t="inlineStr">
        <is>
          <t>Capdepera</t>
        </is>
      </c>
      <c r="S3874" t="n">
        <v>480000</v>
      </c>
      <c r="T3874" t="n">
        <v>994</v>
      </c>
      <c r="AH3874" t="inlineStr">
        <is>
          <t>Quelle: BBVA Inmuebles (Solvia)</t>
        </is>
      </c>
    </row>
    <row r="3875">
      <c r="A3875" t="n">
        <v>3688</v>
      </c>
      <c r="B3875" t="inlineStr">
        <is>
          <t>Suelo Rústico en Llucmajor</t>
        </is>
      </c>
      <c r="C3875" t="inlineStr">
        <is>
          <t>https://www.bbva.es/personas/hipotecas/inmuebles/inmueble-123875.html</t>
        </is>
      </c>
      <c r="E3875" t="n">
        <v>1</v>
      </c>
      <c r="H3875" t="n">
        <v>14488</v>
      </c>
      <c r="J3875" t="inlineStr">
        <is>
          <t>Llucmajor</t>
        </is>
      </c>
      <c r="S3875" t="n">
        <v>480000</v>
      </c>
      <c r="T3875" t="n">
        <v>33</v>
      </c>
      <c r="AH3875" t="inlineStr">
        <is>
          <t>Quelle: BBVA Inmuebles (Solvia)</t>
        </is>
      </c>
    </row>
    <row r="3876">
      <c r="A3876" t="n">
        <v>3689</v>
      </c>
      <c r="B3876" t="inlineStr">
        <is>
          <t>Suelo urbanizable sectorizado en Mercadal (Es)</t>
        </is>
      </c>
      <c r="C3876" t="inlineStr">
        <is>
          <t>https://www.bbva.es/personas/hipotecas/inmuebles/inmueble-104245.html</t>
        </is>
      </c>
      <c r="H3876" t="n">
        <v>6416.5</v>
      </c>
      <c r="J3876" t="inlineStr">
        <is>
          <t>Mercadal (Es)</t>
        </is>
      </c>
      <c r="S3876" t="n">
        <v>490000</v>
      </c>
      <c r="T3876" t="n">
        <v>76</v>
      </c>
      <c r="AH3876" t="inlineStr">
        <is>
          <t>Quelle: BBVA Inmuebles (Solvia)</t>
        </is>
      </c>
    </row>
    <row r="3877">
      <c r="A3877" t="n">
        <v>3690</v>
      </c>
      <c r="B3877" t="inlineStr">
        <is>
          <t>Piso en Palma de Mallorca</t>
        </is>
      </c>
      <c r="C3877" t="inlineStr">
        <is>
          <t>https://www.bbva.es/personas/hipotecas/inmuebles/inmueble-146274.html</t>
        </is>
      </c>
      <c r="E3877" t="n">
        <v>2</v>
      </c>
      <c r="H3877" t="n">
        <v>91.18000000000001</v>
      </c>
      <c r="J3877" t="inlineStr">
        <is>
          <t>Palma de Mallorca</t>
        </is>
      </c>
      <c r="S3877" t="n">
        <v>499000</v>
      </c>
      <c r="T3877" t="n">
        <v>5473</v>
      </c>
      <c r="AH3877" t="inlineStr">
        <is>
          <t>Quelle: BBVA Inmuebles (Solvia)</t>
        </is>
      </c>
    </row>
    <row r="3878">
      <c r="A3878" t="n">
        <v>3691</v>
      </c>
      <c r="B3878" t="inlineStr">
        <is>
          <t>Locales en Sant miquel de balansat</t>
        </is>
      </c>
      <c r="C3878" t="inlineStr">
        <is>
          <t>https://www.bbva.es/personas/hipotecas/inmuebles/inmueble-267781.html</t>
        </is>
      </c>
      <c r="H3878" t="n">
        <v>179.52</v>
      </c>
      <c r="J3878" t="inlineStr">
        <is>
          <t>Sant miquel de balansat</t>
        </is>
      </c>
      <c r="S3878" t="n">
        <v>501000</v>
      </c>
      <c r="T3878" t="n">
        <v>2791</v>
      </c>
      <c r="AH3878" t="inlineStr">
        <is>
          <t>Quelle: BBVA Inmuebles (Solvia)</t>
        </is>
      </c>
    </row>
    <row r="3879">
      <c r="A3879" t="n">
        <v>3692</v>
      </c>
      <c r="B3879" t="inlineStr">
        <is>
          <t>Oficina en Palma de Mallorca</t>
        </is>
      </c>
      <c r="C3879" t="inlineStr">
        <is>
          <t>https://www.bbva.es/personas/hipotecas/inmuebles/inmueble-105620.html</t>
        </is>
      </c>
      <c r="H3879" t="n">
        <v>532.12</v>
      </c>
      <c r="J3879" t="inlineStr">
        <is>
          <t>Palma de Mallorca</t>
        </is>
      </c>
      <c r="S3879" t="n">
        <v>590000</v>
      </c>
      <c r="T3879" t="n">
        <v>1109</v>
      </c>
      <c r="AH3879" t="inlineStr">
        <is>
          <t>Quelle: BBVA Inmuebles (Solvia)</t>
        </is>
      </c>
    </row>
    <row r="3880">
      <c r="A3880" t="n">
        <v>3693</v>
      </c>
      <c r="B3880" t="inlineStr">
        <is>
          <t>Suelo Rústico en Santa Eulalia del Río</t>
        </is>
      </c>
      <c r="C3880" t="inlineStr">
        <is>
          <t>https://www.bbva.es/personas/hipotecas/inmuebles/inmueble-48593.html</t>
        </is>
      </c>
      <c r="H3880" t="n">
        <v>28815</v>
      </c>
      <c r="J3880" t="inlineStr">
        <is>
          <t>Santa Eulalia del Río</t>
        </is>
      </c>
      <c r="S3880" t="n">
        <v>599000</v>
      </c>
      <c r="T3880" t="n">
        <v>21</v>
      </c>
      <c r="AH3880" t="inlineStr">
        <is>
          <t>Quelle: BBVA Inmuebles (Solvia)</t>
        </is>
      </c>
    </row>
    <row r="3881">
      <c r="A3881" t="n">
        <v>3694</v>
      </c>
      <c r="B3881" t="inlineStr">
        <is>
          <t>Suelo Rústico en Vileta (SA)</t>
        </is>
      </c>
      <c r="C3881" t="inlineStr">
        <is>
          <t>https://www.bbva.es/personas/hipotecas/inmuebles/inmueble-32678.html</t>
        </is>
      </c>
      <c r="E3881" t="n">
        <v>1</v>
      </c>
      <c r="H3881" t="n">
        <v>1580</v>
      </c>
      <c r="J3881" t="inlineStr">
        <is>
          <t>Vileta (SA)</t>
        </is>
      </c>
      <c r="S3881" t="n">
        <v>599000</v>
      </c>
      <c r="T3881" t="n">
        <v>379</v>
      </c>
      <c r="AH3881" t="inlineStr">
        <is>
          <t>Quelle: BBVA Inmuebles (Solvia)</t>
        </is>
      </c>
    </row>
    <row r="3882">
      <c r="A3882" t="n">
        <v>3695</v>
      </c>
      <c r="B3882" t="inlineStr">
        <is>
          <t>Chalet independiente en Marratxí</t>
        </is>
      </c>
      <c r="C3882" t="inlineStr">
        <is>
          <t>https://www.bbva.es/personas/hipotecas/inmuebles/inmueble-222992.html</t>
        </is>
      </c>
      <c r="E3882" t="n">
        <v>3</v>
      </c>
      <c r="H3882" t="n">
        <v>408.8</v>
      </c>
      <c r="J3882" t="inlineStr">
        <is>
          <t>Marratxí</t>
        </is>
      </c>
      <c r="S3882" t="n">
        <v>610000</v>
      </c>
      <c r="T3882" t="n">
        <v>1492</v>
      </c>
      <c r="AH3882" t="inlineStr">
        <is>
          <t>Quelle: BBVA Inmuebles (Solvia)</t>
        </is>
      </c>
    </row>
    <row r="3883">
      <c r="A3883" t="n">
        <v>3696</v>
      </c>
      <c r="B3883" t="inlineStr">
        <is>
          <t>Hotel en Pobla (Sa)</t>
        </is>
      </c>
      <c r="C3883" t="inlineStr">
        <is>
          <t>https://www.bbva.es/personas/hipotecas/inmuebles/inmueble-206842.html</t>
        </is>
      </c>
      <c r="E3883" t="n">
        <v>10</v>
      </c>
      <c r="H3883" t="n">
        <v>1990.22</v>
      </c>
      <c r="J3883" t="inlineStr">
        <is>
          <t>Pobla (Sa)</t>
        </is>
      </c>
      <c r="K3883" t="n">
        <v>52.7</v>
      </c>
      <c r="L3883" t="n">
        <v>41</v>
      </c>
      <c r="M3883" t="n">
        <v>59.6</v>
      </c>
      <c r="N3883" t="n">
        <v>65</v>
      </c>
      <c r="O3883" t="n">
        <v>75.3</v>
      </c>
      <c r="P3883" t="n">
        <v>57</v>
      </c>
      <c r="Q3883" t="n">
        <v>57.3</v>
      </c>
      <c r="R3883" t="n">
        <v>61</v>
      </c>
      <c r="S3883" t="n">
        <v>646000</v>
      </c>
      <c r="T3883" t="n">
        <v>325</v>
      </c>
      <c r="AH3883" t="inlineStr">
        <is>
          <t>Quelle: BBVA Inmuebles (Solvia)</t>
        </is>
      </c>
    </row>
    <row r="3884">
      <c r="A3884" t="n">
        <v>3697</v>
      </c>
      <c r="B3884" t="inlineStr">
        <is>
          <t>Edificio en Sant Lluís</t>
        </is>
      </c>
      <c r="C3884" t="inlineStr">
        <is>
          <t>https://www.bbva.es/personas/hipotecas/inmuebles/inmueble-221704.html</t>
        </is>
      </c>
      <c r="H3884" t="n">
        <v>792.34</v>
      </c>
      <c r="J3884" t="inlineStr">
        <is>
          <t>Sant Lluís</t>
        </is>
      </c>
      <c r="S3884" t="n">
        <v>680100</v>
      </c>
      <c r="T3884" t="n">
        <v>858</v>
      </c>
      <c r="AH3884" t="inlineStr">
        <is>
          <t>Quelle: BBVA Inmuebles (Solvia)</t>
        </is>
      </c>
    </row>
    <row r="3885">
      <c r="A3885" t="n">
        <v>3698</v>
      </c>
      <c r="B3885" t="inlineStr">
        <is>
          <t>Chalet adosado en Sant Josep de sa Talaia</t>
        </is>
      </c>
      <c r="C3885" t="inlineStr">
        <is>
          <t>https://www.bbva.es/personas/hipotecas/inmuebles/inmueble-83796.html</t>
        </is>
      </c>
      <c r="E3885" t="n">
        <v>3</v>
      </c>
      <c r="H3885" t="n">
        <v>107.3</v>
      </c>
      <c r="J3885" t="inlineStr">
        <is>
          <t>Sant Josep de sa Talaia</t>
        </is>
      </c>
      <c r="S3885" t="n">
        <v>690000</v>
      </c>
      <c r="T3885" t="n">
        <v>6431</v>
      </c>
      <c r="AH3885" t="inlineStr">
        <is>
          <t>Quelle: BBVA Inmuebles (Solvia)</t>
        </is>
      </c>
    </row>
    <row r="3886">
      <c r="A3886" t="n">
        <v>3699</v>
      </c>
      <c r="B3886" t="inlineStr">
        <is>
          <t>Chalet independiente en Alaior</t>
        </is>
      </c>
      <c r="C3886" t="inlineStr">
        <is>
          <t>https://www.bbva.es/personas/hipotecas/inmuebles/inmueble-192853.html</t>
        </is>
      </c>
      <c r="E3886" t="n">
        <v>7</v>
      </c>
      <c r="H3886" t="n">
        <v>496.82</v>
      </c>
      <c r="J3886" t="inlineStr">
        <is>
          <t>Alaior</t>
        </is>
      </c>
      <c r="K3886" t="n">
        <v>222.9</v>
      </c>
      <c r="L3886" t="n">
        <v>397</v>
      </c>
      <c r="M3886" t="n">
        <v>265.6</v>
      </c>
      <c r="N3886" t="n">
        <v>430</v>
      </c>
      <c r="O3886" t="n">
        <v>236.8</v>
      </c>
      <c r="P3886" t="n">
        <v>402</v>
      </c>
      <c r="Q3886" t="n">
        <v>263.3</v>
      </c>
      <c r="R3886" t="n">
        <v>426</v>
      </c>
      <c r="S3886" t="n">
        <v>850000</v>
      </c>
      <c r="T3886" t="n">
        <v>1711</v>
      </c>
      <c r="AH3886" t="inlineStr">
        <is>
          <t>Quelle: BBVA Inmuebles (Solvia)</t>
        </is>
      </c>
    </row>
    <row r="3887">
      <c r="A3887" t="n">
        <v>3700</v>
      </c>
      <c r="B3887" t="inlineStr">
        <is>
          <t>Suelo Urbano en Sant Josep de sa Talaia</t>
        </is>
      </c>
      <c r="C3887" t="inlineStr">
        <is>
          <t>https://www.bbva.es/personas/hipotecas/inmuebles/inmueble-99558.html</t>
        </is>
      </c>
      <c r="H3887" t="n">
        <v>2000</v>
      </c>
      <c r="J3887" t="inlineStr">
        <is>
          <t>Sant Josep de sa Talaia</t>
        </is>
      </c>
      <c r="S3887" t="n">
        <v>880000</v>
      </c>
      <c r="T3887" t="n">
        <v>440</v>
      </c>
      <c r="AH3887" t="inlineStr">
        <is>
          <t>Quelle: BBVA Inmuebles (Solvia)</t>
        </is>
      </c>
    </row>
    <row r="3888">
      <c r="A3888" t="n">
        <v>3701</v>
      </c>
      <c r="B3888" t="inlineStr">
        <is>
          <t>Chalet independiente en Felanitx</t>
        </is>
      </c>
      <c r="C3888" t="inlineStr">
        <is>
          <t>https://www.bbva.es/personas/hipotecas/inmuebles/inmueble-102159.html</t>
        </is>
      </c>
      <c r="E3888" t="n">
        <v>4</v>
      </c>
      <c r="H3888" t="n">
        <v>297.22</v>
      </c>
      <c r="J3888" t="inlineStr">
        <is>
          <t>Felanitx</t>
        </is>
      </c>
      <c r="S3888" t="n">
        <v>895000</v>
      </c>
      <c r="T3888" t="n">
        <v>3011</v>
      </c>
      <c r="AH3888" t="inlineStr">
        <is>
          <t>Quelle: BBVA Inmuebles (Solvia)</t>
        </is>
      </c>
    </row>
    <row r="3889">
      <c r="A3889" t="n">
        <v>3702</v>
      </c>
      <c r="B3889" t="inlineStr">
        <is>
          <t>Chalet independiente en Inca</t>
        </is>
      </c>
      <c r="C3889" t="inlineStr">
        <is>
          <t>https://www.bbva.es/personas/hipotecas/inmuebles/inmueble-246319.html</t>
        </is>
      </c>
      <c r="E3889" t="n">
        <v>6</v>
      </c>
      <c r="H3889" t="n">
        <v>921.4400000000001</v>
      </c>
      <c r="J3889" t="inlineStr">
        <is>
          <t>Inca</t>
        </is>
      </c>
      <c r="K3889" t="n">
        <v>37.5</v>
      </c>
      <c r="L3889" t="n">
        <v>29</v>
      </c>
      <c r="M3889" t="n">
        <v>55.6</v>
      </c>
      <c r="N3889" t="n">
        <v>55</v>
      </c>
      <c r="O3889" t="n">
        <v>60.1</v>
      </c>
      <c r="P3889" t="n">
        <v>45</v>
      </c>
      <c r="Q3889" t="n">
        <v>53.3</v>
      </c>
      <c r="R3889" t="n">
        <v>51</v>
      </c>
      <c r="S3889" t="n">
        <v>956800</v>
      </c>
      <c r="T3889" t="n">
        <v>1038</v>
      </c>
      <c r="AH3889" t="inlineStr">
        <is>
          <t>Quelle: BBVA Inmuebles (Solvia)</t>
        </is>
      </c>
    </row>
    <row r="3890">
      <c r="A3890" t="n">
        <v>3703</v>
      </c>
      <c r="B3890" t="inlineStr">
        <is>
          <t>Chalet independiente en Santanyí</t>
        </is>
      </c>
      <c r="C3890" t="inlineStr">
        <is>
          <t>https://www.bbva.es/personas/hipotecas/inmuebles/inmueble-179160.html</t>
        </is>
      </c>
      <c r="E3890" t="n">
        <v>7</v>
      </c>
      <c r="H3890" t="n">
        <v>311</v>
      </c>
      <c r="J3890" t="inlineStr">
        <is>
          <t>Santanyí</t>
        </is>
      </c>
      <c r="K3890" t="n">
        <v>45.4</v>
      </c>
      <c r="L3890" t="n">
        <v>39</v>
      </c>
      <c r="M3890" t="n">
        <v>9</v>
      </c>
      <c r="N3890" t="n">
        <v>13</v>
      </c>
      <c r="O3890" t="n">
        <v>83.59999999999999</v>
      </c>
      <c r="P3890" t="n">
        <v>67</v>
      </c>
      <c r="Q3890" t="n">
        <v>9.699999999999999</v>
      </c>
      <c r="R3890" t="n">
        <v>15</v>
      </c>
      <c r="S3890" t="n">
        <v>1200000</v>
      </c>
      <c r="T3890" t="n">
        <v>3859</v>
      </c>
      <c r="AH3890" t="inlineStr">
        <is>
          <t>Quelle: BBVA Inmuebles (Solvia)</t>
        </is>
      </c>
    </row>
    <row r="3891">
      <c r="A3891" t="n">
        <v>3704</v>
      </c>
      <c r="B3891" t="inlineStr">
        <is>
          <t>Suelo urbanizable sectorizado en Manacor</t>
        </is>
      </c>
      <c r="C3891" t="inlineStr">
        <is>
          <t>https://www.bbva.es/personas/hipotecas/inmuebles/inmueble-192254.html</t>
        </is>
      </c>
      <c r="H3891" t="n">
        <v>14812.1</v>
      </c>
      <c r="J3891" t="inlineStr">
        <is>
          <t>Manacor</t>
        </is>
      </c>
      <c r="K3891" t="n">
        <v>49.2</v>
      </c>
      <c r="L3891" t="n">
        <v>44</v>
      </c>
      <c r="M3891" t="n">
        <v>40.3</v>
      </c>
      <c r="N3891" t="n">
        <v>45</v>
      </c>
      <c r="O3891" t="n">
        <v>83.40000000000001</v>
      </c>
      <c r="P3891" t="n">
        <v>68</v>
      </c>
      <c r="Q3891" t="n">
        <v>38</v>
      </c>
      <c r="R3891" t="n">
        <v>41</v>
      </c>
      <c r="S3891" t="n">
        <v>1300100</v>
      </c>
      <c r="T3891" t="n">
        <v>88</v>
      </c>
      <c r="AH3891" t="inlineStr">
        <is>
          <t>Quelle: BBVA Inmuebles (Solvia)</t>
        </is>
      </c>
    </row>
    <row r="3892">
      <c r="A3892" t="n">
        <v>3705</v>
      </c>
      <c r="B3892" t="inlineStr">
        <is>
          <t>Suelo Urbanizable en Alcúdia</t>
        </is>
      </c>
      <c r="C3892" t="inlineStr">
        <is>
          <t>https://www.bbva.es/personas/hipotecas/inmuebles/inmueble-226922.html</t>
        </is>
      </c>
      <c r="H3892" t="n">
        <v>30252</v>
      </c>
      <c r="J3892" t="inlineStr">
        <is>
          <t>Alcúdia</t>
        </is>
      </c>
      <c r="K3892" t="n">
        <v>61.6</v>
      </c>
      <c r="L3892" t="n">
        <v>47</v>
      </c>
      <c r="M3892" t="n">
        <v>79.7</v>
      </c>
      <c r="N3892" t="n">
        <v>74</v>
      </c>
      <c r="O3892" t="n">
        <v>84.2</v>
      </c>
      <c r="P3892" t="n">
        <v>63</v>
      </c>
      <c r="Q3892" t="n">
        <v>77.40000000000001</v>
      </c>
      <c r="R3892" t="n">
        <v>70</v>
      </c>
      <c r="S3892" t="n">
        <v>1500000</v>
      </c>
      <c r="T3892" t="n">
        <v>50</v>
      </c>
      <c r="AH3892" t="inlineStr">
        <is>
          <t>Quelle: BBVA Inmuebles (Solvia)</t>
        </is>
      </c>
    </row>
    <row r="3893">
      <c r="A3893" t="n">
        <v>3706</v>
      </c>
      <c r="B3893" t="inlineStr">
        <is>
          <t>Suelo Rústico con Vivienda en Marratxí</t>
        </is>
      </c>
      <c r="C3893" t="inlineStr">
        <is>
          <t>https://www.bbva.es/personas/hipotecas/inmuebles/inmueble-31064.html</t>
        </is>
      </c>
      <c r="J3893" t="inlineStr">
        <is>
          <t>Marratxí</t>
        </is>
      </c>
      <c r="K3893" t="n">
        <v>13</v>
      </c>
      <c r="L3893" t="n">
        <v>17</v>
      </c>
      <c r="M3893" t="n">
        <v>56.3</v>
      </c>
      <c r="N3893" t="n">
        <v>50</v>
      </c>
      <c r="O3893" t="n">
        <v>40.6</v>
      </c>
      <c r="P3893" t="n">
        <v>34</v>
      </c>
      <c r="Q3893" t="n">
        <v>54</v>
      </c>
      <c r="R3893" t="n">
        <v>46</v>
      </c>
      <c r="S3893" t="n">
        <v>1520000</v>
      </c>
      <c r="AH3893" t="inlineStr">
        <is>
          <t>Quelle: BBVA Inmuebles (Solvia)</t>
        </is>
      </c>
    </row>
    <row r="3894">
      <c r="A3894" t="n">
        <v>3707</v>
      </c>
      <c r="B3894" t="inlineStr">
        <is>
          <t>Suelo Urbano consolidado en Mercadal (Es)</t>
        </is>
      </c>
      <c r="C3894" t="inlineStr">
        <is>
          <t>https://www.bbva.es/personas/hipotecas/inmuebles/inmueble-77110.html</t>
        </is>
      </c>
      <c r="H3894" t="n">
        <v>7158.34</v>
      </c>
      <c r="J3894" t="inlineStr">
        <is>
          <t>Mercadal (Es)</t>
        </is>
      </c>
      <c r="K3894" t="n">
        <v>47.4</v>
      </c>
      <c r="L3894" t="n">
        <v>40</v>
      </c>
      <c r="M3894" t="n">
        <v>51.8</v>
      </c>
      <c r="N3894" t="n">
        <v>55</v>
      </c>
      <c r="O3894" t="n">
        <v>70</v>
      </c>
      <c r="P3894" t="n">
        <v>56</v>
      </c>
      <c r="Q3894" t="n">
        <v>49.5</v>
      </c>
      <c r="R3894" t="n">
        <v>51</v>
      </c>
      <c r="S3894" t="n">
        <v>1551800</v>
      </c>
      <c r="T3894" t="n">
        <v>217</v>
      </c>
      <c r="AH3894" t="inlineStr">
        <is>
          <t>Quelle: BBVA Inmuebles (Solvia)</t>
        </is>
      </c>
    </row>
    <row r="3895">
      <c r="A3895" t="n">
        <v>3708</v>
      </c>
      <c r="B3895" t="inlineStr">
        <is>
          <t>Chalet adosado en Sant Josep de sa Talaia</t>
        </is>
      </c>
      <c r="C3895" t="inlineStr">
        <is>
          <t>https://www.bbva.es/personas/hipotecas/inmuebles/inmueble-48244.html</t>
        </is>
      </c>
      <c r="E3895" t="n">
        <v>3</v>
      </c>
      <c r="H3895" t="n">
        <v>285.7</v>
      </c>
      <c r="J3895" t="inlineStr">
        <is>
          <t>Sant Josep de sa Talaia</t>
        </is>
      </c>
      <c r="K3895" t="n">
        <v>47.4</v>
      </c>
      <c r="L3895" t="n">
        <v>40</v>
      </c>
      <c r="M3895" t="n">
        <v>51.8</v>
      </c>
      <c r="N3895" t="n">
        <v>55</v>
      </c>
      <c r="O3895" t="n">
        <v>70</v>
      </c>
      <c r="P3895" t="n">
        <v>56</v>
      </c>
      <c r="Q3895" t="n">
        <v>49.5</v>
      </c>
      <c r="R3895" t="n">
        <v>51</v>
      </c>
      <c r="S3895" t="n">
        <v>1590000</v>
      </c>
      <c r="T3895" t="n">
        <v>5565</v>
      </c>
      <c r="AH3895" t="inlineStr">
        <is>
          <t>Quelle: BBVA Inmuebles (Solvia)</t>
        </is>
      </c>
    </row>
    <row r="3896">
      <c r="A3896" t="n">
        <v>3709</v>
      </c>
      <c r="B3896" t="inlineStr">
        <is>
          <t>Hotel en Capdepera</t>
        </is>
      </c>
      <c r="C3896" t="inlineStr">
        <is>
          <t>https://www.bbva.es/personas/hipotecas/inmuebles/inmueble-263165.html</t>
        </is>
      </c>
      <c r="H3896" t="n">
        <v>38.82</v>
      </c>
      <c r="J3896" t="inlineStr">
        <is>
          <t>Capdepera</t>
        </is>
      </c>
      <c r="K3896" t="n">
        <v>74.40000000000001</v>
      </c>
      <c r="L3896" t="n">
        <v>63</v>
      </c>
      <c r="M3896" t="n">
        <v>69.8</v>
      </c>
      <c r="N3896" t="n">
        <v>66</v>
      </c>
      <c r="O3896" t="n">
        <v>108.6</v>
      </c>
      <c r="P3896" t="n">
        <v>88</v>
      </c>
      <c r="Q3896" t="n">
        <v>67.5</v>
      </c>
      <c r="R3896" t="n">
        <v>63</v>
      </c>
      <c r="S3896" t="n">
        <v>5942335</v>
      </c>
      <c r="T3896" t="n">
        <v>153074</v>
      </c>
      <c r="AH3896" t="inlineStr">
        <is>
          <t>Quelle: BBVA Inmuebles (Solvia)</t>
        </is>
      </c>
    </row>
    <row r="3897">
      <c r="A3897" t="n">
        <v>3710</v>
      </c>
      <c r="B3897" t="inlineStr">
        <is>
          <t>Suelo Rústico en Palma de Mallorca</t>
        </is>
      </c>
      <c r="C3897" t="inlineStr">
        <is>
          <t>https://www.bbva.es/personas/hipotecas/inmuebles/inmueble-48350.html</t>
        </is>
      </c>
      <c r="H3897" t="n">
        <v>331667.7</v>
      </c>
      <c r="J3897" t="inlineStr">
        <is>
          <t>Palma de Mallorca</t>
        </is>
      </c>
      <c r="K3897" t="n">
        <v>9.699999999999999</v>
      </c>
      <c r="L3897" t="n">
        <v>14</v>
      </c>
      <c r="M3897" t="n">
        <v>52.5</v>
      </c>
      <c r="N3897" t="n">
        <v>47</v>
      </c>
      <c r="O3897" t="n">
        <v>32.1</v>
      </c>
      <c r="P3897" t="n">
        <v>36</v>
      </c>
      <c r="Q3897" t="n">
        <v>50.2</v>
      </c>
      <c r="R3897" t="n">
        <v>44</v>
      </c>
      <c r="S3897" t="n">
        <v>1000000000</v>
      </c>
      <c r="T3897" t="n">
        <v>3015</v>
      </c>
      <c r="AH3897" t="inlineStr">
        <is>
          <t>Quelle: BBVA Inmuebles (Solvia)</t>
        </is>
      </c>
    </row>
    <row r="3898">
      <c r="A3898" t="n">
        <v>3711</v>
      </c>
      <c r="B3898" t="inlineStr">
        <is>
          <t>Modern Beach Villa for Sale in Cala Vinyes</t>
        </is>
      </c>
      <c r="C3898" t="inlineStr">
        <is>
          <t>https://sandberg-estates.com/properties/modern-beach-villa-for-sale-in-cala-vinyes</t>
        </is>
      </c>
      <c r="E3898" t="n">
        <v>5</v>
      </c>
      <c r="G3898" t="n">
        <v>1400</v>
      </c>
      <c r="H3898" t="n">
        <v>450</v>
      </c>
      <c r="J3898" t="inlineStr">
        <is>
          <t>Cala Vinyes ,Villa</t>
        </is>
      </c>
      <c r="K3898" t="n">
        <v>31.5</v>
      </c>
      <c r="L3898" t="n">
        <v>31</v>
      </c>
      <c r="M3898" t="n">
        <v>74.3</v>
      </c>
      <c r="N3898" t="n">
        <v>64</v>
      </c>
      <c r="O3898" t="n">
        <v>20.4</v>
      </c>
      <c r="P3898" t="n">
        <v>25</v>
      </c>
      <c r="Q3898" t="n">
        <v>72</v>
      </c>
      <c r="R3898" t="n">
        <v>60</v>
      </c>
      <c r="S3898" t="n">
        <v>4950000</v>
      </c>
      <c r="T3898" t="n">
        <v>11000</v>
      </c>
      <c r="U3898" t="n">
        <v>3536</v>
      </c>
      <c r="AH3898" t="inlineStr">
        <is>
          <t>Quelle: Sandberg Estates</t>
        </is>
      </c>
    </row>
    <row r="3899">
      <c r="A3899" t="n">
        <v>3712</v>
      </c>
      <c r="B3899" t="inlineStr">
        <is>
          <t>Large Townhouse for Sale in Calvia Vila</t>
        </is>
      </c>
      <c r="C3899" t="inlineStr">
        <is>
          <t>https://sandberg-estates.com/properties/large-townhouse-for-sale-in-calvia-vila</t>
        </is>
      </c>
      <c r="E3899" t="n">
        <v>4</v>
      </c>
      <c r="H3899" t="n">
        <v>314</v>
      </c>
      <c r="J3899" t="inlineStr">
        <is>
          <t>Calvia ,Villa</t>
        </is>
      </c>
      <c r="K3899" t="n">
        <v>34.1</v>
      </c>
      <c r="L3899" t="n">
        <v>36</v>
      </c>
      <c r="M3899" t="n">
        <v>76.90000000000001</v>
      </c>
      <c r="N3899" t="n">
        <v>68</v>
      </c>
      <c r="O3899" t="n">
        <v>20.2</v>
      </c>
      <c r="P3899" t="n">
        <v>30</v>
      </c>
      <c r="Q3899" t="n">
        <v>74.59999999999999</v>
      </c>
      <c r="R3899" t="n">
        <v>65</v>
      </c>
      <c r="S3899" t="n">
        <v>1200000</v>
      </c>
      <c r="T3899" t="n">
        <v>3822</v>
      </c>
      <c r="AH3899" t="inlineStr">
        <is>
          <t>Quelle: Sandberg Estates</t>
        </is>
      </c>
    </row>
    <row r="3900">
      <c r="A3900" t="n">
        <v>3713</v>
      </c>
      <c r="B3900" t="inlineStr">
        <is>
          <t>Mediterranean Townhouse with Renovation Project for Sale in Felantix</t>
        </is>
      </c>
      <c r="C3900" t="inlineStr">
        <is>
          <t>https://sandberg-estates.com/properties/mediterranean-townhouse-with-renovation-project-for-sale-in-felantix</t>
        </is>
      </c>
      <c r="E3900" t="n">
        <v>2</v>
      </c>
      <c r="G3900" t="n">
        <v>200</v>
      </c>
      <c r="H3900" t="n">
        <v>224</v>
      </c>
      <c r="J3900" t="inlineStr">
        <is>
          <t>Felanitx ,Villa</t>
        </is>
      </c>
      <c r="S3900" t="n">
        <v>475000</v>
      </c>
      <c r="T3900" t="n">
        <v>2121</v>
      </c>
      <c r="U3900" t="n">
        <v>2375</v>
      </c>
      <c r="AH3900" t="inlineStr">
        <is>
          <t>Quelle: Sandberg Estates</t>
        </is>
      </c>
    </row>
    <row r="3901">
      <c r="A3901" t="n">
        <v>3714</v>
      </c>
      <c r="B3901" t="inlineStr">
        <is>
          <t>Renovation Project: Townhouse for Sale in Felantix</t>
        </is>
      </c>
      <c r="C3901" t="inlineStr">
        <is>
          <t>https://sandberg-estates.com/properties/renovation-project-townhouse-for-sale-in-felantix</t>
        </is>
      </c>
      <c r="E3901" t="n">
        <v>2</v>
      </c>
      <c r="G3901" t="n">
        <v>200</v>
      </c>
      <c r="H3901" t="n">
        <v>224</v>
      </c>
      <c r="J3901" t="inlineStr">
        <is>
          <t>Felanitx ,Villa</t>
        </is>
      </c>
      <c r="S3901" t="n">
        <v>931000</v>
      </c>
      <c r="T3901" t="n">
        <v>4156</v>
      </c>
      <c r="U3901" t="n">
        <v>4655</v>
      </c>
      <c r="AH3901" t="inlineStr">
        <is>
          <t>Quelle: Sandberg Estates</t>
        </is>
      </c>
    </row>
    <row r="3902">
      <c r="A3902" t="n">
        <v>3715</v>
      </c>
      <c r="B3902" t="inlineStr">
        <is>
          <t>EXCLUSIVE PROPERTIES</t>
        </is>
      </c>
      <c r="C3902" t="inlineStr">
        <is>
          <t>https://sandberg-estates.com/contact</t>
        </is>
      </c>
      <c r="AH3902" t="inlineStr">
        <is>
          <t>Quelle: Sandberg Estates</t>
        </is>
      </c>
    </row>
    <row r="3903">
      <c r="A3903" t="n">
        <v>3716</v>
      </c>
      <c r="B3903" t="inlineStr">
        <is>
          <t>Penthouse Apartment with Sea View for Sale in Cala Mayor</t>
        </is>
      </c>
      <c r="C3903" t="inlineStr">
        <is>
          <t>https://sandberg-estates.com/properties/penthouse-apartment-with-sea-view-for-sale-in-cala-mayor</t>
        </is>
      </c>
      <c r="E3903" t="n">
        <v>2</v>
      </c>
      <c r="H3903" t="n">
        <v>105</v>
      </c>
      <c r="J3903" t="inlineStr">
        <is>
          <t>Cala Mayor ,Apartment</t>
        </is>
      </c>
      <c r="K3903" t="n">
        <v>19.7</v>
      </c>
      <c r="L3903" t="n">
        <v>19</v>
      </c>
      <c r="M3903" t="n">
        <v>62.5</v>
      </c>
      <c r="N3903" t="n">
        <v>52</v>
      </c>
      <c r="O3903" t="n">
        <v>26.3</v>
      </c>
      <c r="P3903" t="n">
        <v>24</v>
      </c>
      <c r="Q3903" t="n">
        <v>60.2</v>
      </c>
      <c r="R3903" t="n">
        <v>48</v>
      </c>
      <c r="S3903" t="n">
        <v>1995000</v>
      </c>
      <c r="T3903" t="n">
        <v>19000</v>
      </c>
      <c r="AH3903" t="inlineStr">
        <is>
          <t>Quelle: Sandberg Estates</t>
        </is>
      </c>
    </row>
    <row r="3904">
      <c r="A3904" t="n">
        <v>3717</v>
      </c>
      <c r="B3904" t="inlineStr">
        <is>
          <t>Turn-Key 2-Bedroom Apartment for Sale in Cala Mayor</t>
        </is>
      </c>
      <c r="C3904" t="inlineStr">
        <is>
          <t>https://sandberg-estates.com/properties/turn-key-2-bedroom-apartment-for-sale-in-cala-mayor</t>
        </is>
      </c>
      <c r="E3904" t="n">
        <v>2</v>
      </c>
      <c r="H3904" t="n">
        <v>84</v>
      </c>
      <c r="J3904" t="inlineStr">
        <is>
          <t>Cala Mayor ,Apartment</t>
        </is>
      </c>
      <c r="K3904" t="n">
        <v>19.7</v>
      </c>
      <c r="L3904" t="n">
        <v>19</v>
      </c>
      <c r="M3904" t="n">
        <v>62.5</v>
      </c>
      <c r="N3904" t="n">
        <v>52</v>
      </c>
      <c r="O3904" t="n">
        <v>26.3</v>
      </c>
      <c r="P3904" t="n">
        <v>24</v>
      </c>
      <c r="Q3904" t="n">
        <v>60.2</v>
      </c>
      <c r="R3904" t="n">
        <v>48</v>
      </c>
      <c r="S3904" t="n">
        <v>1450000</v>
      </c>
      <c r="T3904" t="n">
        <v>17262</v>
      </c>
      <c r="AH3904" t="inlineStr">
        <is>
          <t>Quelle: Sandberg Estates</t>
        </is>
      </c>
    </row>
    <row r="3905">
      <c r="A3905" t="n">
        <v>3718</v>
      </c>
      <c r="B3905" t="inlineStr">
        <is>
          <t>2-Bedroom Ground-Floor Apartment for Sale in Cala Mayor</t>
        </is>
      </c>
      <c r="C3905" t="inlineStr">
        <is>
          <t>https://sandberg-estates.com/properties/2-bedroom-ground-floor-apartment-for-sale-in-cala-mayor</t>
        </is>
      </c>
      <c r="E3905" t="n">
        <v>2</v>
      </c>
      <c r="H3905" t="n">
        <v>84</v>
      </c>
      <c r="J3905" t="inlineStr">
        <is>
          <t>Cala Mayor ,Apartment</t>
        </is>
      </c>
      <c r="K3905" t="n">
        <v>19.7</v>
      </c>
      <c r="L3905" t="n">
        <v>19</v>
      </c>
      <c r="M3905" t="n">
        <v>62.5</v>
      </c>
      <c r="N3905" t="n">
        <v>52</v>
      </c>
      <c r="O3905" t="n">
        <v>26.3</v>
      </c>
      <c r="P3905" t="n">
        <v>24</v>
      </c>
      <c r="Q3905" t="n">
        <v>60.2</v>
      </c>
      <c r="R3905" t="n">
        <v>48</v>
      </c>
      <c r="S3905" t="n">
        <v>1500000</v>
      </c>
      <c r="T3905" t="n">
        <v>17857</v>
      </c>
      <c r="AH3905" t="inlineStr">
        <is>
          <t>Quelle: Sandberg Estates</t>
        </is>
      </c>
    </row>
    <row r="3906">
      <c r="A3906" t="n">
        <v>3719</v>
      </c>
      <c r="B3906" t="inlineStr">
        <is>
          <t>Charming Apartment for Sale in Cas Català</t>
        </is>
      </c>
      <c r="C3906" t="inlineStr">
        <is>
          <t>https://sandberg-estates.com/properties/charming-apartment-for-sale-in-cas-catala</t>
        </is>
      </c>
      <c r="E3906" t="n">
        <v>2</v>
      </c>
      <c r="H3906" t="n">
        <v>200</v>
      </c>
      <c r="J3906" t="inlineStr">
        <is>
          <t>Cas Catala ,Apartment</t>
        </is>
      </c>
      <c r="K3906" t="n">
        <v>20</v>
      </c>
      <c r="L3906" t="n">
        <v>22</v>
      </c>
      <c r="M3906" t="n">
        <v>62.8</v>
      </c>
      <c r="N3906" t="n">
        <v>55</v>
      </c>
      <c r="O3906" t="n">
        <v>23.7</v>
      </c>
      <c r="P3906" t="n">
        <v>23</v>
      </c>
      <c r="Q3906" t="n">
        <v>60.5</v>
      </c>
      <c r="R3906" t="n">
        <v>51</v>
      </c>
      <c r="S3906" t="n">
        <v>1450000</v>
      </c>
      <c r="T3906" t="n">
        <v>7250</v>
      </c>
      <c r="AH3906" t="inlineStr">
        <is>
          <t>Quelle: Sandberg Estates</t>
        </is>
      </c>
    </row>
    <row r="3907">
      <c r="A3907" t="n">
        <v>3720</v>
      </c>
      <c r="B3907" t="inlineStr">
        <is>
          <t>Front Line Apartment for Sale in Cas Catala</t>
        </is>
      </c>
      <c r="C3907" t="inlineStr">
        <is>
          <t>https://sandberg-estates.com/properties/front-line-apartment-for-sale-in-cas-catala</t>
        </is>
      </c>
      <c r="E3907" t="n">
        <v>2</v>
      </c>
      <c r="H3907" t="n">
        <v>155</v>
      </c>
      <c r="J3907" t="inlineStr">
        <is>
          <t>Cas Catala ,Apartment</t>
        </is>
      </c>
      <c r="K3907" t="n">
        <v>20</v>
      </c>
      <c r="L3907" t="n">
        <v>22</v>
      </c>
      <c r="M3907" t="n">
        <v>62.8</v>
      </c>
      <c r="N3907" t="n">
        <v>55</v>
      </c>
      <c r="O3907" t="n">
        <v>23.7</v>
      </c>
      <c r="P3907" t="n">
        <v>23</v>
      </c>
      <c r="Q3907" t="n">
        <v>60.5</v>
      </c>
      <c r="R3907" t="n">
        <v>51</v>
      </c>
      <c r="S3907" t="n">
        <v>2650000</v>
      </c>
      <c r="T3907" t="n">
        <v>17097</v>
      </c>
      <c r="AH3907" t="inlineStr">
        <is>
          <t>Quelle: Sandberg Estates</t>
        </is>
      </c>
    </row>
    <row r="3908">
      <c r="A3908" t="n">
        <v>3721</v>
      </c>
      <c r="B3908" t="inlineStr">
        <is>
          <t>Semi-Detached House for Sale in Camp de Mar</t>
        </is>
      </c>
      <c r="C3908" t="inlineStr">
        <is>
          <t>https://sandberg-estates.com/properties/semi-detached-house-for-sale-in-camp-de-mar</t>
        </is>
      </c>
      <c r="E3908" t="n">
        <v>3</v>
      </c>
      <c r="H3908" t="n">
        <v>232</v>
      </c>
      <c r="J3908" t="inlineStr">
        <is>
          <t>Andratx ,Villa</t>
        </is>
      </c>
      <c r="S3908" t="n">
        <v>845000</v>
      </c>
      <c r="T3908" t="n">
        <v>3642</v>
      </c>
      <c r="AH3908" t="inlineStr">
        <is>
          <t>Quelle: Sandberg Estates</t>
        </is>
      </c>
    </row>
    <row r="3909">
      <c r="A3909" t="n">
        <v>3722</v>
      </c>
      <c r="B3909" t="inlineStr">
        <is>
          <t>Stylish 1 Bedroom Apartment for Sale in Palma City Center</t>
        </is>
      </c>
      <c r="C3909" t="inlineStr">
        <is>
          <t>https://sandberg-estates.com/properties/stylish-1-bedroom-apartment-for-sale-in-palma-city-center</t>
        </is>
      </c>
      <c r="E3909" t="n">
        <v>1</v>
      </c>
      <c r="H3909" t="n">
        <v>62</v>
      </c>
      <c r="J3909" t="inlineStr">
        <is>
          <t>Palma City Center ,Apartment</t>
        </is>
      </c>
      <c r="S3909" t="n">
        <v>350000</v>
      </c>
      <c r="T3909" t="n">
        <v>5645</v>
      </c>
      <c r="AH3909" t="inlineStr">
        <is>
          <t>Quelle: Sandberg Estates</t>
        </is>
      </c>
    </row>
    <row r="3910">
      <c r="A3910" t="n">
        <v>3723</v>
      </c>
      <c r="B3910" t="inlineStr">
        <is>
          <t>Luxury Sea View Apartment for Sale in Cala Mayor, Palma</t>
        </is>
      </c>
      <c r="C3910" t="inlineStr">
        <is>
          <t>https://sandberg-estates.com/properties/luxury-sea-view-apartment-for-sale-in-cala-mayor-palma</t>
        </is>
      </c>
      <c r="E3910" t="n">
        <v>3</v>
      </c>
      <c r="H3910" t="n">
        <v>160</v>
      </c>
      <c r="J3910" t="inlineStr">
        <is>
          <t>Cala Mayor ,Apartment</t>
        </is>
      </c>
      <c r="K3910" t="n">
        <v>19.7</v>
      </c>
      <c r="L3910" t="n">
        <v>19</v>
      </c>
      <c r="M3910" t="n">
        <v>62.5</v>
      </c>
      <c r="N3910" t="n">
        <v>52</v>
      </c>
      <c r="O3910" t="n">
        <v>26.3</v>
      </c>
      <c r="P3910" t="n">
        <v>24</v>
      </c>
      <c r="Q3910" t="n">
        <v>60.2</v>
      </c>
      <c r="R3910" t="n">
        <v>48</v>
      </c>
      <c r="S3910" t="n">
        <v>1650000</v>
      </c>
      <c r="T3910" t="n">
        <v>10312</v>
      </c>
      <c r="AH3910" t="inlineStr">
        <is>
          <t>Quelle: Sandberg Estates</t>
        </is>
      </c>
    </row>
    <row r="3911">
      <c r="A3911" t="n">
        <v>3724</v>
      </c>
      <c r="B3911" t="inlineStr">
        <is>
          <t>New Luxury 4 Bedroom Apartment for Sale in Santa Ponsa</t>
        </is>
      </c>
      <c r="C3911" t="inlineStr">
        <is>
          <t>https://sandberg-estates.com/properties/new-luxury-4-bedroom-apartment-for-sale-in-santa-ponsa</t>
        </is>
      </c>
      <c r="E3911" t="n">
        <v>3</v>
      </c>
      <c r="H3911" t="n">
        <v>155</v>
      </c>
      <c r="J3911" t="inlineStr">
        <is>
          <t>Santa Ponsa ,Apartment</t>
        </is>
      </c>
      <c r="K3911" t="n">
        <v>31.1</v>
      </c>
      <c r="L3911" t="n">
        <v>28</v>
      </c>
      <c r="M3911" t="n">
        <v>73.90000000000001</v>
      </c>
      <c r="N3911" t="n">
        <v>61</v>
      </c>
      <c r="O3911" t="n">
        <v>15.2</v>
      </c>
      <c r="P3911" t="n">
        <v>19</v>
      </c>
      <c r="Q3911" t="n">
        <v>71.59999999999999</v>
      </c>
      <c r="R3911" t="n">
        <v>57</v>
      </c>
      <c r="S3911" t="n">
        <v>1668000</v>
      </c>
      <c r="T3911" t="n">
        <v>10761</v>
      </c>
      <c r="AH3911" t="inlineStr">
        <is>
          <t>Quelle: Sandberg Estates</t>
        </is>
      </c>
    </row>
    <row r="3912">
      <c r="A3912" t="n">
        <v>3725</v>
      </c>
      <c r="B3912" t="inlineStr">
        <is>
          <t>New Build Luxury Apartment for Sale in Santa Ponsa</t>
        </is>
      </c>
      <c r="C3912" t="inlineStr">
        <is>
          <t>https://sandberg-estates.com/properties/new-build-luxury-apartment-for-sale-in-santa-ponsa</t>
        </is>
      </c>
      <c r="E3912" t="n">
        <v>3</v>
      </c>
      <c r="H3912" t="n">
        <v>155</v>
      </c>
      <c r="J3912" t="inlineStr">
        <is>
          <t>Santa Ponsa ,Apartment</t>
        </is>
      </c>
      <c r="K3912" t="n">
        <v>31.1</v>
      </c>
      <c r="L3912" t="n">
        <v>28</v>
      </c>
      <c r="M3912" t="n">
        <v>73.90000000000001</v>
      </c>
      <c r="N3912" t="n">
        <v>61</v>
      </c>
      <c r="O3912" t="n">
        <v>15.2</v>
      </c>
      <c r="P3912" t="n">
        <v>19</v>
      </c>
      <c r="Q3912" t="n">
        <v>71.59999999999999</v>
      </c>
      <c r="R3912" t="n">
        <v>57</v>
      </c>
      <c r="S3912" t="n">
        <v>1970000</v>
      </c>
      <c r="T3912" t="n">
        <v>12710</v>
      </c>
      <c r="AH3912" t="inlineStr">
        <is>
          <t>Quelle: Sandberg Estates</t>
        </is>
      </c>
    </row>
    <row r="3913">
      <c r="A3913" t="n">
        <v>3726</v>
      </c>
      <c r="B3913" t="inlineStr">
        <is>
          <t>3-Bedroom Apartment for Sale in Bendinat Golf</t>
        </is>
      </c>
      <c r="C3913" t="inlineStr">
        <is>
          <t>https://sandberg-estates.com/properties/3-bedroom-apartment-for-sale-in-bendinat-golf</t>
        </is>
      </c>
      <c r="E3913" t="n">
        <v>2</v>
      </c>
      <c r="H3913" t="n">
        <v>136</v>
      </c>
      <c r="J3913" t="inlineStr">
        <is>
          <t>Bendinat ,Apartment</t>
        </is>
      </c>
      <c r="S3913" t="n">
        <v>699950</v>
      </c>
      <c r="T3913" t="n">
        <v>5147</v>
      </c>
      <c r="AH3913" t="inlineStr">
        <is>
          <t>Quelle: Sandberg Estates</t>
        </is>
      </c>
    </row>
    <row r="3914">
      <c r="A3914" t="n">
        <v>3727</v>
      </c>
      <c r="B3914" t="inlineStr">
        <is>
          <t>Newly Built Ground Floor Apartment for Sale in Santa Ponsa</t>
        </is>
      </c>
      <c r="C3914" t="inlineStr">
        <is>
          <t>https://sandberg-estates.com/properties/newly-built-ground-floor-apartment-for-sale-in-santa-ponsa</t>
        </is>
      </c>
      <c r="E3914" t="n">
        <v>3</v>
      </c>
      <c r="H3914" t="n">
        <v>155</v>
      </c>
      <c r="J3914" t="inlineStr">
        <is>
          <t>Santa Ponsa ,Apartment</t>
        </is>
      </c>
      <c r="K3914" t="n">
        <v>31.1</v>
      </c>
      <c r="L3914" t="n">
        <v>28</v>
      </c>
      <c r="M3914" t="n">
        <v>73.90000000000001</v>
      </c>
      <c r="N3914" t="n">
        <v>61</v>
      </c>
      <c r="O3914" t="n">
        <v>15.2</v>
      </c>
      <c r="P3914" t="n">
        <v>19</v>
      </c>
      <c r="Q3914" t="n">
        <v>71.59999999999999</v>
      </c>
      <c r="R3914" t="n">
        <v>57</v>
      </c>
      <c r="S3914" t="n">
        <v>1765800</v>
      </c>
      <c r="T3914" t="n">
        <v>11392</v>
      </c>
      <c r="AH3914" t="inlineStr">
        <is>
          <t>Quelle: Sandberg Estates</t>
        </is>
      </c>
    </row>
    <row r="3915">
      <c r="A3915" t="n">
        <v>3728</v>
      </c>
      <c r="B3915" t="inlineStr">
        <is>
          <t>Modern Home with Stunning Views for Sale in Santa Ponsa</t>
        </is>
      </c>
      <c r="C3915" t="inlineStr">
        <is>
          <t>https://sandberg-estates.com/properties/modern-home-with-stunning-views-for-sale-in-santa-ponsa</t>
        </is>
      </c>
      <c r="E3915" t="n">
        <v>6</v>
      </c>
      <c r="G3915" t="n">
        <v>1394</v>
      </c>
      <c r="H3915" t="n">
        <v>658</v>
      </c>
      <c r="J3915" t="inlineStr">
        <is>
          <t>Santa Ponsa ,Villa</t>
        </is>
      </c>
      <c r="K3915" t="n">
        <v>31.1</v>
      </c>
      <c r="L3915" t="n">
        <v>28</v>
      </c>
      <c r="M3915" t="n">
        <v>73.90000000000001</v>
      </c>
      <c r="N3915" t="n">
        <v>61</v>
      </c>
      <c r="O3915" t="n">
        <v>15.2</v>
      </c>
      <c r="P3915" t="n">
        <v>19</v>
      </c>
      <c r="Q3915" t="n">
        <v>71.59999999999999</v>
      </c>
      <c r="R3915" t="n">
        <v>57</v>
      </c>
      <c r="S3915" t="n">
        <v>4875000</v>
      </c>
      <c r="T3915" t="n">
        <v>7409</v>
      </c>
      <c r="U3915" t="n">
        <v>3497</v>
      </c>
      <c r="AH3915" t="inlineStr">
        <is>
          <t>Quelle: Sandberg Estates</t>
        </is>
      </c>
    </row>
    <row r="3916">
      <c r="A3916" t="n">
        <v>3729</v>
      </c>
      <c r="B3916" t="inlineStr">
        <is>
          <t>Modern Apartment in the Heart of Santa Catalina in Palma for Sale</t>
        </is>
      </c>
      <c r="C3916" t="inlineStr">
        <is>
          <t>https://sandberg-estates.com/properties/modern-apartment-in-the-heart-of-santa-catalina-in-palma-for-sale</t>
        </is>
      </c>
      <c r="E3916" t="n">
        <v>2</v>
      </c>
      <c r="H3916" t="n">
        <v>132</v>
      </c>
      <c r="J3916" t="inlineStr">
        <is>
          <t>Santa Catalina ,Apartment</t>
        </is>
      </c>
      <c r="K3916" t="n">
        <v>11.2</v>
      </c>
      <c r="L3916" t="n">
        <v>19</v>
      </c>
      <c r="M3916" t="n">
        <v>54</v>
      </c>
      <c r="N3916" t="n">
        <v>51</v>
      </c>
      <c r="O3916" t="n">
        <v>29.1</v>
      </c>
      <c r="P3916" t="n">
        <v>31</v>
      </c>
      <c r="Q3916" t="n">
        <v>51.7</v>
      </c>
      <c r="R3916" t="n">
        <v>48</v>
      </c>
      <c r="S3916" t="n">
        <v>1445000</v>
      </c>
      <c r="T3916" t="n">
        <v>10947</v>
      </c>
      <c r="AH3916" t="inlineStr">
        <is>
          <t>Quelle: Sandberg Estates</t>
        </is>
      </c>
    </row>
    <row r="3917">
      <c r="A3917" t="n">
        <v>3730</v>
      </c>
      <c r="B3917" t="inlineStr">
        <is>
          <t>Newly built Penthouse for Sale in Santa Ponsa</t>
        </is>
      </c>
      <c r="C3917" t="inlineStr">
        <is>
          <t>https://sandberg-estates.com/properties/newly-built-penthouse-for-sale-in-santa-ponsa</t>
        </is>
      </c>
      <c r="E3917" t="n">
        <v>3</v>
      </c>
      <c r="H3917" t="n">
        <v>155</v>
      </c>
      <c r="J3917" t="inlineStr">
        <is>
          <t>Santa Ponsa ,Apartment</t>
        </is>
      </c>
      <c r="K3917" t="n">
        <v>31.1</v>
      </c>
      <c r="L3917" t="n">
        <v>28</v>
      </c>
      <c r="M3917" t="n">
        <v>73.90000000000001</v>
      </c>
      <c r="N3917" t="n">
        <v>61</v>
      </c>
      <c r="O3917" t="n">
        <v>15.2</v>
      </c>
      <c r="P3917" t="n">
        <v>19</v>
      </c>
      <c r="Q3917" t="n">
        <v>71.59999999999999</v>
      </c>
      <c r="R3917" t="n">
        <v>57</v>
      </c>
      <c r="S3917" t="n">
        <v>2820000</v>
      </c>
      <c r="T3917" t="n">
        <v>18194</v>
      </c>
      <c r="AH3917" t="inlineStr">
        <is>
          <t>Quelle: Sandberg Estates</t>
        </is>
      </c>
    </row>
    <row r="3918">
      <c r="A3918" t="n">
        <v>3731</v>
      </c>
      <c r="B3918" t="inlineStr">
        <is>
          <t>Renovated Apartment for Sale in Palma City Centre</t>
        </is>
      </c>
      <c r="C3918" t="inlineStr">
        <is>
          <t>https://sandberg-estates.com/properties/renovated-apartment-for-sale-in-palma-city-centre</t>
        </is>
      </c>
      <c r="E3918" t="n">
        <v>2</v>
      </c>
      <c r="H3918" t="n">
        <v>174</v>
      </c>
      <c r="J3918" t="inlineStr">
        <is>
          <t>Palma City Center ,Apartment</t>
        </is>
      </c>
      <c r="K3918" t="n">
        <v>11.6</v>
      </c>
      <c r="L3918" t="n">
        <v>20</v>
      </c>
      <c r="M3918" t="n">
        <v>54.3</v>
      </c>
      <c r="N3918" t="n">
        <v>53</v>
      </c>
      <c r="O3918" t="n">
        <v>29.5</v>
      </c>
      <c r="P3918" t="n">
        <v>29</v>
      </c>
      <c r="Q3918" t="n">
        <v>52</v>
      </c>
      <c r="R3918" t="n">
        <v>49</v>
      </c>
      <c r="S3918" t="n">
        <v>1595000</v>
      </c>
      <c r="T3918" t="n">
        <v>9167</v>
      </c>
      <c r="AH3918" t="inlineStr">
        <is>
          <t>Quelle: Sandberg Estates</t>
        </is>
      </c>
    </row>
    <row r="3919">
      <c r="A3919" t="n">
        <v>3732</v>
      </c>
      <c r="B3919" t="inlineStr">
        <is>
          <t>Top Renovated Finca with 2 Guest Houses for Sale in Binissalem</t>
        </is>
      </c>
      <c r="C3919" t="inlineStr">
        <is>
          <t>https://sandberg-estates.com/properties/top-renovated-finca-with-2-guest-houses-for-sale-in-binissalem</t>
        </is>
      </c>
      <c r="E3919" t="n">
        <v>6</v>
      </c>
      <c r="G3919" t="n">
        <v>15000</v>
      </c>
      <c r="H3919" t="n">
        <v>472</v>
      </c>
      <c r="J3919" t="inlineStr">
        <is>
          <t>Binissalem ,Finca</t>
        </is>
      </c>
      <c r="K3919" t="n">
        <v>31.5</v>
      </c>
      <c r="L3919" t="n">
        <v>29</v>
      </c>
      <c r="M3919" t="n">
        <v>74.3</v>
      </c>
      <c r="N3919" t="n">
        <v>62</v>
      </c>
      <c r="O3919" t="n">
        <v>54.1</v>
      </c>
      <c r="P3919" t="n">
        <v>45</v>
      </c>
      <c r="Q3919" t="n">
        <v>72</v>
      </c>
      <c r="R3919" t="n">
        <v>58</v>
      </c>
      <c r="S3919" t="n">
        <v>3400000</v>
      </c>
      <c r="T3919" t="n">
        <v>7203</v>
      </c>
      <c r="U3919" t="n">
        <v>227</v>
      </c>
      <c r="AH3919" t="inlineStr">
        <is>
          <t>Quelle: Sandberg Estates</t>
        </is>
      </c>
    </row>
    <row r="3920">
      <c r="A3920" t="n">
        <v>3733</v>
      </c>
      <c r="B3920" t="inlineStr">
        <is>
          <t>Finca with Extra Plot of Land for Sale in Valldemossa</t>
        </is>
      </c>
      <c r="C3920" t="inlineStr">
        <is>
          <t>https://sandberg-estates.com/properties/finca-with-extra-plot-of-land-for-sale-in-valldemossa</t>
        </is>
      </c>
      <c r="E3920" t="n">
        <v>4</v>
      </c>
      <c r="G3920" t="n">
        <v>2037</v>
      </c>
      <c r="H3920" t="n">
        <v>384</v>
      </c>
      <c r="J3920" t="inlineStr">
        <is>
          <t>Valldemossa ,Finca</t>
        </is>
      </c>
      <c r="K3920" t="n">
        <v>27.7</v>
      </c>
      <c r="L3920" t="n">
        <v>33</v>
      </c>
      <c r="M3920" t="n">
        <v>70.5</v>
      </c>
      <c r="N3920" t="n">
        <v>66</v>
      </c>
      <c r="O3920" t="n">
        <v>46</v>
      </c>
      <c r="P3920" t="n">
        <v>46</v>
      </c>
      <c r="Q3920" t="n">
        <v>68.2</v>
      </c>
      <c r="R3920" t="n">
        <v>63</v>
      </c>
      <c r="S3920" t="n">
        <v>3700000</v>
      </c>
      <c r="T3920" t="n">
        <v>9635</v>
      </c>
      <c r="U3920" t="n">
        <v>1816</v>
      </c>
      <c r="AH3920" t="inlineStr">
        <is>
          <t>Quelle: Sandberg Estates</t>
        </is>
      </c>
    </row>
    <row r="3921">
      <c r="A3921" t="n">
        <v>3734</v>
      </c>
      <c r="B3921" t="inlineStr">
        <is>
          <t>Renovated Semi-Detached Villa for Sale in Sol de Mallorca</t>
        </is>
      </c>
      <c r="C3921" t="inlineStr">
        <is>
          <t>https://sandberg-estates.com/properties/renovated-semi-detached-villa-for-sale-in-sol-de-mallorca</t>
        </is>
      </c>
      <c r="E3921" t="n">
        <v>4</v>
      </c>
      <c r="H3921" t="n">
        <v>223</v>
      </c>
      <c r="J3921" t="inlineStr">
        <is>
          <t>Sol de Mallorca ,Villa</t>
        </is>
      </c>
      <c r="K3921" t="n">
        <v>32.2</v>
      </c>
      <c r="L3921" t="n">
        <v>31</v>
      </c>
      <c r="M3921" t="n">
        <v>75</v>
      </c>
      <c r="N3921" t="n">
        <v>64</v>
      </c>
      <c r="O3921" t="n">
        <v>21.2</v>
      </c>
      <c r="P3921" t="n">
        <v>25</v>
      </c>
      <c r="Q3921" t="n">
        <v>72.7</v>
      </c>
      <c r="R3921" t="n">
        <v>60</v>
      </c>
      <c r="S3921" t="n">
        <v>1995000</v>
      </c>
      <c r="T3921" t="n">
        <v>8946</v>
      </c>
      <c r="AH3921" t="inlineStr">
        <is>
          <t>Quelle: Sandberg Estates</t>
        </is>
      </c>
    </row>
    <row r="3922">
      <c r="A3922" t="n">
        <v>3735</v>
      </c>
      <c r="B3922" t="inlineStr">
        <is>
          <t>Stylish Apartment in Puerto Portals for Sale</t>
        </is>
      </c>
      <c r="C3922" t="inlineStr">
        <is>
          <t>https://sandberg-estates.com/properties/stylish-apartment-in-puerto-portals-for-sale</t>
        </is>
      </c>
      <c r="E3922" t="n">
        <v>2</v>
      </c>
      <c r="H3922" t="n">
        <v>211</v>
      </c>
      <c r="J3922" t="inlineStr">
        <is>
          <t>Puerto Portals ,Apartment</t>
        </is>
      </c>
      <c r="K3922" t="n">
        <v>23.5</v>
      </c>
      <c r="L3922" t="n">
        <v>24</v>
      </c>
      <c r="M3922" t="n">
        <v>66.2</v>
      </c>
      <c r="N3922" t="n">
        <v>56</v>
      </c>
      <c r="O3922" t="n">
        <v>21.4</v>
      </c>
      <c r="P3922" t="n">
        <v>23</v>
      </c>
      <c r="Q3922" t="n">
        <v>63.9</v>
      </c>
      <c r="R3922" t="n">
        <v>53</v>
      </c>
      <c r="S3922" t="n">
        <v>2500000</v>
      </c>
      <c r="T3922" t="n">
        <v>11848</v>
      </c>
      <c r="AH3922" t="inlineStr">
        <is>
          <t>Quelle: Sandberg Estates</t>
        </is>
      </c>
    </row>
    <row r="3923">
      <c r="A3923" t="n">
        <v>3736</v>
      </c>
      <c r="B3923" t="inlineStr">
        <is>
          <t>Luxury Duplex Penthouse Apartment for Sale in Palma Old Town</t>
        </is>
      </c>
      <c r="C3923" t="inlineStr">
        <is>
          <t>https://sandberg-estates.com/properties/luxury-duplex-penthouse-apartment-for-sale-in-palma-old-town</t>
        </is>
      </c>
      <c r="E3923" t="n">
        <v>3</v>
      </c>
      <c r="H3923" t="n">
        <v>243</v>
      </c>
      <c r="J3923" t="inlineStr">
        <is>
          <t>Old Town ,Apartment</t>
        </is>
      </c>
      <c r="K3923" t="n">
        <v>47.4</v>
      </c>
      <c r="L3923" t="n">
        <v>40</v>
      </c>
      <c r="M3923" t="n">
        <v>51.8</v>
      </c>
      <c r="N3923" t="n">
        <v>55</v>
      </c>
      <c r="O3923" t="n">
        <v>70</v>
      </c>
      <c r="P3923" t="n">
        <v>56</v>
      </c>
      <c r="Q3923" t="n">
        <v>49.5</v>
      </c>
      <c r="R3923" t="n">
        <v>51</v>
      </c>
      <c r="S3923" t="n">
        <v>3450000</v>
      </c>
      <c r="T3923" t="n">
        <v>14198</v>
      </c>
      <c r="AH3923" t="inlineStr">
        <is>
          <t>Quelle: Sandberg Estates</t>
        </is>
      </c>
    </row>
    <row r="3924">
      <c r="A3924" t="n">
        <v>3737</v>
      </c>
      <c r="B3924" t="inlineStr">
        <is>
          <t>Spacious Building Plot with Project for Sale in Santa Maria del Cami</t>
        </is>
      </c>
      <c r="C3924" t="inlineStr">
        <is>
          <t>https://sandberg-estates.com/properties/spacious-building-plot-with-project-for-sale-in-santa-maria-del-cami</t>
        </is>
      </c>
      <c r="E3924" t="n">
        <v>3</v>
      </c>
      <c r="G3924" t="n">
        <v>14215</v>
      </c>
      <c r="H3924" t="n">
        <v>414</v>
      </c>
      <c r="J3924" t="inlineStr">
        <is>
          <t>Santa Maria ,Land</t>
        </is>
      </c>
      <c r="S3924" t="n">
        <v>790000</v>
      </c>
      <c r="T3924" t="n">
        <v>1908</v>
      </c>
      <c r="U3924" t="n">
        <v>56</v>
      </c>
      <c r="AH3924" t="inlineStr">
        <is>
          <t>Quelle: Sandberg Estates</t>
        </is>
      </c>
    </row>
    <row r="3925">
      <c r="A3925" t="n">
        <v>3738</v>
      </c>
      <c r="B3925" t="inlineStr">
        <is>
          <t>Charming Garden Apartment for Sale in Establiments, Palma</t>
        </is>
      </c>
      <c r="C3925" t="inlineStr">
        <is>
          <t>https://sandberg-estates.com/properties/charming-garden-apartment-for-sale-in-establiments-palma</t>
        </is>
      </c>
      <c r="E3925" t="n">
        <v>3</v>
      </c>
      <c r="G3925" t="n">
        <v>1502</v>
      </c>
      <c r="H3925" t="n">
        <v>309</v>
      </c>
      <c r="J3925" t="inlineStr">
        <is>
          <t>Establiments ,Apartment</t>
        </is>
      </c>
      <c r="K3925" t="n">
        <v>19</v>
      </c>
      <c r="L3925" t="n">
        <v>25</v>
      </c>
      <c r="M3925" t="n">
        <v>61.8</v>
      </c>
      <c r="N3925" t="n">
        <v>58</v>
      </c>
      <c r="O3925" t="n">
        <v>35.7</v>
      </c>
      <c r="P3925" t="n">
        <v>39</v>
      </c>
      <c r="Q3925" t="n">
        <v>59.5</v>
      </c>
      <c r="R3925" t="n">
        <v>55</v>
      </c>
      <c r="S3925" t="n">
        <v>1200000</v>
      </c>
      <c r="T3925" t="n">
        <v>3883</v>
      </c>
      <c r="U3925" t="n">
        <v>799</v>
      </c>
      <c r="AH3925" t="inlineStr">
        <is>
          <t>Quelle: Sandberg Estates</t>
        </is>
      </c>
    </row>
    <row r="3926">
      <c r="A3926" t="n">
        <v>3739</v>
      </c>
      <c r="B3926" t="inlineStr">
        <is>
          <t>Modern Semi Detached House for Sale in Es Capdella</t>
        </is>
      </c>
      <c r="C3926" t="inlineStr">
        <is>
          <t>https://sandberg-estates.com/properties/modern-semi-detached-house-for-sale-in-es-capdella-2</t>
        </is>
      </c>
      <c r="E3926" t="n">
        <v>2</v>
      </c>
      <c r="H3926" t="n">
        <v>175</v>
      </c>
      <c r="J3926" t="inlineStr">
        <is>
          <t>Es Capdella ,Villa</t>
        </is>
      </c>
      <c r="K3926" t="n">
        <v>34.8</v>
      </c>
      <c r="L3926" t="n">
        <v>33</v>
      </c>
      <c r="M3926" t="n">
        <v>77.5</v>
      </c>
      <c r="N3926" t="n">
        <v>66</v>
      </c>
      <c r="O3926" t="n">
        <v>13.6</v>
      </c>
      <c r="P3926" t="n">
        <v>19</v>
      </c>
      <c r="Q3926" t="n">
        <v>75.2</v>
      </c>
      <c r="R3926" t="n">
        <v>63</v>
      </c>
      <c r="S3926" t="n">
        <v>1195000</v>
      </c>
      <c r="T3926" t="n">
        <v>6829</v>
      </c>
      <c r="AH3926" t="inlineStr">
        <is>
          <t>Quelle: Sandberg Estates</t>
        </is>
      </c>
    </row>
    <row r="3927">
      <c r="A3927" t="n">
        <v>3740</v>
      </c>
      <c r="B3927" t="inlineStr">
        <is>
          <t>Charming Sea View Finca for Sale in Camp de Mar</t>
        </is>
      </c>
      <c r="C3927" t="inlineStr">
        <is>
          <t>https://sandberg-estates.com/properties/charming-sea-view-finca-for-sale-in-camp-de-mar</t>
        </is>
      </c>
      <c r="E3927" t="n">
        <v>4</v>
      </c>
      <c r="G3927" t="n">
        <v>7201</v>
      </c>
      <c r="H3927" t="n">
        <v>510</v>
      </c>
      <c r="J3927" t="inlineStr">
        <is>
          <t>Camp de mar ,Villa</t>
        </is>
      </c>
      <c r="K3927" t="n">
        <v>38.7</v>
      </c>
      <c r="L3927" t="n">
        <v>32</v>
      </c>
      <c r="M3927" t="n">
        <v>81.40000000000001</v>
      </c>
      <c r="N3927" t="n">
        <v>65</v>
      </c>
      <c r="O3927" t="n">
        <v>6.7</v>
      </c>
      <c r="P3927" t="n">
        <v>10</v>
      </c>
      <c r="Q3927" t="n">
        <v>79.09999999999999</v>
      </c>
      <c r="R3927" t="n">
        <v>62</v>
      </c>
      <c r="S3927" t="n">
        <v>6480000</v>
      </c>
      <c r="T3927" t="n">
        <v>12706</v>
      </c>
      <c r="U3927" t="n">
        <v>900</v>
      </c>
      <c r="AH3927" t="inlineStr">
        <is>
          <t>Quelle: Sandberg Estates</t>
        </is>
      </c>
    </row>
    <row r="3928">
      <c r="A3928" t="n">
        <v>3741</v>
      </c>
      <c r="B3928" t="inlineStr">
        <is>
          <t>Stylish Renovated Apartment for Sale in Palma de Mallorca</t>
        </is>
      </c>
      <c r="C3928" t="inlineStr">
        <is>
          <t>https://sandberg-estates.com/properties/stylish-renovated-apartment-for-sale-in-palma-de-mallorca</t>
        </is>
      </c>
      <c r="E3928" t="n">
        <v>2</v>
      </c>
      <c r="H3928" t="n">
        <v>148</v>
      </c>
      <c r="J3928" t="inlineStr">
        <is>
          <t>Palma City Center ,Apartment</t>
        </is>
      </c>
      <c r="K3928" t="n">
        <v>11.6</v>
      </c>
      <c r="L3928" t="n">
        <v>20</v>
      </c>
      <c r="M3928" t="n">
        <v>54.3</v>
      </c>
      <c r="N3928" t="n">
        <v>53</v>
      </c>
      <c r="O3928" t="n">
        <v>29.5</v>
      </c>
      <c r="P3928" t="n">
        <v>29</v>
      </c>
      <c r="Q3928" t="n">
        <v>52</v>
      </c>
      <c r="R3928" t="n">
        <v>49</v>
      </c>
      <c r="S3928" t="n">
        <v>1320000</v>
      </c>
      <c r="T3928" t="n">
        <v>8919</v>
      </c>
      <c r="AH3928" t="inlineStr">
        <is>
          <t>Quelle: Sandberg Estates</t>
        </is>
      </c>
    </row>
    <row r="3929">
      <c r="A3929" t="n">
        <v>3742</v>
      </c>
      <c r="B3929" t="inlineStr">
        <is>
          <t>Stylish New Build Villa for Sale in Cala Vinyes</t>
        </is>
      </c>
      <c r="C3929" t="inlineStr">
        <is>
          <t>https://sandberg-estates.com/properties/stylish-new-build-villa-for-sale-in-cala-vinyes</t>
        </is>
      </c>
      <c r="E3929" t="n">
        <v>5</v>
      </c>
      <c r="G3929" t="n">
        <v>1460</v>
      </c>
      <c r="H3929" t="n">
        <v>663</v>
      </c>
      <c r="J3929" t="inlineStr">
        <is>
          <t>Cala Vinyes ,Villa</t>
        </is>
      </c>
      <c r="K3929" t="n">
        <v>31.5</v>
      </c>
      <c r="L3929" t="n">
        <v>31</v>
      </c>
      <c r="M3929" t="n">
        <v>74.3</v>
      </c>
      <c r="N3929" t="n">
        <v>64</v>
      </c>
      <c r="O3929" t="n">
        <v>20.4</v>
      </c>
      <c r="P3929" t="n">
        <v>25</v>
      </c>
      <c r="Q3929" t="n">
        <v>72</v>
      </c>
      <c r="R3929" t="n">
        <v>60</v>
      </c>
      <c r="S3929" t="n">
        <v>7500000</v>
      </c>
      <c r="T3929" t="n">
        <v>11312</v>
      </c>
      <c r="U3929" t="n">
        <v>5137</v>
      </c>
      <c r="AH3929" t="inlineStr">
        <is>
          <t>Quelle: Sandberg Estates</t>
        </is>
      </c>
    </row>
    <row r="3930">
      <c r="A3930" t="n">
        <v>3743</v>
      </c>
      <c r="B3930" t="inlineStr">
        <is>
          <t>Renovated Apartment in Palmanova for Sale</t>
        </is>
      </c>
      <c r="C3930" t="inlineStr">
        <is>
          <t>https://sandberg-estates.com/properties/renovated-apartment-in-palmanova-for-sale</t>
        </is>
      </c>
      <c r="E3930" t="n">
        <v>1</v>
      </c>
      <c r="H3930" t="n">
        <v>67</v>
      </c>
      <c r="J3930" t="inlineStr">
        <is>
          <t>Palmanova ,Apartment</t>
        </is>
      </c>
      <c r="S3930" t="n">
        <v>450000</v>
      </c>
      <c r="T3930" t="n">
        <v>6716</v>
      </c>
      <c r="AH3930" t="inlineStr">
        <is>
          <t>Quelle: Sandberg Estates</t>
        </is>
      </c>
    </row>
    <row r="3931">
      <c r="A3931" t="n">
        <v>3744</v>
      </c>
      <c r="B3931" t="inlineStr">
        <is>
          <t>Charming Villa for Sale in Nova Santa Ponsa</t>
        </is>
      </c>
      <c r="C3931" t="inlineStr">
        <is>
          <t>https://sandberg-estates.com/properties/charming-villa-for-sale-in-nova-santa-ponsa</t>
        </is>
      </c>
      <c r="E3931" t="n">
        <v>4</v>
      </c>
      <c r="G3931" t="n">
        <v>1101</v>
      </c>
      <c r="H3931" t="n">
        <v>357</v>
      </c>
      <c r="J3931" t="inlineStr">
        <is>
          <t>Santa Ponsa ,Villa</t>
        </is>
      </c>
      <c r="K3931" t="n">
        <v>31.1</v>
      </c>
      <c r="L3931" t="n">
        <v>28</v>
      </c>
      <c r="M3931" t="n">
        <v>73.90000000000001</v>
      </c>
      <c r="N3931" t="n">
        <v>61</v>
      </c>
      <c r="O3931" t="n">
        <v>15.2</v>
      </c>
      <c r="P3931" t="n">
        <v>19</v>
      </c>
      <c r="Q3931" t="n">
        <v>71.59999999999999</v>
      </c>
      <c r="R3931" t="n">
        <v>57</v>
      </c>
      <c r="S3931" t="n">
        <v>2750000</v>
      </c>
      <c r="T3931" t="n">
        <v>7703</v>
      </c>
      <c r="U3931" t="n">
        <v>2498</v>
      </c>
      <c r="AH3931" t="inlineStr">
        <is>
          <t>Quelle: Sandberg Estates</t>
        </is>
      </c>
    </row>
    <row r="3932">
      <c r="A3932" t="n">
        <v>3745</v>
      </c>
      <c r="B3932" t="inlineStr">
        <is>
          <t>Villa with Holiday Licence for Sale in Santa Ponsa</t>
        </is>
      </c>
      <c r="C3932" t="inlineStr">
        <is>
          <t>https://sandberg-estates.com/properties/villa-with-holiday-licence-for-sale-in-santa-ponsa</t>
        </is>
      </c>
      <c r="E3932" t="n">
        <v>3</v>
      </c>
      <c r="G3932" t="n">
        <v>1020</v>
      </c>
      <c r="H3932" t="n">
        <v>350</v>
      </c>
      <c r="J3932" t="inlineStr">
        <is>
          <t>Santa Ponsa ,Villa</t>
        </is>
      </c>
      <c r="K3932" t="n">
        <v>31.1</v>
      </c>
      <c r="L3932" t="n">
        <v>28</v>
      </c>
      <c r="M3932" t="n">
        <v>73.90000000000001</v>
      </c>
      <c r="N3932" t="n">
        <v>61</v>
      </c>
      <c r="O3932" t="n">
        <v>15.2</v>
      </c>
      <c r="P3932" t="n">
        <v>19</v>
      </c>
      <c r="Q3932" t="n">
        <v>71.59999999999999</v>
      </c>
      <c r="R3932" t="n">
        <v>57</v>
      </c>
      <c r="S3932" t="n">
        <v>2950000</v>
      </c>
      <c r="T3932" t="n">
        <v>8429</v>
      </c>
      <c r="U3932" t="n">
        <v>2892</v>
      </c>
      <c r="AH3932" t="inlineStr">
        <is>
          <t>Quelle: Sandberg Estates</t>
        </is>
      </c>
    </row>
    <row r="3933">
      <c r="A3933" t="n">
        <v>3746</v>
      </c>
      <c r="B3933" t="inlineStr">
        <is>
          <t>Renovated Penthouse for Sale in Palma de Mallorca</t>
        </is>
      </c>
      <c r="C3933" t="inlineStr">
        <is>
          <t>https://sandberg-estates.com/properties/renovated-penthouse-for-sale-in-palma-de-mallorca</t>
        </is>
      </c>
      <c r="E3933" t="n">
        <v>2</v>
      </c>
      <c r="H3933" t="n">
        <v>130</v>
      </c>
      <c r="J3933" t="inlineStr">
        <is>
          <t>Palma City Center ,Apartment</t>
        </is>
      </c>
      <c r="S3933" t="n">
        <v>695000</v>
      </c>
      <c r="T3933" t="n">
        <v>5346</v>
      </c>
      <c r="AH3933" t="inlineStr">
        <is>
          <t>Quelle: Sandberg Estates</t>
        </is>
      </c>
    </row>
    <row r="3934">
      <c r="A3934" t="n">
        <v>3747</v>
      </c>
      <c r="B3934" t="inlineStr">
        <is>
          <t>Villa and Plot of Land for Sale in Costa de La Calma</t>
        </is>
      </c>
      <c r="C3934" t="inlineStr">
        <is>
          <t>https://sandberg-estates.com/properties/villa-and-plot-of-land-for-sale-in-costa-de-la-calma</t>
        </is>
      </c>
      <c r="E3934" t="n">
        <v>5</v>
      </c>
      <c r="G3934" t="n">
        <v>800</v>
      </c>
      <c r="H3934" t="n">
        <v>330</v>
      </c>
      <c r="J3934" t="inlineStr">
        <is>
          <t>Costa de la Calma ,Villa</t>
        </is>
      </c>
      <c r="K3934" t="n">
        <v>32.6</v>
      </c>
      <c r="L3934" t="n">
        <v>29</v>
      </c>
      <c r="M3934" t="n">
        <v>75.40000000000001</v>
      </c>
      <c r="N3934" t="n">
        <v>62</v>
      </c>
      <c r="O3934" t="n">
        <v>13.7</v>
      </c>
      <c r="P3934" t="n">
        <v>18</v>
      </c>
      <c r="Q3934" t="n">
        <v>73.09999999999999</v>
      </c>
      <c r="R3934" t="n">
        <v>58</v>
      </c>
      <c r="S3934" t="n">
        <v>1300000</v>
      </c>
      <c r="T3934" t="n">
        <v>3939</v>
      </c>
      <c r="U3934" t="n">
        <v>1625</v>
      </c>
      <c r="AH3934" t="inlineStr">
        <is>
          <t>Quelle: Sandberg Estates</t>
        </is>
      </c>
    </row>
    <row r="3935">
      <c r="A3935" t="n">
        <v>3748</v>
      </c>
      <c r="B3935" t="inlineStr">
        <is>
          <t>Sea View 1-Bedroom Apartment for Sale in San Agustin</t>
        </is>
      </c>
      <c r="C3935" t="inlineStr">
        <is>
          <t>https://sandberg-estates.com/properties/sea-view-1-bedroom-apartment-for-sale-in-san-agustin</t>
        </is>
      </c>
      <c r="E3935" t="n">
        <v>1</v>
      </c>
      <c r="H3935" t="n">
        <v>60</v>
      </c>
      <c r="J3935" t="inlineStr">
        <is>
          <t>San Agustin ,Apartment</t>
        </is>
      </c>
      <c r="S3935" t="n">
        <v>349000</v>
      </c>
      <c r="T3935" t="n">
        <v>5817</v>
      </c>
      <c r="AH3935" t="inlineStr">
        <is>
          <t>Quelle: Sandberg Estates</t>
        </is>
      </c>
    </row>
    <row r="3936">
      <c r="A3936" t="n">
        <v>3749</v>
      </c>
      <c r="B3936" t="inlineStr">
        <is>
          <t>Stylish New Build Villa for Sale in Camp de Mar</t>
        </is>
      </c>
      <c r="C3936" t="inlineStr">
        <is>
          <t>https://sandberg-estates.com/properties/stylish-new-build-villa-for-sale-in-camp-de-mar</t>
        </is>
      </c>
      <c r="E3936" t="n">
        <v>4</v>
      </c>
      <c r="G3936" t="n">
        <v>1138</v>
      </c>
      <c r="H3936" t="n">
        <v>547</v>
      </c>
      <c r="J3936" t="inlineStr">
        <is>
          <t>Camp de mar ,Villa</t>
        </is>
      </c>
      <c r="K3936" t="n">
        <v>38.7</v>
      </c>
      <c r="L3936" t="n">
        <v>32</v>
      </c>
      <c r="M3936" t="n">
        <v>81.40000000000001</v>
      </c>
      <c r="N3936" t="n">
        <v>65</v>
      </c>
      <c r="O3936" t="n">
        <v>6.7</v>
      </c>
      <c r="P3936" t="n">
        <v>10</v>
      </c>
      <c r="Q3936" t="n">
        <v>79.09999999999999</v>
      </c>
      <c r="R3936" t="n">
        <v>62</v>
      </c>
      <c r="S3936" t="n">
        <v>9150000</v>
      </c>
      <c r="T3936" t="n">
        <v>16728</v>
      </c>
      <c r="U3936" t="n">
        <v>8040</v>
      </c>
      <c r="AH3936" t="inlineStr">
        <is>
          <t>Quelle: Sandberg Estates</t>
        </is>
      </c>
    </row>
    <row r="3937">
      <c r="A3937" t="n">
        <v>3750</v>
      </c>
      <c r="B3937" t="inlineStr">
        <is>
          <t>Exclusive New Build Villa for Sale in Camp de Mar</t>
        </is>
      </c>
      <c r="C3937" t="inlineStr">
        <is>
          <t>https://sandberg-estates.com/properties/exclusive-new-build-villa-for-sale-in-camp-de-mar</t>
        </is>
      </c>
      <c r="E3937" t="n">
        <v>4</v>
      </c>
      <c r="G3937" t="n">
        <v>1117</v>
      </c>
      <c r="H3937" t="n">
        <v>558</v>
      </c>
      <c r="J3937" t="inlineStr">
        <is>
          <t>Camp de mar ,Villa</t>
        </is>
      </c>
      <c r="K3937" t="n">
        <v>38.7</v>
      </c>
      <c r="L3937" t="n">
        <v>32</v>
      </c>
      <c r="M3937" t="n">
        <v>81.40000000000001</v>
      </c>
      <c r="N3937" t="n">
        <v>65</v>
      </c>
      <c r="O3937" t="n">
        <v>6.7</v>
      </c>
      <c r="P3937" t="n">
        <v>10</v>
      </c>
      <c r="Q3937" t="n">
        <v>79.09999999999999</v>
      </c>
      <c r="R3937" t="n">
        <v>62</v>
      </c>
      <c r="S3937" t="n">
        <v>8600000</v>
      </c>
      <c r="T3937" t="n">
        <v>15412</v>
      </c>
      <c r="U3937" t="n">
        <v>7699</v>
      </c>
      <c r="AH3937" t="inlineStr">
        <is>
          <t>Quelle: Sandberg Estates</t>
        </is>
      </c>
    </row>
    <row r="3938">
      <c r="A3938" t="n">
        <v>3751</v>
      </c>
      <c r="B3938" t="inlineStr">
        <is>
          <t>Stylish New Build Villa for Sale in Bunyola</t>
        </is>
      </c>
      <c r="C3938" t="inlineStr">
        <is>
          <t>https://sandberg-estates.com/properties/stylish-new-build-villa-for-sale-in-bunyola</t>
        </is>
      </c>
      <c r="E3938" t="n">
        <v>5</v>
      </c>
      <c r="G3938" t="n">
        <v>2750</v>
      </c>
      <c r="H3938" t="n">
        <v>539</v>
      </c>
      <c r="J3938" t="inlineStr">
        <is>
          <t>Bunyola ,Villa</t>
        </is>
      </c>
      <c r="K3938" t="n">
        <v>26.3</v>
      </c>
      <c r="L3938" t="n">
        <v>25</v>
      </c>
      <c r="M3938" t="n">
        <v>69.09999999999999</v>
      </c>
      <c r="N3938" t="n">
        <v>58</v>
      </c>
      <c r="O3938" t="n">
        <v>48.9</v>
      </c>
      <c r="P3938" t="n">
        <v>41</v>
      </c>
      <c r="Q3938" t="n">
        <v>66.8</v>
      </c>
      <c r="R3938" t="n">
        <v>54</v>
      </c>
      <c r="S3938" t="n">
        <v>6950000</v>
      </c>
      <c r="T3938" t="n">
        <v>12894</v>
      </c>
      <c r="U3938" t="n">
        <v>2527</v>
      </c>
      <c r="AH3938" t="inlineStr">
        <is>
          <t>Quelle: Sandberg Estates</t>
        </is>
      </c>
    </row>
    <row r="3939">
      <c r="A3939" t="n">
        <v>3752</v>
      </c>
      <c r="B3939" t="inlineStr">
        <is>
          <t>New Build Villa in Camp de Mar for Sale</t>
        </is>
      </c>
      <c r="C3939" t="inlineStr">
        <is>
          <t>https://sandberg-estates.com/properties/new-build-villa-in-camp-de-mar-for-sale</t>
        </is>
      </c>
      <c r="E3939" t="n">
        <v>4</v>
      </c>
      <c r="G3939" t="n">
        <v>1136</v>
      </c>
      <c r="H3939" t="n">
        <v>546</v>
      </c>
      <c r="J3939" t="inlineStr">
        <is>
          <t>Camp de mar ,Villa</t>
        </is>
      </c>
      <c r="K3939" t="n">
        <v>38.7</v>
      </c>
      <c r="L3939" t="n">
        <v>32</v>
      </c>
      <c r="M3939" t="n">
        <v>81.40000000000001</v>
      </c>
      <c r="N3939" t="n">
        <v>65</v>
      </c>
      <c r="O3939" t="n">
        <v>6.7</v>
      </c>
      <c r="P3939" t="n">
        <v>10</v>
      </c>
      <c r="Q3939" t="n">
        <v>79.09999999999999</v>
      </c>
      <c r="R3939" t="n">
        <v>62</v>
      </c>
      <c r="S3939" t="n">
        <v>8600000</v>
      </c>
      <c r="T3939" t="n">
        <v>15751</v>
      </c>
      <c r="U3939" t="n">
        <v>7570</v>
      </c>
      <c r="AH3939" t="inlineStr">
        <is>
          <t>Quelle: Sandberg Estates</t>
        </is>
      </c>
    </row>
    <row r="3940">
      <c r="A3940" t="n">
        <v>3753</v>
      </c>
      <c r="B3940" t="inlineStr">
        <is>
          <t>Stylish Apartment for Sale in Sol de Mallorca</t>
        </is>
      </c>
      <c r="C3940" t="inlineStr">
        <is>
          <t>https://sandberg-estates.com/properties/stylish-apartment-for-sale-in-sol-de-mallorca</t>
        </is>
      </c>
      <c r="E3940" t="n">
        <v>2</v>
      </c>
      <c r="H3940" t="n">
        <v>215</v>
      </c>
      <c r="J3940" t="inlineStr">
        <is>
          <t>Sol de Mallorca ,Apartment</t>
        </is>
      </c>
      <c r="K3940" t="n">
        <v>32.2</v>
      </c>
      <c r="L3940" t="n">
        <v>31</v>
      </c>
      <c r="M3940" t="n">
        <v>75</v>
      </c>
      <c r="N3940" t="n">
        <v>64</v>
      </c>
      <c r="O3940" t="n">
        <v>21.2</v>
      </c>
      <c r="P3940" t="n">
        <v>25</v>
      </c>
      <c r="Q3940" t="n">
        <v>72.7</v>
      </c>
      <c r="R3940" t="n">
        <v>60</v>
      </c>
      <c r="S3940" t="n">
        <v>1650000</v>
      </c>
      <c r="T3940" t="n">
        <v>7674</v>
      </c>
      <c r="AH3940" t="inlineStr">
        <is>
          <t>Quelle: Sandberg Estates</t>
        </is>
      </c>
    </row>
    <row r="3941">
      <c r="A3941" t="n">
        <v>3754</v>
      </c>
      <c r="B3941" t="inlineStr">
        <is>
          <t>New Build Finca for Sale in South-East Mallorca</t>
        </is>
      </c>
      <c r="C3941" t="inlineStr">
        <is>
          <t>https://sandberg-estates.com/properties/new-build-finca-for-sale-in-south-east-mallorca</t>
        </is>
      </c>
      <c r="E3941" t="n">
        <v>4</v>
      </c>
      <c r="G3941" t="n">
        <v>28000</v>
      </c>
      <c r="H3941" t="n">
        <v>499</v>
      </c>
      <c r="J3941" t="inlineStr">
        <is>
          <t>S'Horta ,Villa</t>
        </is>
      </c>
      <c r="K3941" t="n">
        <v>54.2</v>
      </c>
      <c r="L3941" t="n">
        <v>49</v>
      </c>
      <c r="M3941" t="n">
        <v>19.1</v>
      </c>
      <c r="N3941" t="n">
        <v>27</v>
      </c>
      <c r="O3941" t="n">
        <v>92.40000000000001</v>
      </c>
      <c r="P3941" t="n">
        <v>77</v>
      </c>
      <c r="Q3941" t="n">
        <v>20.5</v>
      </c>
      <c r="R3941" t="n">
        <v>30</v>
      </c>
      <c r="S3941" t="n">
        <v>3950000</v>
      </c>
      <c r="T3941" t="n">
        <v>7916</v>
      </c>
      <c r="U3941" t="n">
        <v>141</v>
      </c>
      <c r="AH3941" t="inlineStr">
        <is>
          <t>Quelle: Sandberg Estates</t>
        </is>
      </c>
    </row>
    <row r="3942">
      <c r="A3942" t="n">
        <v>3755</v>
      </c>
      <c r="B3942" t="inlineStr">
        <is>
          <t>Modern Luxury Villa for Sale in Portals Nous</t>
        </is>
      </c>
      <c r="C3942" t="inlineStr">
        <is>
          <t>https://sandberg-estates.com/properties/modern-luxury-villa-for-sale-in-portals-nous</t>
        </is>
      </c>
      <c r="E3942" t="n">
        <v>5</v>
      </c>
      <c r="G3942" t="n">
        <v>1200</v>
      </c>
      <c r="H3942" t="n">
        <v>678</v>
      </c>
      <c r="J3942" t="inlineStr">
        <is>
          <t>Portals Nous ,Villa</t>
        </is>
      </c>
      <c r="K3942" t="n">
        <v>23.8</v>
      </c>
      <c r="L3942" t="n">
        <v>23</v>
      </c>
      <c r="M3942" t="n">
        <v>66.59999999999999</v>
      </c>
      <c r="N3942" t="n">
        <v>56</v>
      </c>
      <c r="O3942" t="n">
        <v>21.8</v>
      </c>
      <c r="P3942" t="n">
        <v>22</v>
      </c>
      <c r="Q3942" t="n">
        <v>64.3</v>
      </c>
      <c r="R3942" t="n">
        <v>52</v>
      </c>
      <c r="S3942" t="n">
        <v>10900000</v>
      </c>
      <c r="T3942" t="n">
        <v>16077</v>
      </c>
      <c r="U3942" t="n">
        <v>9083</v>
      </c>
      <c r="AH3942" t="inlineStr">
        <is>
          <t>Quelle: Sandberg Estates</t>
        </is>
      </c>
    </row>
    <row r="3943">
      <c r="A3943" t="n">
        <v>3756</v>
      </c>
      <c r="B3943" t="inlineStr">
        <is>
          <t>Newly Built Finca for Sale in Santanyi</t>
        </is>
      </c>
      <c r="C3943" t="inlineStr">
        <is>
          <t>https://sandberg-estates.com/properties/newly-built-finca-for-sale-in-santanyi</t>
        </is>
      </c>
      <c r="E3943" t="n">
        <v>8</v>
      </c>
      <c r="G3943" t="n">
        <v>18379</v>
      </c>
      <c r="H3943" t="n">
        <v>54</v>
      </c>
      <c r="J3943" t="inlineStr">
        <is>
          <t>Santanyí ,Finca</t>
        </is>
      </c>
      <c r="K3943" t="n">
        <v>45.4</v>
      </c>
      <c r="L3943" t="n">
        <v>39</v>
      </c>
      <c r="M3943" t="n">
        <v>9</v>
      </c>
      <c r="N3943" t="n">
        <v>13</v>
      </c>
      <c r="O3943" t="n">
        <v>83.59999999999999</v>
      </c>
      <c r="P3943" t="n">
        <v>67</v>
      </c>
      <c r="Q3943" t="n">
        <v>9.699999999999999</v>
      </c>
      <c r="R3943" t="n">
        <v>15</v>
      </c>
      <c r="S3943" t="n">
        <v>5400000</v>
      </c>
      <c r="T3943" t="n">
        <v>100000</v>
      </c>
      <c r="U3943" t="n">
        <v>294</v>
      </c>
      <c r="AH3943" t="inlineStr">
        <is>
          <t>Quelle: Sandberg Estates</t>
        </is>
      </c>
    </row>
    <row r="3944">
      <c r="A3944" t="n">
        <v>3757</v>
      </c>
      <c r="B3944" t="inlineStr">
        <is>
          <t>Charming Renovated Villa for Sale in Cala Vinyes</t>
        </is>
      </c>
      <c r="C3944" t="inlineStr">
        <is>
          <t>https://sandberg-estates.com/properties/charming-renovated-villa-for-sale-in-cala-vinyes</t>
        </is>
      </c>
      <c r="E3944" t="n">
        <v>3</v>
      </c>
      <c r="G3944" t="n">
        <v>974</v>
      </c>
      <c r="H3944" t="n">
        <v>373</v>
      </c>
      <c r="J3944" t="inlineStr">
        <is>
          <t>Cala Vinyes ,Villa</t>
        </is>
      </c>
      <c r="K3944" t="n">
        <v>31.5</v>
      </c>
      <c r="L3944" t="n">
        <v>31</v>
      </c>
      <c r="M3944" t="n">
        <v>74.3</v>
      </c>
      <c r="N3944" t="n">
        <v>64</v>
      </c>
      <c r="O3944" t="n">
        <v>20.4</v>
      </c>
      <c r="P3944" t="n">
        <v>25</v>
      </c>
      <c r="Q3944" t="n">
        <v>72</v>
      </c>
      <c r="R3944" t="n">
        <v>60</v>
      </c>
      <c r="S3944" t="n">
        <v>2595000</v>
      </c>
      <c r="T3944" t="n">
        <v>6957</v>
      </c>
      <c r="U3944" t="n">
        <v>2664</v>
      </c>
      <c r="AH3944" t="inlineStr">
        <is>
          <t>Quelle: Sandberg Estates</t>
        </is>
      </c>
    </row>
    <row r="3945">
      <c r="A3945" t="n">
        <v>3758</v>
      </c>
      <c r="B3945" t="inlineStr">
        <is>
          <t>Fantastic Villa for Sale in Santa Ponsa</t>
        </is>
      </c>
      <c r="C3945" t="inlineStr">
        <is>
          <t>https://sandberg-estates.com/properties/fantastic-villa-for-sale-in-santa-ponsa</t>
        </is>
      </c>
      <c r="E3945" t="n">
        <v>5</v>
      </c>
      <c r="G3945" t="n">
        <v>1899</v>
      </c>
      <c r="H3945" t="n">
        <v>748</v>
      </c>
      <c r="J3945" t="inlineStr">
        <is>
          <t>Santa Ponsa ,Villa</t>
        </is>
      </c>
      <c r="K3945" t="n">
        <v>31.1</v>
      </c>
      <c r="L3945" t="n">
        <v>28</v>
      </c>
      <c r="M3945" t="n">
        <v>73.90000000000001</v>
      </c>
      <c r="N3945" t="n">
        <v>61</v>
      </c>
      <c r="O3945" t="n">
        <v>15.2</v>
      </c>
      <c r="P3945" t="n">
        <v>19</v>
      </c>
      <c r="Q3945" t="n">
        <v>71.59999999999999</v>
      </c>
      <c r="R3945" t="n">
        <v>57</v>
      </c>
      <c r="S3945" t="n">
        <v>7500000</v>
      </c>
      <c r="T3945" t="n">
        <v>10027</v>
      </c>
      <c r="U3945" t="n">
        <v>3949</v>
      </c>
      <c r="AH3945" t="inlineStr">
        <is>
          <t>Quelle: Sandberg Estates</t>
        </is>
      </c>
    </row>
    <row r="3946">
      <c r="A3946" t="n">
        <v>3759</v>
      </c>
      <c r="B3946" t="inlineStr">
        <is>
          <t>House with Sea View for Sale in Anchorage Club, Illetas</t>
        </is>
      </c>
      <c r="C3946" t="inlineStr">
        <is>
          <t>https://sandberg-estates.com/properties/house-with-sea-view-for-sale-in-anchorage-club-illetas-2</t>
        </is>
      </c>
      <c r="E3946" t="n">
        <v>4</v>
      </c>
      <c r="H3946" t="n">
        <v>276</v>
      </c>
      <c r="J3946" t="inlineStr">
        <is>
          <t>Illetes ,Villa</t>
        </is>
      </c>
      <c r="K3946" t="n">
        <v>20</v>
      </c>
      <c r="L3946" t="n">
        <v>22</v>
      </c>
      <c r="M3946" t="n">
        <v>62.8</v>
      </c>
      <c r="N3946" t="n">
        <v>55</v>
      </c>
      <c r="O3946" t="n">
        <v>23.7</v>
      </c>
      <c r="P3946" t="n">
        <v>23</v>
      </c>
      <c r="Q3946" t="n">
        <v>60.5</v>
      </c>
      <c r="R3946" t="n">
        <v>51</v>
      </c>
      <c r="S3946" t="n">
        <v>3150000</v>
      </c>
      <c r="T3946" t="n">
        <v>11413</v>
      </c>
      <c r="AH3946" t="inlineStr">
        <is>
          <t>Quelle: Sandberg Estates</t>
        </is>
      </c>
    </row>
    <row r="3947">
      <c r="A3947" t="n">
        <v>3760</v>
      </c>
      <c r="B3947" t="inlineStr">
        <is>
          <t>Apartment with Sea View for Sale in Paseo Maritimo, Palma</t>
        </is>
      </c>
      <c r="C3947" t="inlineStr">
        <is>
          <t>https://sandberg-estates.com/properties/apartment-with-sea-view-for-sale-in-paseo-maritimo-palma</t>
        </is>
      </c>
      <c r="E3947" t="n">
        <v>2</v>
      </c>
      <c r="H3947" t="n">
        <v>134</v>
      </c>
      <c r="J3947" t="inlineStr">
        <is>
          <t>Paseo Maritimo ,Apartment</t>
        </is>
      </c>
      <c r="K3947" t="n">
        <v>10.9</v>
      </c>
      <c r="L3947" t="n">
        <v>17</v>
      </c>
      <c r="M3947" t="n">
        <v>53.7</v>
      </c>
      <c r="N3947" t="n">
        <v>50</v>
      </c>
      <c r="O3947" t="n">
        <v>29.9</v>
      </c>
      <c r="P3947" t="n">
        <v>32</v>
      </c>
      <c r="Q3947" t="n">
        <v>51.4</v>
      </c>
      <c r="R3947" t="n">
        <v>46</v>
      </c>
      <c r="S3947" t="n">
        <v>1100000</v>
      </c>
      <c r="T3947" t="n">
        <v>8209</v>
      </c>
      <c r="AH3947" t="inlineStr">
        <is>
          <t>Quelle: Sandberg Estates</t>
        </is>
      </c>
    </row>
    <row r="3948">
      <c r="A3948" t="n">
        <v>3761</v>
      </c>
      <c r="B3948" t="inlineStr">
        <is>
          <t>Elegant Garden Apartment for Sale in Bendinat</t>
        </is>
      </c>
      <c r="C3948" t="inlineStr">
        <is>
          <t>https://sandberg-estates.com/properties/elegant-garden-apartment-for-sale-in-bendinat</t>
        </is>
      </c>
      <c r="E3948" t="n">
        <v>2</v>
      </c>
      <c r="H3948" t="n">
        <v>145</v>
      </c>
      <c r="J3948" t="inlineStr">
        <is>
          <t>Bendinat ,Apartment</t>
        </is>
      </c>
      <c r="S3948" t="n">
        <v>890000</v>
      </c>
      <c r="T3948" t="n">
        <v>6138</v>
      </c>
      <c r="AH3948" t="inlineStr">
        <is>
          <t>Quelle: Sandberg Estates</t>
        </is>
      </c>
    </row>
    <row r="3949">
      <c r="A3949" t="n">
        <v>3762</v>
      </c>
      <c r="B3949" t="inlineStr">
        <is>
          <t>Elegant Apartment with Sea Views for Sale in Bendinat</t>
        </is>
      </c>
      <c r="C3949" t="inlineStr">
        <is>
          <t>https://sandberg-estates.com/properties/elegant-apartment-with-sea-views-for-sale-in-bendinat</t>
        </is>
      </c>
      <c r="E3949" t="n">
        <v>3</v>
      </c>
      <c r="H3949" t="n">
        <v>144</v>
      </c>
      <c r="J3949" t="inlineStr">
        <is>
          <t>Bendinat ,Apartment</t>
        </is>
      </c>
      <c r="K3949" t="n">
        <v>23.1</v>
      </c>
      <c r="L3949" t="n">
        <v>22</v>
      </c>
      <c r="M3949" t="n">
        <v>65.8</v>
      </c>
      <c r="N3949" t="n">
        <v>55</v>
      </c>
      <c r="O3949" t="n">
        <v>23.2</v>
      </c>
      <c r="P3949" t="n">
        <v>23</v>
      </c>
      <c r="Q3949" t="n">
        <v>63.5</v>
      </c>
      <c r="R3949" t="n">
        <v>51</v>
      </c>
      <c r="S3949" t="n">
        <v>1595000</v>
      </c>
      <c r="T3949" t="n">
        <v>11076</v>
      </c>
      <c r="AH3949" t="inlineStr">
        <is>
          <t>Quelle: Sandberg Estates</t>
        </is>
      </c>
    </row>
    <row r="3950">
      <c r="A3950" t="n">
        <v>3763</v>
      </c>
      <c r="B3950" t="inlineStr">
        <is>
          <t>Modern Villa for Sale in Sa Cabaneta, Marratxi</t>
        </is>
      </c>
      <c r="C3950" t="inlineStr">
        <is>
          <t>https://sandberg-estates.com/properties/modern-villa-for-sale-in-sa-cabaneta-marratxi</t>
        </is>
      </c>
      <c r="E3950" t="n">
        <v>5</v>
      </c>
      <c r="G3950" t="n">
        <v>1506</v>
      </c>
      <c r="H3950" t="n">
        <v>589</v>
      </c>
      <c r="J3950" t="inlineStr">
        <is>
          <t>Marratxí ,Villa</t>
        </is>
      </c>
      <c r="K3950" t="n">
        <v>16.7</v>
      </c>
      <c r="L3950" t="n">
        <v>19</v>
      </c>
      <c r="M3950" t="n">
        <v>59.5</v>
      </c>
      <c r="N3950" t="n">
        <v>52</v>
      </c>
      <c r="O3950" t="n">
        <v>39.3</v>
      </c>
      <c r="P3950" t="n">
        <v>36</v>
      </c>
      <c r="Q3950" t="n">
        <v>57.2</v>
      </c>
      <c r="R3950" t="n">
        <v>49</v>
      </c>
      <c r="S3950" t="n">
        <v>4195000</v>
      </c>
      <c r="T3950" t="n">
        <v>7122</v>
      </c>
      <c r="U3950" t="n">
        <v>2786</v>
      </c>
      <c r="AH3950" t="inlineStr">
        <is>
          <t>Quelle: Sandberg Estates</t>
        </is>
      </c>
    </row>
    <row r="3951">
      <c r="A3951" t="n">
        <v>3764</v>
      </c>
      <c r="B3951" t="inlineStr">
        <is>
          <t>Luxury Sea View Apartment for Sale in Cas Catala</t>
        </is>
      </c>
      <c r="C3951" t="inlineStr">
        <is>
          <t>https://sandberg-estates.com/properties/luxury-sea-view-apartment-for-sale-in-cas-catala</t>
        </is>
      </c>
      <c r="E3951" t="n">
        <v>3</v>
      </c>
      <c r="H3951" t="n">
        <v>239</v>
      </c>
      <c r="J3951" t="inlineStr">
        <is>
          <t>Cas Catala ,Apartment</t>
        </is>
      </c>
      <c r="K3951" t="n">
        <v>20</v>
      </c>
      <c r="L3951" t="n">
        <v>22</v>
      </c>
      <c r="M3951" t="n">
        <v>62.8</v>
      </c>
      <c r="N3951" t="n">
        <v>55</v>
      </c>
      <c r="O3951" t="n">
        <v>23.7</v>
      </c>
      <c r="P3951" t="n">
        <v>23</v>
      </c>
      <c r="Q3951" t="n">
        <v>60.5</v>
      </c>
      <c r="R3951" t="n">
        <v>51</v>
      </c>
      <c r="S3951" t="n">
        <v>3500000</v>
      </c>
      <c r="T3951" t="n">
        <v>14644</v>
      </c>
      <c r="AH3951" t="inlineStr">
        <is>
          <t>Quelle: Sandberg Estates</t>
        </is>
      </c>
    </row>
    <row r="3952">
      <c r="A3952" t="n">
        <v>3765</v>
      </c>
      <c r="B3952" t="inlineStr">
        <is>
          <t>Unique New Build Villa for Sale in Costa d'en Blanes</t>
        </is>
      </c>
      <c r="C3952" t="inlineStr">
        <is>
          <t>https://sandberg-estates.com/properties/unique-new-build-villa-for-sale-in-costa-d-en-blanes</t>
        </is>
      </c>
      <c r="E3952" t="n">
        <v>6</v>
      </c>
      <c r="G3952" t="n">
        <v>2499</v>
      </c>
      <c r="H3952" t="n">
        <v>1334</v>
      </c>
      <c r="J3952" t="inlineStr">
        <is>
          <t>Costa den Blanes ,Villa</t>
        </is>
      </c>
      <c r="K3952" t="n">
        <v>23.3</v>
      </c>
      <c r="L3952" t="n">
        <v>21</v>
      </c>
      <c r="M3952" t="n">
        <v>66.09999999999999</v>
      </c>
      <c r="N3952" t="n">
        <v>54</v>
      </c>
      <c r="O3952" t="n">
        <v>21</v>
      </c>
      <c r="P3952" t="n">
        <v>21</v>
      </c>
      <c r="Q3952" t="n">
        <v>63.8</v>
      </c>
      <c r="R3952" t="n">
        <v>51</v>
      </c>
      <c r="S3952" t="n">
        <v>25000000</v>
      </c>
      <c r="T3952" t="n">
        <v>18741</v>
      </c>
      <c r="U3952" t="n">
        <v>10004</v>
      </c>
      <c r="AH3952" t="inlineStr">
        <is>
          <t>Quelle: Sandberg Estates</t>
        </is>
      </c>
    </row>
    <row r="3953">
      <c r="A3953" t="n">
        <v>3766</v>
      </c>
      <c r="B3953" t="inlineStr">
        <is>
          <t>Charming New Build Townhouse in Genova for Sale</t>
        </is>
      </c>
      <c r="C3953" t="inlineStr">
        <is>
          <t>https://sandberg-estates.com/properties/charming-new-build-townhouse-in-genova-for-sale</t>
        </is>
      </c>
      <c r="E3953" t="n">
        <v>3</v>
      </c>
      <c r="H3953" t="n">
        <v>295</v>
      </c>
      <c r="J3953" t="inlineStr">
        <is>
          <t>Genova ,Townhouse</t>
        </is>
      </c>
      <c r="K3953" t="n">
        <v>18</v>
      </c>
      <c r="L3953" t="n">
        <v>20</v>
      </c>
      <c r="M3953" t="n">
        <v>60.7</v>
      </c>
      <c r="N3953" t="n">
        <v>53</v>
      </c>
      <c r="O3953" t="n">
        <v>25.4</v>
      </c>
      <c r="P3953" t="n">
        <v>26</v>
      </c>
      <c r="Q3953" t="n">
        <v>58.4</v>
      </c>
      <c r="R3953" t="n">
        <v>49</v>
      </c>
      <c r="S3953" t="n">
        <v>2450000</v>
      </c>
      <c r="T3953" t="n">
        <v>8305</v>
      </c>
      <c r="AH3953" t="inlineStr">
        <is>
          <t>Quelle: Sandberg Estates</t>
        </is>
      </c>
    </row>
    <row r="3954">
      <c r="A3954" t="n">
        <v>3767</v>
      </c>
      <c r="B3954" t="inlineStr">
        <is>
          <t>Triplex Apartment with Seaviews for Sale in Cas Català</t>
        </is>
      </c>
      <c r="C3954" t="inlineStr">
        <is>
          <t>https://sandberg-estates.com/properties/triplex-apartment-with-seaviews-for-sale-in-cas-catala</t>
        </is>
      </c>
      <c r="E3954" t="n">
        <v>4</v>
      </c>
      <c r="H3954" t="n">
        <v>225</v>
      </c>
      <c r="J3954" t="inlineStr">
        <is>
          <t>Cas Catala ,Apartment</t>
        </is>
      </c>
      <c r="K3954" t="n">
        <v>20</v>
      </c>
      <c r="L3954" t="n">
        <v>22</v>
      </c>
      <c r="M3954" t="n">
        <v>62.8</v>
      </c>
      <c r="N3954" t="n">
        <v>55</v>
      </c>
      <c r="O3954" t="n">
        <v>23.7</v>
      </c>
      <c r="P3954" t="n">
        <v>23</v>
      </c>
      <c r="Q3954" t="n">
        <v>60.5</v>
      </c>
      <c r="R3954" t="n">
        <v>51</v>
      </c>
      <c r="S3954" t="n">
        <v>1590000</v>
      </c>
      <c r="T3954" t="n">
        <v>7067</v>
      </c>
      <c r="AH3954" t="inlineStr">
        <is>
          <t>Quelle: Sandberg Estates</t>
        </is>
      </c>
    </row>
    <row r="3955">
      <c r="A3955" t="n">
        <v>3768</v>
      </c>
      <c r="B3955" t="inlineStr">
        <is>
          <t>Charming New-Build Finca for Sale in Cas Concos</t>
        </is>
      </c>
      <c r="C3955" t="inlineStr">
        <is>
          <t>https://sandberg-estates.com/properties/charming-new-build-finca-for-sale-in-cas-concos</t>
        </is>
      </c>
      <c r="E3955" t="n">
        <v>4</v>
      </c>
      <c r="G3955" t="n">
        <v>21446</v>
      </c>
      <c r="H3955" t="n">
        <v>590</v>
      </c>
      <c r="J3955" t="inlineStr">
        <is>
          <t>Santanyí ,Villa</t>
        </is>
      </c>
      <c r="K3955" t="n">
        <v>45.4</v>
      </c>
      <c r="L3955" t="n">
        <v>39</v>
      </c>
      <c r="M3955" t="n">
        <v>9</v>
      </c>
      <c r="N3955" t="n">
        <v>13</v>
      </c>
      <c r="O3955" t="n">
        <v>83.59999999999999</v>
      </c>
      <c r="P3955" t="n">
        <v>67</v>
      </c>
      <c r="Q3955" t="n">
        <v>9.699999999999999</v>
      </c>
      <c r="R3955" t="n">
        <v>15</v>
      </c>
      <c r="S3955" t="n">
        <v>3450000</v>
      </c>
      <c r="T3955" t="n">
        <v>5847</v>
      </c>
      <c r="U3955" t="n">
        <v>161</v>
      </c>
      <c r="AH3955" t="inlineStr">
        <is>
          <t>Quelle: Sandberg Estates</t>
        </is>
      </c>
    </row>
    <row r="3956">
      <c r="A3956" t="n">
        <v>3769</v>
      </c>
      <c r="B3956" t="inlineStr">
        <is>
          <t>Villa with Panoramic Sea Views for Sale in Santa Ponsa</t>
        </is>
      </c>
      <c r="C3956" t="inlineStr">
        <is>
          <t>https://sandberg-estates.com/properties/villa-with-panoramic-sea-views-for-sale-in-santa-ponsa</t>
        </is>
      </c>
      <c r="E3956" t="n">
        <v>6</v>
      </c>
      <c r="G3956" t="n">
        <v>1450</v>
      </c>
      <c r="H3956" t="n">
        <v>768</v>
      </c>
      <c r="J3956" t="inlineStr">
        <is>
          <t>Santa Ponsa ,Villa</t>
        </is>
      </c>
      <c r="K3956" t="n">
        <v>31.1</v>
      </c>
      <c r="L3956" t="n">
        <v>28</v>
      </c>
      <c r="M3956" t="n">
        <v>73.90000000000001</v>
      </c>
      <c r="N3956" t="n">
        <v>61</v>
      </c>
      <c r="O3956" t="n">
        <v>15.2</v>
      </c>
      <c r="P3956" t="n">
        <v>19</v>
      </c>
      <c r="Q3956" t="n">
        <v>71.59999999999999</v>
      </c>
      <c r="R3956" t="n">
        <v>57</v>
      </c>
      <c r="S3956" t="n">
        <v>6900000</v>
      </c>
      <c r="T3956" t="n">
        <v>8984</v>
      </c>
      <c r="U3956" t="n">
        <v>4759</v>
      </c>
      <c r="AH3956" t="inlineStr">
        <is>
          <t>Quelle: Sandberg Estates</t>
        </is>
      </c>
    </row>
    <row r="3957">
      <c r="A3957" t="n">
        <v>3770</v>
      </c>
      <c r="B3957" t="inlineStr">
        <is>
          <t>Modern Mediterranean Villa for Sale in Costa d'en Blanes</t>
        </is>
      </c>
      <c r="C3957" t="inlineStr">
        <is>
          <t>https://sandberg-estates.com/properties/modern-mediterranean-villa-for-sale-in-costa-d-en-blanes</t>
        </is>
      </c>
      <c r="E3957" t="n">
        <v>4</v>
      </c>
      <c r="G3957" t="n">
        <v>748</v>
      </c>
      <c r="H3957" t="n">
        <v>438</v>
      </c>
      <c r="J3957" t="inlineStr">
        <is>
          <t>Costa den Blanes ,Villa</t>
        </is>
      </c>
      <c r="K3957" t="n">
        <v>23.3</v>
      </c>
      <c r="L3957" t="n">
        <v>21</v>
      </c>
      <c r="M3957" t="n">
        <v>66.09999999999999</v>
      </c>
      <c r="N3957" t="n">
        <v>54</v>
      </c>
      <c r="O3957" t="n">
        <v>21</v>
      </c>
      <c r="P3957" t="n">
        <v>21</v>
      </c>
      <c r="Q3957" t="n">
        <v>63.8</v>
      </c>
      <c r="R3957" t="n">
        <v>51</v>
      </c>
      <c r="S3957" t="n">
        <v>7750000</v>
      </c>
      <c r="T3957" t="n">
        <v>17694</v>
      </c>
      <c r="U3957" t="n">
        <v>10361</v>
      </c>
      <c r="AH3957" t="inlineStr">
        <is>
          <t>Quelle: Sandberg Estates</t>
        </is>
      </c>
    </row>
    <row r="3958">
      <c r="A3958" t="n">
        <v>3771</v>
      </c>
      <c r="B3958" t="inlineStr">
        <is>
          <t>Luxury Sea View Villa for Sale in Puerto Andratx</t>
        </is>
      </c>
      <c r="C3958" t="inlineStr">
        <is>
          <t>https://sandberg-estates.com/properties/luxury-sea-view-villa-for-sale-in-puerto-andratx</t>
        </is>
      </c>
      <c r="E3958" t="n">
        <v>6</v>
      </c>
      <c r="G3958" t="n">
        <v>1038</v>
      </c>
      <c r="H3958" t="n">
        <v>691</v>
      </c>
      <c r="J3958" t="inlineStr">
        <is>
          <t>Puerto Andratx ,Villa</t>
        </is>
      </c>
      <c r="K3958" t="n">
        <v>43.5</v>
      </c>
      <c r="L3958" t="n">
        <v>38</v>
      </c>
      <c r="M3958" t="n">
        <v>86.2</v>
      </c>
      <c r="N3958" t="n">
        <v>71</v>
      </c>
      <c r="O3958" t="n">
        <v>6.3</v>
      </c>
      <c r="P3958" t="n">
        <v>11</v>
      </c>
      <c r="Q3958" t="n">
        <v>83.90000000000001</v>
      </c>
      <c r="R3958" t="n">
        <v>68</v>
      </c>
      <c r="S3958" t="n">
        <v>10500000</v>
      </c>
      <c r="T3958" t="n">
        <v>15195</v>
      </c>
      <c r="U3958" t="n">
        <v>10116</v>
      </c>
      <c r="AH3958" t="inlineStr">
        <is>
          <t>Quelle: Sandberg Estates</t>
        </is>
      </c>
    </row>
    <row r="3959">
      <c r="A3959" t="n">
        <v>3772</v>
      </c>
      <c r="B3959" t="inlineStr">
        <is>
          <t>Stylish Harbor View Apartment in Palma for Sale</t>
        </is>
      </c>
      <c r="C3959" t="inlineStr">
        <is>
          <t>https://sandberg-estates.com/properties/stylish-harbor-view-apartment-in-palma-for-sale</t>
        </is>
      </c>
      <c r="E3959" t="n">
        <v>2</v>
      </c>
      <c r="H3959" t="n">
        <v>100</v>
      </c>
      <c r="J3959" t="inlineStr">
        <is>
          <t>Paseo Maritimo ,Apartment</t>
        </is>
      </c>
      <c r="K3959" t="n">
        <v>10.9</v>
      </c>
      <c r="L3959" t="n">
        <v>17</v>
      </c>
      <c r="M3959" t="n">
        <v>53.7</v>
      </c>
      <c r="N3959" t="n">
        <v>50</v>
      </c>
      <c r="O3959" t="n">
        <v>29.9</v>
      </c>
      <c r="P3959" t="n">
        <v>32</v>
      </c>
      <c r="Q3959" t="n">
        <v>51.4</v>
      </c>
      <c r="R3959" t="n">
        <v>46</v>
      </c>
      <c r="S3959" t="n">
        <v>1500000</v>
      </c>
      <c r="T3959" t="n">
        <v>15000</v>
      </c>
      <c r="AH3959" t="inlineStr">
        <is>
          <t>Quelle: Sandberg Estates</t>
        </is>
      </c>
    </row>
    <row r="3960">
      <c r="A3960" t="n">
        <v>3773</v>
      </c>
      <c r="B3960" t="inlineStr">
        <is>
          <t>Charming Sea View Apartment for Sale in Cas Català</t>
        </is>
      </c>
      <c r="C3960" t="inlineStr">
        <is>
          <t>https://sandberg-estates.com/properties/charming-sea-view-apartment-for-sale-in-cas-catala</t>
        </is>
      </c>
      <c r="E3960" t="n">
        <v>2</v>
      </c>
      <c r="H3960" t="n">
        <v>284</v>
      </c>
      <c r="J3960" t="inlineStr">
        <is>
          <t>Cas Catala ,Apartment</t>
        </is>
      </c>
      <c r="K3960" t="n">
        <v>20</v>
      </c>
      <c r="L3960" t="n">
        <v>22</v>
      </c>
      <c r="M3960" t="n">
        <v>62.8</v>
      </c>
      <c r="N3960" t="n">
        <v>55</v>
      </c>
      <c r="O3960" t="n">
        <v>23.7</v>
      </c>
      <c r="P3960" t="n">
        <v>23</v>
      </c>
      <c r="Q3960" t="n">
        <v>60.5</v>
      </c>
      <c r="R3960" t="n">
        <v>51</v>
      </c>
      <c r="S3960" t="n">
        <v>1300000</v>
      </c>
      <c r="T3960" t="n">
        <v>4577</v>
      </c>
      <c r="AH3960" t="inlineStr">
        <is>
          <t>Quelle: Sandberg Estates</t>
        </is>
      </c>
    </row>
    <row r="3961">
      <c r="A3961" t="n">
        <v>3774</v>
      </c>
      <c r="B3961" t="inlineStr">
        <is>
          <t>Modern Townhouse for Sale in El Molinar</t>
        </is>
      </c>
      <c r="C3961" t="inlineStr">
        <is>
          <t>https://sandberg-estates.com/properties/modern-townhouse-for-sale-in-el-molinar</t>
        </is>
      </c>
      <c r="E3961" t="n">
        <v>4</v>
      </c>
      <c r="H3961" t="n">
        <v>217</v>
      </c>
      <c r="J3961" t="inlineStr">
        <is>
          <t>El Molinar ,Townhouse</t>
        </is>
      </c>
      <c r="K3961" t="n">
        <v>8.6</v>
      </c>
      <c r="L3961" t="n">
        <v>13</v>
      </c>
      <c r="M3961" t="n">
        <v>51.3</v>
      </c>
      <c r="N3961" t="n">
        <v>46</v>
      </c>
      <c r="O3961" t="n">
        <v>37.5</v>
      </c>
      <c r="P3961" t="n">
        <v>34</v>
      </c>
      <c r="Q3961" t="n">
        <v>49</v>
      </c>
      <c r="R3961" t="n">
        <v>42</v>
      </c>
      <c r="S3961" t="n">
        <v>2970000</v>
      </c>
      <c r="T3961" t="n">
        <v>13687</v>
      </c>
      <c r="AH3961" t="inlineStr">
        <is>
          <t>Quelle: Sandberg Estates</t>
        </is>
      </c>
    </row>
    <row r="3962">
      <c r="A3962" t="n">
        <v>3775</v>
      </c>
      <c r="B3962" t="inlineStr">
        <is>
          <t>Luxury Sea View Apartment for Sale in Portixol, Palma</t>
        </is>
      </c>
      <c r="C3962" t="inlineStr">
        <is>
          <t>https://sandberg-estates.com/properties/luxury-sea-view-apartment-for-sale-in-portixol-palma</t>
        </is>
      </c>
      <c r="E3962" t="n">
        <v>2</v>
      </c>
      <c r="H3962" t="n">
        <v>214</v>
      </c>
      <c r="J3962" t="inlineStr">
        <is>
          <t>Portixol ,Apartment</t>
        </is>
      </c>
      <c r="K3962" t="n">
        <v>8.5</v>
      </c>
      <c r="L3962" t="n">
        <v>13</v>
      </c>
      <c r="M3962" t="n">
        <v>51.2</v>
      </c>
      <c r="N3962" t="n">
        <v>46</v>
      </c>
      <c r="O3962" t="n">
        <v>37.4</v>
      </c>
      <c r="P3962" t="n">
        <v>34</v>
      </c>
      <c r="Q3962" t="n">
        <v>48.9</v>
      </c>
      <c r="R3962" t="n">
        <v>42</v>
      </c>
      <c r="S3962" t="n">
        <v>2950000</v>
      </c>
      <c r="T3962" t="n">
        <v>13785</v>
      </c>
      <c r="AH3962" t="inlineStr">
        <is>
          <t>Quelle: Sandberg Estates</t>
        </is>
      </c>
    </row>
    <row r="3963">
      <c r="A3963" t="n">
        <v>3776</v>
      </c>
      <c r="B3963" t="inlineStr">
        <is>
          <t>Exclusive New Villa for Sale in Sa Font Seca</t>
        </is>
      </c>
      <c r="C3963" t="inlineStr">
        <is>
          <t>https://sandberg-estates.com/properties/exclusive-new-villa-for-sale-in-sa-font-seca</t>
        </is>
      </c>
      <c r="E3963" t="n">
        <v>5</v>
      </c>
      <c r="G3963" t="n">
        <v>1300</v>
      </c>
      <c r="H3963" t="n">
        <v>966</v>
      </c>
      <c r="J3963" t="inlineStr">
        <is>
          <t>Bunyola ,</t>
        </is>
      </c>
      <c r="K3963" t="n">
        <v>26.3</v>
      </c>
      <c r="L3963" t="n">
        <v>25</v>
      </c>
      <c r="M3963" t="n">
        <v>69.09999999999999</v>
      </c>
      <c r="N3963" t="n">
        <v>58</v>
      </c>
      <c r="O3963" t="n">
        <v>48.9</v>
      </c>
      <c r="P3963" t="n">
        <v>41</v>
      </c>
      <c r="Q3963" t="n">
        <v>66.8</v>
      </c>
      <c r="R3963" t="n">
        <v>54</v>
      </c>
      <c r="S3963" t="n">
        <v>5900000</v>
      </c>
      <c r="T3963" t="n">
        <v>6108</v>
      </c>
      <c r="U3963" t="n">
        <v>4538</v>
      </c>
      <c r="AH3963" t="inlineStr">
        <is>
          <t>Quelle: Sandberg Estates</t>
        </is>
      </c>
    </row>
    <row r="3964">
      <c r="A3964" t="n">
        <v>3777</v>
      </c>
      <c r="B3964" t="inlineStr">
        <is>
          <t>Investment Opportunity: Building Plot with Project in Puerto Andratx for Sale</t>
        </is>
      </c>
      <c r="C3964" t="inlineStr">
        <is>
          <t>https://sandberg-estates.com/properties/investment-opportunity-building-plot-with-project-in-puerto-andratx-for-sale</t>
        </is>
      </c>
      <c r="E3964" t="n">
        <v>6</v>
      </c>
      <c r="G3964" t="n">
        <v>1407</v>
      </c>
      <c r="H3964" t="n">
        <v>1076</v>
      </c>
      <c r="J3964" t="inlineStr">
        <is>
          <t>Puerto Andratx ,Building</t>
        </is>
      </c>
      <c r="K3964" t="n">
        <v>43.5</v>
      </c>
      <c r="L3964" t="n">
        <v>38</v>
      </c>
      <c r="M3964" t="n">
        <v>86.2</v>
      </c>
      <c r="N3964" t="n">
        <v>71</v>
      </c>
      <c r="O3964" t="n">
        <v>6.3</v>
      </c>
      <c r="P3964" t="n">
        <v>11</v>
      </c>
      <c r="Q3964" t="n">
        <v>83.90000000000001</v>
      </c>
      <c r="R3964" t="n">
        <v>68</v>
      </c>
      <c r="S3964" t="n">
        <v>6900000</v>
      </c>
      <c r="T3964" t="n">
        <v>6413</v>
      </c>
      <c r="U3964" t="n">
        <v>4904</v>
      </c>
      <c r="AH3964" t="inlineStr">
        <is>
          <t>Quelle: Sandberg Estates</t>
        </is>
      </c>
    </row>
    <row r="3965">
      <c r="A3965" t="n">
        <v>3778</v>
      </c>
      <c r="B3965" t="inlineStr">
        <is>
          <t>Elegant Luxury Villa for Sale in Puerto Andratx</t>
        </is>
      </c>
      <c r="C3965" t="inlineStr">
        <is>
          <t>https://sandberg-estates.com/properties/elegant-luxury-villa-for-sale-in-puerto-andratx</t>
        </is>
      </c>
      <c r="E3965" t="n">
        <v>5</v>
      </c>
      <c r="G3965" t="n">
        <v>1054</v>
      </c>
      <c r="H3965" t="n">
        <v>947</v>
      </c>
      <c r="J3965" t="inlineStr">
        <is>
          <t>Puerto Andratx ,Villa</t>
        </is>
      </c>
      <c r="K3965" t="n">
        <v>43.5</v>
      </c>
      <c r="L3965" t="n">
        <v>38</v>
      </c>
      <c r="M3965" t="n">
        <v>86.2</v>
      </c>
      <c r="N3965" t="n">
        <v>71</v>
      </c>
      <c r="O3965" t="n">
        <v>6.3</v>
      </c>
      <c r="P3965" t="n">
        <v>11</v>
      </c>
      <c r="Q3965" t="n">
        <v>83.90000000000001</v>
      </c>
      <c r="R3965" t="n">
        <v>68</v>
      </c>
      <c r="S3965" t="n">
        <v>11900000</v>
      </c>
      <c r="T3965" t="n">
        <v>12566</v>
      </c>
      <c r="U3965" t="n">
        <v>11290</v>
      </c>
      <c r="AH3965" t="inlineStr">
        <is>
          <t>Quelle: Sandberg Estates</t>
        </is>
      </c>
    </row>
    <row r="3966">
      <c r="A3966" t="n">
        <v>3779</v>
      </c>
      <c r="B3966" t="inlineStr">
        <is>
          <t>Renovated Apartment in El Terreno for Sale</t>
        </is>
      </c>
      <c r="C3966" t="inlineStr">
        <is>
          <t>https://sandberg-estates.com/properties/renovated-apartment-in-el-terreno-for-sale</t>
        </is>
      </c>
      <c r="E3966" t="n">
        <v>2</v>
      </c>
      <c r="H3966" t="n">
        <v>85</v>
      </c>
      <c r="J3966" t="inlineStr">
        <is>
          <t>El Terreno ,Apartment</t>
        </is>
      </c>
      <c r="S3966" t="n">
        <v>495000</v>
      </c>
      <c r="T3966" t="n">
        <v>5824</v>
      </c>
      <c r="AH3966" t="inlineStr">
        <is>
          <t>Quelle: Sandberg Estates</t>
        </is>
      </c>
    </row>
    <row r="3967">
      <c r="A3967" t="n">
        <v>3780</v>
      </c>
      <c r="B3967" t="inlineStr">
        <is>
          <t>Penthouse Apartment for Sale in San Agustin, Palma</t>
        </is>
      </c>
      <c r="C3967" t="inlineStr">
        <is>
          <t>https://sandberg-estates.com/properties/penthouse-apartment-for-sale-in-san-agustin-palma-2</t>
        </is>
      </c>
      <c r="E3967" t="n">
        <v>2</v>
      </c>
      <c r="H3967" t="n">
        <v>83</v>
      </c>
      <c r="J3967" t="inlineStr">
        <is>
          <t>San Agustin ,Apartment</t>
        </is>
      </c>
      <c r="S3967" t="n">
        <v>850000</v>
      </c>
      <c r="T3967" t="n">
        <v>10241</v>
      </c>
      <c r="AH3967" t="inlineStr">
        <is>
          <t>Quelle: Sandberg Estates</t>
        </is>
      </c>
    </row>
    <row r="3968">
      <c r="A3968" t="n">
        <v>3781</v>
      </c>
      <c r="B3968" t="inlineStr">
        <is>
          <t>Detached House for Sale in Nova Santa Ponsa</t>
        </is>
      </c>
      <c r="C3968" t="inlineStr">
        <is>
          <t>https://sandberg-estates.com/properties/detached-house-for-sale-in-nova-santa-ponsa</t>
        </is>
      </c>
      <c r="E3968" t="n">
        <v>3</v>
      </c>
      <c r="G3968" t="n">
        <v>33</v>
      </c>
      <c r="H3968" t="n">
        <v>78</v>
      </c>
      <c r="J3968" t="inlineStr">
        <is>
          <t>Santa Ponsa ,Villa</t>
        </is>
      </c>
      <c r="K3968" t="n">
        <v>31.1</v>
      </c>
      <c r="L3968" t="n">
        <v>28</v>
      </c>
      <c r="M3968" t="n">
        <v>73.90000000000001</v>
      </c>
      <c r="N3968" t="n">
        <v>61</v>
      </c>
      <c r="O3968" t="n">
        <v>15.2</v>
      </c>
      <c r="P3968" t="n">
        <v>19</v>
      </c>
      <c r="Q3968" t="n">
        <v>71.59999999999999</v>
      </c>
      <c r="R3968" t="n">
        <v>57</v>
      </c>
      <c r="S3968" t="n">
        <v>1750000</v>
      </c>
      <c r="T3968" t="n">
        <v>22436</v>
      </c>
      <c r="U3968" t="n">
        <v>53030</v>
      </c>
      <c r="AH3968" t="inlineStr">
        <is>
          <t>Quelle: Sandberg Estates</t>
        </is>
      </c>
    </row>
    <row r="3969">
      <c r="A3969" t="n">
        <v>3782</v>
      </c>
      <c r="B3969" t="inlineStr">
        <is>
          <t>New Apartment for Sale in Sant Elm, Andratx</t>
        </is>
      </c>
      <c r="C3969" t="inlineStr">
        <is>
          <t>https://sandberg-estates.com/properties/new-apartment-for-sale-in-sant-elm-andratx</t>
        </is>
      </c>
      <c r="E3969" t="n">
        <v>2</v>
      </c>
      <c r="H3969" t="n">
        <v>29</v>
      </c>
      <c r="J3969" t="inlineStr">
        <is>
          <t>Andratx ,Apartment</t>
        </is>
      </c>
      <c r="S3969" t="n">
        <v>872000</v>
      </c>
      <c r="T3969" t="n">
        <v>30069</v>
      </c>
      <c r="AH3969" t="inlineStr">
        <is>
          <t>Quelle: Sandberg Estates</t>
        </is>
      </c>
    </row>
    <row r="3970">
      <c r="A3970" t="n">
        <v>3783</v>
      </c>
      <c r="B3970" t="inlineStr">
        <is>
          <t>New Townhouses for Sale in Capdepera</t>
        </is>
      </c>
      <c r="C3970" t="inlineStr">
        <is>
          <t>https://sandberg-estates.com/properties/new-townhouses-for-sale-in-capdepera</t>
        </is>
      </c>
      <c r="E3970" t="n">
        <v>2</v>
      </c>
      <c r="H3970" t="n">
        <v>3</v>
      </c>
      <c r="J3970" t="inlineStr">
        <is>
          <t>Capdepera ,Villa</t>
        </is>
      </c>
      <c r="S3970" t="n">
        <v>625000</v>
      </c>
      <c r="T3970" t="n">
        <v>208333</v>
      </c>
      <c r="AH3970" t="inlineStr">
        <is>
          <t>Quelle: Sandberg Estates</t>
        </is>
      </c>
    </row>
    <row r="3971">
      <c r="A3971" t="n">
        <v>3784</v>
      </c>
      <c r="B3971" t="inlineStr">
        <is>
          <t>Beautiful Villa with Guest Apartment in Nova Santa Ponsa for Sale</t>
        </is>
      </c>
      <c r="C3971" t="inlineStr">
        <is>
          <t>https://sandberg-estates.com/properties/beautiful-villa-with-guest-apartment-in-nova-santa-ponsa-for-sale</t>
        </is>
      </c>
      <c r="E3971" t="n">
        <v>3</v>
      </c>
      <c r="G3971" t="n">
        <v>1127</v>
      </c>
      <c r="H3971" t="n">
        <v>235</v>
      </c>
      <c r="J3971" t="inlineStr">
        <is>
          <t>Santa Ponsa ,Villa</t>
        </is>
      </c>
      <c r="K3971" t="n">
        <v>31.1</v>
      </c>
      <c r="L3971" t="n">
        <v>28</v>
      </c>
      <c r="M3971" t="n">
        <v>73.90000000000001</v>
      </c>
      <c r="N3971" t="n">
        <v>61</v>
      </c>
      <c r="O3971" t="n">
        <v>15.2</v>
      </c>
      <c r="P3971" t="n">
        <v>19</v>
      </c>
      <c r="Q3971" t="n">
        <v>71.59999999999999</v>
      </c>
      <c r="R3971" t="n">
        <v>57</v>
      </c>
      <c r="S3971" t="n">
        <v>1995000</v>
      </c>
      <c r="T3971" t="n">
        <v>8489</v>
      </c>
      <c r="U3971" t="n">
        <v>1770</v>
      </c>
      <c r="AH3971" t="inlineStr">
        <is>
          <t>Quelle: Sandberg Estates</t>
        </is>
      </c>
    </row>
    <row r="3972">
      <c r="A3972" t="n">
        <v>3785</v>
      </c>
      <c r="B3972" t="inlineStr">
        <is>
          <t>New Apartments for Sale in Capdepera</t>
        </is>
      </c>
      <c r="C3972" t="inlineStr">
        <is>
          <t>https://sandberg-estates.com/properties/new-apartments-for-sale-in-capdepera</t>
        </is>
      </c>
      <c r="E3972" t="n">
        <v>2</v>
      </c>
      <c r="H3972" t="n">
        <v>2</v>
      </c>
      <c r="J3972" t="inlineStr">
        <is>
          <t>Capdepera ,Apartment</t>
        </is>
      </c>
      <c r="S3972" t="n">
        <v>475000</v>
      </c>
      <c r="T3972" t="n">
        <v>237500</v>
      </c>
      <c r="AH3972" t="inlineStr">
        <is>
          <t>Quelle: Sandberg Estates</t>
        </is>
      </c>
    </row>
    <row r="3973">
      <c r="A3973" t="n">
        <v>3786</v>
      </c>
      <c r="B3973" t="inlineStr">
        <is>
          <t>3-Bedroom Apartment for Sale in Cas Catala with Sea Views</t>
        </is>
      </c>
      <c r="C3973" t="inlineStr">
        <is>
          <t>https://sandberg-estates.com/properties/3-bedroom-apartment-for-sale-in-cas-catala-with-sea-views</t>
        </is>
      </c>
      <c r="E3973" t="n">
        <v>2</v>
      </c>
      <c r="H3973" t="n">
        <v>98</v>
      </c>
      <c r="J3973" t="inlineStr">
        <is>
          <t>Cas Catala ,Apartment</t>
        </is>
      </c>
      <c r="S3973" t="n">
        <v>680000</v>
      </c>
      <c r="T3973" t="n">
        <v>6939</v>
      </c>
      <c r="AH3973" t="inlineStr">
        <is>
          <t>Quelle: Sandberg Estates</t>
        </is>
      </c>
    </row>
    <row r="3974">
      <c r="A3974" t="n">
        <v>3787</v>
      </c>
      <c r="B3974" t="inlineStr">
        <is>
          <t>New Build Townhouse for Sale in Esporles</t>
        </is>
      </c>
      <c r="C3974" t="inlineStr">
        <is>
          <t>https://sandberg-estates.com/properties/new-build-townhouse-for-sale-in-esporles</t>
        </is>
      </c>
      <c r="E3974" t="n">
        <v>3</v>
      </c>
      <c r="G3974" t="n">
        <v>11</v>
      </c>
      <c r="H3974" t="n">
        <v>4</v>
      </c>
      <c r="J3974" t="inlineStr">
        <is>
          <t>Esporles ,Villa</t>
        </is>
      </c>
      <c r="S3974" t="n">
        <v>795000</v>
      </c>
      <c r="T3974" t="n">
        <v>198750</v>
      </c>
      <c r="U3974" t="n">
        <v>72273</v>
      </c>
      <c r="AH3974" t="inlineStr">
        <is>
          <t>Quelle: Sandberg Estates</t>
        </is>
      </c>
    </row>
    <row r="3975">
      <c r="A3975" t="n">
        <v>3788</v>
      </c>
      <c r="B3975" t="inlineStr">
        <is>
          <t>Unique Mansion with Stunning City and Sea Views for Sale in Palma</t>
        </is>
      </c>
      <c r="C3975" t="inlineStr">
        <is>
          <t>https://sandberg-estates.com/properties/unique-mansion-with-stunning-city-and-sea-views-for-sale-in-palma</t>
        </is>
      </c>
      <c r="E3975" t="n">
        <v>3</v>
      </c>
      <c r="G3975" t="n">
        <v>42600</v>
      </c>
      <c r="H3975" t="n">
        <v>1360</v>
      </c>
      <c r="J3975" t="inlineStr">
        <is>
          <t>Son Quint ,Villa</t>
        </is>
      </c>
      <c r="K3975" t="n">
        <v>24.1</v>
      </c>
      <c r="L3975" t="n">
        <v>28</v>
      </c>
      <c r="M3975" t="n">
        <v>66.8</v>
      </c>
      <c r="N3975" t="n">
        <v>61</v>
      </c>
      <c r="O3975" t="n">
        <v>42.4</v>
      </c>
      <c r="P3975" t="n">
        <v>40</v>
      </c>
      <c r="Q3975" t="n">
        <v>64.5</v>
      </c>
      <c r="R3975" t="n">
        <v>57</v>
      </c>
      <c r="S3975" t="n">
        <v>5900000</v>
      </c>
      <c r="T3975" t="n">
        <v>4338</v>
      </c>
      <c r="U3975" t="n">
        <v>138</v>
      </c>
      <c r="AH3975" t="inlineStr">
        <is>
          <t>Quelle: Sandberg Estates</t>
        </is>
      </c>
    </row>
    <row r="3976">
      <c r="A3976" t="n">
        <v>3789</v>
      </c>
      <c r="B3976" t="inlineStr">
        <is>
          <t>New build Townhouse for Sale in Genova</t>
        </is>
      </c>
      <c r="C3976" t="inlineStr">
        <is>
          <t>https://sandberg-estates.com/properties/new-build-townhouse-for-sale-in-genova</t>
        </is>
      </c>
      <c r="E3976" t="n">
        <v>3</v>
      </c>
      <c r="H3976" t="n">
        <v>295</v>
      </c>
      <c r="J3976" t="inlineStr">
        <is>
          <t>Genova ,Townhouse</t>
        </is>
      </c>
      <c r="K3976" t="n">
        <v>18</v>
      </c>
      <c r="L3976" t="n">
        <v>20</v>
      </c>
      <c r="M3976" t="n">
        <v>60.7</v>
      </c>
      <c r="N3976" t="n">
        <v>53</v>
      </c>
      <c r="O3976" t="n">
        <v>25.4</v>
      </c>
      <c r="P3976" t="n">
        <v>26</v>
      </c>
      <c r="Q3976" t="n">
        <v>58.4</v>
      </c>
      <c r="R3976" t="n">
        <v>49</v>
      </c>
      <c r="S3976" t="n">
        <v>2200000</v>
      </c>
      <c r="T3976" t="n">
        <v>7458</v>
      </c>
      <c r="AH3976" t="inlineStr">
        <is>
          <t>Quelle: Sandberg Estates</t>
        </is>
      </c>
    </row>
    <row r="3977">
      <c r="A3977" t="n">
        <v>3790</v>
      </c>
      <c r="B3977" t="inlineStr">
        <is>
          <t>Luxury Modern Villa for Sale in Son Gual, Palma</t>
        </is>
      </c>
      <c r="C3977" t="inlineStr">
        <is>
          <t>https://sandberg-estates.com/properties/luxury-modern-villa-for-sale-in-son-gual-palma</t>
        </is>
      </c>
      <c r="E3977" t="n">
        <v>3</v>
      </c>
      <c r="G3977" t="n">
        <v>2007</v>
      </c>
      <c r="H3977" t="n">
        <v>448</v>
      </c>
      <c r="J3977" t="inlineStr">
        <is>
          <t>Son Gual ,Villa</t>
        </is>
      </c>
      <c r="K3977" t="n">
        <v>15.4</v>
      </c>
      <c r="L3977" t="n">
        <v>18</v>
      </c>
      <c r="M3977" t="n">
        <v>45.2</v>
      </c>
      <c r="N3977" t="n">
        <v>43</v>
      </c>
      <c r="O3977" t="n">
        <v>49.6</v>
      </c>
      <c r="P3977" t="n">
        <v>43</v>
      </c>
      <c r="Q3977" t="n">
        <v>42.9</v>
      </c>
      <c r="R3977" t="n">
        <v>39</v>
      </c>
      <c r="S3977" t="n">
        <v>2790000</v>
      </c>
      <c r="T3977" t="n">
        <v>6228</v>
      </c>
      <c r="U3977" t="n">
        <v>1390</v>
      </c>
      <c r="AH3977" t="inlineStr">
        <is>
          <t>Quelle: Sandberg Estates</t>
        </is>
      </c>
    </row>
    <row r="3978">
      <c r="A3978" t="n">
        <v>3791</v>
      </c>
      <c r="B3978" t="inlineStr">
        <is>
          <t>Stylishly Renovated Apartment with Sea Views for Sale in Puerto Portals</t>
        </is>
      </c>
      <c r="C3978" t="inlineStr">
        <is>
          <t>https://sandberg-estates.com/properties/stylishly-renovated-apartment-with-sea-views-for-sale-in-puerto-portals</t>
        </is>
      </c>
      <c r="E3978" t="n">
        <v>2</v>
      </c>
      <c r="H3978" t="n">
        <v>84</v>
      </c>
      <c r="J3978" t="inlineStr">
        <is>
          <t>Puerto Portals ,Apartment</t>
        </is>
      </c>
      <c r="K3978" t="n">
        <v>23.5</v>
      </c>
      <c r="L3978" t="n">
        <v>24</v>
      </c>
      <c r="M3978" t="n">
        <v>66.2</v>
      </c>
      <c r="N3978" t="n">
        <v>56</v>
      </c>
      <c r="O3978" t="n">
        <v>21.4</v>
      </c>
      <c r="P3978" t="n">
        <v>23</v>
      </c>
      <c r="Q3978" t="n">
        <v>63.9</v>
      </c>
      <c r="R3978" t="n">
        <v>53</v>
      </c>
      <c r="S3978" t="n">
        <v>1350000</v>
      </c>
      <c r="T3978" t="n">
        <v>16071</v>
      </c>
      <c r="AH3978" t="inlineStr">
        <is>
          <t>Quelle: Sandberg Estates</t>
        </is>
      </c>
    </row>
    <row r="3979">
      <c r="A3979" t="n">
        <v>3792</v>
      </c>
      <c r="B3979" t="inlineStr">
        <is>
          <t>Palma, Area Portixol-Molinar, Spectacular Penthouse for Rent</t>
        </is>
      </c>
      <c r="C3979" t="inlineStr">
        <is>
          <t>https://sandberg-estates.com/properties/palma-area-portixol-molinar-spectacular-penthouse-for-rent</t>
        </is>
      </c>
      <c r="E3979" t="n">
        <v>2</v>
      </c>
      <c r="J3979" t="inlineStr">
        <is>
          <t>Portixol ,Apartment</t>
        </is>
      </c>
      <c r="S3979" t="n">
        <v>3900</v>
      </c>
      <c r="AH3979" t="inlineStr">
        <is>
          <t>Quelle: Sandberg Estates</t>
        </is>
      </c>
    </row>
    <row r="3980">
      <c r="A3980" t="n">
        <v>3793</v>
      </c>
      <c r="B3980" t="inlineStr">
        <is>
          <t>Sea View Apartment for Sale in Palmanova</t>
        </is>
      </c>
      <c r="C3980" t="inlineStr">
        <is>
          <t>https://sandberg-estates.com/properties/sea-view-apartment-for-sale-in-palmanova-2</t>
        </is>
      </c>
      <c r="E3980" t="n">
        <v>2</v>
      </c>
      <c r="H3980" t="n">
        <v>220</v>
      </c>
      <c r="J3980" t="inlineStr">
        <is>
          <t>Palmanova ,Apartment</t>
        </is>
      </c>
      <c r="K3980" t="n">
        <v>25.9</v>
      </c>
      <c r="L3980" t="n">
        <v>24</v>
      </c>
      <c r="M3980" t="n">
        <v>68.59999999999999</v>
      </c>
      <c r="N3980" t="n">
        <v>57</v>
      </c>
      <c r="O3980" t="n">
        <v>18.5</v>
      </c>
      <c r="P3980" t="n">
        <v>21</v>
      </c>
      <c r="Q3980" t="n">
        <v>66.3</v>
      </c>
      <c r="R3980" t="n">
        <v>54</v>
      </c>
      <c r="S3980" t="n">
        <v>1065000</v>
      </c>
      <c r="T3980" t="n">
        <v>4841</v>
      </c>
      <c r="AH3980" t="inlineStr">
        <is>
          <t>Quelle: Sandberg Estates</t>
        </is>
      </c>
    </row>
    <row r="3981">
      <c r="A3981" t="n">
        <v>3794</v>
      </c>
      <c r="B3981" t="inlineStr">
        <is>
          <t>Exclusive Sea View Apartment for Sale in Puerto Portals</t>
        </is>
      </c>
      <c r="C3981" t="inlineStr">
        <is>
          <t>https://sandberg-estates.com/properties/exclusive-sea-view-apartment-for-sale-in-puerto-portals</t>
        </is>
      </c>
      <c r="E3981" t="n">
        <v>2</v>
      </c>
      <c r="H3981" t="n">
        <v>182</v>
      </c>
      <c r="J3981" t="inlineStr">
        <is>
          <t>Puerto Portals ,Apartment</t>
        </is>
      </c>
      <c r="AH3981" t="inlineStr">
        <is>
          <t>Quelle: Sandberg Estates</t>
        </is>
      </c>
    </row>
    <row r="3982">
      <c r="A3982" t="n">
        <v>3795</v>
      </c>
      <c r="B3982" t="inlineStr">
        <is>
          <t>Charming Sea View House for Sale in Costa d'en Blanes</t>
        </is>
      </c>
      <c r="C3982" t="inlineStr">
        <is>
          <t>https://sandberg-estates.com/properties/charming-sea-view-house-for-sale-in-costa-d-en-blanes</t>
        </is>
      </c>
      <c r="E3982" t="n">
        <v>4</v>
      </c>
      <c r="G3982" t="n">
        <v>761</v>
      </c>
      <c r="H3982" t="n">
        <v>290</v>
      </c>
      <c r="J3982" t="inlineStr">
        <is>
          <t>Costa den Blanes ,Villa</t>
        </is>
      </c>
      <c r="K3982" t="n">
        <v>23.3</v>
      </c>
      <c r="L3982" t="n">
        <v>21</v>
      </c>
      <c r="M3982" t="n">
        <v>66.09999999999999</v>
      </c>
      <c r="N3982" t="n">
        <v>54</v>
      </c>
      <c r="O3982" t="n">
        <v>21</v>
      </c>
      <c r="P3982" t="n">
        <v>21</v>
      </c>
      <c r="Q3982" t="n">
        <v>63.8</v>
      </c>
      <c r="R3982" t="n">
        <v>51</v>
      </c>
      <c r="S3982" t="n">
        <v>3000000</v>
      </c>
      <c r="T3982" t="n">
        <v>10345</v>
      </c>
      <c r="U3982" t="n">
        <v>3942</v>
      </c>
      <c r="AH3982" t="inlineStr">
        <is>
          <t>Quelle: Sandberg Estates</t>
        </is>
      </c>
    </row>
    <row r="3983">
      <c r="A3983" t="n">
        <v>3796</v>
      </c>
      <c r="B3983" t="inlineStr">
        <is>
          <t>Ground-Floor Apartment in Sa Vinya with Sea Views for Sale in Bendinat</t>
        </is>
      </c>
      <c r="C3983" t="inlineStr">
        <is>
          <t>https://sandberg-estates.com/properties/ground-floor-apartment-in-sa-vinya-with-sea-views-for-sale-in-bendinat</t>
        </is>
      </c>
      <c r="E3983" t="n">
        <v>3</v>
      </c>
      <c r="G3983" t="n">
        <v>248</v>
      </c>
      <c r="H3983" t="n">
        <v>209</v>
      </c>
      <c r="J3983" t="inlineStr">
        <is>
          <t>Bendinat ,Apartment</t>
        </is>
      </c>
      <c r="K3983" t="n">
        <v>23.1</v>
      </c>
      <c r="L3983" t="n">
        <v>22</v>
      </c>
      <c r="M3983" t="n">
        <v>65.8</v>
      </c>
      <c r="N3983" t="n">
        <v>55</v>
      </c>
      <c r="O3983" t="n">
        <v>23.2</v>
      </c>
      <c r="P3983" t="n">
        <v>23</v>
      </c>
      <c r="Q3983" t="n">
        <v>63.5</v>
      </c>
      <c r="R3983" t="n">
        <v>51</v>
      </c>
      <c r="S3983" t="n">
        <v>2075000</v>
      </c>
      <c r="T3983" t="n">
        <v>9928</v>
      </c>
      <c r="U3983" t="n">
        <v>8367</v>
      </c>
      <c r="AH3983" t="inlineStr">
        <is>
          <t>Quelle: Sandberg Estates</t>
        </is>
      </c>
    </row>
    <row r="3984">
      <c r="A3984" t="n">
        <v>3797</v>
      </c>
      <c r="B3984" t="inlineStr">
        <is>
          <t>Penthouse Apartment for Sale in Bendinat Golf</t>
        </is>
      </c>
      <c r="C3984" t="inlineStr">
        <is>
          <t>https://sandberg-estates.com/properties/penthouse-apartment-for-sale-in-bendinat-golf-2</t>
        </is>
      </c>
      <c r="E3984" t="n">
        <v>2</v>
      </c>
      <c r="H3984" t="n">
        <v>105</v>
      </c>
      <c r="J3984" t="inlineStr">
        <is>
          <t>Bendinat ,Apartment</t>
        </is>
      </c>
      <c r="S3984" t="n">
        <v>735000</v>
      </c>
      <c r="T3984" t="n">
        <v>7000</v>
      </c>
      <c r="AH3984" t="inlineStr">
        <is>
          <t>Quelle: Sandberg Estates</t>
        </is>
      </c>
    </row>
    <row r="3985">
      <c r="A3985" t="n">
        <v>3798</v>
      </c>
      <c r="B3985" t="inlineStr">
        <is>
          <t>Ground Floor Apartment with Garden for Sale in Bonanova</t>
        </is>
      </c>
      <c r="C3985" t="inlineStr">
        <is>
          <t>https://sandberg-estates.com/properties/ground-floor-apartment-with-garden-for-sale-in-bonanova</t>
        </is>
      </c>
      <c r="E3985" t="n">
        <v>2</v>
      </c>
      <c r="H3985" t="n">
        <v>21</v>
      </c>
      <c r="J3985" t="inlineStr">
        <is>
          <t>Bonanova ,Apartment</t>
        </is>
      </c>
      <c r="K3985" t="n">
        <v>19.2</v>
      </c>
      <c r="L3985" t="n">
        <v>21</v>
      </c>
      <c r="M3985" t="n">
        <v>62</v>
      </c>
      <c r="N3985" t="n">
        <v>54</v>
      </c>
      <c r="O3985" t="n">
        <v>26.6</v>
      </c>
      <c r="P3985" t="n">
        <v>27</v>
      </c>
      <c r="Q3985" t="n">
        <v>59.7</v>
      </c>
      <c r="R3985" t="n">
        <v>51</v>
      </c>
      <c r="S3985" t="n">
        <v>2390000</v>
      </c>
      <c r="T3985" t="n">
        <v>113810</v>
      </c>
      <c r="AH3985" t="inlineStr">
        <is>
          <t>Quelle: Sandberg Estates</t>
        </is>
      </c>
    </row>
    <row r="3986">
      <c r="A3986" t="n">
        <v>3799</v>
      </c>
      <c r="B3986" t="inlineStr">
        <is>
          <t>Charming House in for Sale Costa de la Calma</t>
        </is>
      </c>
      <c r="C3986" t="inlineStr">
        <is>
          <t>https://sandberg-estates.com/properties/charming-house-in-for-sale-costa-de-la-calma</t>
        </is>
      </c>
      <c r="E3986" t="n">
        <v>1</v>
      </c>
      <c r="H3986" t="n">
        <v>83</v>
      </c>
      <c r="J3986" t="inlineStr">
        <is>
          <t>Costa de la Calma ,Villa</t>
        </is>
      </c>
      <c r="S3986" t="n">
        <v>450000</v>
      </c>
      <c r="T3986" t="n">
        <v>5422</v>
      </c>
      <c r="AH3986" t="inlineStr">
        <is>
          <t>Quelle: Sandberg Estates</t>
        </is>
      </c>
    </row>
    <row r="3987">
      <c r="A3987" t="n">
        <v>3800</v>
      </c>
      <c r="B3987" t="inlineStr">
        <is>
          <t>Modern Country House for Sale in Andratx</t>
        </is>
      </c>
      <c r="C3987" t="inlineStr">
        <is>
          <t>https://sandberg-estates.com/properties/modern-country-house-for-sale-in-andratx</t>
        </is>
      </c>
      <c r="E3987" t="n">
        <v>4</v>
      </c>
      <c r="G3987" t="n">
        <v>5000</v>
      </c>
      <c r="H3987" t="n">
        <v>272</v>
      </c>
      <c r="J3987" t="inlineStr">
        <is>
          <t>Andratx ,Villa</t>
        </is>
      </c>
      <c r="K3987" t="n">
        <v>40.3</v>
      </c>
      <c r="L3987" t="n">
        <v>36</v>
      </c>
      <c r="M3987" t="n">
        <v>83</v>
      </c>
      <c r="N3987" t="n">
        <v>68</v>
      </c>
      <c r="O3987" t="n">
        <v>2.7</v>
      </c>
      <c r="P3987" t="n">
        <v>7</v>
      </c>
      <c r="Q3987" t="n">
        <v>80.7</v>
      </c>
      <c r="R3987" t="n">
        <v>65</v>
      </c>
      <c r="S3987" t="n">
        <v>1550000</v>
      </c>
      <c r="T3987" t="n">
        <v>5699</v>
      </c>
      <c r="U3987" t="n">
        <v>310</v>
      </c>
      <c r="AH3987" t="inlineStr">
        <is>
          <t>Quelle: Sandberg Estates</t>
        </is>
      </c>
    </row>
    <row r="3988">
      <c r="A3988" t="n">
        <v>3801</v>
      </c>
      <c r="B3988" t="inlineStr">
        <is>
          <t>Modern Villa for Sale in Nova Santa Ponsa, Mallorca</t>
        </is>
      </c>
      <c r="C3988" t="inlineStr">
        <is>
          <t>https://sandberg-estates.com/properties/modern-villa-for-sale-in-nova-santa-ponsa-mallorca</t>
        </is>
      </c>
      <c r="E3988" t="n">
        <v>4</v>
      </c>
      <c r="G3988" t="n">
        <v>1042</v>
      </c>
      <c r="H3988" t="n">
        <v>391</v>
      </c>
      <c r="J3988" t="inlineStr">
        <is>
          <t>Santa Ponsa ,Villa</t>
        </is>
      </c>
      <c r="K3988" t="n">
        <v>31.1</v>
      </c>
      <c r="L3988" t="n">
        <v>28</v>
      </c>
      <c r="M3988" t="n">
        <v>73.90000000000001</v>
      </c>
      <c r="N3988" t="n">
        <v>61</v>
      </c>
      <c r="O3988" t="n">
        <v>15.2</v>
      </c>
      <c r="P3988" t="n">
        <v>19</v>
      </c>
      <c r="Q3988" t="n">
        <v>71.59999999999999</v>
      </c>
      <c r="R3988" t="n">
        <v>57</v>
      </c>
      <c r="S3988" t="n">
        <v>3250000</v>
      </c>
      <c r="T3988" t="n">
        <v>8312</v>
      </c>
      <c r="U3988" t="n">
        <v>3119</v>
      </c>
      <c r="AH3988" t="inlineStr">
        <is>
          <t>Quelle: Sandberg Estates</t>
        </is>
      </c>
    </row>
    <row r="3989">
      <c r="A3989" t="n">
        <v>3802</v>
      </c>
      <c r="B3989" t="inlineStr">
        <is>
          <t>Stylish Villa for Sale in Sa Torre, Llucmajor</t>
        </is>
      </c>
      <c r="C3989" t="inlineStr">
        <is>
          <t>https://sandberg-estates.com/properties/stylish-villa-for-sale-in-sa-torre-llucmajor</t>
        </is>
      </c>
      <c r="E3989" t="n">
        <v>3</v>
      </c>
      <c r="G3989" t="n">
        <v>986</v>
      </c>
      <c r="H3989" t="n">
        <v>299</v>
      </c>
      <c r="J3989" t="inlineStr">
        <is>
          <t>Sa Torre ,Villa</t>
        </is>
      </c>
      <c r="K3989" t="n">
        <v>17</v>
      </c>
      <c r="L3989" t="n">
        <v>19</v>
      </c>
      <c r="M3989" t="n">
        <v>41.9</v>
      </c>
      <c r="N3989" t="n">
        <v>41</v>
      </c>
      <c r="O3989" t="n">
        <v>55.2</v>
      </c>
      <c r="P3989" t="n">
        <v>47</v>
      </c>
      <c r="Q3989" t="n">
        <v>39.6</v>
      </c>
      <c r="R3989" t="n">
        <v>38</v>
      </c>
      <c r="S3989" t="n">
        <v>2995000</v>
      </c>
      <c r="T3989" t="n">
        <v>10017</v>
      </c>
      <c r="U3989" t="n">
        <v>3038</v>
      </c>
      <c r="AH3989" t="inlineStr">
        <is>
          <t>Quelle: Sandberg Estates</t>
        </is>
      </c>
    </row>
    <row r="3990">
      <c r="A3990" t="n">
        <v>3803</v>
      </c>
      <c r="B3990" t="inlineStr">
        <is>
          <t>Modern New Build Villa for Sale in Portals Nous</t>
        </is>
      </c>
      <c r="C3990" t="inlineStr">
        <is>
          <t>https://sandberg-estates.com/properties/modern-new-build-villa-for-sale-in-portals-nous</t>
        </is>
      </c>
      <c r="E3990" t="n">
        <v>7</v>
      </c>
      <c r="G3990" t="n">
        <v>1328</v>
      </c>
      <c r="H3990" t="n">
        <v>800</v>
      </c>
      <c r="J3990" t="inlineStr">
        <is>
          <t>Portals Nous ,Villa</t>
        </is>
      </c>
      <c r="K3990" t="n">
        <v>23.8</v>
      </c>
      <c r="L3990" t="n">
        <v>23</v>
      </c>
      <c r="M3990" t="n">
        <v>66.59999999999999</v>
      </c>
      <c r="N3990" t="n">
        <v>56</v>
      </c>
      <c r="O3990" t="n">
        <v>21.8</v>
      </c>
      <c r="P3990" t="n">
        <v>22</v>
      </c>
      <c r="Q3990" t="n">
        <v>64.3</v>
      </c>
      <c r="R3990" t="n">
        <v>52</v>
      </c>
      <c r="S3990" t="n">
        <v>11450000</v>
      </c>
      <c r="T3990" t="n">
        <v>14312</v>
      </c>
      <c r="U3990" t="n">
        <v>8622</v>
      </c>
      <c r="AH3990" t="inlineStr">
        <is>
          <t>Quelle: Sandberg Estates</t>
        </is>
      </c>
    </row>
    <row r="3991">
      <c r="A3991" t="n">
        <v>3804</v>
      </c>
      <c r="B3991" t="inlineStr">
        <is>
          <t>New Build Villa in Sa Torre for Sale</t>
        </is>
      </c>
      <c r="C3991" t="inlineStr">
        <is>
          <t>https://sandberg-estates.com/properties/new-build-villa-in-sa-torre-for-sale</t>
        </is>
      </c>
      <c r="E3991" t="n">
        <v>4</v>
      </c>
      <c r="G3991" t="n">
        <v>1001</v>
      </c>
      <c r="H3991" t="n">
        <v>487</v>
      </c>
      <c r="J3991" t="inlineStr">
        <is>
          <t>Sa Torre ,Villa</t>
        </is>
      </c>
      <c r="K3991" t="n">
        <v>17</v>
      </c>
      <c r="L3991" t="n">
        <v>19</v>
      </c>
      <c r="M3991" t="n">
        <v>41.9</v>
      </c>
      <c r="N3991" t="n">
        <v>41</v>
      </c>
      <c r="O3991" t="n">
        <v>55.2</v>
      </c>
      <c r="P3991" t="n">
        <v>47</v>
      </c>
      <c r="Q3991" t="n">
        <v>39.6</v>
      </c>
      <c r="R3991" t="n">
        <v>38</v>
      </c>
      <c r="S3991" t="n">
        <v>2300000</v>
      </c>
      <c r="T3991" t="n">
        <v>4723</v>
      </c>
      <c r="U3991" t="n">
        <v>2298</v>
      </c>
      <c r="AH3991" t="inlineStr">
        <is>
          <t>Quelle: Sandberg Estates</t>
        </is>
      </c>
    </row>
    <row r="3992">
      <c r="A3992" t="n">
        <v>3805</v>
      </c>
      <c r="B3992" t="inlineStr">
        <is>
          <t>Charming Finca for Sale in Es Capdella</t>
        </is>
      </c>
      <c r="C3992" t="inlineStr">
        <is>
          <t>https://sandberg-estates.com/properties/charming-finca-for-sale-in-es-capdella-2</t>
        </is>
      </c>
      <c r="E3992" t="n">
        <v>2</v>
      </c>
      <c r="G3992" t="n">
        <v>2800</v>
      </c>
      <c r="H3992" t="n">
        <v>166</v>
      </c>
      <c r="J3992" t="inlineStr">
        <is>
          <t>Es Capdella ,Villa</t>
        </is>
      </c>
      <c r="K3992" t="n">
        <v>34.8</v>
      </c>
      <c r="L3992" t="n">
        <v>33</v>
      </c>
      <c r="M3992" t="n">
        <v>77.5</v>
      </c>
      <c r="N3992" t="n">
        <v>66</v>
      </c>
      <c r="O3992" t="n">
        <v>13.6</v>
      </c>
      <c r="P3992" t="n">
        <v>19</v>
      </c>
      <c r="Q3992" t="n">
        <v>75.2</v>
      </c>
      <c r="R3992" t="n">
        <v>63</v>
      </c>
      <c r="S3992" t="n">
        <v>1250000</v>
      </c>
      <c r="T3992" t="n">
        <v>7530</v>
      </c>
      <c r="U3992" t="n">
        <v>446</v>
      </c>
      <c r="AH3992" t="inlineStr">
        <is>
          <t>Quelle: Sandberg Estates</t>
        </is>
      </c>
    </row>
    <row r="3993">
      <c r="A3993" t="n">
        <v>3806</v>
      </c>
      <c r="B3993" t="inlineStr">
        <is>
          <t>3-Bedroom Sea View Penthouse for Sale in Portals Nous</t>
        </is>
      </c>
      <c r="C3993" t="inlineStr">
        <is>
          <t>https://sandberg-estates.com/properties/3-bedroom-sea-view-penthouse-for-sale-in-portals-nous</t>
        </is>
      </c>
      <c r="E3993" t="n">
        <v>2</v>
      </c>
      <c r="H3993" t="n">
        <v>58</v>
      </c>
      <c r="J3993" t="inlineStr">
        <is>
          <t>Portals Nous ,Apartment</t>
        </is>
      </c>
      <c r="S3993" t="n">
        <v>650000</v>
      </c>
      <c r="T3993" t="n">
        <v>11207</v>
      </c>
      <c r="AH3993" t="inlineStr">
        <is>
          <t>Quelle: Sandberg Estates</t>
        </is>
      </c>
    </row>
    <row r="3994">
      <c r="A3994" t="n">
        <v>3807</v>
      </c>
      <c r="B3994" t="inlineStr">
        <is>
          <t>Modern Townhouse for Sale in Can Pastilla</t>
        </is>
      </c>
      <c r="C3994" t="inlineStr">
        <is>
          <t>https://sandberg-estates.com/properties/modern-townhouse-for-sale-in-can-pastilla</t>
        </is>
      </c>
      <c r="E3994" t="n">
        <v>2</v>
      </c>
      <c r="H3994" t="n">
        <v>248</v>
      </c>
      <c r="J3994" t="inlineStr">
        <is>
          <t>Can Pastilla ,Villa</t>
        </is>
      </c>
      <c r="K3994" t="n">
        <v>3.3</v>
      </c>
      <c r="L3994" t="n">
        <v>8</v>
      </c>
      <c r="M3994" t="n">
        <v>45.4</v>
      </c>
      <c r="N3994" t="n">
        <v>43</v>
      </c>
      <c r="O3994" t="n">
        <v>41.6</v>
      </c>
      <c r="P3994" t="n">
        <v>36</v>
      </c>
      <c r="Q3994" t="n">
        <v>43.1</v>
      </c>
      <c r="R3994" t="n">
        <v>39</v>
      </c>
      <c r="S3994" t="n">
        <v>1290000</v>
      </c>
      <c r="T3994" t="n">
        <v>5202</v>
      </c>
      <c r="AH3994" t="inlineStr">
        <is>
          <t>Quelle: Sandberg Estates</t>
        </is>
      </c>
    </row>
    <row r="3995">
      <c r="A3995" t="n">
        <v>3808</v>
      </c>
      <c r="B3995" t="inlineStr">
        <is>
          <t>5-Bedroom Villa for Sale in Puntiro, Palma</t>
        </is>
      </c>
      <c r="C3995" t="inlineStr">
        <is>
          <t>https://sandberg-estates.com/properties/5-bedroom-villa-for-sale-in-puntiro-palma</t>
        </is>
      </c>
      <c r="E3995" t="n">
        <v>4</v>
      </c>
      <c r="G3995" t="n">
        <v>7614</v>
      </c>
      <c r="H3995" t="n">
        <v>395</v>
      </c>
      <c r="J3995" t="inlineStr">
        <is>
          <t>Puntiro ,Villa</t>
        </is>
      </c>
      <c r="K3995" t="n">
        <v>16.7</v>
      </c>
      <c r="L3995" t="n">
        <v>21</v>
      </c>
      <c r="M3995" t="n">
        <v>53.4</v>
      </c>
      <c r="N3995" t="n">
        <v>52</v>
      </c>
      <c r="O3995" t="n">
        <v>47</v>
      </c>
      <c r="P3995" t="n">
        <v>43</v>
      </c>
      <c r="Q3995" t="n">
        <v>51.1</v>
      </c>
      <c r="R3995" t="n">
        <v>48</v>
      </c>
      <c r="S3995" t="n">
        <v>3999000</v>
      </c>
      <c r="T3995" t="n">
        <v>10124</v>
      </c>
      <c r="U3995" t="n">
        <v>525</v>
      </c>
      <c r="AH3995" t="inlineStr">
        <is>
          <t>Quelle: Sandberg Estates</t>
        </is>
      </c>
    </row>
    <row r="3996">
      <c r="A3996" t="n">
        <v>3809</v>
      </c>
      <c r="B3996" t="inlineStr">
        <is>
          <t>Beautiful Villa in Costa d'en Blanes for Sale</t>
        </is>
      </c>
      <c r="C3996" t="inlineStr">
        <is>
          <t>https://sandberg-estates.com/properties/beautiful-villa-in-costa-d-en-blanes-for-sale</t>
        </is>
      </c>
      <c r="E3996" t="n">
        <v>3</v>
      </c>
      <c r="G3996" t="n">
        <v>903</v>
      </c>
      <c r="H3996" t="n">
        <v>314</v>
      </c>
      <c r="J3996" t="inlineStr">
        <is>
          <t>Costa den Blanes ,Villa</t>
        </is>
      </c>
      <c r="K3996" t="n">
        <v>23.3</v>
      </c>
      <c r="L3996" t="n">
        <v>21</v>
      </c>
      <c r="M3996" t="n">
        <v>66.09999999999999</v>
      </c>
      <c r="N3996" t="n">
        <v>54</v>
      </c>
      <c r="O3996" t="n">
        <v>21</v>
      </c>
      <c r="P3996" t="n">
        <v>21</v>
      </c>
      <c r="Q3996" t="n">
        <v>63.8</v>
      </c>
      <c r="R3996" t="n">
        <v>51</v>
      </c>
      <c r="S3996" t="n">
        <v>3990000</v>
      </c>
      <c r="T3996" t="n">
        <v>12707</v>
      </c>
      <c r="U3996" t="n">
        <v>4419</v>
      </c>
      <c r="AH3996" t="inlineStr">
        <is>
          <t>Quelle: Sandberg Estates</t>
        </is>
      </c>
    </row>
    <row r="3997">
      <c r="A3997" t="n">
        <v>3810</v>
      </c>
      <c r="B3997" t="inlineStr">
        <is>
          <t>New Villa for Sale in Son Gual Palma</t>
        </is>
      </c>
      <c r="C3997" t="inlineStr">
        <is>
          <t>https://sandberg-estates.com/properties/new-villa-for-sale-in-son-gual-palma-2</t>
        </is>
      </c>
      <c r="E3997" t="n">
        <v>3</v>
      </c>
      <c r="G3997" t="n">
        <v>2000</v>
      </c>
      <c r="H3997" t="n">
        <v>400</v>
      </c>
      <c r="J3997" t="inlineStr">
        <is>
          <t>Son Gual ,Villa</t>
        </is>
      </c>
      <c r="K3997" t="n">
        <v>15.4</v>
      </c>
      <c r="L3997" t="n">
        <v>18</v>
      </c>
      <c r="M3997" t="n">
        <v>45.2</v>
      </c>
      <c r="N3997" t="n">
        <v>43</v>
      </c>
      <c r="O3997" t="n">
        <v>49.6</v>
      </c>
      <c r="P3997" t="n">
        <v>43</v>
      </c>
      <c r="Q3997" t="n">
        <v>42.9</v>
      </c>
      <c r="R3997" t="n">
        <v>39</v>
      </c>
      <c r="S3997" t="n">
        <v>2640000</v>
      </c>
      <c r="T3997" t="n">
        <v>6600</v>
      </c>
      <c r="U3997" t="n">
        <v>1320</v>
      </c>
      <c r="AH3997" t="inlineStr">
        <is>
          <t>Quelle: Sandberg Estates</t>
        </is>
      </c>
    </row>
    <row r="3998">
      <c r="A3998" t="n">
        <v>3811</v>
      </c>
      <c r="B3998" t="inlineStr">
        <is>
          <t>Charming Villa with Guest Apartment in Costa de la Calma for Sale</t>
        </is>
      </c>
      <c r="C3998" t="inlineStr">
        <is>
          <t>https://sandberg-estates.com/properties/charming-villa-with-guest-apartment-in-costa-de-la-calma-for-sale</t>
        </is>
      </c>
      <c r="E3998" t="n">
        <v>4</v>
      </c>
      <c r="G3998" t="n">
        <v>1035</v>
      </c>
      <c r="H3998" t="n">
        <v>283</v>
      </c>
      <c r="J3998" t="inlineStr">
        <is>
          <t>Costa de la Calma ,Villa</t>
        </is>
      </c>
      <c r="K3998" t="n">
        <v>32.6</v>
      </c>
      <c r="L3998" t="n">
        <v>29</v>
      </c>
      <c r="M3998" t="n">
        <v>75.40000000000001</v>
      </c>
      <c r="N3998" t="n">
        <v>62</v>
      </c>
      <c r="O3998" t="n">
        <v>13.7</v>
      </c>
      <c r="P3998" t="n">
        <v>18</v>
      </c>
      <c r="Q3998" t="n">
        <v>73.09999999999999</v>
      </c>
      <c r="R3998" t="n">
        <v>58</v>
      </c>
      <c r="S3998" t="n">
        <v>1950000</v>
      </c>
      <c r="T3998" t="n">
        <v>6890</v>
      </c>
      <c r="U3998" t="n">
        <v>1884</v>
      </c>
      <c r="AH3998" t="inlineStr">
        <is>
          <t>Quelle: Sandberg Estates</t>
        </is>
      </c>
    </row>
    <row r="3999">
      <c r="A3999" t="n">
        <v>3812</v>
      </c>
      <c r="B3999" t="inlineStr">
        <is>
          <t>Luxury Frontline Apartment for Sale in Illetas</t>
        </is>
      </c>
      <c r="C3999" t="inlineStr">
        <is>
          <t>https://sandberg-estates.com/properties/luxury-frontline-apartment-for-sale-in-illetas</t>
        </is>
      </c>
      <c r="E3999" t="n">
        <v>3</v>
      </c>
      <c r="H3999" t="n">
        <v>258</v>
      </c>
      <c r="J3999" t="inlineStr">
        <is>
          <t>Illetes ,Apartment</t>
        </is>
      </c>
      <c r="K3999" t="n">
        <v>20</v>
      </c>
      <c r="L3999" t="n">
        <v>22</v>
      </c>
      <c r="M3999" t="n">
        <v>62.8</v>
      </c>
      <c r="N3999" t="n">
        <v>55</v>
      </c>
      <c r="O3999" t="n">
        <v>23.7</v>
      </c>
      <c r="P3999" t="n">
        <v>23</v>
      </c>
      <c r="Q3999" t="n">
        <v>60.5</v>
      </c>
      <c r="R3999" t="n">
        <v>51</v>
      </c>
      <c r="S3999" t="n">
        <v>3500000</v>
      </c>
      <c r="T3999" t="n">
        <v>13566</v>
      </c>
      <c r="AH3999" t="inlineStr">
        <is>
          <t>Quelle: Sandberg Estates</t>
        </is>
      </c>
    </row>
    <row r="4000">
      <c r="A4000" t="n">
        <v>3813</v>
      </c>
      <c r="B4000" t="inlineStr">
        <is>
          <t>Stylish Sea View Apartment for Sale in Puerto Portals</t>
        </is>
      </c>
      <c r="C4000" t="inlineStr">
        <is>
          <t>https://sandberg-estates.com/properties/stylish-sea-view-apartment-for-sale-in-puerto-portals</t>
        </is>
      </c>
      <c r="E4000" t="n">
        <v>2</v>
      </c>
      <c r="H4000" t="n">
        <v>142</v>
      </c>
      <c r="J4000" t="inlineStr">
        <is>
          <t>Puerto Portals ,Apartment</t>
        </is>
      </c>
      <c r="K4000" t="n">
        <v>23.5</v>
      </c>
      <c r="L4000" t="n">
        <v>24</v>
      </c>
      <c r="M4000" t="n">
        <v>66.2</v>
      </c>
      <c r="N4000" t="n">
        <v>56</v>
      </c>
      <c r="O4000" t="n">
        <v>21.4</v>
      </c>
      <c r="P4000" t="n">
        <v>23</v>
      </c>
      <c r="Q4000" t="n">
        <v>63.9</v>
      </c>
      <c r="R4000" t="n">
        <v>53</v>
      </c>
      <c r="S4000" t="n">
        <v>1250000</v>
      </c>
      <c r="T4000" t="n">
        <v>8803</v>
      </c>
      <c r="AH4000" t="inlineStr">
        <is>
          <t>Quelle: Sandberg Estates</t>
        </is>
      </c>
    </row>
    <row r="4001">
      <c r="A4001" t="n">
        <v>3814</v>
      </c>
      <c r="B4001" t="inlineStr">
        <is>
          <t>Stylishly renovated Apartment in Old Town Palma for Sale</t>
        </is>
      </c>
      <c r="C4001" t="inlineStr">
        <is>
          <t>https://sandberg-estates.com/properties/stylishly-renovated-apartment-in-old-town-palma-for-sale</t>
        </is>
      </c>
      <c r="E4001" t="n">
        <v>3</v>
      </c>
      <c r="H4001" t="n">
        <v>170</v>
      </c>
      <c r="J4001" t="inlineStr">
        <is>
          <t>Old Town ,Apartment</t>
        </is>
      </c>
      <c r="K4001" t="n">
        <v>47.4</v>
      </c>
      <c r="L4001" t="n">
        <v>40</v>
      </c>
      <c r="M4001" t="n">
        <v>51.8</v>
      </c>
      <c r="N4001" t="n">
        <v>55</v>
      </c>
      <c r="O4001" t="n">
        <v>70</v>
      </c>
      <c r="P4001" t="n">
        <v>56</v>
      </c>
      <c r="Q4001" t="n">
        <v>49.5</v>
      </c>
      <c r="R4001" t="n">
        <v>51</v>
      </c>
      <c r="S4001" t="n">
        <v>1495000</v>
      </c>
      <c r="T4001" t="n">
        <v>8794</v>
      </c>
      <c r="AH4001" t="inlineStr">
        <is>
          <t>Quelle: Sandberg Estates</t>
        </is>
      </c>
    </row>
    <row r="4002">
      <c r="A4002" t="n">
        <v>3815</v>
      </c>
      <c r="B4002" t="inlineStr">
        <is>
          <t>Penthouse with Sea Views for Sale in Torrenova</t>
        </is>
      </c>
      <c r="C4002" t="inlineStr">
        <is>
          <t>https://sandberg-estates.com/properties/penthouse-with-sea-views-for-sale-in-torrenova</t>
        </is>
      </c>
      <c r="E4002" t="n">
        <v>2</v>
      </c>
      <c r="H4002" t="n">
        <v>172</v>
      </c>
      <c r="J4002" t="inlineStr">
        <is>
          <t>Torrenova ,Apartment</t>
        </is>
      </c>
      <c r="S4002" t="n">
        <v>695000</v>
      </c>
      <c r="T4002" t="n">
        <v>4041</v>
      </c>
      <c r="AH4002" t="inlineStr">
        <is>
          <t>Quelle: Sandberg Estates</t>
        </is>
      </c>
    </row>
    <row r="4003">
      <c r="A4003" t="n">
        <v>3816</v>
      </c>
      <c r="B4003" t="inlineStr">
        <is>
          <t>Villa with Sea Views Garden, Pool &amp; Parking in San Agustin, Palma</t>
        </is>
      </c>
      <c r="C4003" t="inlineStr">
        <is>
          <t>https://sandberg-estates.com/properties/villa-with-sea-views-garden-pool-parking-in-san-agustin-palma</t>
        </is>
      </c>
      <c r="E4003" t="n">
        <v>3</v>
      </c>
      <c r="G4003" t="n">
        <v>405</v>
      </c>
      <c r="H4003" t="n">
        <v>222</v>
      </c>
      <c r="J4003" t="inlineStr">
        <is>
          <t>San Agustin ,Villa</t>
        </is>
      </c>
      <c r="K4003" t="n">
        <v>19.9</v>
      </c>
      <c r="L4003" t="n">
        <v>20</v>
      </c>
      <c r="M4003" t="n">
        <v>62.6</v>
      </c>
      <c r="N4003" t="n">
        <v>53</v>
      </c>
      <c r="O4003" t="n">
        <v>25.1</v>
      </c>
      <c r="P4003" t="n">
        <v>24</v>
      </c>
      <c r="Q4003" t="n">
        <v>60.3</v>
      </c>
      <c r="R4003" t="n">
        <v>50</v>
      </c>
      <c r="S4003" t="n">
        <v>1575000</v>
      </c>
      <c r="T4003" t="n">
        <v>7095</v>
      </c>
      <c r="U4003" t="n">
        <v>3889</v>
      </c>
      <c r="AH4003" t="inlineStr">
        <is>
          <t>Quelle: Sandberg Estates</t>
        </is>
      </c>
    </row>
    <row r="4004">
      <c r="A4004" t="n">
        <v>3817</v>
      </c>
      <c r="B4004" t="inlineStr">
        <is>
          <t>Stylish Villa for Sale in Son Roca, Palma</t>
        </is>
      </c>
      <c r="C4004" t="inlineStr">
        <is>
          <t>https://sandberg-estates.com/properties/stylish-villa-for-sale-in-son-roca-palma</t>
        </is>
      </c>
      <c r="E4004" t="n">
        <v>5</v>
      </c>
      <c r="G4004" t="n">
        <v>839</v>
      </c>
      <c r="H4004" t="n">
        <v>395</v>
      </c>
      <c r="J4004" t="inlineStr">
        <is>
          <t>La Vileta ,Villa</t>
        </is>
      </c>
      <c r="K4004" t="n">
        <v>18.8</v>
      </c>
      <c r="L4004" t="n">
        <v>21</v>
      </c>
      <c r="M4004" t="n">
        <v>61.6</v>
      </c>
      <c r="N4004" t="n">
        <v>54</v>
      </c>
      <c r="O4004" t="n">
        <v>30.7</v>
      </c>
      <c r="P4004" t="n">
        <v>30</v>
      </c>
      <c r="Q4004" t="n">
        <v>59.3</v>
      </c>
      <c r="R4004" t="n">
        <v>51</v>
      </c>
      <c r="S4004" t="n">
        <v>3950000</v>
      </c>
      <c r="T4004" t="n">
        <v>10000</v>
      </c>
      <c r="U4004" t="n">
        <v>4708</v>
      </c>
      <c r="AH4004" t="inlineStr">
        <is>
          <t>Quelle: Sandberg Estates</t>
        </is>
      </c>
    </row>
    <row r="4005">
      <c r="A4005" t="n">
        <v>3818</v>
      </c>
      <c r="B4005" t="inlineStr">
        <is>
          <t>Mediterranean Villa for Sale in Cas Catala, Illetas</t>
        </is>
      </c>
      <c r="C4005" t="inlineStr">
        <is>
          <t>https://sandberg-estates.com/properties/mediterranean-villa-for-sale-in-cas-catala-illetas</t>
        </is>
      </c>
      <c r="E4005" t="n">
        <v>2</v>
      </c>
      <c r="G4005" t="n">
        <v>374</v>
      </c>
      <c r="H4005" t="n">
        <v>297</v>
      </c>
      <c r="J4005" t="inlineStr">
        <is>
          <t>Cas Catala ,Villa</t>
        </is>
      </c>
      <c r="K4005" t="n">
        <v>20</v>
      </c>
      <c r="L4005" t="n">
        <v>22</v>
      </c>
      <c r="M4005" t="n">
        <v>62.8</v>
      </c>
      <c r="N4005" t="n">
        <v>55</v>
      </c>
      <c r="O4005" t="n">
        <v>23.7</v>
      </c>
      <c r="P4005" t="n">
        <v>23</v>
      </c>
      <c r="Q4005" t="n">
        <v>60.5</v>
      </c>
      <c r="R4005" t="n">
        <v>51</v>
      </c>
      <c r="S4005" t="n">
        <v>2550000</v>
      </c>
      <c r="T4005" t="n">
        <v>8586</v>
      </c>
      <c r="U4005" t="n">
        <v>6818</v>
      </c>
      <c r="AH4005" t="inlineStr">
        <is>
          <t>Quelle: Sandberg Estates</t>
        </is>
      </c>
    </row>
    <row r="4006">
      <c r="A4006" t="n">
        <v>3819</v>
      </c>
      <c r="B4006" t="inlineStr">
        <is>
          <t>Spacious Villa with Sea Views for Sale in Cas Catala</t>
        </is>
      </c>
      <c r="C4006" t="inlineStr">
        <is>
          <t>https://sandberg-estates.com/properties/spacious-villa-with-sea-views-for-sale-in-cas-catala</t>
        </is>
      </c>
      <c r="E4006" t="n">
        <v>4</v>
      </c>
      <c r="G4006" t="n">
        <v>1842</v>
      </c>
      <c r="H4006" t="n">
        <v>570</v>
      </c>
      <c r="J4006" t="inlineStr">
        <is>
          <t>Cas Catala ,Villa</t>
        </is>
      </c>
      <c r="K4006" t="n">
        <v>20</v>
      </c>
      <c r="L4006" t="n">
        <v>22</v>
      </c>
      <c r="M4006" t="n">
        <v>62.8</v>
      </c>
      <c r="N4006" t="n">
        <v>55</v>
      </c>
      <c r="O4006" t="n">
        <v>23.7</v>
      </c>
      <c r="P4006" t="n">
        <v>23</v>
      </c>
      <c r="Q4006" t="n">
        <v>60.5</v>
      </c>
      <c r="R4006" t="n">
        <v>51</v>
      </c>
      <c r="S4006" t="n">
        <v>4995000</v>
      </c>
      <c r="T4006" t="n">
        <v>8763</v>
      </c>
      <c r="U4006" t="n">
        <v>2712</v>
      </c>
      <c r="AH4006" t="inlineStr">
        <is>
          <t>Quelle: Sandberg Estates</t>
        </is>
      </c>
    </row>
    <row r="4007">
      <c r="A4007" t="n">
        <v>3820</v>
      </c>
      <c r="B4007" t="inlineStr">
        <is>
          <t>Semi-Detached Villa for Sale in Bendinat</t>
        </is>
      </c>
      <c r="C4007" t="inlineStr">
        <is>
          <t>https://sandberg-estates.com/properties/semi-detached-villa-for-sale-in-bendinat</t>
        </is>
      </c>
      <c r="E4007" t="n">
        <v>3</v>
      </c>
      <c r="G4007" t="n">
        <v>247</v>
      </c>
      <c r="H4007" t="n">
        <v>175</v>
      </c>
      <c r="J4007" t="inlineStr">
        <is>
          <t>Bendinat ,Villa</t>
        </is>
      </c>
      <c r="K4007" t="n">
        <v>22.3</v>
      </c>
      <c r="L4007" t="n">
        <v>21</v>
      </c>
      <c r="M4007" t="n">
        <v>65.09999999999999</v>
      </c>
      <c r="N4007" t="n">
        <v>53</v>
      </c>
      <c r="O4007" t="n">
        <v>22.5</v>
      </c>
      <c r="P4007" t="n">
        <v>22</v>
      </c>
      <c r="Q4007" t="n">
        <v>62.8</v>
      </c>
      <c r="R4007" t="n">
        <v>50</v>
      </c>
      <c r="S4007" t="n">
        <v>1998000</v>
      </c>
      <c r="T4007" t="n">
        <v>11417</v>
      </c>
      <c r="U4007" t="n">
        <v>8089</v>
      </c>
      <c r="AH4007" t="inlineStr">
        <is>
          <t>Quelle: Sandberg Estates</t>
        </is>
      </c>
    </row>
    <row r="4008">
      <c r="A4008" t="n">
        <v>3821</v>
      </c>
      <c r="B4008" t="inlineStr">
        <is>
          <t>Charming Renovated Apartment for Sale in Palma Old Town</t>
        </is>
      </c>
      <c r="C4008" t="inlineStr">
        <is>
          <t>https://sandberg-estates.com/properties/charming-renovated-apartment-for-sale-in-palma-old-town</t>
        </is>
      </c>
      <c r="E4008" t="n">
        <v>1</v>
      </c>
      <c r="H4008" t="n">
        <v>58</v>
      </c>
      <c r="J4008" t="inlineStr">
        <is>
          <t>Old Town ,Apartment</t>
        </is>
      </c>
      <c r="S4008" t="n">
        <v>415000</v>
      </c>
      <c r="T4008" t="n">
        <v>7155</v>
      </c>
      <c r="AH4008" t="inlineStr">
        <is>
          <t>Quelle: Sandberg Estates</t>
        </is>
      </c>
    </row>
    <row r="4009">
      <c r="A4009" t="n">
        <v>3822</v>
      </c>
      <c r="B4009" t="inlineStr">
        <is>
          <t>Mallorcan Estate with Bodega for Sale in Pollensa</t>
        </is>
      </c>
      <c r="C4009" t="inlineStr">
        <is>
          <t>https://sandberg-estates.com/properties/mallorcan-estate-with-bodega-for-sale-in-pollensa</t>
        </is>
      </c>
      <c r="E4009" t="n">
        <v>4</v>
      </c>
      <c r="G4009" t="n">
        <v>170000</v>
      </c>
      <c r="H4009" t="n">
        <v>400</v>
      </c>
      <c r="J4009" t="inlineStr">
        <is>
          <t>Pollensa ,Villa</t>
        </is>
      </c>
      <c r="K4009" t="n">
        <v>66.40000000000001</v>
      </c>
      <c r="L4009" t="n">
        <v>50</v>
      </c>
      <c r="M4009" t="n">
        <v>84.5</v>
      </c>
      <c r="N4009" t="n">
        <v>77</v>
      </c>
      <c r="O4009" t="n">
        <v>89</v>
      </c>
      <c r="P4009" t="n">
        <v>66</v>
      </c>
      <c r="Q4009" t="n">
        <v>82.2</v>
      </c>
      <c r="R4009" t="n">
        <v>73</v>
      </c>
      <c r="S4009" t="n">
        <v>7650000</v>
      </c>
      <c r="T4009" t="n">
        <v>19125</v>
      </c>
      <c r="U4009" t="n">
        <v>45</v>
      </c>
      <c r="AH4009" t="inlineStr">
        <is>
          <t>Quelle: Sandberg Estates</t>
        </is>
      </c>
    </row>
    <row r="4010">
      <c r="A4010" t="n">
        <v>3823</v>
      </c>
      <c r="B4010" t="inlineStr">
        <is>
          <t>Modern Sea View Townhouse for Sale in Puerto Andratx</t>
        </is>
      </c>
      <c r="C4010" t="inlineStr">
        <is>
          <t>https://sandberg-estates.com/properties/modern-sea-view-townhouse-for-sale-in-puerto-andratx</t>
        </is>
      </c>
      <c r="E4010" t="n">
        <v>3</v>
      </c>
      <c r="H4010" t="n">
        <v>186</v>
      </c>
      <c r="J4010" t="inlineStr">
        <is>
          <t>Puerto Andratx ,Villa</t>
        </is>
      </c>
      <c r="K4010" t="n">
        <v>43.5</v>
      </c>
      <c r="L4010" t="n">
        <v>38</v>
      </c>
      <c r="M4010" t="n">
        <v>86.2</v>
      </c>
      <c r="N4010" t="n">
        <v>71</v>
      </c>
      <c r="O4010" t="n">
        <v>6.3</v>
      </c>
      <c r="P4010" t="n">
        <v>11</v>
      </c>
      <c r="Q4010" t="n">
        <v>83.90000000000001</v>
      </c>
      <c r="R4010" t="n">
        <v>68</v>
      </c>
      <c r="S4010" t="n">
        <v>3580000</v>
      </c>
      <c r="T4010" t="n">
        <v>19247</v>
      </c>
      <c r="AH4010" t="inlineStr">
        <is>
          <t>Quelle: Sandberg Estates</t>
        </is>
      </c>
    </row>
    <row r="4011">
      <c r="A4011" t="n">
        <v>3824</v>
      </c>
      <c r="B4011" t="inlineStr">
        <is>
          <t>Stylish Sea View Villa for Sale in Costa d'en Blanes</t>
        </is>
      </c>
      <c r="C4011" t="inlineStr">
        <is>
          <t>https://sandberg-estates.com/properties/stylish-sea-view-villa-for-sale-in-costa-d-en-blanes-2</t>
        </is>
      </c>
      <c r="E4011" t="n">
        <v>4</v>
      </c>
      <c r="G4011" t="n">
        <v>976</v>
      </c>
      <c r="H4011" t="n">
        <v>590</v>
      </c>
      <c r="J4011" t="inlineStr">
        <is>
          <t>Costa den Blanes ,Villa</t>
        </is>
      </c>
      <c r="K4011" t="n">
        <v>23.3</v>
      </c>
      <c r="L4011" t="n">
        <v>21</v>
      </c>
      <c r="M4011" t="n">
        <v>66.09999999999999</v>
      </c>
      <c r="N4011" t="n">
        <v>54</v>
      </c>
      <c r="O4011" t="n">
        <v>21</v>
      </c>
      <c r="P4011" t="n">
        <v>21</v>
      </c>
      <c r="Q4011" t="n">
        <v>63.8</v>
      </c>
      <c r="R4011" t="n">
        <v>51</v>
      </c>
      <c r="S4011" t="n">
        <v>9500000</v>
      </c>
      <c r="T4011" t="n">
        <v>16102</v>
      </c>
      <c r="U4011" t="n">
        <v>9734</v>
      </c>
      <c r="AH4011" t="inlineStr">
        <is>
          <t>Quelle: Sandberg Estates</t>
        </is>
      </c>
    </row>
    <row r="4012">
      <c r="A4012" t="n">
        <v>3825</v>
      </c>
      <c r="B4012" t="inlineStr">
        <is>
          <t>Beautiful Family Finca for Rent in Nova Santa Ponsa</t>
        </is>
      </c>
      <c r="C4012" t="inlineStr">
        <is>
          <t>https://sandberg-estates.com/properties/beautiful-family-finca-for-rent-in-nova-santa-ponsa</t>
        </is>
      </c>
      <c r="E4012" t="n">
        <v>7</v>
      </c>
      <c r="G4012" t="n">
        <v>2693</v>
      </c>
      <c r="H4012" t="n">
        <v>962</v>
      </c>
      <c r="J4012" t="inlineStr">
        <is>
          <t>Santa Ponsa ,Villa</t>
        </is>
      </c>
      <c r="K4012" t="n">
        <v>31.1</v>
      </c>
      <c r="L4012" t="n">
        <v>28</v>
      </c>
      <c r="M4012" t="n">
        <v>73.90000000000001</v>
      </c>
      <c r="N4012" t="n">
        <v>61</v>
      </c>
      <c r="O4012" t="n">
        <v>15.2</v>
      </c>
      <c r="P4012" t="n">
        <v>19</v>
      </c>
      <c r="Q4012" t="n">
        <v>71.59999999999999</v>
      </c>
      <c r="R4012" t="n">
        <v>57</v>
      </c>
      <c r="S4012" t="n">
        <v>13500</v>
      </c>
      <c r="T4012" t="n">
        <v>14</v>
      </c>
      <c r="U4012" t="n">
        <v>5</v>
      </c>
      <c r="AH4012" t="inlineStr">
        <is>
          <t>Quelle: Sandberg Estates</t>
        </is>
      </c>
    </row>
    <row r="4013">
      <c r="A4013" t="n">
        <v>3826</v>
      </c>
      <c r="B4013" t="inlineStr">
        <is>
          <t>Garden Apartment with Private Pool for Sale in Puerto Portals</t>
        </is>
      </c>
      <c r="C4013" t="inlineStr">
        <is>
          <t>https://sandberg-estates.com/properties/garden-apartment-with-private-pool-for-sale-in-puerto-portals</t>
        </is>
      </c>
      <c r="E4013" t="n">
        <v>2</v>
      </c>
      <c r="H4013" t="n">
        <v>209</v>
      </c>
      <c r="J4013" t="inlineStr">
        <is>
          <t>Puerto Portals ,Apartment</t>
        </is>
      </c>
      <c r="K4013" t="n">
        <v>23.5</v>
      </c>
      <c r="L4013" t="n">
        <v>24</v>
      </c>
      <c r="M4013" t="n">
        <v>66.2</v>
      </c>
      <c r="N4013" t="n">
        <v>56</v>
      </c>
      <c r="O4013" t="n">
        <v>21.4</v>
      </c>
      <c r="P4013" t="n">
        <v>23</v>
      </c>
      <c r="Q4013" t="n">
        <v>63.9</v>
      </c>
      <c r="R4013" t="n">
        <v>53</v>
      </c>
      <c r="S4013" t="n">
        <v>2700000</v>
      </c>
      <c r="T4013" t="n">
        <v>12919</v>
      </c>
      <c r="AH4013" t="inlineStr">
        <is>
          <t>Quelle: Sandberg Estates</t>
        </is>
      </c>
    </row>
    <row r="4014">
      <c r="A4014" t="n">
        <v>3827</v>
      </c>
      <c r="B4014" t="inlineStr">
        <is>
          <t>Exclusive Villa with Private Sea Access for Sale in Port Andratx</t>
        </is>
      </c>
      <c r="C4014" t="inlineStr">
        <is>
          <t>https://sandberg-estates.com/properties/exclusive-villa-with-private-sea-access-for-sale-in-port-andratx</t>
        </is>
      </c>
      <c r="E4014" t="n">
        <v>5</v>
      </c>
      <c r="G4014" t="n">
        <v>1864</v>
      </c>
      <c r="H4014" t="n">
        <v>713</v>
      </c>
      <c r="J4014" t="inlineStr">
        <is>
          <t>Puerto Andratx ,Villa</t>
        </is>
      </c>
      <c r="K4014" t="n">
        <v>43.5</v>
      </c>
      <c r="L4014" t="n">
        <v>38</v>
      </c>
      <c r="M4014" t="n">
        <v>86.2</v>
      </c>
      <c r="N4014" t="n">
        <v>71</v>
      </c>
      <c r="O4014" t="n">
        <v>6.3</v>
      </c>
      <c r="P4014" t="n">
        <v>11</v>
      </c>
      <c r="Q4014" t="n">
        <v>83.90000000000001</v>
      </c>
      <c r="R4014" t="n">
        <v>68</v>
      </c>
      <c r="S4014" t="n">
        <v>13800000</v>
      </c>
      <c r="T4014" t="n">
        <v>19355</v>
      </c>
      <c r="U4014" t="n">
        <v>7403</v>
      </c>
      <c r="AH4014" t="inlineStr">
        <is>
          <t>Quelle: Sandberg Estates</t>
        </is>
      </c>
    </row>
    <row r="4015">
      <c r="A4015" t="n">
        <v>3828</v>
      </c>
      <c r="B4015" t="inlineStr">
        <is>
          <t>Stylish Finca for Sale in Campos</t>
        </is>
      </c>
      <c r="C4015" t="inlineStr">
        <is>
          <t>https://sandberg-estates.com/properties/stylish-finca-for-sale-in-campos</t>
        </is>
      </c>
      <c r="E4015" t="n">
        <v>3</v>
      </c>
      <c r="G4015" t="n">
        <v>36893</v>
      </c>
      <c r="H4015" t="n">
        <v>765</v>
      </c>
      <c r="J4015" t="inlineStr">
        <is>
          <t>Campos ,Villa</t>
        </is>
      </c>
      <c r="K4015" t="n">
        <v>32.9</v>
      </c>
      <c r="L4015" t="n">
        <v>28</v>
      </c>
      <c r="M4015" t="n">
        <v>14.6</v>
      </c>
      <c r="N4015" t="n">
        <v>18</v>
      </c>
      <c r="O4015" t="n">
        <v>71.09999999999999</v>
      </c>
      <c r="P4015" t="n">
        <v>56</v>
      </c>
      <c r="Q4015" t="n">
        <v>12.3</v>
      </c>
      <c r="R4015" t="n">
        <v>14</v>
      </c>
      <c r="S4015" t="n">
        <v>4290000</v>
      </c>
      <c r="T4015" t="n">
        <v>5608</v>
      </c>
      <c r="U4015" t="n">
        <v>116</v>
      </c>
      <c r="AH4015" t="inlineStr">
        <is>
          <t>Quelle: Sandberg Estates</t>
        </is>
      </c>
    </row>
    <row r="4016">
      <c r="A4016" t="n">
        <v>3829</v>
      </c>
      <c r="B4016" t="inlineStr">
        <is>
          <t>Unique Loft with Holiday License and Private Roof Terrace in Genova</t>
        </is>
      </c>
      <c r="C4016" t="inlineStr">
        <is>
          <t>https://sandberg-estates.com/properties/unique-loft-with-holiday-license-and-private-roof-terrace-in-genova</t>
        </is>
      </c>
      <c r="E4016" t="n">
        <v>2</v>
      </c>
      <c r="H4016" t="n">
        <v>419</v>
      </c>
      <c r="J4016" t="inlineStr">
        <is>
          <t>Genova ,Apartment</t>
        </is>
      </c>
      <c r="K4016" t="n">
        <v>17.9</v>
      </c>
      <c r="L4016" t="n">
        <v>19</v>
      </c>
      <c r="M4016" t="n">
        <v>60.7</v>
      </c>
      <c r="N4016" t="n">
        <v>52</v>
      </c>
      <c r="O4016" t="n">
        <v>25.3</v>
      </c>
      <c r="P4016" t="n">
        <v>25</v>
      </c>
      <c r="Q4016" t="n">
        <v>58.4</v>
      </c>
      <c r="R4016" t="n">
        <v>48</v>
      </c>
      <c r="S4016" t="n">
        <v>1900000</v>
      </c>
      <c r="T4016" t="n">
        <v>4535</v>
      </c>
      <c r="AH4016" t="inlineStr">
        <is>
          <t>Quelle: Sandberg Estates</t>
        </is>
      </c>
    </row>
    <row r="4017">
      <c r="A4017" t="n">
        <v>3830</v>
      </c>
      <c r="B4017" t="inlineStr">
        <is>
          <t>Waterfront Duplex Apartment for Sale in Anchorage Club</t>
        </is>
      </c>
      <c r="C4017" t="inlineStr">
        <is>
          <t>https://sandberg-estates.com/properties/waterfront-duplex-apartment-for-sale-in-anchorage-club</t>
        </is>
      </c>
      <c r="E4017" t="n">
        <v>2</v>
      </c>
      <c r="H4017" t="n">
        <v>137</v>
      </c>
      <c r="J4017" t="inlineStr">
        <is>
          <t>Illetes ,Apartment</t>
        </is>
      </c>
      <c r="K4017" t="n">
        <v>20</v>
      </c>
      <c r="L4017" t="n">
        <v>22</v>
      </c>
      <c r="M4017" t="n">
        <v>62.8</v>
      </c>
      <c r="N4017" t="n">
        <v>55</v>
      </c>
      <c r="O4017" t="n">
        <v>23.7</v>
      </c>
      <c r="P4017" t="n">
        <v>23</v>
      </c>
      <c r="Q4017" t="n">
        <v>60.5</v>
      </c>
      <c r="R4017" t="n">
        <v>51</v>
      </c>
      <c r="S4017" t="n">
        <v>1790000</v>
      </c>
      <c r="T4017" t="n">
        <v>13066</v>
      </c>
      <c r="AH4017" t="inlineStr">
        <is>
          <t>Quelle: Sandberg Estates</t>
        </is>
      </c>
    </row>
    <row r="4018">
      <c r="A4018" t="n">
        <v>3831</v>
      </c>
      <c r="B4018" t="inlineStr">
        <is>
          <t>New Build Sea View Villa for Sale in Costa den Blanes</t>
        </is>
      </c>
      <c r="C4018" t="inlineStr">
        <is>
          <t>https://sandberg-estates.com/properties/new-build-sea-view-villa-for-sale-in-costa-den-blanes</t>
        </is>
      </c>
      <c r="E4018" t="n">
        <v>5</v>
      </c>
      <c r="G4018" t="n">
        <v>1287</v>
      </c>
      <c r="H4018" t="n">
        <v>550</v>
      </c>
      <c r="J4018" t="inlineStr">
        <is>
          <t>Costa den Blanes ,Villa</t>
        </is>
      </c>
      <c r="K4018" t="n">
        <v>23.3</v>
      </c>
      <c r="L4018" t="n">
        <v>21</v>
      </c>
      <c r="M4018" t="n">
        <v>66.09999999999999</v>
      </c>
      <c r="N4018" t="n">
        <v>54</v>
      </c>
      <c r="O4018" t="n">
        <v>21</v>
      </c>
      <c r="P4018" t="n">
        <v>21</v>
      </c>
      <c r="Q4018" t="n">
        <v>63.8</v>
      </c>
      <c r="R4018" t="n">
        <v>51</v>
      </c>
      <c r="S4018" t="n">
        <v>6500000</v>
      </c>
      <c r="T4018" t="n">
        <v>11818</v>
      </c>
      <c r="U4018" t="n">
        <v>5051</v>
      </c>
      <c r="AH4018" t="inlineStr">
        <is>
          <t>Quelle: Sandberg Estates</t>
        </is>
      </c>
    </row>
    <row r="4019">
      <c r="A4019" t="n">
        <v>3832</v>
      </c>
      <c r="B4019" t="inlineStr">
        <is>
          <t>Mediterranean Villa with Rental License in Costa den Blanes</t>
        </is>
      </c>
      <c r="C4019" t="inlineStr">
        <is>
          <t>https://sandberg-estates.com/properties/mediterranean-villa-with-rental-license-in-costa-den-blanes</t>
        </is>
      </c>
      <c r="E4019" t="n">
        <v>5</v>
      </c>
      <c r="G4019" t="n">
        <v>1874</v>
      </c>
      <c r="H4019" t="n">
        <v>402</v>
      </c>
      <c r="J4019" t="inlineStr">
        <is>
          <t>Costa den Blanes ,Villa</t>
        </is>
      </c>
      <c r="K4019" t="n">
        <v>23.3</v>
      </c>
      <c r="L4019" t="n">
        <v>21</v>
      </c>
      <c r="M4019" t="n">
        <v>66.09999999999999</v>
      </c>
      <c r="N4019" t="n">
        <v>54</v>
      </c>
      <c r="O4019" t="n">
        <v>21</v>
      </c>
      <c r="P4019" t="n">
        <v>21</v>
      </c>
      <c r="Q4019" t="n">
        <v>63.8</v>
      </c>
      <c r="R4019" t="n">
        <v>51</v>
      </c>
      <c r="S4019" t="n">
        <v>3700000</v>
      </c>
      <c r="T4019" t="n">
        <v>9204</v>
      </c>
      <c r="U4019" t="n">
        <v>1974</v>
      </c>
      <c r="AH4019" t="inlineStr">
        <is>
          <t>Quelle: Sandberg Estates</t>
        </is>
      </c>
    </row>
    <row r="4020">
      <c r="A4020" t="n">
        <v>3833</v>
      </c>
      <c r="B4020" t="inlineStr">
        <is>
          <t>Villa with Stunning Sea Views for Sale on Anchorage Hill Bendinat</t>
        </is>
      </c>
      <c r="C4020" t="inlineStr">
        <is>
          <t>https://sandberg-estates.com/properties/villa-with-stunning-sea-views-for-sale-on-anchorage-hill-bendinat</t>
        </is>
      </c>
      <c r="E4020" t="n">
        <v>5</v>
      </c>
      <c r="G4020" t="n">
        <v>972</v>
      </c>
      <c r="H4020" t="n">
        <v>547</v>
      </c>
      <c r="J4020" t="inlineStr">
        <is>
          <t>Bendinat ,Villa</t>
        </is>
      </c>
      <c r="K4020" t="n">
        <v>22.3</v>
      </c>
      <c r="L4020" t="n">
        <v>21</v>
      </c>
      <c r="M4020" t="n">
        <v>65.09999999999999</v>
      </c>
      <c r="N4020" t="n">
        <v>53</v>
      </c>
      <c r="O4020" t="n">
        <v>22.5</v>
      </c>
      <c r="P4020" t="n">
        <v>22</v>
      </c>
      <c r="Q4020" t="n">
        <v>62.8</v>
      </c>
      <c r="R4020" t="n">
        <v>50</v>
      </c>
      <c r="S4020" t="n">
        <v>4995000</v>
      </c>
      <c r="T4020" t="n">
        <v>9132</v>
      </c>
      <c r="U4020" t="n">
        <v>5139</v>
      </c>
      <c r="AH4020" t="inlineStr">
        <is>
          <t>Quelle: Sandberg Estates</t>
        </is>
      </c>
    </row>
    <row r="4021">
      <c r="A4021" t="n">
        <v>3834</v>
      </c>
      <c r="B4021" t="inlineStr">
        <is>
          <t>Beautiful Ground-floor Apartment for Sale in Son Espanyolet</t>
        </is>
      </c>
      <c r="C4021" t="inlineStr">
        <is>
          <t>https://sandberg-estates.com/properties/beautiful-ground-floor-apartment-for-sale-in-son-espanyolet</t>
        </is>
      </c>
      <c r="E4021" t="n">
        <v>2</v>
      </c>
      <c r="H4021" t="n">
        <v>77</v>
      </c>
      <c r="J4021" t="inlineStr">
        <is>
          <t>Son Espanyolet ,Apartment</t>
        </is>
      </c>
      <c r="S4021" t="n">
        <v>650000</v>
      </c>
      <c r="T4021" t="n">
        <v>8442</v>
      </c>
      <c r="AH4021" t="inlineStr">
        <is>
          <t>Quelle: Sandberg Estates</t>
        </is>
      </c>
    </row>
    <row r="4022">
      <c r="A4022" t="n">
        <v>3835</v>
      </c>
      <c r="B4022" t="inlineStr">
        <is>
          <t>Stylish Townhouse for Sale in Sa Vinya, Bendinat</t>
        </is>
      </c>
      <c r="C4022" t="inlineStr">
        <is>
          <t>https://sandberg-estates.com/properties/stylish-townhouse-for-sale-in-sa-vinya-bendinat</t>
        </is>
      </c>
      <c r="E4022" t="n">
        <v>3</v>
      </c>
      <c r="G4022" t="n">
        <v>127</v>
      </c>
      <c r="H4022" t="n">
        <v>341</v>
      </c>
      <c r="J4022" t="inlineStr">
        <is>
          <t>Bendinat ,Townhouse</t>
        </is>
      </c>
      <c r="K4022" t="n">
        <v>23.1</v>
      </c>
      <c r="L4022" t="n">
        <v>22</v>
      </c>
      <c r="M4022" t="n">
        <v>65.8</v>
      </c>
      <c r="N4022" t="n">
        <v>55</v>
      </c>
      <c r="O4022" t="n">
        <v>23.2</v>
      </c>
      <c r="P4022" t="n">
        <v>23</v>
      </c>
      <c r="Q4022" t="n">
        <v>63.5</v>
      </c>
      <c r="R4022" t="n">
        <v>51</v>
      </c>
      <c r="S4022" t="n">
        <v>1795000</v>
      </c>
      <c r="T4022" t="n">
        <v>5264</v>
      </c>
      <c r="U4022" t="n">
        <v>14134</v>
      </c>
      <c r="AH4022" t="inlineStr">
        <is>
          <t>Quelle: Sandberg Estates</t>
        </is>
      </c>
    </row>
    <row r="4023">
      <c r="A4023" t="n">
        <v>3836</v>
      </c>
      <c r="B4023" t="inlineStr">
        <is>
          <t>Cozy Apartment for Sale in Palma Old Town</t>
        </is>
      </c>
      <c r="C4023" t="inlineStr">
        <is>
          <t>https://sandberg-estates.com/properties/cozy-apartment-for-sale-in-palma-old-town</t>
        </is>
      </c>
      <c r="E4023" t="n">
        <v>2</v>
      </c>
      <c r="H4023" t="n">
        <v>105</v>
      </c>
      <c r="J4023" t="inlineStr">
        <is>
          <t>Old Town ,Apartment</t>
        </is>
      </c>
      <c r="S4023" t="n">
        <v>495000</v>
      </c>
      <c r="T4023" t="n">
        <v>4714</v>
      </c>
      <c r="AH4023" t="inlineStr">
        <is>
          <t>Quelle: Sandberg Estates</t>
        </is>
      </c>
    </row>
    <row r="4024">
      <c r="A4024" t="n">
        <v>3837</v>
      </c>
      <c r="B4024" t="inlineStr">
        <is>
          <t>Exclusive Apartment for Sale in Sa Vinya, Bendinat</t>
        </is>
      </c>
      <c r="C4024" t="inlineStr">
        <is>
          <t>https://sandberg-estates.com/properties/exclusive-apartment-for-sale-in-sa-vinya-bendinat</t>
        </is>
      </c>
      <c r="E4024" t="n">
        <v>2</v>
      </c>
      <c r="H4024" t="n">
        <v>135</v>
      </c>
      <c r="J4024" t="inlineStr">
        <is>
          <t>Bendinat ,Apartment</t>
        </is>
      </c>
      <c r="K4024" t="n">
        <v>23.1</v>
      </c>
      <c r="L4024" t="n">
        <v>22</v>
      </c>
      <c r="M4024" t="n">
        <v>65.8</v>
      </c>
      <c r="N4024" t="n">
        <v>55</v>
      </c>
      <c r="O4024" t="n">
        <v>23.2</v>
      </c>
      <c r="P4024" t="n">
        <v>23</v>
      </c>
      <c r="Q4024" t="n">
        <v>63.5</v>
      </c>
      <c r="R4024" t="n">
        <v>51</v>
      </c>
      <c r="S4024" t="n">
        <v>1150000</v>
      </c>
      <c r="T4024" t="n">
        <v>8519</v>
      </c>
      <c r="AH4024" t="inlineStr">
        <is>
          <t>Quelle: Sandberg Estates</t>
        </is>
      </c>
    </row>
    <row r="4025">
      <c r="A4025" t="n">
        <v>3838</v>
      </c>
      <c r="B4025" t="inlineStr">
        <is>
          <t>Villa for Sale in Portals Nous</t>
        </is>
      </c>
      <c r="C4025" t="inlineStr">
        <is>
          <t>https://sandberg-estates.com/properties/villa-for-sale-in-portals-nous-2</t>
        </is>
      </c>
      <c r="E4025" t="n">
        <v>2</v>
      </c>
      <c r="G4025" t="n">
        <v>463</v>
      </c>
      <c r="H4025" t="n">
        <v>222</v>
      </c>
      <c r="J4025" t="inlineStr">
        <is>
          <t>Portals Nous ,Villa</t>
        </is>
      </c>
      <c r="K4025" t="n">
        <v>23.8</v>
      </c>
      <c r="L4025" t="n">
        <v>23</v>
      </c>
      <c r="M4025" t="n">
        <v>66.59999999999999</v>
      </c>
      <c r="N4025" t="n">
        <v>56</v>
      </c>
      <c r="O4025" t="n">
        <v>21.8</v>
      </c>
      <c r="P4025" t="n">
        <v>22</v>
      </c>
      <c r="Q4025" t="n">
        <v>64.3</v>
      </c>
      <c r="R4025" t="n">
        <v>52</v>
      </c>
      <c r="S4025" t="n">
        <v>1900000</v>
      </c>
      <c r="T4025" t="n">
        <v>8559</v>
      </c>
      <c r="U4025" t="n">
        <v>4104</v>
      </c>
      <c r="AH4025" t="inlineStr">
        <is>
          <t>Quelle: Sandberg Estates</t>
        </is>
      </c>
    </row>
    <row r="4026">
      <c r="A4026" t="n">
        <v>3839</v>
      </c>
      <c r="B4026" t="inlineStr">
        <is>
          <t>Modern New Built Villa with Sea Views in Costa den Blanes</t>
        </is>
      </c>
      <c r="C4026" t="inlineStr">
        <is>
          <t>https://sandberg-estates.com/properties/modern-new-built-villa-with-sea-views-in-costa-den-blanes</t>
        </is>
      </c>
      <c r="E4026" t="n">
        <v>6</v>
      </c>
      <c r="G4026" t="n">
        <v>744</v>
      </c>
      <c r="H4026" t="n">
        <v>644</v>
      </c>
      <c r="J4026" t="inlineStr">
        <is>
          <t>Costa den Blanes ,Villa</t>
        </is>
      </c>
      <c r="K4026" t="n">
        <v>23.3</v>
      </c>
      <c r="L4026" t="n">
        <v>21</v>
      </c>
      <c r="M4026" t="n">
        <v>66.09999999999999</v>
      </c>
      <c r="N4026" t="n">
        <v>54</v>
      </c>
      <c r="O4026" t="n">
        <v>21</v>
      </c>
      <c r="P4026" t="n">
        <v>21</v>
      </c>
      <c r="Q4026" t="n">
        <v>63.8</v>
      </c>
      <c r="R4026" t="n">
        <v>51</v>
      </c>
      <c r="S4026" t="n">
        <v>6490000</v>
      </c>
      <c r="T4026" t="n">
        <v>10078</v>
      </c>
      <c r="U4026" t="n">
        <v>8723</v>
      </c>
      <c r="AH4026" t="inlineStr">
        <is>
          <t>Quelle: Sandberg Estates</t>
        </is>
      </c>
    </row>
    <row r="4027">
      <c r="A4027" t="n">
        <v>3840</v>
      </c>
      <c r="B4027" t="inlineStr">
        <is>
          <t>New Build Penthouse with Sea Views for Sale in Paguera</t>
        </is>
      </c>
      <c r="C4027" t="inlineStr">
        <is>
          <t>https://sandberg-estates.com/properties/new-build-penthouse-with-sea-views-for-sale-in-paguera</t>
        </is>
      </c>
      <c r="E4027" t="n">
        <v>3</v>
      </c>
      <c r="H4027" t="n">
        <v>160</v>
      </c>
      <c r="J4027" t="inlineStr">
        <is>
          <t>Paguera ,Apartment</t>
        </is>
      </c>
      <c r="K4027" t="n">
        <v>35.3</v>
      </c>
      <c r="L4027" t="n">
        <v>32</v>
      </c>
      <c r="M4027" t="n">
        <v>78</v>
      </c>
      <c r="N4027" t="n">
        <v>65</v>
      </c>
      <c r="O4027" t="n">
        <v>8.5</v>
      </c>
      <c r="P4027" t="n">
        <v>13</v>
      </c>
      <c r="Q4027" t="n">
        <v>75.7</v>
      </c>
      <c r="R4027" t="n">
        <v>61</v>
      </c>
      <c r="S4027" t="n">
        <v>2890000</v>
      </c>
      <c r="T4027" t="n">
        <v>18062</v>
      </c>
      <c r="AH4027" t="inlineStr">
        <is>
          <t>Quelle: Sandberg Estates</t>
        </is>
      </c>
    </row>
    <row r="4028">
      <c r="A4028" t="n">
        <v>3841</v>
      </c>
      <c r="B4028" t="inlineStr">
        <is>
          <t>New Luxurious Residential Complex in Santa Catalina, Palma</t>
        </is>
      </c>
      <c r="C4028" t="inlineStr">
        <is>
          <t>https://sandberg-estates.com/properties/new-luxurious-residential-complex-in-santa-catalina-palma</t>
        </is>
      </c>
      <c r="E4028" t="n">
        <v>1</v>
      </c>
      <c r="H4028" t="n">
        <v>73</v>
      </c>
      <c r="J4028" t="inlineStr">
        <is>
          <t>Santa Catalina ,Apartment</t>
        </is>
      </c>
      <c r="S4028" t="n">
        <v>599000</v>
      </c>
      <c r="T4028" t="n">
        <v>8205</v>
      </c>
      <c r="AH4028" t="inlineStr">
        <is>
          <t>Quelle: Sandberg Estates</t>
        </is>
      </c>
    </row>
    <row r="4029">
      <c r="A4029" t="n">
        <v>3842</v>
      </c>
      <c r="B4029" t="inlineStr">
        <is>
          <t>Sea View Apartment for Sale in San Agustin</t>
        </is>
      </c>
      <c r="C4029" t="inlineStr">
        <is>
          <t>https://sandberg-estates.com/properties/sea-view-apartment-for-sale-in-san-agustin-4</t>
        </is>
      </c>
      <c r="E4029" t="n">
        <v>1</v>
      </c>
      <c r="H4029" t="n">
        <v>85</v>
      </c>
      <c r="J4029" t="inlineStr">
        <is>
          <t>San Agustin ,Apartment</t>
        </is>
      </c>
      <c r="S4029" t="n">
        <v>769000</v>
      </c>
      <c r="T4029" t="n">
        <v>9047</v>
      </c>
      <c r="AH4029" t="inlineStr">
        <is>
          <t>Quelle: Sandberg Estates</t>
        </is>
      </c>
    </row>
    <row r="4030">
      <c r="A4030" t="n">
        <v>3843</v>
      </c>
      <c r="B4030" t="inlineStr">
        <is>
          <t>Luxurious Residential Complex in Santa Catalina, Palma</t>
        </is>
      </c>
      <c r="C4030" t="inlineStr">
        <is>
          <t>https://sandberg-estates.com/properties/luxurious-residential-complex-in-santa-catalina-palma</t>
        </is>
      </c>
      <c r="E4030" t="n">
        <v>2</v>
      </c>
      <c r="H4030" t="n">
        <v>266</v>
      </c>
      <c r="J4030" t="inlineStr">
        <is>
          <t>Santa Catalina ,Apartment</t>
        </is>
      </c>
      <c r="K4030" t="n">
        <v>11.2</v>
      </c>
      <c r="L4030" t="n">
        <v>19</v>
      </c>
      <c r="M4030" t="n">
        <v>54</v>
      </c>
      <c r="N4030" t="n">
        <v>51</v>
      </c>
      <c r="O4030" t="n">
        <v>29.1</v>
      </c>
      <c r="P4030" t="n">
        <v>31</v>
      </c>
      <c r="Q4030" t="n">
        <v>51.7</v>
      </c>
      <c r="R4030" t="n">
        <v>48</v>
      </c>
      <c r="S4030" t="n">
        <v>2599000</v>
      </c>
      <c r="T4030" t="n">
        <v>9771</v>
      </c>
      <c r="AH4030" t="inlineStr">
        <is>
          <t>Quelle: Sandberg Estates</t>
        </is>
      </c>
    </row>
    <row r="4031">
      <c r="A4031" t="n">
        <v>3844</v>
      </c>
      <c r="B4031" t="inlineStr">
        <is>
          <t>Modern Villa in Costa d'en Blanes for Sale</t>
        </is>
      </c>
      <c r="C4031" t="inlineStr">
        <is>
          <t>https://sandberg-estates.com/properties/modern-villa-in-costa-d-en-blanes-for-sale</t>
        </is>
      </c>
      <c r="E4031" t="n">
        <v>3</v>
      </c>
      <c r="G4031" t="n">
        <v>1000</v>
      </c>
      <c r="H4031" t="n">
        <v>400</v>
      </c>
      <c r="J4031" t="inlineStr">
        <is>
          <t>Costa den Blanes ,Villa</t>
        </is>
      </c>
      <c r="K4031" t="n">
        <v>23.3</v>
      </c>
      <c r="L4031" t="n">
        <v>21</v>
      </c>
      <c r="M4031" t="n">
        <v>66.09999999999999</v>
      </c>
      <c r="N4031" t="n">
        <v>54</v>
      </c>
      <c r="O4031" t="n">
        <v>21</v>
      </c>
      <c r="P4031" t="n">
        <v>21</v>
      </c>
      <c r="Q4031" t="n">
        <v>63.8</v>
      </c>
      <c r="R4031" t="n">
        <v>51</v>
      </c>
      <c r="S4031" t="n">
        <v>3750000</v>
      </c>
      <c r="T4031" t="n">
        <v>9375</v>
      </c>
      <c r="U4031" t="n">
        <v>3750</v>
      </c>
      <c r="AH4031" t="inlineStr">
        <is>
          <t>Quelle: Sandberg Estates</t>
        </is>
      </c>
    </row>
    <row r="4032">
      <c r="A4032" t="n">
        <v>3845</v>
      </c>
      <c r="B4032" t="inlineStr">
        <is>
          <t>Modern Villa with Panoramic Sea Views for Sale in Port Andratx</t>
        </is>
      </c>
      <c r="C4032" t="inlineStr">
        <is>
          <t>https://sandberg-estates.com/properties/modern-villa-with-panoramic-sea-views-for-sale-in-port-andratx</t>
        </is>
      </c>
      <c r="E4032" t="n">
        <v>3</v>
      </c>
      <c r="G4032" t="n">
        <v>1823</v>
      </c>
      <c r="H4032" t="n">
        <v>573</v>
      </c>
      <c r="J4032" t="inlineStr">
        <is>
          <t>Puerto Andratx ,Villa</t>
        </is>
      </c>
      <c r="K4032" t="n">
        <v>43.5</v>
      </c>
      <c r="L4032" t="n">
        <v>38</v>
      </c>
      <c r="M4032" t="n">
        <v>86.2</v>
      </c>
      <c r="N4032" t="n">
        <v>71</v>
      </c>
      <c r="O4032" t="n">
        <v>6.3</v>
      </c>
      <c r="P4032" t="n">
        <v>11</v>
      </c>
      <c r="Q4032" t="n">
        <v>83.90000000000001</v>
      </c>
      <c r="R4032" t="n">
        <v>68</v>
      </c>
      <c r="S4032" t="n">
        <v>9950000</v>
      </c>
      <c r="T4032" t="n">
        <v>17365</v>
      </c>
      <c r="U4032" t="n">
        <v>5458</v>
      </c>
      <c r="AH4032" t="inlineStr">
        <is>
          <t>Quelle: Sandberg Estates</t>
        </is>
      </c>
    </row>
    <row r="4033">
      <c r="A4033" t="n">
        <v>3846</v>
      </c>
      <c r="B4033" t="inlineStr">
        <is>
          <t>Modern Luxury Finca for Sale in Santa Maria</t>
        </is>
      </c>
      <c r="C4033" t="inlineStr">
        <is>
          <t>https://sandberg-estates.com/properties/modern-luxury-finca-for-sale-in-santa-maria</t>
        </is>
      </c>
      <c r="E4033" t="n">
        <v>5</v>
      </c>
      <c r="G4033" t="n">
        <v>16900</v>
      </c>
      <c r="H4033" t="n">
        <v>670</v>
      </c>
      <c r="J4033" t="inlineStr">
        <is>
          <t>Santa Maria ,</t>
        </is>
      </c>
      <c r="K4033" t="n">
        <v>23.5</v>
      </c>
      <c r="L4033" t="n">
        <v>21</v>
      </c>
      <c r="M4033" t="n">
        <v>66.3</v>
      </c>
      <c r="N4033" t="n">
        <v>54</v>
      </c>
      <c r="O4033" t="n">
        <v>46.1</v>
      </c>
      <c r="P4033" t="n">
        <v>37</v>
      </c>
      <c r="Q4033" t="n">
        <v>64</v>
      </c>
      <c r="R4033" t="n">
        <v>51</v>
      </c>
      <c r="S4033" t="n">
        <v>11500000</v>
      </c>
      <c r="T4033" t="n">
        <v>17164</v>
      </c>
      <c r="U4033" t="n">
        <v>680</v>
      </c>
      <c r="AH4033" t="inlineStr">
        <is>
          <t>Quelle: Sandberg Estates</t>
        </is>
      </c>
    </row>
    <row r="4034">
      <c r="A4034" t="n">
        <v>3847</v>
      </c>
      <c r="B4034" t="inlineStr">
        <is>
          <t>Charming Villa for Sale in Costa de la Calma</t>
        </is>
      </c>
      <c r="C4034" t="inlineStr">
        <is>
          <t>https://sandberg-estates.com/properties/charming-villa-for-sale-in-costa-de-la-calma</t>
        </is>
      </c>
      <c r="E4034" t="n">
        <v>3</v>
      </c>
      <c r="G4034" t="n">
        <v>568</v>
      </c>
      <c r="H4034" t="n">
        <v>248</v>
      </c>
      <c r="J4034" t="inlineStr">
        <is>
          <t>Costa de la Calma ,Villa</t>
        </is>
      </c>
      <c r="K4034" t="n">
        <v>32.6</v>
      </c>
      <c r="L4034" t="n">
        <v>29</v>
      </c>
      <c r="M4034" t="n">
        <v>75.40000000000001</v>
      </c>
      <c r="N4034" t="n">
        <v>62</v>
      </c>
      <c r="O4034" t="n">
        <v>13.7</v>
      </c>
      <c r="P4034" t="n">
        <v>18</v>
      </c>
      <c r="Q4034" t="n">
        <v>73.09999999999999</v>
      </c>
      <c r="R4034" t="n">
        <v>58</v>
      </c>
      <c r="S4034" t="n">
        <v>1250000</v>
      </c>
      <c r="T4034" t="n">
        <v>5040</v>
      </c>
      <c r="U4034" t="n">
        <v>2201</v>
      </c>
      <c r="AH4034" t="inlineStr">
        <is>
          <t>Quelle: Sandberg Estates</t>
        </is>
      </c>
    </row>
    <row r="4035">
      <c r="A4035" t="n">
        <v>3848</v>
      </c>
      <c r="B4035" t="inlineStr">
        <is>
          <t>Renovated 3-Bedroom Apartment for Sale in Paseo Marítimo of Palma</t>
        </is>
      </c>
      <c r="C4035" t="inlineStr">
        <is>
          <t>https://sandberg-estates.com/properties/renovated-3-bedroom-apartment-for-sale-in-paseo-maritimo-of-palma</t>
        </is>
      </c>
      <c r="E4035" t="n">
        <v>3</v>
      </c>
      <c r="H4035" t="n">
        <v>160</v>
      </c>
      <c r="J4035" t="inlineStr">
        <is>
          <t>Paseo Maritimo ,Apartment</t>
        </is>
      </c>
      <c r="K4035" t="n">
        <v>10.9</v>
      </c>
      <c r="L4035" t="n">
        <v>17</v>
      </c>
      <c r="M4035" t="n">
        <v>53.7</v>
      </c>
      <c r="N4035" t="n">
        <v>50</v>
      </c>
      <c r="O4035" t="n">
        <v>29.9</v>
      </c>
      <c r="P4035" t="n">
        <v>32</v>
      </c>
      <c r="Q4035" t="n">
        <v>51.4</v>
      </c>
      <c r="R4035" t="n">
        <v>46</v>
      </c>
      <c r="S4035" t="n">
        <v>2045000</v>
      </c>
      <c r="T4035" t="n">
        <v>12781</v>
      </c>
      <c r="AH4035" t="inlineStr">
        <is>
          <t>Quelle: Sandberg Estates</t>
        </is>
      </c>
    </row>
    <row r="4036">
      <c r="A4036" t="n">
        <v>3849</v>
      </c>
      <c r="B4036" t="inlineStr">
        <is>
          <t>Designer Villa with Panoramic Sea and Mountain Views for Sale in Port Andratx</t>
        </is>
      </c>
      <c r="C4036" t="inlineStr">
        <is>
          <t>https://sandberg-estates.com/properties/designer-villa-with-panoramic-sea-and-mountain-views-for-sale-in-port-andratx</t>
        </is>
      </c>
      <c r="E4036" t="n">
        <v>7</v>
      </c>
      <c r="G4036" t="n">
        <v>1431</v>
      </c>
      <c r="H4036" t="n">
        <v>824</v>
      </c>
      <c r="J4036" t="inlineStr">
        <is>
          <t>Puerto Andratx ,Villa</t>
        </is>
      </c>
      <c r="K4036" t="n">
        <v>43.5</v>
      </c>
      <c r="L4036" t="n">
        <v>38</v>
      </c>
      <c r="M4036" t="n">
        <v>86.2</v>
      </c>
      <c r="N4036" t="n">
        <v>71</v>
      </c>
      <c r="O4036" t="n">
        <v>6.3</v>
      </c>
      <c r="P4036" t="n">
        <v>11</v>
      </c>
      <c r="Q4036" t="n">
        <v>83.90000000000001</v>
      </c>
      <c r="R4036" t="n">
        <v>68</v>
      </c>
      <c r="S4036" t="n">
        <v>9700000</v>
      </c>
      <c r="T4036" t="n">
        <v>11772</v>
      </c>
      <c r="U4036" t="n">
        <v>6778</v>
      </c>
      <c r="AH4036" t="inlineStr">
        <is>
          <t>Quelle: Sandberg Estates</t>
        </is>
      </c>
    </row>
    <row r="4037">
      <c r="A4037" t="n">
        <v>3850</v>
      </c>
      <c r="B4037" t="inlineStr">
        <is>
          <t>Mediterranean Sea View Villa for Sale in Costa d'en Blanes</t>
        </is>
      </c>
      <c r="C4037" t="inlineStr">
        <is>
          <t>https://sandberg-estates.com/properties/mediterranean-sea-view-villa-for-sale-in-costa-d-en-blanes-2</t>
        </is>
      </c>
      <c r="E4037" t="n">
        <v>4</v>
      </c>
      <c r="G4037" t="n">
        <v>900</v>
      </c>
      <c r="H4037" t="n">
        <v>260</v>
      </c>
      <c r="J4037" t="inlineStr">
        <is>
          <t>Costa den Blanes ,Villa</t>
        </is>
      </c>
      <c r="K4037" t="n">
        <v>23.3</v>
      </c>
      <c r="L4037" t="n">
        <v>21</v>
      </c>
      <c r="M4037" t="n">
        <v>66.09999999999999</v>
      </c>
      <c r="N4037" t="n">
        <v>54</v>
      </c>
      <c r="O4037" t="n">
        <v>21</v>
      </c>
      <c r="P4037" t="n">
        <v>21</v>
      </c>
      <c r="Q4037" t="n">
        <v>63.8</v>
      </c>
      <c r="R4037" t="n">
        <v>51</v>
      </c>
      <c r="S4037" t="n">
        <v>3150000</v>
      </c>
      <c r="T4037" t="n">
        <v>12115</v>
      </c>
      <c r="U4037" t="n">
        <v>3500</v>
      </c>
      <c r="AH4037" t="inlineStr">
        <is>
          <t>Quelle: Sandberg Estates</t>
        </is>
      </c>
    </row>
    <row r="4038">
      <c r="A4038" t="n">
        <v>3851</v>
      </c>
      <c r="B4038" t="inlineStr">
        <is>
          <t>Frontline 3-Bedroom Apartment for Sale in Costa de la Calma</t>
        </is>
      </c>
      <c r="C4038" t="inlineStr">
        <is>
          <t>https://sandberg-estates.com/properties/frontline-3-bedroom-apartment-for-sale-in-costa-de-la-calma</t>
        </is>
      </c>
      <c r="E4038" t="n">
        <v>2</v>
      </c>
      <c r="H4038" t="n">
        <v>168</v>
      </c>
      <c r="J4038" t="inlineStr">
        <is>
          <t>Costa de la Calma ,Apartment</t>
        </is>
      </c>
      <c r="K4038" t="n">
        <v>32.6</v>
      </c>
      <c r="L4038" t="n">
        <v>29</v>
      </c>
      <c r="M4038" t="n">
        <v>75.40000000000001</v>
      </c>
      <c r="N4038" t="n">
        <v>62</v>
      </c>
      <c r="O4038" t="n">
        <v>13.7</v>
      </c>
      <c r="P4038" t="n">
        <v>18</v>
      </c>
      <c r="Q4038" t="n">
        <v>73.09999999999999</v>
      </c>
      <c r="R4038" t="n">
        <v>58</v>
      </c>
      <c r="S4038" t="n">
        <v>1995000</v>
      </c>
      <c r="T4038" t="n">
        <v>11875</v>
      </c>
      <c r="AH4038" t="inlineStr">
        <is>
          <t>Quelle: Sandberg Estates</t>
        </is>
      </c>
    </row>
    <row r="4039">
      <c r="A4039" t="n">
        <v>3852</v>
      </c>
      <c r="B4039" t="inlineStr">
        <is>
          <t>Plot with Villa Project for Sale in Portals Nous</t>
        </is>
      </c>
      <c r="C4039" t="inlineStr">
        <is>
          <t>https://sandberg-estates.com/properties/plot-with-villa-project-for-sale-in-portals-nous</t>
        </is>
      </c>
      <c r="E4039" t="n">
        <v>6</v>
      </c>
      <c r="G4039" t="n">
        <v>974</v>
      </c>
      <c r="H4039" t="n">
        <v>640</v>
      </c>
      <c r="J4039" t="inlineStr">
        <is>
          <t>Portals Nous ,Land</t>
        </is>
      </c>
      <c r="K4039" t="n">
        <v>23.8</v>
      </c>
      <c r="L4039" t="n">
        <v>23</v>
      </c>
      <c r="M4039" t="n">
        <v>66.59999999999999</v>
      </c>
      <c r="N4039" t="n">
        <v>56</v>
      </c>
      <c r="O4039" t="n">
        <v>21.8</v>
      </c>
      <c r="P4039" t="n">
        <v>22</v>
      </c>
      <c r="Q4039" t="n">
        <v>64.3</v>
      </c>
      <c r="R4039" t="n">
        <v>52</v>
      </c>
      <c r="S4039" t="n">
        <v>4500000</v>
      </c>
      <c r="T4039" t="n">
        <v>7031</v>
      </c>
      <c r="U4039" t="n">
        <v>4620</v>
      </c>
      <c r="AH4039" t="inlineStr">
        <is>
          <t>Quelle: Sandberg Estates</t>
        </is>
      </c>
    </row>
    <row r="4040">
      <c r="A4040" t="n">
        <v>3853</v>
      </c>
      <c r="B4040" t="inlineStr">
        <is>
          <t>Villa with Swimming Pool &amp; Sea Views for Sale in Genova</t>
        </is>
      </c>
      <c r="C4040" t="inlineStr">
        <is>
          <t>https://sandberg-estates.com/properties/villa-with-swimming-pool-sea-views-for-sale-in-genova</t>
        </is>
      </c>
      <c r="E4040" t="n">
        <v>5</v>
      </c>
      <c r="G4040" t="n">
        <v>487</v>
      </c>
      <c r="H4040" t="n">
        <v>346</v>
      </c>
      <c r="J4040" t="inlineStr">
        <is>
          <t>Genova ,Villa</t>
        </is>
      </c>
      <c r="K4040" t="n">
        <v>18</v>
      </c>
      <c r="L4040" t="n">
        <v>20</v>
      </c>
      <c r="M4040" t="n">
        <v>60.7</v>
      </c>
      <c r="N4040" t="n">
        <v>53</v>
      </c>
      <c r="O4040" t="n">
        <v>25.4</v>
      </c>
      <c r="P4040" t="n">
        <v>26</v>
      </c>
      <c r="Q4040" t="n">
        <v>58.4</v>
      </c>
      <c r="R4040" t="n">
        <v>49</v>
      </c>
      <c r="S4040" t="n">
        <v>2750000</v>
      </c>
      <c r="T4040" t="n">
        <v>7948</v>
      </c>
      <c r="U4040" t="n">
        <v>5647</v>
      </c>
      <c r="AH4040" t="inlineStr">
        <is>
          <t>Quelle: Sandberg Estates</t>
        </is>
      </c>
    </row>
    <row r="4041">
      <c r="A4041" t="n">
        <v>3854</v>
      </c>
      <c r="B4041" t="inlineStr">
        <is>
          <t>Enchanting Villa in Es Capdellà for Sale</t>
        </is>
      </c>
      <c r="C4041" t="inlineStr">
        <is>
          <t>https://sandberg-estates.com/properties/enchanting-villa-in-es-capdella-for-sale</t>
        </is>
      </c>
      <c r="E4041" t="n">
        <v>3</v>
      </c>
      <c r="G4041" t="n">
        <v>1289</v>
      </c>
      <c r="H4041" t="n">
        <v>346</v>
      </c>
      <c r="J4041" t="inlineStr">
        <is>
          <t>Es Capdella ,Villa</t>
        </is>
      </c>
      <c r="K4041" t="n">
        <v>34.8</v>
      </c>
      <c r="L4041" t="n">
        <v>33</v>
      </c>
      <c r="M4041" t="n">
        <v>77.5</v>
      </c>
      <c r="N4041" t="n">
        <v>66</v>
      </c>
      <c r="O4041" t="n">
        <v>13.6</v>
      </c>
      <c r="P4041" t="n">
        <v>19</v>
      </c>
      <c r="Q4041" t="n">
        <v>75.2</v>
      </c>
      <c r="R4041" t="n">
        <v>63</v>
      </c>
      <c r="S4041" t="n">
        <v>1995000</v>
      </c>
      <c r="T4041" t="n">
        <v>5766</v>
      </c>
      <c r="U4041" t="n">
        <v>1548</v>
      </c>
      <c r="AH4041" t="inlineStr">
        <is>
          <t>Quelle: Sandberg Estates</t>
        </is>
      </c>
    </row>
    <row r="4042">
      <c r="A4042" t="n">
        <v>3855</v>
      </c>
      <c r="B4042" t="inlineStr">
        <is>
          <t>Renovated Penthouse Apartment with Sea Views for Sale in El Terreno</t>
        </is>
      </c>
      <c r="C4042" t="inlineStr">
        <is>
          <t>https://sandberg-estates.com/properties/renovated-penthouse-apartment-with-sea-views-for-sale-in-el-terreno</t>
        </is>
      </c>
      <c r="E4042" t="n">
        <v>2</v>
      </c>
      <c r="H4042" t="n">
        <v>100</v>
      </c>
      <c r="J4042" t="inlineStr">
        <is>
          <t>El Terreno ,Apartment</t>
        </is>
      </c>
      <c r="S4042" t="n">
        <v>545000</v>
      </c>
      <c r="T4042" t="n">
        <v>5450</v>
      </c>
      <c r="AH4042" t="inlineStr">
        <is>
          <t>Quelle: Sandberg Estates</t>
        </is>
      </c>
    </row>
    <row r="4043">
      <c r="A4043" t="n">
        <v>3856</v>
      </c>
      <c r="B4043" t="inlineStr">
        <is>
          <t>Villa for Short Term Rent in Alcanada, Port Alcudia</t>
        </is>
      </c>
      <c r="C4043" t="inlineStr">
        <is>
          <t>https://sandberg-estates.com/properties/villa-for-short-term-rent-in-alcanada-port-alcudia</t>
        </is>
      </c>
      <c r="E4043" t="n">
        <v>5</v>
      </c>
      <c r="H4043" t="n">
        <v>235</v>
      </c>
      <c r="J4043" t="inlineStr">
        <is>
          <t>Alcanada ,Villa</t>
        </is>
      </c>
      <c r="K4043" t="n">
        <v>64.2</v>
      </c>
      <c r="L4043" t="n">
        <v>48</v>
      </c>
      <c r="M4043" t="n">
        <v>82.3</v>
      </c>
      <c r="N4043" t="n">
        <v>75</v>
      </c>
      <c r="O4043" t="n">
        <v>86.8</v>
      </c>
      <c r="P4043" t="n">
        <v>64</v>
      </c>
      <c r="Q4043" t="n">
        <v>80</v>
      </c>
      <c r="R4043" t="n">
        <v>71</v>
      </c>
      <c r="S4043" t="n">
        <v>3950</v>
      </c>
      <c r="T4043" t="n">
        <v>17</v>
      </c>
      <c r="AH4043" t="inlineStr">
        <is>
          <t>Quelle: Sandberg Estates</t>
        </is>
      </c>
    </row>
    <row r="4044">
      <c r="A4044" t="n">
        <v>3857</v>
      </c>
      <c r="B4044" t="inlineStr">
        <is>
          <t>Luxury Modern Villa with Sea View for Sale in Portals Nous</t>
        </is>
      </c>
      <c r="C4044" t="inlineStr">
        <is>
          <t>https://sandberg-estates.com/properties/luxury-modern-villa-with-sea-view-for-sale-in-portals-nous</t>
        </is>
      </c>
      <c r="E4044" t="n">
        <v>4</v>
      </c>
      <c r="G4044" t="n">
        <v>454</v>
      </c>
      <c r="H4044" t="n">
        <v>340</v>
      </c>
      <c r="J4044" t="inlineStr">
        <is>
          <t>Portals Nous ,Villa</t>
        </is>
      </c>
      <c r="K4044" t="n">
        <v>23.8</v>
      </c>
      <c r="L4044" t="n">
        <v>23</v>
      </c>
      <c r="M4044" t="n">
        <v>66.59999999999999</v>
      </c>
      <c r="N4044" t="n">
        <v>56</v>
      </c>
      <c r="O4044" t="n">
        <v>21.8</v>
      </c>
      <c r="P4044" t="n">
        <v>22</v>
      </c>
      <c r="Q4044" t="n">
        <v>64.3</v>
      </c>
      <c r="R4044" t="n">
        <v>52</v>
      </c>
      <c r="S4044" t="n">
        <v>6200000</v>
      </c>
      <c r="T4044" t="n">
        <v>18235</v>
      </c>
      <c r="U4044" t="n">
        <v>13656</v>
      </c>
      <c r="AH4044" t="inlineStr">
        <is>
          <t>Quelle: Sandberg Estates</t>
        </is>
      </c>
    </row>
    <row r="4045">
      <c r="A4045" t="n">
        <v>3858</v>
      </c>
      <c r="B4045" t="inlineStr">
        <is>
          <t>Stunning Apartment with Harbour Views for Sale in Portals Nous</t>
        </is>
      </c>
      <c r="C4045" t="inlineStr">
        <is>
          <t>https://sandberg-estates.com/properties/stunning-apartment-with-harbour-views-for-sale-in-portals-nous</t>
        </is>
      </c>
      <c r="E4045" t="n">
        <v>2</v>
      </c>
      <c r="H4045" t="n">
        <v>122</v>
      </c>
      <c r="J4045" t="inlineStr">
        <is>
          <t>Portals Nous ,Apartment</t>
        </is>
      </c>
      <c r="K4045" t="n">
        <v>23.8</v>
      </c>
      <c r="L4045" t="n">
        <v>23</v>
      </c>
      <c r="M4045" t="n">
        <v>66.59999999999999</v>
      </c>
      <c r="N4045" t="n">
        <v>56</v>
      </c>
      <c r="O4045" t="n">
        <v>21.8</v>
      </c>
      <c r="P4045" t="n">
        <v>22</v>
      </c>
      <c r="Q4045" t="n">
        <v>64.3</v>
      </c>
      <c r="R4045" t="n">
        <v>52</v>
      </c>
      <c r="S4045" t="n">
        <v>1950000</v>
      </c>
      <c r="T4045" t="n">
        <v>15984</v>
      </c>
      <c r="AH4045" t="inlineStr">
        <is>
          <t>Quelle: Sandberg Estates</t>
        </is>
      </c>
    </row>
    <row r="4046">
      <c r="A4046" t="n">
        <v>3859</v>
      </c>
      <c r="B4046" t="inlineStr">
        <is>
          <t>Charming Penthouse with Fantastic Sea Views for Sale in Port Andratx</t>
        </is>
      </c>
      <c r="C4046" t="inlineStr">
        <is>
          <t>https://sandberg-estates.com/properties/charming-penthouse-with-fantastic-sea-views-for-sale-in-port-andratx</t>
        </is>
      </c>
      <c r="E4046" t="n">
        <v>3</v>
      </c>
      <c r="H4046" t="n">
        <v>265</v>
      </c>
      <c r="J4046" t="inlineStr">
        <is>
          <t>Puerto Andratx ,Apartment</t>
        </is>
      </c>
      <c r="K4046" t="n">
        <v>43.5</v>
      </c>
      <c r="L4046" t="n">
        <v>38</v>
      </c>
      <c r="M4046" t="n">
        <v>86.2</v>
      </c>
      <c r="N4046" t="n">
        <v>71</v>
      </c>
      <c r="O4046" t="n">
        <v>6.3</v>
      </c>
      <c r="P4046" t="n">
        <v>11</v>
      </c>
      <c r="Q4046" t="n">
        <v>83.90000000000001</v>
      </c>
      <c r="R4046" t="n">
        <v>68</v>
      </c>
      <c r="S4046" t="n">
        <v>3880000</v>
      </c>
      <c r="T4046" t="n">
        <v>14642</v>
      </c>
      <c r="AH4046" t="inlineStr">
        <is>
          <t>Quelle: Sandberg Estates</t>
        </is>
      </c>
    </row>
    <row r="4047">
      <c r="A4047" t="n">
        <v>3860</v>
      </c>
      <c r="B4047" t="inlineStr">
        <is>
          <t>Modern Sea View Villa for Sale in Costa d'en Blanes</t>
        </is>
      </c>
      <c r="C4047" t="inlineStr">
        <is>
          <t>https://sandberg-estates.com/properties/modern-sea-view-villa-for-sale-in-costa-d-en-blanes</t>
        </is>
      </c>
      <c r="E4047" t="n">
        <v>5</v>
      </c>
      <c r="G4047" t="n">
        <v>1196</v>
      </c>
      <c r="H4047" t="n">
        <v>503</v>
      </c>
      <c r="J4047" t="inlineStr">
        <is>
          <t>Costa den Blanes ,Villa</t>
        </is>
      </c>
      <c r="K4047" t="n">
        <v>23.3</v>
      </c>
      <c r="L4047" t="n">
        <v>21</v>
      </c>
      <c r="M4047" t="n">
        <v>66.09999999999999</v>
      </c>
      <c r="N4047" t="n">
        <v>54</v>
      </c>
      <c r="O4047" t="n">
        <v>21</v>
      </c>
      <c r="P4047" t="n">
        <v>21</v>
      </c>
      <c r="Q4047" t="n">
        <v>63.8</v>
      </c>
      <c r="R4047" t="n">
        <v>51</v>
      </c>
      <c r="S4047" t="n">
        <v>6950000</v>
      </c>
      <c r="T4047" t="n">
        <v>13817</v>
      </c>
      <c r="U4047" t="n">
        <v>5811</v>
      </c>
      <c r="AH4047" t="inlineStr">
        <is>
          <t>Quelle: Sandberg Estates</t>
        </is>
      </c>
    </row>
    <row r="4048">
      <c r="A4048" t="n">
        <v>3861</v>
      </c>
      <c r="B4048" t="inlineStr">
        <is>
          <t>Luxury Villa Project for Sale in Portals Nous</t>
        </is>
      </c>
      <c r="C4048" t="inlineStr">
        <is>
          <t>https://sandberg-estates.com/properties/luxury-villa-project-for-sale-in-portals-nous</t>
        </is>
      </c>
      <c r="E4048" t="n">
        <v>6</v>
      </c>
      <c r="G4048" t="n">
        <v>974</v>
      </c>
      <c r="H4048" t="n">
        <v>640</v>
      </c>
      <c r="J4048" t="inlineStr">
        <is>
          <t>Portals Nous ,Villa</t>
        </is>
      </c>
      <c r="K4048" t="n">
        <v>23.8</v>
      </c>
      <c r="L4048" t="n">
        <v>23</v>
      </c>
      <c r="M4048" t="n">
        <v>66.59999999999999</v>
      </c>
      <c r="N4048" t="n">
        <v>56</v>
      </c>
      <c r="O4048" t="n">
        <v>21.8</v>
      </c>
      <c r="P4048" t="n">
        <v>22</v>
      </c>
      <c r="Q4048" t="n">
        <v>64.3</v>
      </c>
      <c r="R4048" t="n">
        <v>52</v>
      </c>
      <c r="S4048" t="n">
        <v>8500000</v>
      </c>
      <c r="T4048" t="n">
        <v>13281</v>
      </c>
      <c r="U4048" t="n">
        <v>8727</v>
      </c>
      <c r="AH4048" t="inlineStr">
        <is>
          <t>Quelle: Sandberg Estates</t>
        </is>
      </c>
    </row>
    <row r="4049">
      <c r="A4049" t="n">
        <v>3862</v>
      </c>
      <c r="B4049" t="inlineStr">
        <is>
          <t>Sea View Apartment for Sale in San Agustin</t>
        </is>
      </c>
      <c r="C4049" t="inlineStr">
        <is>
          <t>https://sandberg-estates.com/properties/sea-view-apartment-for-sale-in-san-agustin-3</t>
        </is>
      </c>
      <c r="E4049" t="n">
        <v>2</v>
      </c>
      <c r="H4049" t="n">
        <v>85</v>
      </c>
      <c r="J4049" t="inlineStr">
        <is>
          <t>San Agustin ,</t>
        </is>
      </c>
      <c r="S4049" t="n">
        <v>895000</v>
      </c>
      <c r="T4049" t="n">
        <v>10529</v>
      </c>
      <c r="AH4049" t="inlineStr">
        <is>
          <t>Quelle: Sandberg Estates</t>
        </is>
      </c>
    </row>
    <row r="4050">
      <c r="A4050" t="n">
        <v>3863</v>
      </c>
      <c r="B4050" t="inlineStr">
        <is>
          <t>Frontline Apartment for Sale in Cala Vinyes</t>
        </is>
      </c>
      <c r="C4050" t="inlineStr">
        <is>
          <t>https://sandberg-estates.com/properties/frontline-apartment-for-sale-in-cala-vinyes</t>
        </is>
      </c>
      <c r="E4050" t="n">
        <v>2</v>
      </c>
      <c r="H4050" t="n">
        <v>124</v>
      </c>
      <c r="J4050" t="inlineStr">
        <is>
          <t>Cala Vinyes ,Apartment</t>
        </is>
      </c>
      <c r="S4050" t="n">
        <v>650000</v>
      </c>
      <c r="T4050" t="n">
        <v>5242</v>
      </c>
      <c r="AH4050" t="inlineStr">
        <is>
          <t>Quelle: Sandberg Estates</t>
        </is>
      </c>
    </row>
    <row r="4051">
      <c r="A4051" t="n">
        <v>3864</v>
      </c>
      <c r="B4051" t="inlineStr">
        <is>
          <t>Luxury Sea View Villa for Sale in Anchorage Hill, Bendinat</t>
        </is>
      </c>
      <c r="C4051" t="inlineStr">
        <is>
          <t>https://sandberg-estates.com/properties/luxury-sea-view-villa-for-sale-in-anchorage-hill-bendinat</t>
        </is>
      </c>
      <c r="E4051" t="n">
        <v>6</v>
      </c>
      <c r="G4051" t="n">
        <v>1214</v>
      </c>
      <c r="H4051" t="n">
        <v>506</v>
      </c>
      <c r="J4051" t="inlineStr">
        <is>
          <t>Bendinat ,Villa</t>
        </is>
      </c>
      <c r="K4051" t="n">
        <v>22.3</v>
      </c>
      <c r="L4051" t="n">
        <v>21</v>
      </c>
      <c r="M4051" t="n">
        <v>65.09999999999999</v>
      </c>
      <c r="N4051" t="n">
        <v>53</v>
      </c>
      <c r="O4051" t="n">
        <v>22.5</v>
      </c>
      <c r="P4051" t="n">
        <v>22</v>
      </c>
      <c r="Q4051" t="n">
        <v>62.8</v>
      </c>
      <c r="R4051" t="n">
        <v>50</v>
      </c>
      <c r="S4051" t="n">
        <v>11900000</v>
      </c>
      <c r="T4051" t="n">
        <v>23518</v>
      </c>
      <c r="U4051" t="n">
        <v>9802</v>
      </c>
      <c r="AH4051" t="inlineStr">
        <is>
          <t>Quelle: Sandberg Estates</t>
        </is>
      </c>
    </row>
    <row r="4052">
      <c r="A4052" t="n">
        <v>3865</v>
      </c>
      <c r="B4052" t="inlineStr">
        <is>
          <t>Penthouse for Sale in Historic Building Palma Old Town</t>
        </is>
      </c>
      <c r="C4052" t="inlineStr">
        <is>
          <t>https://sandberg-estates.com/properties/penthouse-for-sale-in-historic-building-palma-old-town</t>
        </is>
      </c>
      <c r="E4052" t="n">
        <v>2</v>
      </c>
      <c r="H4052" t="n">
        <v>204</v>
      </c>
      <c r="J4052" t="inlineStr">
        <is>
          <t>Old Town ,Apartment</t>
        </is>
      </c>
      <c r="K4052" t="n">
        <v>47.4</v>
      </c>
      <c r="L4052" t="n">
        <v>40</v>
      </c>
      <c r="M4052" t="n">
        <v>51.8</v>
      </c>
      <c r="N4052" t="n">
        <v>55</v>
      </c>
      <c r="O4052" t="n">
        <v>70</v>
      </c>
      <c r="P4052" t="n">
        <v>56</v>
      </c>
      <c r="Q4052" t="n">
        <v>49.5</v>
      </c>
      <c r="R4052" t="n">
        <v>51</v>
      </c>
      <c r="S4052" t="n">
        <v>2300000</v>
      </c>
      <c r="T4052" t="n">
        <v>11275</v>
      </c>
      <c r="AH4052" t="inlineStr">
        <is>
          <t>Quelle: Sandberg Estates</t>
        </is>
      </c>
    </row>
    <row r="4053">
      <c r="A4053" t="n">
        <v>3866</v>
      </c>
      <c r="B4053" t="inlineStr">
        <is>
          <t>Plot with Project for Sale in El Molinar</t>
        </is>
      </c>
      <c r="C4053" t="inlineStr">
        <is>
          <t>https://sandberg-estates.com/properties/plot-with-project-for-sale-in-el-molinar</t>
        </is>
      </c>
      <c r="G4053" t="n">
        <v>119</v>
      </c>
      <c r="H4053" t="n">
        <v>75</v>
      </c>
      <c r="J4053" t="inlineStr">
        <is>
          <t>El Molinar ,Land</t>
        </is>
      </c>
      <c r="K4053" t="n">
        <v>8.6</v>
      </c>
      <c r="L4053" t="n">
        <v>13</v>
      </c>
      <c r="M4053" t="n">
        <v>51.3</v>
      </c>
      <c r="N4053" t="n">
        <v>46</v>
      </c>
      <c r="O4053" t="n">
        <v>37.5</v>
      </c>
      <c r="P4053" t="n">
        <v>34</v>
      </c>
      <c r="Q4053" t="n">
        <v>49</v>
      </c>
      <c r="R4053" t="n">
        <v>42</v>
      </c>
      <c r="S4053" t="n">
        <v>1350000</v>
      </c>
      <c r="T4053" t="n">
        <v>18000</v>
      </c>
      <c r="U4053" t="n">
        <v>11345</v>
      </c>
      <c r="AH4053" t="inlineStr">
        <is>
          <t>Quelle: Sandberg Estates</t>
        </is>
      </c>
    </row>
    <row r="4054">
      <c r="A4054" t="n">
        <v>3867</v>
      </c>
      <c r="B4054" t="inlineStr">
        <is>
          <t>Luxury Townhouse for Sale in Es Jonquet</t>
        </is>
      </c>
      <c r="C4054" t="inlineStr">
        <is>
          <t>https://sandberg-estates.com/properties/luxury-townhouse-for-sale-in-es-jonquet</t>
        </is>
      </c>
      <c r="E4054" t="n">
        <v>2</v>
      </c>
      <c r="G4054" t="n">
        <v>73</v>
      </c>
      <c r="H4054" t="n">
        <v>80</v>
      </c>
      <c r="J4054" t="inlineStr">
        <is>
          <t>Santa Catalina ,Townhouse</t>
        </is>
      </c>
      <c r="K4054" t="n">
        <v>11.2</v>
      </c>
      <c r="L4054" t="n">
        <v>19</v>
      </c>
      <c r="M4054" t="n">
        <v>54</v>
      </c>
      <c r="N4054" t="n">
        <v>51</v>
      </c>
      <c r="O4054" t="n">
        <v>29.1</v>
      </c>
      <c r="P4054" t="n">
        <v>31</v>
      </c>
      <c r="Q4054" t="n">
        <v>51.7</v>
      </c>
      <c r="R4054" t="n">
        <v>48</v>
      </c>
      <c r="S4054" t="n">
        <v>2600000</v>
      </c>
      <c r="T4054" t="n">
        <v>32500</v>
      </c>
      <c r="U4054" t="n">
        <v>35616</v>
      </c>
      <c r="AH4054" t="inlineStr">
        <is>
          <t>Quelle: Sandberg Estates</t>
        </is>
      </c>
    </row>
    <row r="4055">
      <c r="A4055" t="n">
        <v>3868</v>
      </c>
      <c r="B4055" t="inlineStr">
        <is>
          <t>Plot with Project for Sale in Son Vida</t>
        </is>
      </c>
      <c r="C4055" t="inlineStr">
        <is>
          <t>https://sandberg-estates.com/properties/plot-with-project-for-sale-in-son-vida</t>
        </is>
      </c>
      <c r="E4055" t="n">
        <v>6</v>
      </c>
      <c r="G4055" t="n">
        <v>2380</v>
      </c>
      <c r="H4055" t="n">
        <v>664</v>
      </c>
      <c r="J4055" t="inlineStr">
        <is>
          <t>Son Vida ,Land</t>
        </is>
      </c>
      <c r="K4055" t="n">
        <v>19.2</v>
      </c>
      <c r="L4055" t="n">
        <v>22</v>
      </c>
      <c r="M4055" t="n">
        <v>61.9</v>
      </c>
      <c r="N4055" t="n">
        <v>55</v>
      </c>
      <c r="O4055" t="n">
        <v>31</v>
      </c>
      <c r="P4055" t="n">
        <v>31</v>
      </c>
      <c r="Q4055" t="n">
        <v>59.6</v>
      </c>
      <c r="R4055" t="n">
        <v>51</v>
      </c>
      <c r="S4055" t="n">
        <v>2400000</v>
      </c>
      <c r="T4055" t="n">
        <v>3614</v>
      </c>
      <c r="U4055" t="n">
        <v>1008</v>
      </c>
      <c r="AH4055" t="inlineStr">
        <is>
          <t>Quelle: Sandberg Estates</t>
        </is>
      </c>
    </row>
    <row r="4056">
      <c r="A4056" t="n">
        <v>3869</v>
      </c>
      <c r="B4056" t="inlineStr">
        <is>
          <t>Plot with Project and Stunning Views for Sale in Son Vida</t>
        </is>
      </c>
      <c r="C4056" t="inlineStr">
        <is>
          <t>https://sandberg-estates.com/properties/plot-with-project-and-stunning-views-for-sale-in-son-vida</t>
        </is>
      </c>
      <c r="E4056" t="n">
        <v>6</v>
      </c>
      <c r="G4056" t="n">
        <v>2960</v>
      </c>
      <c r="H4056" t="n">
        <v>659</v>
      </c>
      <c r="J4056" t="inlineStr">
        <is>
          <t>Son Vida ,Land</t>
        </is>
      </c>
      <c r="K4056" t="n">
        <v>19.2</v>
      </c>
      <c r="L4056" t="n">
        <v>22</v>
      </c>
      <c r="M4056" t="n">
        <v>61.9</v>
      </c>
      <c r="N4056" t="n">
        <v>55</v>
      </c>
      <c r="O4056" t="n">
        <v>31</v>
      </c>
      <c r="P4056" t="n">
        <v>31</v>
      </c>
      <c r="Q4056" t="n">
        <v>59.6</v>
      </c>
      <c r="R4056" t="n">
        <v>51</v>
      </c>
      <c r="S4056" t="n">
        <v>3200000</v>
      </c>
      <c r="T4056" t="n">
        <v>4856</v>
      </c>
      <c r="U4056" t="n">
        <v>1081</v>
      </c>
      <c r="AH4056" t="inlineStr">
        <is>
          <t>Quelle: Sandberg Estates</t>
        </is>
      </c>
    </row>
    <row r="4057">
      <c r="A4057" t="n">
        <v>3870</v>
      </c>
      <c r="B4057" t="inlineStr">
        <is>
          <t>Plot with Project and Mountain Views for Sale in Son Vida</t>
        </is>
      </c>
      <c r="C4057" t="inlineStr">
        <is>
          <t>https://sandberg-estates.com/properties/plot-with-project-and-mountain-views-for-sale-in-son-vida</t>
        </is>
      </c>
      <c r="E4057" t="n">
        <v>6</v>
      </c>
      <c r="G4057" t="n">
        <v>2017</v>
      </c>
      <c r="H4057" t="n">
        <v>663</v>
      </c>
      <c r="J4057" t="inlineStr">
        <is>
          <t>Son Vida ,Land</t>
        </is>
      </c>
      <c r="K4057" t="n">
        <v>19.2</v>
      </c>
      <c r="L4057" t="n">
        <v>22</v>
      </c>
      <c r="M4057" t="n">
        <v>61.9</v>
      </c>
      <c r="N4057" t="n">
        <v>55</v>
      </c>
      <c r="O4057" t="n">
        <v>31</v>
      </c>
      <c r="P4057" t="n">
        <v>31</v>
      </c>
      <c r="Q4057" t="n">
        <v>59.6</v>
      </c>
      <c r="R4057" t="n">
        <v>51</v>
      </c>
      <c r="S4057" t="n">
        <v>2700000</v>
      </c>
      <c r="T4057" t="n">
        <v>4072</v>
      </c>
      <c r="U4057" t="n">
        <v>1339</v>
      </c>
      <c r="AH4057" t="inlineStr">
        <is>
          <t>Quelle: Sandberg Estates</t>
        </is>
      </c>
    </row>
    <row r="4058">
      <c r="A4058" t="n">
        <v>3871</v>
      </c>
      <c r="B4058" t="inlineStr">
        <is>
          <t>Ground-Floor Loft Apartment for Sale in Palma Old Town</t>
        </is>
      </c>
      <c r="C4058" t="inlineStr">
        <is>
          <t>https://sandberg-estates.com/properties/ground-floor-loft-apartment-for-sale-in-palma-old-town</t>
        </is>
      </c>
      <c r="E4058" t="n">
        <v>2</v>
      </c>
      <c r="H4058" t="n">
        <v>21</v>
      </c>
      <c r="J4058" t="inlineStr">
        <is>
          <t>Old Town ,Apartment</t>
        </is>
      </c>
      <c r="K4058" t="n">
        <v>47.4</v>
      </c>
      <c r="L4058" t="n">
        <v>40</v>
      </c>
      <c r="M4058" t="n">
        <v>51.8</v>
      </c>
      <c r="N4058" t="n">
        <v>55</v>
      </c>
      <c r="O4058" t="n">
        <v>70</v>
      </c>
      <c r="P4058" t="n">
        <v>56</v>
      </c>
      <c r="Q4058" t="n">
        <v>49.5</v>
      </c>
      <c r="R4058" t="n">
        <v>51</v>
      </c>
      <c r="S4058" t="n">
        <v>1345000</v>
      </c>
      <c r="T4058" t="n">
        <v>64048</v>
      </c>
      <c r="AH4058" t="inlineStr">
        <is>
          <t>Quelle: Sandberg Estates</t>
        </is>
      </c>
    </row>
    <row r="4059">
      <c r="A4059" t="n">
        <v>3872</v>
      </c>
      <c r="B4059" t="inlineStr">
        <is>
          <t>Sea View Apartment for Sale in Cala Vinyes</t>
        </is>
      </c>
      <c r="C4059" t="inlineStr">
        <is>
          <t>https://sandberg-estates.com/properties/sea-view-apartment-for-sale-in-cala-vinyes-8</t>
        </is>
      </c>
      <c r="E4059" t="n">
        <v>2</v>
      </c>
      <c r="H4059" t="n">
        <v>1</v>
      </c>
      <c r="J4059" t="inlineStr">
        <is>
          <t>Cala Vinyes ,Apartment</t>
        </is>
      </c>
      <c r="S4059" t="n">
        <v>550000</v>
      </c>
      <c r="T4059" t="n">
        <v>550000</v>
      </c>
      <c r="AH4059" t="inlineStr">
        <is>
          <t>Quelle: Sandberg Estates</t>
        </is>
      </c>
    </row>
    <row r="4060">
      <c r="A4060" t="n">
        <v>3873</v>
      </c>
      <c r="B4060" t="inlineStr">
        <is>
          <t>Villa for Sale in Port Andratx</t>
        </is>
      </c>
      <c r="C4060" t="inlineStr">
        <is>
          <t>https://sandberg-estates.com/properties/villa-for-sale-in-port-andratx</t>
        </is>
      </c>
      <c r="E4060" t="n">
        <v>3</v>
      </c>
      <c r="G4060" t="n">
        <v>650</v>
      </c>
      <c r="H4060" t="n">
        <v>350</v>
      </c>
      <c r="J4060" t="inlineStr">
        <is>
          <t>Puerto Andratx ,Villa</t>
        </is>
      </c>
      <c r="K4060" t="n">
        <v>43.5</v>
      </c>
      <c r="L4060" t="n">
        <v>38</v>
      </c>
      <c r="M4060" t="n">
        <v>86.2</v>
      </c>
      <c r="N4060" t="n">
        <v>71</v>
      </c>
      <c r="O4060" t="n">
        <v>6.3</v>
      </c>
      <c r="P4060" t="n">
        <v>11</v>
      </c>
      <c r="Q4060" t="n">
        <v>83.90000000000001</v>
      </c>
      <c r="R4060" t="n">
        <v>68</v>
      </c>
      <c r="S4060" t="n">
        <v>3550000</v>
      </c>
      <c r="T4060" t="n">
        <v>10143</v>
      </c>
      <c r="U4060" t="n">
        <v>5462</v>
      </c>
      <c r="AH4060" t="inlineStr">
        <is>
          <t>Quelle: Sandberg Estates</t>
        </is>
      </c>
    </row>
    <row r="4061">
      <c r="A4061" t="n">
        <v>3874</v>
      </c>
      <c r="B4061" t="inlineStr">
        <is>
          <t>New Build Apartment for Sale in Santa Catalina</t>
        </is>
      </c>
      <c r="C4061" t="inlineStr">
        <is>
          <t>https://sandberg-estates.com/properties/new-build-apartment-for-sale-in-santa-catalina</t>
        </is>
      </c>
      <c r="E4061" t="n">
        <v>2</v>
      </c>
      <c r="H4061" t="n">
        <v>8</v>
      </c>
      <c r="J4061" t="inlineStr">
        <is>
          <t>Santa Catalina ,Apartment</t>
        </is>
      </c>
      <c r="S4061" t="n">
        <v>989000</v>
      </c>
      <c r="T4061" t="n">
        <v>123625</v>
      </c>
      <c r="AH4061" t="inlineStr">
        <is>
          <t>Quelle: Sandberg Estates</t>
        </is>
      </c>
    </row>
    <row r="4062">
      <c r="A4062" t="n">
        <v>3875</v>
      </c>
      <c r="B4062" t="inlineStr">
        <is>
          <t>Penthouse Apartment with Sea View for Sale in Bendinat</t>
        </is>
      </c>
      <c r="C4062" t="inlineStr">
        <is>
          <t>https://sandberg-estates.com/properties/penthouse-apartment-with-sea-view-for-sale-in-bendinat</t>
        </is>
      </c>
      <c r="E4062" t="n">
        <v>3</v>
      </c>
      <c r="H4062" t="n">
        <v>313</v>
      </c>
      <c r="J4062" t="inlineStr">
        <is>
          <t>Bendinat ,Apartment</t>
        </is>
      </c>
      <c r="K4062" t="n">
        <v>23.1</v>
      </c>
      <c r="L4062" t="n">
        <v>22</v>
      </c>
      <c r="M4062" t="n">
        <v>65.8</v>
      </c>
      <c r="N4062" t="n">
        <v>55</v>
      </c>
      <c r="O4062" t="n">
        <v>23.2</v>
      </c>
      <c r="P4062" t="n">
        <v>23</v>
      </c>
      <c r="Q4062" t="n">
        <v>63.5</v>
      </c>
      <c r="R4062" t="n">
        <v>51</v>
      </c>
      <c r="S4062" t="n">
        <v>2950000</v>
      </c>
      <c r="T4062" t="n">
        <v>9425</v>
      </c>
      <c r="AH4062" t="inlineStr">
        <is>
          <t>Quelle: Sandberg Estates</t>
        </is>
      </c>
    </row>
    <row r="4063">
      <c r="A4063" t="n">
        <v>3876</v>
      </c>
      <c r="B4063" t="inlineStr">
        <is>
          <t>New Build Project: Finca for Sale in Andratx</t>
        </is>
      </c>
      <c r="C4063" t="inlineStr">
        <is>
          <t>https://sandberg-estates.com/properties/new-build-project-finca-for-sale-in-andratx</t>
        </is>
      </c>
      <c r="E4063" t="n">
        <v>3</v>
      </c>
      <c r="G4063" t="n">
        <v>2408</v>
      </c>
      <c r="H4063" t="n">
        <v>420</v>
      </c>
      <c r="J4063" t="inlineStr">
        <is>
          <t>Andratx ,Villa</t>
        </is>
      </c>
      <c r="K4063" t="n">
        <v>40.3</v>
      </c>
      <c r="L4063" t="n">
        <v>36</v>
      </c>
      <c r="M4063" t="n">
        <v>83</v>
      </c>
      <c r="N4063" t="n">
        <v>68</v>
      </c>
      <c r="O4063" t="n">
        <v>2.7</v>
      </c>
      <c r="P4063" t="n">
        <v>7</v>
      </c>
      <c r="Q4063" t="n">
        <v>80.7</v>
      </c>
      <c r="R4063" t="n">
        <v>65</v>
      </c>
      <c r="S4063" t="n">
        <v>3950000</v>
      </c>
      <c r="T4063" t="n">
        <v>9405</v>
      </c>
      <c r="U4063" t="n">
        <v>1640</v>
      </c>
      <c r="AH4063" t="inlineStr">
        <is>
          <t>Quelle: Sandberg Estates</t>
        </is>
      </c>
    </row>
    <row r="4064">
      <c r="A4064" t="n">
        <v>3877</v>
      </c>
      <c r="B4064" t="inlineStr">
        <is>
          <t>Detached Villa for Sale in Andratx</t>
        </is>
      </c>
      <c r="C4064" t="inlineStr">
        <is>
          <t>https://sandberg-estates.com/properties/detached-villa-for-sale-in-andratx</t>
        </is>
      </c>
      <c r="E4064" t="n">
        <v>2</v>
      </c>
      <c r="G4064" t="n">
        <v>1500</v>
      </c>
      <c r="H4064" t="n">
        <v>375</v>
      </c>
      <c r="J4064" t="inlineStr">
        <is>
          <t>Andratx ,Finca</t>
        </is>
      </c>
      <c r="K4064" t="n">
        <v>40.3</v>
      </c>
      <c r="L4064" t="n">
        <v>36</v>
      </c>
      <c r="M4064" t="n">
        <v>83</v>
      </c>
      <c r="N4064" t="n">
        <v>68</v>
      </c>
      <c r="O4064" t="n">
        <v>2.7</v>
      </c>
      <c r="P4064" t="n">
        <v>7</v>
      </c>
      <c r="Q4064" t="n">
        <v>80.7</v>
      </c>
      <c r="R4064" t="n">
        <v>65</v>
      </c>
      <c r="S4064" t="n">
        <v>1175000</v>
      </c>
      <c r="T4064" t="n">
        <v>3133</v>
      </c>
      <c r="U4064" t="n">
        <v>783</v>
      </c>
      <c r="AH4064" t="inlineStr">
        <is>
          <t>Quelle: Sandberg Estates</t>
        </is>
      </c>
    </row>
    <row r="4065">
      <c r="A4065" t="n">
        <v>3878</v>
      </c>
      <c r="B4065" t="inlineStr">
        <is>
          <t>Unique Estate for Sale in Bunyola</t>
        </is>
      </c>
      <c r="C4065" t="inlineStr">
        <is>
          <t>https://sandberg-estates.com/properties/unique-estate-for-sale-in-bunyola</t>
        </is>
      </c>
      <c r="E4065" t="n">
        <v>32</v>
      </c>
      <c r="G4065" t="n">
        <v>241437</v>
      </c>
      <c r="H4065" t="n">
        <v>5569</v>
      </c>
      <c r="J4065" t="inlineStr">
        <is>
          <t>Bunyola ,Villa</t>
        </is>
      </c>
      <c r="K4065" t="n">
        <v>26.3</v>
      </c>
      <c r="L4065" t="n">
        <v>25</v>
      </c>
      <c r="M4065" t="n">
        <v>69.09999999999999</v>
      </c>
      <c r="N4065" t="n">
        <v>58</v>
      </c>
      <c r="O4065" t="n">
        <v>48.9</v>
      </c>
      <c r="P4065" t="n">
        <v>41</v>
      </c>
      <c r="Q4065" t="n">
        <v>66.8</v>
      </c>
      <c r="R4065" t="n">
        <v>54</v>
      </c>
      <c r="S4065" t="n">
        <v>75900000</v>
      </c>
      <c r="T4065" t="n">
        <v>13629</v>
      </c>
      <c r="U4065" t="n">
        <v>314</v>
      </c>
      <c r="AH4065" t="inlineStr">
        <is>
          <t>Quelle: Sandberg Estates</t>
        </is>
      </c>
    </row>
    <row r="4066">
      <c r="A4066" t="n">
        <v>3879</v>
      </c>
      <c r="B4066" t="inlineStr">
        <is>
          <t>New Build Project: Chic Villa in Son Gual for Sale</t>
        </is>
      </c>
      <c r="C4066" t="inlineStr">
        <is>
          <t>https://sandberg-estates.com/properties/new-build-project-chic-villa-in-son-gual-for-sale</t>
        </is>
      </c>
      <c r="E4066" t="n">
        <v>3</v>
      </c>
      <c r="G4066" t="n">
        <v>2006</v>
      </c>
      <c r="H4066" t="n">
        <v>403</v>
      </c>
      <c r="J4066" t="inlineStr">
        <is>
          <t>Son Gual ,Villa</t>
        </is>
      </c>
      <c r="K4066" t="n">
        <v>15.4</v>
      </c>
      <c r="L4066" t="n">
        <v>18</v>
      </c>
      <c r="M4066" t="n">
        <v>45.2</v>
      </c>
      <c r="N4066" t="n">
        <v>43</v>
      </c>
      <c r="O4066" t="n">
        <v>49.6</v>
      </c>
      <c r="P4066" t="n">
        <v>43</v>
      </c>
      <c r="Q4066" t="n">
        <v>42.9</v>
      </c>
      <c r="R4066" t="n">
        <v>39</v>
      </c>
      <c r="S4066" t="n">
        <v>2640000</v>
      </c>
      <c r="T4066" t="n">
        <v>6551</v>
      </c>
      <c r="U4066" t="n">
        <v>1316</v>
      </c>
      <c r="AH4066" t="inlineStr">
        <is>
          <t>Quelle: Sandberg Estates</t>
        </is>
      </c>
    </row>
    <row r="4067">
      <c r="A4067" t="n">
        <v>3880</v>
      </c>
      <c r="B4067" t="inlineStr">
        <is>
          <t>Mediterranean Villa for Sale in Costa d'en Blanes</t>
        </is>
      </c>
      <c r="C4067" t="inlineStr">
        <is>
          <t>https://sandberg-estates.com/properties/mediterranean-villa-for-sale-in-costa-d-en-blanes-3</t>
        </is>
      </c>
      <c r="E4067" t="n">
        <v>4</v>
      </c>
      <c r="G4067" t="n">
        <v>604</v>
      </c>
      <c r="H4067" t="n">
        <v>280</v>
      </c>
      <c r="J4067" t="inlineStr">
        <is>
          <t>Costa den Blanes ,Villa</t>
        </is>
      </c>
      <c r="K4067" t="n">
        <v>23.3</v>
      </c>
      <c r="L4067" t="n">
        <v>21</v>
      </c>
      <c r="M4067" t="n">
        <v>66.09999999999999</v>
      </c>
      <c r="N4067" t="n">
        <v>54</v>
      </c>
      <c r="O4067" t="n">
        <v>21</v>
      </c>
      <c r="P4067" t="n">
        <v>21</v>
      </c>
      <c r="Q4067" t="n">
        <v>63.8</v>
      </c>
      <c r="R4067" t="n">
        <v>51</v>
      </c>
      <c r="S4067" t="n">
        <v>5250000</v>
      </c>
      <c r="T4067" t="n">
        <v>18750</v>
      </c>
      <c r="U4067" t="n">
        <v>8692</v>
      </c>
      <c r="AH4067" t="inlineStr">
        <is>
          <t>Quelle: Sandberg Estates</t>
        </is>
      </c>
    </row>
    <row r="4068">
      <c r="A4068" t="n">
        <v>3881</v>
      </c>
      <c r="B4068" t="inlineStr">
        <is>
          <t>Townhouse I for Sale in Son Espanyolet</t>
        </is>
      </c>
      <c r="C4068" t="inlineStr">
        <is>
          <t>https://sandberg-estates.com/properties/townhouse-i-for-sale-in-son-espanyolet</t>
        </is>
      </c>
      <c r="E4068" t="n">
        <v>2</v>
      </c>
      <c r="G4068" t="n">
        <v>133</v>
      </c>
      <c r="H4068" t="n">
        <v>189</v>
      </c>
      <c r="J4068" t="inlineStr">
        <is>
          <t>Son Espanyolet ,Villa</t>
        </is>
      </c>
      <c r="K4068" t="n">
        <v>15.9</v>
      </c>
      <c r="L4068" t="n">
        <v>18</v>
      </c>
      <c r="M4068" t="n">
        <v>58.7</v>
      </c>
      <c r="N4068" t="n">
        <v>51</v>
      </c>
      <c r="O4068" t="n">
        <v>29.1</v>
      </c>
      <c r="P4068" t="n">
        <v>28</v>
      </c>
      <c r="Q4068" t="n">
        <v>56.4</v>
      </c>
      <c r="R4068" t="n">
        <v>47</v>
      </c>
      <c r="S4068" t="n">
        <v>2500000</v>
      </c>
      <c r="T4068" t="n">
        <v>13228</v>
      </c>
      <c r="U4068" t="n">
        <v>18797</v>
      </c>
      <c r="AH4068" t="inlineStr">
        <is>
          <t>Quelle: Sandberg Estates</t>
        </is>
      </c>
    </row>
    <row r="4069">
      <c r="A4069" t="n">
        <v>3882</v>
      </c>
      <c r="B4069" t="inlineStr">
        <is>
          <t>Townhouse III for Sale in Son Espanyolet</t>
        </is>
      </c>
      <c r="C4069" t="inlineStr">
        <is>
          <t>https://sandberg-estates.com/properties/townhouse-iii-for-sale-in-son-espanyolet</t>
        </is>
      </c>
      <c r="E4069" t="n">
        <v>2</v>
      </c>
      <c r="G4069" t="n">
        <v>128</v>
      </c>
      <c r="H4069" t="n">
        <v>174</v>
      </c>
      <c r="J4069" t="inlineStr">
        <is>
          <t>Son Espanyolet ,Villa</t>
        </is>
      </c>
      <c r="K4069" t="n">
        <v>15.9</v>
      </c>
      <c r="L4069" t="n">
        <v>18</v>
      </c>
      <c r="M4069" t="n">
        <v>58.7</v>
      </c>
      <c r="N4069" t="n">
        <v>51</v>
      </c>
      <c r="O4069" t="n">
        <v>29.1</v>
      </c>
      <c r="P4069" t="n">
        <v>28</v>
      </c>
      <c r="Q4069" t="n">
        <v>56.4</v>
      </c>
      <c r="R4069" t="n">
        <v>47</v>
      </c>
      <c r="S4069" t="n">
        <v>2250000</v>
      </c>
      <c r="T4069" t="n">
        <v>12931</v>
      </c>
      <c r="U4069" t="n">
        <v>17578</v>
      </c>
      <c r="AH4069" t="inlineStr">
        <is>
          <t>Quelle: Sandberg Estates</t>
        </is>
      </c>
    </row>
    <row r="4070">
      <c r="A4070" t="n">
        <v>3883</v>
      </c>
      <c r="B4070" t="inlineStr">
        <is>
          <t>Townhouse IV for Sale in Son Espanyolet</t>
        </is>
      </c>
      <c r="C4070" t="inlineStr">
        <is>
          <t>https://sandberg-estates.com/properties/townhouse-iv-for-sale-in-son-espanyolet</t>
        </is>
      </c>
      <c r="E4070" t="n">
        <v>2</v>
      </c>
      <c r="G4070" t="n">
        <v>128</v>
      </c>
      <c r="H4070" t="n">
        <v>174</v>
      </c>
      <c r="J4070" t="inlineStr">
        <is>
          <t>Son Espanyolet ,Villa</t>
        </is>
      </c>
      <c r="K4070" t="n">
        <v>15.9</v>
      </c>
      <c r="L4070" t="n">
        <v>18</v>
      </c>
      <c r="M4070" t="n">
        <v>58.7</v>
      </c>
      <c r="N4070" t="n">
        <v>51</v>
      </c>
      <c r="O4070" t="n">
        <v>29.1</v>
      </c>
      <c r="P4070" t="n">
        <v>28</v>
      </c>
      <c r="Q4070" t="n">
        <v>56.4</v>
      </c>
      <c r="R4070" t="n">
        <v>47</v>
      </c>
      <c r="S4070" t="n">
        <v>2250000</v>
      </c>
      <c r="T4070" t="n">
        <v>12931</v>
      </c>
      <c r="U4070" t="n">
        <v>17578</v>
      </c>
      <c r="AH4070" t="inlineStr">
        <is>
          <t>Quelle: Sandberg Estates</t>
        </is>
      </c>
    </row>
    <row r="4071">
      <c r="A4071" t="n">
        <v>3884</v>
      </c>
      <c r="B4071" t="inlineStr">
        <is>
          <t>Townhouse II for Sale in Son Espanyolet</t>
        </is>
      </c>
      <c r="C4071" t="inlineStr">
        <is>
          <t>https://sandberg-estates.com/properties/townhouse-ii-for-sale-in-son-espanyolet</t>
        </is>
      </c>
      <c r="E4071" t="n">
        <v>2</v>
      </c>
      <c r="G4071" t="n">
        <v>1132</v>
      </c>
      <c r="H4071" t="n">
        <v>190</v>
      </c>
      <c r="J4071" t="inlineStr">
        <is>
          <t>Son Espanyolet ,Villa</t>
        </is>
      </c>
      <c r="K4071" t="n">
        <v>15.9</v>
      </c>
      <c r="L4071" t="n">
        <v>18</v>
      </c>
      <c r="M4071" t="n">
        <v>58.7</v>
      </c>
      <c r="N4071" t="n">
        <v>51</v>
      </c>
      <c r="O4071" t="n">
        <v>29.1</v>
      </c>
      <c r="P4071" t="n">
        <v>28</v>
      </c>
      <c r="Q4071" t="n">
        <v>56.4</v>
      </c>
      <c r="R4071" t="n">
        <v>47</v>
      </c>
      <c r="S4071" t="n">
        <v>2600000</v>
      </c>
      <c r="T4071" t="n">
        <v>13684</v>
      </c>
      <c r="U4071" t="n">
        <v>2297</v>
      </c>
      <c r="AH4071" t="inlineStr">
        <is>
          <t>Quelle: Sandberg Estates</t>
        </is>
      </c>
    </row>
    <row r="4072">
      <c r="A4072" t="n">
        <v>3885</v>
      </c>
      <c r="B4072" t="inlineStr">
        <is>
          <t>Modern Luxury Villa with Panoramic Views in Cala Santanyí, Mallorca</t>
        </is>
      </c>
      <c r="C4072" t="inlineStr">
        <is>
          <t>https://sandberg-estates.com/properties/modern-luxury-villa-with-panoramic-views-in-cala-santanyi-mallorca</t>
        </is>
      </c>
      <c r="E4072" t="n">
        <v>7</v>
      </c>
      <c r="G4072" t="n">
        <v>16000</v>
      </c>
      <c r="H4072" t="n">
        <v>23</v>
      </c>
      <c r="J4072" t="inlineStr">
        <is>
          <t>Cala Santanyí ,Villa</t>
        </is>
      </c>
      <c r="K4072" t="n">
        <v>50</v>
      </c>
      <c r="L4072" t="n">
        <v>45</v>
      </c>
      <c r="M4072" t="n">
        <v>12.5</v>
      </c>
      <c r="N4072" t="n">
        <v>17</v>
      </c>
      <c r="O4072" t="n">
        <v>88.2</v>
      </c>
      <c r="P4072" t="n">
        <v>73</v>
      </c>
      <c r="Q4072" t="n">
        <v>13.1</v>
      </c>
      <c r="R4072" t="n">
        <v>20</v>
      </c>
      <c r="S4072" t="n">
        <v>3990000</v>
      </c>
      <c r="T4072" t="n">
        <v>173478</v>
      </c>
      <c r="U4072" t="n">
        <v>249</v>
      </c>
      <c r="AH4072" t="inlineStr">
        <is>
          <t>Quelle: Sandberg Estates</t>
        </is>
      </c>
    </row>
    <row r="4073">
      <c r="A4073" t="n">
        <v>3886</v>
      </c>
      <c r="B4073" t="inlineStr">
        <is>
          <t>Beautifully Renovated Apartment in Great Location for Sale in Santa Catalina</t>
        </is>
      </c>
      <c r="C4073" t="inlineStr">
        <is>
          <t>https://sandberg-estates.com/properties/beautifully-renovated-apartment-in-great-location-for-sale-in-santa-catalina</t>
        </is>
      </c>
      <c r="E4073" t="n">
        <v>3</v>
      </c>
      <c r="H4073" t="n">
        <v>190</v>
      </c>
      <c r="J4073" t="inlineStr">
        <is>
          <t>Santa Catalina ,Apartment</t>
        </is>
      </c>
      <c r="K4073" t="n">
        <v>11.2</v>
      </c>
      <c r="L4073" t="n">
        <v>19</v>
      </c>
      <c r="M4073" t="n">
        <v>54</v>
      </c>
      <c r="N4073" t="n">
        <v>51</v>
      </c>
      <c r="O4073" t="n">
        <v>29.1</v>
      </c>
      <c r="P4073" t="n">
        <v>31</v>
      </c>
      <c r="Q4073" t="n">
        <v>51.7</v>
      </c>
      <c r="R4073" t="n">
        <v>48</v>
      </c>
      <c r="S4073" t="n">
        <v>1350000</v>
      </c>
      <c r="T4073" t="n">
        <v>7105</v>
      </c>
      <c r="AH4073" t="inlineStr">
        <is>
          <t>Quelle: Sandberg Estates</t>
        </is>
      </c>
    </row>
    <row r="4074">
      <c r="A4074" t="n">
        <v>3887</v>
      </c>
      <c r="B4074" t="inlineStr">
        <is>
          <t>Modern Apartment with Sea View in Illetas for Sale</t>
        </is>
      </c>
      <c r="C4074" t="inlineStr">
        <is>
          <t>https://sandberg-estates.com/properties/modern-apartment-with-sea-view-in-illetas-for-sale</t>
        </is>
      </c>
      <c r="E4074" t="n">
        <v>1</v>
      </c>
      <c r="H4074" t="n">
        <v>88</v>
      </c>
      <c r="J4074" t="inlineStr">
        <is>
          <t>Illetes ,Apartment</t>
        </is>
      </c>
      <c r="S4074" t="n">
        <v>795000</v>
      </c>
      <c r="T4074" t="n">
        <v>9034</v>
      </c>
      <c r="AH4074" t="inlineStr">
        <is>
          <t>Quelle: Sandberg Estates</t>
        </is>
      </c>
    </row>
    <row r="4075">
      <c r="A4075" t="n">
        <v>3888</v>
      </c>
      <c r="B4075" t="inlineStr">
        <is>
          <t>Luxury Townhouse for Sale in Palma Old Town</t>
        </is>
      </c>
      <c r="C4075" t="inlineStr">
        <is>
          <t>https://sandberg-estates.com/properties/luxury-townhouse-for-sale-in-palma-old-town</t>
        </is>
      </c>
      <c r="E4075" t="n">
        <v>3</v>
      </c>
      <c r="H4075" t="n">
        <v>366</v>
      </c>
      <c r="J4075" t="inlineStr">
        <is>
          <t>Palma City Center ,Townhouse</t>
        </is>
      </c>
      <c r="K4075" t="n">
        <v>11.6</v>
      </c>
      <c r="L4075" t="n">
        <v>20</v>
      </c>
      <c r="M4075" t="n">
        <v>54.3</v>
      </c>
      <c r="N4075" t="n">
        <v>53</v>
      </c>
      <c r="O4075" t="n">
        <v>29.5</v>
      </c>
      <c r="P4075" t="n">
        <v>29</v>
      </c>
      <c r="Q4075" t="n">
        <v>52</v>
      </c>
      <c r="R4075" t="n">
        <v>49</v>
      </c>
      <c r="S4075" t="n">
        <v>5895000</v>
      </c>
      <c r="T4075" t="n">
        <v>16107</v>
      </c>
      <c r="AH4075" t="inlineStr">
        <is>
          <t>Quelle: Sandberg Estates</t>
        </is>
      </c>
    </row>
    <row r="4076">
      <c r="A4076" t="n">
        <v>3889</v>
      </c>
      <c r="B4076" t="inlineStr">
        <is>
          <t>Exclusive Apartment for Sale in the Old Town of Palma</t>
        </is>
      </c>
      <c r="C4076" t="inlineStr">
        <is>
          <t>https://sandberg-estates.com/properties/exclusive-apartment-for-sale-in-the-old-town-of-palma</t>
        </is>
      </c>
      <c r="E4076" t="n">
        <v>2</v>
      </c>
      <c r="H4076" t="n">
        <v>145</v>
      </c>
      <c r="J4076" t="inlineStr">
        <is>
          <t>Old Town ,Apartment</t>
        </is>
      </c>
      <c r="K4076" t="n">
        <v>47.4</v>
      </c>
      <c r="L4076" t="n">
        <v>40</v>
      </c>
      <c r="M4076" t="n">
        <v>51.8</v>
      </c>
      <c r="N4076" t="n">
        <v>55</v>
      </c>
      <c r="O4076" t="n">
        <v>70</v>
      </c>
      <c r="P4076" t="n">
        <v>56</v>
      </c>
      <c r="Q4076" t="n">
        <v>49.5</v>
      </c>
      <c r="R4076" t="n">
        <v>51</v>
      </c>
      <c r="S4076" t="n">
        <v>1640000</v>
      </c>
      <c r="T4076" t="n">
        <v>11310</v>
      </c>
      <c r="AH4076" t="inlineStr">
        <is>
          <t>Quelle: Sandberg Estates</t>
        </is>
      </c>
    </row>
    <row r="4077">
      <c r="A4077" t="n">
        <v>3890</v>
      </c>
      <c r="B4077" t="inlineStr">
        <is>
          <t>Stylish Apartment for Sale in the Old Town of Palma</t>
        </is>
      </c>
      <c r="C4077" t="inlineStr">
        <is>
          <t>https://sandberg-estates.com/properties/stylish-apartment-for-sale-in-the-old-town-of-palma</t>
        </is>
      </c>
      <c r="E4077" t="n">
        <v>2</v>
      </c>
      <c r="H4077" t="n">
        <v>135</v>
      </c>
      <c r="J4077" t="inlineStr">
        <is>
          <t>Old Town ,Apartment</t>
        </is>
      </c>
      <c r="K4077" t="n">
        <v>47.4</v>
      </c>
      <c r="L4077" t="n">
        <v>40</v>
      </c>
      <c r="M4077" t="n">
        <v>51.8</v>
      </c>
      <c r="N4077" t="n">
        <v>55</v>
      </c>
      <c r="O4077" t="n">
        <v>70</v>
      </c>
      <c r="P4077" t="n">
        <v>56</v>
      </c>
      <c r="Q4077" t="n">
        <v>49.5</v>
      </c>
      <c r="R4077" t="n">
        <v>51</v>
      </c>
      <c r="S4077" t="n">
        <v>1390000</v>
      </c>
      <c r="T4077" t="n">
        <v>10296</v>
      </c>
      <c r="AH4077" t="inlineStr">
        <is>
          <t>Quelle: Sandberg Estates</t>
        </is>
      </c>
    </row>
    <row r="4078">
      <c r="A4078" t="n">
        <v>3891</v>
      </c>
      <c r="B4078" t="inlineStr">
        <is>
          <t>New Build 2-Bedroom Apartment for Sale in Palma</t>
        </is>
      </c>
      <c r="C4078" t="inlineStr">
        <is>
          <t>https://sandberg-estates.com/properties/new-build-2-bedroom-apartment-for-sale-in-palma</t>
        </is>
      </c>
      <c r="E4078" t="n">
        <v>2</v>
      </c>
      <c r="H4078" t="n">
        <v>5</v>
      </c>
      <c r="J4078" t="inlineStr">
        <is>
          <t>Foners ,Apartment</t>
        </is>
      </c>
      <c r="S4078" t="n">
        <v>980000</v>
      </c>
      <c r="T4078" t="n">
        <v>196000</v>
      </c>
      <c r="AH4078" t="inlineStr">
        <is>
          <t>Quelle: Sandberg Estates</t>
        </is>
      </c>
    </row>
    <row r="4079">
      <c r="A4079" t="n">
        <v>3892</v>
      </c>
      <c r="B4079" t="inlineStr">
        <is>
          <t>Duplex Penthouse Apartment for Rent on Calle Sindicato</t>
        </is>
      </c>
      <c r="C4079" t="inlineStr">
        <is>
          <t>https://sandberg-estates.com/properties/duplex-penthouse-apartment-for-rent-on-calle-sindicato</t>
        </is>
      </c>
      <c r="E4079" t="n">
        <v>3</v>
      </c>
      <c r="H4079" t="n">
        <v>304</v>
      </c>
      <c r="J4079" t="inlineStr">
        <is>
          <t>Old Town ,Apartment</t>
        </is>
      </c>
      <c r="S4079" t="n">
        <v>6800</v>
      </c>
      <c r="T4079" t="n">
        <v>22</v>
      </c>
      <c r="AH4079" t="inlineStr">
        <is>
          <t>Quelle: Sandberg Estates</t>
        </is>
      </c>
    </row>
    <row r="4080">
      <c r="A4080" t="n">
        <v>3893</v>
      </c>
      <c r="B4080" t="inlineStr">
        <is>
          <t>Modern Apartment for Sale in San Agustin</t>
        </is>
      </c>
      <c r="C4080" t="inlineStr">
        <is>
          <t>https://sandberg-estates.com/properties/modern-apartment-for-sale-in-san-agustin</t>
        </is>
      </c>
      <c r="E4080" t="n">
        <v>2</v>
      </c>
      <c r="H4080" t="n">
        <v>132</v>
      </c>
      <c r="J4080" t="inlineStr">
        <is>
          <t>San Agustin ,Apartment</t>
        </is>
      </c>
      <c r="K4080" t="n">
        <v>19.9</v>
      </c>
      <c r="L4080" t="n">
        <v>20</v>
      </c>
      <c r="M4080" t="n">
        <v>62.6</v>
      </c>
      <c r="N4080" t="n">
        <v>53</v>
      </c>
      <c r="O4080" t="n">
        <v>25.1</v>
      </c>
      <c r="P4080" t="n">
        <v>24</v>
      </c>
      <c r="Q4080" t="n">
        <v>60.3</v>
      </c>
      <c r="R4080" t="n">
        <v>50</v>
      </c>
      <c r="S4080" t="n">
        <v>1475000</v>
      </c>
      <c r="T4080" t="n">
        <v>11174</v>
      </c>
      <c r="AH4080" t="inlineStr">
        <is>
          <t>Quelle: Sandberg Estates</t>
        </is>
      </c>
    </row>
    <row r="4081">
      <c r="A4081" t="n">
        <v>3894</v>
      </c>
      <c r="B4081" t="inlineStr">
        <is>
          <t>Apartment for Sale on Calle Sindicato Palma</t>
        </is>
      </c>
      <c r="C4081" t="inlineStr">
        <is>
          <t>https://sandberg-estates.com/properties/apartment-for-sale-on-calle-sindicato-palma</t>
        </is>
      </c>
      <c r="E4081" t="n">
        <v>2</v>
      </c>
      <c r="H4081" t="n">
        <v>90</v>
      </c>
      <c r="J4081" t="inlineStr">
        <is>
          <t>Old Town ,Apartment</t>
        </is>
      </c>
      <c r="S4081" t="n">
        <v>599000</v>
      </c>
      <c r="T4081" t="n">
        <v>6656</v>
      </c>
      <c r="AH4081" t="inlineStr">
        <is>
          <t>Quelle: Sandberg Estates</t>
        </is>
      </c>
    </row>
    <row r="4082">
      <c r="A4082" t="n">
        <v>3895</v>
      </c>
      <c r="B4082" t="inlineStr">
        <is>
          <t>Project of Designer House for Sale in Cala Vinyes</t>
        </is>
      </c>
      <c r="C4082" t="inlineStr">
        <is>
          <t>https://sandberg-estates.com/properties/project-of-designer-house-for-sale-in-cala-vinyes</t>
        </is>
      </c>
      <c r="E4082" t="n">
        <v>5</v>
      </c>
      <c r="G4082" t="n">
        <v>1800</v>
      </c>
      <c r="H4082" t="n">
        <v>91</v>
      </c>
      <c r="J4082" t="inlineStr">
        <is>
          <t>Cala Vinyes ,Villa</t>
        </is>
      </c>
      <c r="K4082" t="n">
        <v>31.5</v>
      </c>
      <c r="L4082" t="n">
        <v>31</v>
      </c>
      <c r="M4082" t="n">
        <v>74.3</v>
      </c>
      <c r="N4082" t="n">
        <v>64</v>
      </c>
      <c r="O4082" t="n">
        <v>20.4</v>
      </c>
      <c r="P4082" t="n">
        <v>25</v>
      </c>
      <c r="Q4082" t="n">
        <v>72</v>
      </c>
      <c r="R4082" t="n">
        <v>60</v>
      </c>
      <c r="S4082" t="n">
        <v>12990000</v>
      </c>
      <c r="T4082" t="n">
        <v>142747</v>
      </c>
      <c r="U4082" t="n">
        <v>7217</v>
      </c>
      <c r="AH4082" t="inlineStr">
        <is>
          <t>Quelle: Sandberg Estates</t>
        </is>
      </c>
    </row>
    <row r="4083">
      <c r="A4083" t="n">
        <v>3896</v>
      </c>
      <c r="B4083" t="inlineStr">
        <is>
          <t>Villa with Rental License for Sale in Santanyi</t>
        </is>
      </c>
      <c r="C4083" t="inlineStr">
        <is>
          <t>https://sandberg-estates.com/properties/villa-with-rental-license-for-sale-in-santanyi</t>
        </is>
      </c>
      <c r="E4083" t="n">
        <v>2</v>
      </c>
      <c r="G4083" t="n">
        <v>854</v>
      </c>
      <c r="H4083" t="n">
        <v>190</v>
      </c>
      <c r="J4083" t="inlineStr">
        <is>
          <t>Santanyí ,Villa</t>
        </is>
      </c>
      <c r="K4083" t="n">
        <v>45.4</v>
      </c>
      <c r="L4083" t="n">
        <v>39</v>
      </c>
      <c r="M4083" t="n">
        <v>9</v>
      </c>
      <c r="N4083" t="n">
        <v>13</v>
      </c>
      <c r="O4083" t="n">
        <v>83.59999999999999</v>
      </c>
      <c r="P4083" t="n">
        <v>67</v>
      </c>
      <c r="Q4083" t="n">
        <v>9.699999999999999</v>
      </c>
      <c r="R4083" t="n">
        <v>15</v>
      </c>
      <c r="S4083" t="n">
        <v>1390000</v>
      </c>
      <c r="T4083" t="n">
        <v>7316</v>
      </c>
      <c r="U4083" t="n">
        <v>1628</v>
      </c>
      <c r="AH4083" t="inlineStr">
        <is>
          <t>Quelle: Sandberg Estates</t>
        </is>
      </c>
    </row>
    <row r="4084">
      <c r="A4084" t="n">
        <v>3897</v>
      </c>
      <c r="B4084" t="inlineStr">
        <is>
          <t>Charming Finca for Sale in Calvià</t>
        </is>
      </c>
      <c r="C4084" t="inlineStr">
        <is>
          <t>https://sandberg-estates.com/properties/charming-finca-for-sale-in-calvia</t>
        </is>
      </c>
      <c r="E4084" t="n">
        <v>3</v>
      </c>
      <c r="G4084" t="n">
        <v>2941</v>
      </c>
      <c r="H4084" t="n">
        <v>312</v>
      </c>
      <c r="J4084" t="inlineStr">
        <is>
          <t>Calvia ,Villa</t>
        </is>
      </c>
      <c r="K4084" t="n">
        <v>34.1</v>
      </c>
      <c r="L4084" t="n">
        <v>36</v>
      </c>
      <c r="M4084" t="n">
        <v>76.90000000000001</v>
      </c>
      <c r="N4084" t="n">
        <v>68</v>
      </c>
      <c r="O4084" t="n">
        <v>20.2</v>
      </c>
      <c r="P4084" t="n">
        <v>30</v>
      </c>
      <c r="Q4084" t="n">
        <v>74.59999999999999</v>
      </c>
      <c r="R4084" t="n">
        <v>65</v>
      </c>
      <c r="S4084" t="n">
        <v>1995000</v>
      </c>
      <c r="T4084" t="n">
        <v>6394</v>
      </c>
      <c r="U4084" t="n">
        <v>678</v>
      </c>
      <c r="AH4084" t="inlineStr">
        <is>
          <t>Quelle: Sandberg Estates</t>
        </is>
      </c>
    </row>
    <row r="4085">
      <c r="A4085" t="n">
        <v>3898</v>
      </c>
      <c r="B4085" t="inlineStr">
        <is>
          <t>Sea View Penthouse Apartment in New Build in Bonanova</t>
        </is>
      </c>
      <c r="C4085" t="inlineStr">
        <is>
          <t>https://sandberg-estates.com/properties/sea-view-penthouse-apartment-in-new-build-in-bonanova</t>
        </is>
      </c>
      <c r="E4085" t="n">
        <v>2</v>
      </c>
      <c r="H4085" t="n">
        <v>55</v>
      </c>
      <c r="J4085" t="inlineStr">
        <is>
          <t>Bonanova ,Apartment</t>
        </is>
      </c>
      <c r="K4085" t="n">
        <v>19.2</v>
      </c>
      <c r="L4085" t="n">
        <v>21</v>
      </c>
      <c r="M4085" t="n">
        <v>62</v>
      </c>
      <c r="N4085" t="n">
        <v>54</v>
      </c>
      <c r="O4085" t="n">
        <v>26.6</v>
      </c>
      <c r="P4085" t="n">
        <v>27</v>
      </c>
      <c r="Q4085" t="n">
        <v>59.7</v>
      </c>
      <c r="R4085" t="n">
        <v>51</v>
      </c>
      <c r="S4085" t="n">
        <v>1795000</v>
      </c>
      <c r="T4085" t="n">
        <v>32636</v>
      </c>
      <c r="AH4085" t="inlineStr">
        <is>
          <t>Quelle: Sandberg Estates</t>
        </is>
      </c>
    </row>
    <row r="4086">
      <c r="A4086" t="n">
        <v>3899</v>
      </c>
      <c r="B4086" t="inlineStr">
        <is>
          <t>Exclusive Villa for Sale in Nova Santa Ponsa</t>
        </is>
      </c>
      <c r="C4086" t="inlineStr">
        <is>
          <t>https://sandberg-estates.com/properties/exclusive-villa-for-sale-in-nova-santa-ponsa</t>
        </is>
      </c>
      <c r="E4086" t="n">
        <v>4</v>
      </c>
      <c r="G4086" t="n">
        <v>838</v>
      </c>
      <c r="H4086" t="n">
        <v>352</v>
      </c>
      <c r="J4086" t="inlineStr">
        <is>
          <t>Santa Ponsa ,Villa</t>
        </is>
      </c>
      <c r="K4086" t="n">
        <v>31.1</v>
      </c>
      <c r="L4086" t="n">
        <v>28</v>
      </c>
      <c r="M4086" t="n">
        <v>73.90000000000001</v>
      </c>
      <c r="N4086" t="n">
        <v>61</v>
      </c>
      <c r="O4086" t="n">
        <v>15.2</v>
      </c>
      <c r="P4086" t="n">
        <v>19</v>
      </c>
      <c r="Q4086" t="n">
        <v>71.59999999999999</v>
      </c>
      <c r="R4086" t="n">
        <v>57</v>
      </c>
      <c r="S4086" t="n">
        <v>3950000</v>
      </c>
      <c r="T4086" t="n">
        <v>11222</v>
      </c>
      <c r="U4086" t="n">
        <v>4714</v>
      </c>
      <c r="AH4086" t="inlineStr">
        <is>
          <t>Quelle: Sandberg Estates</t>
        </is>
      </c>
    </row>
    <row r="4087">
      <c r="A4087" t="n">
        <v>3900</v>
      </c>
      <c r="B4087" t="inlineStr">
        <is>
          <t>Stylish Duplex Apartment for Sale in Palmanova</t>
        </is>
      </c>
      <c r="C4087" t="inlineStr">
        <is>
          <t>https://sandberg-estates.com/properties/stylish-duplex-apartment-for-sale-in-palmanova</t>
        </is>
      </c>
      <c r="E4087" t="n">
        <v>2</v>
      </c>
      <c r="H4087" t="n">
        <v>250</v>
      </c>
      <c r="J4087" t="inlineStr">
        <is>
          <t>Palmanova ,Apartment</t>
        </is>
      </c>
      <c r="K4087" t="n">
        <v>25.9</v>
      </c>
      <c r="L4087" t="n">
        <v>24</v>
      </c>
      <c r="M4087" t="n">
        <v>68.59999999999999</v>
      </c>
      <c r="N4087" t="n">
        <v>57</v>
      </c>
      <c r="O4087" t="n">
        <v>18.5</v>
      </c>
      <c r="P4087" t="n">
        <v>21</v>
      </c>
      <c r="Q4087" t="n">
        <v>66.3</v>
      </c>
      <c r="R4087" t="n">
        <v>54</v>
      </c>
      <c r="S4087" t="n">
        <v>1250000</v>
      </c>
      <c r="T4087" t="n">
        <v>5000</v>
      </c>
      <c r="AH4087" t="inlineStr">
        <is>
          <t>Quelle: Sandberg Estates</t>
        </is>
      </c>
    </row>
    <row r="4088">
      <c r="A4088" t="n">
        <v>3901</v>
      </c>
      <c r="B4088" t="inlineStr">
        <is>
          <t>Detached Family House for Sale in Son Puig</t>
        </is>
      </c>
      <c r="C4088" t="inlineStr">
        <is>
          <t>https://sandberg-estates.com/properties/detached-family-house-for-sale-in-son-puig</t>
        </is>
      </c>
      <c r="E4088" t="n">
        <v>3</v>
      </c>
      <c r="G4088" t="n">
        <v>578</v>
      </c>
      <c r="H4088" t="n">
        <v>411</v>
      </c>
      <c r="J4088" t="inlineStr">
        <is>
          <t>Son Vida ,Villa</t>
        </is>
      </c>
      <c r="K4088" t="n">
        <v>19.2</v>
      </c>
      <c r="L4088" t="n">
        <v>22</v>
      </c>
      <c r="M4088" t="n">
        <v>61.9</v>
      </c>
      <c r="N4088" t="n">
        <v>55</v>
      </c>
      <c r="O4088" t="n">
        <v>31</v>
      </c>
      <c r="P4088" t="n">
        <v>31</v>
      </c>
      <c r="Q4088" t="n">
        <v>59.6</v>
      </c>
      <c r="R4088" t="n">
        <v>51</v>
      </c>
      <c r="S4088" t="n">
        <v>1475000</v>
      </c>
      <c r="T4088" t="n">
        <v>3589</v>
      </c>
      <c r="U4088" t="n">
        <v>2552</v>
      </c>
      <c r="AH4088" t="inlineStr">
        <is>
          <t>Quelle: Sandberg Estates</t>
        </is>
      </c>
    </row>
    <row r="4089">
      <c r="A4089" t="n">
        <v>3902</v>
      </c>
      <c r="B4089" t="inlineStr">
        <is>
          <t>Frontline Villa for Sale in El Toro</t>
        </is>
      </c>
      <c r="C4089" t="inlineStr">
        <is>
          <t>https://sandberg-estates.com/properties/frontline-villa-for-sale-in-el-toro</t>
        </is>
      </c>
      <c r="E4089" t="n">
        <v>4</v>
      </c>
      <c r="G4089" t="n">
        <v>792</v>
      </c>
      <c r="H4089" t="n">
        <v>350</v>
      </c>
      <c r="J4089" t="inlineStr">
        <is>
          <t>El Toro ,Villa</t>
        </is>
      </c>
      <c r="K4089" t="n">
        <v>35.4</v>
      </c>
      <c r="L4089" t="n">
        <v>33</v>
      </c>
      <c r="M4089" t="n">
        <v>78.09999999999999</v>
      </c>
      <c r="N4089" t="n">
        <v>66</v>
      </c>
      <c r="O4089" t="n">
        <v>19.5</v>
      </c>
      <c r="P4089" t="n">
        <v>24</v>
      </c>
      <c r="Q4089" t="n">
        <v>75.8</v>
      </c>
      <c r="R4089" t="n">
        <v>63</v>
      </c>
      <c r="S4089" t="n">
        <v>3950000</v>
      </c>
      <c r="T4089" t="n">
        <v>11286</v>
      </c>
      <c r="U4089" t="n">
        <v>4987</v>
      </c>
      <c r="AH4089" t="inlineStr">
        <is>
          <t>Quelle: Sandberg Estates</t>
        </is>
      </c>
    </row>
    <row r="4090">
      <c r="A4090" t="n">
        <v>3903</v>
      </c>
      <c r="B4090" t="inlineStr">
        <is>
          <t>Top Renovated Penthouse for Sale in Son Espanyolet, Palma de Mallorca</t>
        </is>
      </c>
      <c r="C4090" t="inlineStr">
        <is>
          <t>https://sandberg-estates.com/properties/top-renovated-penthouse-for-sale-in-son-espanyolet-palma-de-mallorca</t>
        </is>
      </c>
      <c r="E4090" t="n">
        <v>2</v>
      </c>
      <c r="H4090" t="n">
        <v>183</v>
      </c>
      <c r="J4090" t="inlineStr">
        <is>
          <t>Son Espanyolet ,Apartment</t>
        </is>
      </c>
      <c r="K4090" t="n">
        <v>15.9</v>
      </c>
      <c r="L4090" t="n">
        <v>18</v>
      </c>
      <c r="M4090" t="n">
        <v>58.7</v>
      </c>
      <c r="N4090" t="n">
        <v>51</v>
      </c>
      <c r="O4090" t="n">
        <v>29.1</v>
      </c>
      <c r="P4090" t="n">
        <v>28</v>
      </c>
      <c r="Q4090" t="n">
        <v>56.4</v>
      </c>
      <c r="R4090" t="n">
        <v>47</v>
      </c>
      <c r="S4090" t="n">
        <v>1320000</v>
      </c>
      <c r="T4090" t="n">
        <v>7213</v>
      </c>
      <c r="AH4090" t="inlineStr">
        <is>
          <t>Quelle: Sandberg Estates</t>
        </is>
      </c>
    </row>
    <row r="4091">
      <c r="A4091" t="n">
        <v>3904</v>
      </c>
      <c r="B4091" t="inlineStr">
        <is>
          <t>Stylish Sea View Villa for Sale in Costa d'en Blanes</t>
        </is>
      </c>
      <c r="C4091" t="inlineStr">
        <is>
          <t>https://sandberg-estates.com/properties/stylish-sea-view-villa-for-sale-in-costa-d-en-blanes</t>
        </is>
      </c>
      <c r="E4091" t="n">
        <v>6</v>
      </c>
      <c r="G4091" t="n">
        <v>1160</v>
      </c>
      <c r="H4091" t="n">
        <v>708</v>
      </c>
      <c r="J4091" t="inlineStr">
        <is>
          <t>Costa den Blanes ,Villa</t>
        </is>
      </c>
      <c r="K4091" t="n">
        <v>23.3</v>
      </c>
      <c r="L4091" t="n">
        <v>21</v>
      </c>
      <c r="M4091" t="n">
        <v>66.09999999999999</v>
      </c>
      <c r="N4091" t="n">
        <v>54</v>
      </c>
      <c r="O4091" t="n">
        <v>21</v>
      </c>
      <c r="P4091" t="n">
        <v>21</v>
      </c>
      <c r="Q4091" t="n">
        <v>63.8</v>
      </c>
      <c r="R4091" t="n">
        <v>51</v>
      </c>
      <c r="S4091" t="n">
        <v>7950000</v>
      </c>
      <c r="T4091" t="n">
        <v>11229</v>
      </c>
      <c r="U4091" t="n">
        <v>6853</v>
      </c>
      <c r="AH4091" t="inlineStr">
        <is>
          <t>Quelle: Sandberg Estates</t>
        </is>
      </c>
    </row>
    <row r="4092">
      <c r="A4092" t="n">
        <v>3905</v>
      </c>
      <c r="B4092" t="inlineStr">
        <is>
          <t>Charming Finca for Sale in Portol</t>
        </is>
      </c>
      <c r="C4092" t="inlineStr">
        <is>
          <t>https://sandberg-estates.com/properties/charming-finca-for-sale-in-portol</t>
        </is>
      </c>
      <c r="E4092" t="n">
        <v>7</v>
      </c>
      <c r="G4092" t="n">
        <v>9718</v>
      </c>
      <c r="H4092" t="n">
        <v>577</v>
      </c>
      <c r="J4092" t="inlineStr">
        <is>
          <t>Portol ,Villa</t>
        </is>
      </c>
      <c r="K4092" t="n">
        <v>26.8</v>
      </c>
      <c r="L4092" t="n">
        <v>26</v>
      </c>
      <c r="M4092" t="n">
        <v>69.59999999999999</v>
      </c>
      <c r="N4092" t="n">
        <v>59</v>
      </c>
      <c r="O4092" t="n">
        <v>49.4</v>
      </c>
      <c r="P4092" t="n">
        <v>42</v>
      </c>
      <c r="Q4092" t="n">
        <v>67.3</v>
      </c>
      <c r="R4092" t="n">
        <v>55</v>
      </c>
      <c r="S4092" t="n">
        <v>4800000</v>
      </c>
      <c r="T4092" t="n">
        <v>8319</v>
      </c>
      <c r="U4092" t="n">
        <v>494</v>
      </c>
      <c r="AH4092" t="inlineStr">
        <is>
          <t>Quelle: Sandberg Estates</t>
        </is>
      </c>
    </row>
    <row r="4093">
      <c r="A4093" t="n">
        <v>3906</v>
      </c>
      <c r="B4093" t="inlineStr">
        <is>
          <t>Plot for Sale in El Molinar, Palma de Mallorca</t>
        </is>
      </c>
      <c r="C4093" t="inlineStr">
        <is>
          <t>https://sandberg-estates.com/properties/plot-for-sale-in-el-molinar-palma-de-mallorca</t>
        </is>
      </c>
      <c r="G4093" t="n">
        <v>143</v>
      </c>
      <c r="H4093" t="n">
        <v>143</v>
      </c>
      <c r="J4093" t="inlineStr">
        <is>
          <t>El Molinar ,Land</t>
        </is>
      </c>
      <c r="K4093" t="n">
        <v>8.6</v>
      </c>
      <c r="L4093" t="n">
        <v>13</v>
      </c>
      <c r="M4093" t="n">
        <v>51.3</v>
      </c>
      <c r="N4093" t="n">
        <v>46</v>
      </c>
      <c r="O4093" t="n">
        <v>37.5</v>
      </c>
      <c r="P4093" t="n">
        <v>34</v>
      </c>
      <c r="Q4093" t="n">
        <v>49</v>
      </c>
      <c r="R4093" t="n">
        <v>42</v>
      </c>
      <c r="S4093" t="n">
        <v>1550000</v>
      </c>
      <c r="T4093" t="n">
        <v>10839</v>
      </c>
      <c r="U4093" t="n">
        <v>10839</v>
      </c>
      <c r="AH4093" t="inlineStr">
        <is>
          <t>Quelle: Sandberg Estates</t>
        </is>
      </c>
    </row>
    <row r="4094">
      <c r="A4094" t="n">
        <v>3907</v>
      </c>
      <c r="B4094" t="inlineStr">
        <is>
          <t>New Luxury Apartment for Sale in Son Armadams, Palma</t>
        </is>
      </c>
      <c r="C4094" t="inlineStr">
        <is>
          <t>https://sandberg-estates.com/properties/new-luxury-apartment-for-sale-in-son-armadams-palma</t>
        </is>
      </c>
      <c r="E4094" t="n">
        <v>2</v>
      </c>
      <c r="H4094" t="n">
        <v>6</v>
      </c>
      <c r="J4094" t="inlineStr">
        <is>
          <t>Son Armadans ,Apartment</t>
        </is>
      </c>
      <c r="K4094" t="n">
        <v>11.6</v>
      </c>
      <c r="L4094" t="n">
        <v>19</v>
      </c>
      <c r="M4094" t="n">
        <v>54.4</v>
      </c>
      <c r="N4094" t="n">
        <v>52</v>
      </c>
      <c r="O4094" t="n">
        <v>28.3</v>
      </c>
      <c r="P4094" t="n">
        <v>28</v>
      </c>
      <c r="Q4094" t="n">
        <v>52.1</v>
      </c>
      <c r="R4094" t="n">
        <v>48</v>
      </c>
      <c r="S4094" t="n">
        <v>1100500</v>
      </c>
      <c r="T4094" t="n">
        <v>183417</v>
      </c>
      <c r="AH4094" t="inlineStr">
        <is>
          <t>Quelle: Sandberg Estates</t>
        </is>
      </c>
    </row>
    <row r="4095">
      <c r="A4095" t="n">
        <v>3908</v>
      </c>
      <c r="B4095" t="inlineStr">
        <is>
          <t>Renovated Apartment for Sale in Bonanova, Palma</t>
        </is>
      </c>
      <c r="C4095" t="inlineStr">
        <is>
          <t>https://sandberg-estates.com/properties/renovated-apartment-for-sale-in-bonanova-palma</t>
        </is>
      </c>
      <c r="E4095" t="n">
        <v>2</v>
      </c>
      <c r="H4095" t="n">
        <v>124</v>
      </c>
      <c r="J4095" t="inlineStr">
        <is>
          <t>Bonanova ,Apartment</t>
        </is>
      </c>
      <c r="S4095" t="n">
        <v>725000</v>
      </c>
      <c r="T4095" t="n">
        <v>5847</v>
      </c>
      <c r="AH4095" t="inlineStr">
        <is>
          <t>Quelle: Sandberg Estates</t>
        </is>
      </c>
    </row>
    <row r="4096">
      <c r="A4096" t="n">
        <v>3909</v>
      </c>
      <c r="B4096" t="inlineStr">
        <is>
          <t>Beautiful Villa with Sea Views for Sale in Costa d'en Blanes</t>
        </is>
      </c>
      <c r="C4096" t="inlineStr">
        <is>
          <t>https://sandberg-estates.com/properties/beautiful-villa-with-sea-views-for-sale-in-costa-d-en-blanes</t>
        </is>
      </c>
      <c r="E4096" t="n">
        <v>3</v>
      </c>
      <c r="G4096" t="n">
        <v>742</v>
      </c>
      <c r="H4096" t="n">
        <v>318</v>
      </c>
      <c r="J4096" t="inlineStr">
        <is>
          <t>Costa den Blanes ,Villa</t>
        </is>
      </c>
      <c r="K4096" t="n">
        <v>23.3</v>
      </c>
      <c r="L4096" t="n">
        <v>21</v>
      </c>
      <c r="M4096" t="n">
        <v>66.09999999999999</v>
      </c>
      <c r="N4096" t="n">
        <v>54</v>
      </c>
      <c r="O4096" t="n">
        <v>21</v>
      </c>
      <c r="P4096" t="n">
        <v>21</v>
      </c>
      <c r="Q4096" t="n">
        <v>63.8</v>
      </c>
      <c r="R4096" t="n">
        <v>51</v>
      </c>
      <c r="S4096" t="n">
        <v>4750000</v>
      </c>
      <c r="T4096" t="n">
        <v>14937</v>
      </c>
      <c r="U4096" t="n">
        <v>6402</v>
      </c>
      <c r="AH4096" t="inlineStr">
        <is>
          <t>Quelle: Sandberg Estates</t>
        </is>
      </c>
    </row>
    <row r="4097">
      <c r="A4097" t="n">
        <v>3910</v>
      </c>
      <c r="B4097" t="inlineStr">
        <is>
          <t>Duplex Apartment for Sale in Bendinat</t>
        </is>
      </c>
      <c r="C4097" t="inlineStr">
        <is>
          <t>https://sandberg-estates.com/properties/duplex-apartment-for-sale-in-bendinat</t>
        </is>
      </c>
      <c r="E4097" t="n">
        <v>3</v>
      </c>
      <c r="H4097" t="n">
        <v>295</v>
      </c>
      <c r="J4097" t="inlineStr">
        <is>
          <t>Bendinat ,Apartment</t>
        </is>
      </c>
      <c r="K4097" t="n">
        <v>23.1</v>
      </c>
      <c r="L4097" t="n">
        <v>22</v>
      </c>
      <c r="M4097" t="n">
        <v>65.8</v>
      </c>
      <c r="N4097" t="n">
        <v>55</v>
      </c>
      <c r="O4097" t="n">
        <v>23.2</v>
      </c>
      <c r="P4097" t="n">
        <v>23</v>
      </c>
      <c r="Q4097" t="n">
        <v>63.5</v>
      </c>
      <c r="R4097" t="n">
        <v>51</v>
      </c>
      <c r="S4097" t="n">
        <v>1600000</v>
      </c>
      <c r="T4097" t="n">
        <v>5424</v>
      </c>
      <c r="AH4097" t="inlineStr">
        <is>
          <t>Quelle: Sandberg Estates</t>
        </is>
      </c>
    </row>
    <row r="4098">
      <c r="A4098" t="n">
        <v>3911</v>
      </c>
      <c r="B4098" t="inlineStr">
        <is>
          <t>New Build Project: Stylish Villa for Sale in  Sa Torre, Llucmajor</t>
        </is>
      </c>
      <c r="C4098" t="inlineStr">
        <is>
          <t>https://sandberg-estates.com/properties/new-build-project-stylish-villa-for-sale-in-sa-torre-llucmajor</t>
        </is>
      </c>
      <c r="E4098" t="n">
        <v>3</v>
      </c>
      <c r="G4098" t="n">
        <v>1079</v>
      </c>
      <c r="H4098" t="n">
        <v>279</v>
      </c>
      <c r="J4098" t="inlineStr">
        <is>
          <t>Sa Torre ,Villa</t>
        </is>
      </c>
      <c r="K4098" t="n">
        <v>17</v>
      </c>
      <c r="L4098" t="n">
        <v>19</v>
      </c>
      <c r="M4098" t="n">
        <v>41.9</v>
      </c>
      <c r="N4098" t="n">
        <v>41</v>
      </c>
      <c r="O4098" t="n">
        <v>55.2</v>
      </c>
      <c r="P4098" t="n">
        <v>47</v>
      </c>
      <c r="Q4098" t="n">
        <v>39.6</v>
      </c>
      <c r="R4098" t="n">
        <v>38</v>
      </c>
      <c r="S4098" t="n">
        <v>2300000</v>
      </c>
      <c r="T4098" t="n">
        <v>8244</v>
      </c>
      <c r="U4098" t="n">
        <v>2132</v>
      </c>
      <c r="AH4098" t="inlineStr">
        <is>
          <t>Quelle: Sandberg Estates</t>
        </is>
      </c>
    </row>
    <row r="4099">
      <c r="A4099" t="n">
        <v>3912</v>
      </c>
      <c r="C4099" t="inlineStr">
        <is>
          <t>https://www.vivespons.com/</t>
        </is>
      </c>
      <c r="J4099" t="inlineStr">
        <is>
          <t>Mallorca</t>
        </is>
      </c>
      <c r="AH4099" t="inlineStr">
        <is>
          <t>Quelle: Vives Pons</t>
        </is>
      </c>
    </row>
    <row r="4100">
      <c r="A4100" t="n">
        <v>3913</v>
      </c>
      <c r="B4100" t="inlineStr">
        <is>
          <t>Cala Major
3 bedrooms  •  83 m2  •  3,000 € APARTMENT - FOR RENT</t>
        </is>
      </c>
      <c r="C4100" t="inlineStr">
        <is>
          <t>https://reiderstadinvest.com/mallorca/cala-major/rent/apartment/REI1171</t>
        </is>
      </c>
      <c r="E4100" t="n">
        <v>3</v>
      </c>
      <c r="H4100" t="n">
        <v>83</v>
      </c>
      <c r="J4100" t="inlineStr">
        <is>
          <t>Mallorca</t>
        </is>
      </c>
      <c r="AH4100" t="inlineStr">
        <is>
          <t>Quelle: Reiderstad Invest</t>
        </is>
      </c>
    </row>
    <row r="4101">
      <c r="A4101" t="n">
        <v>3914</v>
      </c>
      <c r="B4101" t="inlineStr">
        <is>
          <t>Palma - Center
3 bedrooms  •  146 m2  •  1,590,000 € APARTMENT - FOR SALE</t>
        </is>
      </c>
      <c r="C4101" t="inlineStr">
        <is>
          <t>https://reiderstadinvest.com/mallorca/palma-center/buy/apartment/REI1172</t>
        </is>
      </c>
      <c r="E4101" t="n">
        <v>3</v>
      </c>
      <c r="H4101" t="n">
        <v>146</v>
      </c>
      <c r="J4101" t="inlineStr">
        <is>
          <t>Mallorca</t>
        </is>
      </c>
      <c r="AH4101" t="inlineStr">
        <is>
          <t>Quelle: Reiderstad Invest</t>
        </is>
      </c>
    </row>
    <row r="4102">
      <c r="A4102" t="n">
        <v>3915</v>
      </c>
      <c r="B4102" t="inlineStr">
        <is>
          <t>Illetas
3 bedrooms  •  85 m2  •  POA PENTHOUSE - FOR RENT</t>
        </is>
      </c>
      <c r="C4102" t="inlineStr">
        <is>
          <t>https://reiderstadinvest.com/mallorca/illetas/rent/penthouse/REI1170</t>
        </is>
      </c>
      <c r="E4102" t="n">
        <v>3</v>
      </c>
      <c r="H4102" t="n">
        <v>85</v>
      </c>
      <c r="J4102" t="inlineStr">
        <is>
          <t>Mallorca</t>
        </is>
      </c>
      <c r="AH4102" t="inlineStr">
        <is>
          <t>Quelle: Reiderstad Invest</t>
        </is>
      </c>
    </row>
    <row r="4103">
      <c r="A4103" t="n">
        <v>3916</v>
      </c>
      <c r="B4103" t="inlineStr">
        <is>
          <t>EXCLUSIVE
Palma - Son Espanyolet
2 bedrooms  •  71 m2  •  1,025,000 € PENTHOUSE - FOR SALE</t>
        </is>
      </c>
      <c r="C4103" t="inlineStr">
        <is>
          <t>https://reiderstadinvest.com/mallorca/palma-son-espanyolet/buy/penthouse/REI1168</t>
        </is>
      </c>
      <c r="E4103" t="n">
        <v>2</v>
      </c>
      <c r="H4103" t="n">
        <v>71</v>
      </c>
      <c r="J4103" t="inlineStr">
        <is>
          <t>Mallorca</t>
        </is>
      </c>
      <c r="AH4103" t="inlineStr">
        <is>
          <t>Quelle: Reiderstad Invest</t>
        </is>
      </c>
    </row>
    <row r="4104">
      <c r="A4104" t="n">
        <v>3917</v>
      </c>
      <c r="B4104" t="inlineStr">
        <is>
          <t>Santa Ponsa
1 bedrooms  •  47 m2  •  525,000 € APARTMENT - FOR SALE</t>
        </is>
      </c>
      <c r="C4104" t="inlineStr">
        <is>
          <t>https://reiderstadinvest.com/mallorca/santa-ponsa/buy/apartment/REI1167</t>
        </is>
      </c>
      <c r="E4104" t="n">
        <v>1</v>
      </c>
      <c r="H4104" t="n">
        <v>47</v>
      </c>
      <c r="J4104" t="inlineStr">
        <is>
          <t>Mallorca</t>
        </is>
      </c>
      <c r="S4104" t="n">
        <v>525000</v>
      </c>
      <c r="T4104" t="n">
        <v>11170</v>
      </c>
      <c r="AH4104" t="inlineStr">
        <is>
          <t>Quelle: Reiderstad Invest</t>
        </is>
      </c>
    </row>
    <row r="4105">
      <c r="A4105" t="n">
        <v>3918</v>
      </c>
      <c r="B4105" t="inlineStr">
        <is>
          <t>Palma - Santa Catalina
4 bedrooms  •  160 m2  •  1,190,000 € PENTHOUSE - FOR SALE</t>
        </is>
      </c>
      <c r="C4105" t="inlineStr">
        <is>
          <t>https://reiderstadinvest.com/mallorca/palma-santa-catalina/buy/penthouse/REI962</t>
        </is>
      </c>
      <c r="E4105" t="n">
        <v>4</v>
      </c>
      <c r="H4105" t="n">
        <v>160</v>
      </c>
      <c r="J4105" t="inlineStr">
        <is>
          <t>Mallorca</t>
        </is>
      </c>
      <c r="AH4105" t="inlineStr">
        <is>
          <t>Quelle: Reiderstad Invest</t>
        </is>
      </c>
    </row>
    <row r="4106">
      <c r="A4106" t="n">
        <v>3919</v>
      </c>
      <c r="B4106" t="inlineStr">
        <is>
          <t>Costa den Blanes
4 bedrooms  •  329 m2  •  3,900,000 € VILLA/FINCA - FOR SALE</t>
        </is>
      </c>
      <c r="C4106" t="inlineStr">
        <is>
          <t>https://reiderstadinvest.com/mallorca/costa-den-blanes/buy/villa/REI1166</t>
        </is>
      </c>
      <c r="E4106" t="n">
        <v>4</v>
      </c>
      <c r="H4106" t="n">
        <v>329</v>
      </c>
      <c r="J4106" t="inlineStr">
        <is>
          <t>Mallorca</t>
        </is>
      </c>
      <c r="AH4106" t="inlineStr">
        <is>
          <t>Quelle: Reiderstad Invest</t>
        </is>
      </c>
    </row>
    <row r="4107">
      <c r="A4107" t="n">
        <v>3920</v>
      </c>
      <c r="B4107" t="inlineStr">
        <is>
          <t>Santa Ponsa
2 bedrooms  •  72 m2  •  1,750,000 € PENTHOUSE - FOR SALE</t>
        </is>
      </c>
      <c r="C4107" t="inlineStr">
        <is>
          <t>https://reiderstadinvest.com/mallorca/santa-ponsa/buy/penthouse/REI1164</t>
        </is>
      </c>
      <c r="E4107" t="n">
        <v>2</v>
      </c>
      <c r="H4107" t="n">
        <v>72</v>
      </c>
      <c r="J4107" t="inlineStr">
        <is>
          <t>Mallorca</t>
        </is>
      </c>
      <c r="AH4107" t="inlineStr">
        <is>
          <t>Quelle: Reiderstad Invest</t>
        </is>
      </c>
    </row>
    <row r="4108">
      <c r="A4108" t="n">
        <v>3921</v>
      </c>
      <c r="B4108" t="inlineStr">
        <is>
          <t>EXCLUSIVE
San Agustin
4 bedrooms  •  148 m2  •  3,790,000 € PENTHOUSE - FOR SALE</t>
        </is>
      </c>
      <c r="C4108" t="inlineStr">
        <is>
          <t>https://reiderstadinvest.com/mallorca/san-agustin/buy/penthouse/REI1163</t>
        </is>
      </c>
      <c r="E4108" t="n">
        <v>4</v>
      </c>
      <c r="H4108" t="n">
        <v>148</v>
      </c>
      <c r="J4108" t="inlineStr">
        <is>
          <t>Mallorca</t>
        </is>
      </c>
      <c r="AH4108" t="inlineStr">
        <is>
          <t>Quelle: Reiderstad Invest</t>
        </is>
      </c>
    </row>
    <row r="4109">
      <c r="A4109" t="n">
        <v>3922</v>
      </c>
      <c r="B4109" t="inlineStr">
        <is>
          <t>Palma - Son Rapinya
8 bedrooms  •  507 m2  •  3,950,000 € VILLA/FINCA - FOR SALE</t>
        </is>
      </c>
      <c r="C4109" t="inlineStr">
        <is>
          <t>https://reiderstadinvest.com/mallorca/palma-son-rapinya/buy/villa/REI1162</t>
        </is>
      </c>
      <c r="E4109" t="n">
        <v>8</v>
      </c>
      <c r="H4109" t="n">
        <v>507</v>
      </c>
      <c r="J4109" t="inlineStr">
        <is>
          <t>Mallorca</t>
        </is>
      </c>
      <c r="K4109" t="n">
        <v>47.4</v>
      </c>
      <c r="L4109" t="n">
        <v>40</v>
      </c>
      <c r="M4109" t="n">
        <v>51.8</v>
      </c>
      <c r="N4109" t="n">
        <v>55</v>
      </c>
      <c r="O4109" t="n">
        <v>70</v>
      </c>
      <c r="P4109" t="n">
        <v>56</v>
      </c>
      <c r="Q4109" t="n">
        <v>49.5</v>
      </c>
      <c r="R4109" t="n">
        <v>51</v>
      </c>
      <c r="AH4109" t="inlineStr">
        <is>
          <t>Quelle: Reiderstad Invest</t>
        </is>
      </c>
    </row>
    <row r="4110">
      <c r="A4110" t="n">
        <v>3923</v>
      </c>
      <c r="B4110" t="inlineStr">
        <is>
          <t>Cala Major
2 bedrooms  •  84 m2  •  1,450,000 € APARTMENT - FOR SALE</t>
        </is>
      </c>
      <c r="C4110" t="inlineStr">
        <is>
          <t>https://reiderstadinvest.com/mallorca/cala-major/buy/apartment/REI1160</t>
        </is>
      </c>
      <c r="E4110" t="n">
        <v>2</v>
      </c>
      <c r="H4110" t="n">
        <v>84</v>
      </c>
      <c r="J4110" t="inlineStr">
        <is>
          <t>Mallorca</t>
        </is>
      </c>
      <c r="AH4110" t="inlineStr">
        <is>
          <t>Quelle: Reiderstad Invest</t>
        </is>
      </c>
    </row>
    <row r="4111">
      <c r="A4111" t="n">
        <v>3924</v>
      </c>
      <c r="B4111" t="inlineStr">
        <is>
          <t>Cala Major
2 bedrooms  •  105 m2  •  1,995,000 € PENTHOUSE - FOR SALE</t>
        </is>
      </c>
      <c r="C4111" t="inlineStr">
        <is>
          <t>https://reiderstadinvest.com/mallorca/cala-major/buy/penthouse/REI1159</t>
        </is>
      </c>
      <c r="E4111" t="n">
        <v>2</v>
      </c>
      <c r="H4111" t="n">
        <v>105</v>
      </c>
      <c r="J4111" t="inlineStr">
        <is>
          <t>Mallorca</t>
        </is>
      </c>
      <c r="AH4111" t="inlineStr">
        <is>
          <t>Quelle: Reiderstad Invest</t>
        </is>
      </c>
    </row>
    <row r="4112">
      <c r="A4112" t="n">
        <v>3925</v>
      </c>
      <c r="B4112" t="inlineStr">
        <is>
          <t>Instagram</t>
        </is>
      </c>
      <c r="C4112" t="inlineStr">
        <is>
          <t>https://www.instagram.com/reiderstadinvest_mallorca/</t>
        </is>
      </c>
      <c r="J4112" t="inlineStr">
        <is>
          <t>Mallorca</t>
        </is>
      </c>
      <c r="AH4112" t="inlineStr">
        <is>
          <t>Quelle: Reiderstad Invest</t>
        </is>
      </c>
    </row>
    <row r="4113">
      <c r="A4113" t="n">
        <v>3926</v>
      </c>
      <c r="B4113" t="inlineStr">
        <is>
          <t>EN</t>
        </is>
      </c>
      <c r="C4113" t="inlineStr">
        <is>
          <t>https://reiderstadinvest.com/mallorca/properties/</t>
        </is>
      </c>
      <c r="J4113" t="inlineStr">
        <is>
          <t>Mallorca</t>
        </is>
      </c>
      <c r="AH4113" t="inlineStr">
        <is>
          <t>Quelle: Reiderstad Invest</t>
        </is>
      </c>
    </row>
    <row r="4114">
      <c r="A4114" t="n">
        <v>3927</v>
      </c>
      <c r="B4114" t="inlineStr">
        <is>
          <t>SE</t>
        </is>
      </c>
      <c r="C4114" t="inlineStr">
        <is>
          <t>https://reiderstadinvest.com/se/mallorca/properties/</t>
        </is>
      </c>
      <c r="J4114" t="inlineStr">
        <is>
          <t>Mallorca</t>
        </is>
      </c>
      <c r="AH4114" t="inlineStr">
        <is>
          <t>Quelle: Reiderstad Invest</t>
        </is>
      </c>
    </row>
    <row r="4115">
      <c r="A4115" t="n">
        <v>3928</v>
      </c>
      <c r="B4115" t="inlineStr">
        <is>
          <t>DE</t>
        </is>
      </c>
      <c r="C4115" t="inlineStr">
        <is>
          <t>https://reiderstadinvest.com/de/mallorca/properties/</t>
        </is>
      </c>
      <c r="J4115" t="inlineStr">
        <is>
          <t>Mallorca</t>
        </is>
      </c>
      <c r="AH4115" t="inlineStr">
        <is>
          <t>Quelle: Reiderstad Invest</t>
        </is>
      </c>
    </row>
    <row r="4116">
      <c r="A4116" t="n">
        <v>3929</v>
      </c>
      <c r="B4116" t="inlineStr">
        <is>
          <t>ES</t>
        </is>
      </c>
      <c r="C4116" t="inlineStr">
        <is>
          <t>https://reiderstadinvest.com/es/mallorca/properties/</t>
        </is>
      </c>
      <c r="J4116" t="inlineStr">
        <is>
          <t>Mallorca</t>
        </is>
      </c>
      <c r="AH4116" t="inlineStr">
        <is>
          <t>Quelle: Reiderstad Invest</t>
        </is>
      </c>
    </row>
    <row r="4117">
      <c r="A4117" t="n">
        <v>3930</v>
      </c>
      <c r="B4117" t="inlineStr">
        <is>
          <t>Mallorca Buying Guide</t>
        </is>
      </c>
      <c r="C4117" t="inlineStr">
        <is>
          <t>https://reiderstadinvest.com/area/tips-for-first-time-home-buyers-mallorca/</t>
        </is>
      </c>
      <c r="J4117" t="inlineStr">
        <is>
          <t>Mallorca</t>
        </is>
      </c>
      <c r="AH4117" t="inlineStr">
        <is>
          <t>Quelle: Reiderstad Invest</t>
        </is>
      </c>
    </row>
    <row r="4118">
      <c r="A4118" t="n">
        <v>3931</v>
      </c>
      <c r="B4118" t="inlineStr">
        <is>
          <t>Alcudia Mallorca Illes Balears</t>
        </is>
      </c>
      <c r="C4118" t="inlineStr">
        <is>
          <t>https://www.knightfrank.com/properties/residential/for-sale/alcudia-mallorca-illes-balears/rsi012436381</t>
        </is>
      </c>
      <c r="J4118" t="inlineStr">
        <is>
          <t>Alcudia Mallorca Illes Balears</t>
        </is>
      </c>
      <c r="AH4118" t="inlineStr">
        <is>
          <t>Quelle: Knight Frank</t>
        </is>
      </c>
    </row>
    <row r="4119">
      <c r="A4119" t="n">
        <v>3932</v>
      </c>
      <c r="B4119" t="inlineStr">
        <is>
          <t>Deia Mallorca Illes Balears</t>
        </is>
      </c>
      <c r="C4119" t="inlineStr">
        <is>
          <t>https://www.knightfrank.com/properties/residential/for-sale/deia-mallorca-illes-balears/rsi012491948</t>
        </is>
      </c>
      <c r="J4119" t="inlineStr">
        <is>
          <t>Deia Mallorca Illes Balears</t>
        </is>
      </c>
      <c r="AH4119" t="inlineStr">
        <is>
          <t>Quelle: Knight Frank</t>
        </is>
      </c>
    </row>
    <row r="4120">
      <c r="A4120" t="n">
        <v>3933</v>
      </c>
      <c r="B4120" t="inlineStr">
        <is>
          <t>Santanyi Mallorca Illes Balears</t>
        </is>
      </c>
      <c r="C4120" t="inlineStr">
        <is>
          <t>https://www.knightfrank.com/properties/residential/for-sale/santanyi-mallorca-illes-balears/rsi012433611</t>
        </is>
      </c>
      <c r="J4120" t="inlineStr">
        <is>
          <t>Santanyi Mallorca Illes Balears</t>
        </is>
      </c>
      <c r="AH4120" t="inlineStr">
        <is>
          <t>Quelle: Knight Frank</t>
        </is>
      </c>
    </row>
    <row r="4121">
      <c r="A4121" t="n">
        <v>3934</v>
      </c>
      <c r="B4121" t="inlineStr">
        <is>
          <t>Santanyi Mallorca Illes Balears</t>
        </is>
      </c>
      <c r="C4121" t="inlineStr">
        <is>
          <t>https://www.knightfrank.com/properties/residential/for-sale/santanyi-mallorca-illes-balears/rsi012457940</t>
        </is>
      </c>
      <c r="J4121" t="inlineStr">
        <is>
          <t>Santanyi Mallorca Illes Balears</t>
        </is>
      </c>
      <c r="AH4121" t="inlineStr">
        <is>
          <t>Quelle: Knight Frank</t>
        </is>
      </c>
    </row>
    <row r="4122">
      <c r="A4122" t="n">
        <v>3935</v>
      </c>
      <c r="B4122" t="inlineStr">
        <is>
          <t>S Almunia Mallorca Illes Balears</t>
        </is>
      </c>
      <c r="C4122" t="inlineStr">
        <is>
          <t>https://www.knightfrank.com/properties/residential/for-sale/s-almunia-mallorca-illes-balears/rsi012402414</t>
        </is>
      </c>
      <c r="J4122" t="inlineStr">
        <is>
          <t>S Almunia Mallorca Illes Balears</t>
        </is>
      </c>
      <c r="AH4122" t="inlineStr">
        <is>
          <t>Quelle: Knight Frank</t>
        </is>
      </c>
    </row>
    <row r="4123">
      <c r="A4123" t="n">
        <v>3936</v>
      </c>
      <c r="B4123" t="inlineStr">
        <is>
          <t>Port Andratx Mallorca Illes Balears</t>
        </is>
      </c>
      <c r="C4123" t="inlineStr">
        <is>
          <t>https://www.knightfrank.com/properties/residential/for-sale/port-andratx-mallorca-illes-balears/rsi012602332</t>
        </is>
      </c>
      <c r="J4123" t="inlineStr">
        <is>
          <t>Port Andratx Mallorca Illes Balears</t>
        </is>
      </c>
      <c r="AH4123" t="inlineStr">
        <is>
          <t>Quelle: Knight Frank</t>
        </is>
      </c>
    </row>
    <row r="4124">
      <c r="A4124" t="n">
        <v>3937</v>
      </c>
      <c r="B4124" t="inlineStr">
        <is>
          <t>Soller Mallorca Illes Balears</t>
        </is>
      </c>
      <c r="C4124" t="inlineStr">
        <is>
          <t>https://www.knightfrank.com/properties/residential/for-sale/soller-mallorca-illes-balears/rsi012591157</t>
        </is>
      </c>
      <c r="J4124" t="inlineStr">
        <is>
          <t>Soller Mallorca Illes Balears</t>
        </is>
      </c>
      <c r="AH4124" t="inlineStr">
        <is>
          <t>Quelle: Knight Frank</t>
        </is>
      </c>
    </row>
    <row r="4125">
      <c r="A4125" t="n">
        <v>3938</v>
      </c>
      <c r="B4125" t="inlineStr">
        <is>
          <t>Capdepera Mallorca Illes Balears</t>
        </is>
      </c>
      <c r="C4125" t="inlineStr">
        <is>
          <t>https://www.knightfrank.com/properties/residential/for-sale/capdepera-mallorca-illes-balears/rsi012571348</t>
        </is>
      </c>
      <c r="J4125" t="inlineStr">
        <is>
          <t>Capdepera Mallorca Illes Balears</t>
        </is>
      </c>
      <c r="AH4125" t="inlineStr">
        <is>
          <t>Quelle: Knight Frank</t>
        </is>
      </c>
    </row>
    <row r="4126">
      <c r="A4126" t="n">
        <v>3939</v>
      </c>
      <c r="B4126" t="inlineStr">
        <is>
          <t>Port Andratx Mallorca Illes Balears</t>
        </is>
      </c>
      <c r="C4126" t="inlineStr">
        <is>
          <t>https://www.knightfrank.com/properties/residential/for-sale/port-andratx-mallorca-illes-balears/rsi012535880</t>
        </is>
      </c>
      <c r="J4126" t="inlineStr">
        <is>
          <t>Port Andratx Mallorca Illes Balears</t>
        </is>
      </c>
      <c r="AH4126" t="inlineStr">
        <is>
          <t>Quelle: Knight Frank</t>
        </is>
      </c>
    </row>
    <row r="4127">
      <c r="A4127" t="n">
        <v>3940</v>
      </c>
      <c r="B4127" t="inlineStr">
        <is>
          <t>Soller Mallorca Illess Balears</t>
        </is>
      </c>
      <c r="C4127" t="inlineStr">
        <is>
          <t>https://www.knightfrank.com/properties/residential/for-sale/soller-mallorca-illess-balears/rsi012594825</t>
        </is>
      </c>
      <c r="J4127" t="inlineStr">
        <is>
          <t>Soller Mallorca Illess Balears</t>
        </is>
      </c>
      <c r="AH4127" t="inlineStr">
        <is>
          <t>Quelle: Knight Frank</t>
        </is>
      </c>
    </row>
    <row r="4128">
      <c r="A4128" t="n">
        <v>3941</v>
      </c>
      <c r="B4128" t="inlineStr">
        <is>
          <t>Puerto Portals Mallorca Illes Balears</t>
        </is>
      </c>
      <c r="C4128" t="inlineStr">
        <is>
          <t>https://www.knightfrank.com/properties/residential/for-sale/puerto-portals-mallorca-illes-balears/rsi012565289</t>
        </is>
      </c>
      <c r="J4128" t="inlineStr">
        <is>
          <t>Puerto Portals Mallorca Illes Balears</t>
        </is>
      </c>
      <c r="AH4128" t="inlineStr">
        <is>
          <t>Quelle: Knight Frank</t>
        </is>
      </c>
    </row>
    <row r="4129">
      <c r="A4129" t="n">
        <v>3942</v>
      </c>
      <c r="B4129" t="inlineStr">
        <is>
          <t>Townhouse for sale in Artà, under consutrction with garden, terraces and communal pool</t>
        </is>
      </c>
      <c r="C4129" t="inlineStr">
        <is>
          <t>https://www.pollentiaproperties.com/en/property/id/962704-townhouse-for-sale-arta-under-consutrction-garden-terraces-communal-pool</t>
        </is>
      </c>
      <c r="E4129" t="n">
        <v>3</v>
      </c>
      <c r="G4129" t="n">
        <v>50</v>
      </c>
      <c r="H4129" t="n">
        <v>151</v>
      </c>
      <c r="J4129" t="inlineStr">
        <is>
          <t>Artà</t>
        </is>
      </c>
      <c r="S4129" t="n">
        <v>888000</v>
      </c>
      <c r="T4129" t="n">
        <v>5881</v>
      </c>
      <c r="U4129" t="n">
        <v>17760</v>
      </c>
      <c r="AH4129" t="inlineStr">
        <is>
          <t>Quelle: Pollentia Properties</t>
        </is>
      </c>
    </row>
    <row r="4130">
      <c r="A4130" t="n">
        <v>3943</v>
      </c>
      <c r="B4130" t="inlineStr">
        <is>
          <t>Townhouse for sale in Artà, under consutrction with garden, terraces and communal pool</t>
        </is>
      </c>
      <c r="C4130" t="inlineStr">
        <is>
          <t>https://www.pollentiaproperties.com/en/property/id/962692-townhouse-for-sale-arta-under-consutrction-garden-terraces-communal-pool</t>
        </is>
      </c>
      <c r="E4130" t="n">
        <v>3</v>
      </c>
      <c r="G4130" t="n">
        <v>50</v>
      </c>
      <c r="H4130" t="n">
        <v>151</v>
      </c>
      <c r="J4130" t="inlineStr">
        <is>
          <t>Artà</t>
        </is>
      </c>
      <c r="S4130" t="n">
        <v>892000</v>
      </c>
      <c r="T4130" t="n">
        <v>5907</v>
      </c>
      <c r="U4130" t="n">
        <v>17840</v>
      </c>
      <c r="AH4130" t="inlineStr">
        <is>
          <t>Quelle: Pollentia Properties</t>
        </is>
      </c>
    </row>
    <row r="4131">
      <c r="A4131" t="n">
        <v>3944</v>
      </c>
      <c r="B4131" t="inlineStr">
        <is>
          <t>Townhouse for sale in Pollença with pool, terrace and garage</t>
        </is>
      </c>
      <c r="C4131" t="inlineStr">
        <is>
          <t>https://www.pollentiaproperties.com/en/property/id/962544-townhouse-for-sale-pollensa-pool-terrace-garage</t>
        </is>
      </c>
      <c r="E4131" t="n">
        <v>3</v>
      </c>
      <c r="G4131" t="n">
        <v>120</v>
      </c>
      <c r="H4131" t="n">
        <v>143</v>
      </c>
      <c r="J4131" t="inlineStr">
        <is>
          <t>El Calvari</t>
        </is>
      </c>
      <c r="S4131" t="n">
        <v>990000</v>
      </c>
      <c r="T4131" t="n">
        <v>6923</v>
      </c>
      <c r="U4131" t="n">
        <v>8250</v>
      </c>
      <c r="AH4131" t="inlineStr">
        <is>
          <t>Quelle: Pollentia Properties</t>
        </is>
      </c>
    </row>
    <row r="4132">
      <c r="A4132" t="n">
        <v>3945</v>
      </c>
      <c r="B4132" t="inlineStr">
        <is>
          <t>Country house for sale in Manacor with all amenities on large plot</t>
        </is>
      </c>
      <c r="C4132" t="inlineStr">
        <is>
          <t>https://www.pollentiaproperties.com/en/property/id/962328-country-house-for-sale-manacor-all-amenities-large-plot-fabulous-location</t>
        </is>
      </c>
      <c r="E4132" t="n">
        <v>5</v>
      </c>
      <c r="G4132" t="n">
        <v>18</v>
      </c>
      <c r="H4132" t="n">
        <v>493</v>
      </c>
      <c r="J4132" t="inlineStr">
        <is>
          <t>Manacor</t>
        </is>
      </c>
      <c r="K4132" t="n">
        <v>49.2</v>
      </c>
      <c r="L4132" t="n">
        <v>44</v>
      </c>
      <c r="M4132" t="n">
        <v>40.3</v>
      </c>
      <c r="N4132" t="n">
        <v>45</v>
      </c>
      <c r="O4132" t="n">
        <v>83.40000000000001</v>
      </c>
      <c r="P4132" t="n">
        <v>68</v>
      </c>
      <c r="Q4132" t="n">
        <v>38</v>
      </c>
      <c r="R4132" t="n">
        <v>41</v>
      </c>
      <c r="S4132" t="n">
        <v>1998000</v>
      </c>
      <c r="T4132" t="n">
        <v>4053</v>
      </c>
      <c r="U4132" t="n">
        <v>111000</v>
      </c>
      <c r="AH4132" t="inlineStr">
        <is>
          <t>Quelle: Pollentia Properties</t>
        </is>
      </c>
    </row>
    <row r="4133">
      <c r="A4133" t="n">
        <v>3946</v>
      </c>
      <c r="B4133" t="inlineStr">
        <is>
          <t>Building plot for sale  in Son Toni, Sa Pobla for building a villa with pool</t>
        </is>
      </c>
      <c r="C4133" t="inlineStr">
        <is>
          <t>https://www.pollentiaproperties.com/en/property/id/962324-building-plot-for-sale-son-toni-sa-pobla-potential-villa-pool</t>
        </is>
      </c>
      <c r="G4133" t="n">
        <v>2</v>
      </c>
      <c r="J4133" t="inlineStr">
        <is>
          <t>Pollença</t>
        </is>
      </c>
      <c r="S4133" t="n">
        <v>365000</v>
      </c>
      <c r="U4133" t="n">
        <v>182500</v>
      </c>
      <c r="AH4133" t="inlineStr">
        <is>
          <t>Quelle: Pollentia Properties</t>
        </is>
      </c>
    </row>
    <row r="4134">
      <c r="A4134" t="n">
        <v>3947</v>
      </c>
      <c r="B4134" t="inlineStr">
        <is>
          <t>Apartment for sale in Palma newly built in prime central location</t>
        </is>
      </c>
      <c r="C4134" t="inlineStr">
        <is>
          <t>https://www.pollentiaproperties.com/en/property/id/961856-apartment-for-sale-palma-prime-location-top-quality-large-terrace</t>
        </is>
      </c>
      <c r="E4134" t="n">
        <v>3</v>
      </c>
      <c r="H4134" t="n">
        <v>135</v>
      </c>
      <c r="J4134" t="inlineStr">
        <is>
          <t>Palma de Mallorca</t>
        </is>
      </c>
      <c r="S4134" t="n">
        <v>990000</v>
      </c>
      <c r="T4134" t="n">
        <v>7333</v>
      </c>
      <c r="AH4134" t="inlineStr">
        <is>
          <t>Quelle: Pollentia Properties</t>
        </is>
      </c>
    </row>
    <row r="4135">
      <c r="A4135" t="n">
        <v>3948</v>
      </c>
      <c r="B4135" t="inlineStr">
        <is>
          <t>Apartment for sale in Palma newly built in prime central location</t>
        </is>
      </c>
      <c r="C4135" t="inlineStr">
        <is>
          <t>https://www.pollentiaproperties.com/en/property/id/961855-apartment-for-sale-palma-prime-location-top-quality-large-terrace</t>
        </is>
      </c>
      <c r="E4135" t="n">
        <v>3</v>
      </c>
      <c r="H4135" t="n">
        <v>135</v>
      </c>
      <c r="J4135" t="inlineStr">
        <is>
          <t>Palma de Mallorca</t>
        </is>
      </c>
      <c r="S4135" t="n">
        <v>990000</v>
      </c>
      <c r="T4135" t="n">
        <v>7333</v>
      </c>
      <c r="AH4135" t="inlineStr">
        <is>
          <t>Quelle: Pollentia Properties</t>
        </is>
      </c>
    </row>
    <row r="4136">
      <c r="A4136" t="n">
        <v>3949</v>
      </c>
      <c r="B4136" t="inlineStr">
        <is>
          <t>Penthouse for sale in Palma with elegant and top quality interior</t>
        </is>
      </c>
      <c r="C4136" t="inlineStr">
        <is>
          <t>https://www.pollentiaproperties.com/en/property/id/961854-penthouse-for-sale-palma-new-build-high-quality-rooftop-terrace</t>
        </is>
      </c>
      <c r="E4136" t="n">
        <v>3</v>
      </c>
      <c r="H4136" t="n">
        <v>135</v>
      </c>
      <c r="J4136" t="inlineStr">
        <is>
          <t>Palma de Mallorca</t>
        </is>
      </c>
      <c r="K4136" t="n">
        <v>9.699999999999999</v>
      </c>
      <c r="L4136" t="n">
        <v>14</v>
      </c>
      <c r="M4136" t="n">
        <v>52.5</v>
      </c>
      <c r="N4136" t="n">
        <v>47</v>
      </c>
      <c r="O4136" t="n">
        <v>32.1</v>
      </c>
      <c r="P4136" t="n">
        <v>36</v>
      </c>
      <c r="Q4136" t="n">
        <v>50.2</v>
      </c>
      <c r="R4136" t="n">
        <v>44</v>
      </c>
      <c r="S4136" t="n">
        <v>1395000</v>
      </c>
      <c r="T4136" t="n">
        <v>10333</v>
      </c>
      <c r="AH4136" t="inlineStr">
        <is>
          <t>Quelle: Pollentia Properties</t>
        </is>
      </c>
    </row>
    <row r="4137">
      <c r="A4137" t="n">
        <v>3950</v>
      </c>
      <c r="B4137" t="inlineStr">
        <is>
          <t>Country plot for sale in Santa María del Camí with project and license</t>
        </is>
      </c>
      <c r="C4137" t="inlineStr">
        <is>
          <t>https://www.pollentiaproperties.com/en/property/id/961721-country-plot-for-sale-santa-maria-del-cami-project-license-included</t>
        </is>
      </c>
      <c r="E4137" t="n">
        <v>3</v>
      </c>
      <c r="G4137" t="n">
        <v>14</v>
      </c>
      <c r="J4137" t="inlineStr">
        <is>
          <t>Santa Maria del Camí</t>
        </is>
      </c>
      <c r="S4137" t="n">
        <v>790000</v>
      </c>
      <c r="U4137" t="n">
        <v>56429</v>
      </c>
      <c r="AH4137" t="inlineStr">
        <is>
          <t>Quelle: Pollentia Properties</t>
        </is>
      </c>
    </row>
    <row r="4138">
      <c r="A4138" t="n">
        <v>3951</v>
      </c>
      <c r="B4138" t="inlineStr">
        <is>
          <t>Townhouse for sale in La Vileta, renovated with private garden and communal pool</t>
        </is>
      </c>
      <c r="C4138" t="inlineStr">
        <is>
          <t>https://www.pollentiaproperties.com/en/property/id/961027-townhouse-for-sale-la-vileta-palma-garden-pool-renovated</t>
        </is>
      </c>
      <c r="E4138" t="n">
        <v>4</v>
      </c>
      <c r="G4138" t="n">
        <v>100</v>
      </c>
      <c r="H4138" t="n">
        <v>218</v>
      </c>
      <c r="J4138" t="inlineStr">
        <is>
          <t>La Vileta</t>
        </is>
      </c>
      <c r="K4138" t="n">
        <v>18.8</v>
      </c>
      <c r="L4138" t="n">
        <v>21</v>
      </c>
      <c r="M4138" t="n">
        <v>61.6</v>
      </c>
      <c r="N4138" t="n">
        <v>54</v>
      </c>
      <c r="O4138" t="n">
        <v>30.7</v>
      </c>
      <c r="P4138" t="n">
        <v>30</v>
      </c>
      <c r="Q4138" t="n">
        <v>59.3</v>
      </c>
      <c r="R4138" t="n">
        <v>51</v>
      </c>
      <c r="S4138" t="n">
        <v>1150000</v>
      </c>
      <c r="T4138" t="n">
        <v>5275</v>
      </c>
      <c r="U4138" t="n">
        <v>11500</v>
      </c>
      <c r="AH4138" t="inlineStr">
        <is>
          <t>Quelle: Pollentia Properties</t>
        </is>
      </c>
    </row>
    <row r="4139">
      <c r="A4139" t="n">
        <v>3952</v>
      </c>
      <c r="B4139" t="inlineStr">
        <is>
          <t>Town house for sale in Alcudia reinventing space. light and lifestyle</t>
        </is>
      </c>
      <c r="C4139" t="inlineStr">
        <is>
          <t>https://www.pollentiaproperties.com/en/property/id/960910-town-house-for-sale-alcudia-reinventing-space-light-lifestyle</t>
        </is>
      </c>
      <c r="E4139" t="n">
        <v>3</v>
      </c>
      <c r="G4139" t="n">
        <v>170</v>
      </c>
      <c r="H4139" t="n">
        <v>125</v>
      </c>
      <c r="J4139" t="inlineStr">
        <is>
          <t>Alcudia Pueblo</t>
        </is>
      </c>
      <c r="S4139" t="n">
        <v>899000</v>
      </c>
      <c r="T4139" t="n">
        <v>7192</v>
      </c>
      <c r="U4139" t="n">
        <v>5288</v>
      </c>
      <c r="AH4139" t="inlineStr">
        <is>
          <t>Quelle: Pollentia Properties</t>
        </is>
      </c>
    </row>
    <row r="4140">
      <c r="A4140" t="n">
        <v>3953</v>
      </c>
      <c r="B4140" t="inlineStr">
        <is>
          <t>Penthouse apartment for sale in El Molinar in coastal location</t>
        </is>
      </c>
      <c r="C4140" t="inlineStr">
        <is>
          <t>https://www.pollentiaproperties.com/en/property/id/960473-penthouse-apartment-for-sale-el-molinar-renovated-throughout-coastal-location</t>
        </is>
      </c>
      <c r="E4140" t="n">
        <v>2</v>
      </c>
      <c r="H4140" t="n">
        <v>245</v>
      </c>
      <c r="J4140" t="inlineStr">
        <is>
          <t>El Molinar</t>
        </is>
      </c>
      <c r="S4140" t="n">
        <v>860000</v>
      </c>
      <c r="T4140" t="n">
        <v>3510</v>
      </c>
      <c r="AH4140" t="inlineStr">
        <is>
          <t>Quelle: Pollentia Properties</t>
        </is>
      </c>
    </row>
    <row r="4141">
      <c r="A4141" t="n">
        <v>3954</v>
      </c>
      <c r="B4141" t="inlineStr">
        <is>
          <t>Town house for sale in Bunyola creative renovation with traditional elements</t>
        </is>
      </c>
      <c r="C4141" t="inlineStr">
        <is>
          <t>https://www.pollentiaproperties.com/en/property/id/960206-town-house-for-sale-bunyola-creative-renovation-traditional-elements</t>
        </is>
      </c>
      <c r="E4141" t="n">
        <v>3</v>
      </c>
      <c r="G4141" t="n">
        <v>132</v>
      </c>
      <c r="H4141" t="n">
        <v>240</v>
      </c>
      <c r="J4141" t="inlineStr">
        <is>
          <t>Bunyola</t>
        </is>
      </c>
      <c r="K4141" t="n">
        <v>26.3</v>
      </c>
      <c r="L4141" t="n">
        <v>25</v>
      </c>
      <c r="M4141" t="n">
        <v>69.09999999999999</v>
      </c>
      <c r="N4141" t="n">
        <v>58</v>
      </c>
      <c r="O4141" t="n">
        <v>48.9</v>
      </c>
      <c r="P4141" t="n">
        <v>41</v>
      </c>
      <c r="Q4141" t="n">
        <v>66.8</v>
      </c>
      <c r="R4141" t="n">
        <v>54</v>
      </c>
      <c r="S4141" t="n">
        <v>2200000</v>
      </c>
      <c r="T4141" t="n">
        <v>9167</v>
      </c>
      <c r="U4141" t="n">
        <v>16667</v>
      </c>
      <c r="AH4141" t="inlineStr">
        <is>
          <t>Quelle: Pollentia Properties</t>
        </is>
      </c>
    </row>
    <row r="4142">
      <c r="A4142" t="n">
        <v>3955</v>
      </c>
      <c r="B4142" t="inlineStr">
        <is>
          <t>Villa for sale in Alcanada, great opportunity in amazing location</t>
        </is>
      </c>
      <c r="C4142" t="inlineStr">
        <is>
          <t>https://www.pollentiaproperties.com/en/property/id/959726-villas-for-sale-aucanada-new-build-luxury-features-private-pool</t>
        </is>
      </c>
      <c r="E4142" t="n">
        <v>3</v>
      </c>
      <c r="G4142" t="n">
        <v>470</v>
      </c>
      <c r="H4142" t="n">
        <v>270</v>
      </c>
      <c r="J4142" t="inlineStr">
        <is>
          <t>Alcanada</t>
        </is>
      </c>
      <c r="K4142" t="n">
        <v>64.2</v>
      </c>
      <c r="L4142" t="n">
        <v>48</v>
      </c>
      <c r="M4142" t="n">
        <v>82.3</v>
      </c>
      <c r="N4142" t="n">
        <v>75</v>
      </c>
      <c r="O4142" t="n">
        <v>86.8</v>
      </c>
      <c r="P4142" t="n">
        <v>64</v>
      </c>
      <c r="Q4142" t="n">
        <v>80</v>
      </c>
      <c r="R4142" t="n">
        <v>71</v>
      </c>
      <c r="S4142" t="n">
        <v>3150000</v>
      </c>
      <c r="T4142" t="n">
        <v>11667</v>
      </c>
      <c r="U4142" t="n">
        <v>6702</v>
      </c>
      <c r="AH4142" t="inlineStr">
        <is>
          <t>Quelle: Pollentia Properties</t>
        </is>
      </c>
    </row>
    <row r="4143">
      <c r="A4143" t="n">
        <v>3956</v>
      </c>
      <c r="B4143" t="inlineStr">
        <is>
          <t>Villa for sale in Sa Torre, luxury property to be constructed</t>
        </is>
      </c>
      <c r="C4143" t="inlineStr">
        <is>
          <t>https://www.pollentiaproperties.com/en/property/id/959683-villa-for-sale-sa-torre-luxury-property-to-be-constructed</t>
        </is>
      </c>
      <c r="E4143" t="n">
        <v>5</v>
      </c>
      <c r="G4143" t="n">
        <v>1</v>
      </c>
      <c r="H4143" t="n">
        <v>463</v>
      </c>
      <c r="J4143" t="inlineStr">
        <is>
          <t>Sa Torre</t>
        </is>
      </c>
      <c r="K4143" t="n">
        <v>17</v>
      </c>
      <c r="L4143" t="n">
        <v>19</v>
      </c>
      <c r="M4143" t="n">
        <v>41.9</v>
      </c>
      <c r="N4143" t="n">
        <v>41</v>
      </c>
      <c r="O4143" t="n">
        <v>55.2</v>
      </c>
      <c r="P4143" t="n">
        <v>47</v>
      </c>
      <c r="Q4143" t="n">
        <v>39.6</v>
      </c>
      <c r="R4143" t="n">
        <v>38</v>
      </c>
      <c r="S4143" t="n">
        <v>8250000</v>
      </c>
      <c r="T4143" t="n">
        <v>17819</v>
      </c>
      <c r="U4143" t="n">
        <v>8250000</v>
      </c>
      <c r="AH4143" t="inlineStr">
        <is>
          <t>Quelle: Pollentia Properties</t>
        </is>
      </c>
    </row>
    <row r="4144">
      <c r="A4144" t="n">
        <v>3957</v>
      </c>
      <c r="B4144" t="inlineStr">
        <is>
          <t>Town house for sale in Sineu outstandingly restored over four levels</t>
        </is>
      </c>
      <c r="C4144" t="inlineStr">
        <is>
          <t>https://www.pollentiaproperties.com/en/property/id/959658-town-house-for-sale-sineu-outstandingly-restored-terrace-pool</t>
        </is>
      </c>
      <c r="E4144" t="n">
        <v>4</v>
      </c>
      <c r="G4144" t="n">
        <v>276</v>
      </c>
      <c r="H4144" t="n">
        <v>400</v>
      </c>
      <c r="J4144" t="inlineStr">
        <is>
          <t>Sineu</t>
        </is>
      </c>
      <c r="K4144" t="n">
        <v>34.8</v>
      </c>
      <c r="L4144" t="n">
        <v>35</v>
      </c>
      <c r="M4144" t="n">
        <v>42.6</v>
      </c>
      <c r="N4144" t="n">
        <v>44</v>
      </c>
      <c r="O4144" t="n">
        <v>66.59999999999999</v>
      </c>
      <c r="P4144" t="n">
        <v>56</v>
      </c>
      <c r="Q4144" t="n">
        <v>40.3</v>
      </c>
      <c r="R4144" t="n">
        <v>40</v>
      </c>
      <c r="S4144" t="n">
        <v>2590000</v>
      </c>
      <c r="T4144" t="n">
        <v>6475</v>
      </c>
      <c r="U4144" t="n">
        <v>9384</v>
      </c>
      <c r="AH4144" t="inlineStr">
        <is>
          <t>Quelle: Pollentia Properties</t>
        </is>
      </c>
    </row>
    <row r="4145">
      <c r="A4145" t="n">
        <v>3958</v>
      </c>
      <c r="B4145" t="inlineStr">
        <is>
          <t>Townhouse for sale in Puig de Ros with sea views, private pool and roof terrace</t>
        </is>
      </c>
      <c r="C4145" t="inlineStr">
        <is>
          <t>https://www.pollentiaproperties.com/en/property/id/959501-townhouse-for-sale-puigderos-sea-views-private-pool-roof-terrace</t>
        </is>
      </c>
      <c r="E4145" t="n">
        <v>4</v>
      </c>
      <c r="G4145" t="n">
        <v>366</v>
      </c>
      <c r="H4145" t="n">
        <v>190</v>
      </c>
      <c r="J4145" t="inlineStr">
        <is>
          <t>Puig de Ros</t>
        </is>
      </c>
      <c r="K4145" t="n">
        <v>15.6</v>
      </c>
      <c r="L4145" t="n">
        <v>17</v>
      </c>
      <c r="M4145" t="n">
        <v>42.2</v>
      </c>
      <c r="N4145" t="n">
        <v>40</v>
      </c>
      <c r="O4145" t="n">
        <v>53.8</v>
      </c>
      <c r="P4145" t="n">
        <v>44</v>
      </c>
      <c r="Q4145" t="n">
        <v>39.9</v>
      </c>
      <c r="R4145" t="n">
        <v>37</v>
      </c>
      <c r="S4145" t="n">
        <v>1500000</v>
      </c>
      <c r="T4145" t="n">
        <v>7895</v>
      </c>
      <c r="U4145" t="n">
        <v>4098</v>
      </c>
      <c r="AH4145" t="inlineStr">
        <is>
          <t>Quelle: Pollentia Properties</t>
        </is>
      </c>
    </row>
    <row r="4146">
      <c r="A4146" t="n">
        <v>3959</v>
      </c>
      <c r="B4146" t="inlineStr">
        <is>
          <t>Apartment for sale in Santa Catalina area of Palma</t>
        </is>
      </c>
      <c r="C4146" t="inlineStr">
        <is>
          <t>https://www.pollentiaproperties.com/en/property/id/958297-apartment-for-sale-santa-catalina-palma-stylishy-renovated-great-location</t>
        </is>
      </c>
      <c r="E4146" t="n">
        <v>2</v>
      </c>
      <c r="H4146" t="n">
        <v>123</v>
      </c>
      <c r="J4146" t="inlineStr">
        <is>
          <t>Santa Catalina</t>
        </is>
      </c>
      <c r="S4146" t="n">
        <v>675000</v>
      </c>
      <c r="T4146" t="n">
        <v>5488</v>
      </c>
      <c r="AH4146" t="inlineStr">
        <is>
          <t>Quelle: Pollentia Properties</t>
        </is>
      </c>
    </row>
    <row r="4147">
      <c r="A4147" t="n">
        <v>3960</v>
      </c>
      <c r="B4147" t="inlineStr">
        <is>
          <t>Town house for sale in Puerto Pollença with commercial premises</t>
        </is>
      </c>
      <c r="C4147" t="inlineStr">
        <is>
          <t>https://www.pollentiaproperties.com/en/property/id/958268-town-house-for-sale-puerto-pollensa-with-commercial-premises-good-potential</t>
        </is>
      </c>
      <c r="E4147" t="n">
        <v>3</v>
      </c>
      <c r="H4147" t="n">
        <v>304</v>
      </c>
      <c r="J4147" t="inlineStr">
        <is>
          <t>Port de Pollença</t>
        </is>
      </c>
      <c r="K4147" t="n">
        <v>66.90000000000001</v>
      </c>
      <c r="L4147" t="n">
        <v>52</v>
      </c>
      <c r="M4147" t="n">
        <v>85</v>
      </c>
      <c r="N4147" t="n">
        <v>78</v>
      </c>
      <c r="O4147" t="n">
        <v>89.5</v>
      </c>
      <c r="P4147" t="n">
        <v>68</v>
      </c>
      <c r="Q4147" t="n">
        <v>82.7</v>
      </c>
      <c r="R4147" t="n">
        <v>75</v>
      </c>
      <c r="S4147" t="n">
        <v>1000000</v>
      </c>
      <c r="T4147" t="n">
        <v>3289</v>
      </c>
      <c r="AH4147" t="inlineStr">
        <is>
          <t>Quelle: Pollentia Properties</t>
        </is>
      </c>
    </row>
    <row r="4148">
      <c r="A4148" t="n">
        <v>3961</v>
      </c>
      <c r="B4148" t="inlineStr">
        <is>
          <t>Commercial premises for sale in Puerto Pollença with option to purchase townhouse</t>
        </is>
      </c>
      <c r="C4148" t="inlineStr">
        <is>
          <t>https://www.pollentiaproperties.com/en/property/id/958267-commercial-premises-for-sale-puerto-pollensa--option-purchase-townhouse</t>
        </is>
      </c>
      <c r="H4148" t="n">
        <v>205</v>
      </c>
      <c r="J4148" t="inlineStr">
        <is>
          <t>Port de Pollença</t>
        </is>
      </c>
      <c r="S4148" t="n">
        <v>900000</v>
      </c>
      <c r="T4148" t="n">
        <v>4390</v>
      </c>
      <c r="AH4148" t="inlineStr">
        <is>
          <t>Quelle: Pollentia Properties</t>
        </is>
      </c>
    </row>
    <row r="4149">
      <c r="A4149" t="n">
        <v>3962</v>
      </c>
      <c r="B4149" t="inlineStr">
        <is>
          <t>Villa for sale in Santa Ponsa luxury design with sea views</t>
        </is>
      </c>
      <c r="C4149" t="inlineStr">
        <is>
          <t>https://www.pollentiaproperties.com/en/property/id/958258-villa-for-sale-santa-ponsa-luxury-design-panoramic-sea-views</t>
        </is>
      </c>
      <c r="E4149" t="n">
        <v>5</v>
      </c>
      <c r="G4149" t="n">
        <v>1</v>
      </c>
      <c r="H4149" t="n">
        <v>768</v>
      </c>
      <c r="J4149" t="inlineStr">
        <is>
          <t>Santa Ponsa</t>
        </is>
      </c>
      <c r="K4149" t="n">
        <v>31.1</v>
      </c>
      <c r="L4149" t="n">
        <v>28</v>
      </c>
      <c r="M4149" t="n">
        <v>73.90000000000001</v>
      </c>
      <c r="N4149" t="n">
        <v>61</v>
      </c>
      <c r="O4149" t="n">
        <v>15.2</v>
      </c>
      <c r="P4149" t="n">
        <v>19</v>
      </c>
      <c r="Q4149" t="n">
        <v>71.59999999999999</v>
      </c>
      <c r="R4149" t="n">
        <v>57</v>
      </c>
      <c r="S4149" t="n">
        <v>6900000</v>
      </c>
      <c r="T4149" t="n">
        <v>8984</v>
      </c>
      <c r="U4149" t="n">
        <v>6900000</v>
      </c>
      <c r="AH4149" t="inlineStr">
        <is>
          <t>Quelle: Pollentia Properties</t>
        </is>
      </c>
    </row>
    <row r="4150">
      <c r="A4150" t="n">
        <v>3963</v>
      </c>
      <c r="B4150" t="inlineStr">
        <is>
          <t>Townhouse for sale in Port Andratx, Mallorca with sea views, private pool and luxury renovation</t>
        </is>
      </c>
      <c r="C4150" t="inlineStr">
        <is>
          <t>https://www.pollentiaproperties.com/en/property/id/957961-townhouse-for-sale-port-andratx-sea-views-luxury-renovation</t>
        </is>
      </c>
      <c r="E4150" t="n">
        <v>4</v>
      </c>
      <c r="G4150" t="n">
        <v>186</v>
      </c>
      <c r="H4150" t="n">
        <v>123</v>
      </c>
      <c r="J4150" t="inlineStr">
        <is>
          <t>Puerto Andratx</t>
        </is>
      </c>
      <c r="K4150" t="n">
        <v>43.5</v>
      </c>
      <c r="L4150" t="n">
        <v>38</v>
      </c>
      <c r="M4150" t="n">
        <v>86.2</v>
      </c>
      <c r="N4150" t="n">
        <v>71</v>
      </c>
      <c r="O4150" t="n">
        <v>6.3</v>
      </c>
      <c r="P4150" t="n">
        <v>11</v>
      </c>
      <c r="Q4150" t="n">
        <v>83.90000000000001</v>
      </c>
      <c r="R4150" t="n">
        <v>68</v>
      </c>
      <c r="S4150" t="n">
        <v>3580000</v>
      </c>
      <c r="T4150" t="n">
        <v>29106</v>
      </c>
      <c r="U4150" t="n">
        <v>19247</v>
      </c>
      <c r="AH4150" t="inlineStr">
        <is>
          <t>Quelle: Pollentia Properties</t>
        </is>
      </c>
    </row>
    <row r="4151">
      <c r="A4151" t="n">
        <v>3964</v>
      </c>
      <c r="B4151" t="inlineStr">
        <is>
          <t>Apartments for sale in Mallorca for multigenerational living with terraces and contemporary Mediterranean design</t>
        </is>
      </c>
      <c r="C4151" t="inlineStr">
        <is>
          <t>https://www.pollentiaproperties.com/en/property/id/957840-apartments-for-sale-mallorca-multigenerational-living-modern-new-build</t>
        </is>
      </c>
      <c r="E4151" t="n">
        <v>6</v>
      </c>
      <c r="G4151" t="n">
        <v>536</v>
      </c>
      <c r="H4151" t="n">
        <v>565</v>
      </c>
      <c r="J4151" t="inlineStr">
        <is>
          <t>Cala Major</t>
        </is>
      </c>
      <c r="K4151" t="n">
        <v>19.7</v>
      </c>
      <c r="L4151" t="n">
        <v>19</v>
      </c>
      <c r="M4151" t="n">
        <v>62.5</v>
      </c>
      <c r="N4151" t="n">
        <v>52</v>
      </c>
      <c r="O4151" t="n">
        <v>26.3</v>
      </c>
      <c r="P4151" t="n">
        <v>24</v>
      </c>
      <c r="Q4151" t="n">
        <v>60.2</v>
      </c>
      <c r="R4151" t="n">
        <v>48</v>
      </c>
      <c r="S4151" t="n">
        <v>4900000</v>
      </c>
      <c r="T4151" t="n">
        <v>8673</v>
      </c>
      <c r="U4151" t="n">
        <v>9142</v>
      </c>
      <c r="AH4151" t="inlineStr">
        <is>
          <t>Quelle: Pollentia Properties</t>
        </is>
      </c>
    </row>
    <row r="4152">
      <c r="A4152" t="n">
        <v>3965</v>
      </c>
      <c r="B4152" t="inlineStr">
        <is>
          <t>Apartments for sale in Cala Major with high-end design, 2 bedrooms and private outdoor spaces</t>
        </is>
      </c>
      <c r="C4152" t="inlineStr">
        <is>
          <t>https://www.pollentiaproperties.com/en/property/id/957839-apartments-for-sale-cala-major-new-build-2-bed-terrace</t>
        </is>
      </c>
      <c r="E4152" t="n">
        <v>2</v>
      </c>
      <c r="H4152" t="n">
        <v>191</v>
      </c>
      <c r="J4152" t="inlineStr">
        <is>
          <t>Cala Major</t>
        </is>
      </c>
      <c r="K4152" t="n">
        <v>19.7</v>
      </c>
      <c r="L4152" t="n">
        <v>19</v>
      </c>
      <c r="M4152" t="n">
        <v>62.5</v>
      </c>
      <c r="N4152" t="n">
        <v>52</v>
      </c>
      <c r="O4152" t="n">
        <v>26.3</v>
      </c>
      <c r="P4152" t="n">
        <v>24</v>
      </c>
      <c r="Q4152" t="n">
        <v>60.2</v>
      </c>
      <c r="R4152" t="n">
        <v>48</v>
      </c>
      <c r="S4152" t="n">
        <v>1995000</v>
      </c>
      <c r="T4152" t="n">
        <v>10445</v>
      </c>
      <c r="AH4152" t="inlineStr">
        <is>
          <t>Quelle: Pollentia Properties</t>
        </is>
      </c>
    </row>
    <row r="4153">
      <c r="A4153" t="n">
        <v>3966</v>
      </c>
      <c r="B4153" t="inlineStr">
        <is>
          <t>Flats for sale in Cala Major with high quality design, 2 bedrooms and private outdoor areas.</t>
        </is>
      </c>
      <c r="C4153" t="inlineStr">
        <is>
          <t>https://www.pollentiaproperties.com/en/property/id/957838-apartments-for-sale-cala-major-new-build-2-bed-terrace</t>
        </is>
      </c>
      <c r="E4153" t="n">
        <v>2</v>
      </c>
      <c r="H4153" t="n">
        <v>217</v>
      </c>
      <c r="J4153" t="inlineStr">
        <is>
          <t>Cala Major</t>
        </is>
      </c>
      <c r="K4153" t="n">
        <v>19.7</v>
      </c>
      <c r="L4153" t="n">
        <v>19</v>
      </c>
      <c r="M4153" t="n">
        <v>62.5</v>
      </c>
      <c r="N4153" t="n">
        <v>52</v>
      </c>
      <c r="O4153" t="n">
        <v>26.3</v>
      </c>
      <c r="P4153" t="n">
        <v>24</v>
      </c>
      <c r="Q4153" t="n">
        <v>60.2</v>
      </c>
      <c r="R4153" t="n">
        <v>48</v>
      </c>
      <c r="S4153" t="n">
        <v>1450000</v>
      </c>
      <c r="T4153" t="n">
        <v>6682</v>
      </c>
      <c r="AH4153" t="inlineStr">
        <is>
          <t>Quelle: Pollentia Properties</t>
        </is>
      </c>
    </row>
    <row r="4154">
      <c r="A4154" t="n">
        <v>3967</v>
      </c>
      <c r="B4154" t="inlineStr">
        <is>
          <t>Apartments for sale in Cala Major with high-end design, 2 bedrooms and private outdoor spaces</t>
        </is>
      </c>
      <c r="C4154" t="inlineStr">
        <is>
          <t>https://www.pollentiaproperties.com/en/property/id/957836-apartments-for-sale-cala-major-new-build-2-bed-terrace</t>
        </is>
      </c>
      <c r="E4154" t="n">
        <v>2</v>
      </c>
      <c r="H4154" t="n">
        <v>238</v>
      </c>
      <c r="J4154" t="inlineStr">
        <is>
          <t>Cala Major</t>
        </is>
      </c>
      <c r="K4154" t="n">
        <v>19.7</v>
      </c>
      <c r="L4154" t="n">
        <v>19</v>
      </c>
      <c r="M4154" t="n">
        <v>62.5</v>
      </c>
      <c r="N4154" t="n">
        <v>52</v>
      </c>
      <c r="O4154" t="n">
        <v>26.3</v>
      </c>
      <c r="P4154" t="n">
        <v>24</v>
      </c>
      <c r="Q4154" t="n">
        <v>60.2</v>
      </c>
      <c r="R4154" t="n">
        <v>48</v>
      </c>
      <c r="S4154" t="n">
        <v>1500000</v>
      </c>
      <c r="T4154" t="n">
        <v>6303</v>
      </c>
      <c r="AH4154" t="inlineStr">
        <is>
          <t>Quelle: Pollentia Properties</t>
        </is>
      </c>
    </row>
    <row r="4155">
      <c r="A4155" t="n">
        <v>3968</v>
      </c>
      <c r="B4155" t="inlineStr">
        <is>
          <t>Townhouse for sale in Santa Maria del Camí, with private pool</t>
        </is>
      </c>
      <c r="C4155" t="inlineStr">
        <is>
          <t>https://www.pollentiaproperties.com/en/property/id/957680-townhouse-for-sale-santa-maria-cami-beautiful-renovation-terrace-pool</t>
        </is>
      </c>
      <c r="E4155" t="n">
        <v>3</v>
      </c>
      <c r="G4155" t="n">
        <v>129</v>
      </c>
      <c r="H4155" t="n">
        <v>176</v>
      </c>
      <c r="J4155" t="inlineStr">
        <is>
          <t>Santa Maria del Camí</t>
        </is>
      </c>
      <c r="S4155" t="n">
        <v>739000</v>
      </c>
      <c r="T4155" t="n">
        <v>4199</v>
      </c>
      <c r="U4155" t="n">
        <v>5729</v>
      </c>
      <c r="AH4155" t="inlineStr">
        <is>
          <t>Quelle: Pollentia Properties</t>
        </is>
      </c>
    </row>
    <row r="4156">
      <c r="A4156" t="n">
        <v>3969</v>
      </c>
      <c r="B4156" t="inlineStr">
        <is>
          <t>Apartment for sale in Santa Catalina in brand new development</t>
        </is>
      </c>
      <c r="C4156" t="inlineStr">
        <is>
          <t>https://www.pollentiaproperties.com/en/property/id/957567-apartment-for-sale-santa-catalina-brand-new-development</t>
        </is>
      </c>
      <c r="E4156" t="n">
        <v>1</v>
      </c>
      <c r="H4156" t="n">
        <v>82</v>
      </c>
      <c r="J4156" t="inlineStr">
        <is>
          <t>Santa Catalina</t>
        </is>
      </c>
      <c r="S4156" t="n">
        <v>599000</v>
      </c>
      <c r="T4156" t="n">
        <v>7305</v>
      </c>
      <c r="AH4156" t="inlineStr">
        <is>
          <t>Quelle: Pollentia Properties</t>
        </is>
      </c>
    </row>
    <row r="4157">
      <c r="A4157" t="n">
        <v>3970</v>
      </c>
      <c r="B4157" t="inlineStr">
        <is>
          <t>Town house for sale in Puerto Pollensa in prime central location</t>
        </is>
      </c>
      <c r="C4157" t="inlineStr">
        <is>
          <t>https://www.pollentiaproperties.com/en/property/id/957318-town-house-for-sale-puerto-pollensa-prime-central-location-great-potential</t>
        </is>
      </c>
      <c r="E4157" t="n">
        <v>3</v>
      </c>
      <c r="G4157" t="n">
        <v>116</v>
      </c>
      <c r="H4157" t="n">
        <v>99</v>
      </c>
      <c r="J4157" t="inlineStr">
        <is>
          <t>Port de Pollença</t>
        </is>
      </c>
      <c r="S4157" t="n">
        <v>450000</v>
      </c>
      <c r="T4157" t="n">
        <v>4545</v>
      </c>
      <c r="U4157" t="n">
        <v>3879</v>
      </c>
      <c r="AH4157" t="inlineStr">
        <is>
          <t>Quelle: Pollentia Properties</t>
        </is>
      </c>
    </row>
    <row r="4158">
      <c r="A4158" t="n">
        <v>3971</v>
      </c>
      <c r="B4158" t="inlineStr">
        <is>
          <t>Duplex penthouse for sale in Son Dameto in Palma in residential building</t>
        </is>
      </c>
      <c r="C4158" t="inlineStr">
        <is>
          <t>https://www.pollentiaproperties.com/en/property/id/957312-duplex-penthouse-for-sale-son-dameto-palma-residential-building-community-pool</t>
        </is>
      </c>
      <c r="E4158" t="n">
        <v>6</v>
      </c>
      <c r="H4158" t="n">
        <v>370</v>
      </c>
      <c r="J4158" t="inlineStr">
        <is>
          <t>Son Dameto</t>
        </is>
      </c>
      <c r="K4158" t="n">
        <v>14.7</v>
      </c>
      <c r="L4158" t="n">
        <v>16</v>
      </c>
      <c r="M4158" t="n">
        <v>57.5</v>
      </c>
      <c r="N4158" t="n">
        <v>49</v>
      </c>
      <c r="O4158" t="n">
        <v>28.6</v>
      </c>
      <c r="P4158" t="n">
        <v>26</v>
      </c>
      <c r="Q4158" t="n">
        <v>55.2</v>
      </c>
      <c r="R4158" t="n">
        <v>45</v>
      </c>
      <c r="S4158" t="n">
        <v>1350000</v>
      </c>
      <c r="T4158" t="n">
        <v>3649</v>
      </c>
      <c r="AH4158" t="inlineStr">
        <is>
          <t>Quelle: Pollentia Properties</t>
        </is>
      </c>
    </row>
    <row r="4159">
      <c r="A4159" t="n">
        <v>3972</v>
      </c>
      <c r="B4159" t="inlineStr">
        <is>
          <t>Town house for sale in Pollença recently refurbished to a high standard</t>
        </is>
      </c>
      <c r="C4159" t="inlineStr">
        <is>
          <t>https://www.pollentiaproperties.com/en/property/id/956606-town-house-for-sale-pollensa-recently-refurbished-terrace-pool</t>
        </is>
      </c>
      <c r="E4159" t="n">
        <v>5</v>
      </c>
      <c r="G4159" t="n">
        <v>139</v>
      </c>
      <c r="H4159" t="n">
        <v>227</v>
      </c>
      <c r="J4159" t="inlineStr">
        <is>
          <t>Pollença Pueblo</t>
        </is>
      </c>
      <c r="K4159" t="n">
        <v>60.6</v>
      </c>
      <c r="L4159" t="n">
        <v>47</v>
      </c>
      <c r="M4159" t="n">
        <v>78.7</v>
      </c>
      <c r="N4159" t="n">
        <v>74</v>
      </c>
      <c r="O4159" t="n">
        <v>83.2</v>
      </c>
      <c r="P4159" t="n">
        <v>63</v>
      </c>
      <c r="Q4159" t="n">
        <v>76.40000000000001</v>
      </c>
      <c r="R4159" t="n">
        <v>70</v>
      </c>
      <c r="S4159" t="n">
        <v>1295000</v>
      </c>
      <c r="T4159" t="n">
        <v>5705</v>
      </c>
      <c r="U4159" t="n">
        <v>9317</v>
      </c>
      <c r="AH4159" t="inlineStr">
        <is>
          <t>Quelle: Pollentia Properties</t>
        </is>
      </c>
    </row>
    <row r="4160">
      <c r="A4160" t="n">
        <v>3973</v>
      </c>
      <c r="B4160" t="inlineStr">
        <is>
          <t>Townhouse for sale in Muro with patio, pool and Mediterranean charm</t>
        </is>
      </c>
      <c r="C4160" t="inlineStr">
        <is>
          <t>https://www.pollentiaproperties.com/en/property/id/956602-townhouse-for-sale-muro-renovated-19th-century-patio-pool</t>
        </is>
      </c>
      <c r="E4160" t="n">
        <v>4</v>
      </c>
      <c r="G4160" t="n">
        <v>286</v>
      </c>
      <c r="H4160" t="n">
        <v>171</v>
      </c>
      <c r="J4160" t="inlineStr">
        <is>
          <t>Muro</t>
        </is>
      </c>
      <c r="K4160" t="n">
        <v>58.2</v>
      </c>
      <c r="L4160" t="n">
        <v>46</v>
      </c>
      <c r="M4160" t="n">
        <v>60.2</v>
      </c>
      <c r="N4160" t="n">
        <v>64</v>
      </c>
      <c r="O4160" t="n">
        <v>80.8</v>
      </c>
      <c r="P4160" t="n">
        <v>62</v>
      </c>
      <c r="Q4160" t="n">
        <v>57.9</v>
      </c>
      <c r="R4160" t="n">
        <v>61</v>
      </c>
      <c r="S4160" t="n">
        <v>1100000</v>
      </c>
      <c r="T4160" t="n">
        <v>6433</v>
      </c>
      <c r="U4160" t="n">
        <v>3846</v>
      </c>
      <c r="AH4160" t="inlineStr">
        <is>
          <t>Quelle: Pollentia Properties</t>
        </is>
      </c>
    </row>
    <row r="4161">
      <c r="A4161" t="n">
        <v>3974</v>
      </c>
      <c r="B4161" t="inlineStr">
        <is>
          <t>Country house for sale in Llucmajor a true Mediterranean retreat</t>
        </is>
      </c>
      <c r="C4161" t="inlineStr">
        <is>
          <t>https://www.pollentiaproperties.com/en/property/id/956003-country-house-for-sale-llucmajor-garden-pool-idyllic-retreat</t>
        </is>
      </c>
      <c r="E4161" t="n">
        <v>3</v>
      </c>
      <c r="G4161" t="n">
        <v>1</v>
      </c>
      <c r="H4161" t="n">
        <v>255</v>
      </c>
      <c r="J4161" t="inlineStr">
        <is>
          <t>Llucmajor</t>
        </is>
      </c>
      <c r="K4161" t="n">
        <v>22</v>
      </c>
      <c r="L4161" t="n">
        <v>21</v>
      </c>
      <c r="M4161" t="n">
        <v>28.2</v>
      </c>
      <c r="N4161" t="n">
        <v>33</v>
      </c>
      <c r="O4161" t="n">
        <v>60.2</v>
      </c>
      <c r="P4161" t="n">
        <v>48</v>
      </c>
      <c r="Q4161" t="n">
        <v>25.9</v>
      </c>
      <c r="R4161" t="n">
        <v>29</v>
      </c>
      <c r="S4161" t="n">
        <v>1500000</v>
      </c>
      <c r="T4161" t="n">
        <v>5882</v>
      </c>
      <c r="U4161" t="n">
        <v>1500000</v>
      </c>
      <c r="AH4161" t="inlineStr">
        <is>
          <t>Quelle: Pollentia Properties</t>
        </is>
      </c>
    </row>
    <row r="4162">
      <c r="A4162" t="n">
        <v>3975</v>
      </c>
      <c r="B4162" t="inlineStr">
        <is>
          <t>Villa for sale in Puerto Andratx, luxury property with stunning views</t>
        </is>
      </c>
      <c r="C4162" t="inlineStr">
        <is>
          <t>https://www.pollentiaproperties.com/en/property/id/955917-villa-for-sale-puerto-andratx-infinity-pool-rooftop-views</t>
        </is>
      </c>
      <c r="E4162" t="n">
        <v>3</v>
      </c>
      <c r="G4162" t="n">
        <v>1</v>
      </c>
      <c r="H4162" t="n">
        <v>573</v>
      </c>
      <c r="J4162" t="inlineStr">
        <is>
          <t>Puerto Andratx</t>
        </is>
      </c>
      <c r="K4162" t="n">
        <v>43.5</v>
      </c>
      <c r="L4162" t="n">
        <v>38</v>
      </c>
      <c r="M4162" t="n">
        <v>86.2</v>
      </c>
      <c r="N4162" t="n">
        <v>71</v>
      </c>
      <c r="O4162" t="n">
        <v>6.3</v>
      </c>
      <c r="P4162" t="n">
        <v>11</v>
      </c>
      <c r="Q4162" t="n">
        <v>83.90000000000001</v>
      </c>
      <c r="R4162" t="n">
        <v>68</v>
      </c>
      <c r="S4162" t="n">
        <v>9950000</v>
      </c>
      <c r="T4162" t="n">
        <v>17365</v>
      </c>
      <c r="U4162" t="n">
        <v>9950000</v>
      </c>
      <c r="AH4162" t="inlineStr">
        <is>
          <t>Quelle: Pollentia Properties</t>
        </is>
      </c>
    </row>
    <row r="4163">
      <c r="A4163" t="n">
        <v>3976</v>
      </c>
      <c r="B4163" t="inlineStr">
        <is>
          <t>Hotel for sale in Binissalem, fantastic investment opportunity</t>
        </is>
      </c>
      <c r="C4163" t="inlineStr">
        <is>
          <t>https://www.pollentiaproperties.com/en/property/id/955892-hotel-for-sale-binissalem-conversion-investment-oppottunity</t>
        </is>
      </c>
      <c r="H4163" t="n">
        <v>1</v>
      </c>
      <c r="J4163" t="inlineStr">
        <is>
          <t>Binissalem</t>
        </is>
      </c>
      <c r="K4163" t="n">
        <v>31.5</v>
      </c>
      <c r="L4163" t="n">
        <v>29</v>
      </c>
      <c r="M4163" t="n">
        <v>74.3</v>
      </c>
      <c r="N4163" t="n">
        <v>62</v>
      </c>
      <c r="O4163" t="n">
        <v>54.1</v>
      </c>
      <c r="P4163" t="n">
        <v>45</v>
      </c>
      <c r="Q4163" t="n">
        <v>72</v>
      </c>
      <c r="R4163" t="n">
        <v>58</v>
      </c>
      <c r="S4163" t="n">
        <v>3000000</v>
      </c>
      <c r="T4163" t="n">
        <v>3000000</v>
      </c>
      <c r="AH4163" t="inlineStr">
        <is>
          <t>Quelle: Pollentia Properties</t>
        </is>
      </c>
    </row>
    <row r="4164">
      <c r="A4164" t="n">
        <v>3977</v>
      </c>
      <c r="B4164" t="inlineStr">
        <is>
          <t>Country house for sale in Puigpunyent renovated in perfect setting</t>
        </is>
      </c>
      <c r="C4164" t="inlineStr">
        <is>
          <t>https://www.pollentiaproperties.com/en/property/id/955885-country-house-for-sale-puigpunyent-fantastic-renovation-idyllic-setting</t>
        </is>
      </c>
      <c r="E4164" t="n">
        <v>3</v>
      </c>
      <c r="G4164" t="n">
        <v>2</v>
      </c>
      <c r="H4164" t="n">
        <v>235</v>
      </c>
      <c r="J4164" t="inlineStr">
        <is>
          <t>Puigpunyent</t>
        </is>
      </c>
      <c r="K4164" t="n">
        <v>26.5</v>
      </c>
      <c r="L4164" t="n">
        <v>32</v>
      </c>
      <c r="M4164" t="n">
        <v>69.3</v>
      </c>
      <c r="N4164" t="n">
        <v>65</v>
      </c>
      <c r="O4164" t="n">
        <v>42.1</v>
      </c>
      <c r="P4164" t="n">
        <v>43</v>
      </c>
      <c r="Q4164" t="n">
        <v>67</v>
      </c>
      <c r="R4164" t="n">
        <v>61</v>
      </c>
      <c r="S4164" t="n">
        <v>1150000</v>
      </c>
      <c r="T4164" t="n">
        <v>4894</v>
      </c>
      <c r="U4164" t="n">
        <v>575000</v>
      </c>
      <c r="AH4164" t="inlineStr">
        <is>
          <t>Quelle: Pollentia Properties</t>
        </is>
      </c>
    </row>
    <row r="4165">
      <c r="A4165" t="n">
        <v>3978</v>
      </c>
      <c r="B4165" t="inlineStr">
        <is>
          <t>Apartment for sale in Palma Old Town ground floor</t>
        </is>
      </c>
      <c r="C4165" t="inlineStr">
        <is>
          <t>https://www.pollentiaproperties.com/en/property/id/955651-apartment-for-sale-palma-historic-centre-ground-floor-exquisite-renovation</t>
        </is>
      </c>
      <c r="E4165" t="n">
        <v>2</v>
      </c>
      <c r="G4165" t="n">
        <v>140</v>
      </c>
      <c r="H4165" t="n">
        <v>67</v>
      </c>
      <c r="J4165" t="inlineStr">
        <is>
          <t>Palma Casco Antiguo</t>
        </is>
      </c>
      <c r="S4165" t="n">
        <v>520000</v>
      </c>
      <c r="T4165" t="n">
        <v>7761</v>
      </c>
      <c r="U4165" t="n">
        <v>3714</v>
      </c>
      <c r="AH4165" t="inlineStr">
        <is>
          <t>Quelle: Pollentia Properties</t>
        </is>
      </c>
    </row>
    <row r="4166">
      <c r="A4166" t="n">
        <v>3979</v>
      </c>
      <c r="B4166" t="inlineStr">
        <is>
          <t>Country house for sale in Ses Salines newly built with amazing features</t>
        </is>
      </c>
      <c r="C4166" t="inlineStr">
        <is>
          <t>https://www.pollentiaproperties.com/en/property/id/955556-country-house-for-sale-ses-salines-exceptional-location-amazing-features</t>
        </is>
      </c>
      <c r="E4166" t="n">
        <v>5</v>
      </c>
      <c r="G4166" t="n">
        <v>16</v>
      </c>
      <c r="H4166" t="n">
        <v>681</v>
      </c>
      <c r="J4166" t="inlineStr">
        <is>
          <t>Ses Salines</t>
        </is>
      </c>
      <c r="K4166" t="n">
        <v>44.5</v>
      </c>
      <c r="L4166" t="n">
        <v>39</v>
      </c>
      <c r="M4166" t="n">
        <v>2.4</v>
      </c>
      <c r="N4166" t="n">
        <v>5</v>
      </c>
      <c r="O4166" t="n">
        <v>82.7</v>
      </c>
      <c r="P4166" t="n">
        <v>67</v>
      </c>
      <c r="Q4166" t="n">
        <v>2</v>
      </c>
      <c r="R4166" t="n">
        <v>5</v>
      </c>
      <c r="S4166" t="n">
        <v>4295000</v>
      </c>
      <c r="T4166" t="n">
        <v>6307</v>
      </c>
      <c r="U4166" t="n">
        <v>268438</v>
      </c>
      <c r="AH4166" t="inlineStr">
        <is>
          <t>Quelle: Pollentia Properties</t>
        </is>
      </c>
    </row>
    <row r="4167">
      <c r="A4167" t="n">
        <v>3980</v>
      </c>
      <c r="B4167" t="inlineStr">
        <is>
          <t>Country house for sale in Santa María del Camí impressively luxurious</t>
        </is>
      </c>
      <c r="C4167" t="inlineStr">
        <is>
          <t>https://www.pollentiaproperties.com/en/property/id/955326-country-house-for-sale-santa-maria-del-cami-impressively-luxurious-garden-pool</t>
        </is>
      </c>
      <c r="E4167" t="n">
        <v>5</v>
      </c>
      <c r="G4167" t="n">
        <v>13</v>
      </c>
      <c r="H4167" t="n">
        <v>600</v>
      </c>
      <c r="J4167" t="inlineStr">
        <is>
          <t>Santa Maria del Camí</t>
        </is>
      </c>
      <c r="K4167" t="n">
        <v>23.5</v>
      </c>
      <c r="L4167" t="n">
        <v>21</v>
      </c>
      <c r="M4167" t="n">
        <v>66.3</v>
      </c>
      <c r="N4167" t="n">
        <v>54</v>
      </c>
      <c r="O4167" t="n">
        <v>46.1</v>
      </c>
      <c r="P4167" t="n">
        <v>37</v>
      </c>
      <c r="Q4167" t="n">
        <v>64</v>
      </c>
      <c r="R4167" t="n">
        <v>51</v>
      </c>
      <c r="S4167" t="n">
        <v>7500000</v>
      </c>
      <c r="T4167" t="n">
        <v>12500</v>
      </c>
      <c r="U4167" t="n">
        <v>576923</v>
      </c>
      <c r="AH4167" t="inlineStr">
        <is>
          <t>Quelle: Pollentia Properties</t>
        </is>
      </c>
    </row>
    <row r="4168">
      <c r="A4168" t="n">
        <v>3981</v>
      </c>
      <c r="B4168" t="inlineStr">
        <is>
          <t>Town house for sale in Moscari tradition with modern comforts</t>
        </is>
      </c>
      <c r="C4168" t="inlineStr">
        <is>
          <t>https://www.pollentiaproperties.com/en/property/id/955300-town-house-for-sale-moscari-selva-tradition-modern-comforts</t>
        </is>
      </c>
      <c r="E4168" t="n">
        <v>3</v>
      </c>
      <c r="G4168" t="n">
        <v>70</v>
      </c>
      <c r="H4168" t="n">
        <v>165</v>
      </c>
      <c r="J4168" t="inlineStr">
        <is>
          <t>Moscari</t>
        </is>
      </c>
      <c r="S4168" t="n">
        <v>495000</v>
      </c>
      <c r="T4168" t="n">
        <v>3000</v>
      </c>
      <c r="U4168" t="n">
        <v>7071</v>
      </c>
      <c r="AH4168" t="inlineStr">
        <is>
          <t>Quelle: Pollentia Properties</t>
        </is>
      </c>
    </row>
    <row r="4169">
      <c r="A4169" t="n">
        <v>3982</v>
      </c>
      <c r="B4169" t="inlineStr">
        <is>
          <t>Country house for sale in Campanet with enormous potential</t>
        </is>
      </c>
      <c r="C4169" t="inlineStr">
        <is>
          <t>https://www.pollentiaproperties.com/en/property/id/954853-country-house-for-sale-campanet-large-estate-potential-extension</t>
        </is>
      </c>
      <c r="E4169" t="n">
        <v>4</v>
      </c>
      <c r="G4169" t="n">
        <v>92</v>
      </c>
      <c r="H4169" t="n">
        <v>370</v>
      </c>
      <c r="J4169" t="inlineStr">
        <is>
          <t>Campanet</t>
        </is>
      </c>
      <c r="K4169" t="n">
        <v>46.9</v>
      </c>
      <c r="L4169" t="n">
        <v>38</v>
      </c>
      <c r="M4169" t="n">
        <v>65</v>
      </c>
      <c r="N4169" t="n">
        <v>65</v>
      </c>
      <c r="O4169" t="n">
        <v>69.5</v>
      </c>
      <c r="P4169" t="n">
        <v>54</v>
      </c>
      <c r="Q4169" t="n">
        <v>62.7</v>
      </c>
      <c r="R4169" t="n">
        <v>61</v>
      </c>
      <c r="S4169" t="n">
        <v>2150000</v>
      </c>
      <c r="T4169" t="n">
        <v>5811</v>
      </c>
      <c r="U4169" t="n">
        <v>23370</v>
      </c>
      <c r="AH4169" t="inlineStr">
        <is>
          <t>Quelle: Pollentia Properties</t>
        </is>
      </c>
    </row>
    <row r="4170">
      <c r="A4170" t="n">
        <v>3983</v>
      </c>
      <c r="B4170" t="inlineStr">
        <is>
          <t>Villa for sale in Santa Ponsa in a peaceful residential environment</t>
        </is>
      </c>
      <c r="C4170" t="inlineStr">
        <is>
          <t>https://www.pollentiaproperties.com/en/property/id/954452-villa-for-sale-santa-ponsa-coveted-location-garden-private-pool</t>
        </is>
      </c>
      <c r="E4170" t="n">
        <v>3</v>
      </c>
      <c r="G4170" t="n">
        <v>431</v>
      </c>
      <c r="H4170" t="n">
        <v>216</v>
      </c>
      <c r="J4170" t="inlineStr">
        <is>
          <t>Santa Ponsa</t>
        </is>
      </c>
      <c r="K4170" t="n">
        <v>31.1</v>
      </c>
      <c r="L4170" t="n">
        <v>28</v>
      </c>
      <c r="M4170" t="n">
        <v>73.90000000000001</v>
      </c>
      <c r="N4170" t="n">
        <v>61</v>
      </c>
      <c r="O4170" t="n">
        <v>15.2</v>
      </c>
      <c r="P4170" t="n">
        <v>19</v>
      </c>
      <c r="Q4170" t="n">
        <v>71.59999999999999</v>
      </c>
      <c r="R4170" t="n">
        <v>57</v>
      </c>
      <c r="S4170" t="n">
        <v>1750000</v>
      </c>
      <c r="T4170" t="n">
        <v>8102</v>
      </c>
      <c r="U4170" t="n">
        <v>4060</v>
      </c>
      <c r="AH4170" t="inlineStr">
        <is>
          <t>Quelle: Pollentia Properties</t>
        </is>
      </c>
    </row>
    <row r="4171">
      <c r="A4171" t="n">
        <v>3984</v>
      </c>
      <c r="B4171" t="inlineStr">
        <is>
          <t>Villa for sale in Colònia de Sant Pere in unbeatable coastal setting</t>
        </is>
      </c>
      <c r="C4171" t="inlineStr">
        <is>
          <t>https://www.pollentiaproperties.com/en/property/id/954345-villa-for-sale-colonia-sant-pere-unbeatable-coastal-setting</t>
        </is>
      </c>
      <c r="E4171" t="n">
        <v>3</v>
      </c>
      <c r="G4171" t="n">
        <v>427</v>
      </c>
      <c r="H4171" t="n">
        <v>241</v>
      </c>
      <c r="J4171" t="inlineStr">
        <is>
          <t>Colònia de Sant Pere</t>
        </is>
      </c>
      <c r="K4171" t="n">
        <v>70</v>
      </c>
      <c r="L4171" t="n">
        <v>60</v>
      </c>
      <c r="M4171" t="n">
        <v>65.40000000000001</v>
      </c>
      <c r="N4171" t="n">
        <v>63</v>
      </c>
      <c r="O4171" t="n">
        <v>105.9</v>
      </c>
      <c r="P4171" t="n">
        <v>84</v>
      </c>
      <c r="Q4171" t="n">
        <v>63.1</v>
      </c>
      <c r="R4171" t="n">
        <v>60</v>
      </c>
      <c r="S4171" t="n">
        <v>1445000</v>
      </c>
      <c r="T4171" t="n">
        <v>5996</v>
      </c>
      <c r="U4171" t="n">
        <v>3384</v>
      </c>
      <c r="AH4171" t="inlineStr">
        <is>
          <t>Quelle: Pollentia Properties</t>
        </is>
      </c>
    </row>
    <row r="4172">
      <c r="A4172" t="n">
        <v>3985</v>
      </c>
      <c r="B4172" t="inlineStr">
        <is>
          <t>Penthouse apartment for sale in Palma in coveted Old Town</t>
        </is>
      </c>
      <c r="C4172" t="inlineStr">
        <is>
          <t>https://www.pollentiaproperties.com/en/property/id/954339-penthouse-apartment-for-sale-palma-coveted-old-town-area-timeless-elegance</t>
        </is>
      </c>
      <c r="E4172" t="n">
        <v>3</v>
      </c>
      <c r="H4172" t="n">
        <v>155</v>
      </c>
      <c r="J4172" t="inlineStr">
        <is>
          <t>Palma Casco Antiguo</t>
        </is>
      </c>
      <c r="K4172" t="n">
        <v>9.699999999999999</v>
      </c>
      <c r="L4172" t="n">
        <v>14</v>
      </c>
      <c r="M4172" t="n">
        <v>52.5</v>
      </c>
      <c r="N4172" t="n">
        <v>47</v>
      </c>
      <c r="O4172" t="n">
        <v>32.1</v>
      </c>
      <c r="P4172" t="n">
        <v>36</v>
      </c>
      <c r="Q4172" t="n">
        <v>50.2</v>
      </c>
      <c r="R4172" t="n">
        <v>44</v>
      </c>
      <c r="S4172" t="n">
        <v>1950000</v>
      </c>
      <c r="T4172" t="n">
        <v>12581</v>
      </c>
      <c r="AH4172" t="inlineStr">
        <is>
          <t>Quelle: Pollentia Properties</t>
        </is>
      </c>
    </row>
    <row r="4173">
      <c r="A4173" t="n">
        <v>3986</v>
      </c>
      <c r="B4173" t="inlineStr">
        <is>
          <t>Apartment for sale in Son Quint in Palma in ideal location</t>
        </is>
      </c>
      <c r="C4173" t="inlineStr">
        <is>
          <t>https://www.pollentiaproperties.com/en/property/id/953945-apartment-for-sale-son-quint-palma-community-pool-ideal-location</t>
        </is>
      </c>
      <c r="E4173" t="n">
        <v>4</v>
      </c>
      <c r="H4173" t="n">
        <v>147</v>
      </c>
      <c r="J4173" t="inlineStr">
        <is>
          <t>Son Quint</t>
        </is>
      </c>
      <c r="S4173" t="n">
        <v>960000</v>
      </c>
      <c r="T4173" t="n">
        <v>6531</v>
      </c>
      <c r="AH4173" t="inlineStr">
        <is>
          <t>Quelle: Pollentia Properties</t>
        </is>
      </c>
    </row>
    <row r="4174">
      <c r="A4174" t="n">
        <v>3987</v>
      </c>
      <c r="B4174" t="inlineStr">
        <is>
          <t>Villa for sale in La Vileta in Palma in highly sought after area</t>
        </is>
      </c>
      <c r="C4174" t="inlineStr">
        <is>
          <t>https://www.pollentiaproperties.com/en/property/id/953471-villa-for-sale-la-vileta-palma-contemporary-elegance-top-location-garden-pool</t>
        </is>
      </c>
      <c r="E4174" t="n">
        <v>5</v>
      </c>
      <c r="G4174" t="n">
        <v>486</v>
      </c>
      <c r="H4174" t="n">
        <v>480</v>
      </c>
      <c r="J4174" t="inlineStr">
        <is>
          <t>La Vileta</t>
        </is>
      </c>
      <c r="K4174" t="n">
        <v>18.8</v>
      </c>
      <c r="L4174" t="n">
        <v>21</v>
      </c>
      <c r="M4174" t="n">
        <v>61.6</v>
      </c>
      <c r="N4174" t="n">
        <v>54</v>
      </c>
      <c r="O4174" t="n">
        <v>30.7</v>
      </c>
      <c r="P4174" t="n">
        <v>30</v>
      </c>
      <c r="Q4174" t="n">
        <v>59.3</v>
      </c>
      <c r="R4174" t="n">
        <v>51</v>
      </c>
      <c r="S4174" t="n">
        <v>2150000</v>
      </c>
      <c r="T4174" t="n">
        <v>4479</v>
      </c>
      <c r="U4174" t="n">
        <v>4424</v>
      </c>
      <c r="AH4174" t="inlineStr">
        <is>
          <t>Quelle: Pollentia Properties</t>
        </is>
      </c>
    </row>
    <row r="4175">
      <c r="A4175" t="n">
        <v>3988</v>
      </c>
      <c r="B4175" t="inlineStr">
        <is>
          <t>Apartment for sale in Puerto Pollença with community garden and pool</t>
        </is>
      </c>
      <c r="C4175" t="inlineStr">
        <is>
          <t>https://www.pollentiaproperties.com/en/property/id/953355-apartment-for-sale-puerto-pollensa-modern-community-garden-pool</t>
        </is>
      </c>
      <c r="E4175" t="n">
        <v>2</v>
      </c>
      <c r="H4175" t="n">
        <v>85</v>
      </c>
      <c r="J4175" t="inlineStr">
        <is>
          <t>Siller</t>
        </is>
      </c>
      <c r="S4175" t="n">
        <v>495000</v>
      </c>
      <c r="T4175" t="n">
        <v>5824</v>
      </c>
      <c r="AH4175" t="inlineStr">
        <is>
          <t>Quelle: Pollentia Properties</t>
        </is>
      </c>
    </row>
    <row r="4176">
      <c r="A4176" t="n">
        <v>3989</v>
      </c>
      <c r="B4176" t="inlineStr">
        <is>
          <t>Villa for sale in Esporles in peaceful and private enclave</t>
        </is>
      </c>
      <c r="C4176" t="inlineStr">
        <is>
          <t>https://www.pollentiaproperties.com/en/property/id/952087-villa-for-sale-esporles-peaceful-private-enclave-garden-pool</t>
        </is>
      </c>
      <c r="E4176" t="n">
        <v>4</v>
      </c>
      <c r="G4176" t="n">
        <v>3</v>
      </c>
      <c r="H4176" t="n">
        <v>451</v>
      </c>
      <c r="J4176" t="inlineStr">
        <is>
          <t>Esporles</t>
        </is>
      </c>
      <c r="K4176" t="n">
        <v>24.9</v>
      </c>
      <c r="L4176" t="n">
        <v>27</v>
      </c>
      <c r="M4176" t="n">
        <v>67.59999999999999</v>
      </c>
      <c r="N4176" t="n">
        <v>60</v>
      </c>
      <c r="O4176" t="n">
        <v>43.2</v>
      </c>
      <c r="P4176" t="n">
        <v>40</v>
      </c>
      <c r="Q4176" t="n">
        <v>65.3</v>
      </c>
      <c r="R4176" t="n">
        <v>57</v>
      </c>
      <c r="S4176" t="n">
        <v>3185000</v>
      </c>
      <c r="T4176" t="n">
        <v>7062</v>
      </c>
      <c r="U4176" t="n">
        <v>1061667</v>
      </c>
      <c r="AH4176" t="inlineStr">
        <is>
          <t>Quelle: Pollentia Properties</t>
        </is>
      </c>
    </row>
    <row r="4177">
      <c r="A4177" t="n">
        <v>3990</v>
      </c>
      <c r="B4177" t="inlineStr">
        <is>
          <t>Villa for sale in Pollença in residential area with private pool</t>
        </is>
      </c>
      <c r="C4177" t="inlineStr">
        <is>
          <t>https://www.pollentiaproperties.com/en/property/id/952071-villa-for-sale-pollensa-residential-area-contemporary-style-garden-pool</t>
        </is>
      </c>
      <c r="E4177" t="n">
        <v>3</v>
      </c>
      <c r="G4177" t="n">
        <v>650</v>
      </c>
      <c r="H4177" t="n">
        <v>195</v>
      </c>
      <c r="J4177" t="inlineStr">
        <is>
          <t>Pollença</t>
        </is>
      </c>
      <c r="S4177" t="n">
        <v>860000</v>
      </c>
      <c r="T4177" t="n">
        <v>4410</v>
      </c>
      <c r="U4177" t="n">
        <v>1323</v>
      </c>
      <c r="AH4177" t="inlineStr">
        <is>
          <t>Quelle: Pollentia Properties</t>
        </is>
      </c>
    </row>
    <row r="4178">
      <c r="A4178" t="n">
        <v>3991</v>
      </c>
      <c r="B4178" t="inlineStr">
        <is>
          <t>Apartment for sale in Portals Nous completely refurbished</t>
        </is>
      </c>
      <c r="C4178" t="inlineStr">
        <is>
          <t>https://www.pollentiaproperties.com/en/property/id/951851-apartment-for-sale-portals-nous-completely-refurbished</t>
        </is>
      </c>
      <c r="E4178" t="n">
        <v>2</v>
      </c>
      <c r="H4178" t="n">
        <v>54</v>
      </c>
      <c r="J4178" t="inlineStr">
        <is>
          <t>Portals Nous</t>
        </is>
      </c>
      <c r="S4178" t="n">
        <v>550000</v>
      </c>
      <c r="T4178" t="n">
        <v>10185</v>
      </c>
      <c r="AH4178" t="inlineStr">
        <is>
          <t>Quelle: Pollentia Properties</t>
        </is>
      </c>
    </row>
    <row r="4179">
      <c r="A4179" t="n">
        <v>3992</v>
      </c>
      <c r="B4179" t="inlineStr">
        <is>
          <t>Country house for sale in Esporles in peaceful and private enclave</t>
        </is>
      </c>
      <c r="C4179" t="inlineStr">
        <is>
          <t>https://www.pollentiaproperties.com/en/property/id/951842-country-house-for-sale-esporles-peaceful-private-enclave-garden-pool</t>
        </is>
      </c>
      <c r="E4179" t="n">
        <v>4</v>
      </c>
      <c r="G4179" t="n">
        <v>3</v>
      </c>
      <c r="H4179" t="n">
        <v>451</v>
      </c>
      <c r="J4179" t="inlineStr">
        <is>
          <t>Esporles</t>
        </is>
      </c>
      <c r="K4179" t="n">
        <v>24.9</v>
      </c>
      <c r="L4179" t="n">
        <v>27</v>
      </c>
      <c r="M4179" t="n">
        <v>67.59999999999999</v>
      </c>
      <c r="N4179" t="n">
        <v>60</v>
      </c>
      <c r="O4179" t="n">
        <v>43.2</v>
      </c>
      <c r="P4179" t="n">
        <v>40</v>
      </c>
      <c r="Q4179" t="n">
        <v>65.3</v>
      </c>
      <c r="R4179" t="n">
        <v>57</v>
      </c>
      <c r="S4179" t="n">
        <v>3185000</v>
      </c>
      <c r="T4179" t="n">
        <v>7062</v>
      </c>
      <c r="U4179" t="n">
        <v>1061667</v>
      </c>
      <c r="AH4179" t="inlineStr">
        <is>
          <t>Quelle: Pollentia Properties</t>
        </is>
      </c>
    </row>
    <row r="4180">
      <c r="A4180" t="n">
        <v>3993</v>
      </c>
      <c r="B4180" t="inlineStr">
        <is>
          <t>Country house in Muro under construction with high end finishes</t>
        </is>
      </c>
      <c r="C4180" t="inlineStr">
        <is>
          <t>https://www.pollentiaproperties.com/en/property/id/951400-country-house-for-sale-muro-under-construction-great-design-private-pool</t>
        </is>
      </c>
      <c r="E4180" t="n">
        <v>4</v>
      </c>
      <c r="G4180" t="n">
        <v>16</v>
      </c>
      <c r="H4180" t="n">
        <v>246</v>
      </c>
      <c r="J4180" t="inlineStr">
        <is>
          <t>Muro</t>
        </is>
      </c>
      <c r="K4180" t="n">
        <v>58.2</v>
      </c>
      <c r="L4180" t="n">
        <v>46</v>
      </c>
      <c r="M4180" t="n">
        <v>60.2</v>
      </c>
      <c r="N4180" t="n">
        <v>64</v>
      </c>
      <c r="O4180" t="n">
        <v>80.8</v>
      </c>
      <c r="P4180" t="n">
        <v>62</v>
      </c>
      <c r="Q4180" t="n">
        <v>57.9</v>
      </c>
      <c r="R4180" t="n">
        <v>61</v>
      </c>
      <c r="S4180" t="n">
        <v>2200000</v>
      </c>
      <c r="T4180" t="n">
        <v>8943</v>
      </c>
      <c r="U4180" t="n">
        <v>137500</v>
      </c>
      <c r="AH4180" t="inlineStr">
        <is>
          <t>Quelle: Pollentia Properties</t>
        </is>
      </c>
    </row>
    <row r="4181">
      <c r="A4181" t="n">
        <v>3994</v>
      </c>
      <c r="B4181" t="inlineStr">
        <is>
          <t>Country house for sale in Vilafranca de Bonany newly built</t>
        </is>
      </c>
      <c r="C4181" t="inlineStr">
        <is>
          <t>https://www.pollentiaproperties.com/en/property/id/951039-country-house-for-sale-in-vilafranca-de-bonany-newly-built-garden-pool</t>
        </is>
      </c>
      <c r="E4181" t="n">
        <v>4</v>
      </c>
      <c r="G4181" t="n">
        <v>15</v>
      </c>
      <c r="H4181" t="n">
        <v>270</v>
      </c>
      <c r="J4181" t="inlineStr">
        <is>
          <t>Vilafranca de Bonany</t>
        </is>
      </c>
      <c r="K4181" t="n">
        <v>37.1</v>
      </c>
      <c r="L4181" t="n">
        <v>33</v>
      </c>
      <c r="M4181" t="n">
        <v>35.2</v>
      </c>
      <c r="N4181" t="n">
        <v>38</v>
      </c>
      <c r="O4181" t="n">
        <v>71.3</v>
      </c>
      <c r="P4181" t="n">
        <v>57</v>
      </c>
      <c r="Q4181" t="n">
        <v>32.9</v>
      </c>
      <c r="R4181" t="n">
        <v>34</v>
      </c>
      <c r="S4181" t="n">
        <v>2190000</v>
      </c>
      <c r="T4181" t="n">
        <v>8111</v>
      </c>
      <c r="U4181" t="n">
        <v>146000</v>
      </c>
      <c r="AH4181" t="inlineStr">
        <is>
          <t>Quelle: Pollentia Properties</t>
        </is>
      </c>
    </row>
    <row r="4182">
      <c r="A4182" t="n">
        <v>3995</v>
      </c>
      <c r="B4182" t="inlineStr">
        <is>
          <t>Country house for sale in Alcúdia in genuine Mediterranean style</t>
        </is>
      </c>
      <c r="C4182" t="inlineStr">
        <is>
          <t>https://www.pollentiaproperties.com/en/property/id/950018-country-house-for-sale-alcudia-mediterranean-style-garden-pool-rental-license</t>
        </is>
      </c>
      <c r="E4182" t="n">
        <v>6</v>
      </c>
      <c r="G4182" t="n">
        <v>16</v>
      </c>
      <c r="H4182" t="n">
        <v>363</v>
      </c>
      <c r="J4182" t="inlineStr">
        <is>
          <t>Alcúdia</t>
        </is>
      </c>
      <c r="K4182" t="n">
        <v>61.6</v>
      </c>
      <c r="L4182" t="n">
        <v>47</v>
      </c>
      <c r="M4182" t="n">
        <v>79.7</v>
      </c>
      <c r="N4182" t="n">
        <v>74</v>
      </c>
      <c r="O4182" t="n">
        <v>84.2</v>
      </c>
      <c r="P4182" t="n">
        <v>63</v>
      </c>
      <c r="Q4182" t="n">
        <v>77.40000000000001</v>
      </c>
      <c r="R4182" t="n">
        <v>70</v>
      </c>
      <c r="S4182" t="n">
        <v>2690000</v>
      </c>
      <c r="T4182" t="n">
        <v>7410</v>
      </c>
      <c r="U4182" t="n">
        <v>168125</v>
      </c>
      <c r="AH4182" t="inlineStr">
        <is>
          <t>Quelle: Pollentia Properties</t>
        </is>
      </c>
    </row>
    <row r="4183">
      <c r="A4183" t="n">
        <v>3996</v>
      </c>
      <c r="B4183" t="inlineStr">
        <is>
          <t>Penthouse for sale in Puerto Andratx in amazing location with sea views</t>
        </is>
      </c>
      <c r="C4183" t="inlineStr">
        <is>
          <t>https://www.pollentiaproperties.com/en/property/id/949885-penthouse-for-sale-puerto-andratx-top-quality-amazing-views</t>
        </is>
      </c>
      <c r="E4183" t="n">
        <v>3</v>
      </c>
      <c r="H4183" t="n">
        <v>265</v>
      </c>
      <c r="J4183" t="inlineStr">
        <is>
          <t>Puerto Andratx</t>
        </is>
      </c>
      <c r="K4183" t="n">
        <v>43.5</v>
      </c>
      <c r="L4183" t="n">
        <v>38</v>
      </c>
      <c r="M4183" t="n">
        <v>86.2</v>
      </c>
      <c r="N4183" t="n">
        <v>71</v>
      </c>
      <c r="O4183" t="n">
        <v>6.3</v>
      </c>
      <c r="P4183" t="n">
        <v>11</v>
      </c>
      <c r="Q4183" t="n">
        <v>83.90000000000001</v>
      </c>
      <c r="R4183" t="n">
        <v>68</v>
      </c>
      <c r="S4183" t="n">
        <v>3880000</v>
      </c>
      <c r="T4183" t="n">
        <v>14642</v>
      </c>
      <c r="AH4183" t="inlineStr">
        <is>
          <t>Quelle: Pollentia Properties</t>
        </is>
      </c>
    </row>
    <row r="4184">
      <c r="A4184" t="n">
        <v>3997</v>
      </c>
      <c r="B4184" t="inlineStr">
        <is>
          <t>Townhouse for sale in Alcúdia fantastic renovation project</t>
        </is>
      </c>
      <c r="C4184" t="inlineStr">
        <is>
          <t>https://www.pollentiaproperties.com/en/property/id/949711-town-house-for-sale-alcudia-renovation-project-great-potential</t>
        </is>
      </c>
      <c r="E4184" t="n">
        <v>6</v>
      </c>
      <c r="G4184" t="n">
        <v>171</v>
      </c>
      <c r="H4184" t="n">
        <v>181</v>
      </c>
      <c r="J4184" t="inlineStr">
        <is>
          <t>Alcudia Pueblo</t>
        </is>
      </c>
      <c r="K4184" t="n">
        <v>61.6</v>
      </c>
      <c r="L4184" t="n">
        <v>47</v>
      </c>
      <c r="M4184" t="n">
        <v>79.7</v>
      </c>
      <c r="N4184" t="n">
        <v>74</v>
      </c>
      <c r="O4184" t="n">
        <v>84.2</v>
      </c>
      <c r="P4184" t="n">
        <v>63</v>
      </c>
      <c r="Q4184" t="n">
        <v>77.40000000000001</v>
      </c>
      <c r="R4184" t="n">
        <v>70</v>
      </c>
      <c r="S4184" t="n">
        <v>1385000</v>
      </c>
      <c r="T4184" t="n">
        <v>7652</v>
      </c>
      <c r="U4184" t="n">
        <v>8099</v>
      </c>
      <c r="AH4184" t="inlineStr">
        <is>
          <t>Quelle: Pollentia Properties</t>
        </is>
      </c>
    </row>
    <row r="4185">
      <c r="A4185" t="n">
        <v>3998</v>
      </c>
      <c r="B4185" t="inlineStr">
        <is>
          <t>Townhouse for sale in Alcúdia fantastic renovation project</t>
        </is>
      </c>
      <c r="C4185" t="inlineStr">
        <is>
          <t>https://www.pollentiaproperties.com/en/property/id/949710-town-house-for-sale-alcudia-renovation-project-great-potential</t>
        </is>
      </c>
      <c r="E4185" t="n">
        <v>3</v>
      </c>
      <c r="G4185" t="n">
        <v>171</v>
      </c>
      <c r="H4185" t="n">
        <v>181</v>
      </c>
      <c r="J4185" t="inlineStr">
        <is>
          <t>Alcudia Pueblo</t>
        </is>
      </c>
      <c r="S4185" t="n">
        <v>695000</v>
      </c>
      <c r="T4185" t="n">
        <v>3840</v>
      </c>
      <c r="U4185" t="n">
        <v>4064</v>
      </c>
      <c r="AH4185" t="inlineStr">
        <is>
          <t>Quelle: Pollentia Properties</t>
        </is>
      </c>
    </row>
    <row r="4186">
      <c r="A4186" t="n">
        <v>3999</v>
      </c>
      <c r="B4186" t="inlineStr">
        <is>
          <t>Villa for sale in Puig de Ros with private pool</t>
        </is>
      </c>
      <c r="C4186" t="inlineStr">
        <is>
          <t>https://www.pollentiaproperties.com/en/property/id/949682-modern-4-bedroom-villa-in-puigderros</t>
        </is>
      </c>
      <c r="E4186" t="n">
        <v>4</v>
      </c>
      <c r="G4186" t="n">
        <v>791</v>
      </c>
      <c r="H4186" t="n">
        <v>282</v>
      </c>
      <c r="J4186" t="inlineStr">
        <is>
          <t>Puig de Ros</t>
        </is>
      </c>
      <c r="K4186" t="n">
        <v>15.6</v>
      </c>
      <c r="L4186" t="n">
        <v>17</v>
      </c>
      <c r="M4186" t="n">
        <v>42.2</v>
      </c>
      <c r="N4186" t="n">
        <v>40</v>
      </c>
      <c r="O4186" t="n">
        <v>53.8</v>
      </c>
      <c r="P4186" t="n">
        <v>44</v>
      </c>
      <c r="Q4186" t="n">
        <v>39.9</v>
      </c>
      <c r="R4186" t="n">
        <v>37</v>
      </c>
      <c r="S4186" t="n">
        <v>1150000</v>
      </c>
      <c r="T4186" t="n">
        <v>4078</v>
      </c>
      <c r="U4186" t="n">
        <v>1454</v>
      </c>
      <c r="AH4186" t="inlineStr">
        <is>
          <t>Quelle: Pollentia Properties</t>
        </is>
      </c>
    </row>
    <row r="4187">
      <c r="A4187" t="n">
        <v>4000</v>
      </c>
      <c r="B4187" t="inlineStr">
        <is>
          <t>Apartment for sale in Palmanova in new complex close to the beach</t>
        </is>
      </c>
      <c r="C4187" t="inlineStr">
        <is>
          <t>https://www.pollentiaproperties.com/en/property/id/949550-apartment-for-sale-palmanova--new-complex-community-areas</t>
        </is>
      </c>
      <c r="E4187" t="n">
        <v>3</v>
      </c>
      <c r="H4187" t="n">
        <v>117</v>
      </c>
      <c r="J4187" t="inlineStr">
        <is>
          <t>Palmanova</t>
        </is>
      </c>
      <c r="S4187" t="n">
        <v>587000</v>
      </c>
      <c r="T4187" t="n">
        <v>5017</v>
      </c>
      <c r="AH4187" t="inlineStr">
        <is>
          <t>Quelle: Pollentia Properties</t>
        </is>
      </c>
    </row>
    <row r="4188">
      <c r="A4188" t="n">
        <v>4001</v>
      </c>
      <c r="B4188" t="inlineStr">
        <is>
          <t>Apartment for sale in Palmanova in new complex close to the beach</t>
        </is>
      </c>
      <c r="C4188" t="inlineStr">
        <is>
          <t>https://www.pollentiaproperties.com/en/property/id/949549-apartment-for-sale-palmanova--new-complex-community-areas</t>
        </is>
      </c>
      <c r="E4188" t="n">
        <v>3</v>
      </c>
      <c r="H4188" t="n">
        <v>262</v>
      </c>
      <c r="J4188" t="inlineStr">
        <is>
          <t>Palmanova</t>
        </is>
      </c>
      <c r="S4188" t="n">
        <v>677000</v>
      </c>
      <c r="T4188" t="n">
        <v>2584</v>
      </c>
      <c r="AH4188" t="inlineStr">
        <is>
          <t>Quelle: Pollentia Properties</t>
        </is>
      </c>
    </row>
    <row r="4189">
      <c r="A4189" t="n">
        <v>4002</v>
      </c>
      <c r="B4189" t="inlineStr">
        <is>
          <t>Apartment for sale in Palmanova in new complex close to the beach</t>
        </is>
      </c>
      <c r="C4189" t="inlineStr">
        <is>
          <t>https://www.pollentiaproperties.com/en/property/id/949548-apartment-for-sale-palmanova--new-complex-community-areas</t>
        </is>
      </c>
      <c r="E4189" t="n">
        <v>3</v>
      </c>
      <c r="H4189" t="n">
        <v>136</v>
      </c>
      <c r="J4189" t="inlineStr">
        <is>
          <t>Palmanova</t>
        </is>
      </c>
      <c r="AH4189" t="inlineStr">
        <is>
          <t>Quelle: Pollentia Properties</t>
        </is>
      </c>
    </row>
    <row r="4190">
      <c r="A4190" t="n">
        <v>4003</v>
      </c>
      <c r="B4190" t="inlineStr">
        <is>
          <t>Luxury townhouse for sale in Pollensa, in a fantastic central location</t>
        </is>
      </c>
      <c r="C4190" t="inlineStr">
        <is>
          <t>https://www.pollentiaproperties.com/en/property/id/949539-townhouse-for-sale-pollensa-luxury-accommodation-garden-pool</t>
        </is>
      </c>
      <c r="E4190" t="n">
        <v>4</v>
      </c>
      <c r="G4190" t="n">
        <v>900</v>
      </c>
      <c r="H4190" t="n">
        <v>330</v>
      </c>
      <c r="J4190" t="inlineStr">
        <is>
          <t>El Calvari</t>
        </is>
      </c>
      <c r="K4190" t="n">
        <v>62.8</v>
      </c>
      <c r="L4190" t="n">
        <v>50</v>
      </c>
      <c r="M4190" t="n">
        <v>80.90000000000001</v>
      </c>
      <c r="N4190" t="n">
        <v>77</v>
      </c>
      <c r="O4190" t="n">
        <v>85.40000000000001</v>
      </c>
      <c r="P4190" t="n">
        <v>66</v>
      </c>
      <c r="Q4190" t="n">
        <v>78.59999999999999</v>
      </c>
      <c r="R4190" t="n">
        <v>73</v>
      </c>
      <c r="S4190" t="n">
        <v>4250000</v>
      </c>
      <c r="T4190" t="n">
        <v>12879</v>
      </c>
      <c r="U4190" t="n">
        <v>4722</v>
      </c>
      <c r="AH4190" t="inlineStr">
        <is>
          <t>Quelle: Pollentia Properties</t>
        </is>
      </c>
    </row>
    <row r="4191">
      <c r="A4191" t="n">
        <v>4004</v>
      </c>
      <c r="B4191" t="inlineStr">
        <is>
          <t>Building plot for sale in Sol de Mallorca for residential use</t>
        </is>
      </c>
      <c r="C4191" t="inlineStr">
        <is>
          <t>https://www.pollentiaproperties.com/en/property/id/949477-building-plot-for-sale-sol-de-mallorca-different-sizes-prices</t>
        </is>
      </c>
      <c r="G4191" t="n">
        <v>2</v>
      </c>
      <c r="J4191" t="inlineStr">
        <is>
          <t>Sol de Mallorca</t>
        </is>
      </c>
      <c r="K4191" t="n">
        <v>32.2</v>
      </c>
      <c r="L4191" t="n">
        <v>31</v>
      </c>
      <c r="M4191" t="n">
        <v>75</v>
      </c>
      <c r="N4191" t="n">
        <v>64</v>
      </c>
      <c r="O4191" t="n">
        <v>21.2</v>
      </c>
      <c r="P4191" t="n">
        <v>25</v>
      </c>
      <c r="Q4191" t="n">
        <v>72.7</v>
      </c>
      <c r="R4191" t="n">
        <v>60</v>
      </c>
      <c r="S4191" t="n">
        <v>1200000</v>
      </c>
      <c r="U4191" t="n">
        <v>600000</v>
      </c>
      <c r="AH4191" t="inlineStr">
        <is>
          <t>Quelle: Pollentia Properties</t>
        </is>
      </c>
    </row>
    <row r="4192">
      <c r="A4192" t="n">
        <v>4005</v>
      </c>
      <c r="B4192" t="inlineStr">
        <is>
          <t>Building plot for sale in Sol de Mallorca for residential use</t>
        </is>
      </c>
      <c r="C4192" t="inlineStr">
        <is>
          <t>https://www.pollentiaproperties.com/en/property/id/949476-building-plot-for-sale-sol-de-mallorca-different-sizes-prices</t>
        </is>
      </c>
      <c r="G4192" t="n">
        <v>2</v>
      </c>
      <c r="J4192" t="inlineStr">
        <is>
          <t>Sol de Mallorca</t>
        </is>
      </c>
      <c r="K4192" t="n">
        <v>32.2</v>
      </c>
      <c r="L4192" t="n">
        <v>31</v>
      </c>
      <c r="M4192" t="n">
        <v>75</v>
      </c>
      <c r="N4192" t="n">
        <v>64</v>
      </c>
      <c r="O4192" t="n">
        <v>21.2</v>
      </c>
      <c r="P4192" t="n">
        <v>25</v>
      </c>
      <c r="Q4192" t="n">
        <v>72.7</v>
      </c>
      <c r="R4192" t="n">
        <v>60</v>
      </c>
      <c r="S4192" t="n">
        <v>1500000</v>
      </c>
      <c r="U4192" t="n">
        <v>750000</v>
      </c>
      <c r="AH4192" t="inlineStr">
        <is>
          <t>Quelle: Pollentia Properties</t>
        </is>
      </c>
    </row>
    <row r="4193">
      <c r="A4193" t="n">
        <v>4006</v>
      </c>
      <c r="B4193" t="inlineStr">
        <is>
          <t>Building plot for sale in Sol de Mallorca for residential use</t>
        </is>
      </c>
      <c r="C4193" t="inlineStr">
        <is>
          <t>https://www.pollentiaproperties.com/en/property/id/949475-building-plot-for-sale-sol-de-mallorca-different-sizes-prices</t>
        </is>
      </c>
      <c r="G4193" t="n">
        <v>2</v>
      </c>
      <c r="J4193" t="inlineStr">
        <is>
          <t>Sol de Mallorca</t>
        </is>
      </c>
      <c r="K4193" t="n">
        <v>32.2</v>
      </c>
      <c r="L4193" t="n">
        <v>31</v>
      </c>
      <c r="M4193" t="n">
        <v>75</v>
      </c>
      <c r="N4193" t="n">
        <v>64</v>
      </c>
      <c r="O4193" t="n">
        <v>21.2</v>
      </c>
      <c r="P4193" t="n">
        <v>25</v>
      </c>
      <c r="Q4193" t="n">
        <v>72.7</v>
      </c>
      <c r="R4193" t="n">
        <v>60</v>
      </c>
      <c r="S4193" t="n">
        <v>1800000</v>
      </c>
      <c r="U4193" t="n">
        <v>900000</v>
      </c>
      <c r="AH4193" t="inlineStr">
        <is>
          <t>Quelle: Pollentia Properties</t>
        </is>
      </c>
    </row>
    <row r="4194">
      <c r="A4194" t="n">
        <v>4007</v>
      </c>
      <c r="B4194" t="inlineStr">
        <is>
          <t>Building plot for sale in Sol de Mallorca for residential use</t>
        </is>
      </c>
      <c r="C4194" t="inlineStr">
        <is>
          <t>https://www.pollentiaproperties.com/en/property/id/949474-building-plot-for-sale-sol-de-mallorca-different-sizes-prices</t>
        </is>
      </c>
      <c r="G4194" t="n">
        <v>2</v>
      </c>
      <c r="J4194" t="inlineStr">
        <is>
          <t>Sol de Mallorca</t>
        </is>
      </c>
      <c r="K4194" t="n">
        <v>32.2</v>
      </c>
      <c r="L4194" t="n">
        <v>31</v>
      </c>
      <c r="M4194" t="n">
        <v>75</v>
      </c>
      <c r="N4194" t="n">
        <v>64</v>
      </c>
      <c r="O4194" t="n">
        <v>21.2</v>
      </c>
      <c r="P4194" t="n">
        <v>25</v>
      </c>
      <c r="Q4194" t="n">
        <v>72.7</v>
      </c>
      <c r="R4194" t="n">
        <v>60</v>
      </c>
      <c r="S4194" t="n">
        <v>2000000</v>
      </c>
      <c r="U4194" t="n">
        <v>1000000</v>
      </c>
      <c r="AH4194" t="inlineStr">
        <is>
          <t>Quelle: Pollentia Properties</t>
        </is>
      </c>
    </row>
    <row r="4195">
      <c r="A4195" t="n">
        <v>4008</v>
      </c>
      <c r="B4195" t="inlineStr">
        <is>
          <t>Building plot for sale in Puerto Andratx, with project and license</t>
        </is>
      </c>
      <c r="C4195" t="inlineStr">
        <is>
          <t>https://www.pollentiaproperties.com/en/property/id/949466-building-plot-for-sale-puerto-andratx-project-license-included-refined-elegance</t>
        </is>
      </c>
      <c r="G4195" t="n">
        <v>1</v>
      </c>
      <c r="J4195" t="inlineStr">
        <is>
          <t>Puerto Andratx</t>
        </is>
      </c>
      <c r="K4195" t="n">
        <v>43.5</v>
      </c>
      <c r="L4195" t="n">
        <v>38</v>
      </c>
      <c r="M4195" t="n">
        <v>86.2</v>
      </c>
      <c r="N4195" t="n">
        <v>71</v>
      </c>
      <c r="O4195" t="n">
        <v>6.3</v>
      </c>
      <c r="P4195" t="n">
        <v>11</v>
      </c>
      <c r="Q4195" t="n">
        <v>83.90000000000001</v>
      </c>
      <c r="R4195" t="n">
        <v>68</v>
      </c>
      <c r="S4195" t="n">
        <v>7850000</v>
      </c>
      <c r="U4195" t="n">
        <v>7850000</v>
      </c>
      <c r="AH4195" t="inlineStr">
        <is>
          <t>Quelle: Pollentia Properties</t>
        </is>
      </c>
    </row>
    <row r="4196">
      <c r="A4196" t="n">
        <v>4009</v>
      </c>
      <c r="B4196" t="inlineStr">
        <is>
          <t>Villa for sale in Pollença close to the Golf Course</t>
        </is>
      </c>
      <c r="C4196" t="inlineStr">
        <is>
          <t>https://www.pollentiaproperties.com/en/property/id/949352-villa-for-sale-pollensa-area-golf-course-luxury-exclusivity</t>
        </is>
      </c>
      <c r="E4196" t="n">
        <v>6</v>
      </c>
      <c r="G4196" t="n">
        <v>2</v>
      </c>
      <c r="H4196" t="n">
        <v>697</v>
      </c>
      <c r="J4196" t="inlineStr">
        <is>
          <t>Golf Pollensa</t>
        </is>
      </c>
      <c r="K4196" t="n">
        <v>56.9</v>
      </c>
      <c r="L4196" t="n">
        <v>40</v>
      </c>
      <c r="M4196" t="n">
        <v>75</v>
      </c>
      <c r="N4196" t="n">
        <v>67</v>
      </c>
      <c r="O4196" t="n">
        <v>79.5</v>
      </c>
      <c r="P4196" t="n">
        <v>57</v>
      </c>
      <c r="Q4196" t="n">
        <v>72.7</v>
      </c>
      <c r="R4196" t="n">
        <v>64</v>
      </c>
      <c r="S4196" t="n">
        <v>4975000</v>
      </c>
      <c r="T4196" t="n">
        <v>7138</v>
      </c>
      <c r="U4196" t="n">
        <v>2487500</v>
      </c>
      <c r="AH4196" t="inlineStr">
        <is>
          <t>Quelle: Pollentia Properties</t>
        </is>
      </c>
    </row>
    <row r="4197">
      <c r="A4197" t="n">
        <v>4010</v>
      </c>
      <c r="B4197" t="inlineStr">
        <is>
          <t>Townhouse for sale in Alcúdia fantastic renovation project</t>
        </is>
      </c>
      <c r="C4197" t="inlineStr">
        <is>
          <t>https://www.pollentiaproperties.com/en/property/id/949272-town-house-for-sale-alcudia-renovation-project-great-potential</t>
        </is>
      </c>
      <c r="E4197" t="n">
        <v>3</v>
      </c>
      <c r="G4197" t="n">
        <v>171</v>
      </c>
      <c r="H4197" t="n">
        <v>181</v>
      </c>
      <c r="J4197" t="inlineStr">
        <is>
          <t>Alcudia Pueblo</t>
        </is>
      </c>
      <c r="S4197" t="n">
        <v>695000</v>
      </c>
      <c r="T4197" t="n">
        <v>3840</v>
      </c>
      <c r="U4197" t="n">
        <v>4064</v>
      </c>
      <c r="AH4197" t="inlineStr">
        <is>
          <t>Quelle: Pollentia Properties</t>
        </is>
      </c>
    </row>
    <row r="4198">
      <c r="A4198" t="n">
        <v>4011</v>
      </c>
      <c r="B4198" t="inlineStr">
        <is>
          <t>Townhouse for sale in Santa Catalina district in Palma</t>
        </is>
      </c>
      <c r="C4198" t="inlineStr">
        <is>
          <t>https://www.pollentiaproperties.com/en/property/id/949265-town-house-for-sale-santa-catalina-palma-charming-renovation-courtyard</t>
        </is>
      </c>
      <c r="E4198" t="n">
        <v>2</v>
      </c>
      <c r="G4198" t="n">
        <v>172</v>
      </c>
      <c r="H4198" t="n">
        <v>126</v>
      </c>
      <c r="J4198" t="inlineStr">
        <is>
          <t>Santa Catalina</t>
        </is>
      </c>
      <c r="S4198" t="n">
        <v>749000</v>
      </c>
      <c r="T4198" t="n">
        <v>5944</v>
      </c>
      <c r="U4198" t="n">
        <v>4355</v>
      </c>
      <c r="AH4198" t="inlineStr">
        <is>
          <t>Quelle: Pollentia Properties</t>
        </is>
      </c>
    </row>
    <row r="4199">
      <c r="A4199" t="n">
        <v>4012</v>
      </c>
      <c r="B4199" t="inlineStr">
        <is>
          <t>Villa for sale in Puerto Andratx, fantastic investment opportunity</t>
        </is>
      </c>
      <c r="C4199" t="inlineStr">
        <is>
          <t>https://www.pollentiaproperties.com/en/property/id/949247-villa-for-sale-puerto-andratx-fantastic-investment-opportunity</t>
        </is>
      </c>
      <c r="E4199" t="n">
        <v>4</v>
      </c>
      <c r="G4199" t="n">
        <v>2</v>
      </c>
      <c r="H4199" t="n">
        <v>318</v>
      </c>
      <c r="J4199" t="inlineStr">
        <is>
          <t>Puerto Andratx</t>
        </is>
      </c>
      <c r="K4199" t="n">
        <v>43.5</v>
      </c>
      <c r="L4199" t="n">
        <v>38</v>
      </c>
      <c r="M4199" t="n">
        <v>86.2</v>
      </c>
      <c r="N4199" t="n">
        <v>71</v>
      </c>
      <c r="O4199" t="n">
        <v>6.3</v>
      </c>
      <c r="P4199" t="n">
        <v>11</v>
      </c>
      <c r="Q4199" t="n">
        <v>83.90000000000001</v>
      </c>
      <c r="R4199" t="n">
        <v>68</v>
      </c>
      <c r="S4199" t="n">
        <v>1999000</v>
      </c>
      <c r="T4199" t="n">
        <v>6286</v>
      </c>
      <c r="U4199" t="n">
        <v>999500</v>
      </c>
      <c r="AH4199" t="inlineStr">
        <is>
          <t>Quelle: Pollentia Properties</t>
        </is>
      </c>
    </row>
    <row r="4200">
      <c r="A4200" t="n">
        <v>4013</v>
      </c>
      <c r="B4200" t="inlineStr">
        <is>
          <t>Country house for sale in Alcudia breath-taking new build</t>
        </is>
      </c>
      <c r="C4200" t="inlineStr">
        <is>
          <t>https://www.pollentiaproperties.com/en/property/id/949168-country-house-for-sale-alcudia-new-build-luxury-interior-garden-pool</t>
        </is>
      </c>
      <c r="E4200" t="n">
        <v>4</v>
      </c>
      <c r="G4200" t="n">
        <v>93</v>
      </c>
      <c r="H4200" t="n">
        <v>368</v>
      </c>
      <c r="J4200" t="inlineStr">
        <is>
          <t>Alcúdia</t>
        </is>
      </c>
      <c r="K4200" t="n">
        <v>61.6</v>
      </c>
      <c r="L4200" t="n">
        <v>47</v>
      </c>
      <c r="M4200" t="n">
        <v>79.7</v>
      </c>
      <c r="N4200" t="n">
        <v>74</v>
      </c>
      <c r="O4200" t="n">
        <v>84.2</v>
      </c>
      <c r="P4200" t="n">
        <v>63</v>
      </c>
      <c r="Q4200" t="n">
        <v>77.40000000000001</v>
      </c>
      <c r="R4200" t="n">
        <v>70</v>
      </c>
      <c r="S4200" t="n">
        <v>3500000</v>
      </c>
      <c r="T4200" t="n">
        <v>9511</v>
      </c>
      <c r="U4200" t="n">
        <v>37634</v>
      </c>
      <c r="AH4200" t="inlineStr">
        <is>
          <t>Quelle: Pollentia Properties</t>
        </is>
      </c>
    </row>
    <row r="4201">
      <c r="A4201" t="n">
        <v>4014</v>
      </c>
      <c r="B4201" t="inlineStr">
        <is>
          <t>Country home for sale in Camp de Mar, refined and exclusive</t>
        </is>
      </c>
      <c r="C4201" t="inlineStr">
        <is>
          <t>https://www.pollentiaproperties.com/en/property/id/949029-country-house-for-sale-camp-de-mar-exquisite-elegance-garden-pool</t>
        </is>
      </c>
      <c r="E4201" t="n">
        <v>6</v>
      </c>
      <c r="G4201" t="n">
        <v>2</v>
      </c>
      <c r="H4201" t="n">
        <v>390</v>
      </c>
      <c r="J4201" t="inlineStr">
        <is>
          <t>Camp de Mar</t>
        </is>
      </c>
      <c r="K4201" t="n">
        <v>38.7</v>
      </c>
      <c r="L4201" t="n">
        <v>32</v>
      </c>
      <c r="M4201" t="n">
        <v>81.40000000000001</v>
      </c>
      <c r="N4201" t="n">
        <v>65</v>
      </c>
      <c r="O4201" t="n">
        <v>6.7</v>
      </c>
      <c r="P4201" t="n">
        <v>10</v>
      </c>
      <c r="Q4201" t="n">
        <v>79.09999999999999</v>
      </c>
      <c r="R4201" t="n">
        <v>62</v>
      </c>
      <c r="S4201" t="n">
        <v>6480000</v>
      </c>
      <c r="T4201" t="n">
        <v>16615</v>
      </c>
      <c r="U4201" t="n">
        <v>3240000</v>
      </c>
      <c r="AH4201" t="inlineStr">
        <is>
          <t>Quelle: Pollentia Properties</t>
        </is>
      </c>
    </row>
    <row r="4202">
      <c r="A4202" t="n">
        <v>4015</v>
      </c>
      <c r="B4202" t="inlineStr">
        <is>
          <t>Duplex apartment for sale in La Seu in historic centre of Palma</t>
        </is>
      </c>
      <c r="C4202" t="inlineStr">
        <is>
          <t>https://www.pollentiaproperties.com/en/property/id/948823-duplex-apartment-for-sale-palma-historic-centre-charmingly-renovated</t>
        </is>
      </c>
      <c r="E4202" t="n">
        <v>3</v>
      </c>
      <c r="H4202" t="n">
        <v>193</v>
      </c>
      <c r="J4202" t="inlineStr">
        <is>
          <t>La Seu</t>
        </is>
      </c>
      <c r="K4202" t="n">
        <v>10.6</v>
      </c>
      <c r="L4202" t="n">
        <v>18</v>
      </c>
      <c r="M4202" t="n">
        <v>53.4</v>
      </c>
      <c r="N4202" t="n">
        <v>51</v>
      </c>
      <c r="O4202" t="n">
        <v>30.8</v>
      </c>
      <c r="P4202" t="n">
        <v>36</v>
      </c>
      <c r="Q4202" t="n">
        <v>51.1</v>
      </c>
      <c r="R4202" t="n">
        <v>47</v>
      </c>
      <c r="S4202" t="n">
        <v>1395000</v>
      </c>
      <c r="T4202" t="n">
        <v>7228</v>
      </c>
      <c r="AH4202" t="inlineStr">
        <is>
          <t>Quelle: Pollentia Properties</t>
        </is>
      </c>
    </row>
    <row r="4203">
      <c r="A4203" t="n">
        <v>4016</v>
      </c>
      <c r="B4203" t="inlineStr">
        <is>
          <t>URGENT SALE! Villa for sale in Cas Català with holiday license</t>
        </is>
      </c>
      <c r="C4203" t="inlineStr">
        <is>
          <t>https://www.pollentiaproperties.com/en/property/id/948791-villa-for-sale-cas-catala-holiday-rental-license-</t>
        </is>
      </c>
      <c r="E4203" t="n">
        <v>4</v>
      </c>
      <c r="G4203" t="n">
        <v>915</v>
      </c>
      <c r="H4203" t="n">
        <v>538</v>
      </c>
      <c r="J4203" t="inlineStr">
        <is>
          <t>Cas Català</t>
        </is>
      </c>
      <c r="K4203" t="n">
        <v>20</v>
      </c>
      <c r="L4203" t="n">
        <v>22</v>
      </c>
      <c r="M4203" t="n">
        <v>62.8</v>
      </c>
      <c r="N4203" t="n">
        <v>55</v>
      </c>
      <c r="O4203" t="n">
        <v>23.7</v>
      </c>
      <c r="P4203" t="n">
        <v>23</v>
      </c>
      <c r="Q4203" t="n">
        <v>60.5</v>
      </c>
      <c r="R4203" t="n">
        <v>51</v>
      </c>
      <c r="S4203" t="n">
        <v>2500000</v>
      </c>
      <c r="T4203" t="n">
        <v>4647</v>
      </c>
      <c r="U4203" t="n">
        <v>2732</v>
      </c>
      <c r="AH4203" t="inlineStr">
        <is>
          <t>Quelle: Pollentia Properties</t>
        </is>
      </c>
    </row>
    <row r="4204">
      <c r="A4204" t="n">
        <v>4017</v>
      </c>
      <c r="B4204" t="inlineStr">
        <is>
          <t>Duplex penthouse for sale in La Bonanova in Palma stylish and elegant</t>
        </is>
      </c>
      <c r="C4204" t="inlineStr">
        <is>
          <t>https://www.pollentiaproperties.com/en/property/id/948429-duplex-penthouse-for-sale-exclusive-la-bonanova-area-palma</t>
        </is>
      </c>
      <c r="E4204" t="n">
        <v>3</v>
      </c>
      <c r="H4204" t="n">
        <v>103</v>
      </c>
      <c r="J4204" t="inlineStr">
        <is>
          <t>La Bonanova</t>
        </is>
      </c>
      <c r="S4204" t="n">
        <v>849000</v>
      </c>
      <c r="T4204" t="n">
        <v>8243</v>
      </c>
      <c r="AH4204" t="inlineStr">
        <is>
          <t>Quelle: Pollentia Properties</t>
        </is>
      </c>
    </row>
    <row r="4205">
      <c r="A4205" t="n">
        <v>4018</v>
      </c>
      <c r="B4205" t="inlineStr">
        <is>
          <t>Apartment for sale in Palma ground floor with community pool</t>
        </is>
      </c>
      <c r="C4205" t="inlineStr">
        <is>
          <t>https://www.pollentiaproperties.com/en/property/id/948349-apartment-for-sale-palma-ground-floor-terrace-community-pool</t>
        </is>
      </c>
      <c r="E4205" t="n">
        <v>2</v>
      </c>
      <c r="H4205" t="n">
        <v>106</v>
      </c>
      <c r="J4205" t="inlineStr">
        <is>
          <t>Palma de Mallorca</t>
        </is>
      </c>
      <c r="S4205" t="n">
        <v>895000</v>
      </c>
      <c r="T4205" t="n">
        <v>8443</v>
      </c>
      <c r="AH4205" t="inlineStr">
        <is>
          <t>Quelle: Pollentia Properties</t>
        </is>
      </c>
    </row>
    <row r="4206">
      <c r="A4206" t="n">
        <v>4019</v>
      </c>
      <c r="B4206" t="inlineStr">
        <is>
          <t>Villa for sale in Portals Nous stylish interior with garden and pool</t>
        </is>
      </c>
      <c r="C4206" t="inlineStr">
        <is>
          <t>https://www.pollentiaproperties.com/en/property/id/948344-villa-for-sale-portals-nous-stylish-interior-coveted-location-garden-pool</t>
        </is>
      </c>
      <c r="E4206" t="n">
        <v>4</v>
      </c>
      <c r="G4206" t="n">
        <v>1</v>
      </c>
      <c r="H4206" t="n">
        <v>390</v>
      </c>
      <c r="J4206" t="inlineStr">
        <is>
          <t>Portals Nous</t>
        </is>
      </c>
      <c r="K4206" t="n">
        <v>23.8</v>
      </c>
      <c r="L4206" t="n">
        <v>23</v>
      </c>
      <c r="M4206" t="n">
        <v>66.59999999999999</v>
      </c>
      <c r="N4206" t="n">
        <v>56</v>
      </c>
      <c r="O4206" t="n">
        <v>21.8</v>
      </c>
      <c r="P4206" t="n">
        <v>22</v>
      </c>
      <c r="Q4206" t="n">
        <v>64.3</v>
      </c>
      <c r="R4206" t="n">
        <v>52</v>
      </c>
      <c r="S4206" t="n">
        <v>3500000</v>
      </c>
      <c r="T4206" t="n">
        <v>8974</v>
      </c>
      <c r="U4206" t="n">
        <v>3500000</v>
      </c>
      <c r="AH4206" t="inlineStr">
        <is>
          <t>Quelle: Pollentia Properties</t>
        </is>
      </c>
    </row>
    <row r="4207">
      <c r="A4207" t="n">
        <v>4020</v>
      </c>
      <c r="B4207" t="inlineStr">
        <is>
          <t>Villa for sale in Portals Nous stylishly renovated in coveted location</t>
        </is>
      </c>
      <c r="C4207" t="inlineStr">
        <is>
          <t>https://www.pollentiaproperties.com/en/property/id/948342-villa-for-sale-portals-nous-stylish-garden-pool-coveted-location</t>
        </is>
      </c>
      <c r="E4207" t="n">
        <v>4</v>
      </c>
      <c r="G4207" t="n">
        <v>641</v>
      </c>
      <c r="H4207" t="n">
        <v>367</v>
      </c>
      <c r="J4207" t="inlineStr">
        <is>
          <t>Portals Nous</t>
        </is>
      </c>
      <c r="K4207" t="n">
        <v>23.8</v>
      </c>
      <c r="L4207" t="n">
        <v>23</v>
      </c>
      <c r="M4207" t="n">
        <v>66.59999999999999</v>
      </c>
      <c r="N4207" t="n">
        <v>56</v>
      </c>
      <c r="O4207" t="n">
        <v>21.8</v>
      </c>
      <c r="P4207" t="n">
        <v>22</v>
      </c>
      <c r="Q4207" t="n">
        <v>64.3</v>
      </c>
      <c r="R4207" t="n">
        <v>52</v>
      </c>
      <c r="S4207" t="n">
        <v>2950000</v>
      </c>
      <c r="T4207" t="n">
        <v>8038</v>
      </c>
      <c r="U4207" t="n">
        <v>4602</v>
      </c>
      <c r="AH4207" t="inlineStr">
        <is>
          <t>Quelle: Pollentia Properties</t>
        </is>
      </c>
    </row>
    <row r="4208">
      <c r="A4208" t="n">
        <v>4021</v>
      </c>
      <c r="B4208" t="inlineStr">
        <is>
          <t>Town house for sale in Biniaraix in picturesque location</t>
        </is>
      </c>
      <c r="C4208" t="inlineStr">
        <is>
          <t>https://www.pollentiaproperties.com/en/property/id/948326-town-house-for-sale-biniaraix-picturesque-location-private-garden</t>
        </is>
      </c>
      <c r="E4208" t="n">
        <v>5</v>
      </c>
      <c r="G4208" t="n">
        <v>1</v>
      </c>
      <c r="H4208" t="n">
        <v>206</v>
      </c>
      <c r="J4208" t="inlineStr">
        <is>
          <t>Biniaraix</t>
        </is>
      </c>
      <c r="K4208" t="n">
        <v>37.8</v>
      </c>
      <c r="L4208" t="n">
        <v>48</v>
      </c>
      <c r="M4208" t="n">
        <v>80.5</v>
      </c>
      <c r="N4208" t="n">
        <v>81</v>
      </c>
      <c r="O4208" t="n">
        <v>57.4</v>
      </c>
      <c r="P4208" t="n">
        <v>61</v>
      </c>
      <c r="Q4208" t="n">
        <v>78.2</v>
      </c>
      <c r="R4208" t="n">
        <v>77</v>
      </c>
      <c r="S4208" t="n">
        <v>1300000</v>
      </c>
      <c r="T4208" t="n">
        <v>6311</v>
      </c>
      <c r="U4208" t="n">
        <v>1300000</v>
      </c>
      <c r="AH4208" t="inlineStr">
        <is>
          <t>Quelle: Pollentia Properties</t>
        </is>
      </c>
    </row>
    <row r="4209">
      <c r="A4209" t="n">
        <v>4022</v>
      </c>
      <c r="B4209" t="inlineStr">
        <is>
          <t>Villa for sale in Portals Nous off plan in highly coveted location</t>
        </is>
      </c>
      <c r="C4209" t="inlineStr">
        <is>
          <t>https://www.pollentiaproperties.com/en/property/id/947870-villa-for-sale-portals-nous-off-plan-great-design-terrace-pool</t>
        </is>
      </c>
      <c r="E4209" t="n">
        <v>4</v>
      </c>
      <c r="G4209" t="n">
        <v>1</v>
      </c>
      <c r="H4209" t="n">
        <v>417</v>
      </c>
      <c r="J4209" t="inlineStr">
        <is>
          <t>Portals Nous</t>
        </is>
      </c>
      <c r="K4209" t="n">
        <v>23.8</v>
      </c>
      <c r="L4209" t="n">
        <v>23</v>
      </c>
      <c r="M4209" t="n">
        <v>66.59999999999999</v>
      </c>
      <c r="N4209" t="n">
        <v>56</v>
      </c>
      <c r="O4209" t="n">
        <v>21.8</v>
      </c>
      <c r="P4209" t="n">
        <v>22</v>
      </c>
      <c r="Q4209" t="n">
        <v>64.3</v>
      </c>
      <c r="R4209" t="n">
        <v>52</v>
      </c>
      <c r="S4209" t="n">
        <v>4900000</v>
      </c>
      <c r="T4209" t="n">
        <v>11751</v>
      </c>
      <c r="U4209" t="n">
        <v>4900000</v>
      </c>
      <c r="AH4209" t="inlineStr">
        <is>
          <t>Quelle: Pollentia Properties</t>
        </is>
      </c>
    </row>
    <row r="4210">
      <c r="A4210" t="n">
        <v>4023</v>
      </c>
      <c r="B4210" t="inlineStr">
        <is>
          <t>Country house for sale in Binissalem exceptional luxury project</t>
        </is>
      </c>
      <c r="C4210" t="inlineStr">
        <is>
          <t>https://www.pollentiaproperties.com/en/property/id/947767-country-house-for-sale-binissalem-exceptional-luxury-project</t>
        </is>
      </c>
      <c r="E4210" t="n">
        <v>4</v>
      </c>
      <c r="G4210" t="n">
        <v>47</v>
      </c>
      <c r="H4210" t="n">
        <v>430</v>
      </c>
      <c r="J4210" t="inlineStr">
        <is>
          <t>Binissalem</t>
        </is>
      </c>
      <c r="K4210" t="n">
        <v>31.5</v>
      </c>
      <c r="L4210" t="n">
        <v>29</v>
      </c>
      <c r="M4210" t="n">
        <v>74.3</v>
      </c>
      <c r="N4210" t="n">
        <v>62</v>
      </c>
      <c r="O4210" t="n">
        <v>54.1</v>
      </c>
      <c r="P4210" t="n">
        <v>45</v>
      </c>
      <c r="Q4210" t="n">
        <v>72</v>
      </c>
      <c r="R4210" t="n">
        <v>58</v>
      </c>
      <c r="S4210" t="n">
        <v>7995000</v>
      </c>
      <c r="T4210" t="n">
        <v>18593</v>
      </c>
      <c r="U4210" t="n">
        <v>170106</v>
      </c>
      <c r="AH4210" t="inlineStr">
        <is>
          <t>Quelle: Pollentia Properties</t>
        </is>
      </c>
    </row>
    <row r="4211">
      <c r="A4211" t="n">
        <v>4024</v>
      </c>
      <c r="B4211" t="inlineStr">
        <is>
          <t>Ground floor apartment for sale in Puerto Pollença on the Pine Walk</t>
        </is>
      </c>
      <c r="C4211" t="inlineStr">
        <is>
          <t>https://www.pollentiaproperties.com/en/property/id/947659-apartment-for-sale-puerto-pollensa-ground-floor-sea-access</t>
        </is>
      </c>
      <c r="E4211" t="n">
        <v>3</v>
      </c>
      <c r="H4211" t="n">
        <v>161</v>
      </c>
      <c r="J4211" t="inlineStr">
        <is>
          <t>Pine Walk</t>
        </is>
      </c>
      <c r="K4211" t="n">
        <v>68</v>
      </c>
      <c r="L4211" t="n">
        <v>53</v>
      </c>
      <c r="M4211" t="n">
        <v>86.09999999999999</v>
      </c>
      <c r="N4211" t="n">
        <v>80</v>
      </c>
      <c r="O4211" t="n">
        <v>90.59999999999999</v>
      </c>
      <c r="P4211" t="n">
        <v>69</v>
      </c>
      <c r="Q4211" t="n">
        <v>83.8</v>
      </c>
      <c r="R4211" t="n">
        <v>76</v>
      </c>
      <c r="S4211" t="n">
        <v>1695000</v>
      </c>
      <c r="T4211" t="n">
        <v>10528</v>
      </c>
      <c r="AH4211" t="inlineStr">
        <is>
          <t>Quelle: Pollentia Properties</t>
        </is>
      </c>
    </row>
    <row r="4212">
      <c r="A4212" t="n">
        <v>4025</v>
      </c>
      <c r="B4212" t="inlineStr">
        <is>
          <t>Villa for sale in Puerto Pollensa, construction started</t>
        </is>
      </c>
      <c r="C4212" t="inlineStr">
        <is>
          <t>https://www.pollentiaproperties.com/en/property/id/947645-villa-for-sale-gotmar-area-puerto-pollensa</t>
        </is>
      </c>
      <c r="E4212" t="n">
        <v>5</v>
      </c>
      <c r="G4212" t="n">
        <v>1</v>
      </c>
      <c r="H4212" t="n">
        <v>500</v>
      </c>
      <c r="J4212" t="inlineStr">
        <is>
          <t>Gotmar</t>
        </is>
      </c>
      <c r="K4212" t="n">
        <v>66.2</v>
      </c>
      <c r="L4212" t="n">
        <v>50</v>
      </c>
      <c r="M4212" t="n">
        <v>84.3</v>
      </c>
      <c r="N4212" t="n">
        <v>77</v>
      </c>
      <c r="O4212" t="n">
        <v>88.8</v>
      </c>
      <c r="P4212" t="n">
        <v>66</v>
      </c>
      <c r="Q4212" t="n">
        <v>82</v>
      </c>
      <c r="R4212" t="n">
        <v>73</v>
      </c>
      <c r="S4212" t="n">
        <v>1750000</v>
      </c>
      <c r="T4212" t="n">
        <v>3500</v>
      </c>
      <c r="U4212" t="n">
        <v>1750000</v>
      </c>
      <c r="AH4212" t="inlineStr">
        <is>
          <t>Quelle: Pollentia Properties</t>
        </is>
      </c>
    </row>
    <row r="4213">
      <c r="A4213" t="n">
        <v>4026</v>
      </c>
      <c r="B4213" t="inlineStr">
        <is>
          <t>Villa for sale in Port Verd luxury design in breath-taking location</t>
        </is>
      </c>
      <c r="C4213" t="inlineStr">
        <is>
          <t>https://www.pollentiaproperties.com/en/property/id/945235-villa-for-sale-port-verd-luxury-design-terraces-private-pool</t>
        </is>
      </c>
      <c r="E4213" t="n">
        <v>4</v>
      </c>
      <c r="G4213" t="n">
        <v>1</v>
      </c>
      <c r="H4213" t="n">
        <v>744</v>
      </c>
      <c r="J4213" t="inlineStr">
        <is>
          <t>Port Verd</t>
        </is>
      </c>
      <c r="K4213" t="n">
        <v>69.2</v>
      </c>
      <c r="L4213" t="n">
        <v>59</v>
      </c>
      <c r="M4213" t="n">
        <v>64.5</v>
      </c>
      <c r="N4213" t="n">
        <v>63</v>
      </c>
      <c r="O4213" t="n">
        <v>103.4</v>
      </c>
      <c r="P4213" t="n">
        <v>84</v>
      </c>
      <c r="Q4213" t="n">
        <v>62.2</v>
      </c>
      <c r="R4213" t="n">
        <v>59</v>
      </c>
      <c r="S4213" t="n">
        <v>5750000</v>
      </c>
      <c r="T4213" t="n">
        <v>7728</v>
      </c>
      <c r="U4213" t="n">
        <v>5750000</v>
      </c>
      <c r="AH4213" t="inlineStr">
        <is>
          <t>Quelle: Pollentia Properties</t>
        </is>
      </c>
    </row>
    <row r="4214">
      <c r="A4214" t="n">
        <v>4027</v>
      </c>
      <c r="B4214" t="inlineStr">
        <is>
          <t>Townhouse for sale in Ariany, stunning new build</t>
        </is>
      </c>
      <c r="C4214" t="inlineStr">
        <is>
          <t>https://www.pollentiaproperties.com/en/property/id/945101-town-house-for-sale-ariany-newly-built-stone-clad-patio-pool</t>
        </is>
      </c>
      <c r="E4214" t="n">
        <v>3</v>
      </c>
      <c r="H4214" t="n">
        <v>224</v>
      </c>
      <c r="J4214" t="inlineStr">
        <is>
          <t>Ariany</t>
        </is>
      </c>
      <c r="AH4214" t="inlineStr">
        <is>
          <t>Quelle: Pollentia Properties</t>
        </is>
      </c>
    </row>
    <row r="4215">
      <c r="A4215" t="n">
        <v>4028</v>
      </c>
      <c r="B4215" t="inlineStr">
        <is>
          <t>Town house for sale in Portals Nous in exclusive community</t>
        </is>
      </c>
      <c r="C4215" t="inlineStr">
        <is>
          <t>https://www.pollentiaproperties.com/en/property/id/945008-town-house-for-sale-portals-nous-community-pool-ideal-location</t>
        </is>
      </c>
      <c r="E4215" t="n">
        <v>3</v>
      </c>
      <c r="H4215" t="n">
        <v>260</v>
      </c>
      <c r="J4215" t="inlineStr">
        <is>
          <t>Portals Nous</t>
        </is>
      </c>
      <c r="S4215" t="n">
        <v>745000</v>
      </c>
      <c r="T4215" t="n">
        <v>2865</v>
      </c>
      <c r="AH4215" t="inlineStr">
        <is>
          <t>Quelle: Pollentia Properties</t>
        </is>
      </c>
    </row>
    <row r="4216">
      <c r="A4216" t="n">
        <v>4029</v>
      </c>
      <c r="B4216" t="inlineStr">
        <is>
          <t>Penthouse for sale in Canyamel in new and stylish development</t>
        </is>
      </c>
      <c r="C4216" t="inlineStr">
        <is>
          <t>https://www.pollentiaproperties.com/en/property/id/944631-penthouse-for-sale-canyamel-new-development-community-pool-gardens</t>
        </is>
      </c>
      <c r="E4216" t="n">
        <v>3</v>
      </c>
      <c r="H4216" t="n">
        <v>194</v>
      </c>
      <c r="J4216" t="inlineStr">
        <is>
          <t>Canyamel</t>
        </is>
      </c>
      <c r="AH4216" t="inlineStr">
        <is>
          <t>Quelle: Pollentia Properties</t>
        </is>
      </c>
    </row>
    <row r="4217">
      <c r="A4217" t="n">
        <v>4030</v>
      </c>
      <c r="B4217" t="inlineStr">
        <is>
          <t>Duplex apartment for sale in Canyamel in new and stylish development</t>
        </is>
      </c>
      <c r="C4217" t="inlineStr">
        <is>
          <t>https://www.pollentiaproperties.com/en/property/id/944629-duplex-apartment-for-sale-canyamel-new-development-community-pool-gardens</t>
        </is>
      </c>
      <c r="E4217" t="n">
        <v>3</v>
      </c>
      <c r="H4217" t="n">
        <v>195</v>
      </c>
      <c r="J4217" t="inlineStr">
        <is>
          <t>Canyamel</t>
        </is>
      </c>
      <c r="AH4217" t="inlineStr">
        <is>
          <t>Quelle: Pollentia Properties</t>
        </is>
      </c>
    </row>
    <row r="4218">
      <c r="A4218" t="n">
        <v>4031</v>
      </c>
      <c r="B4218" t="inlineStr">
        <is>
          <t>Apartment for sale in Canyamel in new and stylish development</t>
        </is>
      </c>
      <c r="C4218" t="inlineStr">
        <is>
          <t>https://www.pollentiaproperties.com/en/property/id/944626-apartment-for-sale-canyamel-new-development-community-pool-gardens</t>
        </is>
      </c>
      <c r="E4218" t="n">
        <v>2</v>
      </c>
      <c r="H4218" t="n">
        <v>96</v>
      </c>
      <c r="J4218" t="inlineStr">
        <is>
          <t>Canyamel</t>
        </is>
      </c>
      <c r="S4218" t="n">
        <v>428000</v>
      </c>
      <c r="T4218" t="n">
        <v>4458</v>
      </c>
      <c r="AH4218" t="inlineStr">
        <is>
          <t>Quelle: Pollentia Properties</t>
        </is>
      </c>
    </row>
    <row r="4219">
      <c r="A4219" t="n">
        <v>4032</v>
      </c>
      <c r="B4219" t="inlineStr">
        <is>
          <t>Apartment for sale in Canyamel in exclusive modern project</t>
        </is>
      </c>
      <c r="C4219" t="inlineStr">
        <is>
          <t>https://www.pollentiaproperties.com/en/property/id/944625-apartment-for-sale-canyamel-new-development-community-pool-gardens</t>
        </is>
      </c>
      <c r="E4219" t="n">
        <v>2</v>
      </c>
      <c r="H4219" t="n">
        <v>94</v>
      </c>
      <c r="J4219" t="inlineStr">
        <is>
          <t>Canyamel</t>
        </is>
      </c>
      <c r="S4219" t="n">
        <v>455000</v>
      </c>
      <c r="T4219" t="n">
        <v>4840</v>
      </c>
      <c r="AH4219" t="inlineStr">
        <is>
          <t>Quelle: Pollentia Properties</t>
        </is>
      </c>
    </row>
    <row r="4220">
      <c r="A4220" t="n">
        <v>4033</v>
      </c>
      <c r="B4220" t="inlineStr">
        <is>
          <t>Apartment for sale in Canyamel in new and stylish development</t>
        </is>
      </c>
      <c r="C4220" t="inlineStr">
        <is>
          <t>https://www.pollentiaproperties.com/en/property/id/944623-apartment-for-sale-canyamel-new-development-community-pool-gardens</t>
        </is>
      </c>
      <c r="E4220" t="n">
        <v>2</v>
      </c>
      <c r="H4220" t="n">
        <v>94</v>
      </c>
      <c r="J4220" t="inlineStr">
        <is>
          <t>Canyamel</t>
        </is>
      </c>
      <c r="S4220" t="n">
        <v>439000</v>
      </c>
      <c r="T4220" t="n">
        <v>4670</v>
      </c>
      <c r="AH4220" t="inlineStr">
        <is>
          <t>Quelle: Pollentia Properties</t>
        </is>
      </c>
    </row>
    <row r="4221">
      <c r="A4221" t="n">
        <v>4034</v>
      </c>
      <c r="B4221" t="inlineStr">
        <is>
          <t>Apartment for sale in Canyamel in new seafront development</t>
        </is>
      </c>
      <c r="C4221" t="inlineStr">
        <is>
          <t>https://www.pollentiaproperties.com/en/property/id/944622-apartment-for-sale-canyamel-new-development-community-pool-gardens</t>
        </is>
      </c>
      <c r="E4221" t="n">
        <v>2</v>
      </c>
      <c r="H4221" t="n">
        <v>93</v>
      </c>
      <c r="J4221" t="inlineStr">
        <is>
          <t>Canyamel</t>
        </is>
      </c>
      <c r="S4221" t="n">
        <v>416000</v>
      </c>
      <c r="T4221" t="n">
        <v>4473</v>
      </c>
      <c r="AH4221" t="inlineStr">
        <is>
          <t>Quelle: Pollentia Properties</t>
        </is>
      </c>
    </row>
    <row r="4222">
      <c r="A4222" t="n">
        <v>4035</v>
      </c>
      <c r="B4222" t="inlineStr">
        <is>
          <t>Apartment for sale in Canyamel in new and stylish development</t>
        </is>
      </c>
      <c r="C4222" t="inlineStr">
        <is>
          <t>https://www.pollentiaproperties.com/en/property/id/944620-apartment-for-sale-canyamel-new-development-community-pool-gardens</t>
        </is>
      </c>
      <c r="E4222" t="n">
        <v>2</v>
      </c>
      <c r="H4222" t="n">
        <v>91</v>
      </c>
      <c r="J4222" t="inlineStr">
        <is>
          <t>Canyamel</t>
        </is>
      </c>
      <c r="S4222" t="n">
        <v>482000</v>
      </c>
      <c r="T4222" t="n">
        <v>5297</v>
      </c>
      <c r="AH4222" t="inlineStr">
        <is>
          <t>Quelle: Pollentia Properties</t>
        </is>
      </c>
    </row>
    <row r="4223">
      <c r="A4223" t="n">
        <v>4036</v>
      </c>
      <c r="B4223" t="inlineStr">
        <is>
          <t>Duplex Apartment for sale in Canyamel in exclusive beachside residence</t>
        </is>
      </c>
      <c r="C4223" t="inlineStr">
        <is>
          <t>https://www.pollentiaproperties.com/en/property/id/944527-duplex-apartment-for-sale-canyamel-new-development-community-pool-gardens</t>
        </is>
      </c>
      <c r="E4223" t="n">
        <v>3</v>
      </c>
      <c r="H4223" t="n">
        <v>195</v>
      </c>
      <c r="J4223" t="inlineStr">
        <is>
          <t>Canyamel</t>
        </is>
      </c>
      <c r="S4223" t="n">
        <v>742000</v>
      </c>
      <c r="T4223" t="n">
        <v>3805</v>
      </c>
      <c r="AH4223" t="inlineStr">
        <is>
          <t>Quelle: Pollentia Properties</t>
        </is>
      </c>
    </row>
    <row r="4224">
      <c r="A4224" t="n">
        <v>4037</v>
      </c>
      <c r="B4224" t="inlineStr">
        <is>
          <t>Apartment for sale in Palma in desirable and iconic neighbourhood</t>
        </is>
      </c>
      <c r="C4224" t="inlineStr">
        <is>
          <t>https://www.pollentiaproperties.com/en/property/id/944432-apartment-for-sale-palma-central-location-investment-opportunity</t>
        </is>
      </c>
      <c r="E4224" t="n">
        <v>4</v>
      </c>
      <c r="H4224" t="n">
        <v>136</v>
      </c>
      <c r="J4224" t="inlineStr">
        <is>
          <t>Palma City Centre</t>
        </is>
      </c>
      <c r="S4224" t="n">
        <v>750000</v>
      </c>
      <c r="T4224" t="n">
        <v>5515</v>
      </c>
      <c r="AH4224" t="inlineStr">
        <is>
          <t>Quelle: Pollentia Properties</t>
        </is>
      </c>
    </row>
    <row r="4225">
      <c r="A4225" t="n">
        <v>4038</v>
      </c>
      <c r="B4225" t="inlineStr">
        <is>
          <t>Townhouse for sale in El Terreno with three storeys, garden and pool</t>
        </is>
      </c>
      <c r="C4225" t="inlineStr">
        <is>
          <t>https://www.pollentiaproperties.com/en/property/id/944281-town-house-for-sale-el-terreno-palma-stylish-interior-garden-pool</t>
        </is>
      </c>
      <c r="E4225" t="n">
        <v>4</v>
      </c>
      <c r="G4225" t="n">
        <v>270</v>
      </c>
      <c r="H4225" t="n">
        <v>283</v>
      </c>
      <c r="J4225" t="inlineStr">
        <is>
          <t>El Terreno</t>
        </is>
      </c>
      <c r="K4225" t="n">
        <v>12.3</v>
      </c>
      <c r="L4225" t="n">
        <v>21</v>
      </c>
      <c r="M4225" t="n">
        <v>55</v>
      </c>
      <c r="N4225" t="n">
        <v>53</v>
      </c>
      <c r="O4225" t="n">
        <v>27.6</v>
      </c>
      <c r="P4225" t="n">
        <v>27</v>
      </c>
      <c r="Q4225" t="n">
        <v>52.7</v>
      </c>
      <c r="R4225" t="n">
        <v>50</v>
      </c>
      <c r="S4225" t="n">
        <v>2095000</v>
      </c>
      <c r="T4225" t="n">
        <v>7403</v>
      </c>
      <c r="U4225" t="n">
        <v>7759</v>
      </c>
      <c r="AH4225" t="inlineStr">
        <is>
          <t>Quelle: Pollentia Properties</t>
        </is>
      </c>
    </row>
    <row r="4226">
      <c r="A4226" t="n">
        <v>4039</v>
      </c>
      <c r="B4226" t="inlineStr">
        <is>
          <t>Villa for sale in El Toro in Calviá with great charm in desirable location</t>
        </is>
      </c>
      <c r="C4226" t="inlineStr">
        <is>
          <t>https://www.pollentiaproperties.com/en/property/id/944235-villa-for-sale-el-toro-calvia-mediterranean-charm-terraces-pool</t>
        </is>
      </c>
      <c r="E4226" t="n">
        <v>3</v>
      </c>
      <c r="G4226" t="n">
        <v>666</v>
      </c>
      <c r="H4226" t="n">
        <v>150</v>
      </c>
      <c r="J4226" t="inlineStr">
        <is>
          <t>El Toro - Port Adriano</t>
        </is>
      </c>
      <c r="K4226" t="n">
        <v>34.7</v>
      </c>
      <c r="L4226" t="n">
        <v>32</v>
      </c>
      <c r="M4226" t="n">
        <v>77.40000000000001</v>
      </c>
      <c r="N4226" t="n">
        <v>65</v>
      </c>
      <c r="O4226" t="n">
        <v>18.7</v>
      </c>
      <c r="P4226" t="n">
        <v>23</v>
      </c>
      <c r="Q4226" t="n">
        <v>75.09999999999999</v>
      </c>
      <c r="R4226" t="n">
        <v>61</v>
      </c>
      <c r="S4226" t="n">
        <v>1450000</v>
      </c>
      <c r="T4226" t="n">
        <v>9667</v>
      </c>
      <c r="U4226" t="n">
        <v>2177</v>
      </c>
      <c r="AH4226" t="inlineStr">
        <is>
          <t>Quelle: Pollentia Properties</t>
        </is>
      </c>
    </row>
    <row r="4227">
      <c r="A4227" t="n">
        <v>4040</v>
      </c>
      <c r="B4227" t="inlineStr">
        <is>
          <t>Town house for sale in La Vileta, Palma with terraces and a solarium</t>
        </is>
      </c>
      <c r="C4227" t="inlineStr">
        <is>
          <t>https://www.pollentiaproperties.com/en/property/id/944157-town-house-for-sale-la-vileta-palma-terraces-solarium-community-pool</t>
        </is>
      </c>
      <c r="E4227" t="n">
        <v>3</v>
      </c>
      <c r="G4227" t="n">
        <v>240</v>
      </c>
      <c r="H4227" t="n">
        <v>183</v>
      </c>
      <c r="J4227" t="inlineStr">
        <is>
          <t>La Vileta</t>
        </is>
      </c>
      <c r="S4227" t="n">
        <v>860000</v>
      </c>
      <c r="T4227" t="n">
        <v>4699</v>
      </c>
      <c r="U4227" t="n">
        <v>3583</v>
      </c>
      <c r="AH4227" t="inlineStr">
        <is>
          <t>Quelle: Pollentia Properties</t>
        </is>
      </c>
    </row>
    <row r="4228">
      <c r="A4228" t="n">
        <v>4041</v>
      </c>
      <c r="B4228" t="inlineStr">
        <is>
          <t>Town house for sale in Pollença in central location</t>
        </is>
      </c>
      <c r="C4228" t="inlineStr">
        <is>
          <t>https://www.pollentiaproperties.com/en/property/id/944144-town-house-for-sale-pollensa-central-location-renovation-potential</t>
        </is>
      </c>
      <c r="E4228" t="n">
        <v>3</v>
      </c>
      <c r="G4228" t="n">
        <v>83</v>
      </c>
      <c r="H4228" t="n">
        <v>151</v>
      </c>
      <c r="J4228" t="inlineStr">
        <is>
          <t>Pollença Pueblo</t>
        </is>
      </c>
      <c r="S4228" t="n">
        <v>540000</v>
      </c>
      <c r="T4228" t="n">
        <v>3576</v>
      </c>
      <c r="U4228" t="n">
        <v>6506</v>
      </c>
      <c r="AH4228" t="inlineStr">
        <is>
          <t>Quelle: Pollentia Properties</t>
        </is>
      </c>
    </row>
    <row r="4229">
      <c r="A4229" t="n">
        <v>4042</v>
      </c>
      <c r="B4229" t="inlineStr">
        <is>
          <t>Town house for sale in Pollença currently undergoing a meticulous renovation</t>
        </is>
      </c>
      <c r="C4229" t="inlineStr">
        <is>
          <t>https://www.pollentiaproperties.com/en/property/id/944043-town-house-for-sale-pollensa-historic-centre-meticulous-renovation</t>
        </is>
      </c>
      <c r="E4229" t="n">
        <v>4</v>
      </c>
      <c r="G4229" t="n">
        <v>210</v>
      </c>
      <c r="H4229" t="n">
        <v>217</v>
      </c>
      <c r="J4229" t="inlineStr">
        <is>
          <t>Pollença Pueblo</t>
        </is>
      </c>
      <c r="K4229" t="n">
        <v>60.6</v>
      </c>
      <c r="L4229" t="n">
        <v>47</v>
      </c>
      <c r="M4229" t="n">
        <v>78.7</v>
      </c>
      <c r="N4229" t="n">
        <v>74</v>
      </c>
      <c r="O4229" t="n">
        <v>83.2</v>
      </c>
      <c r="P4229" t="n">
        <v>63</v>
      </c>
      <c r="Q4229" t="n">
        <v>76.40000000000001</v>
      </c>
      <c r="R4229" t="n">
        <v>70</v>
      </c>
      <c r="S4229" t="n">
        <v>2200000</v>
      </c>
      <c r="T4229" t="n">
        <v>10138</v>
      </c>
      <c r="U4229" t="n">
        <v>10476</v>
      </c>
      <c r="AH4229" t="inlineStr">
        <is>
          <t>Quelle: Pollentia Properties</t>
        </is>
      </c>
    </row>
    <row r="4230">
      <c r="A4230" t="n">
        <v>4043</v>
      </c>
      <c r="B4230" t="inlineStr">
        <is>
          <t>Apartment for sale in Capdepera in new residential project</t>
        </is>
      </c>
      <c r="C4230" t="inlineStr">
        <is>
          <t>https://www.pollentiaproperties.com/en/property/id/943650-apartment-for-sale-capdepera-new-residential-project</t>
        </is>
      </c>
      <c r="E4230" t="n">
        <v>2</v>
      </c>
      <c r="H4230" t="n">
        <v>89</v>
      </c>
      <c r="J4230" t="inlineStr">
        <is>
          <t>Capdepera</t>
        </is>
      </c>
      <c r="S4230" t="n">
        <v>585000</v>
      </c>
      <c r="T4230" t="n">
        <v>6573</v>
      </c>
      <c r="AH4230" t="inlineStr">
        <is>
          <t>Quelle: Pollentia Properties</t>
        </is>
      </c>
    </row>
    <row r="4231">
      <c r="A4231" t="n">
        <v>4044</v>
      </c>
      <c r="B4231" t="inlineStr">
        <is>
          <t>Apartment for sale in Capdepera in new residential project</t>
        </is>
      </c>
      <c r="C4231" t="inlineStr">
        <is>
          <t>https://www.pollentiaproperties.com/en/property/id/943649-apartment-for-sale-capdepera-new-residential-project</t>
        </is>
      </c>
      <c r="E4231" t="n">
        <v>2</v>
      </c>
      <c r="H4231" t="n">
        <v>89</v>
      </c>
      <c r="J4231" t="inlineStr">
        <is>
          <t>Capdepera</t>
        </is>
      </c>
      <c r="S4231" t="n">
        <v>595000</v>
      </c>
      <c r="T4231" t="n">
        <v>6685</v>
      </c>
      <c r="AH4231" t="inlineStr">
        <is>
          <t>Quelle: Pollentia Properties</t>
        </is>
      </c>
    </row>
    <row r="4232">
      <c r="A4232" t="n">
        <v>4045</v>
      </c>
      <c r="B4232" t="inlineStr">
        <is>
          <t>Apartment for sale in Capdepera in new residential project</t>
        </is>
      </c>
      <c r="C4232" t="inlineStr">
        <is>
          <t>https://www.pollentiaproperties.com/en/property/id/943647-apartment-for-sale-capdepera-new-residential-project</t>
        </is>
      </c>
      <c r="E4232" t="n">
        <v>2</v>
      </c>
      <c r="H4232" t="n">
        <v>89</v>
      </c>
      <c r="J4232" t="inlineStr">
        <is>
          <t>Capdepera</t>
        </is>
      </c>
      <c r="S4232" t="n">
        <v>645000</v>
      </c>
      <c r="T4232" t="n">
        <v>7247</v>
      </c>
      <c r="AH4232" t="inlineStr">
        <is>
          <t>Quelle: Pollentia Properties</t>
        </is>
      </c>
    </row>
    <row r="4233">
      <c r="A4233" t="n">
        <v>4046</v>
      </c>
      <c r="B4233" t="inlineStr">
        <is>
          <t>Apartment for sale in Capdepera in new residential project</t>
        </is>
      </c>
      <c r="C4233" t="inlineStr">
        <is>
          <t>https://www.pollentiaproperties.com/en/property/id/943646-apartment-for-sale-capdepera-new-residential-project</t>
        </is>
      </c>
      <c r="E4233" t="n">
        <v>2</v>
      </c>
      <c r="H4233" t="n">
        <v>97</v>
      </c>
      <c r="J4233" t="inlineStr">
        <is>
          <t>Capdepera</t>
        </is>
      </c>
      <c r="AH4233" t="inlineStr">
        <is>
          <t>Quelle: Pollentia Properties</t>
        </is>
      </c>
    </row>
    <row r="4234">
      <c r="A4234" t="n">
        <v>4047</v>
      </c>
      <c r="B4234" t="inlineStr">
        <is>
          <t>Apartment for sale in Capdepera in new residential project</t>
        </is>
      </c>
      <c r="C4234" t="inlineStr">
        <is>
          <t>https://www.pollentiaproperties.com/en/property/id/943645-apartment-for-sale-capdepera-new-residential-project</t>
        </is>
      </c>
      <c r="E4234" t="n">
        <v>2</v>
      </c>
      <c r="H4234" t="n">
        <v>89</v>
      </c>
      <c r="J4234" t="inlineStr">
        <is>
          <t>Capdepera</t>
        </is>
      </c>
      <c r="S4234" t="n">
        <v>530000</v>
      </c>
      <c r="T4234" t="n">
        <v>5955</v>
      </c>
      <c r="AH4234" t="inlineStr">
        <is>
          <t>Quelle: Pollentia Properties</t>
        </is>
      </c>
    </row>
    <row r="4235">
      <c r="A4235" t="n">
        <v>4048</v>
      </c>
      <c r="B4235" t="inlineStr">
        <is>
          <t>Apartment for sale in Capdepera in new residential project</t>
        </is>
      </c>
      <c r="C4235" t="inlineStr">
        <is>
          <t>https://www.pollentiaproperties.com/en/property/id/943644-apartment-for-sale-capdepera-new-residential-project</t>
        </is>
      </c>
      <c r="E4235" t="n">
        <v>2</v>
      </c>
      <c r="H4235" t="n">
        <v>89</v>
      </c>
      <c r="J4235" t="inlineStr">
        <is>
          <t>Capdepera</t>
        </is>
      </c>
      <c r="AH4235" t="inlineStr">
        <is>
          <t>Quelle: Pollentia Properties</t>
        </is>
      </c>
    </row>
    <row r="4236">
      <c r="A4236" t="n">
        <v>4049</v>
      </c>
      <c r="B4236" t="inlineStr">
        <is>
          <t>Apartment for sale in Capdepera in new residential project</t>
        </is>
      </c>
      <c r="C4236" t="inlineStr">
        <is>
          <t>https://www.pollentiaproperties.com/en/property/id/943643-apartment-for-sale-capdepera-new-residential-project</t>
        </is>
      </c>
      <c r="E4236" t="n">
        <v>2</v>
      </c>
      <c r="H4236" t="n">
        <v>89</v>
      </c>
      <c r="J4236" t="inlineStr">
        <is>
          <t>Capdepera</t>
        </is>
      </c>
      <c r="S4236" t="n">
        <v>520000</v>
      </c>
      <c r="T4236" t="n">
        <v>5843</v>
      </c>
      <c r="AH4236" t="inlineStr">
        <is>
          <t>Quelle: Pollentia Properties</t>
        </is>
      </c>
    </row>
    <row r="4237">
      <c r="A4237" t="n">
        <v>4050</v>
      </c>
      <c r="B4237" t="inlineStr">
        <is>
          <t>Apartment for sale in Capdepera in new residential project</t>
        </is>
      </c>
      <c r="C4237" t="inlineStr">
        <is>
          <t>https://www.pollentiaproperties.com/en/property/id/943642-apartment-for-sale-capdepera-new-residential-project</t>
        </is>
      </c>
      <c r="E4237" t="n">
        <v>2</v>
      </c>
      <c r="H4237" t="n">
        <v>89</v>
      </c>
      <c r="J4237" t="inlineStr">
        <is>
          <t>Capdepera</t>
        </is>
      </c>
      <c r="S4237" t="n">
        <v>475000</v>
      </c>
      <c r="T4237" t="n">
        <v>5337</v>
      </c>
      <c r="AH4237" t="inlineStr">
        <is>
          <t>Quelle: Pollentia Properties</t>
        </is>
      </c>
    </row>
    <row r="4238">
      <c r="A4238" t="n">
        <v>4051</v>
      </c>
      <c r="B4238" t="inlineStr">
        <is>
          <t>Apartment for sale in Capdepera in new residential project</t>
        </is>
      </c>
      <c r="C4238" t="inlineStr">
        <is>
          <t>https://www.pollentiaproperties.com/en/property/id/943641-apartment-for-sale-capdepera-new-residential-project</t>
        </is>
      </c>
      <c r="E4238" t="n">
        <v>2</v>
      </c>
      <c r="H4238" t="n">
        <v>89</v>
      </c>
      <c r="J4238" t="inlineStr">
        <is>
          <t>Capdepera</t>
        </is>
      </c>
      <c r="S4238" t="n">
        <v>475000</v>
      </c>
      <c r="T4238" t="n">
        <v>5337</v>
      </c>
      <c r="AH4238" t="inlineStr">
        <is>
          <t>Quelle: Pollentia Properties</t>
        </is>
      </c>
    </row>
    <row r="4239">
      <c r="A4239" t="n">
        <v>4052</v>
      </c>
      <c r="B4239" t="inlineStr">
        <is>
          <t>Apartment for sale in Capdepera in new residential project</t>
        </is>
      </c>
      <c r="C4239" t="inlineStr">
        <is>
          <t>https://www.pollentiaproperties.com/en/property/id/943640-apartment-for-sale-capdepera-new-residential-project</t>
        </is>
      </c>
      <c r="E4239" t="n">
        <v>2</v>
      </c>
      <c r="H4239" t="n">
        <v>89</v>
      </c>
      <c r="J4239" t="inlineStr">
        <is>
          <t>Capdepera</t>
        </is>
      </c>
      <c r="S4239" t="n">
        <v>480000</v>
      </c>
      <c r="T4239" t="n">
        <v>5393</v>
      </c>
      <c r="AH4239" t="inlineStr">
        <is>
          <t>Quelle: Pollentia Properties</t>
        </is>
      </c>
    </row>
    <row r="4240">
      <c r="A4240" t="n">
        <v>4053</v>
      </c>
      <c r="B4240" t="inlineStr">
        <is>
          <t>Apartment for sale in Capdepera in new residential project</t>
        </is>
      </c>
      <c r="C4240" t="inlineStr">
        <is>
          <t>https://www.pollentiaproperties.com/en/property/id/943639-apartment-for-sale-capdepera-new-residential-project</t>
        </is>
      </c>
      <c r="E4240" t="n">
        <v>2</v>
      </c>
      <c r="H4240" t="n">
        <v>89</v>
      </c>
      <c r="J4240" t="inlineStr">
        <is>
          <t>Capdepera</t>
        </is>
      </c>
      <c r="S4240" t="n">
        <v>475000</v>
      </c>
      <c r="T4240" t="n">
        <v>5337</v>
      </c>
      <c r="AH4240" t="inlineStr">
        <is>
          <t>Quelle: Pollentia Properties</t>
        </is>
      </c>
    </row>
    <row r="4241">
      <c r="A4241" t="n">
        <v>4054</v>
      </c>
      <c r="B4241" t="inlineStr">
        <is>
          <t>Duplex apartment for sale in Capdepera in new residential project</t>
        </is>
      </c>
      <c r="C4241" t="inlineStr">
        <is>
          <t>https://www.pollentiaproperties.com/en/property/id/943638-duplex-apartment-for-sale-capdepera-new-residential-project</t>
        </is>
      </c>
      <c r="E4241" t="n">
        <v>2</v>
      </c>
      <c r="H4241" t="n">
        <v>101</v>
      </c>
      <c r="J4241" t="inlineStr">
        <is>
          <t>Capdepera</t>
        </is>
      </c>
      <c r="S4241" t="n">
        <v>625000</v>
      </c>
      <c r="T4241" t="n">
        <v>6188</v>
      </c>
      <c r="AH4241" t="inlineStr">
        <is>
          <t>Quelle: Pollentia Properties</t>
        </is>
      </c>
    </row>
    <row r="4242">
      <c r="A4242" t="n">
        <v>4055</v>
      </c>
      <c r="B4242" t="inlineStr">
        <is>
          <t>Duplex apartment for sale in Capdepera in new residential project</t>
        </is>
      </c>
      <c r="C4242" t="inlineStr">
        <is>
          <t>https://www.pollentiaproperties.com/en/property/id/943637-duplex-apartment-for-sale-capdepera-new-residential-project</t>
        </is>
      </c>
      <c r="E4242" t="n">
        <v>2</v>
      </c>
      <c r="H4242" t="n">
        <v>99</v>
      </c>
      <c r="J4242" t="inlineStr">
        <is>
          <t>Capdepera</t>
        </is>
      </c>
      <c r="S4242" t="n">
        <v>655000</v>
      </c>
      <c r="T4242" t="n">
        <v>6616</v>
      </c>
      <c r="AH4242" t="inlineStr">
        <is>
          <t>Quelle: Pollentia Properties</t>
        </is>
      </c>
    </row>
    <row r="4243">
      <c r="A4243" t="n">
        <v>4056</v>
      </c>
      <c r="B4243" t="inlineStr">
        <is>
          <t>Duplex apartment for sale in Capdepera in new residential project</t>
        </is>
      </c>
      <c r="C4243" t="inlineStr">
        <is>
          <t>https://www.pollentiaproperties.com/en/property/id/943636-duplex-apartment-for-sale-capdepera-new-residential-project</t>
        </is>
      </c>
      <c r="E4243" t="n">
        <v>2</v>
      </c>
      <c r="H4243" t="n">
        <v>99</v>
      </c>
      <c r="J4243" t="inlineStr">
        <is>
          <t>Capdepera</t>
        </is>
      </c>
      <c r="S4243" t="n">
        <v>655000</v>
      </c>
      <c r="T4243" t="n">
        <v>6616</v>
      </c>
      <c r="AH4243" t="inlineStr">
        <is>
          <t>Quelle: Pollentia Properties</t>
        </is>
      </c>
    </row>
    <row r="4244">
      <c r="A4244" t="n">
        <v>4057</v>
      </c>
      <c r="B4244" t="inlineStr">
        <is>
          <t>Duplex apartment for sale in Capdepera in new residential project</t>
        </is>
      </c>
      <c r="C4244" t="inlineStr">
        <is>
          <t>https://www.pollentiaproperties.com/en/property/id/943633-duplex-apartment-for-sale-capdepera-new-residential-project</t>
        </is>
      </c>
      <c r="E4244" t="n">
        <v>2</v>
      </c>
      <c r="H4244" t="n">
        <v>99</v>
      </c>
      <c r="J4244" t="inlineStr">
        <is>
          <t>Capdepera</t>
        </is>
      </c>
      <c r="S4244" t="n">
        <v>680000</v>
      </c>
      <c r="T4244" t="n">
        <v>6869</v>
      </c>
      <c r="AH4244" t="inlineStr">
        <is>
          <t>Quelle: Pollentia Properties</t>
        </is>
      </c>
    </row>
    <row r="4245">
      <c r="A4245" t="n">
        <v>4058</v>
      </c>
      <c r="B4245" t="inlineStr">
        <is>
          <t>Townhouse for sale in Llubi blending tradition with modernity</t>
        </is>
      </c>
      <c r="C4245" t="inlineStr">
        <is>
          <t>https://www.pollentiaproperties.com/en/property/id/943627-townhouse-for-sale-llubi-garden-pool-blend-tradition-timeless-elegance</t>
        </is>
      </c>
      <c r="E4245" t="n">
        <v>3</v>
      </c>
      <c r="G4245" t="n">
        <v>755</v>
      </c>
      <c r="H4245" t="n">
        <v>200</v>
      </c>
      <c r="J4245" t="inlineStr">
        <is>
          <t>Llubí</t>
        </is>
      </c>
      <c r="K4245" t="n">
        <v>46.1</v>
      </c>
      <c r="L4245" t="n">
        <v>38</v>
      </c>
      <c r="M4245" t="n">
        <v>50.9</v>
      </c>
      <c r="N4245" t="n">
        <v>54</v>
      </c>
      <c r="O4245" t="n">
        <v>68.7</v>
      </c>
      <c r="P4245" t="n">
        <v>54</v>
      </c>
      <c r="Q4245" t="n">
        <v>48.6</v>
      </c>
      <c r="R4245" t="n">
        <v>50</v>
      </c>
      <c r="S4245" t="n">
        <v>1185000</v>
      </c>
      <c r="T4245" t="n">
        <v>5925</v>
      </c>
      <c r="U4245" t="n">
        <v>1570</v>
      </c>
      <c r="AH4245" t="inlineStr">
        <is>
          <t>Quelle: Pollentia Properties</t>
        </is>
      </c>
    </row>
    <row r="4246">
      <c r="A4246" t="n">
        <v>4059</v>
      </c>
      <c r="B4246" t="inlineStr">
        <is>
          <t>Apartment for sale on Puerto Pollensa iconic Pine Walk</t>
        </is>
      </c>
      <c r="C4246" t="inlineStr">
        <is>
          <t>https://www.pollentiaproperties.com/en/property/id/943519-apartment-for-sale-pine-walk-puerto-pollensa-parking-space</t>
        </is>
      </c>
      <c r="E4246" t="n">
        <v>3</v>
      </c>
      <c r="H4246" t="n">
        <v>112</v>
      </c>
      <c r="J4246" t="inlineStr">
        <is>
          <t>Pine Walk</t>
        </is>
      </c>
      <c r="S4246" t="n">
        <v>795000</v>
      </c>
      <c r="T4246" t="n">
        <v>7098</v>
      </c>
      <c r="AH4246" t="inlineStr">
        <is>
          <t>Quelle: Pollentia Properties</t>
        </is>
      </c>
    </row>
    <row r="4247">
      <c r="A4247" t="n">
        <v>4060</v>
      </c>
      <c r="B4247" t="inlineStr">
        <is>
          <t>Duplex apartment for sale in Capdepera in new residential project</t>
        </is>
      </c>
      <c r="C4247" t="inlineStr">
        <is>
          <t>https://www.pollentiaproperties.com/en/property/id/943504-duplex-apartment-for-sale-capdepera-new-residential-project-community-pool</t>
        </is>
      </c>
      <c r="E4247" t="n">
        <v>2</v>
      </c>
      <c r="H4247" t="n">
        <v>99</v>
      </c>
      <c r="J4247" t="inlineStr">
        <is>
          <t>Capdepera</t>
        </is>
      </c>
      <c r="S4247" t="n">
        <v>685000</v>
      </c>
      <c r="T4247" t="n">
        <v>6919</v>
      </c>
      <c r="AH4247" t="inlineStr">
        <is>
          <t>Quelle: Pollentia Properties</t>
        </is>
      </c>
    </row>
    <row r="4248">
      <c r="A4248" t="n">
        <v>4061</v>
      </c>
      <c r="B4248" t="inlineStr">
        <is>
          <t>Building plot for sale in Puerto Andratx unique investment opportunity</t>
        </is>
      </c>
      <c r="C4248" t="inlineStr">
        <is>
          <t>https://www.pollentiaproperties.com/en/property/id/942370-building-plot-for-sale-puerto-andratx-license-project-included</t>
        </is>
      </c>
      <c r="E4248" t="n">
        <v>5</v>
      </c>
      <c r="G4248" t="n">
        <v>1</v>
      </c>
      <c r="J4248" t="inlineStr">
        <is>
          <t>Puerto Andratx</t>
        </is>
      </c>
      <c r="K4248" t="n">
        <v>43.5</v>
      </c>
      <c r="L4248" t="n">
        <v>38</v>
      </c>
      <c r="M4248" t="n">
        <v>86.2</v>
      </c>
      <c r="N4248" t="n">
        <v>71</v>
      </c>
      <c r="O4248" t="n">
        <v>6.3</v>
      </c>
      <c r="P4248" t="n">
        <v>11</v>
      </c>
      <c r="Q4248" t="n">
        <v>83.90000000000001</v>
      </c>
      <c r="R4248" t="n">
        <v>68</v>
      </c>
      <c r="S4248" t="n">
        <v>3480000</v>
      </c>
      <c r="U4248" t="n">
        <v>3480000</v>
      </c>
      <c r="AH4248" t="inlineStr">
        <is>
          <t>Quelle: Pollentia Properties</t>
        </is>
      </c>
    </row>
    <row r="4249">
      <c r="A4249" t="n">
        <v>4062</v>
      </c>
      <c r="B4249" t="inlineStr">
        <is>
          <t>Villa for sale in Son Vida newly built with stunning design and features</t>
        </is>
      </c>
      <c r="C4249" t="inlineStr">
        <is>
          <t>https://www.pollentiaproperties.com/en/property/id/942292-villa-for-sale-son-vida-newly-built-stunning-design-garden-pool</t>
        </is>
      </c>
      <c r="E4249" t="n">
        <v>4</v>
      </c>
      <c r="G4249" t="n">
        <v>1</v>
      </c>
      <c r="H4249" t="n">
        <v>500</v>
      </c>
      <c r="J4249" t="inlineStr">
        <is>
          <t>Son Vida</t>
        </is>
      </c>
      <c r="K4249" t="n">
        <v>19.2</v>
      </c>
      <c r="L4249" t="n">
        <v>22</v>
      </c>
      <c r="M4249" t="n">
        <v>61.9</v>
      </c>
      <c r="N4249" t="n">
        <v>55</v>
      </c>
      <c r="O4249" t="n">
        <v>31</v>
      </c>
      <c r="P4249" t="n">
        <v>31</v>
      </c>
      <c r="Q4249" t="n">
        <v>59.6</v>
      </c>
      <c r="R4249" t="n">
        <v>51</v>
      </c>
      <c r="S4249" t="n">
        <v>4995000</v>
      </c>
      <c r="T4249" t="n">
        <v>9990</v>
      </c>
      <c r="U4249" t="n">
        <v>4995000</v>
      </c>
      <c r="AH4249" t="inlineStr">
        <is>
          <t>Quelle: Pollentia Properties</t>
        </is>
      </c>
    </row>
    <row r="4250">
      <c r="A4250" t="n">
        <v>4063</v>
      </c>
      <c r="B4250" t="inlineStr">
        <is>
          <t>Country house for sale in Pollença unique blend of elegance and privacy</t>
        </is>
      </c>
      <c r="C4250" t="inlineStr">
        <is>
          <t>https://www.pollentiaproperties.com/en/property/id/942265-country-house-for-sale-pollensa-beautiful-setting-garden-pool</t>
        </is>
      </c>
      <c r="E4250" t="n">
        <v>6</v>
      </c>
      <c r="G4250" t="n">
        <v>14</v>
      </c>
      <c r="H4250" t="n">
        <v>490</v>
      </c>
      <c r="J4250" t="inlineStr">
        <is>
          <t>Pollença</t>
        </is>
      </c>
      <c r="K4250" t="n">
        <v>60.6</v>
      </c>
      <c r="L4250" t="n">
        <v>47</v>
      </c>
      <c r="M4250" t="n">
        <v>78.7</v>
      </c>
      <c r="N4250" t="n">
        <v>74</v>
      </c>
      <c r="O4250" t="n">
        <v>83.2</v>
      </c>
      <c r="P4250" t="n">
        <v>63</v>
      </c>
      <c r="Q4250" t="n">
        <v>76.40000000000001</v>
      </c>
      <c r="R4250" t="n">
        <v>70</v>
      </c>
      <c r="S4250" t="n">
        <v>3375000</v>
      </c>
      <c r="T4250" t="n">
        <v>6888</v>
      </c>
      <c r="U4250" t="n">
        <v>241071</v>
      </c>
      <c r="AH4250" t="inlineStr">
        <is>
          <t>Quelle: Pollentia Properties</t>
        </is>
      </c>
    </row>
    <row r="4251">
      <c r="A4251" t="n">
        <v>4064</v>
      </c>
      <c r="B4251" t="inlineStr">
        <is>
          <t>Duplex apartment for sale in Bendinat in exclusive residential area</t>
        </is>
      </c>
      <c r="C4251" t="inlineStr">
        <is>
          <t>https://www.pollentiaproperties.com/en/property/id/941858-duplex-apartment-for-sale-bendinat-exclusive-residential-area-private-pool</t>
        </is>
      </c>
      <c r="E4251" t="n">
        <v>3</v>
      </c>
      <c r="H4251" t="n">
        <v>250</v>
      </c>
      <c r="J4251" t="inlineStr">
        <is>
          <t>Bendinat</t>
        </is>
      </c>
      <c r="K4251" t="n">
        <v>23.1</v>
      </c>
      <c r="L4251" t="n">
        <v>22</v>
      </c>
      <c r="M4251" t="n">
        <v>65.8</v>
      </c>
      <c r="N4251" t="n">
        <v>55</v>
      </c>
      <c r="O4251" t="n">
        <v>23.2</v>
      </c>
      <c r="P4251" t="n">
        <v>23</v>
      </c>
      <c r="Q4251" t="n">
        <v>63.5</v>
      </c>
      <c r="R4251" t="n">
        <v>51</v>
      </c>
      <c r="S4251" t="n">
        <v>1095000</v>
      </c>
      <c r="T4251" t="n">
        <v>4380</v>
      </c>
      <c r="AH4251" t="inlineStr">
        <is>
          <t>Quelle: Pollentia Properties</t>
        </is>
      </c>
    </row>
    <row r="4252">
      <c r="A4252" t="n">
        <v>4065</v>
      </c>
      <c r="B4252" t="inlineStr">
        <is>
          <t>Country plot for sale in Manacor, with project</t>
        </is>
      </c>
      <c r="C4252" t="inlineStr">
        <is>
          <t>https://www.pollentiaproperties.com/en/property/id/941421-country-plot-for-sale-manacor-project</t>
        </is>
      </c>
      <c r="G4252" t="n">
        <v>43</v>
      </c>
      <c r="J4252" t="inlineStr">
        <is>
          <t>Manacor</t>
        </is>
      </c>
      <c r="K4252" t="n">
        <v>49.2</v>
      </c>
      <c r="L4252" t="n">
        <v>44</v>
      </c>
      <c r="M4252" t="n">
        <v>40.3</v>
      </c>
      <c r="N4252" t="n">
        <v>45</v>
      </c>
      <c r="O4252" t="n">
        <v>83.40000000000001</v>
      </c>
      <c r="P4252" t="n">
        <v>68</v>
      </c>
      <c r="Q4252" t="n">
        <v>38</v>
      </c>
      <c r="R4252" t="n">
        <v>41</v>
      </c>
      <c r="S4252" t="n">
        <v>1500000</v>
      </c>
      <c r="U4252" t="n">
        <v>34884</v>
      </c>
      <c r="AH4252" t="inlineStr">
        <is>
          <t>Quelle: Pollentia Properties</t>
        </is>
      </c>
    </row>
    <row r="4253">
      <c r="A4253" t="n">
        <v>4066</v>
      </c>
      <c r="B4253" t="inlineStr">
        <is>
          <t>Country plot for sale in Manacor, with project</t>
        </is>
      </c>
      <c r="C4253" t="inlineStr">
        <is>
          <t>https://www.pollentiaproperties.com/en/property/id/941420-country-plot-for-sale-manacor-project</t>
        </is>
      </c>
      <c r="G4253" t="n">
        <v>43</v>
      </c>
      <c r="J4253" t="inlineStr">
        <is>
          <t>Manacor</t>
        </is>
      </c>
      <c r="K4253" t="n">
        <v>49.2</v>
      </c>
      <c r="L4253" t="n">
        <v>44</v>
      </c>
      <c r="M4253" t="n">
        <v>40.3</v>
      </c>
      <c r="N4253" t="n">
        <v>45</v>
      </c>
      <c r="O4253" t="n">
        <v>83.40000000000001</v>
      </c>
      <c r="P4253" t="n">
        <v>68</v>
      </c>
      <c r="Q4253" t="n">
        <v>38</v>
      </c>
      <c r="R4253" t="n">
        <v>41</v>
      </c>
      <c r="S4253" t="n">
        <v>1500000</v>
      </c>
      <c r="U4253" t="n">
        <v>34884</v>
      </c>
      <c r="AH4253" t="inlineStr">
        <is>
          <t>Quelle: Pollentia Properties</t>
        </is>
      </c>
    </row>
    <row r="4254">
      <c r="A4254" t="n">
        <v>4067</v>
      </c>
      <c r="B4254" t="inlineStr">
        <is>
          <t>Ground floor apartment for sale in San Telmo in new development under construction</t>
        </is>
      </c>
      <c r="C4254" t="inlineStr">
        <is>
          <t>https://www.pollentiaproperties.com/en/property/id/941306-apartment-for-sale-san-telmo-new-development-under-construction</t>
        </is>
      </c>
      <c r="E4254" t="n">
        <v>3</v>
      </c>
      <c r="H4254" t="n">
        <v>92</v>
      </c>
      <c r="J4254" t="inlineStr">
        <is>
          <t>Sant Elm</t>
        </is>
      </c>
      <c r="S4254" t="n">
        <v>880000</v>
      </c>
      <c r="T4254" t="n">
        <v>9565</v>
      </c>
      <c r="AH4254" t="inlineStr">
        <is>
          <t>Quelle: Pollentia Properties</t>
        </is>
      </c>
    </row>
    <row r="4255">
      <c r="A4255" t="n">
        <v>4068</v>
      </c>
      <c r="B4255" t="inlineStr">
        <is>
          <t>Ground floor apartment for sale in San Telmo in new development under construction</t>
        </is>
      </c>
      <c r="C4255" t="inlineStr">
        <is>
          <t>https://www.pollentiaproperties.com/en/property/id/941305-apartment-for-sale-san-telmo-new-development-under-construction</t>
        </is>
      </c>
      <c r="E4255" t="n">
        <v>3</v>
      </c>
      <c r="H4255" t="n">
        <v>91</v>
      </c>
      <c r="J4255" t="inlineStr">
        <is>
          <t>Sant Elm</t>
        </is>
      </c>
      <c r="S4255" t="n">
        <v>872500</v>
      </c>
      <c r="T4255" t="n">
        <v>9588</v>
      </c>
      <c r="AH4255" t="inlineStr">
        <is>
          <t>Quelle: Pollentia Properties</t>
        </is>
      </c>
    </row>
    <row r="4256">
      <c r="A4256" t="n">
        <v>4069</v>
      </c>
      <c r="B4256" t="inlineStr">
        <is>
          <t>Ground floor apartment for sale in San Telmo in new development under construction</t>
        </is>
      </c>
      <c r="C4256" t="inlineStr">
        <is>
          <t>https://www.pollentiaproperties.com/en/property/id/941303-apartment-for-sale-san-telmo-new-development-under-construction</t>
        </is>
      </c>
      <c r="E4256" t="n">
        <v>3</v>
      </c>
      <c r="H4256" t="n">
        <v>96</v>
      </c>
      <c r="J4256" t="inlineStr">
        <is>
          <t>Sant Elm</t>
        </is>
      </c>
      <c r="AH4256" t="inlineStr">
        <is>
          <t>Quelle: Pollentia Properties</t>
        </is>
      </c>
    </row>
    <row r="4257">
      <c r="A4257" t="n">
        <v>4070</v>
      </c>
      <c r="B4257" t="inlineStr">
        <is>
          <t>Penthouse for sale in San Telmo in new development under construction</t>
        </is>
      </c>
      <c r="C4257" t="inlineStr">
        <is>
          <t>https://www.pollentiaproperties.com/en/property/id/941299-penthouse-for-sale-san-telmo-new-development-under-construction</t>
        </is>
      </c>
      <c r="E4257" t="n">
        <v>3</v>
      </c>
      <c r="H4257" t="n">
        <v>92</v>
      </c>
      <c r="J4257" t="inlineStr">
        <is>
          <t>Sant Elm</t>
        </is>
      </c>
      <c r="K4257" t="n">
        <v>48.4</v>
      </c>
      <c r="L4257" t="n">
        <v>47</v>
      </c>
      <c r="M4257" t="n">
        <v>91.2</v>
      </c>
      <c r="N4257" t="n">
        <v>79</v>
      </c>
      <c r="O4257" t="n">
        <v>6.4</v>
      </c>
      <c r="P4257" t="n">
        <v>14</v>
      </c>
      <c r="Q4257" t="n">
        <v>88.90000000000001</v>
      </c>
      <c r="R4257" t="n">
        <v>76</v>
      </c>
      <c r="S4257" t="n">
        <v>1120000</v>
      </c>
      <c r="T4257" t="n">
        <v>12174</v>
      </c>
      <c r="AH4257" t="inlineStr">
        <is>
          <t>Quelle: Pollentia Properties</t>
        </is>
      </c>
    </row>
    <row r="4258">
      <c r="A4258" t="n">
        <v>4071</v>
      </c>
      <c r="B4258" t="inlineStr">
        <is>
          <t>Ground floor apartment for sale in San Telmo in new development under construction</t>
        </is>
      </c>
      <c r="C4258" t="inlineStr">
        <is>
          <t>https://www.pollentiaproperties.com/en/property/id/941293-apartment-for-sale-san-telmo-new-development-under-construction</t>
        </is>
      </c>
      <c r="E4258" t="n">
        <v>3</v>
      </c>
      <c r="H4258" t="n">
        <v>92</v>
      </c>
      <c r="J4258" t="inlineStr">
        <is>
          <t>Sant Elm</t>
        </is>
      </c>
      <c r="AH4258" t="inlineStr">
        <is>
          <t>Quelle: Pollentia Properties</t>
        </is>
      </c>
    </row>
    <row r="4259">
      <c r="A4259" t="n">
        <v>4072</v>
      </c>
      <c r="B4259" t="inlineStr">
        <is>
          <t>Ground floor apartment for sale in San Telmo in new development under construction</t>
        </is>
      </c>
      <c r="C4259" t="inlineStr">
        <is>
          <t>https://www.pollentiaproperties.com/en/property/id/941286-apartment-for-sale-san-telmo-new-development-under-construction</t>
        </is>
      </c>
      <c r="E4259" t="n">
        <v>3</v>
      </c>
      <c r="H4259" t="n">
        <v>92</v>
      </c>
      <c r="J4259" t="inlineStr">
        <is>
          <t>Sant Elm</t>
        </is>
      </c>
      <c r="AH4259" t="inlineStr">
        <is>
          <t>Quelle: Pollentia Properties</t>
        </is>
      </c>
    </row>
    <row r="4260">
      <c r="A4260" t="n">
        <v>4073</v>
      </c>
      <c r="B4260" t="inlineStr">
        <is>
          <t>Country home for sale in Manacor, currently under construction</t>
        </is>
      </c>
      <c r="C4260" t="inlineStr">
        <is>
          <t>https://www.pollentiaproperties.com/en/property/id/941184-country-home-for-sale-manacor-under-construction</t>
        </is>
      </c>
      <c r="G4260" t="n">
        <v>43</v>
      </c>
      <c r="H4260" t="n">
        <v>500</v>
      </c>
      <c r="J4260" t="inlineStr">
        <is>
          <t>Manacor</t>
        </is>
      </c>
      <c r="K4260" t="n">
        <v>49.2</v>
      </c>
      <c r="L4260" t="n">
        <v>44</v>
      </c>
      <c r="M4260" t="n">
        <v>40.3</v>
      </c>
      <c r="N4260" t="n">
        <v>45</v>
      </c>
      <c r="O4260" t="n">
        <v>83.40000000000001</v>
      </c>
      <c r="P4260" t="n">
        <v>68</v>
      </c>
      <c r="Q4260" t="n">
        <v>38</v>
      </c>
      <c r="R4260" t="n">
        <v>41</v>
      </c>
      <c r="S4260" t="n">
        <v>7000000</v>
      </c>
      <c r="T4260" t="n">
        <v>14000</v>
      </c>
      <c r="U4260" t="n">
        <v>162791</v>
      </c>
      <c r="AH4260" t="inlineStr">
        <is>
          <t>Quelle: Pollentia Properties</t>
        </is>
      </c>
    </row>
    <row r="4261">
      <c r="A4261" t="n">
        <v>4074</v>
      </c>
      <c r="B4261" t="inlineStr">
        <is>
          <t>Building plot for sale in Santa María del Camí with project for a house and pool</t>
        </is>
      </c>
      <c r="C4261" t="inlineStr">
        <is>
          <t>https://www.pollentiaproperties.com/en/property/id/941056-country-plot-for-sale-santa-maria-del-cami-project-house-pool</t>
        </is>
      </c>
      <c r="G4261" t="n">
        <v>14</v>
      </c>
      <c r="J4261" t="inlineStr">
        <is>
          <t>Santa Maria del Camí</t>
        </is>
      </c>
      <c r="S4261" t="n">
        <v>270000</v>
      </c>
      <c r="U4261" t="n">
        <v>19286</v>
      </c>
      <c r="AH4261" t="inlineStr">
        <is>
          <t>Quelle: Pollentia Properties</t>
        </is>
      </c>
    </row>
    <row r="4262">
      <c r="A4262" t="n">
        <v>4075</v>
      </c>
      <c r="B4262" t="inlineStr">
        <is>
          <t>Apartment for sale in Palma in exclusive coastal area</t>
        </is>
      </c>
      <c r="C4262" t="inlineStr">
        <is>
          <t>https://www.pollentiaproperties.com/en/property/id/940718-apartment-for-sale-palma-sea-facing-location</t>
        </is>
      </c>
      <c r="E4262" t="n">
        <v>3</v>
      </c>
      <c r="H4262" t="n">
        <v>116</v>
      </c>
      <c r="J4262" t="inlineStr">
        <is>
          <t>Paseo Marítimo</t>
        </is>
      </c>
      <c r="K4262" t="n">
        <v>10.9</v>
      </c>
      <c r="L4262" t="n">
        <v>17</v>
      </c>
      <c r="M4262" t="n">
        <v>53.7</v>
      </c>
      <c r="N4262" t="n">
        <v>50</v>
      </c>
      <c r="O4262" t="n">
        <v>29.9</v>
      </c>
      <c r="P4262" t="n">
        <v>32</v>
      </c>
      <c r="Q4262" t="n">
        <v>51.4</v>
      </c>
      <c r="R4262" t="n">
        <v>46</v>
      </c>
      <c r="S4262" t="n">
        <v>2100000</v>
      </c>
      <c r="T4262" t="n">
        <v>18103</v>
      </c>
      <c r="AH4262" t="inlineStr">
        <is>
          <t>Quelle: Pollentia Properties</t>
        </is>
      </c>
    </row>
    <row r="4263">
      <c r="A4263" t="n">
        <v>4076</v>
      </c>
      <c r="B4263" t="inlineStr">
        <is>
          <t>Apartment for sale in Palma in modern seaview residence</t>
        </is>
      </c>
      <c r="C4263" t="inlineStr">
        <is>
          <t>https://www.pollentiaproperties.com/en/property/id/940716-apartment-for-sale-palma-sea-facing-location</t>
        </is>
      </c>
      <c r="E4263" t="n">
        <v>3</v>
      </c>
      <c r="H4263" t="n">
        <v>122</v>
      </c>
      <c r="J4263" t="inlineStr">
        <is>
          <t>Paseo Marítimo</t>
        </is>
      </c>
      <c r="K4263" t="n">
        <v>10.9</v>
      </c>
      <c r="L4263" t="n">
        <v>17</v>
      </c>
      <c r="M4263" t="n">
        <v>53.7</v>
      </c>
      <c r="N4263" t="n">
        <v>50</v>
      </c>
      <c r="O4263" t="n">
        <v>29.9</v>
      </c>
      <c r="P4263" t="n">
        <v>32</v>
      </c>
      <c r="Q4263" t="n">
        <v>51.4</v>
      </c>
      <c r="R4263" t="n">
        <v>46</v>
      </c>
      <c r="S4263" t="n">
        <v>2520000</v>
      </c>
      <c r="T4263" t="n">
        <v>20656</v>
      </c>
      <c r="AH4263" t="inlineStr">
        <is>
          <t>Quelle: Pollentia Properties</t>
        </is>
      </c>
    </row>
    <row r="4264">
      <c r="A4264" t="n">
        <v>4077</v>
      </c>
      <c r="B4264" t="inlineStr">
        <is>
          <t>Sea view apartment for sale in Palma in prime location</t>
        </is>
      </c>
      <c r="C4264" t="inlineStr">
        <is>
          <t>https://www.pollentiaproperties.com/en/property/id/940715-apartment-for-sale-palma-sea-facing-location</t>
        </is>
      </c>
      <c r="E4264" t="n">
        <v>2</v>
      </c>
      <c r="H4264" t="n">
        <v>116</v>
      </c>
      <c r="J4264" t="inlineStr">
        <is>
          <t>Paseo Marítimo</t>
        </is>
      </c>
      <c r="K4264" t="n">
        <v>10.9</v>
      </c>
      <c r="L4264" t="n">
        <v>17</v>
      </c>
      <c r="M4264" t="n">
        <v>53.7</v>
      </c>
      <c r="N4264" t="n">
        <v>50</v>
      </c>
      <c r="O4264" t="n">
        <v>29.9</v>
      </c>
      <c r="P4264" t="n">
        <v>32</v>
      </c>
      <c r="Q4264" t="n">
        <v>51.4</v>
      </c>
      <c r="R4264" t="n">
        <v>46</v>
      </c>
      <c r="S4264" t="n">
        <v>2450000</v>
      </c>
      <c r="T4264" t="n">
        <v>21121</v>
      </c>
      <c r="AH4264" t="inlineStr">
        <is>
          <t>Quelle: Pollentia Properties</t>
        </is>
      </c>
    </row>
    <row r="4265">
      <c r="A4265" t="n">
        <v>4078</v>
      </c>
      <c r="B4265" t="inlineStr">
        <is>
          <t>Apartment for sale in Palma in seafacing location</t>
        </is>
      </c>
      <c r="C4265" t="inlineStr">
        <is>
          <t>https://www.pollentiaproperties.com/en/property/id/940713-apartment-for-sale-palma-sea-facing-location</t>
        </is>
      </c>
      <c r="E4265" t="n">
        <v>3</v>
      </c>
      <c r="H4265" t="n">
        <v>122</v>
      </c>
      <c r="J4265" t="inlineStr">
        <is>
          <t>Paseo Marítimo</t>
        </is>
      </c>
      <c r="K4265" t="n">
        <v>10.9</v>
      </c>
      <c r="L4265" t="n">
        <v>17</v>
      </c>
      <c r="M4265" t="n">
        <v>53.7</v>
      </c>
      <c r="N4265" t="n">
        <v>50</v>
      </c>
      <c r="O4265" t="n">
        <v>29.9</v>
      </c>
      <c r="P4265" t="n">
        <v>32</v>
      </c>
      <c r="Q4265" t="n">
        <v>51.4</v>
      </c>
      <c r="R4265" t="n">
        <v>46</v>
      </c>
      <c r="S4265" t="n">
        <v>2890000</v>
      </c>
      <c r="T4265" t="n">
        <v>23689</v>
      </c>
      <c r="AH4265" t="inlineStr">
        <is>
          <t>Quelle: Pollentia Properties</t>
        </is>
      </c>
    </row>
    <row r="4266">
      <c r="A4266" t="n">
        <v>4079</v>
      </c>
      <c r="B4266" t="inlineStr">
        <is>
          <t>Penthouse for sale in Palma in exclusive coastal area</t>
        </is>
      </c>
      <c r="C4266" t="inlineStr">
        <is>
          <t>https://www.pollentiaproperties.com/en/property/id/940712-penthouse-for-sale-palma-sea-facing-location</t>
        </is>
      </c>
      <c r="E4266" t="n">
        <v>4</v>
      </c>
      <c r="G4266" t="n">
        <v>297</v>
      </c>
      <c r="H4266" t="n">
        <v>212</v>
      </c>
      <c r="J4266" t="inlineStr">
        <is>
          <t>Paseo Marítimo</t>
        </is>
      </c>
      <c r="K4266" t="n">
        <v>10.9</v>
      </c>
      <c r="L4266" t="n">
        <v>17</v>
      </c>
      <c r="M4266" t="n">
        <v>53.7</v>
      </c>
      <c r="N4266" t="n">
        <v>50</v>
      </c>
      <c r="O4266" t="n">
        <v>29.9</v>
      </c>
      <c r="P4266" t="n">
        <v>32</v>
      </c>
      <c r="Q4266" t="n">
        <v>51.4</v>
      </c>
      <c r="R4266" t="n">
        <v>46</v>
      </c>
      <c r="S4266" t="n">
        <v>4990000</v>
      </c>
      <c r="T4266" t="n">
        <v>23538</v>
      </c>
      <c r="U4266" t="n">
        <v>16801</v>
      </c>
      <c r="AH4266" t="inlineStr">
        <is>
          <t>Quelle: Pollentia Properties</t>
        </is>
      </c>
    </row>
    <row r="4267">
      <c r="A4267" t="n">
        <v>4080</v>
      </c>
      <c r="B4267" t="inlineStr">
        <is>
          <t>Villa for sale in Playa de Palma, brand new development</t>
        </is>
      </c>
      <c r="C4267" t="inlineStr">
        <is>
          <t>https://www.pollentiaproperties.com/en/property/id/939942-villa-for-sale-playa-palma-brand-new-development-26-houses</t>
        </is>
      </c>
      <c r="E4267" t="n">
        <v>4</v>
      </c>
      <c r="G4267" t="n">
        <v>282</v>
      </c>
      <c r="H4267" t="n">
        <v>146</v>
      </c>
      <c r="J4267" t="inlineStr">
        <is>
          <t>Playa de Palma</t>
        </is>
      </c>
      <c r="K4267" t="n">
        <v>5.8</v>
      </c>
      <c r="L4267" t="n">
        <v>10</v>
      </c>
      <c r="M4267" t="n">
        <v>48.6</v>
      </c>
      <c r="N4267" t="n">
        <v>43</v>
      </c>
      <c r="O4267" t="n">
        <v>40.1</v>
      </c>
      <c r="P4267" t="n">
        <v>35</v>
      </c>
      <c r="Q4267" t="n">
        <v>46.3</v>
      </c>
      <c r="R4267" t="n">
        <v>39</v>
      </c>
      <c r="S4267" t="n">
        <v>1045000</v>
      </c>
      <c r="T4267" t="n">
        <v>7158</v>
      </c>
      <c r="U4267" t="n">
        <v>3706</v>
      </c>
      <c r="AH4267" t="inlineStr">
        <is>
          <t>Quelle: Pollentia Properties</t>
        </is>
      </c>
    </row>
    <row r="4268">
      <c r="A4268" t="n">
        <v>4081</v>
      </c>
      <c r="B4268" t="inlineStr">
        <is>
          <t>Villa for sale in Playa de Palma, brand new development!!</t>
        </is>
      </c>
      <c r="C4268" t="inlineStr">
        <is>
          <t>https://www.pollentiaproperties.com/en/property/id/939941-villa-for-sale-playa-palma-brand-new-development-26-houses</t>
        </is>
      </c>
      <c r="E4268" t="n">
        <v>4</v>
      </c>
      <c r="G4268" t="n">
        <v>282</v>
      </c>
      <c r="H4268" t="n">
        <v>147</v>
      </c>
      <c r="J4268" t="inlineStr">
        <is>
          <t>Playa de Palma</t>
        </is>
      </c>
      <c r="K4268" t="n">
        <v>5.8</v>
      </c>
      <c r="L4268" t="n">
        <v>10</v>
      </c>
      <c r="M4268" t="n">
        <v>48.6</v>
      </c>
      <c r="N4268" t="n">
        <v>43</v>
      </c>
      <c r="O4268" t="n">
        <v>40.1</v>
      </c>
      <c r="P4268" t="n">
        <v>35</v>
      </c>
      <c r="Q4268" t="n">
        <v>46.3</v>
      </c>
      <c r="R4268" t="n">
        <v>39</v>
      </c>
      <c r="S4268" t="n">
        <v>1155000</v>
      </c>
      <c r="T4268" t="n">
        <v>7857</v>
      </c>
      <c r="U4268" t="n">
        <v>4096</v>
      </c>
      <c r="AH4268" t="inlineStr">
        <is>
          <t>Quelle: Pollentia Properties</t>
        </is>
      </c>
    </row>
    <row r="4269">
      <c r="A4269" t="n">
        <v>4082</v>
      </c>
      <c r="B4269" t="inlineStr">
        <is>
          <t>Villa for sale in Playa de Palma, brand new development!!</t>
        </is>
      </c>
      <c r="C4269" t="inlineStr">
        <is>
          <t>https://www.pollentiaproperties.com/en/property/id/939939-villa-for-sale-playa-palma-brand-new-development-26-houses</t>
        </is>
      </c>
      <c r="E4269" t="n">
        <v>4</v>
      </c>
      <c r="G4269" t="n">
        <v>282</v>
      </c>
      <c r="H4269" t="n">
        <v>148</v>
      </c>
      <c r="J4269" t="inlineStr">
        <is>
          <t>Playa de Palma</t>
        </is>
      </c>
      <c r="AH4269" t="inlineStr">
        <is>
          <t>Quelle: Pollentia Properties</t>
        </is>
      </c>
    </row>
    <row r="4270">
      <c r="A4270" t="n">
        <v>4083</v>
      </c>
      <c r="B4270" t="inlineStr">
        <is>
          <t>Penthouse for sale in Puerto Andratx with great extension  potential</t>
        </is>
      </c>
      <c r="C4270" t="inlineStr">
        <is>
          <t>https://www.pollentiaproperties.com/en/property/id/939937-penthouse-for-sale-puerto-andratx-extension-project-amazing-location</t>
        </is>
      </c>
      <c r="E4270" t="n">
        <v>3</v>
      </c>
      <c r="H4270" t="n">
        <v>242</v>
      </c>
      <c r="J4270" t="inlineStr">
        <is>
          <t>Puerto Andratx</t>
        </is>
      </c>
      <c r="K4270" t="n">
        <v>43.5</v>
      </c>
      <c r="L4270" t="n">
        <v>38</v>
      </c>
      <c r="M4270" t="n">
        <v>86.2</v>
      </c>
      <c r="N4270" t="n">
        <v>71</v>
      </c>
      <c r="O4270" t="n">
        <v>6.3</v>
      </c>
      <c r="P4270" t="n">
        <v>11</v>
      </c>
      <c r="Q4270" t="n">
        <v>83.90000000000001</v>
      </c>
      <c r="R4270" t="n">
        <v>68</v>
      </c>
      <c r="S4270" t="n">
        <v>1980000</v>
      </c>
      <c r="T4270" t="n">
        <v>8182</v>
      </c>
      <c r="AH4270" t="inlineStr">
        <is>
          <t>Quelle: Pollentia Properties</t>
        </is>
      </c>
    </row>
    <row r="4271">
      <c r="A4271" t="n">
        <v>4084</v>
      </c>
      <c r="B4271" t="inlineStr">
        <is>
          <t>Town house for sale in Pollença with a stunning renovation project</t>
        </is>
      </c>
      <c r="C4271" t="inlineStr">
        <is>
          <t>https://www.pollentiaproperties.com/en/property/id/939238-town-house-for-sale-pollensa-renovation-project-great-potential</t>
        </is>
      </c>
      <c r="E4271" t="n">
        <v>5</v>
      </c>
      <c r="G4271" t="n">
        <v>208</v>
      </c>
      <c r="H4271" t="n">
        <v>230</v>
      </c>
      <c r="J4271" t="inlineStr">
        <is>
          <t>Pollença Pueblo</t>
        </is>
      </c>
      <c r="K4271" t="n">
        <v>60.6</v>
      </c>
      <c r="L4271" t="n">
        <v>47</v>
      </c>
      <c r="M4271" t="n">
        <v>78.7</v>
      </c>
      <c r="N4271" t="n">
        <v>74</v>
      </c>
      <c r="O4271" t="n">
        <v>83.2</v>
      </c>
      <c r="P4271" t="n">
        <v>63</v>
      </c>
      <c r="Q4271" t="n">
        <v>76.40000000000001</v>
      </c>
      <c r="R4271" t="n">
        <v>70</v>
      </c>
      <c r="S4271" t="n">
        <v>1150000</v>
      </c>
      <c r="T4271" t="n">
        <v>5000</v>
      </c>
      <c r="U4271" t="n">
        <v>5529</v>
      </c>
      <c r="AH4271" t="inlineStr">
        <is>
          <t>Quelle: Pollentia Properties</t>
        </is>
      </c>
    </row>
    <row r="4272">
      <c r="A4272" t="n">
        <v>4085</v>
      </c>
      <c r="B4272" t="inlineStr">
        <is>
          <t>Villa for sale in Sa Font Seca in Bunyola state of the art throughout</t>
        </is>
      </c>
      <c r="C4272" t="inlineStr">
        <is>
          <t>https://www.pollentiaproperties.com/en/property/id/939015-villa-for-sale-sa-font-seca-bunyola-state-of-the-art-throughout</t>
        </is>
      </c>
      <c r="E4272" t="n">
        <v>5</v>
      </c>
      <c r="G4272" t="n">
        <v>1</v>
      </c>
      <c r="H4272" t="n">
        <v>750</v>
      </c>
      <c r="J4272" t="inlineStr">
        <is>
          <t>Sa Font Seca</t>
        </is>
      </c>
      <c r="K4272" t="n">
        <v>20.5</v>
      </c>
      <c r="L4272" t="n">
        <v>23</v>
      </c>
      <c r="M4272" t="n">
        <v>63.2</v>
      </c>
      <c r="N4272" t="n">
        <v>56</v>
      </c>
      <c r="O4272" t="n">
        <v>40.1</v>
      </c>
      <c r="P4272" t="n">
        <v>37</v>
      </c>
      <c r="Q4272" t="n">
        <v>60.9</v>
      </c>
      <c r="R4272" t="n">
        <v>53</v>
      </c>
      <c r="AH4272" t="inlineStr">
        <is>
          <t>Quelle: Pollentia Properties</t>
        </is>
      </c>
    </row>
    <row r="4273">
      <c r="A4273" t="n">
        <v>4086</v>
      </c>
      <c r="B4273" t="inlineStr">
        <is>
          <t>Villa for sale in Old Bendinat timeless elegance close to the sea</t>
        </is>
      </c>
      <c r="C4273" t="inlineStr">
        <is>
          <t>https://www.pollentiaproperties.com/en/property/id/938857-villa-for-sale-old-bendinat-exquisitely-restored-garden-pool</t>
        </is>
      </c>
      <c r="E4273" t="n">
        <v>3</v>
      </c>
      <c r="G4273" t="n">
        <v>363</v>
      </c>
      <c r="H4273" t="n">
        <v>150</v>
      </c>
      <c r="J4273" t="inlineStr">
        <is>
          <t>Old Bendinat</t>
        </is>
      </c>
      <c r="K4273" t="n">
        <v>23.1</v>
      </c>
      <c r="L4273" t="n">
        <v>22</v>
      </c>
      <c r="M4273" t="n">
        <v>65.8</v>
      </c>
      <c r="N4273" t="n">
        <v>55</v>
      </c>
      <c r="O4273" t="n">
        <v>23.2</v>
      </c>
      <c r="P4273" t="n">
        <v>23</v>
      </c>
      <c r="Q4273" t="n">
        <v>63.5</v>
      </c>
      <c r="R4273" t="n">
        <v>51</v>
      </c>
      <c r="S4273" t="n">
        <v>3995000</v>
      </c>
      <c r="T4273" t="n">
        <v>26633</v>
      </c>
      <c r="U4273" t="n">
        <v>11006</v>
      </c>
      <c r="AH4273" t="inlineStr">
        <is>
          <t>Quelle: Pollentia Properties</t>
        </is>
      </c>
    </row>
    <row r="4274">
      <c r="A4274" t="n">
        <v>4087</v>
      </c>
      <c r="B4274" t="inlineStr">
        <is>
          <t>Country house for sale in Marratxi on large estate with garden and pool</t>
        </is>
      </c>
      <c r="C4274" t="inlineStr">
        <is>
          <t>https://www.pollentiaproperties.com/en/property/id/938820-country-house-for-sale-marratxi-large-estate-garden-pool</t>
        </is>
      </c>
      <c r="E4274" t="n">
        <v>4</v>
      </c>
      <c r="G4274" t="n">
        <v>14</v>
      </c>
      <c r="H4274" t="n">
        <v>504</v>
      </c>
      <c r="J4274" t="inlineStr">
        <is>
          <t>Marratxí</t>
        </is>
      </c>
      <c r="K4274" t="n">
        <v>13</v>
      </c>
      <c r="L4274" t="n">
        <v>17</v>
      </c>
      <c r="M4274" t="n">
        <v>56.3</v>
      </c>
      <c r="N4274" t="n">
        <v>50</v>
      </c>
      <c r="O4274" t="n">
        <v>40.6</v>
      </c>
      <c r="P4274" t="n">
        <v>34</v>
      </c>
      <c r="Q4274" t="n">
        <v>54</v>
      </c>
      <c r="R4274" t="n">
        <v>46</v>
      </c>
      <c r="S4274" t="n">
        <v>2500000</v>
      </c>
      <c r="T4274" t="n">
        <v>4960</v>
      </c>
      <c r="U4274" t="n">
        <v>178571</v>
      </c>
      <c r="AH4274" t="inlineStr">
        <is>
          <t>Quelle: Pollentia Properties</t>
        </is>
      </c>
    </row>
    <row r="4275">
      <c r="A4275" t="n">
        <v>4088</v>
      </c>
      <c r="B4275" t="inlineStr">
        <is>
          <t>Apartment for sale in Son Armadans in Palma in totally renovated building</t>
        </is>
      </c>
      <c r="C4275" t="inlineStr">
        <is>
          <t>https://www.pollentiaproperties.com/en/property/id/938811-apartment-for-sale-son-armadans-renovated-building-fantastic-layout</t>
        </is>
      </c>
      <c r="E4275" t="n">
        <v>3</v>
      </c>
      <c r="H4275" t="n">
        <v>167</v>
      </c>
      <c r="J4275" t="inlineStr">
        <is>
          <t>Son Armadans</t>
        </is>
      </c>
      <c r="K4275" t="n">
        <v>11.6</v>
      </c>
      <c r="L4275" t="n">
        <v>19</v>
      </c>
      <c r="M4275" t="n">
        <v>54.4</v>
      </c>
      <c r="N4275" t="n">
        <v>52</v>
      </c>
      <c r="O4275" t="n">
        <v>28.3</v>
      </c>
      <c r="P4275" t="n">
        <v>28</v>
      </c>
      <c r="Q4275" t="n">
        <v>52.1</v>
      </c>
      <c r="R4275" t="n">
        <v>48</v>
      </c>
      <c r="S4275" t="n">
        <v>1395000</v>
      </c>
      <c r="T4275" t="n">
        <v>8353</v>
      </c>
      <c r="AH4275" t="inlineStr">
        <is>
          <t>Quelle: Pollentia Properties</t>
        </is>
      </c>
    </row>
    <row r="4276">
      <c r="A4276" t="n">
        <v>4089</v>
      </c>
      <c r="B4276" t="inlineStr">
        <is>
          <t>Town house for sale in Puerto Alcudia with commercial premises</t>
        </is>
      </c>
      <c r="C4276" t="inlineStr">
        <is>
          <t>https://www.pollentiaproperties.com/en/property/id/938690-town-house-for-sale-puerto-alcudia-amazing-location-commercial-premises</t>
        </is>
      </c>
      <c r="E4276" t="n">
        <v>6</v>
      </c>
      <c r="H4276" t="n">
        <v>444</v>
      </c>
      <c r="J4276" t="inlineStr">
        <is>
          <t>Puerto de Alcúdia</t>
        </is>
      </c>
      <c r="K4276" t="n">
        <v>62.1</v>
      </c>
      <c r="L4276" t="n">
        <v>46</v>
      </c>
      <c r="M4276" t="n">
        <v>80.2</v>
      </c>
      <c r="N4276" t="n">
        <v>73</v>
      </c>
      <c r="O4276" t="n">
        <v>84.7</v>
      </c>
      <c r="P4276" t="n">
        <v>62</v>
      </c>
      <c r="Q4276" t="n">
        <v>77.90000000000001</v>
      </c>
      <c r="R4276" t="n">
        <v>69</v>
      </c>
      <c r="S4276" t="n">
        <v>1700000</v>
      </c>
      <c r="T4276" t="n">
        <v>3829</v>
      </c>
      <c r="AH4276" t="inlineStr">
        <is>
          <t>Quelle: Pollentia Properties</t>
        </is>
      </c>
    </row>
    <row r="4277">
      <c r="A4277" t="n">
        <v>4090</v>
      </c>
      <c r="B4277" t="inlineStr">
        <is>
          <t>Town house for sale in Pollença renovation project in great location</t>
        </is>
      </c>
      <c r="C4277" t="inlineStr">
        <is>
          <t>https://www.pollentiaproperties.com/en/property/id/938380-townhouse-for-sale-pollensa-old-town-renovation-project</t>
        </is>
      </c>
      <c r="E4277" t="n">
        <v>4</v>
      </c>
      <c r="G4277" t="n">
        <v>245</v>
      </c>
      <c r="H4277" t="n">
        <v>461</v>
      </c>
      <c r="J4277" t="inlineStr">
        <is>
          <t>Pollença Pueblo</t>
        </is>
      </c>
      <c r="K4277" t="n">
        <v>60.6</v>
      </c>
      <c r="L4277" t="n">
        <v>47</v>
      </c>
      <c r="M4277" t="n">
        <v>78.7</v>
      </c>
      <c r="N4277" t="n">
        <v>74</v>
      </c>
      <c r="O4277" t="n">
        <v>83.2</v>
      </c>
      <c r="P4277" t="n">
        <v>63</v>
      </c>
      <c r="Q4277" t="n">
        <v>76.40000000000001</v>
      </c>
      <c r="R4277" t="n">
        <v>70</v>
      </c>
      <c r="S4277" t="n">
        <v>1200000</v>
      </c>
      <c r="T4277" t="n">
        <v>2603</v>
      </c>
      <c r="U4277" t="n">
        <v>4898</v>
      </c>
      <c r="AH4277" t="inlineStr">
        <is>
          <t>Quelle: Pollentia Properties</t>
        </is>
      </c>
    </row>
    <row r="4278">
      <c r="A4278" t="n">
        <v>4091</v>
      </c>
      <c r="B4278" t="inlineStr">
        <is>
          <t>Townhouse for sale in Buger in charming small town</t>
        </is>
      </c>
      <c r="C4278" t="inlineStr">
        <is>
          <t>https://www.pollentiaproperties.com/en/property/id/938377-house-for-sale-buger-good-layout-peaceful-location</t>
        </is>
      </c>
      <c r="E4278" t="n">
        <v>3</v>
      </c>
      <c r="H4278" t="n">
        <v>234</v>
      </c>
      <c r="J4278" t="inlineStr">
        <is>
          <t>Búger</t>
        </is>
      </c>
      <c r="S4278" t="n">
        <v>539000</v>
      </c>
      <c r="T4278" t="n">
        <v>2303</v>
      </c>
      <c r="AH4278" t="inlineStr">
        <is>
          <t>Quelle: Pollentia Properties</t>
        </is>
      </c>
    </row>
    <row r="4279">
      <c r="A4279" t="n">
        <v>4092</v>
      </c>
      <c r="B4279" t="inlineStr">
        <is>
          <t>Villa for sale in Pollença turnkey project with customization potential</t>
        </is>
      </c>
      <c r="C4279" t="inlineStr">
        <is>
          <t>https://www.pollentiaproperties.com/en/property/id/938298-building-plot-for-sale-pollensa--licence-project-two-villas</t>
        </is>
      </c>
      <c r="E4279" t="n">
        <v>4</v>
      </c>
      <c r="G4279" t="n">
        <v>1</v>
      </c>
      <c r="H4279" t="n">
        <v>237</v>
      </c>
      <c r="J4279" t="inlineStr">
        <is>
          <t>Pollença</t>
        </is>
      </c>
      <c r="S4279" t="n">
        <v>400000</v>
      </c>
      <c r="T4279" t="n">
        <v>1688</v>
      </c>
      <c r="U4279" t="n">
        <v>400000</v>
      </c>
      <c r="AH4279" t="inlineStr">
        <is>
          <t>Quelle: Pollentia Properties</t>
        </is>
      </c>
    </row>
    <row r="4280">
      <c r="A4280" t="n">
        <v>4093</v>
      </c>
      <c r="B4280" t="inlineStr">
        <is>
          <t>Plot for sale in Pollença turnkey project with customization potential</t>
        </is>
      </c>
      <c r="C4280" t="inlineStr">
        <is>
          <t>https://www.pollentiaproperties.com/en/property/id/938297-building-plot-for-sale-pollensa--licence-project-two-villas</t>
        </is>
      </c>
      <c r="E4280" t="n">
        <v>4</v>
      </c>
      <c r="G4280" t="n">
        <v>1</v>
      </c>
      <c r="H4280" t="n">
        <v>237</v>
      </c>
      <c r="J4280" t="inlineStr">
        <is>
          <t>Pollença</t>
        </is>
      </c>
      <c r="S4280" t="n">
        <v>350000</v>
      </c>
      <c r="T4280" t="n">
        <v>1477</v>
      </c>
      <c r="U4280" t="n">
        <v>350000</v>
      </c>
      <c r="AH4280" t="inlineStr">
        <is>
          <t>Quelle: Pollentia Properties</t>
        </is>
      </c>
    </row>
    <row r="4281">
      <c r="A4281" t="n">
        <v>4094</v>
      </c>
      <c r="B4281" t="inlineStr">
        <is>
          <t>Apartment for sale in Palma Old Town La Calatrava</t>
        </is>
      </c>
      <c r="C4281" t="inlineStr">
        <is>
          <t>https://www.pollentiaproperties.com/en/property/id/937364-apartment-for-sale-calatrava-palma-close-beach</t>
        </is>
      </c>
      <c r="E4281" t="n">
        <v>2</v>
      </c>
      <c r="H4281" t="n">
        <v>93</v>
      </c>
      <c r="J4281" t="inlineStr">
        <is>
          <t>La Calatrava</t>
        </is>
      </c>
      <c r="S4281" t="n">
        <v>925000</v>
      </c>
      <c r="T4281" t="n">
        <v>9946</v>
      </c>
      <c r="AH4281" t="inlineStr">
        <is>
          <t>Quelle: Pollentia Properties</t>
        </is>
      </c>
    </row>
    <row r="4282">
      <c r="A4282" t="n">
        <v>4095</v>
      </c>
      <c r="B4282" t="inlineStr">
        <is>
          <t>Country house for sale in Calvià renovated with private pool</t>
        </is>
      </c>
      <c r="C4282" t="inlineStr">
        <is>
          <t>https://www.pollentiaproperties.com/en/property/id/937343-country-house-for-sale-calvia-garden-pool-guest-annexe</t>
        </is>
      </c>
      <c r="E4282" t="n">
        <v>4</v>
      </c>
      <c r="G4282" t="n">
        <v>3</v>
      </c>
      <c r="H4282" t="n">
        <v>326</v>
      </c>
      <c r="J4282" t="inlineStr">
        <is>
          <t>Calvià</t>
        </is>
      </c>
      <c r="K4282" t="n">
        <v>31.1</v>
      </c>
      <c r="L4282" t="n">
        <v>28</v>
      </c>
      <c r="M4282" t="n">
        <v>73.90000000000001</v>
      </c>
      <c r="N4282" t="n">
        <v>61</v>
      </c>
      <c r="O4282" t="n">
        <v>19.4</v>
      </c>
      <c r="P4282" t="n">
        <v>22</v>
      </c>
      <c r="Q4282" t="n">
        <v>71.59999999999999</v>
      </c>
      <c r="R4282" t="n">
        <v>58</v>
      </c>
      <c r="S4282" t="n">
        <v>1995000</v>
      </c>
      <c r="T4282" t="n">
        <v>6120</v>
      </c>
      <c r="U4282" t="n">
        <v>665000</v>
      </c>
      <c r="AH4282" t="inlineStr">
        <is>
          <t>Quelle: Pollentia Properties</t>
        </is>
      </c>
    </row>
    <row r="4283">
      <c r="A4283" t="n">
        <v>4096</v>
      </c>
      <c r="B4283" t="inlineStr">
        <is>
          <t>Villa for sale in Genova with three floors and rooftop terrace</t>
        </is>
      </c>
      <c r="C4283" t="inlineStr">
        <is>
          <t>https://www.pollentiaproperties.com/en/property/id/937331-villa-for-sale-genova-renovated-rooftop-terrace-pool-garden</t>
        </is>
      </c>
      <c r="E4283" t="n">
        <v>3</v>
      </c>
      <c r="G4283" t="n">
        <v>240</v>
      </c>
      <c r="H4283" t="n">
        <v>353</v>
      </c>
      <c r="J4283" t="inlineStr">
        <is>
          <t>Génova</t>
        </is>
      </c>
      <c r="K4283" t="n">
        <v>18</v>
      </c>
      <c r="L4283" t="n">
        <v>20</v>
      </c>
      <c r="M4283" t="n">
        <v>60.7</v>
      </c>
      <c r="N4283" t="n">
        <v>53</v>
      </c>
      <c r="O4283" t="n">
        <v>25.4</v>
      </c>
      <c r="P4283" t="n">
        <v>26</v>
      </c>
      <c r="Q4283" t="n">
        <v>58.4</v>
      </c>
      <c r="R4283" t="n">
        <v>49</v>
      </c>
      <c r="S4283" t="n">
        <v>1950000</v>
      </c>
      <c r="T4283" t="n">
        <v>5524</v>
      </c>
      <c r="U4283" t="n">
        <v>8125</v>
      </c>
      <c r="AH4283" t="inlineStr">
        <is>
          <t>Quelle: Pollentia Properties</t>
        </is>
      </c>
    </row>
    <row r="4284">
      <c r="A4284" t="n">
        <v>4097</v>
      </c>
      <c r="B4284" t="inlineStr">
        <is>
          <t>Hotel for sale in Son Rapinya, fantastic investment opportunity</t>
        </is>
      </c>
      <c r="C4284" t="inlineStr">
        <is>
          <t>https://www.pollentiaproperties.com/en/property/id/937141-hotel-for-sale-son-rapinya-great-opportunity-investment</t>
        </is>
      </c>
      <c r="E4284" t="n">
        <v>36</v>
      </c>
      <c r="H4284" t="n">
        <v>1</v>
      </c>
      <c r="J4284" t="inlineStr">
        <is>
          <t>Son Rapinya</t>
        </is>
      </c>
      <c r="K4284" t="n">
        <v>15.6</v>
      </c>
      <c r="L4284" t="n">
        <v>16</v>
      </c>
      <c r="M4284" t="n">
        <v>58.3</v>
      </c>
      <c r="N4284" t="n">
        <v>49</v>
      </c>
      <c r="O4284" t="n">
        <v>27.8</v>
      </c>
      <c r="P4284" t="n">
        <v>25</v>
      </c>
      <c r="Q4284" t="n">
        <v>56</v>
      </c>
      <c r="R4284" t="n">
        <v>46</v>
      </c>
      <c r="S4284" t="n">
        <v>5800000</v>
      </c>
      <c r="T4284" t="n">
        <v>5800000</v>
      </c>
      <c r="AH4284" t="inlineStr">
        <is>
          <t>Quelle: Pollentia Properties</t>
        </is>
      </c>
    </row>
    <row r="4285">
      <c r="A4285" t="n">
        <v>4098</v>
      </c>
      <c r="B4285" t="inlineStr">
        <is>
          <t>Villa for sale in Pollença turnkey project with customization potential</t>
        </is>
      </c>
      <c r="C4285" t="inlineStr">
        <is>
          <t>https://www.pollentiaproperties.com/en/property/id/937108-building-plot-for-sale-pollensa--licence-project-two-villas</t>
        </is>
      </c>
      <c r="E4285" t="n">
        <v>4</v>
      </c>
      <c r="G4285" t="n">
        <v>1</v>
      </c>
      <c r="H4285" t="n">
        <v>237</v>
      </c>
      <c r="J4285" t="inlineStr">
        <is>
          <t>Pollença</t>
        </is>
      </c>
      <c r="K4285" t="n">
        <v>60.6</v>
      </c>
      <c r="L4285" t="n">
        <v>47</v>
      </c>
      <c r="M4285" t="n">
        <v>78.7</v>
      </c>
      <c r="N4285" t="n">
        <v>74</v>
      </c>
      <c r="O4285" t="n">
        <v>83.2</v>
      </c>
      <c r="P4285" t="n">
        <v>63</v>
      </c>
      <c r="Q4285" t="n">
        <v>76.40000000000001</v>
      </c>
      <c r="R4285" t="n">
        <v>70</v>
      </c>
      <c r="S4285" t="n">
        <v>2200000</v>
      </c>
      <c r="T4285" t="n">
        <v>9283</v>
      </c>
      <c r="U4285" t="n">
        <v>2200000</v>
      </c>
      <c r="AH4285" t="inlineStr">
        <is>
          <t>Quelle: Pollentia Properties</t>
        </is>
      </c>
    </row>
    <row r="4286">
      <c r="A4286" t="n">
        <v>4099</v>
      </c>
      <c r="B4286" t="inlineStr">
        <is>
          <t>Villa for sale in Pollença turnkey project with customization potential</t>
        </is>
      </c>
      <c r="C4286" t="inlineStr">
        <is>
          <t>https://www.pollentiaproperties.com/en/property/id/937107-villa-for-sale-pollensa-turnkey-project-garden-pool</t>
        </is>
      </c>
      <c r="E4286" t="n">
        <v>4</v>
      </c>
      <c r="G4286" t="n">
        <v>1</v>
      </c>
      <c r="H4286" t="n">
        <v>237</v>
      </c>
      <c r="J4286" t="inlineStr">
        <is>
          <t>Pollença</t>
        </is>
      </c>
      <c r="K4286" t="n">
        <v>60.6</v>
      </c>
      <c r="L4286" t="n">
        <v>47</v>
      </c>
      <c r="M4286" t="n">
        <v>78.7</v>
      </c>
      <c r="N4286" t="n">
        <v>74</v>
      </c>
      <c r="O4286" t="n">
        <v>83.2</v>
      </c>
      <c r="P4286" t="n">
        <v>63</v>
      </c>
      <c r="Q4286" t="n">
        <v>76.40000000000001</v>
      </c>
      <c r="R4286" t="n">
        <v>70</v>
      </c>
      <c r="S4286" t="n">
        <v>2000000</v>
      </c>
      <c r="T4286" t="n">
        <v>8439</v>
      </c>
      <c r="U4286" t="n">
        <v>2000000</v>
      </c>
      <c r="AH4286" t="inlineStr">
        <is>
          <t>Quelle: Pollentia Properties</t>
        </is>
      </c>
    </row>
    <row r="4287">
      <c r="A4287" t="n">
        <v>4100</v>
      </c>
      <c r="B4287" t="inlineStr">
        <is>
          <t>Country house for sale in Pollença rustic charm and holiday license</t>
        </is>
      </c>
      <c r="C4287" t="inlineStr">
        <is>
          <t>https://www.pollentiaproperties.com/en/property/id/937043-country-house-for-sale-pollensa-guest-annexe-pool-rental-license</t>
        </is>
      </c>
      <c r="E4287" t="n">
        <v>4</v>
      </c>
      <c r="G4287" t="n">
        <v>3</v>
      </c>
      <c r="H4287" t="n">
        <v>330</v>
      </c>
      <c r="J4287" t="inlineStr">
        <is>
          <t>Pollença</t>
        </is>
      </c>
      <c r="K4287" t="n">
        <v>60.6</v>
      </c>
      <c r="L4287" t="n">
        <v>47</v>
      </c>
      <c r="M4287" t="n">
        <v>78.7</v>
      </c>
      <c r="N4287" t="n">
        <v>74</v>
      </c>
      <c r="O4287" t="n">
        <v>83.2</v>
      </c>
      <c r="P4287" t="n">
        <v>63</v>
      </c>
      <c r="Q4287" t="n">
        <v>76.40000000000001</v>
      </c>
      <c r="R4287" t="n">
        <v>70</v>
      </c>
      <c r="S4287" t="n">
        <v>1700000</v>
      </c>
      <c r="T4287" t="n">
        <v>5152</v>
      </c>
      <c r="U4287" t="n">
        <v>566667</v>
      </c>
      <c r="AH4287" t="inlineStr">
        <is>
          <t>Quelle: Pollentia Properties</t>
        </is>
      </c>
    </row>
    <row r="4288">
      <c r="A4288" t="n">
        <v>4101</v>
      </c>
      <c r="B4288" t="inlineStr">
        <is>
          <t>Villa for sale in Bonaire, combining comfort and sustainability</t>
        </is>
      </c>
      <c r="C4288" t="inlineStr">
        <is>
          <t>https://www.pollentiaproperties.com/en/property/id/936821-villa-for-sale-bonaire-high-quality-comfort-elegance-sustainability</t>
        </is>
      </c>
      <c r="E4288" t="n">
        <v>5</v>
      </c>
      <c r="G4288" t="n">
        <v>1</v>
      </c>
      <c r="H4288" t="n">
        <v>606</v>
      </c>
      <c r="J4288" t="inlineStr">
        <is>
          <t>Bonaire</t>
        </is>
      </c>
      <c r="K4288" t="n">
        <v>64.40000000000001</v>
      </c>
      <c r="L4288" t="n">
        <v>54</v>
      </c>
      <c r="M4288" t="n">
        <v>82.5</v>
      </c>
      <c r="N4288" t="n">
        <v>80</v>
      </c>
      <c r="O4288" t="n">
        <v>87</v>
      </c>
      <c r="P4288" t="n">
        <v>70</v>
      </c>
      <c r="Q4288" t="n">
        <v>80.2</v>
      </c>
      <c r="R4288" t="n">
        <v>77</v>
      </c>
      <c r="S4288" t="n">
        <v>2990000</v>
      </c>
      <c r="T4288" t="n">
        <v>4934</v>
      </c>
      <c r="U4288" t="n">
        <v>2990000</v>
      </c>
      <c r="AH4288" t="inlineStr">
        <is>
          <t>Quelle: Pollentia Properties</t>
        </is>
      </c>
    </row>
    <row r="4289">
      <c r="A4289" t="n">
        <v>4102</v>
      </c>
      <c r="B4289" t="inlineStr">
        <is>
          <t>Town house for sale in Sa Pobla with private garden and pool</t>
        </is>
      </c>
      <c r="C4289" t="inlineStr">
        <is>
          <t>https://www.pollentiaproperties.com/en/property/id/936714-town-house-for-sale-sa-pobla-stylish-renovation-garden-pool</t>
        </is>
      </c>
      <c r="E4289" t="n">
        <v>7</v>
      </c>
      <c r="G4289" t="n">
        <v>437</v>
      </c>
      <c r="H4289" t="n">
        <v>450</v>
      </c>
      <c r="J4289" t="inlineStr">
        <is>
          <t>Sa Pobla</t>
        </is>
      </c>
      <c r="K4289" t="n">
        <v>52.7</v>
      </c>
      <c r="L4289" t="n">
        <v>41</v>
      </c>
      <c r="M4289" t="n">
        <v>59.6</v>
      </c>
      <c r="N4289" t="n">
        <v>65</v>
      </c>
      <c r="O4289" t="n">
        <v>75.3</v>
      </c>
      <c r="P4289" t="n">
        <v>57</v>
      </c>
      <c r="Q4289" t="n">
        <v>57.3</v>
      </c>
      <c r="R4289" t="n">
        <v>61</v>
      </c>
      <c r="S4289" t="n">
        <v>1350000</v>
      </c>
      <c r="T4289" t="n">
        <v>3000</v>
      </c>
      <c r="U4289" t="n">
        <v>3089</v>
      </c>
      <c r="AH4289" t="inlineStr">
        <is>
          <t>Quelle: Pollentia Properties</t>
        </is>
      </c>
    </row>
    <row r="4290">
      <c r="A4290" t="n">
        <v>4103</v>
      </c>
      <c r="B4290" t="inlineStr">
        <is>
          <t>Country house for sale in Santa Margalida, turnkey project</t>
        </is>
      </c>
      <c r="C4290" t="inlineStr">
        <is>
          <t>https://www.pollentiaproperties.com/en/property/id/936116-country-house-for-sale-santa-margalida-project-with-building-permit</t>
        </is>
      </c>
      <c r="E4290" t="n">
        <v>5</v>
      </c>
      <c r="G4290" t="n">
        <v>14</v>
      </c>
      <c r="H4290" t="n">
        <v>458</v>
      </c>
      <c r="J4290" t="inlineStr">
        <is>
          <t>Santa Margalida</t>
        </is>
      </c>
      <c r="K4290" t="n">
        <v>56.3</v>
      </c>
      <c r="L4290" t="n">
        <v>47</v>
      </c>
      <c r="M4290" t="n">
        <v>52.4</v>
      </c>
      <c r="N4290" t="n">
        <v>55</v>
      </c>
      <c r="O4290" t="n">
        <v>78.90000000000001</v>
      </c>
      <c r="P4290" t="n">
        <v>63</v>
      </c>
      <c r="Q4290" t="n">
        <v>50.1</v>
      </c>
      <c r="R4290" t="n">
        <v>51</v>
      </c>
      <c r="S4290" t="n">
        <v>3200000</v>
      </c>
      <c r="T4290" t="n">
        <v>6987</v>
      </c>
      <c r="U4290" t="n">
        <v>228571</v>
      </c>
      <c r="AH4290" t="inlineStr">
        <is>
          <t>Quelle: Pollentia Properties</t>
        </is>
      </c>
    </row>
    <row r="4291">
      <c r="A4291" t="n">
        <v>4104</v>
      </c>
      <c r="B4291" t="inlineStr">
        <is>
          <t>Villa for sale in María de la Salut, project in charming location</t>
        </is>
      </c>
      <c r="C4291" t="inlineStr">
        <is>
          <t>https://www.pollentiaproperties.com/en/property/id/935993-villa-for-sale-maria-de-la-salut-new-project-garden-pool</t>
        </is>
      </c>
      <c r="E4291" t="n">
        <v>3</v>
      </c>
      <c r="G4291" t="n">
        <v>688</v>
      </c>
      <c r="H4291" t="n">
        <v>146</v>
      </c>
      <c r="J4291" t="inlineStr">
        <is>
          <t>María de la Salut</t>
        </is>
      </c>
      <c r="K4291" t="n">
        <v>42</v>
      </c>
      <c r="L4291" t="n">
        <v>45</v>
      </c>
      <c r="M4291" t="n">
        <v>49.4</v>
      </c>
      <c r="N4291" t="n">
        <v>52</v>
      </c>
      <c r="O4291" t="n">
        <v>77.3</v>
      </c>
      <c r="P4291" t="n">
        <v>62</v>
      </c>
      <c r="Q4291" t="n">
        <v>47.1</v>
      </c>
      <c r="R4291" t="n">
        <v>49</v>
      </c>
      <c r="S4291" t="n">
        <v>1200000</v>
      </c>
      <c r="T4291" t="n">
        <v>8219</v>
      </c>
      <c r="U4291" t="n">
        <v>1744</v>
      </c>
      <c r="AH4291" t="inlineStr">
        <is>
          <t>Quelle: Pollentia Properties</t>
        </is>
      </c>
    </row>
    <row r="4292">
      <c r="A4292" t="n">
        <v>4105</v>
      </c>
      <c r="B4292" t="inlineStr">
        <is>
          <t>Town house for sale in Pollença perfect for a renovation project</t>
        </is>
      </c>
      <c r="C4292" t="inlineStr">
        <is>
          <t>https://www.pollentiaproperties.com/en/property/id/935713-town-house-for-sale-pollensa-patio-garage-roof-terrace</t>
        </is>
      </c>
      <c r="E4292" t="n">
        <v>4</v>
      </c>
      <c r="G4292" t="n">
        <v>87</v>
      </c>
      <c r="H4292" t="n">
        <v>168</v>
      </c>
      <c r="J4292" t="inlineStr">
        <is>
          <t>Pollença Pueblo</t>
        </is>
      </c>
      <c r="S4292" t="n">
        <v>525000</v>
      </c>
      <c r="T4292" t="n">
        <v>3125</v>
      </c>
      <c r="U4292" t="n">
        <v>6034</v>
      </c>
      <c r="AH4292" t="inlineStr">
        <is>
          <t>Quelle: Pollentia Properties</t>
        </is>
      </c>
    </row>
    <row r="4293">
      <c r="A4293" t="n">
        <v>4106</v>
      </c>
      <c r="B4293" t="inlineStr">
        <is>
          <t>Town house for sale in Selva traditional charm in great location</t>
        </is>
      </c>
      <c r="C4293" t="inlineStr">
        <is>
          <t>https://www.pollentiaproperties.com/en/property/id/935685-town-house-for-sale-selva-traditional-charm-great-location</t>
        </is>
      </c>
      <c r="E4293" t="n">
        <v>4</v>
      </c>
      <c r="G4293" t="n">
        <v>321</v>
      </c>
      <c r="H4293" t="n">
        <v>253</v>
      </c>
      <c r="J4293" t="inlineStr">
        <is>
          <t>Selva</t>
        </is>
      </c>
      <c r="S4293" t="n">
        <v>595000</v>
      </c>
      <c r="T4293" t="n">
        <v>2352</v>
      </c>
      <c r="U4293" t="n">
        <v>1854</v>
      </c>
      <c r="AH4293" t="inlineStr">
        <is>
          <t>Quelle: Pollentia Properties</t>
        </is>
      </c>
    </row>
    <row r="4294">
      <c r="A4294" t="n">
        <v>4107</v>
      </c>
      <c r="B4294" t="inlineStr">
        <is>
          <t>Country house for sale in Pollença in genuine Mediterranean style</t>
        </is>
      </c>
      <c r="C4294" t="inlineStr">
        <is>
          <t>https://www.pollentiaproperties.com/en/property/id/935296-country-house-for-sale-pollensa-mediterranean-style-garden-pool-rental-license</t>
        </is>
      </c>
      <c r="E4294" t="n">
        <v>6</v>
      </c>
      <c r="G4294" t="n">
        <v>16</v>
      </c>
      <c r="H4294" t="n">
        <v>363</v>
      </c>
      <c r="J4294" t="inlineStr">
        <is>
          <t>Pollença</t>
        </is>
      </c>
      <c r="K4294" t="n">
        <v>60.6</v>
      </c>
      <c r="L4294" t="n">
        <v>47</v>
      </c>
      <c r="M4294" t="n">
        <v>78.7</v>
      </c>
      <c r="N4294" t="n">
        <v>74</v>
      </c>
      <c r="O4294" t="n">
        <v>83.2</v>
      </c>
      <c r="P4294" t="n">
        <v>63</v>
      </c>
      <c r="Q4294" t="n">
        <v>76.40000000000001</v>
      </c>
      <c r="R4294" t="n">
        <v>70</v>
      </c>
      <c r="S4294" t="n">
        <v>2690000</v>
      </c>
      <c r="T4294" t="n">
        <v>7410</v>
      </c>
      <c r="U4294" t="n">
        <v>168125</v>
      </c>
      <c r="AH4294" t="inlineStr">
        <is>
          <t>Quelle: Pollentia Properties</t>
        </is>
      </c>
    </row>
    <row r="4295">
      <c r="A4295" t="n">
        <v>4108</v>
      </c>
      <c r="B4295" t="inlineStr">
        <is>
          <t>Apartment building for sale in Binissalem, fantastic investment opportunity</t>
        </is>
      </c>
      <c r="C4295" t="inlineStr">
        <is>
          <t>https://www.pollentiaproperties.com/en/property/id/935173-apartment-building-for-sale-binissalem-conversion-investment-oppottunity</t>
        </is>
      </c>
      <c r="H4295" t="n">
        <v>1</v>
      </c>
      <c r="J4295" t="inlineStr">
        <is>
          <t>Binissalem</t>
        </is>
      </c>
      <c r="K4295" t="n">
        <v>31.5</v>
      </c>
      <c r="L4295" t="n">
        <v>29</v>
      </c>
      <c r="M4295" t="n">
        <v>74.3</v>
      </c>
      <c r="N4295" t="n">
        <v>62</v>
      </c>
      <c r="O4295" t="n">
        <v>54.1</v>
      </c>
      <c r="P4295" t="n">
        <v>45</v>
      </c>
      <c r="Q4295" t="n">
        <v>72</v>
      </c>
      <c r="R4295" t="n">
        <v>58</v>
      </c>
      <c r="S4295" t="n">
        <v>3000000</v>
      </c>
      <c r="T4295" t="n">
        <v>3000000</v>
      </c>
      <c r="AH4295" t="inlineStr">
        <is>
          <t>Quelle: Pollentia Properties</t>
        </is>
      </c>
    </row>
    <row r="4296">
      <c r="A4296" t="n">
        <v>4109</v>
      </c>
      <c r="B4296" t="inlineStr">
        <is>
          <t>Villa for sale in Inca, Mallorca with panoramic views, pool and large garden</t>
        </is>
      </c>
      <c r="C4296" t="inlineStr">
        <is>
          <t>https://www.pollentiaproperties.com/en/property/id/934860-villa-for-sale-inca-mallorca-panoramic-views-pool</t>
        </is>
      </c>
      <c r="E4296" t="n">
        <v>4</v>
      </c>
      <c r="G4296" t="n">
        <v>975</v>
      </c>
      <c r="H4296" t="n">
        <v>315</v>
      </c>
      <c r="J4296" t="inlineStr">
        <is>
          <t>Inca</t>
        </is>
      </c>
      <c r="K4296" t="n">
        <v>37.5</v>
      </c>
      <c r="L4296" t="n">
        <v>29</v>
      </c>
      <c r="M4296" t="n">
        <v>55.6</v>
      </c>
      <c r="N4296" t="n">
        <v>55</v>
      </c>
      <c r="O4296" t="n">
        <v>60.1</v>
      </c>
      <c r="P4296" t="n">
        <v>45</v>
      </c>
      <c r="Q4296" t="n">
        <v>53.3</v>
      </c>
      <c r="R4296" t="n">
        <v>51</v>
      </c>
      <c r="S4296" t="n">
        <v>1295000</v>
      </c>
      <c r="T4296" t="n">
        <v>4111</v>
      </c>
      <c r="U4296" t="n">
        <v>1328</v>
      </c>
      <c r="AH4296" t="inlineStr">
        <is>
          <t>Quelle: Pollentia Properties</t>
        </is>
      </c>
    </row>
    <row r="4297">
      <c r="A4297" t="n">
        <v>4110</v>
      </c>
      <c r="B4297" t="inlineStr">
        <is>
          <t>Country house for sale in Alcudia single storey on large plot</t>
        </is>
      </c>
      <c r="C4297" t="inlineStr">
        <is>
          <t>https://www.pollentiaproperties.com/en/property/id/934141-country-house-for-sale-alcudia-single-storey-large-plot</t>
        </is>
      </c>
      <c r="E4297" t="n">
        <v>5</v>
      </c>
      <c r="G4297" t="n">
        <v>8</v>
      </c>
      <c r="H4297" t="n">
        <v>452</v>
      </c>
      <c r="J4297" t="inlineStr">
        <is>
          <t>Alcúdia</t>
        </is>
      </c>
      <c r="K4297" t="n">
        <v>61.6</v>
      </c>
      <c r="L4297" t="n">
        <v>47</v>
      </c>
      <c r="M4297" t="n">
        <v>79.7</v>
      </c>
      <c r="N4297" t="n">
        <v>74</v>
      </c>
      <c r="O4297" t="n">
        <v>84.2</v>
      </c>
      <c r="P4297" t="n">
        <v>63</v>
      </c>
      <c r="Q4297" t="n">
        <v>77.40000000000001</v>
      </c>
      <c r="R4297" t="n">
        <v>70</v>
      </c>
      <c r="S4297" t="n">
        <v>3200000</v>
      </c>
      <c r="T4297" t="n">
        <v>7080</v>
      </c>
      <c r="U4297" t="n">
        <v>400000</v>
      </c>
      <c r="AH4297" t="inlineStr">
        <is>
          <t>Quelle: Pollentia Properties</t>
        </is>
      </c>
    </row>
    <row r="4298">
      <c r="A4298" t="n">
        <v>4111</v>
      </c>
      <c r="B4298" t="inlineStr">
        <is>
          <t>Country plot for sale in Alcudia</t>
        </is>
      </c>
      <c r="C4298" t="inlineStr">
        <is>
          <t>https://www.pollentiaproperties.com/en/property/id/934140-country-plot-for-sale-alcudia-large-plot</t>
        </is>
      </c>
      <c r="E4298" t="n">
        <v>5</v>
      </c>
      <c r="G4298" t="n">
        <v>8</v>
      </c>
      <c r="H4298" t="n">
        <v>126</v>
      </c>
      <c r="J4298" t="inlineStr">
        <is>
          <t>Alcúdia</t>
        </is>
      </c>
      <c r="K4298" t="n">
        <v>61.6</v>
      </c>
      <c r="L4298" t="n">
        <v>47</v>
      </c>
      <c r="M4298" t="n">
        <v>79.7</v>
      </c>
      <c r="N4298" t="n">
        <v>74</v>
      </c>
      <c r="O4298" t="n">
        <v>84.2</v>
      </c>
      <c r="P4298" t="n">
        <v>63</v>
      </c>
      <c r="Q4298" t="n">
        <v>77.40000000000001</v>
      </c>
      <c r="R4298" t="n">
        <v>70</v>
      </c>
      <c r="S4298" t="n">
        <v>3200000</v>
      </c>
      <c r="T4298" t="n">
        <v>25397</v>
      </c>
      <c r="U4298" t="n">
        <v>400000</v>
      </c>
      <c r="AH4298" t="inlineStr">
        <is>
          <t>Quelle: Pollentia Properties</t>
        </is>
      </c>
    </row>
    <row r="4299">
      <c r="A4299" t="n">
        <v>4112</v>
      </c>
      <c r="B4299" t="inlineStr">
        <is>
          <t>Country home for sale in Porreres, with vineyard and olive grove</t>
        </is>
      </c>
      <c r="C4299" t="inlineStr">
        <is>
          <t>https://www.pollentiaproperties.com/en/property/id/933720-country-home-for-sale-porreres-vineyard-huge-estate</t>
        </is>
      </c>
      <c r="E4299" t="n">
        <v>5</v>
      </c>
      <c r="G4299" t="n">
        <v>70</v>
      </c>
      <c r="H4299" t="n">
        <v>600</v>
      </c>
      <c r="J4299" t="inlineStr">
        <is>
          <t>Porreres</t>
        </is>
      </c>
      <c r="K4299" t="n">
        <v>35.9</v>
      </c>
      <c r="L4299" t="n">
        <v>34</v>
      </c>
      <c r="M4299" t="n">
        <v>27.6</v>
      </c>
      <c r="N4299" t="n">
        <v>32</v>
      </c>
      <c r="O4299" t="n">
        <v>69.3</v>
      </c>
      <c r="P4299" t="n">
        <v>59</v>
      </c>
      <c r="Q4299" t="n">
        <v>25.3</v>
      </c>
      <c r="R4299" t="n">
        <v>29</v>
      </c>
      <c r="S4299" t="n">
        <v>4950000</v>
      </c>
      <c r="T4299" t="n">
        <v>8250</v>
      </c>
      <c r="U4299" t="n">
        <v>70714</v>
      </c>
      <c r="AH4299" t="inlineStr">
        <is>
          <t>Quelle: Pollentia Properties</t>
        </is>
      </c>
    </row>
    <row r="4300">
      <c r="A4300" t="n">
        <v>4113</v>
      </c>
      <c r="B4300" t="inlineStr">
        <is>
          <t>Hotel for sale in Estellencs in enchanting traditional style</t>
        </is>
      </c>
      <c r="C4300" t="inlineStr">
        <is>
          <t>https://www.pollentiaproperties.com/en/property/id/933499-hotel-for-sale-estellencs-enchanting-traditional-style</t>
        </is>
      </c>
      <c r="E4300" t="n">
        <v>8</v>
      </c>
      <c r="G4300" t="n">
        <v>292</v>
      </c>
      <c r="H4300" t="n">
        <v>511</v>
      </c>
      <c r="J4300" t="inlineStr">
        <is>
          <t>Estellencs</t>
        </is>
      </c>
      <c r="K4300" t="n">
        <v>42.7</v>
      </c>
      <c r="L4300" t="n">
        <v>58</v>
      </c>
      <c r="M4300" t="n">
        <v>85.5</v>
      </c>
      <c r="N4300" t="n">
        <v>91</v>
      </c>
      <c r="O4300" t="n">
        <v>19.9</v>
      </c>
      <c r="P4300" t="n">
        <v>32</v>
      </c>
      <c r="Q4300" t="n">
        <v>83.2</v>
      </c>
      <c r="R4300" t="n">
        <v>87</v>
      </c>
      <c r="S4300" t="n">
        <v>2600000</v>
      </c>
      <c r="T4300" t="n">
        <v>5088</v>
      </c>
      <c r="U4300" t="n">
        <v>8904</v>
      </c>
      <c r="AH4300" t="inlineStr">
        <is>
          <t>Quelle: Pollentia Properties</t>
        </is>
      </c>
    </row>
    <row r="4301">
      <c r="A4301" t="n">
        <v>4114</v>
      </c>
      <c r="B4301" t="inlineStr">
        <is>
          <t>Duplex apartment for sale in La Bonanova, Palma with private pool</t>
        </is>
      </c>
      <c r="C4301" t="inlineStr">
        <is>
          <t>https://www.pollentiaproperties.com/en/property/id/932840-apartment-duplex-for-sale-la-bonanova-palma-private-pool</t>
        </is>
      </c>
      <c r="E4301" t="n">
        <v>5</v>
      </c>
      <c r="H4301" t="n">
        <v>247</v>
      </c>
      <c r="J4301" t="inlineStr">
        <is>
          <t>La Bonanova</t>
        </is>
      </c>
      <c r="K4301" t="n">
        <v>19.2</v>
      </c>
      <c r="L4301" t="n">
        <v>21</v>
      </c>
      <c r="M4301" t="n">
        <v>62</v>
      </c>
      <c r="N4301" t="n">
        <v>54</v>
      </c>
      <c r="O4301" t="n">
        <v>26.6</v>
      </c>
      <c r="P4301" t="n">
        <v>27</v>
      </c>
      <c r="Q4301" t="n">
        <v>59.7</v>
      </c>
      <c r="R4301" t="n">
        <v>51</v>
      </c>
      <c r="S4301" t="n">
        <v>1900000</v>
      </c>
      <c r="T4301" t="n">
        <v>7692</v>
      </c>
      <c r="AH4301" t="inlineStr">
        <is>
          <t>Quelle: Pollentia Properties</t>
        </is>
      </c>
    </row>
    <row r="4302">
      <c r="A4302" t="n">
        <v>4115</v>
      </c>
      <c r="B4302" t="inlineStr">
        <is>
          <t>Townhouse for sale in Porreres, renovated with high quality materials</t>
        </is>
      </c>
      <c r="C4302" t="inlineStr">
        <is>
          <t>https://www.pollentiaproperties.com/en/property/id/932814-townhouse-for-sale-porreres-renovated-wine-cellar-top-quality</t>
        </is>
      </c>
      <c r="E4302" t="n">
        <v>3</v>
      </c>
      <c r="G4302" t="n">
        <v>152</v>
      </c>
      <c r="H4302" t="n">
        <v>368</v>
      </c>
      <c r="J4302" t="inlineStr">
        <is>
          <t>Porreres</t>
        </is>
      </c>
      <c r="S4302" t="n">
        <v>749000</v>
      </c>
      <c r="T4302" t="n">
        <v>2035</v>
      </c>
      <c r="U4302" t="n">
        <v>4928</v>
      </c>
      <c r="AH4302" t="inlineStr">
        <is>
          <t>Quelle: Pollentia Properties</t>
        </is>
      </c>
    </row>
    <row r="4303">
      <c r="A4303" t="n">
        <v>4116</v>
      </c>
      <c r="B4303" t="inlineStr">
        <is>
          <t>Building plot for sale in Caimari, Mallorca with basic license</t>
        </is>
      </c>
      <c r="C4303" t="inlineStr">
        <is>
          <t>https://www.pollentiaproperties.com/en/property/id/932542-building-plot-for-sale-caimari-building-license-two-houses</t>
        </is>
      </c>
      <c r="G4303" t="n">
        <v>237</v>
      </c>
      <c r="J4303" t="inlineStr">
        <is>
          <t>Caimari</t>
        </is>
      </c>
      <c r="S4303" t="n">
        <v>310000</v>
      </c>
      <c r="U4303" t="n">
        <v>1308</v>
      </c>
      <c r="AH4303" t="inlineStr">
        <is>
          <t>Quelle: Pollentia Properties</t>
        </is>
      </c>
    </row>
    <row r="4304">
      <c r="A4304" t="n">
        <v>4117</v>
      </c>
      <c r="B4304" t="inlineStr">
        <is>
          <t>Building plot for sale in Camp de Mar with project</t>
        </is>
      </c>
      <c r="C4304" t="inlineStr">
        <is>
          <t>https://www.pollentiaproperties.com/en/property/id/932445-building-plot-for-sale-camp-de-mar-project-luxury-villa-pool</t>
        </is>
      </c>
      <c r="E4304" t="n">
        <v>5</v>
      </c>
      <c r="G4304" t="n">
        <v>1</v>
      </c>
      <c r="H4304" t="n">
        <v>504</v>
      </c>
      <c r="J4304" t="inlineStr">
        <is>
          <t>Camp de Mar</t>
        </is>
      </c>
      <c r="K4304" t="n">
        <v>38.7</v>
      </c>
      <c r="L4304" t="n">
        <v>32</v>
      </c>
      <c r="M4304" t="n">
        <v>81.40000000000001</v>
      </c>
      <c r="N4304" t="n">
        <v>65</v>
      </c>
      <c r="O4304" t="n">
        <v>6.7</v>
      </c>
      <c r="P4304" t="n">
        <v>10</v>
      </c>
      <c r="Q4304" t="n">
        <v>79.09999999999999</v>
      </c>
      <c r="R4304" t="n">
        <v>62</v>
      </c>
      <c r="S4304" t="n">
        <v>2100000</v>
      </c>
      <c r="T4304" t="n">
        <v>4167</v>
      </c>
      <c r="U4304" t="n">
        <v>2100000</v>
      </c>
      <c r="AH4304" t="inlineStr">
        <is>
          <t>Quelle: Pollentia Properties</t>
        </is>
      </c>
    </row>
    <row r="4305">
      <c r="A4305" t="n">
        <v>4118</v>
      </c>
      <c r="B4305" t="inlineStr">
        <is>
          <t>Penthouse apartment for sale in Palma stylishly renovated with terrace</t>
        </is>
      </c>
      <c r="C4305" t="inlineStr">
        <is>
          <t>https://www.pollentiaproperties.com/en/property/id/932416-penthouse-apartment-for-sale-palma-stylishly-renovated-spacious-terrace</t>
        </is>
      </c>
      <c r="E4305" t="n">
        <v>2</v>
      </c>
      <c r="H4305" t="n">
        <v>130</v>
      </c>
      <c r="J4305" t="inlineStr">
        <is>
          <t>Blanquerna</t>
        </is>
      </c>
      <c r="AH4305" t="inlineStr">
        <is>
          <t>Quelle: Pollentia Properties</t>
        </is>
      </c>
    </row>
    <row r="4306">
      <c r="A4306" t="n">
        <v>4119</v>
      </c>
      <c r="B4306" t="inlineStr">
        <is>
          <t>Townhouse for sale in El Calvari, Pollensa with holiday rental license</t>
        </is>
      </c>
      <c r="C4306" t="inlineStr">
        <is>
          <t>https://www.pollentiaproperties.com/en/property/id/932329-town-house-for-sale-pollensa-calvario-location-two-floors-garden-pool-barbecue</t>
        </is>
      </c>
      <c r="E4306" t="n">
        <v>4</v>
      </c>
      <c r="G4306" t="n">
        <v>1</v>
      </c>
      <c r="H4306" t="n">
        <v>358</v>
      </c>
      <c r="J4306" t="inlineStr">
        <is>
          <t>El Calvari</t>
        </is>
      </c>
      <c r="K4306" t="n">
        <v>62.8</v>
      </c>
      <c r="L4306" t="n">
        <v>50</v>
      </c>
      <c r="M4306" t="n">
        <v>80.90000000000001</v>
      </c>
      <c r="N4306" t="n">
        <v>77</v>
      </c>
      <c r="O4306" t="n">
        <v>85.40000000000001</v>
      </c>
      <c r="P4306" t="n">
        <v>66</v>
      </c>
      <c r="Q4306" t="n">
        <v>78.59999999999999</v>
      </c>
      <c r="R4306" t="n">
        <v>73</v>
      </c>
      <c r="S4306" t="n">
        <v>3850000</v>
      </c>
      <c r="T4306" t="n">
        <v>10754</v>
      </c>
      <c r="U4306" t="n">
        <v>3850000</v>
      </c>
      <c r="AH4306" t="inlineStr">
        <is>
          <t>Quelle: Pollentia Properties</t>
        </is>
      </c>
    </row>
    <row r="4307">
      <c r="A4307" t="n">
        <v>4120</v>
      </c>
      <c r="B4307" t="inlineStr">
        <is>
          <t>Country house for sale in Manacor with high development potential</t>
        </is>
      </c>
      <c r="C4307" t="inlineStr">
        <is>
          <t>https://www.pollentiaproperties.com/en/property/id/932296-country-house-for-sale-manacor-three-units-development-project</t>
        </is>
      </c>
      <c r="E4307" t="n">
        <v>12</v>
      </c>
      <c r="H4307" t="n">
        <v>7</v>
      </c>
      <c r="J4307" t="inlineStr">
        <is>
          <t>Manacor</t>
        </is>
      </c>
      <c r="K4307" t="n">
        <v>49.2</v>
      </c>
      <c r="L4307" t="n">
        <v>44</v>
      </c>
      <c r="M4307" t="n">
        <v>40.3</v>
      </c>
      <c r="N4307" t="n">
        <v>45</v>
      </c>
      <c r="O4307" t="n">
        <v>83.40000000000001</v>
      </c>
      <c r="P4307" t="n">
        <v>68</v>
      </c>
      <c r="Q4307" t="n">
        <v>38</v>
      </c>
      <c r="R4307" t="n">
        <v>41</v>
      </c>
      <c r="S4307" t="n">
        <v>18000000</v>
      </c>
      <c r="T4307" t="n">
        <v>2571429</v>
      </c>
      <c r="AH4307" t="inlineStr">
        <is>
          <t>Quelle: Pollentia Properties</t>
        </is>
      </c>
    </row>
    <row r="4308">
      <c r="A4308" t="n">
        <v>4121</v>
      </c>
      <c r="B4308" t="inlineStr">
        <is>
          <t>Country home for sale in Santa Maria, with guest house</t>
        </is>
      </c>
      <c r="C4308" t="inlineStr">
        <is>
          <t>https://www.pollentiaproperties.com/en/property/id/931976-country-home-for-sale-santa-maria-garden-pool-guest-house</t>
        </is>
      </c>
      <c r="E4308" t="n">
        <v>7</v>
      </c>
      <c r="G4308" t="n">
        <v>9</v>
      </c>
      <c r="H4308" t="n">
        <v>493</v>
      </c>
      <c r="J4308" t="inlineStr">
        <is>
          <t>Santa Maria del Camí</t>
        </is>
      </c>
      <c r="K4308" t="n">
        <v>23.5</v>
      </c>
      <c r="L4308" t="n">
        <v>21</v>
      </c>
      <c r="M4308" t="n">
        <v>66.3</v>
      </c>
      <c r="N4308" t="n">
        <v>54</v>
      </c>
      <c r="O4308" t="n">
        <v>46.1</v>
      </c>
      <c r="P4308" t="n">
        <v>37</v>
      </c>
      <c r="Q4308" t="n">
        <v>64</v>
      </c>
      <c r="R4308" t="n">
        <v>51</v>
      </c>
      <c r="S4308" t="n">
        <v>2990000</v>
      </c>
      <c r="T4308" t="n">
        <v>6065</v>
      </c>
      <c r="U4308" t="n">
        <v>332222</v>
      </c>
      <c r="AH4308" t="inlineStr">
        <is>
          <t>Quelle: Pollentia Properties</t>
        </is>
      </c>
    </row>
    <row r="4309">
      <c r="A4309" t="n">
        <v>4122</v>
      </c>
      <c r="B4309" t="inlineStr">
        <is>
          <t>Town house for sale in Llubi where historic charm meets maximum comfort</t>
        </is>
      </c>
      <c r="C4309" t="inlineStr">
        <is>
          <t>https://www.pollentiaproperties.com/en/property/id/931882-town-house-for-sale-llubi-renovated-amazing-location-terrace-pool</t>
        </is>
      </c>
      <c r="E4309" t="n">
        <v>3</v>
      </c>
      <c r="H4309" t="n">
        <v>218</v>
      </c>
      <c r="J4309" t="inlineStr">
        <is>
          <t>Llubí</t>
        </is>
      </c>
      <c r="K4309" t="n">
        <v>46.1</v>
      </c>
      <c r="L4309" t="n">
        <v>38</v>
      </c>
      <c r="M4309" t="n">
        <v>50.9</v>
      </c>
      <c r="N4309" t="n">
        <v>54</v>
      </c>
      <c r="O4309" t="n">
        <v>68.7</v>
      </c>
      <c r="P4309" t="n">
        <v>54</v>
      </c>
      <c r="Q4309" t="n">
        <v>48.6</v>
      </c>
      <c r="R4309" t="n">
        <v>50</v>
      </c>
      <c r="S4309" t="n">
        <v>1320000</v>
      </c>
      <c r="T4309" t="n">
        <v>6055</v>
      </c>
      <c r="AH4309" t="inlineStr">
        <is>
          <t>Quelle: Pollentia Properties</t>
        </is>
      </c>
    </row>
    <row r="4310">
      <c r="A4310" t="n">
        <v>4123</v>
      </c>
      <c r="B4310" t="inlineStr">
        <is>
          <t>Country home for sale in Biniali single storey luxury property</t>
        </is>
      </c>
      <c r="C4310" t="inlineStr">
        <is>
          <t>https://www.pollentiaproperties.com/en/property/id/931835-country-home-for-sale-biniali-single-storey-luxury-property-garden-pool</t>
        </is>
      </c>
      <c r="E4310" t="n">
        <v>4</v>
      </c>
      <c r="G4310" t="n">
        <v>17</v>
      </c>
      <c r="H4310" t="n">
        <v>414</v>
      </c>
      <c r="J4310" t="inlineStr">
        <is>
          <t>Biniali</t>
        </is>
      </c>
      <c r="K4310" t="n">
        <v>30.3</v>
      </c>
      <c r="L4310" t="n">
        <v>26</v>
      </c>
      <c r="M4310" t="n">
        <v>50.7</v>
      </c>
      <c r="N4310" t="n">
        <v>52</v>
      </c>
      <c r="O4310" t="n">
        <v>52.9</v>
      </c>
      <c r="P4310" t="n">
        <v>43</v>
      </c>
      <c r="Q4310" t="n">
        <v>48.4</v>
      </c>
      <c r="R4310" t="n">
        <v>49</v>
      </c>
      <c r="S4310" t="n">
        <v>3995000</v>
      </c>
      <c r="T4310" t="n">
        <v>9650</v>
      </c>
      <c r="U4310" t="n">
        <v>235000</v>
      </c>
      <c r="AH4310" t="inlineStr">
        <is>
          <t>Quelle: Pollentia Properties</t>
        </is>
      </c>
    </row>
    <row r="4311">
      <c r="A4311" t="n">
        <v>4124</v>
      </c>
      <c r="B4311" t="inlineStr">
        <is>
          <t>Country home for sale in Biniali single storey luxury property</t>
        </is>
      </c>
      <c r="C4311" t="inlineStr">
        <is>
          <t>https://www.pollentiaproperties.com/en/property/id/931834-country-home-for-sale-biniali-single-storey-luxury-property-garden-pool</t>
        </is>
      </c>
      <c r="E4311" t="n">
        <v>4</v>
      </c>
      <c r="G4311" t="n">
        <v>28</v>
      </c>
      <c r="H4311" t="n">
        <v>480</v>
      </c>
      <c r="J4311" t="inlineStr">
        <is>
          <t>Biniali</t>
        </is>
      </c>
      <c r="K4311" t="n">
        <v>30.3</v>
      </c>
      <c r="L4311" t="n">
        <v>26</v>
      </c>
      <c r="M4311" t="n">
        <v>50.7</v>
      </c>
      <c r="N4311" t="n">
        <v>52</v>
      </c>
      <c r="O4311" t="n">
        <v>52.9</v>
      </c>
      <c r="P4311" t="n">
        <v>43</v>
      </c>
      <c r="Q4311" t="n">
        <v>48.4</v>
      </c>
      <c r="R4311" t="n">
        <v>49</v>
      </c>
      <c r="S4311" t="n">
        <v>3995000</v>
      </c>
      <c r="T4311" t="n">
        <v>8323</v>
      </c>
      <c r="U4311" t="n">
        <v>142679</v>
      </c>
      <c r="AH4311" t="inlineStr">
        <is>
          <t>Quelle: Pollentia Properties</t>
        </is>
      </c>
    </row>
    <row r="4312">
      <c r="A4312" t="n">
        <v>4125</v>
      </c>
      <c r="B4312" t="inlineStr">
        <is>
          <t>Villa for sale in Barcarés, newly built with private pool</t>
        </is>
      </c>
      <c r="C4312" t="inlineStr">
        <is>
          <t>https://www.pollentiaproperties.com/en/property/id/931759-villa-for-sale-in-barcares-newly-built-private-pool</t>
        </is>
      </c>
      <c r="E4312" t="n">
        <v>3</v>
      </c>
      <c r="G4312" t="n">
        <v>237</v>
      </c>
      <c r="H4312" t="n">
        <v>218</v>
      </c>
      <c r="J4312" t="inlineStr">
        <is>
          <t>Barcarés</t>
        </is>
      </c>
      <c r="K4312" t="n">
        <v>47.4</v>
      </c>
      <c r="L4312" t="n">
        <v>40</v>
      </c>
      <c r="M4312" t="n">
        <v>51.8</v>
      </c>
      <c r="N4312" t="n">
        <v>55</v>
      </c>
      <c r="O4312" t="n">
        <v>70</v>
      </c>
      <c r="P4312" t="n">
        <v>56</v>
      </c>
      <c r="Q4312" t="n">
        <v>49.5</v>
      </c>
      <c r="R4312" t="n">
        <v>51</v>
      </c>
      <c r="S4312" t="n">
        <v>1600000</v>
      </c>
      <c r="T4312" t="n">
        <v>7339</v>
      </c>
      <c r="U4312" t="n">
        <v>6751</v>
      </c>
      <c r="AH4312" t="inlineStr">
        <is>
          <t>Quelle: Pollentia Properties</t>
        </is>
      </c>
    </row>
    <row r="4313">
      <c r="A4313" t="n">
        <v>4126</v>
      </c>
      <c r="B4313" t="inlineStr">
        <is>
          <t>Villa for sale in Bonaire, with pool and amazing sea views</t>
        </is>
      </c>
      <c r="C4313" t="inlineStr">
        <is>
          <t>https://www.pollentiaproperties.com/en/property/id/931492-villa-for-sale-bonaire-sea-views-garden-pool</t>
        </is>
      </c>
      <c r="E4313" t="n">
        <v>4</v>
      </c>
      <c r="G4313" t="n">
        <v>612</v>
      </c>
      <c r="H4313" t="n">
        <v>318</v>
      </c>
      <c r="J4313" t="inlineStr">
        <is>
          <t>Bonaire</t>
        </is>
      </c>
      <c r="S4313" t="n">
        <v>950000</v>
      </c>
      <c r="T4313" t="n">
        <v>2987</v>
      </c>
      <c r="U4313" t="n">
        <v>1552</v>
      </c>
      <c r="AH4313" t="inlineStr">
        <is>
          <t>Quelle: Pollentia Properties</t>
        </is>
      </c>
    </row>
    <row r="4314">
      <c r="A4314" t="n">
        <v>4127</v>
      </c>
      <c r="B4314" t="inlineStr">
        <is>
          <t>Villa for sale in Puerto Alcudia in development close to the beach</t>
        </is>
      </c>
      <c r="C4314" t="inlineStr">
        <is>
          <t>https://www.pollentiaproperties.com/en/property/id/931262-villa-for-sale-in-puerto-alcudia-in-development-close-to-the-beach</t>
        </is>
      </c>
      <c r="E4314" t="n">
        <v>3</v>
      </c>
      <c r="G4314" t="n">
        <v>110</v>
      </c>
      <c r="H4314" t="n">
        <v>153</v>
      </c>
      <c r="J4314" t="inlineStr">
        <is>
          <t>Puerto de Alcúdia</t>
        </is>
      </c>
      <c r="S4314" t="n">
        <v>690000</v>
      </c>
      <c r="T4314" t="n">
        <v>4510</v>
      </c>
      <c r="U4314" t="n">
        <v>6273</v>
      </c>
      <c r="AH4314" t="inlineStr">
        <is>
          <t>Quelle: Pollentia Properties</t>
        </is>
      </c>
    </row>
    <row r="4315">
      <c r="A4315" t="n">
        <v>4128</v>
      </c>
      <c r="B4315" t="inlineStr">
        <is>
          <t>Villa for sale in Puerto Alcudia in development close to the beach</t>
        </is>
      </c>
      <c r="C4315" t="inlineStr">
        <is>
          <t>https://www.pollentiaproperties.com/en/property/id/931261-villa-for-sale-in-puerto-alcudia-in-development-close-to-the-beach</t>
        </is>
      </c>
      <c r="E4315" t="n">
        <v>3</v>
      </c>
      <c r="G4315" t="n">
        <v>110</v>
      </c>
      <c r="H4315" t="n">
        <v>153</v>
      </c>
      <c r="J4315" t="inlineStr">
        <is>
          <t>Puerto de Alcúdia</t>
        </is>
      </c>
      <c r="S4315" t="n">
        <v>740000</v>
      </c>
      <c r="T4315" t="n">
        <v>4837</v>
      </c>
      <c r="U4315" t="n">
        <v>6727</v>
      </c>
      <c r="AH4315" t="inlineStr">
        <is>
          <t>Quelle: Pollentia Properties</t>
        </is>
      </c>
    </row>
    <row r="4316">
      <c r="A4316" t="n">
        <v>4129</v>
      </c>
      <c r="B4316" t="inlineStr">
        <is>
          <t>Townhouse for sale in Pollença for updating in central location</t>
        </is>
      </c>
      <c r="C4316" t="inlineStr">
        <is>
          <t>https://www.pollentiaproperties.com/en/property/id/931152-townhouse-for-sale-pollensa-updating-needed-fantastic-potential</t>
        </is>
      </c>
      <c r="E4316" t="n">
        <v>6</v>
      </c>
      <c r="G4316" t="n">
        <v>76</v>
      </c>
      <c r="H4316" t="n">
        <v>202</v>
      </c>
      <c r="J4316" t="inlineStr">
        <is>
          <t>Pollença Pueblo</t>
        </is>
      </c>
      <c r="K4316" t="n">
        <v>60.6</v>
      </c>
      <c r="L4316" t="n">
        <v>47</v>
      </c>
      <c r="M4316" t="n">
        <v>78.7</v>
      </c>
      <c r="N4316" t="n">
        <v>74</v>
      </c>
      <c r="O4316" t="n">
        <v>83.2</v>
      </c>
      <c r="P4316" t="n">
        <v>63</v>
      </c>
      <c r="Q4316" t="n">
        <v>76.40000000000001</v>
      </c>
      <c r="R4316" t="n">
        <v>70</v>
      </c>
      <c r="S4316" t="n">
        <v>795000</v>
      </c>
      <c r="T4316" t="n">
        <v>3936</v>
      </c>
      <c r="U4316" t="n">
        <v>10461</v>
      </c>
      <c r="AH4316" t="inlineStr">
        <is>
          <t>Quelle: Pollentia Properties</t>
        </is>
      </c>
    </row>
    <row r="4317">
      <c r="A4317" t="n">
        <v>4130</v>
      </c>
      <c r="B4317" t="inlineStr">
        <is>
          <t>Villa for sale in Alcanada, great opportunity in amazing location</t>
        </is>
      </c>
      <c r="C4317" t="inlineStr">
        <is>
          <t>https://www.pollentiaproperties.com/en/property/id/930804-villas-for-sale-aucanada-new-build-luxury-features-private-pool</t>
        </is>
      </c>
      <c r="E4317" t="n">
        <v>3</v>
      </c>
      <c r="G4317" t="n">
        <v>470</v>
      </c>
      <c r="H4317" t="n">
        <v>270</v>
      </c>
      <c r="J4317" t="inlineStr">
        <is>
          <t>Alcanada</t>
        </is>
      </c>
      <c r="K4317" t="n">
        <v>64.2</v>
      </c>
      <c r="L4317" t="n">
        <v>48</v>
      </c>
      <c r="M4317" t="n">
        <v>82.3</v>
      </c>
      <c r="N4317" t="n">
        <v>75</v>
      </c>
      <c r="O4317" t="n">
        <v>86.8</v>
      </c>
      <c r="P4317" t="n">
        <v>64</v>
      </c>
      <c r="Q4317" t="n">
        <v>80</v>
      </c>
      <c r="R4317" t="n">
        <v>71</v>
      </c>
      <c r="S4317" t="n">
        <v>2950000</v>
      </c>
      <c r="T4317" t="n">
        <v>10926</v>
      </c>
      <c r="U4317" t="n">
        <v>6277</v>
      </c>
      <c r="AH4317" t="inlineStr">
        <is>
          <t>Quelle: Pollentia Properties</t>
        </is>
      </c>
    </row>
    <row r="4318">
      <c r="A4318" t="n">
        <v>4131</v>
      </c>
      <c r="B4318" t="inlineStr">
        <is>
          <t>Town house for sale in Esporles in new development</t>
        </is>
      </c>
      <c r="C4318" t="inlineStr">
        <is>
          <t>https://www.pollentiaproperties.com/en/property/id/930601-town-house-for-sale-esporles-new-development-community-pool</t>
        </is>
      </c>
      <c r="E4318" t="n">
        <v>3</v>
      </c>
      <c r="G4318" t="n">
        <v>155</v>
      </c>
      <c r="H4318" t="n">
        <v>166</v>
      </c>
      <c r="J4318" t="inlineStr">
        <is>
          <t>Esporles</t>
        </is>
      </c>
      <c r="S4318" t="n">
        <v>795000</v>
      </c>
      <c r="T4318" t="n">
        <v>4789</v>
      </c>
      <c r="U4318" t="n">
        <v>5129</v>
      </c>
      <c r="AH4318" t="inlineStr">
        <is>
          <t>Quelle: Pollentia Properties</t>
        </is>
      </c>
    </row>
    <row r="4319">
      <c r="A4319" t="n">
        <v>4132</v>
      </c>
      <c r="B4319" t="inlineStr">
        <is>
          <t>Villa for sale in Puerto Alcudia in development close to the beach</t>
        </is>
      </c>
      <c r="C4319" t="inlineStr">
        <is>
          <t>https://www.pollentiaproperties.com/en/property/id/930558-villa-for-sale-in-puerto-alcudia-in-development-close-to-the-beach</t>
        </is>
      </c>
      <c r="E4319" t="n">
        <v>3</v>
      </c>
      <c r="G4319" t="n">
        <v>110</v>
      </c>
      <c r="H4319" t="n">
        <v>153</v>
      </c>
      <c r="J4319" t="inlineStr">
        <is>
          <t>Puerto de Alcúdia</t>
        </is>
      </c>
      <c r="S4319" t="n">
        <v>990000</v>
      </c>
      <c r="T4319" t="n">
        <v>6471</v>
      </c>
      <c r="U4319" t="n">
        <v>9000</v>
      </c>
      <c r="AH4319" t="inlineStr">
        <is>
          <t>Quelle: Pollentia Properties</t>
        </is>
      </c>
    </row>
    <row r="4320">
      <c r="A4320" t="n">
        <v>4133</v>
      </c>
      <c r="B4320" t="inlineStr">
        <is>
          <t>Villa for sale in Puerto de Alcúdia, Alcúdia, Mallorca, Baleares, Mallorca</t>
        </is>
      </c>
      <c r="C4320" t="inlineStr">
        <is>
          <t>https://www.pollentiaproperties.com/en/property/id/930557-villa-for-sale-puerto-de-alcudia</t>
        </is>
      </c>
      <c r="E4320" t="n">
        <v>3</v>
      </c>
      <c r="G4320" t="n">
        <v>110</v>
      </c>
      <c r="H4320" t="n">
        <v>153</v>
      </c>
      <c r="J4320" t="inlineStr">
        <is>
          <t>Puerto de Alcúdia</t>
        </is>
      </c>
      <c r="S4320" t="n">
        <v>890000</v>
      </c>
      <c r="T4320" t="n">
        <v>5817</v>
      </c>
      <c r="U4320" t="n">
        <v>8091</v>
      </c>
      <c r="AH4320" t="inlineStr">
        <is>
          <t>Quelle: Pollentia Properties</t>
        </is>
      </c>
    </row>
    <row r="4321">
      <c r="A4321" t="n">
        <v>4134</v>
      </c>
      <c r="B4321" t="inlineStr">
        <is>
          <t>Villa for sale in Palmanyola currently under construction</t>
        </is>
      </c>
      <c r="C4321" t="inlineStr">
        <is>
          <t>https://www.pollentiaproperties.com/en/property/id/930331-villa-for-sale-palmanyola-currently-under-construction</t>
        </is>
      </c>
      <c r="E4321" t="n">
        <v>5</v>
      </c>
      <c r="G4321" t="n">
        <v>2</v>
      </c>
      <c r="H4321" t="n">
        <v>380</v>
      </c>
      <c r="J4321" t="inlineStr">
        <is>
          <t>Palmanyola</t>
        </is>
      </c>
      <c r="K4321" t="n">
        <v>19.1</v>
      </c>
      <c r="L4321" t="n">
        <v>22</v>
      </c>
      <c r="M4321" t="n">
        <v>61.8</v>
      </c>
      <c r="N4321" t="n">
        <v>55</v>
      </c>
      <c r="O4321" t="n">
        <v>38.7</v>
      </c>
      <c r="P4321" t="n">
        <v>35</v>
      </c>
      <c r="Q4321" t="n">
        <v>59.5</v>
      </c>
      <c r="R4321" t="n">
        <v>51</v>
      </c>
      <c r="S4321" t="n">
        <v>4750000</v>
      </c>
      <c r="T4321" t="n">
        <v>12500</v>
      </c>
      <c r="U4321" t="n">
        <v>2375000</v>
      </c>
      <c r="AH4321" t="inlineStr">
        <is>
          <t>Quelle: Pollentia Properties</t>
        </is>
      </c>
    </row>
    <row r="4322">
      <c r="A4322" t="n">
        <v>4135</v>
      </c>
      <c r="B4322" t="inlineStr">
        <is>
          <t>Working vineyard for sale in Santa Margalida</t>
        </is>
      </c>
      <c r="C4322" t="inlineStr">
        <is>
          <t>https://www.pollentiaproperties.com/en/property/id/930322-working-vineyard-for-sale-santa-margalida-wine-production</t>
        </is>
      </c>
      <c r="G4322" t="n">
        <v>2</v>
      </c>
      <c r="J4322" t="inlineStr">
        <is>
          <t>Santa Margalida</t>
        </is>
      </c>
      <c r="S4322" t="n">
        <v>85000</v>
      </c>
      <c r="U4322" t="n">
        <v>42500</v>
      </c>
      <c r="AH4322" t="inlineStr">
        <is>
          <t>Quelle: Pollentia Properties</t>
        </is>
      </c>
    </row>
    <row r="4323">
      <c r="A4323" t="n">
        <v>4136</v>
      </c>
      <c r="B4323" t="inlineStr">
        <is>
          <t>Villa for sale in Son Gual, luxury new build</t>
        </is>
      </c>
      <c r="C4323" t="inlineStr">
        <is>
          <t>https://www.pollentiaproperties.com/en/property/id/929968-villa-for-sale-son-gual-new-build-striking-design-garden-pool</t>
        </is>
      </c>
      <c r="E4323" t="n">
        <v>5</v>
      </c>
      <c r="G4323" t="n">
        <v>77</v>
      </c>
      <c r="H4323" t="n">
        <v>447</v>
      </c>
      <c r="J4323" t="inlineStr">
        <is>
          <t>Son Gual</t>
        </is>
      </c>
      <c r="K4323" t="n">
        <v>15.4</v>
      </c>
      <c r="L4323" t="n">
        <v>18</v>
      </c>
      <c r="M4323" t="n">
        <v>45.2</v>
      </c>
      <c r="N4323" t="n">
        <v>43</v>
      </c>
      <c r="O4323" t="n">
        <v>49.6</v>
      </c>
      <c r="P4323" t="n">
        <v>43</v>
      </c>
      <c r="Q4323" t="n">
        <v>42.9</v>
      </c>
      <c r="R4323" t="n">
        <v>39</v>
      </c>
      <c r="S4323" t="n">
        <v>4600000</v>
      </c>
      <c r="T4323" t="n">
        <v>10291</v>
      </c>
      <c r="U4323" t="n">
        <v>59740</v>
      </c>
      <c r="AH4323" t="inlineStr">
        <is>
          <t>Quelle: Pollentia Properties</t>
        </is>
      </c>
    </row>
    <row r="4324">
      <c r="A4324" t="n">
        <v>4137</v>
      </c>
      <c r="B4324" t="inlineStr">
        <is>
          <t>Villa for sale in Puerto Alcudia in development close to the beach</t>
        </is>
      </c>
      <c r="C4324" t="inlineStr">
        <is>
          <t>https://www.pollentiaproperties.com/en/property/id/929967-villa-for-sale-puerto-alcudia-development-close-to-the-beach</t>
        </is>
      </c>
      <c r="E4324" t="n">
        <v>3</v>
      </c>
      <c r="G4324" t="n">
        <v>110</v>
      </c>
      <c r="H4324" t="n">
        <v>153</v>
      </c>
      <c r="J4324" t="inlineStr">
        <is>
          <t>Puerto de Alcúdia</t>
        </is>
      </c>
      <c r="S4324" t="n">
        <v>840000</v>
      </c>
      <c r="T4324" t="n">
        <v>5490</v>
      </c>
      <c r="U4324" t="n">
        <v>7636</v>
      </c>
      <c r="AH4324" t="inlineStr">
        <is>
          <t>Quelle: Pollentia Properties</t>
        </is>
      </c>
    </row>
    <row r="4325">
      <c r="A4325" t="n">
        <v>4138</v>
      </c>
      <c r="B4325" t="inlineStr">
        <is>
          <t>Country house for sale in Pollensa with great potential</t>
        </is>
      </c>
      <c r="C4325" t="inlineStr">
        <is>
          <t>https://www.pollentiaproperties.com/en/property/id/929777-country-house-for-sale-pollensa-great-potential-conversion</t>
        </is>
      </c>
      <c r="G4325" t="n">
        <v>11</v>
      </c>
      <c r="H4325" t="n">
        <v>265</v>
      </c>
      <c r="J4325" t="inlineStr">
        <is>
          <t>Pollença</t>
        </is>
      </c>
      <c r="S4325" t="n">
        <v>850000</v>
      </c>
      <c r="T4325" t="n">
        <v>3208</v>
      </c>
      <c r="U4325" t="n">
        <v>77273</v>
      </c>
      <c r="AH4325" t="inlineStr">
        <is>
          <t>Quelle: Pollentia Properties</t>
        </is>
      </c>
    </row>
    <row r="4326">
      <c r="A4326" t="n">
        <v>4139</v>
      </c>
      <c r="B4326" t="inlineStr">
        <is>
          <t>Apartment for sale in Palmanova, in modern complex under construction</t>
        </is>
      </c>
      <c r="C4326" t="inlineStr">
        <is>
          <t>https://www.pollentiaproperties.com/en/property/id/929202-apartment-for-sale-palmanova-modern-complex-under-construction</t>
        </is>
      </c>
      <c r="E4326" t="n">
        <v>1</v>
      </c>
      <c r="H4326" t="n">
        <v>65</v>
      </c>
      <c r="J4326" t="inlineStr">
        <is>
          <t>Palmanova</t>
        </is>
      </c>
      <c r="AH4326" t="inlineStr">
        <is>
          <t>Quelle: Pollentia Properties</t>
        </is>
      </c>
    </row>
    <row r="4327">
      <c r="A4327" t="n">
        <v>4140</v>
      </c>
      <c r="B4327" t="inlineStr">
        <is>
          <t>Penthouse for sale in Palmanova, in modern complex under construction</t>
        </is>
      </c>
      <c r="C4327" t="inlineStr">
        <is>
          <t>https://www.pollentiaproperties.com/en/property/id/929201-apartment-for-sale-palmanova-modern-complex-under-construction</t>
        </is>
      </c>
      <c r="E4327" t="n">
        <v>2</v>
      </c>
      <c r="H4327" t="n">
        <v>145</v>
      </c>
      <c r="J4327" t="inlineStr">
        <is>
          <t>Palmanova</t>
        </is>
      </c>
      <c r="AH4327" t="inlineStr">
        <is>
          <t>Quelle: Pollentia Properties</t>
        </is>
      </c>
    </row>
    <row r="4328">
      <c r="A4328" t="n">
        <v>4141</v>
      </c>
      <c r="B4328" t="inlineStr">
        <is>
          <t>Ground floor for sale in Palmanova, in modern complex under construction</t>
        </is>
      </c>
      <c r="C4328" t="inlineStr">
        <is>
          <t>https://www.pollentiaproperties.com/en/property/id/929200-apartment-for-sale-palmanova-modern-complex-under-construction</t>
        </is>
      </c>
      <c r="E4328" t="n">
        <v>3</v>
      </c>
      <c r="H4328" t="n">
        <v>176</v>
      </c>
      <c r="J4328" t="inlineStr">
        <is>
          <t>Palmanova</t>
        </is>
      </c>
      <c r="S4328" t="n">
        <v>755000</v>
      </c>
      <c r="T4328" t="n">
        <v>4290</v>
      </c>
      <c r="AH4328" t="inlineStr">
        <is>
          <t>Quelle: Pollentia Properties</t>
        </is>
      </c>
    </row>
    <row r="4329">
      <c r="A4329" t="n">
        <v>4142</v>
      </c>
      <c r="B4329" t="inlineStr">
        <is>
          <t>Town house for sale in Pollença in prime central location</t>
        </is>
      </c>
      <c r="C4329" t="inlineStr">
        <is>
          <t>https://www.pollentiaproperties.com/en/property/id/929181-town-house-for-sale-pollensa-prime-central-location-patio-garden</t>
        </is>
      </c>
      <c r="E4329" t="n">
        <v>4</v>
      </c>
      <c r="G4329" t="n">
        <v>166</v>
      </c>
      <c r="H4329" t="n">
        <v>218</v>
      </c>
      <c r="J4329" t="inlineStr">
        <is>
          <t>Pollença Pueblo</t>
        </is>
      </c>
      <c r="S4329" t="n">
        <v>995000</v>
      </c>
      <c r="T4329" t="n">
        <v>4564</v>
      </c>
      <c r="U4329" t="n">
        <v>5994</v>
      </c>
      <c r="AH4329" t="inlineStr">
        <is>
          <t>Quelle: Pollentia Properties</t>
        </is>
      </c>
    </row>
    <row r="4330">
      <c r="A4330" t="n">
        <v>4143</v>
      </c>
      <c r="B4330" t="inlineStr">
        <is>
          <t>Modern eco-friendly townhouse for sale in Pollensa, Mallorca</t>
        </is>
      </c>
      <c r="C4330" t="inlineStr">
        <is>
          <t>https://www.pollentiaproperties.com/en/property/id/928705-town-house-for-sale-pollensa-passive-design-ecofriendly-features</t>
        </is>
      </c>
      <c r="E4330" t="n">
        <v>3</v>
      </c>
      <c r="G4330" t="n">
        <v>107</v>
      </c>
      <c r="H4330" t="n">
        <v>278</v>
      </c>
      <c r="J4330" t="inlineStr">
        <is>
          <t>Pollença Pueblo</t>
        </is>
      </c>
      <c r="K4330" t="n">
        <v>60.6</v>
      </c>
      <c r="L4330" t="n">
        <v>47</v>
      </c>
      <c r="M4330" t="n">
        <v>78.7</v>
      </c>
      <c r="N4330" t="n">
        <v>74</v>
      </c>
      <c r="O4330" t="n">
        <v>83.2</v>
      </c>
      <c r="P4330" t="n">
        <v>63</v>
      </c>
      <c r="Q4330" t="n">
        <v>76.40000000000001</v>
      </c>
      <c r="R4330" t="n">
        <v>70</v>
      </c>
      <c r="S4330" t="n">
        <v>1595000</v>
      </c>
      <c r="T4330" t="n">
        <v>5737</v>
      </c>
      <c r="U4330" t="n">
        <v>14907</v>
      </c>
      <c r="AH4330" t="inlineStr">
        <is>
          <t>Quelle: Pollentia Properties</t>
        </is>
      </c>
    </row>
    <row r="4331">
      <c r="A4331" t="n">
        <v>4144</v>
      </c>
      <c r="B4331" t="inlineStr">
        <is>
          <t>Town house for sale in Pollença with huge potential for renovation</t>
        </is>
      </c>
      <c r="C4331" t="inlineStr">
        <is>
          <t>https://www.pollentiaproperties.com/en/property/id/928425-town-house-for-sale-pollensa-potential-renovation-project-desirable-location</t>
        </is>
      </c>
      <c r="E4331" t="n">
        <v>5</v>
      </c>
      <c r="G4331" t="n">
        <v>159</v>
      </c>
      <c r="H4331" t="n">
        <v>246</v>
      </c>
      <c r="J4331" t="inlineStr">
        <is>
          <t>Pollença Pueblo</t>
        </is>
      </c>
      <c r="K4331" t="n">
        <v>60.6</v>
      </c>
      <c r="L4331" t="n">
        <v>47</v>
      </c>
      <c r="M4331" t="n">
        <v>78.7</v>
      </c>
      <c r="N4331" t="n">
        <v>74</v>
      </c>
      <c r="O4331" t="n">
        <v>83.2</v>
      </c>
      <c r="P4331" t="n">
        <v>63</v>
      </c>
      <c r="Q4331" t="n">
        <v>76.40000000000001</v>
      </c>
      <c r="R4331" t="n">
        <v>70</v>
      </c>
      <c r="S4331" t="n">
        <v>625000</v>
      </c>
      <c r="T4331" t="n">
        <v>2541</v>
      </c>
      <c r="U4331" t="n">
        <v>3931</v>
      </c>
      <c r="AH4331" t="inlineStr">
        <is>
          <t>Quelle: Pollentia Properties</t>
        </is>
      </c>
    </row>
    <row r="4332">
      <c r="A4332" t="n">
        <v>4145</v>
      </c>
      <c r="B4332" t="inlineStr">
        <is>
          <t>Country plot for sale in Sineu amazing opportunity to build</t>
        </is>
      </c>
      <c r="C4332" t="inlineStr">
        <is>
          <t>https://www.pollentiaproperties.com/en/property/id/928412-country-plot-for-sale-sineu-amazing-opportunity-build-home</t>
        </is>
      </c>
      <c r="G4332" t="n">
        <v>18</v>
      </c>
      <c r="J4332" t="inlineStr">
        <is>
          <t>Sineu</t>
        </is>
      </c>
      <c r="S4332" t="n">
        <v>375000</v>
      </c>
      <c r="U4332" t="n">
        <v>20833</v>
      </c>
      <c r="AH4332" t="inlineStr">
        <is>
          <t>Quelle: Pollentia Properties</t>
        </is>
      </c>
    </row>
    <row r="4333">
      <c r="A4333" t="n">
        <v>4146</v>
      </c>
      <c r="B4333" t="inlineStr">
        <is>
          <t>Apartment for sale in Puerto de Sóller with terrace and sea views</t>
        </is>
      </c>
      <c r="C4333" t="inlineStr">
        <is>
          <t>https://www.pollentiaproperties.com/en/property/id/928115-apartment-for-sale-puerto-soller-private-terrace-sea-views</t>
        </is>
      </c>
      <c r="E4333" t="n">
        <v>2</v>
      </c>
      <c r="H4333" t="n">
        <v>72</v>
      </c>
      <c r="J4333" t="inlineStr">
        <is>
          <t>Port de Sóller</t>
        </is>
      </c>
      <c r="S4333" t="n">
        <v>595000</v>
      </c>
      <c r="T4333" t="n">
        <v>8264</v>
      </c>
      <c r="AH4333" t="inlineStr">
        <is>
          <t>Quelle: Pollentia Properties</t>
        </is>
      </c>
    </row>
    <row r="4334">
      <c r="A4334" t="n">
        <v>4147</v>
      </c>
      <c r="B4334" t="inlineStr">
        <is>
          <t>Country plot for sale in Binissalem with project proposal</t>
        </is>
      </c>
      <c r="C4334" t="inlineStr">
        <is>
          <t>https://www.pollentiaproperties.com/en/property/id/927932-country-plot-for-sale-binissalem-good-location</t>
        </is>
      </c>
      <c r="G4334" t="n">
        <v>47</v>
      </c>
      <c r="H4334" t="n">
        <v>585</v>
      </c>
      <c r="J4334" t="inlineStr">
        <is>
          <t>Binissalem</t>
        </is>
      </c>
      <c r="K4334" t="n">
        <v>31.5</v>
      </c>
      <c r="L4334" t="n">
        <v>29</v>
      </c>
      <c r="M4334" t="n">
        <v>74.3</v>
      </c>
      <c r="N4334" t="n">
        <v>62</v>
      </c>
      <c r="O4334" t="n">
        <v>54.1</v>
      </c>
      <c r="P4334" t="n">
        <v>45</v>
      </c>
      <c r="Q4334" t="n">
        <v>72</v>
      </c>
      <c r="R4334" t="n">
        <v>58</v>
      </c>
      <c r="S4334" t="n">
        <v>2500000</v>
      </c>
      <c r="T4334" t="n">
        <v>4274</v>
      </c>
      <c r="U4334" t="n">
        <v>53191</v>
      </c>
      <c r="AH4334" t="inlineStr">
        <is>
          <t>Quelle: Pollentia Properties</t>
        </is>
      </c>
    </row>
    <row r="4335">
      <c r="A4335" t="n">
        <v>4148</v>
      </c>
      <c r="B4335" t="inlineStr">
        <is>
          <t>Country home for sale in Alaró ecxeptional  luxury project</t>
        </is>
      </c>
      <c r="C4335" t="inlineStr">
        <is>
          <t>https://www.pollentiaproperties.com/en/property/id/927927-country-home-for-sale-alaro-construction-starting-september</t>
        </is>
      </c>
      <c r="E4335" t="n">
        <v>4</v>
      </c>
      <c r="G4335" t="n">
        <v>23</v>
      </c>
      <c r="H4335" t="n">
        <v>425</v>
      </c>
      <c r="J4335" t="inlineStr">
        <is>
          <t>Alaró</t>
        </is>
      </c>
      <c r="K4335" t="n">
        <v>33.4</v>
      </c>
      <c r="L4335" t="n">
        <v>33</v>
      </c>
      <c r="M4335" t="n">
        <v>76.09999999999999</v>
      </c>
      <c r="N4335" t="n">
        <v>66</v>
      </c>
      <c r="O4335" t="n">
        <v>55.9</v>
      </c>
      <c r="P4335" t="n">
        <v>49</v>
      </c>
      <c r="Q4335" t="n">
        <v>73.8</v>
      </c>
      <c r="R4335" t="n">
        <v>62</v>
      </c>
      <c r="S4335" t="n">
        <v>5750000</v>
      </c>
      <c r="T4335" t="n">
        <v>13529</v>
      </c>
      <c r="U4335" t="n">
        <v>250000</v>
      </c>
      <c r="AH4335" t="inlineStr">
        <is>
          <t>Quelle: Pollentia Properties</t>
        </is>
      </c>
    </row>
    <row r="4336">
      <c r="A4336" t="n">
        <v>4149</v>
      </c>
      <c r="B4336" t="inlineStr">
        <is>
          <t>Building plot for sale in Pollença in quiet residential area</t>
        </is>
      </c>
      <c r="C4336" t="inlineStr">
        <is>
          <t>https://www.pollentiaproperties.com/en/property/id/927785-building-plot-for-sale-pollensa-quiet-residential-area-project-license</t>
        </is>
      </c>
      <c r="G4336" t="n">
        <v>1</v>
      </c>
      <c r="J4336" t="inlineStr">
        <is>
          <t>Pollença</t>
        </is>
      </c>
      <c r="S4336" t="n">
        <v>295000</v>
      </c>
      <c r="U4336" t="n">
        <v>295000</v>
      </c>
      <c r="AH4336" t="inlineStr">
        <is>
          <t>Quelle: Pollentia Properties</t>
        </is>
      </c>
    </row>
    <row r="4337">
      <c r="A4337" t="n">
        <v>4150</v>
      </c>
      <c r="B4337" t="inlineStr">
        <is>
          <t>Building plot for sale in Pollença in quiet residential area</t>
        </is>
      </c>
      <c r="C4337" t="inlineStr">
        <is>
          <t>https://www.pollentiaproperties.com/en/property/id/927784-building-plot-for-sale-pollensa-quiet-residential-area</t>
        </is>
      </c>
      <c r="G4337" t="n">
        <v>991</v>
      </c>
      <c r="J4337" t="inlineStr">
        <is>
          <t>Pollença</t>
        </is>
      </c>
      <c r="S4337" t="n">
        <v>175000</v>
      </c>
      <c r="U4337" t="n">
        <v>177</v>
      </c>
      <c r="AH4337" t="inlineStr">
        <is>
          <t>Quelle: Pollentia Properties</t>
        </is>
      </c>
    </row>
    <row r="4338">
      <c r="A4338" t="n">
        <v>4151</v>
      </c>
      <c r="B4338" t="inlineStr">
        <is>
          <t>Penthouse for sale in Cala Ratjada, currently under construction</t>
        </is>
      </c>
      <c r="C4338" t="inlineStr">
        <is>
          <t>https://www.pollentiaproperties.com/en/property/id/927633-penthouse-for-sale-cala-ratjada-currently-under-construction</t>
        </is>
      </c>
      <c r="E4338" t="n">
        <v>3</v>
      </c>
      <c r="H4338" t="n">
        <v>293</v>
      </c>
      <c r="J4338" t="inlineStr">
        <is>
          <t>Cala Ratjada</t>
        </is>
      </c>
      <c r="AH4338" t="inlineStr">
        <is>
          <t>Quelle: Pollentia Properties</t>
        </is>
      </c>
    </row>
    <row r="4339">
      <c r="A4339" t="n">
        <v>4152</v>
      </c>
      <c r="B4339" t="inlineStr">
        <is>
          <t>Duplex apartment for sale in Cala Ratjada, currently under construction</t>
        </is>
      </c>
      <c r="C4339" t="inlineStr">
        <is>
          <t>https://www.pollentiaproperties.com/en/property/id/927629-duplex-apartment-for-sale-cala-ratjada-currently-under-construction</t>
        </is>
      </c>
      <c r="E4339" t="n">
        <v>3</v>
      </c>
      <c r="H4339" t="n">
        <v>234</v>
      </c>
      <c r="J4339" t="inlineStr">
        <is>
          <t>Cala Ratjada</t>
        </is>
      </c>
      <c r="AH4339" t="inlineStr">
        <is>
          <t>Quelle: Pollentia Properties</t>
        </is>
      </c>
    </row>
    <row r="4340">
      <c r="A4340" t="n">
        <v>4153</v>
      </c>
      <c r="B4340" t="inlineStr">
        <is>
          <t>Apartment for sale in Cala Ratjada, currently under construction</t>
        </is>
      </c>
      <c r="C4340" t="inlineStr">
        <is>
          <t>https://www.pollentiaproperties.com/en/property/id/927627-apartment-for-sale-cala-ratjada-currently-under-construction</t>
        </is>
      </c>
      <c r="E4340" t="n">
        <v>2</v>
      </c>
      <c r="H4340" t="n">
        <v>108</v>
      </c>
      <c r="J4340" t="inlineStr">
        <is>
          <t>Cala Ratjada</t>
        </is>
      </c>
      <c r="S4340" t="n">
        <v>564000</v>
      </c>
      <c r="T4340" t="n">
        <v>5222</v>
      </c>
      <c r="AH4340" t="inlineStr">
        <is>
          <t>Quelle: Pollentia Properties</t>
        </is>
      </c>
    </row>
    <row r="4341">
      <c r="A4341" t="n">
        <v>4154</v>
      </c>
      <c r="B4341" t="inlineStr">
        <is>
          <t>Apartment for sale in Cala Ratjada, currently under construction</t>
        </is>
      </c>
      <c r="C4341" t="inlineStr">
        <is>
          <t>https://www.pollentiaproperties.com/en/property/id/927625-apartment-for-sale-cala-ratjada-currently-under-construction</t>
        </is>
      </c>
      <c r="E4341" t="n">
        <v>2</v>
      </c>
      <c r="H4341" t="n">
        <v>101</v>
      </c>
      <c r="J4341" t="inlineStr">
        <is>
          <t>Cala Ratjada</t>
        </is>
      </c>
      <c r="S4341" t="n">
        <v>532000</v>
      </c>
      <c r="T4341" t="n">
        <v>5267</v>
      </c>
      <c r="AH4341" t="inlineStr">
        <is>
          <t>Quelle: Pollentia Properties</t>
        </is>
      </c>
    </row>
    <row r="4342">
      <c r="A4342" t="n">
        <v>4155</v>
      </c>
      <c r="B4342" t="inlineStr">
        <is>
          <t>Ground floor for sale in Cala Ratjada, currently under construction</t>
        </is>
      </c>
      <c r="C4342" t="inlineStr">
        <is>
          <t>https://www.pollentiaproperties.com/en/property/id/927621-ground-floor-for-sale-cala-ratjada-currently-under-construction</t>
        </is>
      </c>
      <c r="E4342" t="n">
        <v>2</v>
      </c>
      <c r="H4342" t="n">
        <v>107</v>
      </c>
      <c r="J4342" t="inlineStr">
        <is>
          <t>Cala Ratjada</t>
        </is>
      </c>
      <c r="AH4342" t="inlineStr">
        <is>
          <t>Quelle: Pollentia Properties</t>
        </is>
      </c>
    </row>
    <row r="4343">
      <c r="A4343" t="n">
        <v>4156</v>
      </c>
      <c r="B4343" t="inlineStr">
        <is>
          <t>Ground floor apartment for sale in Cala Ratjada, currently under construction</t>
        </is>
      </c>
      <c r="C4343" t="inlineStr">
        <is>
          <t>https://www.pollentiaproperties.com/en/property/id/927400-ground-floor-for-sale-cala-ratjada-currently-under-construction</t>
        </is>
      </c>
      <c r="E4343" t="n">
        <v>3</v>
      </c>
      <c r="H4343" t="n">
        <v>165</v>
      </c>
      <c r="J4343" t="inlineStr">
        <is>
          <t>Cala Ratjada</t>
        </is>
      </c>
      <c r="AH4343" t="inlineStr">
        <is>
          <t>Quelle: Pollentia Properties</t>
        </is>
      </c>
    </row>
    <row r="4344">
      <c r="A4344" t="n">
        <v>4157</v>
      </c>
      <c r="B4344" t="inlineStr">
        <is>
          <t>Villa for sale in Génova, Palma currently under construction</t>
        </is>
      </c>
      <c r="C4344" t="inlineStr">
        <is>
          <t>https://www.pollentiaproperties.com/en/property/id/927368-villa-for-sale-genova-palma-currently-under-construction</t>
        </is>
      </c>
      <c r="E4344" t="n">
        <v>4</v>
      </c>
      <c r="G4344" t="n">
        <v>231</v>
      </c>
      <c r="H4344" t="n">
        <v>285</v>
      </c>
      <c r="J4344" t="inlineStr">
        <is>
          <t>Génova</t>
        </is>
      </c>
      <c r="K4344" t="n">
        <v>18</v>
      </c>
      <c r="L4344" t="n">
        <v>20</v>
      </c>
      <c r="M4344" t="n">
        <v>60.7</v>
      </c>
      <c r="N4344" t="n">
        <v>53</v>
      </c>
      <c r="O4344" t="n">
        <v>25.4</v>
      </c>
      <c r="P4344" t="n">
        <v>26</v>
      </c>
      <c r="Q4344" t="n">
        <v>58.4</v>
      </c>
      <c r="R4344" t="n">
        <v>49</v>
      </c>
      <c r="S4344" t="n">
        <v>2250000</v>
      </c>
      <c r="T4344" t="n">
        <v>7895</v>
      </c>
      <c r="U4344" t="n">
        <v>9740</v>
      </c>
      <c r="AH4344" t="inlineStr">
        <is>
          <t>Quelle: Pollentia Properties</t>
        </is>
      </c>
    </row>
    <row r="4345">
      <c r="A4345" t="n">
        <v>4158</v>
      </c>
      <c r="B4345" t="inlineStr">
        <is>
          <t>Apartment for sale in La Lonja in Palma with charm and contemporary comfort</t>
        </is>
      </c>
      <c r="C4345" t="inlineStr">
        <is>
          <t>https://www.pollentiaproperties.com/en/property/id/927130-apartment-for-sale-la-lonja-palma-charm-contemporary-comfort</t>
        </is>
      </c>
      <c r="E4345" t="n">
        <v>2</v>
      </c>
      <c r="H4345" t="n">
        <v>109</v>
      </c>
      <c r="J4345" t="inlineStr">
        <is>
          <t>La Llotja</t>
        </is>
      </c>
      <c r="S4345" t="n">
        <v>650000</v>
      </c>
      <c r="T4345" t="n">
        <v>5963</v>
      </c>
      <c r="AH4345" t="inlineStr">
        <is>
          <t>Quelle: Pollentia Properties</t>
        </is>
      </c>
    </row>
    <row r="4346">
      <c r="A4346" t="n">
        <v>4159</v>
      </c>
      <c r="B4346" t="inlineStr">
        <is>
          <t>Penthouse for sale in Llenaire, projected construction</t>
        </is>
      </c>
      <c r="C4346" t="inlineStr">
        <is>
          <t>https://www.pollentiaproperties.com/en/property/id/927109-penthouse-for-sale-llenaire-projected-construction-unbeatable-location</t>
        </is>
      </c>
      <c r="E4346" t="n">
        <v>3</v>
      </c>
      <c r="H4346" t="n">
        <v>106</v>
      </c>
      <c r="J4346" t="inlineStr">
        <is>
          <t>Llenaire</t>
        </is>
      </c>
      <c r="K4346" t="n">
        <v>63.2</v>
      </c>
      <c r="L4346" t="n">
        <v>48</v>
      </c>
      <c r="M4346" t="n">
        <v>81.3</v>
      </c>
      <c r="N4346" t="n">
        <v>75</v>
      </c>
      <c r="O4346" t="n">
        <v>85.8</v>
      </c>
      <c r="P4346" t="n">
        <v>64</v>
      </c>
      <c r="Q4346" t="n">
        <v>79</v>
      </c>
      <c r="R4346" t="n">
        <v>71</v>
      </c>
      <c r="S4346" t="n">
        <v>2700000</v>
      </c>
      <c r="T4346" t="n">
        <v>25472</v>
      </c>
      <c r="AH4346" t="inlineStr">
        <is>
          <t>Quelle: Pollentia Properties</t>
        </is>
      </c>
    </row>
    <row r="4347">
      <c r="A4347" t="n">
        <v>4160</v>
      </c>
      <c r="B4347" t="inlineStr">
        <is>
          <t>Apartment for sale in Llenaire, projected construction</t>
        </is>
      </c>
      <c r="C4347" t="inlineStr">
        <is>
          <t>https://www.pollentiaproperties.com/en/property/id/927108-apartment-for-sale-llenaire-projected-construction</t>
        </is>
      </c>
      <c r="E4347" t="n">
        <v>3</v>
      </c>
      <c r="H4347" t="n">
        <v>106</v>
      </c>
      <c r="J4347" t="inlineStr">
        <is>
          <t>Llenaire</t>
        </is>
      </c>
      <c r="K4347" t="n">
        <v>63.2</v>
      </c>
      <c r="L4347" t="n">
        <v>48</v>
      </c>
      <c r="M4347" t="n">
        <v>81.3</v>
      </c>
      <c r="N4347" t="n">
        <v>75</v>
      </c>
      <c r="O4347" t="n">
        <v>85.8</v>
      </c>
      <c r="P4347" t="n">
        <v>64</v>
      </c>
      <c r="Q4347" t="n">
        <v>79</v>
      </c>
      <c r="R4347" t="n">
        <v>71</v>
      </c>
      <c r="S4347" t="n">
        <v>1800000</v>
      </c>
      <c r="T4347" t="n">
        <v>16981</v>
      </c>
      <c r="AH4347" t="inlineStr">
        <is>
          <t>Quelle: Pollentia Properties</t>
        </is>
      </c>
    </row>
    <row r="4348">
      <c r="A4348" t="n">
        <v>4161</v>
      </c>
      <c r="B4348" t="inlineStr">
        <is>
          <t>Villa for sale in Pollensa in quiet residential area near the town</t>
        </is>
      </c>
      <c r="C4348" t="inlineStr">
        <is>
          <t>https://www.pollentiaproperties.com/en/property/id/926981-villa-for-sale-pollensa-quiet-residential-area-garden-pool</t>
        </is>
      </c>
      <c r="E4348" t="n">
        <v>3</v>
      </c>
      <c r="G4348" t="n">
        <v>1</v>
      </c>
      <c r="H4348" t="n">
        <v>183</v>
      </c>
      <c r="J4348" t="inlineStr">
        <is>
          <t>Pollença</t>
        </is>
      </c>
      <c r="K4348" t="n">
        <v>60.6</v>
      </c>
      <c r="L4348" t="n">
        <v>47</v>
      </c>
      <c r="M4348" t="n">
        <v>78.7</v>
      </c>
      <c r="N4348" t="n">
        <v>74</v>
      </c>
      <c r="O4348" t="n">
        <v>83.2</v>
      </c>
      <c r="P4348" t="n">
        <v>63</v>
      </c>
      <c r="Q4348" t="n">
        <v>76.40000000000001</v>
      </c>
      <c r="R4348" t="n">
        <v>70</v>
      </c>
      <c r="S4348" t="n">
        <v>1050000</v>
      </c>
      <c r="T4348" t="n">
        <v>5738</v>
      </c>
      <c r="U4348" t="n">
        <v>1050000</v>
      </c>
      <c r="AH4348" t="inlineStr">
        <is>
          <t>Quelle: Pollentia Properties</t>
        </is>
      </c>
    </row>
    <row r="4349">
      <c r="A4349" t="n">
        <v>4162</v>
      </c>
      <c r="B4349" t="inlineStr">
        <is>
          <t>Townhouse for sale in Campanet with project for renovation</t>
        </is>
      </c>
      <c r="C4349" t="inlineStr">
        <is>
          <t>https://www.pollentiaproperties.com/en/property/id/926747-town-house-for-sale-campanet-project-renovation-fantastic-potential</t>
        </is>
      </c>
      <c r="E4349" t="n">
        <v>6</v>
      </c>
      <c r="G4349" t="n">
        <v>540</v>
      </c>
      <c r="H4349" t="n">
        <v>267</v>
      </c>
      <c r="J4349" t="inlineStr">
        <is>
          <t>Campanet</t>
        </is>
      </c>
      <c r="K4349" t="n">
        <v>46.9</v>
      </c>
      <c r="L4349" t="n">
        <v>38</v>
      </c>
      <c r="M4349" t="n">
        <v>65</v>
      </c>
      <c r="N4349" t="n">
        <v>65</v>
      </c>
      <c r="O4349" t="n">
        <v>69.5</v>
      </c>
      <c r="P4349" t="n">
        <v>54</v>
      </c>
      <c r="Q4349" t="n">
        <v>62.7</v>
      </c>
      <c r="R4349" t="n">
        <v>61</v>
      </c>
      <c r="S4349" t="n">
        <v>548000</v>
      </c>
      <c r="T4349" t="n">
        <v>2052</v>
      </c>
      <c r="U4349" t="n">
        <v>1015</v>
      </c>
      <c r="AH4349" t="inlineStr">
        <is>
          <t>Quelle: Pollentia Properties</t>
        </is>
      </c>
    </row>
    <row r="4350">
      <c r="A4350" t="n">
        <v>4163</v>
      </c>
      <c r="B4350" t="inlineStr">
        <is>
          <t>Building plot for sale in Alcudia with requested project</t>
        </is>
      </c>
      <c r="C4350" t="inlineStr">
        <is>
          <t>https://www.pollentiaproperties.com/en/property/id/926739-building-plot-for-sale-alcudia-requested-project-villa-pool</t>
        </is>
      </c>
      <c r="E4350" t="n">
        <v>4</v>
      </c>
      <c r="G4350" t="n">
        <v>21</v>
      </c>
      <c r="H4350" t="n">
        <v>423</v>
      </c>
      <c r="J4350" t="inlineStr">
        <is>
          <t>Alcúdia</t>
        </is>
      </c>
      <c r="S4350" t="n">
        <v>989000</v>
      </c>
      <c r="T4350" t="n">
        <v>2338</v>
      </c>
      <c r="U4350" t="n">
        <v>47095</v>
      </c>
      <c r="AH4350" t="inlineStr">
        <is>
          <t>Quelle: Pollentia Properties</t>
        </is>
      </c>
    </row>
    <row r="4351">
      <c r="A4351" t="n">
        <v>4164</v>
      </c>
      <c r="B4351" t="inlineStr">
        <is>
          <t>Villa for sale in Genova traditional charm in great location</t>
        </is>
      </c>
      <c r="C4351" t="inlineStr">
        <is>
          <t>https://www.pollentiaproperties.com/en/property/id/926691-villa-for-sale-genova-traditional-charm-great-location</t>
        </is>
      </c>
      <c r="E4351" t="n">
        <v>6</v>
      </c>
      <c r="G4351" t="n">
        <v>468</v>
      </c>
      <c r="H4351" t="n">
        <v>361</v>
      </c>
      <c r="J4351" t="inlineStr">
        <is>
          <t>Génova</t>
        </is>
      </c>
      <c r="K4351" t="n">
        <v>18</v>
      </c>
      <c r="L4351" t="n">
        <v>20</v>
      </c>
      <c r="M4351" t="n">
        <v>60.7</v>
      </c>
      <c r="N4351" t="n">
        <v>53</v>
      </c>
      <c r="O4351" t="n">
        <v>25.4</v>
      </c>
      <c r="P4351" t="n">
        <v>26</v>
      </c>
      <c r="Q4351" t="n">
        <v>58.4</v>
      </c>
      <c r="R4351" t="n">
        <v>49</v>
      </c>
      <c r="S4351" t="n">
        <v>2450000</v>
      </c>
      <c r="T4351" t="n">
        <v>6787</v>
      </c>
      <c r="U4351" t="n">
        <v>5235</v>
      </c>
      <c r="AH4351" t="inlineStr">
        <is>
          <t>Quelle: Pollentia Properties</t>
        </is>
      </c>
    </row>
    <row r="4352">
      <c r="A4352" t="n">
        <v>4165</v>
      </c>
      <c r="B4352" t="inlineStr">
        <is>
          <t>Ground floor for sale in Llenaire, projected construction</t>
        </is>
      </c>
      <c r="C4352" t="inlineStr">
        <is>
          <t>https://www.pollentiaproperties.com/en/property/id/926688-ground-floor-for-sale-llenaire-projected-construction</t>
        </is>
      </c>
      <c r="E4352" t="n">
        <v>3</v>
      </c>
      <c r="H4352" t="n">
        <v>106</v>
      </c>
      <c r="J4352" t="inlineStr">
        <is>
          <t>Llenaire</t>
        </is>
      </c>
      <c r="K4352" t="n">
        <v>63.2</v>
      </c>
      <c r="L4352" t="n">
        <v>48</v>
      </c>
      <c r="M4352" t="n">
        <v>81.3</v>
      </c>
      <c r="N4352" t="n">
        <v>75</v>
      </c>
      <c r="O4352" t="n">
        <v>85.8</v>
      </c>
      <c r="P4352" t="n">
        <v>64</v>
      </c>
      <c r="Q4352" t="n">
        <v>79</v>
      </c>
      <c r="R4352" t="n">
        <v>71</v>
      </c>
      <c r="S4352" t="n">
        <v>2200000</v>
      </c>
      <c r="T4352" t="n">
        <v>20755</v>
      </c>
      <c r="AH4352" t="inlineStr">
        <is>
          <t>Quelle: Pollentia Properties</t>
        </is>
      </c>
    </row>
    <row r="4353">
      <c r="A4353" t="n">
        <v>4166</v>
      </c>
      <c r="B4353" t="inlineStr">
        <is>
          <t>Country building plots for sale in Sa Rápita high quality project</t>
        </is>
      </c>
      <c r="C4353" t="inlineStr">
        <is>
          <t>https://www.pollentiaproperties.com/en/property/id/926687-country-bulding-plots-for-sale-sa-rapita-high-quality-project</t>
        </is>
      </c>
      <c r="G4353" t="n">
        <v>100</v>
      </c>
      <c r="J4353" t="inlineStr">
        <is>
          <t>La Rapita</t>
        </is>
      </c>
      <c r="K4353" t="n">
        <v>37.4</v>
      </c>
      <c r="L4353" t="n">
        <v>34</v>
      </c>
      <c r="M4353" t="n">
        <v>17.3</v>
      </c>
      <c r="N4353" t="n">
        <v>22</v>
      </c>
      <c r="O4353" t="n">
        <v>75.59999999999999</v>
      </c>
      <c r="P4353" t="n">
        <v>61</v>
      </c>
      <c r="Q4353" t="n">
        <v>15</v>
      </c>
      <c r="R4353" t="n">
        <v>19</v>
      </c>
      <c r="S4353" t="n">
        <v>6495000</v>
      </c>
      <c r="U4353" t="n">
        <v>64950</v>
      </c>
      <c r="AH4353" t="inlineStr">
        <is>
          <t>Quelle: Pollentia Properties</t>
        </is>
      </c>
    </row>
    <row r="4354">
      <c r="A4354" t="n">
        <v>4167</v>
      </c>
      <c r="B4354" t="inlineStr">
        <is>
          <t>Country house for sale in Alcudia in idyllic and charming location</t>
        </is>
      </c>
      <c r="C4354" t="inlineStr">
        <is>
          <t>https://www.pollentiaproperties.com/en/property/id/926332-country-house-for-sale-alcudia-idyllic-charming-location-garden-pool</t>
        </is>
      </c>
      <c r="E4354" t="n">
        <v>4</v>
      </c>
      <c r="G4354" t="n">
        <v>17</v>
      </c>
      <c r="H4354" t="n">
        <v>360</v>
      </c>
      <c r="J4354" t="inlineStr">
        <is>
          <t>Alcúdia</t>
        </is>
      </c>
      <c r="K4354" t="n">
        <v>61.6</v>
      </c>
      <c r="L4354" t="n">
        <v>47</v>
      </c>
      <c r="M4354" t="n">
        <v>79.7</v>
      </c>
      <c r="N4354" t="n">
        <v>74</v>
      </c>
      <c r="O4354" t="n">
        <v>84.2</v>
      </c>
      <c r="P4354" t="n">
        <v>63</v>
      </c>
      <c r="Q4354" t="n">
        <v>77.40000000000001</v>
      </c>
      <c r="R4354" t="n">
        <v>70</v>
      </c>
      <c r="S4354" t="n">
        <v>1199000</v>
      </c>
      <c r="T4354" t="n">
        <v>3331</v>
      </c>
      <c r="U4354" t="n">
        <v>70529</v>
      </c>
      <c r="AH4354" t="inlineStr">
        <is>
          <t>Quelle: Pollentia Properties</t>
        </is>
      </c>
    </row>
    <row r="4355">
      <c r="A4355" t="n">
        <v>4168</v>
      </c>
      <c r="B4355" t="inlineStr">
        <is>
          <t>Apartment for sale in Santa Catalina in brand new development</t>
        </is>
      </c>
      <c r="C4355" t="inlineStr">
        <is>
          <t>https://www.pollentiaproperties.com/en/property/id/926014-apartment-for-sale-santa-catalina-ibrand-new-development</t>
        </is>
      </c>
      <c r="E4355" t="n">
        <v>1</v>
      </c>
      <c r="H4355" t="n">
        <v>73</v>
      </c>
      <c r="J4355" t="inlineStr">
        <is>
          <t>Santa Catalina</t>
        </is>
      </c>
      <c r="S4355" t="n">
        <v>599000</v>
      </c>
      <c r="T4355" t="n">
        <v>8205</v>
      </c>
      <c r="AH4355" t="inlineStr">
        <is>
          <t>Quelle: Pollentia Properties</t>
        </is>
      </c>
    </row>
    <row r="4356">
      <c r="A4356" t="n">
        <v>4169</v>
      </c>
      <c r="B4356" t="inlineStr">
        <is>
          <t>Apartment for sale in Santa Catalina in brand new development</t>
        </is>
      </c>
      <c r="C4356" t="inlineStr">
        <is>
          <t>https://www.pollentiaproperties.com/en/property/id/926013-apartment-for-sale-santa-catalina-ibrand-new-development</t>
        </is>
      </c>
      <c r="E4356" t="n">
        <v>1</v>
      </c>
      <c r="H4356" t="n">
        <v>74</v>
      </c>
      <c r="J4356" t="inlineStr">
        <is>
          <t>Santa Catalina</t>
        </is>
      </c>
      <c r="S4356" t="n">
        <v>559000</v>
      </c>
      <c r="T4356" t="n">
        <v>7554</v>
      </c>
      <c r="AH4356" t="inlineStr">
        <is>
          <t>Quelle: Pollentia Properties</t>
        </is>
      </c>
    </row>
    <row r="4357">
      <c r="A4357" t="n">
        <v>4170</v>
      </c>
      <c r="B4357" t="inlineStr">
        <is>
          <t>Apartment for sale in Santa Catalina in brand new development</t>
        </is>
      </c>
      <c r="C4357" t="inlineStr">
        <is>
          <t>https://www.pollentiaproperties.com/en/property/id/926012-apartment-for-sale-santa-catalina-ibrand-new-development</t>
        </is>
      </c>
      <c r="E4357" t="n">
        <v>1</v>
      </c>
      <c r="H4357" t="n">
        <v>83</v>
      </c>
      <c r="J4357" t="inlineStr">
        <is>
          <t>Santa Catalina</t>
        </is>
      </c>
      <c r="S4357" t="n">
        <v>599000</v>
      </c>
      <c r="T4357" t="n">
        <v>7217</v>
      </c>
      <c r="AH4357" t="inlineStr">
        <is>
          <t>Quelle: Pollentia Properties</t>
        </is>
      </c>
    </row>
    <row r="4358">
      <c r="A4358" t="n">
        <v>4171</v>
      </c>
      <c r="B4358" t="inlineStr">
        <is>
          <t>Penthouse for sale in Santa Catalina in brand new development</t>
        </is>
      </c>
      <c r="C4358" t="inlineStr">
        <is>
          <t>https://www.pollentiaproperties.com/en/property/id/926011-penthouse-for-sale-santa-catalina-ibrand-new-development</t>
        </is>
      </c>
      <c r="E4358" t="n">
        <v>3</v>
      </c>
      <c r="H4358" t="n">
        <v>260</v>
      </c>
      <c r="J4358" t="inlineStr">
        <is>
          <t>Santa Catalina</t>
        </is>
      </c>
      <c r="K4358" t="n">
        <v>11.2</v>
      </c>
      <c r="L4358" t="n">
        <v>19</v>
      </c>
      <c r="M4358" t="n">
        <v>54</v>
      </c>
      <c r="N4358" t="n">
        <v>51</v>
      </c>
      <c r="O4358" t="n">
        <v>29.1</v>
      </c>
      <c r="P4358" t="n">
        <v>31</v>
      </c>
      <c r="Q4358" t="n">
        <v>51.7</v>
      </c>
      <c r="R4358" t="n">
        <v>48</v>
      </c>
      <c r="S4358" t="n">
        <v>2499000</v>
      </c>
      <c r="T4358" t="n">
        <v>9612</v>
      </c>
      <c r="AH4358" t="inlineStr">
        <is>
          <t>Quelle: Pollentia Properties</t>
        </is>
      </c>
    </row>
    <row r="4359">
      <c r="A4359" t="n">
        <v>4172</v>
      </c>
      <c r="B4359" t="inlineStr">
        <is>
          <t>Apartment for sale in Santa Catalina in brand new development</t>
        </is>
      </c>
      <c r="C4359" t="inlineStr">
        <is>
          <t>https://www.pollentiaproperties.com/en/property/id/926010-apartment-for-sale-santa-catalina-ibrand-new-development</t>
        </is>
      </c>
      <c r="E4359" t="n">
        <v>2</v>
      </c>
      <c r="H4359" t="n">
        <v>155</v>
      </c>
      <c r="J4359" t="inlineStr">
        <is>
          <t>Santa Catalina</t>
        </is>
      </c>
      <c r="AH4359" t="inlineStr">
        <is>
          <t>Quelle: Pollentia Properties</t>
        </is>
      </c>
    </row>
    <row r="4360">
      <c r="A4360" t="n">
        <v>4173</v>
      </c>
      <c r="B4360" t="inlineStr">
        <is>
          <t>Apartment for sale in Santa Catalina in brand new development</t>
        </is>
      </c>
      <c r="C4360" t="inlineStr">
        <is>
          <t>https://www.pollentiaproperties.com/en/property/id/926009-apartment-for-sale-santa-catalina-ibrand-new-development</t>
        </is>
      </c>
      <c r="E4360" t="n">
        <v>2</v>
      </c>
      <c r="H4360" t="n">
        <v>111</v>
      </c>
      <c r="J4360" t="inlineStr">
        <is>
          <t>Santa Catalina</t>
        </is>
      </c>
      <c r="S4360" t="n">
        <v>989000</v>
      </c>
      <c r="T4360" t="n">
        <v>8910</v>
      </c>
      <c r="AH4360" t="inlineStr">
        <is>
          <t>Quelle: Pollentia Properties</t>
        </is>
      </c>
    </row>
    <row r="4361">
      <c r="A4361" t="n">
        <v>4174</v>
      </c>
      <c r="B4361" t="inlineStr">
        <is>
          <t>Apartment for sale in Santa Catalina in brand new development</t>
        </is>
      </c>
      <c r="C4361" t="inlineStr">
        <is>
          <t>https://www.pollentiaproperties.com/en/property/id/926007-apartment-for-sale-santa-catalina-ibrand-new-development</t>
        </is>
      </c>
      <c r="E4361" t="n">
        <v>2</v>
      </c>
      <c r="H4361" t="n">
        <v>112</v>
      </c>
      <c r="J4361" t="inlineStr">
        <is>
          <t>Santa Catalina</t>
        </is>
      </c>
      <c r="S4361" t="n">
        <v>999000</v>
      </c>
      <c r="T4361" t="n">
        <v>8920</v>
      </c>
      <c r="AH4361" t="inlineStr">
        <is>
          <t>Quelle: Pollentia Properties</t>
        </is>
      </c>
    </row>
    <row r="4362">
      <c r="A4362" t="n">
        <v>4175</v>
      </c>
      <c r="B4362" t="inlineStr">
        <is>
          <t>Apartment for sale in Santa Catalina in brand new development</t>
        </is>
      </c>
      <c r="C4362" t="inlineStr">
        <is>
          <t>https://www.pollentiaproperties.com/en/property/id/926006-apartment-for-sale-santa-catalina-ibrand-new-development</t>
        </is>
      </c>
      <c r="E4362" t="n">
        <v>3</v>
      </c>
      <c r="H4362" t="n">
        <v>152</v>
      </c>
      <c r="J4362" t="inlineStr">
        <is>
          <t>Santa Catalina</t>
        </is>
      </c>
      <c r="K4362" t="n">
        <v>11.2</v>
      </c>
      <c r="L4362" t="n">
        <v>19</v>
      </c>
      <c r="M4362" t="n">
        <v>54</v>
      </c>
      <c r="N4362" t="n">
        <v>51</v>
      </c>
      <c r="O4362" t="n">
        <v>29.1</v>
      </c>
      <c r="P4362" t="n">
        <v>31</v>
      </c>
      <c r="Q4362" t="n">
        <v>51.7</v>
      </c>
      <c r="R4362" t="n">
        <v>48</v>
      </c>
      <c r="S4362" t="n">
        <v>1349000</v>
      </c>
      <c r="T4362" t="n">
        <v>8875</v>
      </c>
      <c r="AH4362" t="inlineStr">
        <is>
          <t>Quelle: Pollentia Properties</t>
        </is>
      </c>
    </row>
    <row r="4363">
      <c r="A4363" t="n">
        <v>4176</v>
      </c>
      <c r="B4363" t="inlineStr">
        <is>
          <t>Villa for sale in Alcanada, project for luxury property</t>
        </is>
      </c>
      <c r="C4363" t="inlineStr">
        <is>
          <t>https://www.pollentiaproperties.com/en/property/id/925808-villa-for-sale-alcanada-project-luxury-features-garden-pool</t>
        </is>
      </c>
      <c r="E4363" t="n">
        <v>4</v>
      </c>
      <c r="G4363" t="n">
        <v>1</v>
      </c>
      <c r="H4363" t="n">
        <v>432</v>
      </c>
      <c r="J4363" t="inlineStr">
        <is>
          <t>Alcanada</t>
        </is>
      </c>
      <c r="K4363" t="n">
        <v>64.2</v>
      </c>
      <c r="L4363" t="n">
        <v>48</v>
      </c>
      <c r="M4363" t="n">
        <v>82.3</v>
      </c>
      <c r="N4363" t="n">
        <v>75</v>
      </c>
      <c r="O4363" t="n">
        <v>86.8</v>
      </c>
      <c r="P4363" t="n">
        <v>64</v>
      </c>
      <c r="Q4363" t="n">
        <v>80</v>
      </c>
      <c r="R4363" t="n">
        <v>71</v>
      </c>
      <c r="S4363" t="n">
        <v>5500000</v>
      </c>
      <c r="T4363" t="n">
        <v>12731</v>
      </c>
      <c r="U4363" t="n">
        <v>5500000</v>
      </c>
      <c r="AH4363" t="inlineStr">
        <is>
          <t>Quelle: Pollentia Properties</t>
        </is>
      </c>
    </row>
    <row r="4364">
      <c r="A4364" t="n">
        <v>4177</v>
      </c>
      <c r="B4364" t="inlineStr">
        <is>
          <t>Building plot for sale in Son Gual, with building license and project</t>
        </is>
      </c>
      <c r="C4364" t="inlineStr">
        <is>
          <t>https://www.pollentiaproperties.com/en/property/id/925307-building-plot-for-sale-son-gual-building-license-project</t>
        </is>
      </c>
      <c r="G4364" t="n">
        <v>2</v>
      </c>
      <c r="J4364" t="inlineStr">
        <is>
          <t>Son Gual</t>
        </is>
      </c>
      <c r="S4364" t="n">
        <v>495000</v>
      </c>
      <c r="U4364" t="n">
        <v>247500</v>
      </c>
      <c r="AH4364" t="inlineStr">
        <is>
          <t>Quelle: Pollentia Properties</t>
        </is>
      </c>
    </row>
    <row r="4365">
      <c r="A4365" t="n">
        <v>4178</v>
      </c>
      <c r="B4365" t="inlineStr">
        <is>
          <t>Villa for sale in Son Gual, luxury new build</t>
        </is>
      </c>
      <c r="C4365" t="inlineStr">
        <is>
          <t>https://www.pollentiaproperties.com/en/property/id/925306-villa-for-sale-son-gual-new-construction-luxury-design</t>
        </is>
      </c>
      <c r="E4365" t="n">
        <v>4</v>
      </c>
      <c r="H4365" t="n">
        <v>400</v>
      </c>
      <c r="J4365" t="inlineStr">
        <is>
          <t>Son Gual</t>
        </is>
      </c>
      <c r="K4365" t="n">
        <v>15.4</v>
      </c>
      <c r="L4365" t="n">
        <v>18</v>
      </c>
      <c r="M4365" t="n">
        <v>45.2</v>
      </c>
      <c r="N4365" t="n">
        <v>43</v>
      </c>
      <c r="O4365" t="n">
        <v>49.6</v>
      </c>
      <c r="P4365" t="n">
        <v>43</v>
      </c>
      <c r="Q4365" t="n">
        <v>42.9</v>
      </c>
      <c r="R4365" t="n">
        <v>39</v>
      </c>
      <c r="S4365" t="n">
        <v>2790000</v>
      </c>
      <c r="T4365" t="n">
        <v>6975</v>
      </c>
      <c r="AH4365" t="inlineStr">
        <is>
          <t>Quelle: Pollentia Properties</t>
        </is>
      </c>
    </row>
    <row r="4366">
      <c r="A4366" t="n">
        <v>4179</v>
      </c>
      <c r="B4366" t="inlineStr">
        <is>
          <t>Townhouse for sale in Santa María del Camí, under construction</t>
        </is>
      </c>
      <c r="C4366" t="inlineStr">
        <is>
          <t>https://www.pollentiaproperties.com/en/property/id/925301-townhouse-for-sale-santa-maria-cami-under-construction</t>
        </is>
      </c>
      <c r="E4366" t="n">
        <v>3</v>
      </c>
      <c r="G4366" t="n">
        <v>206</v>
      </c>
      <c r="H4366" t="n">
        <v>286</v>
      </c>
      <c r="J4366" t="inlineStr">
        <is>
          <t>Santa Maria del Camí</t>
        </is>
      </c>
      <c r="K4366" t="n">
        <v>23.5</v>
      </c>
      <c r="L4366" t="n">
        <v>21</v>
      </c>
      <c r="M4366" t="n">
        <v>66.3</v>
      </c>
      <c r="N4366" t="n">
        <v>54</v>
      </c>
      <c r="O4366" t="n">
        <v>46.1</v>
      </c>
      <c r="P4366" t="n">
        <v>37</v>
      </c>
      <c r="Q4366" t="n">
        <v>64</v>
      </c>
      <c r="R4366" t="n">
        <v>51</v>
      </c>
      <c r="S4366" t="n">
        <v>2450000</v>
      </c>
      <c r="T4366" t="n">
        <v>8566</v>
      </c>
      <c r="U4366" t="n">
        <v>11893</v>
      </c>
      <c r="AH4366" t="inlineStr">
        <is>
          <t>Quelle: Pollentia Properties</t>
        </is>
      </c>
    </row>
    <row r="4367">
      <c r="A4367" t="n">
        <v>4180</v>
      </c>
      <c r="B4367" t="inlineStr">
        <is>
          <t>Townhouse for sale in Santa Maria del Camí, under construction</t>
        </is>
      </c>
      <c r="C4367" t="inlineStr">
        <is>
          <t>https://www.pollentiaproperties.com/en/property/id/925299-townhouse-for-sale-santa-maria-cami-under-construction</t>
        </is>
      </c>
      <c r="E4367" t="n">
        <v>3</v>
      </c>
      <c r="G4367" t="n">
        <v>190</v>
      </c>
      <c r="H4367" t="n">
        <v>254</v>
      </c>
      <c r="J4367" t="inlineStr">
        <is>
          <t>Santa Maria del Camí</t>
        </is>
      </c>
      <c r="K4367" t="n">
        <v>23.5</v>
      </c>
      <c r="L4367" t="n">
        <v>21</v>
      </c>
      <c r="M4367" t="n">
        <v>66.3</v>
      </c>
      <c r="N4367" t="n">
        <v>54</v>
      </c>
      <c r="O4367" t="n">
        <v>46.1</v>
      </c>
      <c r="P4367" t="n">
        <v>37</v>
      </c>
      <c r="Q4367" t="n">
        <v>64</v>
      </c>
      <c r="R4367" t="n">
        <v>51</v>
      </c>
      <c r="S4367" t="n">
        <v>2150000</v>
      </c>
      <c r="T4367" t="n">
        <v>8465</v>
      </c>
      <c r="U4367" t="n">
        <v>11316</v>
      </c>
      <c r="AH4367" t="inlineStr">
        <is>
          <t>Quelle: Pollentia Properties</t>
        </is>
      </c>
    </row>
    <row r="4368">
      <c r="A4368" t="n">
        <v>4181</v>
      </c>
      <c r="B4368" t="inlineStr">
        <is>
          <t>Building plot for sale in Ses Salines project for terraced homes with pools</t>
        </is>
      </c>
      <c r="C4368" t="inlineStr">
        <is>
          <t>https://www.pollentiaproperties.com/en/property/id/925218-building-plot-for-sale-in-ses-salines-project-terraced-homes-pools</t>
        </is>
      </c>
      <c r="G4368" t="n">
        <v>626</v>
      </c>
      <c r="J4368" t="inlineStr">
        <is>
          <t>Ses Salines</t>
        </is>
      </c>
      <c r="S4368" t="n">
        <v>550000</v>
      </c>
      <c r="U4368" t="n">
        <v>879</v>
      </c>
      <c r="AH4368" t="inlineStr">
        <is>
          <t>Quelle: Pollentia Properties</t>
        </is>
      </c>
    </row>
    <row r="4369">
      <c r="A4369" t="n">
        <v>4182</v>
      </c>
      <c r="B4369" t="inlineStr">
        <is>
          <t>Town house for sale in Ses Salines project being processed</t>
        </is>
      </c>
      <c r="C4369" t="inlineStr">
        <is>
          <t>https://www.pollentiaproperties.com/en/property/id/925217-town-house-for-sale-ses-salines-project-being-processed</t>
        </is>
      </c>
      <c r="G4369" t="n">
        <v>626</v>
      </c>
      <c r="J4369" t="inlineStr">
        <is>
          <t>Ses Salines</t>
        </is>
      </c>
      <c r="S4369" t="n">
        <v>550000</v>
      </c>
      <c r="U4369" t="n">
        <v>879</v>
      </c>
      <c r="AH4369" t="inlineStr">
        <is>
          <t>Quelle: Pollentia Properties</t>
        </is>
      </c>
    </row>
    <row r="4370">
      <c r="A4370" t="n">
        <v>4183</v>
      </c>
      <c r="B4370" t="inlineStr">
        <is>
          <t>Building plot for sale in Muro, construction costs not included</t>
        </is>
      </c>
      <c r="C4370" t="inlineStr">
        <is>
          <t>https://www.pollentiaproperties.com/en/property/id/924965-building-plot-for-sale-muro-construction-costs-not-included</t>
        </is>
      </c>
      <c r="E4370" t="n">
        <v>3</v>
      </c>
      <c r="G4370" t="n">
        <v>207</v>
      </c>
      <c r="H4370" t="n">
        <v>266</v>
      </c>
      <c r="J4370" t="inlineStr">
        <is>
          <t>Muro</t>
        </is>
      </c>
      <c r="S4370" t="n">
        <v>239000</v>
      </c>
      <c r="T4370" t="n">
        <v>898</v>
      </c>
      <c r="U4370" t="n">
        <v>1155</v>
      </c>
      <c r="AH4370" t="inlineStr">
        <is>
          <t>Quelle: Pollentia Properties</t>
        </is>
      </c>
    </row>
    <row r="4371">
      <c r="A4371" t="n">
        <v>4184</v>
      </c>
      <c r="B4371" t="inlineStr">
        <is>
          <t>Villa for sale in Llucmajor new development project close to the sea</t>
        </is>
      </c>
      <c r="C4371" t="inlineStr">
        <is>
          <t>https://www.pollentiaproperties.com/en/property/id/924768-villa-for-sale-llucmajor-new-development-project</t>
        </is>
      </c>
      <c r="E4371" t="n">
        <v>4</v>
      </c>
      <c r="G4371" t="n">
        <v>320</v>
      </c>
      <c r="H4371" t="n">
        <v>174</v>
      </c>
      <c r="J4371" t="inlineStr">
        <is>
          <t>Llucmajor</t>
        </is>
      </c>
      <c r="AH4371" t="inlineStr">
        <is>
          <t>Quelle: Pollentia Properties</t>
        </is>
      </c>
    </row>
    <row r="4372">
      <c r="A4372" t="n">
        <v>4185</v>
      </c>
      <c r="B4372" t="inlineStr">
        <is>
          <t>Villa for sale in Llucmajor new development project close to the sea</t>
        </is>
      </c>
      <c r="C4372" t="inlineStr">
        <is>
          <t>https://www.pollentiaproperties.com/en/property/id/924767-villa-for-sale-llucmajor-new-development-project</t>
        </is>
      </c>
      <c r="E4372" t="n">
        <v>4</v>
      </c>
      <c r="G4372" t="n">
        <v>320</v>
      </c>
      <c r="H4372" t="n">
        <v>174</v>
      </c>
      <c r="J4372" t="inlineStr">
        <is>
          <t>Llucmajor</t>
        </is>
      </c>
      <c r="S4372" t="n">
        <v>980000</v>
      </c>
      <c r="T4372" t="n">
        <v>5632</v>
      </c>
      <c r="U4372" t="n">
        <v>3062</v>
      </c>
      <c r="AH4372" t="inlineStr">
        <is>
          <t>Quelle: Pollentia Properties</t>
        </is>
      </c>
    </row>
    <row r="4373">
      <c r="A4373" t="n">
        <v>4186</v>
      </c>
      <c r="B4373" t="inlineStr">
        <is>
          <t>Country plot for sale in Sineu to build a single storey or two floor house</t>
        </is>
      </c>
      <c r="C4373" t="inlineStr">
        <is>
          <t>https://www.pollentiaproperties.com/en/property/id/924230-country-plot-for-sale-sineu-possibility-build-house-great-location</t>
        </is>
      </c>
      <c r="G4373" t="n">
        <v>17</v>
      </c>
      <c r="J4373" t="inlineStr">
        <is>
          <t>Sineu</t>
        </is>
      </c>
      <c r="S4373" t="n">
        <v>210000</v>
      </c>
      <c r="U4373" t="n">
        <v>12353</v>
      </c>
      <c r="AH4373" t="inlineStr">
        <is>
          <t>Quelle: Pollentia Properties</t>
        </is>
      </c>
    </row>
    <row r="4374">
      <c r="A4374" t="n">
        <v>4187</v>
      </c>
      <c r="B4374" t="inlineStr">
        <is>
          <t>Country home for sale in Sineu to build a single storey or two floor house. Construction not included</t>
        </is>
      </c>
      <c r="C4374" t="inlineStr">
        <is>
          <t>https://www.pollentiaproperties.com/en/property/id/924229-country-home-for-sale-in-sineu-to-build-a-single-storey-or-two-floor-house-construction-not-included</t>
        </is>
      </c>
      <c r="G4374" t="n">
        <v>17</v>
      </c>
      <c r="J4374" t="inlineStr">
        <is>
          <t>Sineu</t>
        </is>
      </c>
      <c r="S4374" t="n">
        <v>210000</v>
      </c>
      <c r="U4374" t="n">
        <v>12353</v>
      </c>
      <c r="AH4374" t="inlineStr">
        <is>
          <t>Quelle: Pollentia Properties</t>
        </is>
      </c>
    </row>
    <row r="4375">
      <c r="A4375" t="n">
        <v>4188</v>
      </c>
      <c r="B4375" t="inlineStr">
        <is>
          <t>Apartment for sale in Illetes,  by the sea in great complex</t>
        </is>
      </c>
      <c r="C4375" t="inlineStr">
        <is>
          <t>https://www.pollentiaproperties.com/en/property/id/923724-apartment-for-sale-illetes-by-the-sea-great-complex</t>
        </is>
      </c>
      <c r="E4375" t="n">
        <v>2</v>
      </c>
      <c r="H4375" t="n">
        <v>87</v>
      </c>
      <c r="J4375" t="inlineStr">
        <is>
          <t>Illetes</t>
        </is>
      </c>
      <c r="S4375" t="n">
        <v>945000</v>
      </c>
      <c r="T4375" t="n">
        <v>10862</v>
      </c>
      <c r="AH4375" t="inlineStr">
        <is>
          <t>Quelle: Pollentia Properties</t>
        </is>
      </c>
    </row>
    <row r="4376">
      <c r="A4376" t="n">
        <v>4189</v>
      </c>
      <c r="B4376" t="inlineStr">
        <is>
          <t>Country home for sale in Santa María del Camí under construction</t>
        </is>
      </c>
      <c r="C4376" t="inlineStr">
        <is>
          <t>https://www.pollentiaproperties.com/en/property/id/923591-country-home-for-sale-santa-maria-cami-to-be-constructed</t>
        </is>
      </c>
      <c r="E4376" t="n">
        <v>5</v>
      </c>
      <c r="G4376" t="n">
        <v>15</v>
      </c>
      <c r="H4376" t="n">
        <v>818</v>
      </c>
      <c r="J4376" t="inlineStr">
        <is>
          <t>Santa Maria del Camí</t>
        </is>
      </c>
      <c r="K4376" t="n">
        <v>23.5</v>
      </c>
      <c r="L4376" t="n">
        <v>21</v>
      </c>
      <c r="M4376" t="n">
        <v>66.3</v>
      </c>
      <c r="N4376" t="n">
        <v>54</v>
      </c>
      <c r="O4376" t="n">
        <v>46.1</v>
      </c>
      <c r="P4376" t="n">
        <v>37</v>
      </c>
      <c r="Q4376" t="n">
        <v>64</v>
      </c>
      <c r="R4376" t="n">
        <v>51</v>
      </c>
      <c r="S4376" t="n">
        <v>8750000</v>
      </c>
      <c r="T4376" t="n">
        <v>10697</v>
      </c>
      <c r="U4376" t="n">
        <v>583333</v>
      </c>
      <c r="AH4376" t="inlineStr">
        <is>
          <t>Quelle: Pollentia Properties</t>
        </is>
      </c>
    </row>
    <row r="4377">
      <c r="A4377" t="n">
        <v>4190</v>
      </c>
      <c r="B4377" t="inlineStr">
        <is>
          <t>Country home for sale in Alaró currently under construction</t>
        </is>
      </c>
      <c r="C4377" t="inlineStr">
        <is>
          <t>https://www.pollentiaproperties.com/en/property/id/923590-country-home-for-sale-alaro-currently-project-stage</t>
        </is>
      </c>
      <c r="E4377" t="n">
        <v>4</v>
      </c>
      <c r="G4377" t="n">
        <v>15</v>
      </c>
      <c r="H4377" t="n">
        <v>678</v>
      </c>
      <c r="J4377" t="inlineStr">
        <is>
          <t>Alaró</t>
        </is>
      </c>
      <c r="K4377" t="n">
        <v>33.4</v>
      </c>
      <c r="L4377" t="n">
        <v>33</v>
      </c>
      <c r="M4377" t="n">
        <v>76.09999999999999</v>
      </c>
      <c r="N4377" t="n">
        <v>66</v>
      </c>
      <c r="O4377" t="n">
        <v>55.9</v>
      </c>
      <c r="P4377" t="n">
        <v>49</v>
      </c>
      <c r="Q4377" t="n">
        <v>73.8</v>
      </c>
      <c r="R4377" t="n">
        <v>62</v>
      </c>
      <c r="S4377" t="n">
        <v>8495000</v>
      </c>
      <c r="T4377" t="n">
        <v>12529</v>
      </c>
      <c r="U4377" t="n">
        <v>566333</v>
      </c>
      <c r="AH4377" t="inlineStr">
        <is>
          <t>Quelle: Pollentia Properties</t>
        </is>
      </c>
    </row>
    <row r="4378">
      <c r="A4378" t="n">
        <v>4191</v>
      </c>
      <c r="B4378" t="inlineStr">
        <is>
          <t>Building plot for sale in Alcanada, with project and license</t>
        </is>
      </c>
      <c r="C4378" t="inlineStr">
        <is>
          <t>https://www.pollentiaproperties.com/en/property/id/923433-building-plot-for-sale-alcanada-project-sea-views</t>
        </is>
      </c>
      <c r="E4378" t="n">
        <v>4</v>
      </c>
      <c r="G4378" t="n">
        <v>600</v>
      </c>
      <c r="H4378" t="n">
        <v>350</v>
      </c>
      <c r="J4378" t="inlineStr">
        <is>
          <t>Alcanada</t>
        </is>
      </c>
      <c r="K4378" t="n">
        <v>64.2</v>
      </c>
      <c r="L4378" t="n">
        <v>48</v>
      </c>
      <c r="M4378" t="n">
        <v>82.3</v>
      </c>
      <c r="N4378" t="n">
        <v>75</v>
      </c>
      <c r="O4378" t="n">
        <v>86.8</v>
      </c>
      <c r="P4378" t="n">
        <v>64</v>
      </c>
      <c r="Q4378" t="n">
        <v>80</v>
      </c>
      <c r="R4378" t="n">
        <v>71</v>
      </c>
      <c r="S4378" t="n">
        <v>1295000</v>
      </c>
      <c r="T4378" t="n">
        <v>3700</v>
      </c>
      <c r="U4378" t="n">
        <v>2158</v>
      </c>
      <c r="AH4378" t="inlineStr">
        <is>
          <t>Quelle: Pollentia Properties</t>
        </is>
      </c>
    </row>
    <row r="4379">
      <c r="A4379" t="n">
        <v>4192</v>
      </c>
      <c r="B4379" t="inlineStr">
        <is>
          <t>Villa for sale in Llenaire in beautiful residential area near the sea</t>
        </is>
      </c>
      <c r="C4379" t="inlineStr">
        <is>
          <t>https://www.pollentiaproperties.com/en/property/id/923323-villa-for-sale-llenaire-beautiful-residential-area-near-sea</t>
        </is>
      </c>
      <c r="E4379" t="n">
        <v>3</v>
      </c>
      <c r="G4379" t="n">
        <v>1</v>
      </c>
      <c r="H4379" t="n">
        <v>154</v>
      </c>
      <c r="J4379" t="inlineStr">
        <is>
          <t>Llenaire</t>
        </is>
      </c>
      <c r="K4379" t="n">
        <v>63.2</v>
      </c>
      <c r="L4379" t="n">
        <v>48</v>
      </c>
      <c r="M4379" t="n">
        <v>81.3</v>
      </c>
      <c r="N4379" t="n">
        <v>75</v>
      </c>
      <c r="O4379" t="n">
        <v>85.8</v>
      </c>
      <c r="P4379" t="n">
        <v>64</v>
      </c>
      <c r="Q4379" t="n">
        <v>79</v>
      </c>
      <c r="R4379" t="n">
        <v>71</v>
      </c>
      <c r="S4379" t="n">
        <v>1485000</v>
      </c>
      <c r="T4379" t="n">
        <v>9643</v>
      </c>
      <c r="U4379" t="n">
        <v>1485000</v>
      </c>
      <c r="AH4379" t="inlineStr">
        <is>
          <t>Quelle: Pollentia Properties</t>
        </is>
      </c>
    </row>
    <row r="4380">
      <c r="A4380" t="n">
        <v>4193</v>
      </c>
      <c r="B4380" t="inlineStr">
        <is>
          <t>Country house for sale in Sa Pobla project with plans</t>
        </is>
      </c>
      <c r="C4380" t="inlineStr">
        <is>
          <t>https://www.pollentiaproperties.com/en/property/id/923100-country-house-for-sale-sa-pobla-project-plans-different-purchase-options</t>
        </is>
      </c>
      <c r="G4380" t="n">
        <v>24</v>
      </c>
      <c r="J4380" t="inlineStr">
        <is>
          <t>Sa Pobla</t>
        </is>
      </c>
      <c r="S4380" t="n">
        <v>280000</v>
      </c>
      <c r="U4380" t="n">
        <v>11667</v>
      </c>
      <c r="AH4380" t="inlineStr">
        <is>
          <t>Quelle: Pollentia Properties</t>
        </is>
      </c>
    </row>
    <row r="4381">
      <c r="A4381" t="n">
        <v>4194</v>
      </c>
      <c r="B4381" t="inlineStr">
        <is>
          <t>Villa for sale in Pollença in exclusive development</t>
        </is>
      </c>
      <c r="C4381" t="inlineStr">
        <is>
          <t>https://www.pollentiaproperties.com/en/property/id/923096-villa-for-sale-pollensa-exclusive-development</t>
        </is>
      </c>
      <c r="E4381" t="n">
        <v>3</v>
      </c>
      <c r="H4381" t="n">
        <v>180</v>
      </c>
      <c r="J4381" t="inlineStr">
        <is>
          <t>Pollença</t>
        </is>
      </c>
      <c r="K4381" t="n">
        <v>60.6</v>
      </c>
      <c r="L4381" t="n">
        <v>47</v>
      </c>
      <c r="M4381" t="n">
        <v>78.7</v>
      </c>
      <c r="N4381" t="n">
        <v>74</v>
      </c>
      <c r="O4381" t="n">
        <v>83.2</v>
      </c>
      <c r="P4381" t="n">
        <v>63</v>
      </c>
      <c r="Q4381" t="n">
        <v>76.40000000000001</v>
      </c>
      <c r="R4381" t="n">
        <v>70</v>
      </c>
      <c r="S4381" t="n">
        <v>1100000</v>
      </c>
      <c r="T4381" t="n">
        <v>6111</v>
      </c>
      <c r="AH4381" t="inlineStr">
        <is>
          <t>Quelle: Pollentia Properties</t>
        </is>
      </c>
    </row>
    <row r="4382">
      <c r="A4382" t="n">
        <v>4195</v>
      </c>
      <c r="B4382" t="inlineStr">
        <is>
          <t>Villa for sale in Pollença in exclusive development</t>
        </is>
      </c>
      <c r="C4382" t="inlineStr">
        <is>
          <t>https://www.pollentiaproperties.com/en/property/id/923095-villa-for-sale-pollensa-exclusive-development</t>
        </is>
      </c>
      <c r="E4382" t="n">
        <v>3</v>
      </c>
      <c r="H4382" t="n">
        <v>180</v>
      </c>
      <c r="J4382" t="inlineStr">
        <is>
          <t>Pollença</t>
        </is>
      </c>
      <c r="K4382" t="n">
        <v>60.6</v>
      </c>
      <c r="L4382" t="n">
        <v>47</v>
      </c>
      <c r="M4382" t="n">
        <v>78.7</v>
      </c>
      <c r="N4382" t="n">
        <v>74</v>
      </c>
      <c r="O4382" t="n">
        <v>83.2</v>
      </c>
      <c r="P4382" t="n">
        <v>63</v>
      </c>
      <c r="Q4382" t="n">
        <v>76.40000000000001</v>
      </c>
      <c r="R4382" t="n">
        <v>70</v>
      </c>
      <c r="S4382" t="n">
        <v>1100000</v>
      </c>
      <c r="T4382" t="n">
        <v>6111</v>
      </c>
      <c r="AH4382" t="inlineStr">
        <is>
          <t>Quelle: Pollentia Properties</t>
        </is>
      </c>
    </row>
    <row r="4383">
      <c r="A4383" t="n">
        <v>4196</v>
      </c>
      <c r="B4383" t="inlineStr">
        <is>
          <t>Villa for sale in Pollença in exclusive development</t>
        </is>
      </c>
      <c r="C4383" t="inlineStr">
        <is>
          <t>https://www.pollentiaproperties.com/en/property/id/923094-villa-for-sale-pollensa-exclusive-development</t>
        </is>
      </c>
      <c r="E4383" t="n">
        <v>3</v>
      </c>
      <c r="H4383" t="n">
        <v>180</v>
      </c>
      <c r="J4383" t="inlineStr">
        <is>
          <t>Pollença</t>
        </is>
      </c>
      <c r="K4383" t="n">
        <v>60.6</v>
      </c>
      <c r="L4383" t="n">
        <v>47</v>
      </c>
      <c r="M4383" t="n">
        <v>78.7</v>
      </c>
      <c r="N4383" t="n">
        <v>74</v>
      </c>
      <c r="O4383" t="n">
        <v>83.2</v>
      </c>
      <c r="P4383" t="n">
        <v>63</v>
      </c>
      <c r="Q4383" t="n">
        <v>76.40000000000001</v>
      </c>
      <c r="R4383" t="n">
        <v>70</v>
      </c>
      <c r="S4383" t="n">
        <v>1100000</v>
      </c>
      <c r="T4383" t="n">
        <v>6111</v>
      </c>
      <c r="AH4383" t="inlineStr">
        <is>
          <t>Quelle: Pollentia Properties</t>
        </is>
      </c>
    </row>
    <row r="4384">
      <c r="A4384" t="n">
        <v>4197</v>
      </c>
      <c r="B4384" t="inlineStr">
        <is>
          <t>Town house for sale in El Terreno in brand new development</t>
        </is>
      </c>
      <c r="C4384" t="inlineStr">
        <is>
          <t>https://www.pollentiaproperties.com/en/property/id/922911-town-house-for-sale-el-terreno-brand-new-development</t>
        </is>
      </c>
      <c r="E4384" t="n">
        <v>3</v>
      </c>
      <c r="H4384" t="n">
        <v>195</v>
      </c>
      <c r="J4384" t="inlineStr">
        <is>
          <t>El Terreno</t>
        </is>
      </c>
      <c r="S4384" t="n">
        <v>950000</v>
      </c>
      <c r="T4384" t="n">
        <v>4872</v>
      </c>
      <c r="AH4384" t="inlineStr">
        <is>
          <t>Quelle: Pollentia Properties</t>
        </is>
      </c>
    </row>
    <row r="4385">
      <c r="A4385" t="n">
        <v>4198</v>
      </c>
      <c r="B4385" t="inlineStr">
        <is>
          <t>Town house for sale in El Terreno in brand new development</t>
        </is>
      </c>
      <c r="C4385" t="inlineStr">
        <is>
          <t>https://www.pollentiaproperties.com/en/property/id/922910-town-house-for-sale-el-terreno-brand-new-development</t>
        </is>
      </c>
      <c r="E4385" t="n">
        <v>3</v>
      </c>
      <c r="H4385" t="n">
        <v>196</v>
      </c>
      <c r="J4385" t="inlineStr">
        <is>
          <t>El Terreno</t>
        </is>
      </c>
      <c r="S4385" t="n">
        <v>995000</v>
      </c>
      <c r="T4385" t="n">
        <v>5077</v>
      </c>
      <c r="AH4385" t="inlineStr">
        <is>
          <t>Quelle: Pollentia Properties</t>
        </is>
      </c>
    </row>
    <row r="4386">
      <c r="A4386" t="n">
        <v>4199</v>
      </c>
      <c r="B4386" t="inlineStr">
        <is>
          <t>Town house for sale in El Terreno in brand new development</t>
        </is>
      </c>
      <c r="C4386" t="inlineStr">
        <is>
          <t>https://www.pollentiaproperties.com/en/property/id/922909-town-house-for-sale-el-terreno-brand-new-development</t>
        </is>
      </c>
      <c r="E4386" t="n">
        <v>3</v>
      </c>
      <c r="H4386" t="n">
        <v>191</v>
      </c>
      <c r="J4386" t="inlineStr">
        <is>
          <t>El Terreno</t>
        </is>
      </c>
      <c r="S4386" t="n">
        <v>995000</v>
      </c>
      <c r="T4386" t="n">
        <v>5209</v>
      </c>
      <c r="AH4386" t="inlineStr">
        <is>
          <t>Quelle: Pollentia Properties</t>
        </is>
      </c>
    </row>
    <row r="4387">
      <c r="A4387" t="n">
        <v>4200</v>
      </c>
      <c r="B4387" t="inlineStr">
        <is>
          <t>Town house for sale in El Terreno in brand new development</t>
        </is>
      </c>
      <c r="C4387" t="inlineStr">
        <is>
          <t>https://www.pollentiaproperties.com/en/property/id/922908-town-house-for-sale-el-terreno-brand-new-development</t>
        </is>
      </c>
      <c r="E4387" t="n">
        <v>2</v>
      </c>
      <c r="H4387" t="n">
        <v>147</v>
      </c>
      <c r="J4387" t="inlineStr">
        <is>
          <t>El Terreno</t>
        </is>
      </c>
      <c r="S4387" t="n">
        <v>675000</v>
      </c>
      <c r="T4387" t="n">
        <v>4592</v>
      </c>
      <c r="AH4387" t="inlineStr">
        <is>
          <t>Quelle: Pollentia Properties</t>
        </is>
      </c>
    </row>
    <row r="4388">
      <c r="A4388" t="n">
        <v>4201</v>
      </c>
      <c r="B4388" t="inlineStr">
        <is>
          <t>Penthouse for sale in Palmanova, in modern complex under construction</t>
        </is>
      </c>
      <c r="C4388" t="inlineStr">
        <is>
          <t>https://www.pollentiaproperties.com/en/property/id/922594-apartment-for-sale-palmanova-modern-complex-under-construction</t>
        </is>
      </c>
      <c r="E4388" t="n">
        <v>3</v>
      </c>
      <c r="H4388" t="n">
        <v>176</v>
      </c>
      <c r="J4388" t="inlineStr">
        <is>
          <t>Palmanova</t>
        </is>
      </c>
      <c r="AH4388" t="inlineStr">
        <is>
          <t>Quelle: Pollentia Properties</t>
        </is>
      </c>
    </row>
    <row r="4389">
      <c r="A4389" t="n">
        <v>4202</v>
      </c>
      <c r="B4389" t="inlineStr">
        <is>
          <t>Apartment for sale in Palmanova, in modern complex under construction</t>
        </is>
      </c>
      <c r="C4389" t="inlineStr">
        <is>
          <t>https://www.pollentiaproperties.com/en/property/id/922591-apartment-for-sale-palmanova-modern-complex-under-construction</t>
        </is>
      </c>
      <c r="E4389" t="n">
        <v>3</v>
      </c>
      <c r="H4389" t="n">
        <v>273</v>
      </c>
      <c r="J4389" t="inlineStr">
        <is>
          <t>Palmanova</t>
        </is>
      </c>
      <c r="S4389" t="n">
        <v>785000</v>
      </c>
      <c r="T4389" t="n">
        <v>2875</v>
      </c>
      <c r="AH4389" t="inlineStr">
        <is>
          <t>Quelle: Pollentia Properties</t>
        </is>
      </c>
    </row>
    <row r="4390">
      <c r="A4390" t="n">
        <v>4203</v>
      </c>
      <c r="B4390" t="inlineStr">
        <is>
          <t>Apartment for sale in Palmanova, in modern complex under construction</t>
        </is>
      </c>
      <c r="C4390" t="inlineStr">
        <is>
          <t>https://www.pollentiaproperties.com/en/property/id/922589-apartment-for-sale-palmanova-modern-complex-under-construction</t>
        </is>
      </c>
      <c r="E4390" t="n">
        <v>2</v>
      </c>
      <c r="H4390" t="n">
        <v>94</v>
      </c>
      <c r="J4390" t="inlineStr">
        <is>
          <t>Palmanova</t>
        </is>
      </c>
      <c r="S4390" t="n">
        <v>560000</v>
      </c>
      <c r="T4390" t="n">
        <v>5957</v>
      </c>
      <c r="AH4390" t="inlineStr">
        <is>
          <t>Quelle: Pollentia Properties</t>
        </is>
      </c>
    </row>
    <row r="4391">
      <c r="A4391" t="n">
        <v>4204</v>
      </c>
      <c r="B4391" t="inlineStr">
        <is>
          <t>Ground floor for sale in El Terreno, newly built in small development in great area</t>
        </is>
      </c>
      <c r="C4391" t="inlineStr">
        <is>
          <t>https://www.pollentiaproperties.com/en/property/id/922339-apartment-for-sale-in-palma-in-small-development-in-great-area</t>
        </is>
      </c>
      <c r="E4391" t="n">
        <v>2</v>
      </c>
      <c r="H4391" t="n">
        <v>140</v>
      </c>
      <c r="J4391" t="inlineStr">
        <is>
          <t>Son Armadans</t>
        </is>
      </c>
      <c r="AH4391" t="inlineStr">
        <is>
          <t>Quelle: Pollentia Properties</t>
        </is>
      </c>
    </row>
    <row r="4392">
      <c r="A4392" t="n">
        <v>4205</v>
      </c>
      <c r="B4392" t="inlineStr">
        <is>
          <t>Penthouse for sale in Son Armadans in new development</t>
        </is>
      </c>
      <c r="C4392" t="inlineStr">
        <is>
          <t>https://www.pollentiaproperties.com/en/property/id/922338-apartments-for-sale-new-top-quality-development-multiple-units-available</t>
        </is>
      </c>
      <c r="E4392" t="n">
        <v>3</v>
      </c>
      <c r="H4392" t="n">
        <v>364</v>
      </c>
      <c r="J4392" t="inlineStr">
        <is>
          <t>Son Armadans</t>
        </is>
      </c>
      <c r="K4392" t="n">
        <v>11.6</v>
      </c>
      <c r="L4392" t="n">
        <v>19</v>
      </c>
      <c r="M4392" t="n">
        <v>54.4</v>
      </c>
      <c r="N4392" t="n">
        <v>52</v>
      </c>
      <c r="O4392" t="n">
        <v>28.3</v>
      </c>
      <c r="P4392" t="n">
        <v>28</v>
      </c>
      <c r="Q4392" t="n">
        <v>52.1</v>
      </c>
      <c r="R4392" t="n">
        <v>48</v>
      </c>
      <c r="S4392" t="n">
        <v>2600000</v>
      </c>
      <c r="T4392" t="n">
        <v>7143</v>
      </c>
      <c r="AH4392" t="inlineStr">
        <is>
          <t>Quelle: Pollentia Properties</t>
        </is>
      </c>
    </row>
    <row r="4393">
      <c r="A4393" t="n">
        <v>4206</v>
      </c>
      <c r="B4393" t="inlineStr">
        <is>
          <t>Apartment for sale in Son Armadans in new development</t>
        </is>
      </c>
      <c r="C4393" t="inlineStr">
        <is>
          <t>https://www.pollentiaproperties.com/en/property/id/922337-apartments-for-sale-new-top-quality-development-multiple-units-available</t>
        </is>
      </c>
      <c r="E4393" t="n">
        <v>2</v>
      </c>
      <c r="H4393" t="n">
        <v>101</v>
      </c>
      <c r="J4393" t="inlineStr">
        <is>
          <t>Son Armadans</t>
        </is>
      </c>
      <c r="K4393" t="n">
        <v>11.6</v>
      </c>
      <c r="L4393" t="n">
        <v>19</v>
      </c>
      <c r="M4393" t="n">
        <v>54.4</v>
      </c>
      <c r="N4393" t="n">
        <v>52</v>
      </c>
      <c r="O4393" t="n">
        <v>28.3</v>
      </c>
      <c r="P4393" t="n">
        <v>28</v>
      </c>
      <c r="Q4393" t="n">
        <v>52.1</v>
      </c>
      <c r="R4393" t="n">
        <v>48</v>
      </c>
      <c r="S4393" t="n">
        <v>1100500</v>
      </c>
      <c r="T4393" t="n">
        <v>10896</v>
      </c>
      <c r="AH4393" t="inlineStr">
        <is>
          <t>Quelle: Pollentia Properties</t>
        </is>
      </c>
    </row>
    <row r="4394">
      <c r="A4394" t="n">
        <v>4207</v>
      </c>
      <c r="B4394" t="inlineStr">
        <is>
          <t>Apartment for sale in new top quality development</t>
        </is>
      </c>
      <c r="C4394" t="inlineStr">
        <is>
          <t>https://www.pollentiaproperties.com/en/property/id/922336-ground-floor-for-sale-top-quality-development-last-unit-under-construction</t>
        </is>
      </c>
      <c r="E4394" t="n">
        <v>3</v>
      </c>
      <c r="H4394" t="n">
        <v>120</v>
      </c>
      <c r="J4394" t="inlineStr">
        <is>
          <t>Son Armadans</t>
        </is>
      </c>
      <c r="K4394" t="n">
        <v>11.6</v>
      </c>
      <c r="L4394" t="n">
        <v>19</v>
      </c>
      <c r="M4394" t="n">
        <v>54.4</v>
      </c>
      <c r="N4394" t="n">
        <v>52</v>
      </c>
      <c r="O4394" t="n">
        <v>28.3</v>
      </c>
      <c r="P4394" t="n">
        <v>28</v>
      </c>
      <c r="Q4394" t="n">
        <v>52.1</v>
      </c>
      <c r="R4394" t="n">
        <v>48</v>
      </c>
      <c r="S4394" t="n">
        <v>1050000</v>
      </c>
      <c r="T4394" t="n">
        <v>8750</v>
      </c>
      <c r="AH4394" t="inlineStr">
        <is>
          <t>Quelle: Pollentia Properties</t>
        </is>
      </c>
    </row>
    <row r="4395">
      <c r="A4395" t="n">
        <v>4208</v>
      </c>
      <c r="B4395" t="inlineStr">
        <is>
          <t>Ground floor for sale in Palmanova, in modern complex under construction</t>
        </is>
      </c>
      <c r="C4395" t="inlineStr">
        <is>
          <t>https://www.pollentiaproperties.com/en/property/id/922297-apartment-for-sale-palmanova-modern-complex-under-construction</t>
        </is>
      </c>
      <c r="E4395" t="n">
        <v>3</v>
      </c>
      <c r="H4395" t="n">
        <v>176</v>
      </c>
      <c r="J4395" t="inlineStr">
        <is>
          <t>Palmanova</t>
        </is>
      </c>
      <c r="S4395" t="n">
        <v>755000</v>
      </c>
      <c r="T4395" t="n">
        <v>4290</v>
      </c>
      <c r="AH4395" t="inlineStr">
        <is>
          <t>Quelle: Pollentia Properties</t>
        </is>
      </c>
    </row>
    <row r="4396">
      <c r="A4396" t="n">
        <v>4209</v>
      </c>
      <c r="B4396" t="inlineStr">
        <is>
          <t>Villa for sale in Puerto Alcudia new project with permit, construction costs seperate</t>
        </is>
      </c>
      <c r="C4396" t="inlineStr">
        <is>
          <t>https://www.pollentiaproperties.com/en/property/id/922067-villa-for-sale-puerto-alcudia-new-project-permit</t>
        </is>
      </c>
      <c r="E4396" t="n">
        <v>3</v>
      </c>
      <c r="G4396" t="n">
        <v>335</v>
      </c>
      <c r="H4396" t="n">
        <v>130</v>
      </c>
      <c r="J4396" t="inlineStr">
        <is>
          <t>Puerto de Alcúdia</t>
        </is>
      </c>
      <c r="S4396" t="n">
        <v>475000</v>
      </c>
      <c r="T4396" t="n">
        <v>3654</v>
      </c>
      <c r="U4396" t="n">
        <v>1418</v>
      </c>
      <c r="AH4396" t="inlineStr">
        <is>
          <t>Quelle: Pollentia Properties</t>
        </is>
      </c>
    </row>
    <row r="4397">
      <c r="A4397" t="n">
        <v>4210</v>
      </c>
      <c r="B4397" t="inlineStr">
        <is>
          <t>Penthouse for sale in Cala Major, in modern complex under construction</t>
        </is>
      </c>
      <c r="C4397" t="inlineStr">
        <is>
          <t>https://www.pollentiaproperties.com/en/property/id/921825-penthouse-for-sale-cala-major-modern-complex-under-construction</t>
        </is>
      </c>
      <c r="E4397" t="n">
        <v>3</v>
      </c>
      <c r="H4397" t="n">
        <v>149</v>
      </c>
      <c r="J4397" t="inlineStr">
        <is>
          <t>Cala Major</t>
        </is>
      </c>
      <c r="K4397" t="n">
        <v>19.7</v>
      </c>
      <c r="L4397" t="n">
        <v>19</v>
      </c>
      <c r="M4397" t="n">
        <v>62.5</v>
      </c>
      <c r="N4397" t="n">
        <v>52</v>
      </c>
      <c r="O4397" t="n">
        <v>26.3</v>
      </c>
      <c r="P4397" t="n">
        <v>24</v>
      </c>
      <c r="Q4397" t="n">
        <v>60.2</v>
      </c>
      <c r="R4397" t="n">
        <v>48</v>
      </c>
      <c r="S4397" t="n">
        <v>2600000</v>
      </c>
      <c r="T4397" t="n">
        <v>17450</v>
      </c>
      <c r="AH4397" t="inlineStr">
        <is>
          <t>Quelle: Pollentia Properties</t>
        </is>
      </c>
    </row>
    <row r="4398">
      <c r="A4398" t="n">
        <v>4211</v>
      </c>
      <c r="B4398" t="inlineStr">
        <is>
          <t>Apartment for sale in Cala Major, in modern complex under construction</t>
        </is>
      </c>
      <c r="C4398" t="inlineStr">
        <is>
          <t>https://www.pollentiaproperties.com/en/property/id/921823-apartment-for-sale-cala-major-modern-complex-under-construction</t>
        </is>
      </c>
      <c r="E4398" t="n">
        <v>3</v>
      </c>
      <c r="H4398" t="n">
        <v>140</v>
      </c>
      <c r="J4398" t="inlineStr">
        <is>
          <t>Cala Major</t>
        </is>
      </c>
      <c r="K4398" t="n">
        <v>19.7</v>
      </c>
      <c r="L4398" t="n">
        <v>19</v>
      </c>
      <c r="M4398" t="n">
        <v>62.5</v>
      </c>
      <c r="N4398" t="n">
        <v>52</v>
      </c>
      <c r="O4398" t="n">
        <v>26.3</v>
      </c>
      <c r="P4398" t="n">
        <v>24</v>
      </c>
      <c r="Q4398" t="n">
        <v>60.2</v>
      </c>
      <c r="R4398" t="n">
        <v>48</v>
      </c>
      <c r="S4398" t="n">
        <v>1350000</v>
      </c>
      <c r="T4398" t="n">
        <v>9643</v>
      </c>
      <c r="AH4398" t="inlineStr">
        <is>
          <t>Quelle: Pollentia Properties</t>
        </is>
      </c>
    </row>
    <row r="4399">
      <c r="A4399" t="n">
        <v>4212</v>
      </c>
      <c r="B4399" t="inlineStr">
        <is>
          <t>Apartment for sale in Palma, Mallorca in stunning area of Portixol</t>
        </is>
      </c>
      <c r="C4399" t="inlineStr">
        <is>
          <t>https://www.pollentiaproperties.com/en/property/id/921656-apartment-for-sale-palma-exclusive-complex-community-garden-pool</t>
        </is>
      </c>
      <c r="E4399" t="n">
        <v>2</v>
      </c>
      <c r="H4399" t="n">
        <v>160</v>
      </c>
      <c r="J4399" t="inlineStr">
        <is>
          <t>Palma de Mallorca</t>
        </is>
      </c>
      <c r="AH4399" t="inlineStr">
        <is>
          <t>Quelle: Pollentia Properties</t>
        </is>
      </c>
    </row>
    <row r="4400">
      <c r="A4400" t="n">
        <v>4213</v>
      </c>
      <c r="B4400" t="inlineStr">
        <is>
          <t>Apartment for sale in Palma, Mallorca in stunning area of Portixol</t>
        </is>
      </c>
      <c r="C4400" t="inlineStr">
        <is>
          <t>https://www.pollentiaproperties.com/en/property/id/921655-apartment-for-sale-palma-exclusive-complex-community-garden-pool</t>
        </is>
      </c>
      <c r="E4400" t="n">
        <v>2</v>
      </c>
      <c r="H4400" t="n">
        <v>102</v>
      </c>
      <c r="J4400" t="inlineStr">
        <is>
          <t>Palma de Mallorca</t>
        </is>
      </c>
      <c r="AH4400" t="inlineStr">
        <is>
          <t>Quelle: Pollentia Properties</t>
        </is>
      </c>
    </row>
    <row r="4401">
      <c r="A4401" t="n">
        <v>4214</v>
      </c>
      <c r="B4401" t="inlineStr">
        <is>
          <t>Town house for sale in Sóller with modern design, garden and pool</t>
        </is>
      </c>
      <c r="C4401" t="inlineStr">
        <is>
          <t>https://www.pollentiaproperties.com/en/property/id/921316-town-house-for-sale-soller-modern-design-different-purchase-options</t>
        </is>
      </c>
      <c r="E4401" t="n">
        <v>5</v>
      </c>
      <c r="G4401" t="n">
        <v>4</v>
      </c>
      <c r="H4401" t="n">
        <v>600</v>
      </c>
      <c r="J4401" t="inlineStr">
        <is>
          <t>Sóller</t>
        </is>
      </c>
      <c r="K4401" t="n">
        <v>32.5</v>
      </c>
      <c r="L4401" t="n">
        <v>38</v>
      </c>
      <c r="M4401" t="n">
        <v>75.2</v>
      </c>
      <c r="N4401" t="n">
        <v>70</v>
      </c>
      <c r="O4401" t="n">
        <v>52.1</v>
      </c>
      <c r="P4401" t="n">
        <v>51</v>
      </c>
      <c r="Q4401" t="n">
        <v>72.90000000000001</v>
      </c>
      <c r="R4401" t="n">
        <v>67</v>
      </c>
      <c r="S4401" t="n">
        <v>1555000</v>
      </c>
      <c r="T4401" t="n">
        <v>2592</v>
      </c>
      <c r="U4401" t="n">
        <v>388750</v>
      </c>
      <c r="AH4401" t="inlineStr">
        <is>
          <t>Quelle: Pollentia Properties</t>
        </is>
      </c>
    </row>
    <row r="4402">
      <c r="A4402" t="n">
        <v>4215</v>
      </c>
      <c r="B4402" t="inlineStr">
        <is>
          <t>Villa for sale in Puntiró on large estate with great accommodation and pool</t>
        </is>
      </c>
      <c r="C4402" t="inlineStr">
        <is>
          <t>https://www.pollentiaproperties.com/en/property/id/921312-villa-for-sale-puntiro-top-quality-large-plot-terraces-pool</t>
        </is>
      </c>
      <c r="E4402" t="n">
        <v>3</v>
      </c>
      <c r="G4402" t="n">
        <v>32</v>
      </c>
      <c r="H4402" t="n">
        <v>400</v>
      </c>
      <c r="J4402" t="inlineStr">
        <is>
          <t>Puntiró</t>
        </is>
      </c>
      <c r="K4402" t="n">
        <v>16.7</v>
      </c>
      <c r="L4402" t="n">
        <v>21</v>
      </c>
      <c r="M4402" t="n">
        <v>53.4</v>
      </c>
      <c r="N4402" t="n">
        <v>52</v>
      </c>
      <c r="O4402" t="n">
        <v>47</v>
      </c>
      <c r="P4402" t="n">
        <v>43</v>
      </c>
      <c r="Q4402" t="n">
        <v>51.1</v>
      </c>
      <c r="R4402" t="n">
        <v>48</v>
      </c>
      <c r="S4402" t="n">
        <v>1820000</v>
      </c>
      <c r="T4402" t="n">
        <v>4550</v>
      </c>
      <c r="U4402" t="n">
        <v>56875</v>
      </c>
      <c r="AH4402" t="inlineStr">
        <is>
          <t>Quelle: Pollentia Properties</t>
        </is>
      </c>
    </row>
    <row r="4403">
      <c r="A4403" t="n">
        <v>4216</v>
      </c>
      <c r="B4403" t="inlineStr">
        <is>
          <t>Villa for sale in Puerto Alcúdia newly built in fantastic location</t>
        </is>
      </c>
      <c r="C4403" t="inlineStr">
        <is>
          <t>https://www.pollentiaproperties.com/en/property/id/921154-villa-for-sale-puerto-alcudia-new-build-community-pool</t>
        </is>
      </c>
      <c r="E4403" t="n">
        <v>3</v>
      </c>
      <c r="G4403" t="n">
        <v>110</v>
      </c>
      <c r="H4403" t="n">
        <v>153</v>
      </c>
      <c r="J4403" t="inlineStr">
        <is>
          <t>Puerto de Alcúdia</t>
        </is>
      </c>
      <c r="S4403" t="n">
        <v>790000</v>
      </c>
      <c r="T4403" t="n">
        <v>5163</v>
      </c>
      <c r="U4403" t="n">
        <v>7182</v>
      </c>
      <c r="AH4403" t="inlineStr">
        <is>
          <t>Quelle: Pollentia Properties</t>
        </is>
      </c>
    </row>
    <row r="4404">
      <c r="A4404" t="n">
        <v>4217</v>
      </c>
      <c r="B4404" t="inlineStr">
        <is>
          <t>Villa for sale in Sol de Mallorca newly built luxury property with pool</t>
        </is>
      </c>
      <c r="C4404" t="inlineStr">
        <is>
          <t>https://www.pollentiaproperties.com/en/property/id/920654-villa-for-sale-sol-mallorca-luxury-fittings-garden-pool</t>
        </is>
      </c>
      <c r="E4404" t="n">
        <v>4</v>
      </c>
      <c r="G4404" t="n">
        <v>690</v>
      </c>
      <c r="H4404" t="n">
        <v>330</v>
      </c>
      <c r="J4404" t="inlineStr">
        <is>
          <t>Sol de Mallorca</t>
        </is>
      </c>
      <c r="K4404" t="n">
        <v>32.2</v>
      </c>
      <c r="L4404" t="n">
        <v>31</v>
      </c>
      <c r="M4404" t="n">
        <v>75</v>
      </c>
      <c r="N4404" t="n">
        <v>64</v>
      </c>
      <c r="O4404" t="n">
        <v>21.2</v>
      </c>
      <c r="P4404" t="n">
        <v>25</v>
      </c>
      <c r="Q4404" t="n">
        <v>72.7</v>
      </c>
      <c r="R4404" t="n">
        <v>60</v>
      </c>
      <c r="S4404" t="n">
        <v>3500000</v>
      </c>
      <c r="T4404" t="n">
        <v>10606</v>
      </c>
      <c r="U4404" t="n">
        <v>5072</v>
      </c>
      <c r="AH4404" t="inlineStr">
        <is>
          <t>Quelle: Pollentia Properties</t>
        </is>
      </c>
    </row>
    <row r="4405">
      <c r="A4405" t="n">
        <v>4218</v>
      </c>
      <c r="B4405" t="inlineStr">
        <is>
          <t>Villa for sale in Sol de Mallorca, with fantastic features</t>
        </is>
      </c>
      <c r="C4405" t="inlineStr">
        <is>
          <t>https://www.pollentiaproperties.com/en/property/id/920653-villa-for-sale-sol-mallorca-fantastic-features-pool-rooftop-terrace</t>
        </is>
      </c>
      <c r="E4405" t="n">
        <v>3</v>
      </c>
      <c r="G4405" t="n">
        <v>250</v>
      </c>
      <c r="H4405" t="n">
        <v>223</v>
      </c>
      <c r="J4405" t="inlineStr">
        <is>
          <t>Sol de Mallorca</t>
        </is>
      </c>
      <c r="K4405" t="n">
        <v>32.2</v>
      </c>
      <c r="L4405" t="n">
        <v>31</v>
      </c>
      <c r="M4405" t="n">
        <v>75</v>
      </c>
      <c r="N4405" t="n">
        <v>64</v>
      </c>
      <c r="O4405" t="n">
        <v>21.2</v>
      </c>
      <c r="P4405" t="n">
        <v>25</v>
      </c>
      <c r="Q4405" t="n">
        <v>72.7</v>
      </c>
      <c r="R4405" t="n">
        <v>60</v>
      </c>
      <c r="S4405" t="n">
        <v>2395000</v>
      </c>
      <c r="T4405" t="n">
        <v>10740</v>
      </c>
      <c r="U4405" t="n">
        <v>9580</v>
      </c>
      <c r="AH4405" t="inlineStr">
        <is>
          <t>Quelle: Pollentia Properties</t>
        </is>
      </c>
    </row>
    <row r="4406">
      <c r="A4406" t="n">
        <v>4219</v>
      </c>
      <c r="B4406" t="inlineStr">
        <is>
          <t>Villa for sale in Marratxi in quiet residential area</t>
        </is>
      </c>
      <c r="C4406" t="inlineStr">
        <is>
          <t>https://www.pollentiaproperties.com/en/property/id/920366-villa-for-sale-marratxi-single-storey-quiet-residential-area</t>
        </is>
      </c>
      <c r="E4406" t="n">
        <v>6</v>
      </c>
      <c r="G4406" t="n">
        <v>2</v>
      </c>
      <c r="H4406" t="n">
        <v>400</v>
      </c>
      <c r="J4406" t="inlineStr">
        <is>
          <t>Marratxí</t>
        </is>
      </c>
      <c r="K4406" t="n">
        <v>13</v>
      </c>
      <c r="L4406" t="n">
        <v>17</v>
      </c>
      <c r="M4406" t="n">
        <v>56.3</v>
      </c>
      <c r="N4406" t="n">
        <v>50</v>
      </c>
      <c r="O4406" t="n">
        <v>40.6</v>
      </c>
      <c r="P4406" t="n">
        <v>34</v>
      </c>
      <c r="Q4406" t="n">
        <v>54</v>
      </c>
      <c r="R4406" t="n">
        <v>46</v>
      </c>
      <c r="S4406" t="n">
        <v>1290000</v>
      </c>
      <c r="T4406" t="n">
        <v>3225</v>
      </c>
      <c r="U4406" t="n">
        <v>645000</v>
      </c>
      <c r="AH4406" t="inlineStr">
        <is>
          <t>Quelle: Pollentia Properties</t>
        </is>
      </c>
    </row>
    <row r="4407">
      <c r="A4407" t="n">
        <v>4220</v>
      </c>
      <c r="B4407" t="inlineStr">
        <is>
          <t>Apartment for sale in Palma, brand new property in seafront location</t>
        </is>
      </c>
      <c r="C4407" t="inlineStr">
        <is>
          <t>https://www.pollentiaproperties.com/en/property/id/920041-apartment-for-sale-palma-brand-new-property-amazing-views</t>
        </is>
      </c>
      <c r="E4407" t="n">
        <v>2</v>
      </c>
      <c r="H4407" t="n">
        <v>135</v>
      </c>
      <c r="J4407" t="inlineStr">
        <is>
          <t>Paseo Marítimo</t>
        </is>
      </c>
      <c r="K4407" t="n">
        <v>10.9</v>
      </c>
      <c r="L4407" t="n">
        <v>17</v>
      </c>
      <c r="M4407" t="n">
        <v>53.7</v>
      </c>
      <c r="N4407" t="n">
        <v>50</v>
      </c>
      <c r="O4407" t="n">
        <v>29.9</v>
      </c>
      <c r="P4407" t="n">
        <v>32</v>
      </c>
      <c r="Q4407" t="n">
        <v>51.4</v>
      </c>
      <c r="R4407" t="n">
        <v>46</v>
      </c>
      <c r="S4407" t="n">
        <v>1200000</v>
      </c>
      <c r="T4407" t="n">
        <v>8889</v>
      </c>
      <c r="AH4407" t="inlineStr">
        <is>
          <t>Quelle: Pollentia Properties</t>
        </is>
      </c>
    </row>
    <row r="4408">
      <c r="A4408" t="n">
        <v>4221</v>
      </c>
      <c r="B4408" t="inlineStr">
        <is>
          <t>Town house for sale in Pollença renovation project for a home or commercial premises</t>
        </is>
      </c>
      <c r="C4408" t="inlineStr">
        <is>
          <t>https://www.pollentiaproperties.com/en/property/id/919949-town-house-for-sale-pollensa-renovation-project-prime-location</t>
        </is>
      </c>
      <c r="G4408" t="n">
        <v>69</v>
      </c>
      <c r="H4408" t="n">
        <v>93</v>
      </c>
      <c r="J4408" t="inlineStr">
        <is>
          <t>El Calvari</t>
        </is>
      </c>
      <c r="S4408" t="n">
        <v>480000</v>
      </c>
      <c r="T4408" t="n">
        <v>5161</v>
      </c>
      <c r="U4408" t="n">
        <v>6957</v>
      </c>
      <c r="AH4408" t="inlineStr">
        <is>
          <t>Quelle: Pollentia Properties</t>
        </is>
      </c>
    </row>
    <row r="4409">
      <c r="A4409" t="n">
        <v>4222</v>
      </c>
      <c r="B4409" t="inlineStr">
        <is>
          <t>Apartment for sale in Puerto Pollença, in great location with terrace</t>
        </is>
      </c>
      <c r="C4409" t="inlineStr">
        <is>
          <t>https://www.pollentiaproperties.com/en/property/id/919889-apartment-for-sale-puerto-pollensa-great-location-terrace</t>
        </is>
      </c>
      <c r="E4409" t="n">
        <v>3</v>
      </c>
      <c r="H4409" t="n">
        <v>109</v>
      </c>
      <c r="J4409" t="inlineStr">
        <is>
          <t>Port de Pollença</t>
        </is>
      </c>
      <c r="AH4409" t="inlineStr">
        <is>
          <t>Quelle: Pollentia Properties</t>
        </is>
      </c>
    </row>
    <row r="4410">
      <c r="A4410" t="n">
        <v>4223</v>
      </c>
      <c r="B4410" t="inlineStr">
        <is>
          <t>Villa for sale in Bonaire nearing completion in amazing location</t>
        </is>
      </c>
      <c r="C4410" t="inlineStr">
        <is>
          <t>https://www.pollentiaproperties.com/en/property/id/919675-villa-for-sale-bonaire-nearing-completion-amazing-location</t>
        </is>
      </c>
      <c r="E4410" t="n">
        <v>3</v>
      </c>
      <c r="G4410" t="n">
        <v>558</v>
      </c>
      <c r="H4410" t="n">
        <v>100</v>
      </c>
      <c r="J4410" t="inlineStr">
        <is>
          <t>Bonaire</t>
        </is>
      </c>
      <c r="S4410" t="n">
        <v>950000</v>
      </c>
      <c r="T4410" t="n">
        <v>9500</v>
      </c>
      <c r="U4410" t="n">
        <v>1703</v>
      </c>
      <c r="AH4410" t="inlineStr">
        <is>
          <t>Quelle: Pollentia Properties</t>
        </is>
      </c>
    </row>
    <row r="4411">
      <c r="A4411" t="n">
        <v>4224</v>
      </c>
      <c r="B4411" t="inlineStr">
        <is>
          <t>Apartment for sale in Palma, renovation project</t>
        </is>
      </c>
      <c r="C4411" t="inlineStr">
        <is>
          <t>https://www.pollentiaproperties.com/en/property/id/919531-apartment-for-sale-palma-ideal-renovation-project</t>
        </is>
      </c>
      <c r="H4411" t="n">
        <v>173</v>
      </c>
      <c r="J4411" t="inlineStr">
        <is>
          <t>Palma de Mallorca</t>
        </is>
      </c>
      <c r="S4411" t="n">
        <v>890000</v>
      </c>
      <c r="T4411" t="n">
        <v>5145</v>
      </c>
      <c r="AH4411" t="inlineStr">
        <is>
          <t>Quelle: Pollentia Properties</t>
        </is>
      </c>
    </row>
    <row r="4412">
      <c r="A4412" t="n">
        <v>4225</v>
      </c>
      <c r="B4412" t="inlineStr">
        <is>
          <t>Vineyard for sale in Santa Margalida, with project</t>
        </is>
      </c>
      <c r="C4412" t="inlineStr">
        <is>
          <t>https://www.pollentiaproperties.com/en/property/id/919188-country-home-for-sale-santa-margalida-project-house-vineyard-olive-grove</t>
        </is>
      </c>
      <c r="G4412" t="n">
        <v>19</v>
      </c>
      <c r="H4412" t="n">
        <v>206</v>
      </c>
      <c r="J4412" t="inlineStr">
        <is>
          <t>Santa Margalida</t>
        </is>
      </c>
      <c r="S4412" t="n">
        <v>500000</v>
      </c>
      <c r="T4412" t="n">
        <v>2427</v>
      </c>
      <c r="U4412" t="n">
        <v>26316</v>
      </c>
      <c r="AH4412" t="inlineStr">
        <is>
          <t>Quelle: Pollentia Properties</t>
        </is>
      </c>
    </row>
    <row r="4413">
      <c r="A4413" t="n">
        <v>4226</v>
      </c>
      <c r="B4413" t="inlineStr">
        <is>
          <t>Country home for sale in Santa Margalida, construction costs seperate</t>
        </is>
      </c>
      <c r="C4413" t="inlineStr">
        <is>
          <t>https://www.pollentiaproperties.com/en/property/id/919105-country-home-for-sale-santa-margalida-project-house-vineyard-olive-grove</t>
        </is>
      </c>
      <c r="G4413" t="n">
        <v>19</v>
      </c>
      <c r="H4413" t="n">
        <v>206</v>
      </c>
      <c r="J4413" t="inlineStr">
        <is>
          <t>Santa Margalida</t>
        </is>
      </c>
      <c r="S4413" t="n">
        <v>500000</v>
      </c>
      <c r="T4413" t="n">
        <v>2427</v>
      </c>
      <c r="U4413" t="n">
        <v>26316</v>
      </c>
      <c r="AH4413" t="inlineStr">
        <is>
          <t>Quelle: Pollentia Properties</t>
        </is>
      </c>
    </row>
    <row r="4414">
      <c r="A4414" t="n">
        <v>4227</v>
      </c>
      <c r="B4414" t="inlineStr">
        <is>
          <t>Villa for sale in Bunyola newly built top quality</t>
        </is>
      </c>
      <c r="C4414" t="inlineStr">
        <is>
          <t>https://www.pollentiaproperties.com/en/property/id/918713-villa-for-sale-bunyola-new-build-top-quality</t>
        </is>
      </c>
      <c r="E4414" t="n">
        <v>5</v>
      </c>
      <c r="G4414" t="n">
        <v>1</v>
      </c>
      <c r="H4414" t="n">
        <v>425</v>
      </c>
      <c r="J4414" t="inlineStr">
        <is>
          <t>Bunyola</t>
        </is>
      </c>
      <c r="K4414" t="n">
        <v>26.3</v>
      </c>
      <c r="L4414" t="n">
        <v>25</v>
      </c>
      <c r="M4414" t="n">
        <v>69.09999999999999</v>
      </c>
      <c r="N4414" t="n">
        <v>58</v>
      </c>
      <c r="O4414" t="n">
        <v>48.9</v>
      </c>
      <c r="P4414" t="n">
        <v>41</v>
      </c>
      <c r="Q4414" t="n">
        <v>66.8</v>
      </c>
      <c r="R4414" t="n">
        <v>54</v>
      </c>
      <c r="S4414" t="n">
        <v>1950000</v>
      </c>
      <c r="T4414" t="n">
        <v>4588</v>
      </c>
      <c r="U4414" t="n">
        <v>1950000</v>
      </c>
      <c r="AH4414" t="inlineStr">
        <is>
          <t>Quelle: Pollentia Properties</t>
        </is>
      </c>
    </row>
    <row r="4415">
      <c r="A4415" t="n">
        <v>4228</v>
      </c>
      <c r="B4415" t="inlineStr">
        <is>
          <t>Penthouse for sale in Cala Vinyes luxury renovation</t>
        </is>
      </c>
      <c r="C4415" t="inlineStr">
        <is>
          <t>https://www.pollentiaproperties.com/en/property/id/918497-penthouse-for-sale-cala-vinyes-luxury-sea-views</t>
        </is>
      </c>
      <c r="E4415" t="n">
        <v>3</v>
      </c>
      <c r="H4415" t="n">
        <v>145</v>
      </c>
      <c r="J4415" t="inlineStr">
        <is>
          <t>Cala Vinyes</t>
        </is>
      </c>
      <c r="K4415" t="n">
        <v>31.5</v>
      </c>
      <c r="L4415" t="n">
        <v>31</v>
      </c>
      <c r="M4415" t="n">
        <v>74.3</v>
      </c>
      <c r="N4415" t="n">
        <v>64</v>
      </c>
      <c r="O4415" t="n">
        <v>20.4</v>
      </c>
      <c r="P4415" t="n">
        <v>25</v>
      </c>
      <c r="Q4415" t="n">
        <v>72</v>
      </c>
      <c r="R4415" t="n">
        <v>60</v>
      </c>
      <c r="S4415" t="n">
        <v>1690000</v>
      </c>
      <c r="T4415" t="n">
        <v>11655</v>
      </c>
      <c r="AH4415" t="inlineStr">
        <is>
          <t>Quelle: Pollentia Properties</t>
        </is>
      </c>
    </row>
    <row r="4416">
      <c r="A4416" t="n">
        <v>4229</v>
      </c>
      <c r="B4416" t="inlineStr">
        <is>
          <t>Country building plot for sale in Santanyí, with project and license</t>
        </is>
      </c>
      <c r="C4416" t="inlineStr">
        <is>
          <t>https://www.pollentiaproperties.com/en/property/id/918383-building-plot-for-sale-santanyi-project-license</t>
        </is>
      </c>
      <c r="G4416" t="n">
        <v>14</v>
      </c>
      <c r="J4416" t="inlineStr">
        <is>
          <t>Santanyí</t>
        </is>
      </c>
      <c r="K4416" t="n">
        <v>45.4</v>
      </c>
      <c r="L4416" t="n">
        <v>39</v>
      </c>
      <c r="M4416" t="n">
        <v>9</v>
      </c>
      <c r="N4416" t="n">
        <v>13</v>
      </c>
      <c r="O4416" t="n">
        <v>83.59999999999999</v>
      </c>
      <c r="P4416" t="n">
        <v>67</v>
      </c>
      <c r="Q4416" t="n">
        <v>9.699999999999999</v>
      </c>
      <c r="R4416" t="n">
        <v>15</v>
      </c>
      <c r="S4416" t="n">
        <v>1170000</v>
      </c>
      <c r="U4416" t="n">
        <v>83571</v>
      </c>
      <c r="AH4416" t="inlineStr">
        <is>
          <t>Quelle: Pollentia Properties</t>
        </is>
      </c>
    </row>
    <row r="4417">
      <c r="A4417" t="n">
        <v>4230</v>
      </c>
      <c r="B4417" t="inlineStr">
        <is>
          <t>Country house for sale in Andratx turnkey project currently under construction</t>
        </is>
      </c>
      <c r="C4417" t="inlineStr">
        <is>
          <t>https://www.pollentiaproperties.com/en/property/id/917786-country-house-for-sale-andratx-turnkey-project-garden-pool-great-location</t>
        </is>
      </c>
      <c r="E4417" t="n">
        <v>4</v>
      </c>
      <c r="G4417" t="n">
        <v>2</v>
      </c>
      <c r="H4417" t="n">
        <v>420</v>
      </c>
      <c r="J4417" t="inlineStr">
        <is>
          <t>Andratx</t>
        </is>
      </c>
      <c r="K4417" t="n">
        <v>40.3</v>
      </c>
      <c r="L4417" t="n">
        <v>36</v>
      </c>
      <c r="M4417" t="n">
        <v>83</v>
      </c>
      <c r="N4417" t="n">
        <v>68</v>
      </c>
      <c r="O4417" t="n">
        <v>2.7</v>
      </c>
      <c r="P4417" t="n">
        <v>7</v>
      </c>
      <c r="Q4417" t="n">
        <v>80.7</v>
      </c>
      <c r="R4417" t="n">
        <v>65</v>
      </c>
      <c r="S4417" t="n">
        <v>3950000</v>
      </c>
      <c r="T4417" t="n">
        <v>9405</v>
      </c>
      <c r="U4417" t="n">
        <v>1975000</v>
      </c>
      <c r="AH4417" t="inlineStr">
        <is>
          <t>Quelle: Pollentia Properties</t>
        </is>
      </c>
    </row>
    <row r="4418">
      <c r="A4418" t="n">
        <v>4231</v>
      </c>
      <c r="B4418" t="inlineStr">
        <is>
          <t>Apartment for sale in Santa Catalina in brand new development</t>
        </is>
      </c>
      <c r="C4418" t="inlineStr">
        <is>
          <t>https://www.pollentiaproperties.com/en/property/id/916961-apartment-for-sale-santa-catalina-ibrand-new-development</t>
        </is>
      </c>
      <c r="E4418" t="n">
        <v>1</v>
      </c>
      <c r="H4418" t="n">
        <v>100</v>
      </c>
      <c r="J4418" t="inlineStr">
        <is>
          <t>Santa Catalina</t>
        </is>
      </c>
      <c r="S4418" t="n">
        <v>789000</v>
      </c>
      <c r="T4418" t="n">
        <v>7890</v>
      </c>
      <c r="AH4418" t="inlineStr">
        <is>
          <t>Quelle: Pollentia Properties</t>
        </is>
      </c>
    </row>
    <row r="4419">
      <c r="A4419" t="n">
        <v>4232</v>
      </c>
      <c r="B4419" t="inlineStr">
        <is>
          <t>Apartment for sale in Santa Catalina in brand new development</t>
        </is>
      </c>
      <c r="C4419" t="inlineStr">
        <is>
          <t>https://www.pollentiaproperties.com/en/property/id/916960-apartment-for-sale-santa-catalina-brand-new-development</t>
        </is>
      </c>
      <c r="E4419" t="n">
        <v>1</v>
      </c>
      <c r="H4419" t="n">
        <v>83</v>
      </c>
      <c r="J4419" t="inlineStr">
        <is>
          <t>Santa Catalina</t>
        </is>
      </c>
      <c r="AH4419" t="inlineStr">
        <is>
          <t>Quelle: Pollentia Properties</t>
        </is>
      </c>
    </row>
    <row r="4420">
      <c r="A4420" t="n">
        <v>4233</v>
      </c>
      <c r="B4420" t="inlineStr">
        <is>
          <t>Penthouse for sale in Santa Catalina in brand new development</t>
        </is>
      </c>
      <c r="C4420" t="inlineStr">
        <is>
          <t>https://www.pollentiaproperties.com/en/property/id/916959-penthouse-for-sale-santa-catalina-brand-new-development</t>
        </is>
      </c>
      <c r="E4420" t="n">
        <v>3</v>
      </c>
      <c r="H4420" t="n">
        <v>267</v>
      </c>
      <c r="J4420" t="inlineStr">
        <is>
          <t>Santa Catalina</t>
        </is>
      </c>
      <c r="K4420" t="n">
        <v>11.2</v>
      </c>
      <c r="L4420" t="n">
        <v>19</v>
      </c>
      <c r="M4420" t="n">
        <v>54</v>
      </c>
      <c r="N4420" t="n">
        <v>51</v>
      </c>
      <c r="O4420" t="n">
        <v>29.1</v>
      </c>
      <c r="P4420" t="n">
        <v>31</v>
      </c>
      <c r="Q4420" t="n">
        <v>51.7</v>
      </c>
      <c r="R4420" t="n">
        <v>48</v>
      </c>
      <c r="S4420" t="n">
        <v>2599000</v>
      </c>
      <c r="T4420" t="n">
        <v>9734</v>
      </c>
      <c r="AH4420" t="inlineStr">
        <is>
          <t>Quelle: Pollentia Properties</t>
        </is>
      </c>
    </row>
    <row r="4421">
      <c r="A4421" t="n">
        <v>4234</v>
      </c>
      <c r="B4421" t="inlineStr">
        <is>
          <t>Penthouse for sale in Santa Catalina in brand new development</t>
        </is>
      </c>
      <c r="C4421" t="inlineStr">
        <is>
          <t>https://www.pollentiaproperties.com/en/property/id/916958-penthouse-for-sale-santa-catalina-brand-new-development</t>
        </is>
      </c>
      <c r="E4421" t="n">
        <v>2</v>
      </c>
      <c r="H4421" t="n">
        <v>234</v>
      </c>
      <c r="J4421" t="inlineStr">
        <is>
          <t>Santa Catalina</t>
        </is>
      </c>
      <c r="K4421" t="n">
        <v>11.2</v>
      </c>
      <c r="L4421" t="n">
        <v>19</v>
      </c>
      <c r="M4421" t="n">
        <v>54</v>
      </c>
      <c r="N4421" t="n">
        <v>51</v>
      </c>
      <c r="O4421" t="n">
        <v>29.1</v>
      </c>
      <c r="P4421" t="n">
        <v>31</v>
      </c>
      <c r="Q4421" t="n">
        <v>51.7</v>
      </c>
      <c r="R4421" t="n">
        <v>48</v>
      </c>
      <c r="S4421" t="n">
        <v>2399000</v>
      </c>
      <c r="T4421" t="n">
        <v>10252</v>
      </c>
      <c r="AH4421" t="inlineStr">
        <is>
          <t>Quelle: Pollentia Properties</t>
        </is>
      </c>
    </row>
    <row r="4422">
      <c r="A4422" t="n">
        <v>4235</v>
      </c>
      <c r="B4422" t="inlineStr">
        <is>
          <t>Apartment for sale in Santa Catalina in brand new development</t>
        </is>
      </c>
      <c r="C4422" t="inlineStr">
        <is>
          <t>https://www.pollentiaproperties.com/en/property/id/916957-apartment-for-sale-santa-catalina-brand-new-development</t>
        </is>
      </c>
      <c r="E4422" t="n">
        <v>1</v>
      </c>
      <c r="H4422" t="n">
        <v>84</v>
      </c>
      <c r="J4422" t="inlineStr">
        <is>
          <t>Santa Catalina</t>
        </is>
      </c>
      <c r="S4422" t="n">
        <v>599000</v>
      </c>
      <c r="T4422" t="n">
        <v>7131</v>
      </c>
      <c r="AH4422" t="inlineStr">
        <is>
          <t>Quelle: Pollentia Properties</t>
        </is>
      </c>
    </row>
    <row r="4423">
      <c r="A4423" t="n">
        <v>4236</v>
      </c>
      <c r="B4423" t="inlineStr">
        <is>
          <t>Apartment for sale in Santa Catalina in brand new development</t>
        </is>
      </c>
      <c r="C4423" t="inlineStr">
        <is>
          <t>https://www.pollentiaproperties.com/en/property/id/916956-apartment-for-sale-santa-catalina-brand-new-development</t>
        </is>
      </c>
      <c r="E4423" t="n">
        <v>1</v>
      </c>
      <c r="H4423" t="n">
        <v>97</v>
      </c>
      <c r="J4423" t="inlineStr">
        <is>
          <t>Santa Catalina</t>
        </is>
      </c>
      <c r="S4423" t="n">
        <v>699000</v>
      </c>
      <c r="T4423" t="n">
        <v>7206</v>
      </c>
      <c r="AH4423" t="inlineStr">
        <is>
          <t>Quelle: Pollentia Properties</t>
        </is>
      </c>
    </row>
    <row r="4424">
      <c r="A4424" t="n">
        <v>4237</v>
      </c>
      <c r="B4424" t="inlineStr">
        <is>
          <t>Apartment for sale in Santa Catalina in brand new development</t>
        </is>
      </c>
      <c r="C4424" t="inlineStr">
        <is>
          <t>https://www.pollentiaproperties.com/en/property/id/916955-apartment-for-sale-santa-catalina-brand-new-development</t>
        </is>
      </c>
      <c r="E4424" t="n">
        <v>1</v>
      </c>
      <c r="H4424" t="n">
        <v>73</v>
      </c>
      <c r="J4424" t="inlineStr">
        <is>
          <t>Santa Catalina</t>
        </is>
      </c>
      <c r="S4424" t="n">
        <v>559000</v>
      </c>
      <c r="T4424" t="n">
        <v>7658</v>
      </c>
      <c r="AH4424" t="inlineStr">
        <is>
          <t>Quelle: Pollentia Properties</t>
        </is>
      </c>
    </row>
    <row r="4425">
      <c r="A4425" t="n">
        <v>4238</v>
      </c>
      <c r="B4425" t="inlineStr">
        <is>
          <t>Country plot for sale in Santa Margalida with vineyard and project for a house</t>
        </is>
      </c>
      <c r="C4425" t="inlineStr">
        <is>
          <t>https://www.pollentiaproperties.com/en/property/id/916734-country-plot-for-sale-santa-margalida-project-house-vineyard-olive-grove</t>
        </is>
      </c>
      <c r="G4425" t="n">
        <v>19</v>
      </c>
      <c r="H4425" t="n">
        <v>206</v>
      </c>
      <c r="J4425" t="inlineStr">
        <is>
          <t>Santa Margalida</t>
        </is>
      </c>
      <c r="S4425" t="n">
        <v>500000</v>
      </c>
      <c r="T4425" t="n">
        <v>2427</v>
      </c>
      <c r="U4425" t="n">
        <v>26316</v>
      </c>
      <c r="AH4425" t="inlineStr">
        <is>
          <t>Quelle: Pollentia Properties</t>
        </is>
      </c>
    </row>
    <row r="4426">
      <c r="A4426" t="n">
        <v>4239</v>
      </c>
      <c r="B4426" t="inlineStr">
        <is>
          <t>Country building plot for sale in El Vila in Pollensa with fantastic views</t>
        </is>
      </c>
      <c r="C4426" t="inlineStr">
        <is>
          <t>https://www.pollentiaproperties.com/en/property/id/916645-building-plot-for-sale-el-vila-pollensa-fantastic-views</t>
        </is>
      </c>
      <c r="G4426" t="n">
        <v>19</v>
      </c>
      <c r="J4426" t="inlineStr">
        <is>
          <t>El Vila</t>
        </is>
      </c>
      <c r="K4426" t="n">
        <v>64.90000000000001</v>
      </c>
      <c r="L4426" t="n">
        <v>49</v>
      </c>
      <c r="M4426" t="n">
        <v>83.09999999999999</v>
      </c>
      <c r="N4426" t="n">
        <v>76</v>
      </c>
      <c r="O4426" t="n">
        <v>87.5</v>
      </c>
      <c r="P4426" t="n">
        <v>65</v>
      </c>
      <c r="Q4426" t="n">
        <v>80.8</v>
      </c>
      <c r="R4426" t="n">
        <v>72</v>
      </c>
      <c r="S4426" t="n">
        <v>1275000</v>
      </c>
      <c r="U4426" t="n">
        <v>67105</v>
      </c>
      <c r="AH4426" t="inlineStr">
        <is>
          <t>Quelle: Pollentia Properties</t>
        </is>
      </c>
    </row>
    <row r="4427">
      <c r="A4427" t="n">
        <v>4240</v>
      </c>
      <c r="B4427" t="inlineStr">
        <is>
          <t>Apartment for sale in Palma, exquisitely refurbished in great location</t>
        </is>
      </c>
      <c r="C4427" t="inlineStr">
        <is>
          <t>https://www.pollentiaproperties.com/en/property/id/916612-apartment-for-sale-palma-exquisitely-refurbished-great-locatin</t>
        </is>
      </c>
      <c r="E4427" t="n">
        <v>3</v>
      </c>
      <c r="H4427" t="n">
        <v>160</v>
      </c>
      <c r="J4427" t="inlineStr">
        <is>
          <t>Paseo Marítimo</t>
        </is>
      </c>
      <c r="K4427" t="n">
        <v>10.9</v>
      </c>
      <c r="L4427" t="n">
        <v>17</v>
      </c>
      <c r="M4427" t="n">
        <v>53.7</v>
      </c>
      <c r="N4427" t="n">
        <v>50</v>
      </c>
      <c r="O4427" t="n">
        <v>29.9</v>
      </c>
      <c r="P4427" t="n">
        <v>32</v>
      </c>
      <c r="Q4427" t="n">
        <v>51.4</v>
      </c>
      <c r="R4427" t="n">
        <v>46</v>
      </c>
      <c r="S4427" t="n">
        <v>2045000</v>
      </c>
      <c r="T4427" t="n">
        <v>12781</v>
      </c>
      <c r="AH4427" t="inlineStr">
        <is>
          <t>Quelle: Pollentia Properties</t>
        </is>
      </c>
    </row>
    <row r="4428">
      <c r="A4428" t="n">
        <v>4241</v>
      </c>
      <c r="B4428" t="inlineStr">
        <is>
          <t>Townhouse for sale in Pollença in historic centre</t>
        </is>
      </c>
      <c r="C4428" t="inlineStr">
        <is>
          <t>https://www.pollentiaproperties.com/en/property/id/916505-townhouse-for-sale-pollensa-old-town-renovated-immediate-occupancy</t>
        </is>
      </c>
      <c r="E4428" t="n">
        <v>3</v>
      </c>
      <c r="G4428" t="n">
        <v>57</v>
      </c>
      <c r="H4428" t="n">
        <v>122</v>
      </c>
      <c r="J4428" t="inlineStr">
        <is>
          <t>Pollença Pueblo</t>
        </is>
      </c>
      <c r="S4428" t="n">
        <v>520000</v>
      </c>
      <c r="T4428" t="n">
        <v>4262</v>
      </c>
      <c r="U4428" t="n">
        <v>9123</v>
      </c>
      <c r="AH4428" t="inlineStr">
        <is>
          <t>Quelle: Pollentia Properties</t>
        </is>
      </c>
    </row>
    <row r="4429">
      <c r="A4429" t="n">
        <v>4242</v>
      </c>
      <c r="B4429" t="inlineStr">
        <is>
          <t>Country house for sale in Puntiró with fantastic features</t>
        </is>
      </c>
      <c r="C4429" t="inlineStr">
        <is>
          <t>https://www.pollentiaproperties.com/en/property/id/916191-country-house-for-sale-puntiro-fantastic-features</t>
        </is>
      </c>
      <c r="E4429" t="n">
        <v>4</v>
      </c>
      <c r="G4429" t="n">
        <v>7</v>
      </c>
      <c r="H4429" t="n">
        <v>490</v>
      </c>
      <c r="J4429" t="inlineStr">
        <is>
          <t>Puntiró</t>
        </is>
      </c>
      <c r="K4429" t="n">
        <v>16.7</v>
      </c>
      <c r="L4429" t="n">
        <v>21</v>
      </c>
      <c r="M4429" t="n">
        <v>53.4</v>
      </c>
      <c r="N4429" t="n">
        <v>52</v>
      </c>
      <c r="O4429" t="n">
        <v>47</v>
      </c>
      <c r="P4429" t="n">
        <v>43</v>
      </c>
      <c r="Q4429" t="n">
        <v>51.1</v>
      </c>
      <c r="R4429" t="n">
        <v>48</v>
      </c>
      <c r="S4429" t="n">
        <v>2900000</v>
      </c>
      <c r="T4429" t="n">
        <v>5918</v>
      </c>
      <c r="U4429" t="n">
        <v>414286</v>
      </c>
      <c r="AH4429" t="inlineStr">
        <is>
          <t>Quelle: Pollentia Properties</t>
        </is>
      </c>
    </row>
    <row r="4430">
      <c r="A4430" t="n">
        <v>4243</v>
      </c>
      <c r="B4430" t="inlineStr">
        <is>
          <t>Building plot for sale in Las Palmeras, Llucmajor with project and license</t>
        </is>
      </c>
      <c r="C4430" t="inlineStr">
        <is>
          <t>https://www.pollentiaproperties.com/en/property/id/916188-building-plot-for-sale-las-palmeras-project-license-house-garden-pool</t>
        </is>
      </c>
      <c r="G4430" t="n">
        <v>611</v>
      </c>
      <c r="J4430" t="inlineStr">
        <is>
          <t>Las Palmeras</t>
        </is>
      </c>
      <c r="S4430" t="n">
        <v>330000</v>
      </c>
      <c r="U4430" t="n">
        <v>540</v>
      </c>
      <c r="AH4430" t="inlineStr">
        <is>
          <t>Quelle: Pollentia Properties</t>
        </is>
      </c>
    </row>
    <row r="4431">
      <c r="A4431" t="n">
        <v>4244</v>
      </c>
      <c r="B4431" t="inlineStr">
        <is>
          <t>Country house for sale in Pollença with traditional local charm</t>
        </is>
      </c>
      <c r="C4431" t="inlineStr">
        <is>
          <t>https://www.pollentiaproperties.com/en/property/id/916105-country-house-for-sale-pollensa-traditional-local-charm-garden-pool</t>
        </is>
      </c>
      <c r="E4431" t="n">
        <v>4</v>
      </c>
      <c r="G4431" t="n">
        <v>3</v>
      </c>
      <c r="H4431" t="n">
        <v>372</v>
      </c>
      <c r="J4431" t="inlineStr">
        <is>
          <t>Pollença</t>
        </is>
      </c>
      <c r="K4431" t="n">
        <v>60.6</v>
      </c>
      <c r="L4431" t="n">
        <v>47</v>
      </c>
      <c r="M4431" t="n">
        <v>78.7</v>
      </c>
      <c r="N4431" t="n">
        <v>74</v>
      </c>
      <c r="O4431" t="n">
        <v>83.2</v>
      </c>
      <c r="P4431" t="n">
        <v>63</v>
      </c>
      <c r="Q4431" t="n">
        <v>76.40000000000001</v>
      </c>
      <c r="R4431" t="n">
        <v>70</v>
      </c>
      <c r="S4431" t="n">
        <v>2500000</v>
      </c>
      <c r="T4431" t="n">
        <v>6720</v>
      </c>
      <c r="U4431" t="n">
        <v>833333</v>
      </c>
      <c r="AH4431" t="inlineStr">
        <is>
          <t>Quelle: Pollentia Properties</t>
        </is>
      </c>
    </row>
    <row r="4432">
      <c r="A4432" t="n">
        <v>4245</v>
      </c>
      <c r="B4432" t="inlineStr">
        <is>
          <t>Semi detached villas for sale in Cala Romantica to be built</t>
        </is>
      </c>
      <c r="C4432" t="inlineStr">
        <is>
          <t>https://www.pollentiaproperties.com/en/property/id/915940-villa-for-sale-cala-romantica-complex-project-great-location</t>
        </is>
      </c>
      <c r="E4432" t="n">
        <v>3</v>
      </c>
      <c r="H4432" t="n">
        <v>155</v>
      </c>
      <c r="J4432" t="inlineStr">
        <is>
          <t>Cala Romàntica</t>
        </is>
      </c>
      <c r="S4432" t="n">
        <v>525000</v>
      </c>
      <c r="T4432" t="n">
        <v>3387</v>
      </c>
      <c r="AH4432" t="inlineStr">
        <is>
          <t>Quelle: Pollentia Properties</t>
        </is>
      </c>
    </row>
    <row r="4433">
      <c r="A4433" t="n">
        <v>4246</v>
      </c>
      <c r="B4433" t="inlineStr">
        <is>
          <t>Semi detached villas for sale in Cala Romantica to be built</t>
        </is>
      </c>
      <c r="C4433" t="inlineStr">
        <is>
          <t>https://www.pollentiaproperties.com/en/property/id/915939-villa-for-sale-cala-romantica-complex-project-great-location</t>
        </is>
      </c>
      <c r="E4433" t="n">
        <v>3</v>
      </c>
      <c r="H4433" t="n">
        <v>155</v>
      </c>
      <c r="J4433" t="inlineStr">
        <is>
          <t>Cala Romàntica</t>
        </is>
      </c>
      <c r="S4433" t="n">
        <v>497000</v>
      </c>
      <c r="T4433" t="n">
        <v>3206</v>
      </c>
      <c r="AH4433" t="inlineStr">
        <is>
          <t>Quelle: Pollentia Properties</t>
        </is>
      </c>
    </row>
    <row r="4434">
      <c r="A4434" t="n">
        <v>4247</v>
      </c>
      <c r="B4434" t="inlineStr">
        <is>
          <t>Semi detached villas for sale in Cala Romantica to be built</t>
        </is>
      </c>
      <c r="C4434" t="inlineStr">
        <is>
          <t>https://www.pollentiaproperties.com/en/property/id/915938-villa-for-sale-cala-romantica-complex-project-great-location</t>
        </is>
      </c>
      <c r="E4434" t="n">
        <v>3</v>
      </c>
      <c r="H4434" t="n">
        <v>155</v>
      </c>
      <c r="J4434" t="inlineStr">
        <is>
          <t>Cala Romàntica</t>
        </is>
      </c>
      <c r="S4434" t="n">
        <v>493000</v>
      </c>
      <c r="T4434" t="n">
        <v>3181</v>
      </c>
      <c r="AH4434" t="inlineStr">
        <is>
          <t>Quelle: Pollentia Properties</t>
        </is>
      </c>
    </row>
    <row r="4435">
      <c r="A4435" t="n">
        <v>4248</v>
      </c>
      <c r="B4435" t="inlineStr">
        <is>
          <t>Semi detached villas for sale in Cala Romantica to be built</t>
        </is>
      </c>
      <c r="C4435" t="inlineStr">
        <is>
          <t>https://www.pollentiaproperties.com/en/property/id/915937-villa-for-sale-cala-romantica-complex-project-great-location</t>
        </is>
      </c>
      <c r="E4435" t="n">
        <v>4</v>
      </c>
      <c r="H4435" t="n">
        <v>195</v>
      </c>
      <c r="J4435" t="inlineStr">
        <is>
          <t>Cala Romàntica</t>
        </is>
      </c>
      <c r="S4435" t="n">
        <v>768000</v>
      </c>
      <c r="T4435" t="n">
        <v>3938</v>
      </c>
      <c r="AH4435" t="inlineStr">
        <is>
          <t>Quelle: Pollentia Properties</t>
        </is>
      </c>
    </row>
    <row r="4436">
      <c r="A4436" t="n">
        <v>4249</v>
      </c>
      <c r="B4436" t="inlineStr">
        <is>
          <t>Semi detached villas for sale in Cala Romantica to be built</t>
        </is>
      </c>
      <c r="C4436" t="inlineStr">
        <is>
          <t>https://www.pollentiaproperties.com/en/property/id/915936-villa-for-sale-cala-romantica-complex-project-great-location</t>
        </is>
      </c>
      <c r="E4436" t="n">
        <v>4</v>
      </c>
      <c r="H4436" t="n">
        <v>195</v>
      </c>
      <c r="J4436" t="inlineStr">
        <is>
          <t>Cala Romàntica</t>
        </is>
      </c>
      <c r="S4436" t="n">
        <v>777000</v>
      </c>
      <c r="T4436" t="n">
        <v>3985</v>
      </c>
      <c r="AH4436" t="inlineStr">
        <is>
          <t>Quelle: Pollentia Properties</t>
        </is>
      </c>
    </row>
    <row r="4437">
      <c r="A4437" t="n">
        <v>4250</v>
      </c>
      <c r="B4437" t="inlineStr">
        <is>
          <t>Semi detached villas for sale in Cala Romantica to be built</t>
        </is>
      </c>
      <c r="C4437" t="inlineStr">
        <is>
          <t>https://www.pollentiaproperties.com/en/property/id/915935-villa-for-sale-cala-romantica-complex-project-great-location</t>
        </is>
      </c>
      <c r="E4437" t="n">
        <v>4</v>
      </c>
      <c r="H4437" t="n">
        <v>195</v>
      </c>
      <c r="J4437" t="inlineStr">
        <is>
          <t>Cala Romàntica</t>
        </is>
      </c>
      <c r="S4437" t="n">
        <v>763000</v>
      </c>
      <c r="T4437" t="n">
        <v>3913</v>
      </c>
      <c r="AH4437" t="inlineStr">
        <is>
          <t>Quelle: Pollentia Properties</t>
        </is>
      </c>
    </row>
    <row r="4438">
      <c r="A4438" t="n">
        <v>4251</v>
      </c>
      <c r="B4438" t="inlineStr">
        <is>
          <t>Semi detached villas for sale in Cala Romantica to be built</t>
        </is>
      </c>
      <c r="C4438" t="inlineStr">
        <is>
          <t>https://www.pollentiaproperties.com/en/property/id/915934-villa-for-sale-cala-romantica-complex-project-great-location</t>
        </is>
      </c>
      <c r="E4438" t="n">
        <v>3</v>
      </c>
      <c r="H4438" t="n">
        <v>154</v>
      </c>
      <c r="J4438" t="inlineStr">
        <is>
          <t>Cala Romàntica</t>
        </is>
      </c>
      <c r="AH4438" t="inlineStr">
        <is>
          <t>Quelle: Pollentia Properties</t>
        </is>
      </c>
    </row>
    <row r="4439">
      <c r="A4439" t="n">
        <v>4252</v>
      </c>
      <c r="B4439" t="inlineStr">
        <is>
          <t>Semi detached villas for sale in Cala Romantica to be built</t>
        </is>
      </c>
      <c r="C4439" t="inlineStr">
        <is>
          <t>https://www.pollentiaproperties.com/en/property/id/915933-villa-for-sale-cala-romantica-complex-project-great-location</t>
        </is>
      </c>
      <c r="E4439" t="n">
        <v>3</v>
      </c>
      <c r="H4439" t="n">
        <v>154</v>
      </c>
      <c r="J4439" t="inlineStr">
        <is>
          <t>Cala Romàntica</t>
        </is>
      </c>
      <c r="AH4439" t="inlineStr">
        <is>
          <t>Quelle: Pollentia Properties</t>
        </is>
      </c>
    </row>
    <row r="4440">
      <c r="A4440" t="n">
        <v>4253</v>
      </c>
      <c r="B4440" t="inlineStr">
        <is>
          <t>Semi detached villas for sale in Cala Romantica to be built</t>
        </is>
      </c>
      <c r="C4440" t="inlineStr">
        <is>
          <t>https://www.pollentiaproperties.com/en/property/id/915932-villa-for-sale-cala-romantica-complex-project-great-location</t>
        </is>
      </c>
      <c r="E4440" t="n">
        <v>3</v>
      </c>
      <c r="H4440" t="n">
        <v>154</v>
      </c>
      <c r="J4440" t="inlineStr">
        <is>
          <t>Cala Romàntica</t>
        </is>
      </c>
      <c r="S4440" t="n">
        <v>475000</v>
      </c>
      <c r="T4440" t="n">
        <v>3084</v>
      </c>
      <c r="AH4440" t="inlineStr">
        <is>
          <t>Quelle: Pollentia Properties</t>
        </is>
      </c>
    </row>
    <row r="4441">
      <c r="A4441" t="n">
        <v>4254</v>
      </c>
      <c r="B4441" t="inlineStr">
        <is>
          <t>Semi detached villas for sale in Cala Romantica to be built</t>
        </is>
      </c>
      <c r="C4441" t="inlineStr">
        <is>
          <t>https://www.pollentiaproperties.com/en/property/id/915931-villa-for-sale-cala-romantica-complex-project-great-location</t>
        </is>
      </c>
      <c r="E4441" t="n">
        <v>3</v>
      </c>
      <c r="H4441" t="n">
        <v>154</v>
      </c>
      <c r="J4441" t="inlineStr">
        <is>
          <t>Cala Romàntica</t>
        </is>
      </c>
      <c r="S4441" t="n">
        <v>491000</v>
      </c>
      <c r="T4441" t="n">
        <v>3188</v>
      </c>
      <c r="AH4441" t="inlineStr">
        <is>
          <t>Quelle: Pollentia Properties</t>
        </is>
      </c>
    </row>
    <row r="4442">
      <c r="A4442" t="n">
        <v>4255</v>
      </c>
      <c r="B4442" t="inlineStr">
        <is>
          <t>Semi detached villas for sale in Cala Romantica to be built</t>
        </is>
      </c>
      <c r="C4442" t="inlineStr">
        <is>
          <t>https://www.pollentiaproperties.com/en/property/id/915930-villa-for-sale-cala-romantica-complex-project-great-location</t>
        </is>
      </c>
      <c r="E4442" t="n">
        <v>3</v>
      </c>
      <c r="H4442" t="n">
        <v>154</v>
      </c>
      <c r="J4442" t="inlineStr">
        <is>
          <t>Cala Romàntica</t>
        </is>
      </c>
      <c r="S4442" t="n">
        <v>489000</v>
      </c>
      <c r="T4442" t="n">
        <v>3175</v>
      </c>
      <c r="AH4442" t="inlineStr">
        <is>
          <t>Quelle: Pollentia Properties</t>
        </is>
      </c>
    </row>
    <row r="4443">
      <c r="A4443" t="n">
        <v>4256</v>
      </c>
      <c r="B4443" t="inlineStr">
        <is>
          <t>Semi detached villas for sale in Cala Romantica to be built</t>
        </is>
      </c>
      <c r="C4443" t="inlineStr">
        <is>
          <t>https://www.pollentiaproperties.com/en/property/id/915929-villa-for-sale-cala-romantica-complex-project-great-location</t>
        </is>
      </c>
      <c r="E4443" t="n">
        <v>3</v>
      </c>
      <c r="H4443" t="n">
        <v>154</v>
      </c>
      <c r="J4443" t="inlineStr">
        <is>
          <t>Cala Romàntica</t>
        </is>
      </c>
      <c r="S4443" t="n">
        <v>485000</v>
      </c>
      <c r="T4443" t="n">
        <v>3149</v>
      </c>
      <c r="AH4443" t="inlineStr">
        <is>
          <t>Quelle: Pollentia Properties</t>
        </is>
      </c>
    </row>
    <row r="4444">
      <c r="A4444" t="n">
        <v>4257</v>
      </c>
      <c r="B4444" t="inlineStr">
        <is>
          <t>Semi detached villas for sale in Cala Romantica to be built</t>
        </is>
      </c>
      <c r="C4444" t="inlineStr">
        <is>
          <t>https://www.pollentiaproperties.com/en/property/id/915928-villa-for-sale-cala-romantica-complex-project-great-location</t>
        </is>
      </c>
      <c r="E4444" t="n">
        <v>3</v>
      </c>
      <c r="H4444" t="n">
        <v>154</v>
      </c>
      <c r="J4444" t="inlineStr">
        <is>
          <t>Cala Romàntica</t>
        </is>
      </c>
      <c r="S4444" t="n">
        <v>493000</v>
      </c>
      <c r="T4444" t="n">
        <v>3201</v>
      </c>
      <c r="AH4444" t="inlineStr">
        <is>
          <t>Quelle: Pollentia Properties</t>
        </is>
      </c>
    </row>
    <row r="4445">
      <c r="A4445" t="n">
        <v>4258</v>
      </c>
      <c r="B4445" t="inlineStr">
        <is>
          <t>Semi detached villas for sale in Cala Romantica to be built</t>
        </is>
      </c>
      <c r="C4445" t="inlineStr">
        <is>
          <t>https://www.pollentiaproperties.com/en/property/id/915927-villa-for-sale-cala-romantica-complex-project-great-location</t>
        </is>
      </c>
      <c r="E4445" t="n">
        <v>3</v>
      </c>
      <c r="H4445" t="n">
        <v>130</v>
      </c>
      <c r="J4445" t="inlineStr">
        <is>
          <t>Cala Romàntica</t>
        </is>
      </c>
      <c r="S4445" t="n">
        <v>519000</v>
      </c>
      <c r="T4445" t="n">
        <v>3992</v>
      </c>
      <c r="AH4445" t="inlineStr">
        <is>
          <t>Quelle: Pollentia Properties</t>
        </is>
      </c>
    </row>
    <row r="4446">
      <c r="A4446" t="n">
        <v>4259</v>
      </c>
      <c r="B4446" t="inlineStr">
        <is>
          <t>Semi detached villas for sale in Cala Romantica to be built</t>
        </is>
      </c>
      <c r="C4446" t="inlineStr">
        <is>
          <t>https://www.pollentiaproperties.com/en/property/id/915926-villa-for-sale-cala-romantica-complex-project-great-location</t>
        </is>
      </c>
      <c r="E4446" t="n">
        <v>3</v>
      </c>
      <c r="H4446" t="n">
        <v>130</v>
      </c>
      <c r="J4446" t="inlineStr">
        <is>
          <t>Cala Romàntica</t>
        </is>
      </c>
      <c r="S4446" t="n">
        <v>506000</v>
      </c>
      <c r="T4446" t="n">
        <v>3892</v>
      </c>
      <c r="AH4446" t="inlineStr">
        <is>
          <t>Quelle: Pollentia Properties</t>
        </is>
      </c>
    </row>
    <row r="4447">
      <c r="A4447" t="n">
        <v>4260</v>
      </c>
      <c r="B4447" t="inlineStr">
        <is>
          <t>Semi detached villas for sale in Cala Romantica to be built</t>
        </is>
      </c>
      <c r="C4447" t="inlineStr">
        <is>
          <t>https://www.pollentiaproperties.com/en/property/id/915924-villa-for-sale-cala-romantica-complex-project-great-location</t>
        </is>
      </c>
      <c r="E4447" t="n">
        <v>3</v>
      </c>
      <c r="H4447" t="n">
        <v>130</v>
      </c>
      <c r="J4447" t="inlineStr">
        <is>
          <t>Cala Romàntica</t>
        </is>
      </c>
      <c r="S4447" t="n">
        <v>492000</v>
      </c>
      <c r="T4447" t="n">
        <v>3785</v>
      </c>
      <c r="AH4447" t="inlineStr">
        <is>
          <t>Quelle: Pollentia Properties</t>
        </is>
      </c>
    </row>
    <row r="4448">
      <c r="A4448" t="n">
        <v>4261</v>
      </c>
      <c r="B4448" t="inlineStr">
        <is>
          <t>Semi detached villas for sale in Cala Romantica to be built</t>
        </is>
      </c>
      <c r="C4448" t="inlineStr">
        <is>
          <t>https://www.pollentiaproperties.com/en/property/id/915923-villa-for-sale-cala-romantica-complex-project-great-location</t>
        </is>
      </c>
      <c r="E4448" t="n">
        <v>3</v>
      </c>
      <c r="H4448" t="n">
        <v>130</v>
      </c>
      <c r="J4448" t="inlineStr">
        <is>
          <t>Cala Romàntica</t>
        </is>
      </c>
      <c r="S4448" t="n">
        <v>515000</v>
      </c>
      <c r="T4448" t="n">
        <v>3962</v>
      </c>
      <c r="AH4448" t="inlineStr">
        <is>
          <t>Quelle: Pollentia Properties</t>
        </is>
      </c>
    </row>
    <row r="4449">
      <c r="A4449" t="n">
        <v>4262</v>
      </c>
      <c r="B4449" t="inlineStr">
        <is>
          <t>Semi detached villas for sale in Cala Romantica to be built</t>
        </is>
      </c>
      <c r="C4449" t="inlineStr">
        <is>
          <t>https://www.pollentiaproperties.com/en/property/id/915922-villa-for-sale-cala-romantica-complex-project-great-location</t>
        </is>
      </c>
      <c r="E4449" t="n">
        <v>3</v>
      </c>
      <c r="H4449" t="n">
        <v>130</v>
      </c>
      <c r="J4449" t="inlineStr">
        <is>
          <t>Cala Romàntica</t>
        </is>
      </c>
      <c r="S4449" t="n">
        <v>496000</v>
      </c>
      <c r="T4449" t="n">
        <v>3815</v>
      </c>
      <c r="AH4449" t="inlineStr">
        <is>
          <t>Quelle: Pollentia Properties</t>
        </is>
      </c>
    </row>
    <row r="4450">
      <c r="A4450" t="n">
        <v>4263</v>
      </c>
      <c r="B4450" t="inlineStr">
        <is>
          <t>Semi detached villas for sale in Cala Romantica to be built</t>
        </is>
      </c>
      <c r="C4450" t="inlineStr">
        <is>
          <t>https://www.pollentiaproperties.com/en/property/id/915921-villa-for-sale-cala-romantica-complex-project-great-location</t>
        </is>
      </c>
      <c r="E4450" t="n">
        <v>4</v>
      </c>
      <c r="H4450" t="n">
        <v>195</v>
      </c>
      <c r="J4450" t="inlineStr">
        <is>
          <t>Cala Romàntica</t>
        </is>
      </c>
      <c r="S4450" t="n">
        <v>778000</v>
      </c>
      <c r="T4450" t="n">
        <v>3990</v>
      </c>
      <c r="AH4450" t="inlineStr">
        <is>
          <t>Quelle: Pollentia Properties</t>
        </is>
      </c>
    </row>
    <row r="4451">
      <c r="A4451" t="n">
        <v>4264</v>
      </c>
      <c r="B4451" t="inlineStr">
        <is>
          <t>Semi detached villas for sale in Cala Romantica to be built</t>
        </is>
      </c>
      <c r="C4451" t="inlineStr">
        <is>
          <t>https://www.pollentiaproperties.com/en/property/id/915920-villa-for-sale-cala-romantica-complex-project-great-location</t>
        </is>
      </c>
      <c r="E4451" t="n">
        <v>4</v>
      </c>
      <c r="H4451" t="n">
        <v>195</v>
      </c>
      <c r="J4451" t="inlineStr">
        <is>
          <t>Cala Romàntica</t>
        </is>
      </c>
      <c r="S4451" t="n">
        <v>745000</v>
      </c>
      <c r="T4451" t="n">
        <v>3821</v>
      </c>
      <c r="AH4451" t="inlineStr">
        <is>
          <t>Quelle: Pollentia Properties</t>
        </is>
      </c>
    </row>
    <row r="4452">
      <c r="A4452" t="n">
        <v>4265</v>
      </c>
      <c r="B4452" t="inlineStr">
        <is>
          <t>Semi detached villas for sale in Cala Romantica to be built</t>
        </is>
      </c>
      <c r="C4452" t="inlineStr">
        <is>
          <t>https://www.pollentiaproperties.com/en/property/id/915918-villa-for-sale-cala-romantica-complex-project-great-location</t>
        </is>
      </c>
      <c r="E4452" t="n">
        <v>4</v>
      </c>
      <c r="H4452" t="n">
        <v>195</v>
      </c>
      <c r="J4452" t="inlineStr">
        <is>
          <t>Cala Romàntica</t>
        </is>
      </c>
      <c r="S4452" t="n">
        <v>751000</v>
      </c>
      <c r="T4452" t="n">
        <v>3851</v>
      </c>
      <c r="AH4452" t="inlineStr">
        <is>
          <t>Quelle: Pollentia Properties</t>
        </is>
      </c>
    </row>
    <row r="4453">
      <c r="A4453" t="n">
        <v>4266</v>
      </c>
      <c r="B4453" t="inlineStr">
        <is>
          <t>Apartment for sale in Palma, Mallorca in stunning area of Portixol</t>
        </is>
      </c>
      <c r="C4453" t="inlineStr">
        <is>
          <t>https://www.pollentiaproperties.com/en/property/id/915834-apartment-for-sale-palma-exclusive-complex-community-garden-pool</t>
        </is>
      </c>
      <c r="E4453" t="n">
        <v>2</v>
      </c>
      <c r="H4453" t="n">
        <v>129</v>
      </c>
      <c r="J4453" t="inlineStr">
        <is>
          <t>Palma de Mallorca</t>
        </is>
      </c>
      <c r="K4453" t="n">
        <v>9.699999999999999</v>
      </c>
      <c r="L4453" t="n">
        <v>14</v>
      </c>
      <c r="M4453" t="n">
        <v>52.5</v>
      </c>
      <c r="N4453" t="n">
        <v>47</v>
      </c>
      <c r="O4453" t="n">
        <v>32.1</v>
      </c>
      <c r="P4453" t="n">
        <v>36</v>
      </c>
      <c r="Q4453" t="n">
        <v>50.2</v>
      </c>
      <c r="R4453" t="n">
        <v>44</v>
      </c>
      <c r="S4453" t="n">
        <v>1950000</v>
      </c>
      <c r="T4453" t="n">
        <v>15116</v>
      </c>
      <c r="AH4453" t="inlineStr">
        <is>
          <t>Quelle: Pollentia Properties</t>
        </is>
      </c>
    </row>
    <row r="4454">
      <c r="A4454" t="n">
        <v>4267</v>
      </c>
      <c r="B4454" t="inlineStr">
        <is>
          <t>Apartment for sale in Palma, Mallorca in stunning area of Portixol</t>
        </is>
      </c>
      <c r="C4454" t="inlineStr">
        <is>
          <t>https://www.pollentiaproperties.com/en/property/id/915833-apartment-for-sale-palma-exclusive-complex-community-garden-pool</t>
        </is>
      </c>
      <c r="E4454" t="n">
        <v>3</v>
      </c>
      <c r="H4454" t="n">
        <v>412</v>
      </c>
      <c r="J4454" t="inlineStr">
        <is>
          <t>Palma de Mallorca</t>
        </is>
      </c>
      <c r="K4454" t="n">
        <v>9.699999999999999</v>
      </c>
      <c r="L4454" t="n">
        <v>14</v>
      </c>
      <c r="M4454" t="n">
        <v>52.5</v>
      </c>
      <c r="N4454" t="n">
        <v>47</v>
      </c>
      <c r="O4454" t="n">
        <v>32.1</v>
      </c>
      <c r="P4454" t="n">
        <v>36</v>
      </c>
      <c r="Q4454" t="n">
        <v>50.2</v>
      </c>
      <c r="R4454" t="n">
        <v>44</v>
      </c>
      <c r="S4454" t="n">
        <v>2800000</v>
      </c>
      <c r="T4454" t="n">
        <v>6796</v>
      </c>
      <c r="AH4454" t="inlineStr">
        <is>
          <t>Quelle: Pollentia Properties</t>
        </is>
      </c>
    </row>
    <row r="4455">
      <c r="A4455" t="n">
        <v>4268</v>
      </c>
      <c r="B4455" t="inlineStr">
        <is>
          <t>Apartment for sale in Santa Catalina in brand new development</t>
        </is>
      </c>
      <c r="C4455" t="inlineStr">
        <is>
          <t>https://www.pollentiaproperties.com/en/property/id/915667-apartment-for-sale-santa-catalina-brand-new-development</t>
        </is>
      </c>
      <c r="E4455" t="n">
        <v>1</v>
      </c>
      <c r="H4455" t="n">
        <v>82</v>
      </c>
      <c r="J4455" t="inlineStr">
        <is>
          <t>Santa Catalina</t>
        </is>
      </c>
      <c r="S4455" t="n">
        <v>549000</v>
      </c>
      <c r="T4455" t="n">
        <v>6695</v>
      </c>
      <c r="AH4455" t="inlineStr">
        <is>
          <t>Quelle: Pollentia Properties</t>
        </is>
      </c>
    </row>
    <row r="4456">
      <c r="A4456" t="n">
        <v>4269</v>
      </c>
      <c r="B4456" t="inlineStr">
        <is>
          <t>Apartment for sale in Santa Catalina in brand new development</t>
        </is>
      </c>
      <c r="C4456" t="inlineStr">
        <is>
          <t>https://www.pollentiaproperties.com/en/property/id/915666-apartment-for-sale-santa-catalina-brand-new-development</t>
        </is>
      </c>
      <c r="E4456" t="n">
        <v>1</v>
      </c>
      <c r="H4456" t="n">
        <v>106</v>
      </c>
      <c r="J4456" t="inlineStr">
        <is>
          <t>Santa Catalina</t>
        </is>
      </c>
      <c r="S4456" t="n">
        <v>699000</v>
      </c>
      <c r="T4456" t="n">
        <v>6594</v>
      </c>
      <c r="AH4456" t="inlineStr">
        <is>
          <t>Quelle: Pollentia Properties</t>
        </is>
      </c>
    </row>
    <row r="4457">
      <c r="A4457" t="n">
        <v>4270</v>
      </c>
      <c r="B4457" t="inlineStr">
        <is>
          <t>Apartment for sale in Santa Catalina in brand new development</t>
        </is>
      </c>
      <c r="C4457" t="inlineStr">
        <is>
          <t>https://www.pollentiaproperties.com/en/property/id/915665-apartment-for-sale-santa-catalina-brand-new-development</t>
        </is>
      </c>
      <c r="E4457" t="n">
        <v>1</v>
      </c>
      <c r="H4457" t="n">
        <v>73</v>
      </c>
      <c r="J4457" t="inlineStr">
        <is>
          <t>Santa Catalina</t>
        </is>
      </c>
      <c r="S4457" t="n">
        <v>499000</v>
      </c>
      <c r="T4457" t="n">
        <v>6836</v>
      </c>
      <c r="AH4457" t="inlineStr">
        <is>
          <t>Quelle: Pollentia Properties</t>
        </is>
      </c>
    </row>
    <row r="4458">
      <c r="A4458" t="n">
        <v>4271</v>
      </c>
      <c r="B4458" t="inlineStr">
        <is>
          <t>Villa for sale in Sa Ràpita, currently under construction</t>
        </is>
      </c>
      <c r="C4458" t="inlineStr">
        <is>
          <t>https://www.pollentiaproperties.com/en/property/id/915652-villa-for-sale-sa-rapita-currently-under-construction-innovative-design</t>
        </is>
      </c>
      <c r="E4458" t="n">
        <v>3</v>
      </c>
      <c r="G4458" t="n">
        <v>730</v>
      </c>
      <c r="H4458" t="n">
        <v>365</v>
      </c>
      <c r="J4458" t="inlineStr">
        <is>
          <t>La Rapita</t>
        </is>
      </c>
      <c r="K4458" t="n">
        <v>37.4</v>
      </c>
      <c r="L4458" t="n">
        <v>34</v>
      </c>
      <c r="M4458" t="n">
        <v>17.3</v>
      </c>
      <c r="N4458" t="n">
        <v>22</v>
      </c>
      <c r="O4458" t="n">
        <v>75.59999999999999</v>
      </c>
      <c r="P4458" t="n">
        <v>61</v>
      </c>
      <c r="Q4458" t="n">
        <v>15</v>
      </c>
      <c r="R4458" t="n">
        <v>19</v>
      </c>
      <c r="S4458" t="n">
        <v>1920000</v>
      </c>
      <c r="T4458" t="n">
        <v>5260</v>
      </c>
      <c r="U4458" t="n">
        <v>2630</v>
      </c>
      <c r="AH4458" t="inlineStr">
        <is>
          <t>Quelle: Pollentia Properties</t>
        </is>
      </c>
    </row>
    <row r="4459">
      <c r="A4459" t="n">
        <v>4272</v>
      </c>
      <c r="B4459" t="inlineStr">
        <is>
          <t>Apartment for sale in Santa Catalina in brand new development</t>
        </is>
      </c>
      <c r="C4459" t="inlineStr">
        <is>
          <t>https://www.pollentiaproperties.com/en/property/id/915571-apartment-for-sale-santa-catalina-brand-new-development</t>
        </is>
      </c>
      <c r="E4459" t="n">
        <v>1</v>
      </c>
      <c r="H4459" t="n">
        <v>74</v>
      </c>
      <c r="J4459" t="inlineStr">
        <is>
          <t>Santa Catalina</t>
        </is>
      </c>
      <c r="S4459" t="n">
        <v>599000</v>
      </c>
      <c r="T4459" t="n">
        <v>8095</v>
      </c>
      <c r="AH4459" t="inlineStr">
        <is>
          <t>Quelle: Pollentia Properties</t>
        </is>
      </c>
    </row>
    <row r="4460">
      <c r="A4460" t="n">
        <v>4273</v>
      </c>
      <c r="B4460" t="inlineStr">
        <is>
          <t>Apartments for sale in Palma, in new and innovative complex in Nou Llevant</t>
        </is>
      </c>
      <c r="C4460" t="inlineStr">
        <is>
          <t>https://www.pollentiaproperties.com/en/property/id/915278-apartment-for-sale-palma-new-innovative-complex-nou-llevant</t>
        </is>
      </c>
      <c r="H4460" t="n">
        <v>165</v>
      </c>
      <c r="J4460" t="inlineStr">
        <is>
          <t>Palma de Mallorca</t>
        </is>
      </c>
      <c r="S4460" t="n">
        <v>725000</v>
      </c>
      <c r="T4460" t="n">
        <v>4394</v>
      </c>
      <c r="AH4460" t="inlineStr">
        <is>
          <t>Quelle: Pollentia Properties</t>
        </is>
      </c>
    </row>
    <row r="4461">
      <c r="A4461" t="n">
        <v>4274</v>
      </c>
      <c r="B4461" t="inlineStr">
        <is>
          <t>Apartments for sale in Palma, in new and innovative complex in Nou Llevant</t>
        </is>
      </c>
      <c r="C4461" t="inlineStr">
        <is>
          <t>https://www.pollentiaproperties.com/en/property/id/915277-apartment-for-sale-palma-new-innovative-complex-nou-llevant</t>
        </is>
      </c>
      <c r="E4461" t="n">
        <v>2</v>
      </c>
      <c r="H4461" t="n">
        <v>120</v>
      </c>
      <c r="J4461" t="inlineStr">
        <is>
          <t>Palma de Mallorca</t>
        </is>
      </c>
      <c r="K4461" t="n">
        <v>9.699999999999999</v>
      </c>
      <c r="L4461" t="n">
        <v>14</v>
      </c>
      <c r="M4461" t="n">
        <v>52.5</v>
      </c>
      <c r="N4461" t="n">
        <v>47</v>
      </c>
      <c r="O4461" t="n">
        <v>32.1</v>
      </c>
      <c r="P4461" t="n">
        <v>36</v>
      </c>
      <c r="Q4461" t="n">
        <v>50.2</v>
      </c>
      <c r="R4461" t="n">
        <v>44</v>
      </c>
      <c r="S4461" t="n">
        <v>2525000</v>
      </c>
      <c r="T4461" t="n">
        <v>21042</v>
      </c>
      <c r="AH4461" t="inlineStr">
        <is>
          <t>Quelle: Pollentia Properties</t>
        </is>
      </c>
    </row>
    <row r="4462">
      <c r="A4462" t="n">
        <v>4275</v>
      </c>
      <c r="B4462" t="inlineStr">
        <is>
          <t>Apartments for sale in Palma, in new and innovative complex in Nou Llevant</t>
        </is>
      </c>
      <c r="C4462" t="inlineStr">
        <is>
          <t>https://www.pollentiaproperties.com/en/property/id/915276-appartment-for-sale-palma-new-innovative-complex-nou-llevant</t>
        </is>
      </c>
      <c r="E4462" t="n">
        <v>1</v>
      </c>
      <c r="H4462" t="n">
        <v>78</v>
      </c>
      <c r="J4462" t="inlineStr">
        <is>
          <t>Palma de Mallorca</t>
        </is>
      </c>
      <c r="K4462" t="n">
        <v>9.699999999999999</v>
      </c>
      <c r="L4462" t="n">
        <v>14</v>
      </c>
      <c r="M4462" t="n">
        <v>52.5</v>
      </c>
      <c r="N4462" t="n">
        <v>47</v>
      </c>
      <c r="O4462" t="n">
        <v>32.1</v>
      </c>
      <c r="P4462" t="n">
        <v>36</v>
      </c>
      <c r="Q4462" t="n">
        <v>50.2</v>
      </c>
      <c r="R4462" t="n">
        <v>44</v>
      </c>
      <c r="S4462" t="n">
        <v>1225000</v>
      </c>
      <c r="T4462" t="n">
        <v>15705</v>
      </c>
      <c r="AH4462" t="inlineStr">
        <is>
          <t>Quelle: Pollentia Properties</t>
        </is>
      </c>
    </row>
    <row r="4463">
      <c r="A4463" t="n">
        <v>4276</v>
      </c>
      <c r="B4463" t="inlineStr">
        <is>
          <t>Apartments for sale in Palma, in new and innovative complex in Nou Llevant</t>
        </is>
      </c>
      <c r="C4463" t="inlineStr">
        <is>
          <t>https://www.pollentiaproperties.com/en/property/id/915275-apartment-for-sale-palma-new-innovative-complex-nou-llevant</t>
        </is>
      </c>
      <c r="E4463" t="n">
        <v>2</v>
      </c>
      <c r="H4463" t="n">
        <v>78</v>
      </c>
      <c r="J4463" t="inlineStr">
        <is>
          <t>Palma de Mallorca</t>
        </is>
      </c>
      <c r="S4463" t="n">
        <v>990000</v>
      </c>
      <c r="T4463" t="n">
        <v>12692</v>
      </c>
      <c r="AH4463" t="inlineStr">
        <is>
          <t>Quelle: Pollentia Properties</t>
        </is>
      </c>
    </row>
    <row r="4464">
      <c r="A4464" t="n">
        <v>4277</v>
      </c>
      <c r="B4464" t="inlineStr">
        <is>
          <t>Apartments for sale in Palma, in new and innovative complex in Nou Llevant</t>
        </is>
      </c>
      <c r="C4464" t="inlineStr">
        <is>
          <t>https://www.pollentiaproperties.com/en/property/id/915274-apartment-for-sale-palma-new-innovative-complex-nou-llevant</t>
        </is>
      </c>
      <c r="E4464" t="n">
        <v>2</v>
      </c>
      <c r="H4464" t="n">
        <v>94</v>
      </c>
      <c r="J4464" t="inlineStr">
        <is>
          <t>Palma de Mallorca</t>
        </is>
      </c>
      <c r="K4464" t="n">
        <v>9.699999999999999</v>
      </c>
      <c r="L4464" t="n">
        <v>14</v>
      </c>
      <c r="M4464" t="n">
        <v>52.5</v>
      </c>
      <c r="N4464" t="n">
        <v>47</v>
      </c>
      <c r="O4464" t="n">
        <v>32.1</v>
      </c>
      <c r="P4464" t="n">
        <v>36</v>
      </c>
      <c r="Q4464" t="n">
        <v>50.2</v>
      </c>
      <c r="R4464" t="n">
        <v>44</v>
      </c>
      <c r="S4464" t="n">
        <v>2225000</v>
      </c>
      <c r="T4464" t="n">
        <v>23670</v>
      </c>
      <c r="AH4464" t="inlineStr">
        <is>
          <t>Quelle: Pollentia Properties</t>
        </is>
      </c>
    </row>
    <row r="4465">
      <c r="A4465" t="n">
        <v>4278</v>
      </c>
      <c r="B4465" t="inlineStr">
        <is>
          <t>Apartments for sale in Palma, in new and innovative complex in Nou Llevant</t>
        </is>
      </c>
      <c r="C4465" t="inlineStr">
        <is>
          <t>https://www.pollentiaproperties.com/en/property/id/915273-apartment-for-sale-palma-new-innovative-complex-nou-llevant</t>
        </is>
      </c>
      <c r="E4465" t="n">
        <v>2</v>
      </c>
      <c r="H4465" t="n">
        <v>96</v>
      </c>
      <c r="J4465" t="inlineStr">
        <is>
          <t>Palma de Mallorca</t>
        </is>
      </c>
      <c r="K4465" t="n">
        <v>9.699999999999999</v>
      </c>
      <c r="L4465" t="n">
        <v>14</v>
      </c>
      <c r="M4465" t="n">
        <v>52.5</v>
      </c>
      <c r="N4465" t="n">
        <v>47</v>
      </c>
      <c r="O4465" t="n">
        <v>32.1</v>
      </c>
      <c r="P4465" t="n">
        <v>36</v>
      </c>
      <c r="Q4465" t="n">
        <v>50.2</v>
      </c>
      <c r="R4465" t="n">
        <v>44</v>
      </c>
      <c r="S4465" t="n">
        <v>1940000</v>
      </c>
      <c r="T4465" t="n">
        <v>20208</v>
      </c>
      <c r="AH4465" t="inlineStr">
        <is>
          <t>Quelle: Pollentia Properties</t>
        </is>
      </c>
    </row>
    <row r="4466">
      <c r="A4466" t="n">
        <v>4279</v>
      </c>
      <c r="B4466" t="inlineStr">
        <is>
          <t>Apartments for sale in Palma, in new and innovative complex in Nou Llevant</t>
        </is>
      </c>
      <c r="C4466" t="inlineStr">
        <is>
          <t>https://www.pollentiaproperties.com/en/property/id/915272-apartment-for-sale-palma-new-innovative-complex-nou-llevant</t>
        </is>
      </c>
      <c r="E4466" t="n">
        <v>2</v>
      </c>
      <c r="H4466" t="n">
        <v>93</v>
      </c>
      <c r="J4466" t="inlineStr">
        <is>
          <t>Palma de Mallorca</t>
        </is>
      </c>
      <c r="K4466" t="n">
        <v>9.699999999999999</v>
      </c>
      <c r="L4466" t="n">
        <v>14</v>
      </c>
      <c r="M4466" t="n">
        <v>52.5</v>
      </c>
      <c r="N4466" t="n">
        <v>47</v>
      </c>
      <c r="O4466" t="n">
        <v>32.1</v>
      </c>
      <c r="P4466" t="n">
        <v>36</v>
      </c>
      <c r="Q4466" t="n">
        <v>50.2</v>
      </c>
      <c r="R4466" t="n">
        <v>44</v>
      </c>
      <c r="S4466" t="n">
        <v>1250000</v>
      </c>
      <c r="T4466" t="n">
        <v>13441</v>
      </c>
      <c r="AH4466" t="inlineStr">
        <is>
          <t>Quelle: Pollentia Properties</t>
        </is>
      </c>
    </row>
    <row r="4467">
      <c r="A4467" t="n">
        <v>4280</v>
      </c>
      <c r="B4467" t="inlineStr">
        <is>
          <t>Apartments for sale in Palma, in new and innovative complex in Nou Llevant</t>
        </is>
      </c>
      <c r="C4467" t="inlineStr">
        <is>
          <t>https://www.pollentiaproperties.com/en/property/id/915271-apartment-for-sale-palma-new-innovative-complex-nou-llevant</t>
        </is>
      </c>
      <c r="E4467" t="n">
        <v>1</v>
      </c>
      <c r="H4467" t="n">
        <v>62</v>
      </c>
      <c r="J4467" t="inlineStr">
        <is>
          <t>Palma de Mallorca</t>
        </is>
      </c>
      <c r="S4467" t="n">
        <v>740000</v>
      </c>
      <c r="T4467" t="n">
        <v>11935</v>
      </c>
      <c r="AH4467" t="inlineStr">
        <is>
          <t>Quelle: Pollentia Properties</t>
        </is>
      </c>
    </row>
    <row r="4468">
      <c r="A4468" t="n">
        <v>4281</v>
      </c>
      <c r="B4468" t="inlineStr">
        <is>
          <t>Apartments for sale in Palma, in new and innovative complex in Nou Llevant</t>
        </is>
      </c>
      <c r="C4468" t="inlineStr">
        <is>
          <t>https://www.pollentiaproperties.com/en/property/id/915270-apartment-for-sale-palma-new-innovative-complex-nou-llevant</t>
        </is>
      </c>
      <c r="E4468" t="n">
        <v>2</v>
      </c>
      <c r="H4468" t="n">
        <v>78</v>
      </c>
      <c r="J4468" t="inlineStr">
        <is>
          <t>Palma de Mallorca</t>
        </is>
      </c>
      <c r="S4468" t="n">
        <v>980000</v>
      </c>
      <c r="T4468" t="n">
        <v>12564</v>
      </c>
      <c r="AH4468" t="inlineStr">
        <is>
          <t>Quelle: Pollentia Properties</t>
        </is>
      </c>
    </row>
    <row r="4469">
      <c r="A4469" t="n">
        <v>4282</v>
      </c>
      <c r="B4469" t="inlineStr">
        <is>
          <t>Apartments for sale in Palma, in new and innovative complex in Nou Llevant</t>
        </is>
      </c>
      <c r="C4469" t="inlineStr">
        <is>
          <t>https://www.pollentiaproperties.com/en/property/id/915268-apartment-for-sale-palma-new-innovative-complex-nou-llevant</t>
        </is>
      </c>
      <c r="E4469" t="n">
        <v>2</v>
      </c>
      <c r="H4469" t="n">
        <v>87</v>
      </c>
      <c r="J4469" t="inlineStr">
        <is>
          <t>Palma de Mallorca</t>
        </is>
      </c>
      <c r="K4469" t="n">
        <v>9.699999999999999</v>
      </c>
      <c r="L4469" t="n">
        <v>14</v>
      </c>
      <c r="M4469" t="n">
        <v>52.5</v>
      </c>
      <c r="N4469" t="n">
        <v>47</v>
      </c>
      <c r="O4469" t="n">
        <v>32.1</v>
      </c>
      <c r="P4469" t="n">
        <v>36</v>
      </c>
      <c r="Q4469" t="n">
        <v>50.2</v>
      </c>
      <c r="R4469" t="n">
        <v>44</v>
      </c>
      <c r="S4469" t="n">
        <v>1105000</v>
      </c>
      <c r="T4469" t="n">
        <v>12701</v>
      </c>
      <c r="AH4469" t="inlineStr">
        <is>
          <t>Quelle: Pollentia Properties</t>
        </is>
      </c>
    </row>
    <row r="4470">
      <c r="A4470" t="n">
        <v>4283</v>
      </c>
      <c r="B4470" t="inlineStr">
        <is>
          <t>Apartments for sale in Palma, in new and innovative complex in Nou Llevant</t>
        </is>
      </c>
      <c r="C4470" t="inlineStr">
        <is>
          <t>https://www.pollentiaproperties.com/en/property/id/915267-apartment-for-sale-palma-new-innovative-complex-nou-llevant</t>
        </is>
      </c>
      <c r="E4470" t="n">
        <v>4</v>
      </c>
      <c r="H4470" t="n">
        <v>207</v>
      </c>
      <c r="J4470" t="inlineStr">
        <is>
          <t>Palma de Mallorca</t>
        </is>
      </c>
      <c r="K4470" t="n">
        <v>9.699999999999999</v>
      </c>
      <c r="L4470" t="n">
        <v>14</v>
      </c>
      <c r="M4470" t="n">
        <v>52.5</v>
      </c>
      <c r="N4470" t="n">
        <v>47</v>
      </c>
      <c r="O4470" t="n">
        <v>32.1</v>
      </c>
      <c r="P4470" t="n">
        <v>36</v>
      </c>
      <c r="Q4470" t="n">
        <v>50.2</v>
      </c>
      <c r="R4470" t="n">
        <v>44</v>
      </c>
      <c r="S4470" t="n">
        <v>3225000</v>
      </c>
      <c r="T4470" t="n">
        <v>15580</v>
      </c>
      <c r="AH4470" t="inlineStr">
        <is>
          <t>Quelle: Pollentia Properties</t>
        </is>
      </c>
    </row>
    <row r="4471">
      <c r="A4471" t="n">
        <v>4284</v>
      </c>
      <c r="B4471" t="inlineStr">
        <is>
          <t>Apartments for sale in Palma, in new and innovative complex in Nou Llevant</t>
        </is>
      </c>
      <c r="C4471" t="inlineStr">
        <is>
          <t>https://www.pollentiaproperties.com/en/property/id/915266-apartment-for-sale-palma-new-innovative-complex-nou-llevant</t>
        </is>
      </c>
      <c r="E4471" t="n">
        <v>3</v>
      </c>
      <c r="H4471" t="n">
        <v>150</v>
      </c>
      <c r="J4471" t="inlineStr">
        <is>
          <t>Palma de Mallorca</t>
        </is>
      </c>
      <c r="K4471" t="n">
        <v>9.699999999999999</v>
      </c>
      <c r="L4471" t="n">
        <v>14</v>
      </c>
      <c r="M4471" t="n">
        <v>52.5</v>
      </c>
      <c r="N4471" t="n">
        <v>47</v>
      </c>
      <c r="O4471" t="n">
        <v>32.1</v>
      </c>
      <c r="P4471" t="n">
        <v>36</v>
      </c>
      <c r="Q4471" t="n">
        <v>50.2</v>
      </c>
      <c r="R4471" t="n">
        <v>44</v>
      </c>
      <c r="S4471" t="n">
        <v>2925000</v>
      </c>
      <c r="T4471" t="n">
        <v>19500</v>
      </c>
      <c r="AH4471" t="inlineStr">
        <is>
          <t>Quelle: Pollentia Properties</t>
        </is>
      </c>
    </row>
    <row r="4472">
      <c r="A4472" t="n">
        <v>4285</v>
      </c>
      <c r="B4472" t="inlineStr">
        <is>
          <t>Apartments for sale in Palma, in new and innovative complex in Nou Llevant</t>
        </is>
      </c>
      <c r="C4472" t="inlineStr">
        <is>
          <t>https://www.pollentiaproperties.com/en/property/id/915265-apartment-for-sale-palma-new-innovative-complex-nou-llevant</t>
        </is>
      </c>
      <c r="E4472" t="n">
        <v>2</v>
      </c>
      <c r="H4472" t="n">
        <v>78</v>
      </c>
      <c r="J4472" t="inlineStr">
        <is>
          <t>Palma de Mallorca</t>
        </is>
      </c>
      <c r="S4472" t="n">
        <v>965000</v>
      </c>
      <c r="T4472" t="n">
        <v>12372</v>
      </c>
      <c r="AH4472" t="inlineStr">
        <is>
          <t>Quelle: Pollentia Properties</t>
        </is>
      </c>
    </row>
    <row r="4473">
      <c r="A4473" t="n">
        <v>4286</v>
      </c>
      <c r="B4473" t="inlineStr">
        <is>
          <t>Apartments for sale in Palma, in new and innovative complex in Nou Llevant</t>
        </is>
      </c>
      <c r="C4473" t="inlineStr">
        <is>
          <t>https://www.pollentiaproperties.com/en/property/id/915264-apartment-for-sale-palma-new-innovative-complex-nou-llevant</t>
        </is>
      </c>
      <c r="E4473" t="n">
        <v>2</v>
      </c>
      <c r="H4473" t="n">
        <v>87</v>
      </c>
      <c r="J4473" t="inlineStr">
        <is>
          <t>Palma de Mallorca</t>
        </is>
      </c>
      <c r="S4473" t="n">
        <v>980000</v>
      </c>
      <c r="T4473" t="n">
        <v>11264</v>
      </c>
      <c r="AH4473" t="inlineStr">
        <is>
          <t>Quelle: Pollentia Properties</t>
        </is>
      </c>
    </row>
    <row r="4474">
      <c r="A4474" t="n">
        <v>4287</v>
      </c>
      <c r="B4474" t="inlineStr">
        <is>
          <t>Apartments for sale in Palma, in new and innovative complex in Nou Llevant</t>
        </is>
      </c>
      <c r="C4474" t="inlineStr">
        <is>
          <t>https://www.pollentiaproperties.com/en/property/id/915263-apartment-for-sale-palma-new-innovative-complex-nou-llevant</t>
        </is>
      </c>
      <c r="E4474" t="n">
        <v>3</v>
      </c>
      <c r="H4474" t="n">
        <v>141</v>
      </c>
      <c r="J4474" t="inlineStr">
        <is>
          <t>Palma de Mallorca</t>
        </is>
      </c>
      <c r="K4474" t="n">
        <v>9.699999999999999</v>
      </c>
      <c r="L4474" t="n">
        <v>14</v>
      </c>
      <c r="M4474" t="n">
        <v>52.5</v>
      </c>
      <c r="N4474" t="n">
        <v>47</v>
      </c>
      <c r="O4474" t="n">
        <v>32.1</v>
      </c>
      <c r="P4474" t="n">
        <v>36</v>
      </c>
      <c r="Q4474" t="n">
        <v>50.2</v>
      </c>
      <c r="R4474" t="n">
        <v>44</v>
      </c>
      <c r="S4474" t="n">
        <v>2525000</v>
      </c>
      <c r="T4474" t="n">
        <v>17908</v>
      </c>
      <c r="AH4474" t="inlineStr">
        <is>
          <t>Quelle: Pollentia Properties</t>
        </is>
      </c>
    </row>
    <row r="4475">
      <c r="A4475" t="n">
        <v>4288</v>
      </c>
      <c r="B4475" t="inlineStr">
        <is>
          <t>Apartments for sale in Palma, in new and innovative complex in Nou Llevant</t>
        </is>
      </c>
      <c r="C4475" t="inlineStr">
        <is>
          <t>https://www.pollentiaproperties.com/en/property/id/915262-apartment-for-sale-palma-new-innovative-complex-nou-llevant</t>
        </is>
      </c>
      <c r="E4475" t="n">
        <v>3</v>
      </c>
      <c r="H4475" t="n">
        <v>142</v>
      </c>
      <c r="J4475" t="inlineStr">
        <is>
          <t>Palma de Mallorca</t>
        </is>
      </c>
      <c r="AH4475" t="inlineStr">
        <is>
          <t>Quelle: Pollentia Properties</t>
        </is>
      </c>
    </row>
    <row r="4476">
      <c r="A4476" t="n">
        <v>4289</v>
      </c>
      <c r="B4476" t="inlineStr">
        <is>
          <t>Apartments for sale in Palma, in new and innovative complex in Nou Llevant</t>
        </is>
      </c>
      <c r="C4476" t="inlineStr">
        <is>
          <t>https://www.pollentiaproperties.com/en/property/id/915261-apartment-for-sale-palma-new-innovative-complex-nou-llevant</t>
        </is>
      </c>
      <c r="E4476" t="n">
        <v>3</v>
      </c>
      <c r="H4476" t="n">
        <v>134</v>
      </c>
      <c r="J4476" t="inlineStr">
        <is>
          <t>Palma de Mallorca</t>
        </is>
      </c>
      <c r="K4476" t="n">
        <v>9.699999999999999</v>
      </c>
      <c r="L4476" t="n">
        <v>14</v>
      </c>
      <c r="M4476" t="n">
        <v>52.5</v>
      </c>
      <c r="N4476" t="n">
        <v>47</v>
      </c>
      <c r="O4476" t="n">
        <v>32.1</v>
      </c>
      <c r="P4476" t="n">
        <v>36</v>
      </c>
      <c r="Q4476" t="n">
        <v>50.2</v>
      </c>
      <c r="R4476" t="n">
        <v>44</v>
      </c>
      <c r="S4476" t="n">
        <v>1790000</v>
      </c>
      <c r="T4476" t="n">
        <v>13358</v>
      </c>
      <c r="AH4476" t="inlineStr">
        <is>
          <t>Quelle: Pollentia Properties</t>
        </is>
      </c>
    </row>
    <row r="4477">
      <c r="A4477" t="n">
        <v>4290</v>
      </c>
      <c r="B4477" t="inlineStr">
        <is>
          <t>Apartments for sale in Palma, in new and innovative complex in Nou Llevant</t>
        </is>
      </c>
      <c r="C4477" t="inlineStr">
        <is>
          <t>https://www.pollentiaproperties.com/en/property/id/915260-apartment-for-sale-palma-new-innovative-complex-nou-llevant</t>
        </is>
      </c>
      <c r="E4477" t="n">
        <v>2</v>
      </c>
      <c r="H4477" t="n">
        <v>85</v>
      </c>
      <c r="J4477" t="inlineStr">
        <is>
          <t>Palma de Mallorca</t>
        </is>
      </c>
      <c r="S4477" t="n">
        <v>770000</v>
      </c>
      <c r="T4477" t="n">
        <v>9059</v>
      </c>
      <c r="AH4477" t="inlineStr">
        <is>
          <t>Quelle: Pollentia Properties</t>
        </is>
      </c>
    </row>
    <row r="4478">
      <c r="A4478" t="n">
        <v>4291</v>
      </c>
      <c r="B4478" t="inlineStr">
        <is>
          <t>Apartments for sale in Palma, in new and innovative complex in Nou Llevant</t>
        </is>
      </c>
      <c r="C4478" t="inlineStr">
        <is>
          <t>https://www.pollentiaproperties.com/en/property/id/915259-apartment-for-sale-palma-new-innovative-complex-nou-llevant</t>
        </is>
      </c>
      <c r="E4478" t="n">
        <v>2</v>
      </c>
      <c r="H4478" t="n">
        <v>95</v>
      </c>
      <c r="J4478" t="inlineStr">
        <is>
          <t>Palma de Mallorca</t>
        </is>
      </c>
      <c r="K4478" t="n">
        <v>9.699999999999999</v>
      </c>
      <c r="L4478" t="n">
        <v>14</v>
      </c>
      <c r="M4478" t="n">
        <v>52.5</v>
      </c>
      <c r="N4478" t="n">
        <v>47</v>
      </c>
      <c r="O4478" t="n">
        <v>32.1</v>
      </c>
      <c r="P4478" t="n">
        <v>36</v>
      </c>
      <c r="Q4478" t="n">
        <v>50.2</v>
      </c>
      <c r="R4478" t="n">
        <v>44</v>
      </c>
      <c r="S4478" t="n">
        <v>1150000</v>
      </c>
      <c r="T4478" t="n">
        <v>12105</v>
      </c>
      <c r="AH4478" t="inlineStr">
        <is>
          <t>Quelle: Pollentia Properties</t>
        </is>
      </c>
    </row>
    <row r="4479">
      <c r="A4479" t="n">
        <v>4292</v>
      </c>
      <c r="B4479" t="inlineStr">
        <is>
          <t>New build flat for sale in a prime location in Palma</t>
        </is>
      </c>
      <c r="C4479" t="inlineStr">
        <is>
          <t>https://www.pollentiaproperties.com/en/property/id/915258-apartment-for-sale-palma-new-innovative-complex-nou-llevant</t>
        </is>
      </c>
      <c r="E4479" t="n">
        <v>2</v>
      </c>
      <c r="H4479" t="n">
        <v>78</v>
      </c>
      <c r="J4479" t="inlineStr">
        <is>
          <t>Palma de Mallorca</t>
        </is>
      </c>
      <c r="S4479" t="n">
        <v>755000</v>
      </c>
      <c r="T4479" t="n">
        <v>9679</v>
      </c>
      <c r="AH4479" t="inlineStr">
        <is>
          <t>Quelle: Pollentia Properties</t>
        </is>
      </c>
    </row>
    <row r="4480">
      <c r="A4480" t="n">
        <v>4293</v>
      </c>
      <c r="B4480" t="inlineStr">
        <is>
          <t>Apartments for sale in Palma, in new and innovative complex in Nou Llevant</t>
        </is>
      </c>
      <c r="C4480" t="inlineStr">
        <is>
          <t>https://www.pollentiaproperties.com/en/property/id/915257-apartment-for-sale-palma-new-innovative-complex-nou-llevant</t>
        </is>
      </c>
      <c r="E4480" t="n">
        <v>2</v>
      </c>
      <c r="H4480" t="n">
        <v>87</v>
      </c>
      <c r="J4480" t="inlineStr">
        <is>
          <t>Palma de Mallorca</t>
        </is>
      </c>
      <c r="K4480" t="n">
        <v>9.699999999999999</v>
      </c>
      <c r="L4480" t="n">
        <v>14</v>
      </c>
      <c r="M4480" t="n">
        <v>52.5</v>
      </c>
      <c r="N4480" t="n">
        <v>47</v>
      </c>
      <c r="O4480" t="n">
        <v>32.1</v>
      </c>
      <c r="P4480" t="n">
        <v>36</v>
      </c>
      <c r="Q4480" t="n">
        <v>50.2</v>
      </c>
      <c r="R4480" t="n">
        <v>44</v>
      </c>
      <c r="S4480" t="n">
        <v>1070000</v>
      </c>
      <c r="T4480" t="n">
        <v>12299</v>
      </c>
      <c r="AH4480" t="inlineStr">
        <is>
          <t>Quelle: Pollentia Properties</t>
        </is>
      </c>
    </row>
    <row r="4481">
      <c r="A4481" t="n">
        <v>4294</v>
      </c>
      <c r="B4481" t="inlineStr">
        <is>
          <t>Apartments for sale in Palma, in new and innovative complex in Nou Llevant</t>
        </is>
      </c>
      <c r="C4481" t="inlineStr">
        <is>
          <t>https://www.pollentiaproperties.com/en/property/id/915256-apartment-for-sale-palma-new-innovative-complex-nou-llevant</t>
        </is>
      </c>
      <c r="E4481" t="n">
        <v>2</v>
      </c>
      <c r="H4481" t="n">
        <v>78</v>
      </c>
      <c r="J4481" t="inlineStr">
        <is>
          <t>Palma de Mallorca</t>
        </is>
      </c>
      <c r="AH4481" t="inlineStr">
        <is>
          <t>Quelle: Pollentia Properties</t>
        </is>
      </c>
    </row>
    <row r="4482">
      <c r="A4482" t="n">
        <v>4295</v>
      </c>
      <c r="B4482" t="inlineStr">
        <is>
          <t>Apartments for sale in Palma, in new and innovative complex in Nou Llevant</t>
        </is>
      </c>
      <c r="C4482" t="inlineStr">
        <is>
          <t>https://www.pollentiaproperties.com/en/property/id/915255-apartment-for-sale-palma-new-innovative-complex-nou-llevant</t>
        </is>
      </c>
      <c r="E4482" t="n">
        <v>2</v>
      </c>
      <c r="H4482" t="n">
        <v>81</v>
      </c>
      <c r="J4482" t="inlineStr">
        <is>
          <t>Palma de Mallorca</t>
        </is>
      </c>
      <c r="S4482" t="n">
        <v>765000</v>
      </c>
      <c r="T4482" t="n">
        <v>9444</v>
      </c>
      <c r="AH4482" t="inlineStr">
        <is>
          <t>Quelle: Pollentia Properties</t>
        </is>
      </c>
    </row>
    <row r="4483">
      <c r="A4483" t="n">
        <v>4296</v>
      </c>
      <c r="B4483" t="inlineStr">
        <is>
          <t>Apartments for sale in Palma, in new and innovative complex in Nou Llevant</t>
        </is>
      </c>
      <c r="C4483" t="inlineStr">
        <is>
          <t>https://www.pollentiaproperties.com/en/property/id/915254-apartment-for-sale-palma-new-innovative-complex-nou-llevant</t>
        </is>
      </c>
      <c r="E4483" t="n">
        <v>2</v>
      </c>
      <c r="H4483" t="n">
        <v>78</v>
      </c>
      <c r="J4483" t="inlineStr">
        <is>
          <t>Palma de Mallorca</t>
        </is>
      </c>
      <c r="AH4483" t="inlineStr">
        <is>
          <t>Quelle: Pollentia Properties</t>
        </is>
      </c>
    </row>
    <row r="4484">
      <c r="A4484" t="n">
        <v>4297</v>
      </c>
      <c r="B4484" t="inlineStr">
        <is>
          <t>Apartments for sale in Palma, in new and innovative complex in Nou Llevant</t>
        </is>
      </c>
      <c r="C4484" t="inlineStr">
        <is>
          <t>https://www.pollentiaproperties.com/en/property/id/915253-apartment-for-sale-palma-new-innovative-complex-nou-llevant</t>
        </is>
      </c>
      <c r="E4484" t="n">
        <v>2</v>
      </c>
      <c r="H4484" t="n">
        <v>93</v>
      </c>
      <c r="J4484" t="inlineStr">
        <is>
          <t>Palma de Mallorca</t>
        </is>
      </c>
      <c r="AH4484" t="inlineStr">
        <is>
          <t>Quelle: Pollentia Properties</t>
        </is>
      </c>
    </row>
    <row r="4485">
      <c r="A4485" t="n">
        <v>4298</v>
      </c>
      <c r="B4485" t="inlineStr">
        <is>
          <t>Apartments for sale in Palma, in new and innovative complex in Nou Llevant</t>
        </is>
      </c>
      <c r="C4485" t="inlineStr">
        <is>
          <t>https://www.pollentiaproperties.com/en/property/id/915252-apartment-for-sale-palma-new-innovative-complex-nou-llevant</t>
        </is>
      </c>
      <c r="E4485" t="n">
        <v>1</v>
      </c>
      <c r="H4485" t="n">
        <v>66</v>
      </c>
      <c r="J4485" t="inlineStr">
        <is>
          <t>Palma de Mallorca</t>
        </is>
      </c>
      <c r="S4485" t="n">
        <v>740000</v>
      </c>
      <c r="T4485" t="n">
        <v>11212</v>
      </c>
      <c r="AH4485" t="inlineStr">
        <is>
          <t>Quelle: Pollentia Properties</t>
        </is>
      </c>
    </row>
    <row r="4486">
      <c r="A4486" t="n">
        <v>4299</v>
      </c>
      <c r="B4486" t="inlineStr">
        <is>
          <t>Apartments for sale in Palma, in new and innovative complex in Nou Llevant</t>
        </is>
      </c>
      <c r="C4486" t="inlineStr">
        <is>
          <t>https://www.pollentiaproperties.com/en/property/id/915251-apartment-for-sale-palma-new-innovative-complex-nou-llevant</t>
        </is>
      </c>
      <c r="E4486" t="n">
        <v>2</v>
      </c>
      <c r="H4486" t="n">
        <v>96</v>
      </c>
      <c r="J4486" t="inlineStr">
        <is>
          <t>Palma de Mallorca</t>
        </is>
      </c>
      <c r="S4486" t="n">
        <v>995000</v>
      </c>
      <c r="T4486" t="n">
        <v>10365</v>
      </c>
      <c r="AH4486" t="inlineStr">
        <is>
          <t>Quelle: Pollentia Properties</t>
        </is>
      </c>
    </row>
    <row r="4487">
      <c r="A4487" t="n">
        <v>4300</v>
      </c>
      <c r="B4487" t="inlineStr">
        <is>
          <t>Apartments for sale in Palma, in new and innovative complex in Nou Llevant</t>
        </is>
      </c>
      <c r="C4487" t="inlineStr">
        <is>
          <t>https://www.pollentiaproperties.com/en/property/id/915250-apartment-for-sale-palma-new-innovative-complex-nou-llevant</t>
        </is>
      </c>
      <c r="E4487" t="n">
        <v>3</v>
      </c>
      <c r="H4487" t="n">
        <v>126</v>
      </c>
      <c r="J4487" t="inlineStr">
        <is>
          <t>Palma de Mallorca</t>
        </is>
      </c>
      <c r="K4487" t="n">
        <v>9.699999999999999</v>
      </c>
      <c r="L4487" t="n">
        <v>14</v>
      </c>
      <c r="M4487" t="n">
        <v>52.5</v>
      </c>
      <c r="N4487" t="n">
        <v>47</v>
      </c>
      <c r="O4487" t="n">
        <v>32.1</v>
      </c>
      <c r="P4487" t="n">
        <v>36</v>
      </c>
      <c r="Q4487" t="n">
        <v>50.2</v>
      </c>
      <c r="R4487" t="n">
        <v>44</v>
      </c>
      <c r="S4487" t="n">
        <v>1295000</v>
      </c>
      <c r="T4487" t="n">
        <v>10278</v>
      </c>
      <c r="AH4487" t="inlineStr">
        <is>
          <t>Quelle: Pollentia Properties</t>
        </is>
      </c>
    </row>
    <row r="4488">
      <c r="A4488" t="n">
        <v>4301</v>
      </c>
      <c r="B4488" t="inlineStr">
        <is>
          <t>Apartments for sale in Palma, in new and innovative complex in Nou Llevant</t>
        </is>
      </c>
      <c r="C4488" t="inlineStr">
        <is>
          <t>https://www.pollentiaproperties.com/en/property/id/915248-apartment-for-sale-palma-new-innovative-complex-nou-llevant</t>
        </is>
      </c>
      <c r="E4488" t="n">
        <v>1</v>
      </c>
      <c r="H4488" t="n">
        <v>73</v>
      </c>
      <c r="J4488" t="inlineStr">
        <is>
          <t>Palma de Mallorca</t>
        </is>
      </c>
      <c r="AH4488" t="inlineStr">
        <is>
          <t>Quelle: Pollentia Properties</t>
        </is>
      </c>
    </row>
    <row r="4489">
      <c r="A4489" t="n">
        <v>4302</v>
      </c>
      <c r="B4489" t="inlineStr">
        <is>
          <t>Apartments for sale in Palma, in new and innovative complex in Nou Llevant</t>
        </is>
      </c>
      <c r="C4489" t="inlineStr">
        <is>
          <t>https://www.pollentiaproperties.com/en/property/id/915246-apartment-for-sale-palma-new-innovative-complex-nou-llevant</t>
        </is>
      </c>
      <c r="E4489" t="n">
        <v>3</v>
      </c>
      <c r="H4489" t="n">
        <v>123</v>
      </c>
      <c r="J4489" t="inlineStr">
        <is>
          <t>Palma de Mallorca</t>
        </is>
      </c>
      <c r="K4489" t="n">
        <v>9.699999999999999</v>
      </c>
      <c r="L4489" t="n">
        <v>14</v>
      </c>
      <c r="M4489" t="n">
        <v>52.5</v>
      </c>
      <c r="N4489" t="n">
        <v>47</v>
      </c>
      <c r="O4489" t="n">
        <v>32.1</v>
      </c>
      <c r="P4489" t="n">
        <v>36</v>
      </c>
      <c r="Q4489" t="n">
        <v>50.2</v>
      </c>
      <c r="R4489" t="n">
        <v>44</v>
      </c>
      <c r="S4489" t="n">
        <v>1540000</v>
      </c>
      <c r="T4489" t="n">
        <v>12520</v>
      </c>
      <c r="AH4489" t="inlineStr">
        <is>
          <t>Quelle: Pollentia Properties</t>
        </is>
      </c>
    </row>
    <row r="4490">
      <c r="A4490" t="n">
        <v>4303</v>
      </c>
      <c r="B4490" t="inlineStr">
        <is>
          <t>Apartments for sale in Palma, in new and innovative complex in Nou Llevant</t>
        </is>
      </c>
      <c r="C4490" t="inlineStr">
        <is>
          <t>https://www.pollentiaproperties.com/en/property/id/915245-apartment-for-sale-palma-new-innovative-complex-nou-llevant</t>
        </is>
      </c>
      <c r="E4490" t="n">
        <v>2</v>
      </c>
      <c r="H4490" t="n">
        <v>87</v>
      </c>
      <c r="J4490" t="inlineStr">
        <is>
          <t>Palma de Mallorca</t>
        </is>
      </c>
      <c r="K4490" t="n">
        <v>9.699999999999999</v>
      </c>
      <c r="L4490" t="n">
        <v>14</v>
      </c>
      <c r="M4490" t="n">
        <v>52.5</v>
      </c>
      <c r="N4490" t="n">
        <v>47</v>
      </c>
      <c r="O4490" t="n">
        <v>32.1</v>
      </c>
      <c r="P4490" t="n">
        <v>36</v>
      </c>
      <c r="Q4490" t="n">
        <v>50.2</v>
      </c>
      <c r="R4490" t="n">
        <v>44</v>
      </c>
      <c r="S4490" t="n">
        <v>1340000</v>
      </c>
      <c r="T4490" t="n">
        <v>15402</v>
      </c>
      <c r="AH4490" t="inlineStr">
        <is>
          <t>Quelle: Pollentia Properties</t>
        </is>
      </c>
    </row>
    <row r="4491">
      <c r="A4491" t="n">
        <v>4304</v>
      </c>
      <c r="B4491" t="inlineStr">
        <is>
          <t>Apartments for sale in Palma, in new and innovative complex in Nou Llevant</t>
        </is>
      </c>
      <c r="C4491" t="inlineStr">
        <is>
          <t>https://www.pollentiaproperties.com/en/property/id/915244-apartment-for-sale-palma-new-innovative-complex-nou-llevant</t>
        </is>
      </c>
      <c r="E4491" t="n">
        <v>1</v>
      </c>
      <c r="H4491" t="n">
        <v>73</v>
      </c>
      <c r="J4491" t="inlineStr">
        <is>
          <t>Palma de Mallorca</t>
        </is>
      </c>
      <c r="S4491" t="n">
        <v>590000</v>
      </c>
      <c r="T4491" t="n">
        <v>8082</v>
      </c>
      <c r="AH4491" t="inlineStr">
        <is>
          <t>Quelle: Pollentia Properties</t>
        </is>
      </c>
    </row>
    <row r="4492">
      <c r="A4492" t="n">
        <v>4305</v>
      </c>
      <c r="B4492" t="inlineStr">
        <is>
          <t>Apartments for sale in Palma, in new and innovative complex in Nou Llevant</t>
        </is>
      </c>
      <c r="C4492" t="inlineStr">
        <is>
          <t>https://www.pollentiaproperties.com/en/property/id/915243-apartment-for-sale-palma-new-innovative-complex-nou-llevant</t>
        </is>
      </c>
      <c r="E4492" t="n">
        <v>3</v>
      </c>
      <c r="H4492" t="n">
        <v>360</v>
      </c>
      <c r="J4492" t="inlineStr">
        <is>
          <t>Palma de Mallorca</t>
        </is>
      </c>
      <c r="K4492" t="n">
        <v>9.699999999999999</v>
      </c>
      <c r="L4492" t="n">
        <v>14</v>
      </c>
      <c r="M4492" t="n">
        <v>52.5</v>
      </c>
      <c r="N4492" t="n">
        <v>47</v>
      </c>
      <c r="O4492" t="n">
        <v>32.1</v>
      </c>
      <c r="P4492" t="n">
        <v>36</v>
      </c>
      <c r="Q4492" t="n">
        <v>50.2</v>
      </c>
      <c r="R4492" t="n">
        <v>44</v>
      </c>
      <c r="S4492" t="n">
        <v>1430000</v>
      </c>
      <c r="T4492" t="n">
        <v>3972</v>
      </c>
      <c r="AH4492" t="inlineStr">
        <is>
          <t>Quelle: Pollentia Properties</t>
        </is>
      </c>
    </row>
    <row r="4493">
      <c r="A4493" t="n">
        <v>4306</v>
      </c>
      <c r="B4493" t="inlineStr">
        <is>
          <t>Apartments for sale in Palma, in new and innovative complex in Nou Llevant</t>
        </is>
      </c>
      <c r="C4493" t="inlineStr">
        <is>
          <t>https://www.pollentiaproperties.com/en/property/id/915242-apartment-for-sale-palma-new-innovative-complex-nou-llevant</t>
        </is>
      </c>
      <c r="E4493" t="n">
        <v>3</v>
      </c>
      <c r="H4493" t="n">
        <v>317</v>
      </c>
      <c r="J4493" t="inlineStr">
        <is>
          <t>Palma de Mallorca</t>
        </is>
      </c>
      <c r="K4493" t="n">
        <v>9.699999999999999</v>
      </c>
      <c r="L4493" t="n">
        <v>14</v>
      </c>
      <c r="M4493" t="n">
        <v>52.5</v>
      </c>
      <c r="N4493" t="n">
        <v>47</v>
      </c>
      <c r="O4493" t="n">
        <v>32.1</v>
      </c>
      <c r="P4493" t="n">
        <v>36</v>
      </c>
      <c r="Q4493" t="n">
        <v>50.2</v>
      </c>
      <c r="R4493" t="n">
        <v>44</v>
      </c>
      <c r="S4493" t="n">
        <v>2050000</v>
      </c>
      <c r="T4493" t="n">
        <v>6467</v>
      </c>
      <c r="AH4493" t="inlineStr">
        <is>
          <t>Quelle: Pollentia Properties</t>
        </is>
      </c>
    </row>
    <row r="4494">
      <c r="A4494" t="n">
        <v>4307</v>
      </c>
      <c r="B4494" t="inlineStr">
        <is>
          <t>Apartments for sale in Palma, in new and innovative complex in Nou Llevant</t>
        </is>
      </c>
      <c r="C4494" t="inlineStr">
        <is>
          <t>https://www.pollentiaproperties.com/en/property/id/915241-apartment-for-sale-palma-new-innovative-complex-nou-llevant</t>
        </is>
      </c>
      <c r="E4494" t="n">
        <v>3</v>
      </c>
      <c r="H4494" t="n">
        <v>382</v>
      </c>
      <c r="J4494" t="inlineStr">
        <is>
          <t>Palma de Mallorca</t>
        </is>
      </c>
      <c r="K4494" t="n">
        <v>9.699999999999999</v>
      </c>
      <c r="L4494" t="n">
        <v>14</v>
      </c>
      <c r="M4494" t="n">
        <v>52.5</v>
      </c>
      <c r="N4494" t="n">
        <v>47</v>
      </c>
      <c r="O4494" t="n">
        <v>32.1</v>
      </c>
      <c r="P4494" t="n">
        <v>36</v>
      </c>
      <c r="Q4494" t="n">
        <v>50.2</v>
      </c>
      <c r="R4494" t="n">
        <v>44</v>
      </c>
      <c r="S4494" t="n">
        <v>1950000</v>
      </c>
      <c r="T4494" t="n">
        <v>5105</v>
      </c>
      <c r="AH4494" t="inlineStr">
        <is>
          <t>Quelle: Pollentia Properties</t>
        </is>
      </c>
    </row>
    <row r="4495">
      <c r="A4495" t="n">
        <v>4308</v>
      </c>
      <c r="B4495" t="inlineStr">
        <is>
          <t>Apartments for sale in Palma, in new and innovative complex in Nou Llevant</t>
        </is>
      </c>
      <c r="C4495" t="inlineStr">
        <is>
          <t>https://www.pollentiaproperties.com/en/property/id/915240-apartment-for-sale-palma-new-innovative-complex-nou-llevant</t>
        </is>
      </c>
      <c r="E4495" t="n">
        <v>2</v>
      </c>
      <c r="H4495" t="n">
        <v>78</v>
      </c>
      <c r="J4495" t="inlineStr">
        <is>
          <t>Palma de Mallorca</t>
        </is>
      </c>
      <c r="S4495" t="n">
        <v>755000</v>
      </c>
      <c r="T4495" t="n">
        <v>9679</v>
      </c>
      <c r="AH4495" t="inlineStr">
        <is>
          <t>Quelle: Pollentia Properties</t>
        </is>
      </c>
    </row>
    <row r="4496">
      <c r="A4496" t="n">
        <v>4309</v>
      </c>
      <c r="B4496" t="inlineStr">
        <is>
          <t>Apartments for sale in Palma, in new and innovative complex in Nou Llevant</t>
        </is>
      </c>
      <c r="C4496" t="inlineStr">
        <is>
          <t>https://www.pollentiaproperties.com/en/property/id/915239-apartment-for-sale-palma-new-innovative-complex-nou-llevant</t>
        </is>
      </c>
      <c r="E4496" t="n">
        <v>2</v>
      </c>
      <c r="H4496" t="n">
        <v>80</v>
      </c>
      <c r="J4496" t="inlineStr">
        <is>
          <t>Palma de Mallorca</t>
        </is>
      </c>
      <c r="K4496" t="n">
        <v>9.699999999999999</v>
      </c>
      <c r="L4496" t="n">
        <v>14</v>
      </c>
      <c r="M4496" t="n">
        <v>52.5</v>
      </c>
      <c r="N4496" t="n">
        <v>47</v>
      </c>
      <c r="O4496" t="n">
        <v>32.1</v>
      </c>
      <c r="P4496" t="n">
        <v>36</v>
      </c>
      <c r="Q4496" t="n">
        <v>50.2</v>
      </c>
      <c r="R4496" t="n">
        <v>44</v>
      </c>
      <c r="S4496" t="n">
        <v>1190000</v>
      </c>
      <c r="T4496" t="n">
        <v>14875</v>
      </c>
      <c r="AH4496" t="inlineStr">
        <is>
          <t>Quelle: Pollentia Properties</t>
        </is>
      </c>
    </row>
    <row r="4497">
      <c r="A4497" t="n">
        <v>4310</v>
      </c>
      <c r="B4497" t="inlineStr">
        <is>
          <t>Apartments for sale in Palma, in new and innovative complex in Nou Llevant</t>
        </is>
      </c>
      <c r="C4497" t="inlineStr">
        <is>
          <t>https://www.pollentiaproperties.com/en/property/id/915238-apartment-for-sale-palma-new-innovative-complex-nou-llevant</t>
        </is>
      </c>
      <c r="E4497" t="n">
        <v>3</v>
      </c>
      <c r="H4497" t="n">
        <v>118</v>
      </c>
      <c r="J4497" t="inlineStr">
        <is>
          <t>Palma de Mallorca</t>
        </is>
      </c>
      <c r="K4497" t="n">
        <v>9.699999999999999</v>
      </c>
      <c r="L4497" t="n">
        <v>14</v>
      </c>
      <c r="M4497" t="n">
        <v>52.5</v>
      </c>
      <c r="N4497" t="n">
        <v>47</v>
      </c>
      <c r="O4497" t="n">
        <v>32.1</v>
      </c>
      <c r="P4497" t="n">
        <v>36</v>
      </c>
      <c r="Q4497" t="n">
        <v>50.2</v>
      </c>
      <c r="R4497" t="n">
        <v>44</v>
      </c>
      <c r="S4497" t="n">
        <v>1665000</v>
      </c>
      <c r="T4497" t="n">
        <v>14110</v>
      </c>
      <c r="AH4497" t="inlineStr">
        <is>
          <t>Quelle: Pollentia Properties</t>
        </is>
      </c>
    </row>
    <row r="4498">
      <c r="A4498" t="n">
        <v>4311</v>
      </c>
      <c r="B4498" t="inlineStr">
        <is>
          <t>Apartments for sale in Palma, in new and innovative complex in Nou Llevant</t>
        </is>
      </c>
      <c r="C4498" t="inlineStr">
        <is>
          <t>https://www.pollentiaproperties.com/en/property/id/915237-apartment-for-sale-palma-new-innovative-complex-nou-llevant</t>
        </is>
      </c>
      <c r="E4498" t="n">
        <v>2</v>
      </c>
      <c r="H4498" t="n">
        <v>100</v>
      </c>
      <c r="J4498" t="inlineStr">
        <is>
          <t>Palma de Mallorca</t>
        </is>
      </c>
      <c r="K4498" t="n">
        <v>9.699999999999999</v>
      </c>
      <c r="L4498" t="n">
        <v>14</v>
      </c>
      <c r="M4498" t="n">
        <v>52.5</v>
      </c>
      <c r="N4498" t="n">
        <v>47</v>
      </c>
      <c r="O4498" t="n">
        <v>32.1</v>
      </c>
      <c r="P4498" t="n">
        <v>36</v>
      </c>
      <c r="Q4498" t="n">
        <v>50.2</v>
      </c>
      <c r="R4498" t="n">
        <v>44</v>
      </c>
      <c r="S4498" t="n">
        <v>1140000</v>
      </c>
      <c r="T4498" t="n">
        <v>11400</v>
      </c>
      <c r="AH4498" t="inlineStr">
        <is>
          <t>Quelle: Pollentia Properties</t>
        </is>
      </c>
    </row>
    <row r="4499">
      <c r="A4499" t="n">
        <v>4312</v>
      </c>
      <c r="B4499" t="inlineStr">
        <is>
          <t>Apartments for sale in Palma, in new and innovative complex in Nou Llevant</t>
        </is>
      </c>
      <c r="C4499" t="inlineStr">
        <is>
          <t>https://www.pollentiaproperties.com/en/property/id/915236-apartment-for-sale-palma-new-innovative-complex-nou-llevant</t>
        </is>
      </c>
      <c r="E4499" t="n">
        <v>2</v>
      </c>
      <c r="H4499" t="n">
        <v>95</v>
      </c>
      <c r="J4499" t="inlineStr">
        <is>
          <t>Palma de Mallorca</t>
        </is>
      </c>
      <c r="K4499" t="n">
        <v>9.699999999999999</v>
      </c>
      <c r="L4499" t="n">
        <v>14</v>
      </c>
      <c r="M4499" t="n">
        <v>52.5</v>
      </c>
      <c r="N4499" t="n">
        <v>47</v>
      </c>
      <c r="O4499" t="n">
        <v>32.1</v>
      </c>
      <c r="P4499" t="n">
        <v>36</v>
      </c>
      <c r="Q4499" t="n">
        <v>50.2</v>
      </c>
      <c r="R4499" t="n">
        <v>44</v>
      </c>
      <c r="S4499" t="n">
        <v>1255000</v>
      </c>
      <c r="T4499" t="n">
        <v>13211</v>
      </c>
      <c r="AH4499" t="inlineStr">
        <is>
          <t>Quelle: Pollentia Properties</t>
        </is>
      </c>
    </row>
    <row r="4500">
      <c r="A4500" t="n">
        <v>4313</v>
      </c>
      <c r="B4500" t="inlineStr">
        <is>
          <t>Apartments for sale in Palma, in new and innovative complex in Nou Llevant</t>
        </is>
      </c>
      <c r="C4500" t="inlineStr">
        <is>
          <t>https://www.pollentiaproperties.com/en/property/id/915235-apartment-for-sale-palma-new-innovative-complex-nou-llevant</t>
        </is>
      </c>
      <c r="E4500" t="n">
        <v>2</v>
      </c>
      <c r="H4500" t="n">
        <v>120</v>
      </c>
      <c r="J4500" t="inlineStr">
        <is>
          <t>Palma de Mallorca</t>
        </is>
      </c>
      <c r="S4500" t="n">
        <v>980000</v>
      </c>
      <c r="T4500" t="n">
        <v>8167</v>
      </c>
      <c r="AH4500" t="inlineStr">
        <is>
          <t>Quelle: Pollentia Properties</t>
        </is>
      </c>
    </row>
    <row r="4501">
      <c r="A4501" t="n">
        <v>4314</v>
      </c>
      <c r="B4501" t="inlineStr">
        <is>
          <t>Town house for sale in Campanet, with pool and stunning mountain views</t>
        </is>
      </c>
      <c r="C4501" t="inlineStr">
        <is>
          <t>https://www.pollentiaproperties.com/en/property/id/915231-townhouse-for-sale-campanet-private-pool-garden-great-views</t>
        </is>
      </c>
      <c r="E4501" t="n">
        <v>4</v>
      </c>
      <c r="G4501" t="n">
        <v>638</v>
      </c>
      <c r="H4501" t="n">
        <v>200</v>
      </c>
      <c r="J4501" t="inlineStr">
        <is>
          <t>Campanet</t>
        </is>
      </c>
      <c r="K4501" t="n">
        <v>46.9</v>
      </c>
      <c r="L4501" t="n">
        <v>38</v>
      </c>
      <c r="M4501" t="n">
        <v>65</v>
      </c>
      <c r="N4501" t="n">
        <v>65</v>
      </c>
      <c r="O4501" t="n">
        <v>69.5</v>
      </c>
      <c r="P4501" t="n">
        <v>54</v>
      </c>
      <c r="Q4501" t="n">
        <v>62.7</v>
      </c>
      <c r="R4501" t="n">
        <v>61</v>
      </c>
      <c r="S4501" t="n">
        <v>1090000</v>
      </c>
      <c r="T4501" t="n">
        <v>5450</v>
      </c>
      <c r="U4501" t="n">
        <v>1708</v>
      </c>
      <c r="AH4501" t="inlineStr">
        <is>
          <t>Quelle: Pollentia Properties</t>
        </is>
      </c>
    </row>
    <row r="4502">
      <c r="A4502" t="n">
        <v>4315</v>
      </c>
      <c r="B4502" t="inlineStr">
        <is>
          <t>Country home for sale in Lloseta, with rental license</t>
        </is>
      </c>
      <c r="C4502" t="inlineStr">
        <is>
          <t>https://www.pollentiaproperties.com/en/property/id/915130-country-home-for-sale-lloseta-pool-rental-license</t>
        </is>
      </c>
      <c r="E4502" t="n">
        <v>3</v>
      </c>
      <c r="G4502" t="n">
        <v>24</v>
      </c>
      <c r="H4502" t="n">
        <v>210</v>
      </c>
      <c r="J4502" t="inlineStr">
        <is>
          <t>Lloseta</t>
        </is>
      </c>
      <c r="K4502" t="n">
        <v>36.4</v>
      </c>
      <c r="L4502" t="n">
        <v>31</v>
      </c>
      <c r="M4502" t="n">
        <v>79.2</v>
      </c>
      <c r="N4502" t="n">
        <v>64</v>
      </c>
      <c r="O4502" t="n">
        <v>59</v>
      </c>
      <c r="P4502" t="n">
        <v>48</v>
      </c>
      <c r="Q4502" t="n">
        <v>76.90000000000001</v>
      </c>
      <c r="R4502" t="n">
        <v>61</v>
      </c>
      <c r="S4502" t="n">
        <v>1250000</v>
      </c>
      <c r="T4502" t="n">
        <v>5952</v>
      </c>
      <c r="U4502" t="n">
        <v>52083</v>
      </c>
      <c r="AH4502" t="inlineStr">
        <is>
          <t>Quelle: Pollentia Properties</t>
        </is>
      </c>
    </row>
    <row r="4503">
      <c r="A4503" t="n">
        <v>4316</v>
      </c>
      <c r="B4503" t="inlineStr">
        <is>
          <t>Country house for sale in Santanyi, pure luxury new build</t>
        </is>
      </c>
      <c r="C4503" t="inlineStr">
        <is>
          <t>https://www.pollentiaproperties.com/en/property/id/914167-country-house-for-sale-santanyi-newly-built-luxury-property</t>
        </is>
      </c>
      <c r="E4503" t="n">
        <v>4</v>
      </c>
      <c r="G4503" t="n">
        <v>17</v>
      </c>
      <c r="H4503" t="n">
        <v>812</v>
      </c>
      <c r="J4503" t="inlineStr">
        <is>
          <t>Santanyí</t>
        </is>
      </c>
      <c r="K4503" t="n">
        <v>45.4</v>
      </c>
      <c r="L4503" t="n">
        <v>39</v>
      </c>
      <c r="M4503" t="n">
        <v>9</v>
      </c>
      <c r="N4503" t="n">
        <v>13</v>
      </c>
      <c r="O4503" t="n">
        <v>83.59999999999999</v>
      </c>
      <c r="P4503" t="n">
        <v>67</v>
      </c>
      <c r="Q4503" t="n">
        <v>9.699999999999999</v>
      </c>
      <c r="R4503" t="n">
        <v>15</v>
      </c>
      <c r="S4503" t="n">
        <v>7500000</v>
      </c>
      <c r="T4503" t="n">
        <v>9236</v>
      </c>
      <c r="U4503" t="n">
        <v>441176</v>
      </c>
      <c r="AH4503" t="inlineStr">
        <is>
          <t>Quelle: Pollentia Properties</t>
        </is>
      </c>
    </row>
    <row r="4504">
      <c r="A4504" t="n">
        <v>4317</v>
      </c>
      <c r="B4504" t="inlineStr">
        <is>
          <t>Villa for sale in Marratxi single storey with garden and pool</t>
        </is>
      </c>
      <c r="C4504" t="inlineStr">
        <is>
          <t>https://www.pollentiaproperties.com/en/property/id/914071-villa-for-sale-marratxi-single-storey-garden-pool</t>
        </is>
      </c>
      <c r="E4504" t="n">
        <v>4</v>
      </c>
      <c r="G4504" t="n">
        <v>2</v>
      </c>
      <c r="H4504" t="n">
        <v>197</v>
      </c>
      <c r="J4504" t="inlineStr">
        <is>
          <t>Marratxí</t>
        </is>
      </c>
      <c r="AH4504" t="inlineStr">
        <is>
          <t>Quelle: Pollentia Properties</t>
        </is>
      </c>
    </row>
    <row r="4505">
      <c r="A4505" t="n">
        <v>4318</v>
      </c>
      <c r="B4505" t="inlineStr">
        <is>
          <t>Villa for sale in Bonaire currently awaiting completion</t>
        </is>
      </c>
      <c r="C4505" t="inlineStr">
        <is>
          <t>https://www.pollentiaproperties.com/en/property/id/913723-villa-for-sale--bonaire-currently-awaiting-completion-garden-pool</t>
        </is>
      </c>
      <c r="E4505" t="n">
        <v>4</v>
      </c>
      <c r="G4505" t="n">
        <v>2</v>
      </c>
      <c r="H4505" t="n">
        <v>255</v>
      </c>
      <c r="J4505" t="inlineStr">
        <is>
          <t>Bonaire</t>
        </is>
      </c>
      <c r="K4505" t="n">
        <v>64.40000000000001</v>
      </c>
      <c r="L4505" t="n">
        <v>54</v>
      </c>
      <c r="M4505" t="n">
        <v>82.5</v>
      </c>
      <c r="N4505" t="n">
        <v>80</v>
      </c>
      <c r="O4505" t="n">
        <v>87</v>
      </c>
      <c r="P4505" t="n">
        <v>70</v>
      </c>
      <c r="Q4505" t="n">
        <v>80.2</v>
      </c>
      <c r="R4505" t="n">
        <v>77</v>
      </c>
      <c r="S4505" t="n">
        <v>1995000</v>
      </c>
      <c r="T4505" t="n">
        <v>7824</v>
      </c>
      <c r="U4505" t="n">
        <v>997500</v>
      </c>
      <c r="AH4505" t="inlineStr">
        <is>
          <t>Quelle: Pollentia Properties</t>
        </is>
      </c>
    </row>
    <row r="4506">
      <c r="A4506" t="n">
        <v>4319</v>
      </c>
      <c r="B4506" t="inlineStr">
        <is>
          <t>New build luxury apartments for sale in Santa Catalina, Palma</t>
        </is>
      </c>
      <c r="C4506" t="inlineStr">
        <is>
          <t>https://www.pollentiaproperties.com/en/property/id/913422-apartment-for-sale-santa-catalina-palma-new-development-community-pool</t>
        </is>
      </c>
      <c r="E4506" t="n">
        <v>3</v>
      </c>
      <c r="H4506" t="n">
        <v>243</v>
      </c>
      <c r="J4506" t="inlineStr">
        <is>
          <t>Santa Catalina</t>
        </is>
      </c>
      <c r="K4506" t="n">
        <v>11.2</v>
      </c>
      <c r="L4506" t="n">
        <v>19</v>
      </c>
      <c r="M4506" t="n">
        <v>54</v>
      </c>
      <c r="N4506" t="n">
        <v>51</v>
      </c>
      <c r="O4506" t="n">
        <v>29.1</v>
      </c>
      <c r="P4506" t="n">
        <v>31</v>
      </c>
      <c r="Q4506" t="n">
        <v>51.7</v>
      </c>
      <c r="R4506" t="n">
        <v>48</v>
      </c>
      <c r="S4506" t="n">
        <v>4100000</v>
      </c>
      <c r="T4506" t="n">
        <v>16872</v>
      </c>
      <c r="AH4506" t="inlineStr">
        <is>
          <t>Quelle: Pollentia Properties</t>
        </is>
      </c>
    </row>
    <row r="4507">
      <c r="A4507" t="n">
        <v>4320</v>
      </c>
      <c r="B4507" t="inlineStr">
        <is>
          <t>New build luxury apartments for sale in Santa Catalina, Palma</t>
        </is>
      </c>
      <c r="C4507" t="inlineStr">
        <is>
          <t>https://www.pollentiaproperties.com/en/property/id/913421-apartment-for-sale-santa-catalina-palma-new-development-community-pool</t>
        </is>
      </c>
      <c r="E4507" t="n">
        <v>3</v>
      </c>
      <c r="H4507" t="n">
        <v>201</v>
      </c>
      <c r="J4507" t="inlineStr">
        <is>
          <t>Santa Catalina</t>
        </is>
      </c>
      <c r="K4507" t="n">
        <v>11.2</v>
      </c>
      <c r="L4507" t="n">
        <v>19</v>
      </c>
      <c r="M4507" t="n">
        <v>54</v>
      </c>
      <c r="N4507" t="n">
        <v>51</v>
      </c>
      <c r="O4507" t="n">
        <v>29.1</v>
      </c>
      <c r="P4507" t="n">
        <v>31</v>
      </c>
      <c r="Q4507" t="n">
        <v>51.7</v>
      </c>
      <c r="R4507" t="n">
        <v>48</v>
      </c>
      <c r="S4507" t="n">
        <v>3660000</v>
      </c>
      <c r="T4507" t="n">
        <v>18209</v>
      </c>
      <c r="AH4507" t="inlineStr">
        <is>
          <t>Quelle: Pollentia Properties</t>
        </is>
      </c>
    </row>
    <row r="4508">
      <c r="A4508" t="n">
        <v>4321</v>
      </c>
      <c r="B4508" t="inlineStr">
        <is>
          <t>New build luxury apartments for sale in Santa Catalina, Palma</t>
        </is>
      </c>
      <c r="C4508" t="inlineStr">
        <is>
          <t>https://www.pollentiaproperties.com/en/property/id/913419-apartment-for-sale-santa-catalina-palma-new-development-community-pool</t>
        </is>
      </c>
      <c r="E4508" t="n">
        <v>2</v>
      </c>
      <c r="H4508" t="n">
        <v>114</v>
      </c>
      <c r="J4508" t="inlineStr">
        <is>
          <t>Santa Catalina</t>
        </is>
      </c>
      <c r="K4508" t="n">
        <v>11.2</v>
      </c>
      <c r="L4508" t="n">
        <v>19</v>
      </c>
      <c r="M4508" t="n">
        <v>54</v>
      </c>
      <c r="N4508" t="n">
        <v>51</v>
      </c>
      <c r="O4508" t="n">
        <v>29.1</v>
      </c>
      <c r="P4508" t="n">
        <v>31</v>
      </c>
      <c r="Q4508" t="n">
        <v>51.7</v>
      </c>
      <c r="R4508" t="n">
        <v>48</v>
      </c>
      <c r="S4508" t="n">
        <v>1940000</v>
      </c>
      <c r="T4508" t="n">
        <v>17018</v>
      </c>
      <c r="AH4508" t="inlineStr">
        <is>
          <t>Quelle: Pollentia Properties</t>
        </is>
      </c>
    </row>
    <row r="4509">
      <c r="A4509" t="n">
        <v>4322</v>
      </c>
      <c r="B4509" t="inlineStr">
        <is>
          <t>New build luxury apartments for sale in Santa Catalina, Palma</t>
        </is>
      </c>
      <c r="C4509" t="inlineStr">
        <is>
          <t>https://www.pollentiaproperties.com/en/property/id/913418-apartment-for-sale-santa-catalina-palma-new-development-community-pool</t>
        </is>
      </c>
      <c r="E4509" t="n">
        <v>3</v>
      </c>
      <c r="H4509" t="n">
        <v>122</v>
      </c>
      <c r="J4509" t="inlineStr">
        <is>
          <t>Santa Catalina</t>
        </is>
      </c>
      <c r="K4509" t="n">
        <v>11.2</v>
      </c>
      <c r="L4509" t="n">
        <v>19</v>
      </c>
      <c r="M4509" t="n">
        <v>54</v>
      </c>
      <c r="N4509" t="n">
        <v>51</v>
      </c>
      <c r="O4509" t="n">
        <v>29.1</v>
      </c>
      <c r="P4509" t="n">
        <v>31</v>
      </c>
      <c r="Q4509" t="n">
        <v>51.7</v>
      </c>
      <c r="R4509" t="n">
        <v>48</v>
      </c>
      <c r="S4509" t="n">
        <v>2050000</v>
      </c>
      <c r="T4509" t="n">
        <v>16803</v>
      </c>
      <c r="AH4509" t="inlineStr">
        <is>
          <t>Quelle: Pollentia Properties</t>
        </is>
      </c>
    </row>
    <row r="4510">
      <c r="A4510" t="n">
        <v>4323</v>
      </c>
      <c r="B4510" t="inlineStr">
        <is>
          <t>New build luxury apartments for sale in Santa Catalina, Palma</t>
        </is>
      </c>
      <c r="C4510" t="inlineStr">
        <is>
          <t>https://www.pollentiaproperties.com/en/property/id/913417-apartment-for-sale-santa-catalina-palma-new-development-community-pool</t>
        </is>
      </c>
      <c r="E4510" t="n">
        <v>2</v>
      </c>
      <c r="H4510" t="n">
        <v>87</v>
      </c>
      <c r="J4510" t="inlineStr">
        <is>
          <t>Santa Catalina</t>
        </is>
      </c>
      <c r="K4510" t="n">
        <v>11.2</v>
      </c>
      <c r="L4510" t="n">
        <v>19</v>
      </c>
      <c r="M4510" t="n">
        <v>54</v>
      </c>
      <c r="N4510" t="n">
        <v>51</v>
      </c>
      <c r="O4510" t="n">
        <v>29.1</v>
      </c>
      <c r="P4510" t="n">
        <v>31</v>
      </c>
      <c r="Q4510" t="n">
        <v>51.7</v>
      </c>
      <c r="R4510" t="n">
        <v>48</v>
      </c>
      <c r="S4510" t="n">
        <v>1450000</v>
      </c>
      <c r="T4510" t="n">
        <v>16667</v>
      </c>
      <c r="AH4510" t="inlineStr">
        <is>
          <t>Quelle: Pollentia Properties</t>
        </is>
      </c>
    </row>
    <row r="4511">
      <c r="A4511" t="n">
        <v>4324</v>
      </c>
      <c r="B4511" t="inlineStr">
        <is>
          <t>New build luxury apartments for sale in Santa Catalina, Palma</t>
        </is>
      </c>
      <c r="C4511" t="inlineStr">
        <is>
          <t>https://www.pollentiaproperties.com/en/property/id/913416-apartment-for-sale-santa-catalina-palma-new-development-community-pool</t>
        </is>
      </c>
      <c r="E4511" t="n">
        <v>2</v>
      </c>
      <c r="H4511" t="n">
        <v>125</v>
      </c>
      <c r="J4511" t="inlineStr">
        <is>
          <t>Santa Catalina</t>
        </is>
      </c>
      <c r="K4511" t="n">
        <v>11.2</v>
      </c>
      <c r="L4511" t="n">
        <v>19</v>
      </c>
      <c r="M4511" t="n">
        <v>54</v>
      </c>
      <c r="N4511" t="n">
        <v>51</v>
      </c>
      <c r="O4511" t="n">
        <v>29.1</v>
      </c>
      <c r="P4511" t="n">
        <v>31</v>
      </c>
      <c r="Q4511" t="n">
        <v>51.7</v>
      </c>
      <c r="R4511" t="n">
        <v>48</v>
      </c>
      <c r="S4511" t="n">
        <v>2090000</v>
      </c>
      <c r="T4511" t="n">
        <v>16720</v>
      </c>
      <c r="AH4511" t="inlineStr">
        <is>
          <t>Quelle: Pollentia Properties</t>
        </is>
      </c>
    </row>
    <row r="4512">
      <c r="A4512" t="n">
        <v>4325</v>
      </c>
      <c r="B4512" t="inlineStr">
        <is>
          <t>New build luxury flats for sale in Santa Catalina, Palma</t>
        </is>
      </c>
      <c r="C4512" t="inlineStr">
        <is>
          <t>https://www.pollentiaproperties.com/en/property/id/913415-apartment-for-sale-santa-catalina-palma-new-development-community-pool</t>
        </is>
      </c>
      <c r="E4512" t="n">
        <v>2</v>
      </c>
      <c r="H4512" t="n">
        <v>94</v>
      </c>
      <c r="J4512" t="inlineStr">
        <is>
          <t>Santa Catalina</t>
        </is>
      </c>
      <c r="K4512" t="n">
        <v>11.2</v>
      </c>
      <c r="L4512" t="n">
        <v>19</v>
      </c>
      <c r="M4512" t="n">
        <v>54</v>
      </c>
      <c r="N4512" t="n">
        <v>51</v>
      </c>
      <c r="O4512" t="n">
        <v>29.1</v>
      </c>
      <c r="P4512" t="n">
        <v>31</v>
      </c>
      <c r="Q4512" t="n">
        <v>51.7</v>
      </c>
      <c r="R4512" t="n">
        <v>48</v>
      </c>
      <c r="S4512" t="n">
        <v>1550000</v>
      </c>
      <c r="T4512" t="n">
        <v>16489</v>
      </c>
      <c r="AH4512" t="inlineStr">
        <is>
          <t>Quelle: Pollentia Properties</t>
        </is>
      </c>
    </row>
    <row r="4513">
      <c r="A4513" t="n">
        <v>4326</v>
      </c>
      <c r="B4513" t="inlineStr">
        <is>
          <t>New build luxury apartments for sale in Santa Catalina, Palma</t>
        </is>
      </c>
      <c r="C4513" t="inlineStr">
        <is>
          <t>https://www.pollentiaproperties.com/en/property/id/913413-apartment-for-sale-santa-catalina-palma-new-development-community-pool</t>
        </is>
      </c>
      <c r="E4513" t="n">
        <v>2</v>
      </c>
      <c r="H4513" t="n">
        <v>114</v>
      </c>
      <c r="J4513" t="inlineStr">
        <is>
          <t>Santa Catalina</t>
        </is>
      </c>
      <c r="K4513" t="n">
        <v>11.2</v>
      </c>
      <c r="L4513" t="n">
        <v>19</v>
      </c>
      <c r="M4513" t="n">
        <v>54</v>
      </c>
      <c r="N4513" t="n">
        <v>51</v>
      </c>
      <c r="O4513" t="n">
        <v>29.1</v>
      </c>
      <c r="P4513" t="n">
        <v>31</v>
      </c>
      <c r="Q4513" t="n">
        <v>51.7</v>
      </c>
      <c r="R4513" t="n">
        <v>48</v>
      </c>
      <c r="S4513" t="n">
        <v>1840000</v>
      </c>
      <c r="T4513" t="n">
        <v>16140</v>
      </c>
      <c r="AH4513" t="inlineStr">
        <is>
          <t>Quelle: Pollentia Properties</t>
        </is>
      </c>
    </row>
    <row r="4514">
      <c r="A4514" t="n">
        <v>4327</v>
      </c>
      <c r="B4514" t="inlineStr">
        <is>
          <t>New build luxury apartments for sale in Santa Catalina, Palma</t>
        </is>
      </c>
      <c r="C4514" t="inlineStr">
        <is>
          <t>https://www.pollentiaproperties.com/en/property/id/913412-apartment-for-sale-santa-catalina-palma-new-development-community-pool</t>
        </is>
      </c>
      <c r="E4514" t="n">
        <v>2</v>
      </c>
      <c r="H4514" t="n">
        <v>87</v>
      </c>
      <c r="J4514" t="inlineStr">
        <is>
          <t>Santa Catalina</t>
        </is>
      </c>
      <c r="K4514" t="n">
        <v>11.2</v>
      </c>
      <c r="L4514" t="n">
        <v>19</v>
      </c>
      <c r="M4514" t="n">
        <v>54</v>
      </c>
      <c r="N4514" t="n">
        <v>51</v>
      </c>
      <c r="O4514" t="n">
        <v>29.1</v>
      </c>
      <c r="P4514" t="n">
        <v>31</v>
      </c>
      <c r="Q4514" t="n">
        <v>51.7</v>
      </c>
      <c r="R4514" t="n">
        <v>48</v>
      </c>
      <c r="S4514" t="n">
        <v>1360000</v>
      </c>
      <c r="T4514" t="n">
        <v>15632</v>
      </c>
      <c r="AH4514" t="inlineStr">
        <is>
          <t>Quelle: Pollentia Properties</t>
        </is>
      </c>
    </row>
    <row r="4515">
      <c r="A4515" t="n">
        <v>4328</v>
      </c>
      <c r="B4515" t="inlineStr">
        <is>
          <t>New build luxury apartments for sale in Santa Catalina, Palma</t>
        </is>
      </c>
      <c r="C4515" t="inlineStr">
        <is>
          <t>https://www.pollentiaproperties.com/en/property/id/913410-apartment-for-sale-santa-catalina-palma-new-development-community-pool</t>
        </is>
      </c>
      <c r="E4515" t="n">
        <v>2</v>
      </c>
      <c r="H4515" t="n">
        <v>125</v>
      </c>
      <c r="J4515" t="inlineStr">
        <is>
          <t>Santa Catalina</t>
        </is>
      </c>
      <c r="K4515" t="n">
        <v>11.2</v>
      </c>
      <c r="L4515" t="n">
        <v>19</v>
      </c>
      <c r="M4515" t="n">
        <v>54</v>
      </c>
      <c r="N4515" t="n">
        <v>51</v>
      </c>
      <c r="O4515" t="n">
        <v>29.1</v>
      </c>
      <c r="P4515" t="n">
        <v>31</v>
      </c>
      <c r="Q4515" t="n">
        <v>51.7</v>
      </c>
      <c r="R4515" t="n">
        <v>48</v>
      </c>
      <c r="S4515" t="n">
        <v>1960000</v>
      </c>
      <c r="T4515" t="n">
        <v>15680</v>
      </c>
      <c r="AH4515" t="inlineStr">
        <is>
          <t>Quelle: Pollentia Properties</t>
        </is>
      </c>
    </row>
    <row r="4516">
      <c r="A4516" t="n">
        <v>4329</v>
      </c>
      <c r="B4516" t="inlineStr">
        <is>
          <t>New build luxury flats for sale in Santa Catalina, Palma</t>
        </is>
      </c>
      <c r="C4516" t="inlineStr">
        <is>
          <t>https://www.pollentiaproperties.com/en/property/id/913409-apartment-for-sale-santa-catalina-palma-new-development-community-pool</t>
        </is>
      </c>
      <c r="E4516" t="n">
        <v>2</v>
      </c>
      <c r="H4516" t="n">
        <v>94</v>
      </c>
      <c r="J4516" t="inlineStr">
        <is>
          <t>Santa Catalina</t>
        </is>
      </c>
      <c r="K4516" t="n">
        <v>11.2</v>
      </c>
      <c r="L4516" t="n">
        <v>19</v>
      </c>
      <c r="M4516" t="n">
        <v>54</v>
      </c>
      <c r="N4516" t="n">
        <v>51</v>
      </c>
      <c r="O4516" t="n">
        <v>29.1</v>
      </c>
      <c r="P4516" t="n">
        <v>31</v>
      </c>
      <c r="Q4516" t="n">
        <v>51.7</v>
      </c>
      <c r="R4516" t="n">
        <v>48</v>
      </c>
      <c r="S4516" t="n">
        <v>1350000</v>
      </c>
      <c r="T4516" t="n">
        <v>14362</v>
      </c>
      <c r="AH4516" t="inlineStr">
        <is>
          <t>Quelle: Pollentia Properties</t>
        </is>
      </c>
    </row>
    <row r="4517">
      <c r="A4517" t="n">
        <v>4330</v>
      </c>
      <c r="B4517" t="inlineStr">
        <is>
          <t>New build luxury apartments for sale in Santa Catalina, Palma</t>
        </is>
      </c>
      <c r="C4517" t="inlineStr">
        <is>
          <t>https://www.pollentiaproperties.com/en/property/id/913402-apartment-for-sale-santa-catalina-palma-new-development-community-pool</t>
        </is>
      </c>
      <c r="E4517" t="n">
        <v>2</v>
      </c>
      <c r="H4517" t="n">
        <v>187</v>
      </c>
      <c r="J4517" t="inlineStr">
        <is>
          <t>Santa Catalina</t>
        </is>
      </c>
      <c r="K4517" t="n">
        <v>11.2</v>
      </c>
      <c r="L4517" t="n">
        <v>19</v>
      </c>
      <c r="M4517" t="n">
        <v>54</v>
      </c>
      <c r="N4517" t="n">
        <v>51</v>
      </c>
      <c r="O4517" t="n">
        <v>29.1</v>
      </c>
      <c r="P4517" t="n">
        <v>31</v>
      </c>
      <c r="Q4517" t="n">
        <v>51.7</v>
      </c>
      <c r="R4517" t="n">
        <v>48</v>
      </c>
      <c r="S4517" t="n">
        <v>2010000</v>
      </c>
      <c r="T4517" t="n">
        <v>10749</v>
      </c>
      <c r="AH4517" t="inlineStr">
        <is>
          <t>Quelle: Pollentia Properties</t>
        </is>
      </c>
    </row>
    <row r="4518">
      <c r="A4518" t="n">
        <v>4331</v>
      </c>
      <c r="B4518" t="inlineStr">
        <is>
          <t>New build luxury apartments for sale in Santa Catalina, Palma</t>
        </is>
      </c>
      <c r="C4518" t="inlineStr">
        <is>
          <t>https://www.pollentiaproperties.com/en/property/id/913401-apartment-for-sale-santa-catalina-palma-new-development-community-pool</t>
        </is>
      </c>
      <c r="E4518" t="n">
        <v>4</v>
      </c>
      <c r="H4518" t="n">
        <v>285</v>
      </c>
      <c r="J4518" t="inlineStr">
        <is>
          <t>Santa Catalina</t>
        </is>
      </c>
      <c r="K4518" t="n">
        <v>11.2</v>
      </c>
      <c r="L4518" t="n">
        <v>19</v>
      </c>
      <c r="M4518" t="n">
        <v>54</v>
      </c>
      <c r="N4518" t="n">
        <v>51</v>
      </c>
      <c r="O4518" t="n">
        <v>29.1</v>
      </c>
      <c r="P4518" t="n">
        <v>31</v>
      </c>
      <c r="Q4518" t="n">
        <v>51.7</v>
      </c>
      <c r="R4518" t="n">
        <v>48</v>
      </c>
      <c r="S4518" t="n">
        <v>3030000</v>
      </c>
      <c r="T4518" t="n">
        <v>10632</v>
      </c>
      <c r="AH4518" t="inlineStr">
        <is>
          <t>Quelle: Pollentia Properties</t>
        </is>
      </c>
    </row>
    <row r="4519">
      <c r="A4519" t="n">
        <v>4332</v>
      </c>
      <c r="B4519" t="inlineStr">
        <is>
          <t>New build luxury apartments for sale in Santa Catalina, Palma</t>
        </is>
      </c>
      <c r="C4519" t="inlineStr">
        <is>
          <t>https://www.pollentiaproperties.com/en/property/id/913400-apartment-for-sale-santa-catalina-palma-new-development-community-pool</t>
        </is>
      </c>
      <c r="E4519" t="n">
        <v>2</v>
      </c>
      <c r="H4519" t="n">
        <v>252</v>
      </c>
      <c r="J4519" t="inlineStr">
        <is>
          <t>Santa Catalina</t>
        </is>
      </c>
      <c r="K4519" t="n">
        <v>11.2</v>
      </c>
      <c r="L4519" t="n">
        <v>19</v>
      </c>
      <c r="M4519" t="n">
        <v>54</v>
      </c>
      <c r="N4519" t="n">
        <v>51</v>
      </c>
      <c r="O4519" t="n">
        <v>29.1</v>
      </c>
      <c r="P4519" t="n">
        <v>31</v>
      </c>
      <c r="Q4519" t="n">
        <v>51.7</v>
      </c>
      <c r="R4519" t="n">
        <v>48</v>
      </c>
      <c r="S4519" t="n">
        <v>2360000</v>
      </c>
      <c r="T4519" t="n">
        <v>9365</v>
      </c>
      <c r="AH4519" t="inlineStr">
        <is>
          <t>Quelle: Pollentia Properties</t>
        </is>
      </c>
    </row>
    <row r="4520">
      <c r="A4520" t="n">
        <v>4333</v>
      </c>
      <c r="B4520" t="inlineStr">
        <is>
          <t>New build luxury apartments for sale in Santa Catalina, Palma</t>
        </is>
      </c>
      <c r="C4520" t="inlineStr">
        <is>
          <t>https://www.pollentiaproperties.com/en/property/id/913398-apartment-for-sale-santa-catalina-palma-new-development-community-pool</t>
        </is>
      </c>
      <c r="E4520" t="n">
        <v>4</v>
      </c>
      <c r="H4520" t="n">
        <v>337</v>
      </c>
      <c r="J4520" t="inlineStr">
        <is>
          <t>Santa Catalina</t>
        </is>
      </c>
      <c r="K4520" t="n">
        <v>11.2</v>
      </c>
      <c r="L4520" t="n">
        <v>19</v>
      </c>
      <c r="M4520" t="n">
        <v>54</v>
      </c>
      <c r="N4520" t="n">
        <v>51</v>
      </c>
      <c r="O4520" t="n">
        <v>29.1</v>
      </c>
      <c r="P4520" t="n">
        <v>31</v>
      </c>
      <c r="Q4520" t="n">
        <v>51.7</v>
      </c>
      <c r="R4520" t="n">
        <v>48</v>
      </c>
      <c r="S4520" t="n">
        <v>2950000</v>
      </c>
      <c r="T4520" t="n">
        <v>8754</v>
      </c>
      <c r="AH4520" t="inlineStr">
        <is>
          <t>Quelle: Pollentia Properties</t>
        </is>
      </c>
    </row>
    <row r="4521">
      <c r="A4521" t="n">
        <v>4334</v>
      </c>
      <c r="B4521" t="inlineStr">
        <is>
          <t>New build luxury apartments for sale in Santa Catalina, Palma</t>
        </is>
      </c>
      <c r="C4521" t="inlineStr">
        <is>
          <t>https://www.pollentiaproperties.com/en/property/id/913397-apartment-for-sale-santa-catalina-palma-new-development-community-pool</t>
        </is>
      </c>
      <c r="E4521" t="n">
        <v>4</v>
      </c>
      <c r="H4521" t="n">
        <v>333</v>
      </c>
      <c r="J4521" t="inlineStr">
        <is>
          <t>Santa Catalina</t>
        </is>
      </c>
      <c r="K4521" t="n">
        <v>11.2</v>
      </c>
      <c r="L4521" t="n">
        <v>19</v>
      </c>
      <c r="M4521" t="n">
        <v>54</v>
      </c>
      <c r="N4521" t="n">
        <v>51</v>
      </c>
      <c r="O4521" t="n">
        <v>29.1</v>
      </c>
      <c r="P4521" t="n">
        <v>31</v>
      </c>
      <c r="Q4521" t="n">
        <v>51.7</v>
      </c>
      <c r="R4521" t="n">
        <v>48</v>
      </c>
      <c r="S4521" t="n">
        <v>2975000</v>
      </c>
      <c r="T4521" t="n">
        <v>8934</v>
      </c>
      <c r="AH4521" t="inlineStr">
        <is>
          <t>Quelle: Pollentia Properties</t>
        </is>
      </c>
    </row>
    <row r="4522">
      <c r="A4522" t="n">
        <v>4335</v>
      </c>
      <c r="B4522" t="inlineStr">
        <is>
          <t>New build luxury apartments for sale in Santa Catalina, Palma</t>
        </is>
      </c>
      <c r="C4522" t="inlineStr">
        <is>
          <t>https://www.pollentiaproperties.com/en/property/id/913394-apartment-for-sale-santa-catalina-palma-new-development-community-pool</t>
        </is>
      </c>
      <c r="E4522" t="n">
        <v>2</v>
      </c>
      <c r="H4522" t="n">
        <v>116</v>
      </c>
      <c r="J4522" t="inlineStr">
        <is>
          <t>Santa Catalina</t>
        </is>
      </c>
      <c r="AH4522" t="inlineStr">
        <is>
          <t>Quelle: Pollentia Properties</t>
        </is>
      </c>
    </row>
    <row r="4523">
      <c r="A4523" t="n">
        <v>4336</v>
      </c>
      <c r="B4523" t="inlineStr">
        <is>
          <t>New build luxury apartments for sale in Santa Catalina, Palma</t>
        </is>
      </c>
      <c r="C4523" t="inlineStr">
        <is>
          <t>https://www.pollentiaproperties.com/en/property/id/913392-apartment-for-sale-santa-catalina-palma-new-development-community-pool</t>
        </is>
      </c>
      <c r="E4523" t="n">
        <v>2</v>
      </c>
      <c r="H4523" t="n">
        <v>181</v>
      </c>
      <c r="J4523" t="inlineStr">
        <is>
          <t>Santa Catalina</t>
        </is>
      </c>
      <c r="K4523" t="n">
        <v>11.2</v>
      </c>
      <c r="L4523" t="n">
        <v>19</v>
      </c>
      <c r="M4523" t="n">
        <v>54</v>
      </c>
      <c r="N4523" t="n">
        <v>51</v>
      </c>
      <c r="O4523" t="n">
        <v>29.1</v>
      </c>
      <c r="P4523" t="n">
        <v>31</v>
      </c>
      <c r="Q4523" t="n">
        <v>51.7</v>
      </c>
      <c r="R4523" t="n">
        <v>48</v>
      </c>
      <c r="S4523" t="n">
        <v>1930000</v>
      </c>
      <c r="T4523" t="n">
        <v>10663</v>
      </c>
      <c r="AH4523" t="inlineStr">
        <is>
          <t>Quelle: Pollentia Properties</t>
        </is>
      </c>
    </row>
    <row r="4524">
      <c r="A4524" t="n">
        <v>4337</v>
      </c>
      <c r="B4524" t="inlineStr">
        <is>
          <t>New build luxury apartments for sale in Santa Catalina, Palma</t>
        </is>
      </c>
      <c r="C4524" t="inlineStr">
        <is>
          <t>https://www.pollentiaproperties.com/en/property/id/913389-apartment-for-sale-santa-catalina-palma-new-development-community-pool</t>
        </is>
      </c>
      <c r="E4524" t="n">
        <v>3</v>
      </c>
      <c r="H4524" t="n">
        <v>143</v>
      </c>
      <c r="J4524" t="inlineStr">
        <is>
          <t>Santa Catalina</t>
        </is>
      </c>
      <c r="K4524" t="n">
        <v>11.2</v>
      </c>
      <c r="L4524" t="n">
        <v>19</v>
      </c>
      <c r="M4524" t="n">
        <v>54</v>
      </c>
      <c r="N4524" t="n">
        <v>51</v>
      </c>
      <c r="O4524" t="n">
        <v>29.1</v>
      </c>
      <c r="P4524" t="n">
        <v>31</v>
      </c>
      <c r="Q4524" t="n">
        <v>51.7</v>
      </c>
      <c r="R4524" t="n">
        <v>48</v>
      </c>
      <c r="S4524" t="n">
        <v>2610000</v>
      </c>
      <c r="T4524" t="n">
        <v>18252</v>
      </c>
      <c r="AH4524" t="inlineStr">
        <is>
          <t>Quelle: Pollentia Properties</t>
        </is>
      </c>
    </row>
    <row r="4525">
      <c r="A4525" t="n">
        <v>4338</v>
      </c>
      <c r="B4525" t="inlineStr">
        <is>
          <t>New build luxury apartments for sale in Santa Catalina, Palma</t>
        </is>
      </c>
      <c r="C4525" t="inlineStr">
        <is>
          <t>https://www.pollentiaproperties.com/en/property/id/913388-apartment-for-sale-santa-catalina-palma-new-development-community-pool</t>
        </is>
      </c>
      <c r="E4525" t="n">
        <v>3</v>
      </c>
      <c r="H4525" t="n">
        <v>143</v>
      </c>
      <c r="J4525" t="inlineStr">
        <is>
          <t>Santa Catalina</t>
        </is>
      </c>
      <c r="K4525" t="n">
        <v>11.2</v>
      </c>
      <c r="L4525" t="n">
        <v>19</v>
      </c>
      <c r="M4525" t="n">
        <v>54</v>
      </c>
      <c r="N4525" t="n">
        <v>51</v>
      </c>
      <c r="O4525" t="n">
        <v>29.1</v>
      </c>
      <c r="P4525" t="n">
        <v>31</v>
      </c>
      <c r="Q4525" t="n">
        <v>51.7</v>
      </c>
      <c r="R4525" t="n">
        <v>48</v>
      </c>
      <c r="S4525" t="n">
        <v>2470000</v>
      </c>
      <c r="T4525" t="n">
        <v>17273</v>
      </c>
      <c r="AH4525" t="inlineStr">
        <is>
          <t>Quelle: Pollentia Properties</t>
        </is>
      </c>
    </row>
    <row r="4526">
      <c r="A4526" t="n">
        <v>4339</v>
      </c>
      <c r="B4526" t="inlineStr">
        <is>
          <t>New build luxury apartments for sale in Santa Catalina, Palma</t>
        </is>
      </c>
      <c r="C4526" t="inlineStr">
        <is>
          <t>https://www.pollentiaproperties.com/en/property/id/913386-apartment-for-sale-santa-catalina-palma-new-development-community-pool</t>
        </is>
      </c>
      <c r="E4526" t="n">
        <v>2</v>
      </c>
      <c r="H4526" t="n">
        <v>209</v>
      </c>
      <c r="J4526" t="inlineStr">
        <is>
          <t>Santa Catalina</t>
        </is>
      </c>
      <c r="K4526" t="n">
        <v>11.2</v>
      </c>
      <c r="L4526" t="n">
        <v>19</v>
      </c>
      <c r="M4526" t="n">
        <v>54</v>
      </c>
      <c r="N4526" t="n">
        <v>51</v>
      </c>
      <c r="O4526" t="n">
        <v>29.1</v>
      </c>
      <c r="P4526" t="n">
        <v>31</v>
      </c>
      <c r="Q4526" t="n">
        <v>51.7</v>
      </c>
      <c r="R4526" t="n">
        <v>48</v>
      </c>
      <c r="S4526" t="n">
        <v>1980000</v>
      </c>
      <c r="T4526" t="n">
        <v>9474</v>
      </c>
      <c r="AH4526" t="inlineStr">
        <is>
          <t>Quelle: Pollentia Properties</t>
        </is>
      </c>
    </row>
    <row r="4527">
      <c r="A4527" t="n">
        <v>4340</v>
      </c>
      <c r="B4527" t="inlineStr">
        <is>
          <t>New build luxury apartments for sale in Santa Catalina, Palma</t>
        </is>
      </c>
      <c r="C4527" t="inlineStr">
        <is>
          <t>https://www.pollentiaproperties.com/en/property/id/913385-apartment-for-sale-santa-catalina-palma-new-development-community-pool</t>
        </is>
      </c>
      <c r="E4527" t="n">
        <v>3</v>
      </c>
      <c r="H4527" t="n">
        <v>274</v>
      </c>
      <c r="J4527" t="inlineStr">
        <is>
          <t>Santa Catalina</t>
        </is>
      </c>
      <c r="K4527" t="n">
        <v>11.2</v>
      </c>
      <c r="L4527" t="n">
        <v>19</v>
      </c>
      <c r="M4527" t="n">
        <v>54</v>
      </c>
      <c r="N4527" t="n">
        <v>51</v>
      </c>
      <c r="O4527" t="n">
        <v>29.1</v>
      </c>
      <c r="P4527" t="n">
        <v>31</v>
      </c>
      <c r="Q4527" t="n">
        <v>51.7</v>
      </c>
      <c r="R4527" t="n">
        <v>48</v>
      </c>
      <c r="S4527" t="n">
        <v>2200000</v>
      </c>
      <c r="T4527" t="n">
        <v>8029</v>
      </c>
      <c r="AH4527" t="inlineStr">
        <is>
          <t>Quelle: Pollentia Properties</t>
        </is>
      </c>
    </row>
    <row r="4528">
      <c r="A4528" t="n">
        <v>4341</v>
      </c>
      <c r="B4528" t="inlineStr">
        <is>
          <t>New build luxury apartments for sale in Santa Catalina, Palma</t>
        </is>
      </c>
      <c r="C4528" t="inlineStr">
        <is>
          <t>https://www.pollentiaproperties.com/en/property/id/913384-apartment-for-sale-santa-catalina-palma-new-development-community-pool</t>
        </is>
      </c>
      <c r="E4528" t="n">
        <v>3</v>
      </c>
      <c r="H4528" t="n">
        <v>290</v>
      </c>
      <c r="J4528" t="inlineStr">
        <is>
          <t>Santa Catalina</t>
        </is>
      </c>
      <c r="K4528" t="n">
        <v>11.2</v>
      </c>
      <c r="L4528" t="n">
        <v>19</v>
      </c>
      <c r="M4528" t="n">
        <v>54</v>
      </c>
      <c r="N4528" t="n">
        <v>51</v>
      </c>
      <c r="O4528" t="n">
        <v>29.1</v>
      </c>
      <c r="P4528" t="n">
        <v>31</v>
      </c>
      <c r="Q4528" t="n">
        <v>51.7</v>
      </c>
      <c r="R4528" t="n">
        <v>48</v>
      </c>
      <c r="S4528" t="n">
        <v>2320000</v>
      </c>
      <c r="T4528" t="n">
        <v>8000</v>
      </c>
      <c r="AH4528" t="inlineStr">
        <is>
          <t>Quelle: Pollentia Properties</t>
        </is>
      </c>
    </row>
    <row r="4529">
      <c r="A4529" t="n">
        <v>4342</v>
      </c>
      <c r="B4529" t="inlineStr">
        <is>
          <t>Country house for sale near Alcudia with fabulous sea views</t>
        </is>
      </c>
      <c r="C4529" t="inlineStr">
        <is>
          <t>https://www.pollentiaproperties.com/en/property/id/913381-country-house-for-sale-alcudia-top-quality-luxury-garden-pool</t>
        </is>
      </c>
      <c r="E4529" t="n">
        <v>4</v>
      </c>
      <c r="G4529" t="n">
        <v>31</v>
      </c>
      <c r="H4529" t="n">
        <v>886</v>
      </c>
      <c r="J4529" t="inlineStr">
        <is>
          <t>Alcúdia</t>
        </is>
      </c>
      <c r="K4529" t="n">
        <v>61.6</v>
      </c>
      <c r="L4529" t="n">
        <v>47</v>
      </c>
      <c r="M4529" t="n">
        <v>79.7</v>
      </c>
      <c r="N4529" t="n">
        <v>74</v>
      </c>
      <c r="O4529" t="n">
        <v>84.2</v>
      </c>
      <c r="P4529" t="n">
        <v>63</v>
      </c>
      <c r="Q4529" t="n">
        <v>77.40000000000001</v>
      </c>
      <c r="R4529" t="n">
        <v>70</v>
      </c>
      <c r="S4529" t="n">
        <v>7500000</v>
      </c>
      <c r="T4529" t="n">
        <v>8465</v>
      </c>
      <c r="U4529" t="n">
        <v>241935</v>
      </c>
      <c r="AH4529" t="inlineStr">
        <is>
          <t>Quelle: Pollentia Properties</t>
        </is>
      </c>
    </row>
    <row r="4530">
      <c r="A4530" t="n">
        <v>4343</v>
      </c>
      <c r="B4530" t="inlineStr">
        <is>
          <t>Villa for sale in Llucmajor, Mallorca new development project</t>
        </is>
      </c>
      <c r="C4530" t="inlineStr">
        <is>
          <t>https://www.pollentiaproperties.com/en/property/id/913361-villa-for-sale-llucmajor-new-development-project</t>
        </is>
      </c>
      <c r="E4530" t="n">
        <v>4</v>
      </c>
      <c r="G4530" t="n">
        <v>320</v>
      </c>
      <c r="H4530" t="n">
        <v>174</v>
      </c>
      <c r="J4530" t="inlineStr">
        <is>
          <t>Llucmajor</t>
        </is>
      </c>
      <c r="K4530" t="n">
        <v>22</v>
      </c>
      <c r="L4530" t="n">
        <v>21</v>
      </c>
      <c r="M4530" t="n">
        <v>28.2</v>
      </c>
      <c r="N4530" t="n">
        <v>33</v>
      </c>
      <c r="O4530" t="n">
        <v>60.2</v>
      </c>
      <c r="P4530" t="n">
        <v>48</v>
      </c>
      <c r="Q4530" t="n">
        <v>25.9</v>
      </c>
      <c r="R4530" t="n">
        <v>29</v>
      </c>
      <c r="S4530" t="n">
        <v>1076000</v>
      </c>
      <c r="T4530" t="n">
        <v>6184</v>
      </c>
      <c r="U4530" t="n">
        <v>3362</v>
      </c>
      <c r="AH4530" t="inlineStr">
        <is>
          <t>Quelle: Pollentia Properties</t>
        </is>
      </c>
    </row>
    <row r="4531">
      <c r="A4531" t="n">
        <v>4344</v>
      </c>
      <c r="B4531" t="inlineStr">
        <is>
          <t>Villa for sale in Llucmajor, Mallorca new development project</t>
        </is>
      </c>
      <c r="C4531" t="inlineStr">
        <is>
          <t>https://www.pollentiaproperties.com/en/property/id/913360-villa-for-sale-llucmajor-new-development-project</t>
        </is>
      </c>
      <c r="E4531" t="n">
        <v>4</v>
      </c>
      <c r="G4531" t="n">
        <v>320</v>
      </c>
      <c r="H4531" t="n">
        <v>174</v>
      </c>
      <c r="J4531" t="inlineStr">
        <is>
          <t>Llucmajor</t>
        </is>
      </c>
      <c r="S4531" t="n">
        <v>999000</v>
      </c>
      <c r="T4531" t="n">
        <v>5741</v>
      </c>
      <c r="U4531" t="n">
        <v>3122</v>
      </c>
      <c r="AH4531" t="inlineStr">
        <is>
          <t>Quelle: Pollentia Properties</t>
        </is>
      </c>
    </row>
    <row r="4532">
      <c r="A4532" t="n">
        <v>4345</v>
      </c>
      <c r="B4532" t="inlineStr">
        <is>
          <t>Villa for sale in Llucmajor new development project close to the sea</t>
        </is>
      </c>
      <c r="C4532" t="inlineStr">
        <is>
          <t>https://www.pollentiaproperties.com/en/property/id/913359-villa-for-sale-llucmajor-new-development-project</t>
        </is>
      </c>
      <c r="E4532" t="n">
        <v>4</v>
      </c>
      <c r="G4532" t="n">
        <v>320</v>
      </c>
      <c r="H4532" t="n">
        <v>174</v>
      </c>
      <c r="J4532" t="inlineStr">
        <is>
          <t>Llucmajor</t>
        </is>
      </c>
      <c r="K4532" t="n">
        <v>22</v>
      </c>
      <c r="L4532" t="n">
        <v>21</v>
      </c>
      <c r="M4532" t="n">
        <v>28.2</v>
      </c>
      <c r="N4532" t="n">
        <v>33</v>
      </c>
      <c r="O4532" t="n">
        <v>60.2</v>
      </c>
      <c r="P4532" t="n">
        <v>48</v>
      </c>
      <c r="Q4532" t="n">
        <v>25.9</v>
      </c>
      <c r="R4532" t="n">
        <v>29</v>
      </c>
      <c r="S4532" t="n">
        <v>1019000</v>
      </c>
      <c r="T4532" t="n">
        <v>5856</v>
      </c>
      <c r="U4532" t="n">
        <v>3184</v>
      </c>
      <c r="AH4532" t="inlineStr">
        <is>
          <t>Quelle: Pollentia Properties</t>
        </is>
      </c>
    </row>
    <row r="4533">
      <c r="A4533" t="n">
        <v>4346</v>
      </c>
      <c r="B4533" t="inlineStr">
        <is>
          <t>New build luxury apartments for sale in Santa Catalina, Palma</t>
        </is>
      </c>
      <c r="C4533" t="inlineStr">
        <is>
          <t>https://www.pollentiaproperties.com/en/property/id/913157-apartment-for-sale-santa-catalina-palma-new-development-community-pool</t>
        </is>
      </c>
      <c r="E4533" t="n">
        <v>4</v>
      </c>
      <c r="H4533" t="n">
        <v>259</v>
      </c>
      <c r="J4533" t="inlineStr">
        <is>
          <t>Santa Catalina</t>
        </is>
      </c>
      <c r="K4533" t="n">
        <v>11.2</v>
      </c>
      <c r="L4533" t="n">
        <v>19</v>
      </c>
      <c r="M4533" t="n">
        <v>54</v>
      </c>
      <c r="N4533" t="n">
        <v>51</v>
      </c>
      <c r="O4533" t="n">
        <v>29.1</v>
      </c>
      <c r="P4533" t="n">
        <v>31</v>
      </c>
      <c r="Q4533" t="n">
        <v>51.7</v>
      </c>
      <c r="R4533" t="n">
        <v>48</v>
      </c>
      <c r="S4533" t="n">
        <v>2310000</v>
      </c>
      <c r="T4533" t="n">
        <v>8919</v>
      </c>
      <c r="AH4533" t="inlineStr">
        <is>
          <t>Quelle: Pollentia Properties</t>
        </is>
      </c>
    </row>
    <row r="4534">
      <c r="A4534" t="n">
        <v>4347</v>
      </c>
      <c r="B4534" t="inlineStr">
        <is>
          <t>New build luxury apartments for sale in Santa Catalina, Palma</t>
        </is>
      </c>
      <c r="C4534" t="inlineStr">
        <is>
          <t>https://www.pollentiaproperties.com/en/property/id/913156-apartment-for-sale-santa-catalina-palma-new-development-community-pool</t>
        </is>
      </c>
      <c r="E4534" t="n">
        <v>3</v>
      </c>
      <c r="H4534" t="n">
        <v>122</v>
      </c>
      <c r="J4534" t="inlineStr">
        <is>
          <t>Santa Catalina</t>
        </is>
      </c>
      <c r="K4534" t="n">
        <v>11.2</v>
      </c>
      <c r="L4534" t="n">
        <v>19</v>
      </c>
      <c r="M4534" t="n">
        <v>54</v>
      </c>
      <c r="N4534" t="n">
        <v>51</v>
      </c>
      <c r="O4534" t="n">
        <v>29.1</v>
      </c>
      <c r="P4534" t="n">
        <v>31</v>
      </c>
      <c r="Q4534" t="n">
        <v>51.7</v>
      </c>
      <c r="R4534" t="n">
        <v>48</v>
      </c>
      <c r="S4534" t="n">
        <v>1950000</v>
      </c>
      <c r="T4534" t="n">
        <v>15984</v>
      </c>
      <c r="AH4534" t="inlineStr">
        <is>
          <t>Quelle: Pollentia Properties</t>
        </is>
      </c>
    </row>
    <row r="4535">
      <c r="A4535" t="n">
        <v>4348</v>
      </c>
      <c r="B4535" t="inlineStr">
        <is>
          <t>New build luxury apartments for sale in Santa Catalina, Palma</t>
        </is>
      </c>
      <c r="C4535" t="inlineStr">
        <is>
          <t>https://www.pollentiaproperties.com/en/property/id/913155-apartment-for-sale-santa-catalina-palma-new-development-community-pool</t>
        </is>
      </c>
      <c r="E4535" t="n">
        <v>1</v>
      </c>
      <c r="H4535" t="n">
        <v>95</v>
      </c>
      <c r="J4535" t="inlineStr">
        <is>
          <t>Santa Catalina</t>
        </is>
      </c>
      <c r="K4535" t="n">
        <v>11.2</v>
      </c>
      <c r="L4535" t="n">
        <v>19</v>
      </c>
      <c r="M4535" t="n">
        <v>54</v>
      </c>
      <c r="N4535" t="n">
        <v>51</v>
      </c>
      <c r="O4535" t="n">
        <v>29.1</v>
      </c>
      <c r="P4535" t="n">
        <v>31</v>
      </c>
      <c r="Q4535" t="n">
        <v>51.7</v>
      </c>
      <c r="R4535" t="n">
        <v>48</v>
      </c>
      <c r="S4535" t="n">
        <v>1680000</v>
      </c>
      <c r="T4535" t="n">
        <v>17684</v>
      </c>
      <c r="AH4535" t="inlineStr">
        <is>
          <t>Quelle: Pollentia Properties</t>
        </is>
      </c>
    </row>
    <row r="4536">
      <c r="A4536" t="n">
        <v>4349</v>
      </c>
      <c r="B4536" t="inlineStr">
        <is>
          <t>New build luxury apartments for sale in Santa Catalina, Palma</t>
        </is>
      </c>
      <c r="C4536" t="inlineStr">
        <is>
          <t>https://www.pollentiaproperties.com/en/property/id/913154-apartment-for-sale-santa-catalina-palma-new-development-community-pool</t>
        </is>
      </c>
      <c r="E4536" t="n">
        <v>4</v>
      </c>
      <c r="H4536" t="n">
        <v>404</v>
      </c>
      <c r="J4536" t="inlineStr">
        <is>
          <t>Santa Catalina</t>
        </is>
      </c>
      <c r="K4536" t="n">
        <v>11.2</v>
      </c>
      <c r="L4536" t="n">
        <v>19</v>
      </c>
      <c r="M4536" t="n">
        <v>54</v>
      </c>
      <c r="N4536" t="n">
        <v>51</v>
      </c>
      <c r="O4536" t="n">
        <v>29.1</v>
      </c>
      <c r="P4536" t="n">
        <v>31</v>
      </c>
      <c r="Q4536" t="n">
        <v>51.7</v>
      </c>
      <c r="R4536" t="n">
        <v>48</v>
      </c>
      <c r="S4536" t="n">
        <v>3780000</v>
      </c>
      <c r="T4536" t="n">
        <v>9356</v>
      </c>
      <c r="AH4536" t="inlineStr">
        <is>
          <t>Quelle: Pollentia Properties</t>
        </is>
      </c>
    </row>
    <row r="4537">
      <c r="A4537" t="n">
        <v>4350</v>
      </c>
      <c r="B4537" t="inlineStr">
        <is>
          <t>New build luxury apartments for sale in Santa Catalina, Palma</t>
        </is>
      </c>
      <c r="C4537" t="inlineStr">
        <is>
          <t>https://www.pollentiaproperties.com/en/property/id/913152-apartment-for-sale-santa-catalina-palma-new-development-community-pool</t>
        </is>
      </c>
      <c r="E4537" t="n">
        <v>3</v>
      </c>
      <c r="H4537" t="n">
        <v>272</v>
      </c>
      <c r="J4537" t="inlineStr">
        <is>
          <t>Santa Catalina</t>
        </is>
      </c>
      <c r="K4537" t="n">
        <v>11.2</v>
      </c>
      <c r="L4537" t="n">
        <v>19</v>
      </c>
      <c r="M4537" t="n">
        <v>54</v>
      </c>
      <c r="N4537" t="n">
        <v>51</v>
      </c>
      <c r="O4537" t="n">
        <v>29.1</v>
      </c>
      <c r="P4537" t="n">
        <v>31</v>
      </c>
      <c r="Q4537" t="n">
        <v>51.7</v>
      </c>
      <c r="R4537" t="n">
        <v>48</v>
      </c>
      <c r="S4537" t="n">
        <v>2130000</v>
      </c>
      <c r="T4537" t="n">
        <v>7831</v>
      </c>
      <c r="AH4537" t="inlineStr">
        <is>
          <t>Quelle: Pollentia Properties</t>
        </is>
      </c>
    </row>
    <row r="4538">
      <c r="A4538" t="n">
        <v>4351</v>
      </c>
      <c r="B4538" t="inlineStr">
        <is>
          <t>New build luxury apartments for sale in Santa Catalina, Palma</t>
        </is>
      </c>
      <c r="C4538" t="inlineStr">
        <is>
          <t>https://www.pollentiaproperties.com/en/property/id/913151-apartment-for-sale-santa-catalina-palma-new-development-community-pool</t>
        </is>
      </c>
      <c r="E4538" t="n">
        <v>3</v>
      </c>
      <c r="H4538" t="n">
        <v>144</v>
      </c>
      <c r="J4538" t="inlineStr">
        <is>
          <t>Santa Catalina</t>
        </is>
      </c>
      <c r="K4538" t="n">
        <v>11.2</v>
      </c>
      <c r="L4538" t="n">
        <v>19</v>
      </c>
      <c r="M4538" t="n">
        <v>54</v>
      </c>
      <c r="N4538" t="n">
        <v>51</v>
      </c>
      <c r="O4538" t="n">
        <v>29.1</v>
      </c>
      <c r="P4538" t="n">
        <v>31</v>
      </c>
      <c r="Q4538" t="n">
        <v>51.7</v>
      </c>
      <c r="R4538" t="n">
        <v>48</v>
      </c>
      <c r="S4538" t="n">
        <v>2080000</v>
      </c>
      <c r="T4538" t="n">
        <v>14444</v>
      </c>
      <c r="AH4538" t="inlineStr">
        <is>
          <t>Quelle: Pollentia Properties</t>
        </is>
      </c>
    </row>
    <row r="4539">
      <c r="A4539" t="n">
        <v>4352</v>
      </c>
      <c r="B4539" t="inlineStr">
        <is>
          <t>Villa for sale in El Toro newly built luxury property</t>
        </is>
      </c>
      <c r="C4539" t="inlineStr">
        <is>
          <t>https://www.pollentiaproperties.com/en/property/id/913054-villa-for-sale-el-toro-newly-built-luxury-property-garden-pool</t>
        </is>
      </c>
      <c r="E4539" t="n">
        <v>3</v>
      </c>
      <c r="G4539" t="n">
        <v>499</v>
      </c>
      <c r="H4539" t="n">
        <v>343</v>
      </c>
      <c r="J4539" t="inlineStr">
        <is>
          <t>El Toro - Port Adriano</t>
        </is>
      </c>
      <c r="K4539" t="n">
        <v>34.7</v>
      </c>
      <c r="L4539" t="n">
        <v>32</v>
      </c>
      <c r="M4539" t="n">
        <v>77.40000000000001</v>
      </c>
      <c r="N4539" t="n">
        <v>65</v>
      </c>
      <c r="O4539" t="n">
        <v>18.7</v>
      </c>
      <c r="P4539" t="n">
        <v>23</v>
      </c>
      <c r="Q4539" t="n">
        <v>75.09999999999999</v>
      </c>
      <c r="R4539" t="n">
        <v>61</v>
      </c>
      <c r="S4539" t="n">
        <v>3690000</v>
      </c>
      <c r="T4539" t="n">
        <v>10758</v>
      </c>
      <c r="U4539" t="n">
        <v>7395</v>
      </c>
      <c r="AH4539" t="inlineStr">
        <is>
          <t>Quelle: Pollentia Properties</t>
        </is>
      </c>
    </row>
    <row r="4540">
      <c r="A4540" t="n">
        <v>4353</v>
      </c>
      <c r="B4540" t="inlineStr">
        <is>
          <t>Villa for sale in Sa Cabaneta totally refurbished to a high standard</t>
        </is>
      </c>
      <c r="C4540" t="inlineStr">
        <is>
          <t>https://www.pollentiaproperties.com/en/property/id/913029-villa-for-sale-sa-cabaneta-totally-refurbished-high-standard-guest-house</t>
        </is>
      </c>
      <c r="E4540" t="n">
        <v>6</v>
      </c>
      <c r="G4540" t="n">
        <v>2</v>
      </c>
      <c r="H4540" t="n">
        <v>700</v>
      </c>
      <c r="J4540" t="inlineStr">
        <is>
          <t>Sa Cabaneta</t>
        </is>
      </c>
      <c r="K4540" t="n">
        <v>13.6</v>
      </c>
      <c r="L4540" t="n">
        <v>19</v>
      </c>
      <c r="M4540" t="n">
        <v>56.8</v>
      </c>
      <c r="N4540" t="n">
        <v>52</v>
      </c>
      <c r="O4540" t="n">
        <v>42.9</v>
      </c>
      <c r="P4540" t="n">
        <v>38</v>
      </c>
      <c r="Q4540" t="n">
        <v>54.5</v>
      </c>
      <c r="R4540" t="n">
        <v>48</v>
      </c>
      <c r="S4540" t="n">
        <v>1895000</v>
      </c>
      <c r="T4540" t="n">
        <v>2707</v>
      </c>
      <c r="U4540" t="n">
        <v>947500</v>
      </c>
      <c r="AH4540" t="inlineStr">
        <is>
          <t>Quelle: Pollentia Properties</t>
        </is>
      </c>
    </row>
    <row r="4541">
      <c r="A4541" t="n">
        <v>4354</v>
      </c>
      <c r="B4541" t="inlineStr">
        <is>
          <t>Country home for sale in Llucmajor, in beautiful and peaceful location</t>
        </is>
      </c>
      <c r="C4541" t="inlineStr">
        <is>
          <t>https://www.pollentiaproperties.com/en/property/id/912902-country-home-for-sale-llucmajor-beautiful-peaceful-location</t>
        </is>
      </c>
      <c r="E4541" t="n">
        <v>4</v>
      </c>
      <c r="G4541" t="n">
        <v>14</v>
      </c>
      <c r="H4541" t="n">
        <v>287</v>
      </c>
      <c r="J4541" t="inlineStr">
        <is>
          <t>Llucmajor</t>
        </is>
      </c>
      <c r="K4541" t="n">
        <v>22</v>
      </c>
      <c r="L4541" t="n">
        <v>21</v>
      </c>
      <c r="M4541" t="n">
        <v>28.2</v>
      </c>
      <c r="N4541" t="n">
        <v>33</v>
      </c>
      <c r="O4541" t="n">
        <v>60.2</v>
      </c>
      <c r="P4541" t="n">
        <v>48</v>
      </c>
      <c r="Q4541" t="n">
        <v>25.9</v>
      </c>
      <c r="R4541" t="n">
        <v>29</v>
      </c>
      <c r="S4541" t="n">
        <v>1295000</v>
      </c>
      <c r="T4541" t="n">
        <v>4512</v>
      </c>
      <c r="U4541" t="n">
        <v>92500</v>
      </c>
      <c r="AH4541" t="inlineStr">
        <is>
          <t>Quelle: Pollentia Properties</t>
        </is>
      </c>
    </row>
    <row r="4542">
      <c r="A4542" t="n">
        <v>4355</v>
      </c>
      <c r="B4542" t="inlineStr">
        <is>
          <t>Penthouse apartment for sale in Palma Old Town totally refurbished</t>
        </is>
      </c>
      <c r="C4542" t="inlineStr">
        <is>
          <t>https://www.pollentiaproperties.com/en/property/id/912811-penthouse-apartment-for-sale-palma-old-town-totally-refurbished</t>
        </is>
      </c>
      <c r="E4542" t="n">
        <v>4</v>
      </c>
      <c r="H4542" t="n">
        <v>161</v>
      </c>
      <c r="J4542" t="inlineStr">
        <is>
          <t>Palma Casco Antiguo</t>
        </is>
      </c>
      <c r="K4542" t="n">
        <v>9.699999999999999</v>
      </c>
      <c r="L4542" t="n">
        <v>14</v>
      </c>
      <c r="M4542" t="n">
        <v>52.5</v>
      </c>
      <c r="N4542" t="n">
        <v>47</v>
      </c>
      <c r="O4542" t="n">
        <v>32.1</v>
      </c>
      <c r="P4542" t="n">
        <v>36</v>
      </c>
      <c r="Q4542" t="n">
        <v>50.2</v>
      </c>
      <c r="R4542" t="n">
        <v>44</v>
      </c>
      <c r="S4542" t="n">
        <v>1595000</v>
      </c>
      <c r="T4542" t="n">
        <v>9907</v>
      </c>
      <c r="AH4542" t="inlineStr">
        <is>
          <t>Quelle: Pollentia Properties</t>
        </is>
      </c>
    </row>
    <row r="4543">
      <c r="A4543" t="n">
        <v>4356</v>
      </c>
      <c r="B4543" t="inlineStr">
        <is>
          <t>New build luxury apartments for sale in Santa Catalina, Palma</t>
        </is>
      </c>
      <c r="C4543" t="inlineStr">
        <is>
          <t>https://www.pollentiaproperties.com/en/property/id/912776-apartment-for-sale-santa-catalina-palma-new-development-community-pool</t>
        </is>
      </c>
      <c r="E4543" t="n">
        <v>2</v>
      </c>
      <c r="H4543" t="n">
        <v>153</v>
      </c>
      <c r="J4543" t="inlineStr">
        <is>
          <t>Santa Catalina</t>
        </is>
      </c>
      <c r="K4543" t="n">
        <v>11.2</v>
      </c>
      <c r="L4543" t="n">
        <v>19</v>
      </c>
      <c r="M4543" t="n">
        <v>54</v>
      </c>
      <c r="N4543" t="n">
        <v>51</v>
      </c>
      <c r="O4543" t="n">
        <v>29.1</v>
      </c>
      <c r="P4543" t="n">
        <v>31</v>
      </c>
      <c r="Q4543" t="n">
        <v>51.7</v>
      </c>
      <c r="R4543" t="n">
        <v>48</v>
      </c>
      <c r="S4543" t="n">
        <v>1780000</v>
      </c>
      <c r="T4543" t="n">
        <v>11634</v>
      </c>
      <c r="AH4543" t="inlineStr">
        <is>
          <t>Quelle: Pollentia Properties</t>
        </is>
      </c>
    </row>
    <row r="4544">
      <c r="A4544" t="n">
        <v>4357</v>
      </c>
      <c r="B4544" t="inlineStr">
        <is>
          <t>New build luxury apartments for sale in Santa Catalina, Palma</t>
        </is>
      </c>
      <c r="C4544" t="inlineStr">
        <is>
          <t>https://www.pollentiaproperties.com/en/property/id/912775-apartment-for-sale-santa-catalina-palma-new-development-community-pool</t>
        </is>
      </c>
      <c r="E4544" t="n">
        <v>2</v>
      </c>
      <c r="H4544" t="n">
        <v>105</v>
      </c>
      <c r="J4544" t="inlineStr">
        <is>
          <t>Santa Catalina</t>
        </is>
      </c>
      <c r="K4544" t="n">
        <v>11.2</v>
      </c>
      <c r="L4544" t="n">
        <v>19</v>
      </c>
      <c r="M4544" t="n">
        <v>54</v>
      </c>
      <c r="N4544" t="n">
        <v>51</v>
      </c>
      <c r="O4544" t="n">
        <v>29.1</v>
      </c>
      <c r="P4544" t="n">
        <v>31</v>
      </c>
      <c r="Q4544" t="n">
        <v>51.7</v>
      </c>
      <c r="R4544" t="n">
        <v>48</v>
      </c>
      <c r="S4544" t="n">
        <v>1970000</v>
      </c>
      <c r="T4544" t="n">
        <v>18762</v>
      </c>
      <c r="AH4544" t="inlineStr">
        <is>
          <t>Quelle: Pollentia Properties</t>
        </is>
      </c>
    </row>
    <row r="4545">
      <c r="A4545" t="n">
        <v>4358</v>
      </c>
      <c r="B4545" t="inlineStr">
        <is>
          <t>Country house for sale in Pollensa, with fantastic features</t>
        </is>
      </c>
      <c r="C4545" t="inlineStr">
        <is>
          <t>https://www.pollentiaproperties.com/en/property/id/912672-country-house-for-sale-pollensa-top-quality-great-accommodation</t>
        </is>
      </c>
      <c r="E4545" t="n">
        <v>4</v>
      </c>
      <c r="G4545" t="n">
        <v>20</v>
      </c>
      <c r="H4545" t="n">
        <v>520</v>
      </c>
      <c r="J4545" t="inlineStr">
        <is>
          <t>Pollença</t>
        </is>
      </c>
      <c r="K4545" t="n">
        <v>60.6</v>
      </c>
      <c r="L4545" t="n">
        <v>47</v>
      </c>
      <c r="M4545" t="n">
        <v>78.7</v>
      </c>
      <c r="N4545" t="n">
        <v>74</v>
      </c>
      <c r="O4545" t="n">
        <v>83.2</v>
      </c>
      <c r="P4545" t="n">
        <v>63</v>
      </c>
      <c r="Q4545" t="n">
        <v>76.40000000000001</v>
      </c>
      <c r="R4545" t="n">
        <v>70</v>
      </c>
      <c r="S4545" t="n">
        <v>5400000</v>
      </c>
      <c r="T4545" t="n">
        <v>10385</v>
      </c>
      <c r="U4545" t="n">
        <v>270000</v>
      </c>
      <c r="AH4545" t="inlineStr">
        <is>
          <t>Quelle: Pollentia Properties</t>
        </is>
      </c>
    </row>
    <row r="4546">
      <c r="A4546" t="n">
        <v>4359</v>
      </c>
      <c r="B4546" t="inlineStr">
        <is>
          <t>Penthouse apartment for sale in Cas Català with private roof terrace</t>
        </is>
      </c>
      <c r="C4546" t="inlineStr">
        <is>
          <t>https://www.pollentiaproperties.com/en/property/id/912310-penthouse-apartment-for-sale-cas-catala-stylishly-renovated-rooftop-terrace</t>
        </is>
      </c>
      <c r="E4546" t="n">
        <v>4</v>
      </c>
      <c r="H4546" t="n">
        <v>170</v>
      </c>
      <c r="J4546" t="inlineStr">
        <is>
          <t>Cas Català</t>
        </is>
      </c>
      <c r="K4546" t="n">
        <v>20</v>
      </c>
      <c r="L4546" t="n">
        <v>22</v>
      </c>
      <c r="M4546" t="n">
        <v>62.8</v>
      </c>
      <c r="N4546" t="n">
        <v>55</v>
      </c>
      <c r="O4546" t="n">
        <v>23.7</v>
      </c>
      <c r="P4546" t="n">
        <v>23</v>
      </c>
      <c r="Q4546" t="n">
        <v>60.5</v>
      </c>
      <c r="R4546" t="n">
        <v>51</v>
      </c>
      <c r="S4546" t="n">
        <v>1590000</v>
      </c>
      <c r="T4546" t="n">
        <v>9353</v>
      </c>
      <c r="AH4546" t="inlineStr">
        <is>
          <t>Quelle: Pollentia Properties</t>
        </is>
      </c>
    </row>
    <row r="4547">
      <c r="A4547" t="n">
        <v>4360</v>
      </c>
      <c r="B4547" t="inlineStr">
        <is>
          <t>Apartment for sale in Sa Rápita ground floor with private garden</t>
        </is>
      </c>
      <c r="C4547" t="inlineStr">
        <is>
          <t>https://www.pollentiaproperties.com/en/property/id/912226-apartment-for-sale-sa-rapita-ground-floor-private-garden-community-pool</t>
        </is>
      </c>
      <c r="E4547" t="n">
        <v>2</v>
      </c>
      <c r="H4547" t="n">
        <v>100</v>
      </c>
      <c r="J4547" t="inlineStr">
        <is>
          <t>La Rapita</t>
        </is>
      </c>
      <c r="S4547" t="n">
        <v>590000</v>
      </c>
      <c r="T4547" t="n">
        <v>5900</v>
      </c>
      <c r="AH4547" t="inlineStr">
        <is>
          <t>Quelle: Pollentia Properties</t>
        </is>
      </c>
    </row>
    <row r="4548">
      <c r="A4548" t="n">
        <v>4361</v>
      </c>
      <c r="B4548" t="inlineStr">
        <is>
          <t>Townhouse for sale in Pollença, under renovation with private pool</t>
        </is>
      </c>
      <c r="C4548" t="inlineStr">
        <is>
          <t>https://www.pollentiaproperties.com/en/property/id/912076-townhouse-for-sale-pollensa-under-renovation-private-pool</t>
        </is>
      </c>
      <c r="E4548" t="n">
        <v>4</v>
      </c>
      <c r="G4548" t="n">
        <v>113</v>
      </c>
      <c r="H4548" t="n">
        <v>165</v>
      </c>
      <c r="J4548" t="inlineStr">
        <is>
          <t>Pollença Pueblo</t>
        </is>
      </c>
      <c r="K4548" t="n">
        <v>60.6</v>
      </c>
      <c r="L4548" t="n">
        <v>47</v>
      </c>
      <c r="M4548" t="n">
        <v>78.7</v>
      </c>
      <c r="N4548" t="n">
        <v>74</v>
      </c>
      <c r="O4548" t="n">
        <v>83.2</v>
      </c>
      <c r="P4548" t="n">
        <v>63</v>
      </c>
      <c r="Q4548" t="n">
        <v>76.40000000000001</v>
      </c>
      <c r="R4548" t="n">
        <v>70</v>
      </c>
      <c r="S4548" t="n">
        <v>1650000</v>
      </c>
      <c r="T4548" t="n">
        <v>10000</v>
      </c>
      <c r="U4548" t="n">
        <v>14602</v>
      </c>
      <c r="AH4548" t="inlineStr">
        <is>
          <t>Quelle: Pollentia Properties</t>
        </is>
      </c>
    </row>
    <row r="4549">
      <c r="A4549" t="n">
        <v>4362</v>
      </c>
      <c r="B4549" t="inlineStr">
        <is>
          <t>Apartment for sale in Sa Coma,  in new complex under construction</t>
        </is>
      </c>
      <c r="C4549" t="inlineStr">
        <is>
          <t>https://www.pollentiaproperties.com/en/property/id/911988-apartment-sale-sa-coma-completion-2024-investment</t>
        </is>
      </c>
      <c r="E4549" t="n">
        <v>3</v>
      </c>
      <c r="H4549" t="n">
        <v>238</v>
      </c>
      <c r="J4549" t="inlineStr">
        <is>
          <t>Sa Coma</t>
        </is>
      </c>
      <c r="S4549" t="n">
        <v>612000</v>
      </c>
      <c r="T4549" t="n">
        <v>2571</v>
      </c>
      <c r="AH4549" t="inlineStr">
        <is>
          <t>Quelle: Pollentia Properties</t>
        </is>
      </c>
    </row>
    <row r="4550">
      <c r="A4550" t="n">
        <v>4363</v>
      </c>
      <c r="B4550" t="inlineStr">
        <is>
          <t>Villa for sale in Santa Ponsa luxury property in stunning location</t>
        </is>
      </c>
      <c r="C4550" t="inlineStr">
        <is>
          <t>https://www.pollentiaproperties.com/en/property/id/911758-villa-for-sale-santa-ponsa-luxury-property-stunning-location</t>
        </is>
      </c>
      <c r="E4550" t="n">
        <v>6</v>
      </c>
      <c r="G4550" t="n">
        <v>2</v>
      </c>
      <c r="H4550" t="n">
        <v>913</v>
      </c>
      <c r="J4550" t="inlineStr">
        <is>
          <t>Santa Ponsa</t>
        </is>
      </c>
      <c r="K4550" t="n">
        <v>31.1</v>
      </c>
      <c r="L4550" t="n">
        <v>28</v>
      </c>
      <c r="M4550" t="n">
        <v>73.90000000000001</v>
      </c>
      <c r="N4550" t="n">
        <v>61</v>
      </c>
      <c r="O4550" t="n">
        <v>15.2</v>
      </c>
      <c r="P4550" t="n">
        <v>19</v>
      </c>
      <c r="Q4550" t="n">
        <v>71.59999999999999</v>
      </c>
      <c r="R4550" t="n">
        <v>57</v>
      </c>
      <c r="S4550" t="n">
        <v>8900000</v>
      </c>
      <c r="T4550" t="n">
        <v>9748</v>
      </c>
      <c r="U4550" t="n">
        <v>4450000</v>
      </c>
      <c r="AH4550" t="inlineStr">
        <is>
          <t>Quelle: Pollentia Properties</t>
        </is>
      </c>
    </row>
    <row r="4551">
      <c r="A4551" t="n">
        <v>4364</v>
      </c>
      <c r="B4551" t="inlineStr">
        <is>
          <t>Rental license</t>
        </is>
      </c>
      <c r="C4551" t="inlineStr">
        <is>
          <t>https://www.pollentiaproperties.com/en/property/id/911738-villa-for-sale-la-vileta-palma-garden-pool-great-location</t>
        </is>
      </c>
      <c r="E4551" t="n">
        <v>6</v>
      </c>
      <c r="G4551" t="n">
        <v>925</v>
      </c>
      <c r="H4551" t="n">
        <v>434</v>
      </c>
      <c r="J4551" t="inlineStr">
        <is>
          <t>La Vileta Palma Garden Pool Great Location</t>
        </is>
      </c>
      <c r="K4551" t="n">
        <v>18.8</v>
      </c>
      <c r="L4551" t="n">
        <v>21</v>
      </c>
      <c r="M4551" t="n">
        <v>61.6</v>
      </c>
      <c r="N4551" t="n">
        <v>54</v>
      </c>
      <c r="O4551" t="n">
        <v>30.7</v>
      </c>
      <c r="P4551" t="n">
        <v>30</v>
      </c>
      <c r="Q4551" t="n">
        <v>59.3</v>
      </c>
      <c r="R4551" t="n">
        <v>51</v>
      </c>
      <c r="S4551" t="n">
        <v>2490000</v>
      </c>
      <c r="T4551" t="n">
        <v>5737</v>
      </c>
      <c r="U4551" t="n">
        <v>2692</v>
      </c>
      <c r="AH4551" t="inlineStr">
        <is>
          <t>Quelle: Pollentia Properties</t>
        </is>
      </c>
    </row>
    <row r="4552">
      <c r="A4552" t="n">
        <v>4365</v>
      </c>
      <c r="B4552" t="inlineStr">
        <is>
          <t>Villa for sale in Son Vida, exquisitely refurbished</t>
        </is>
      </c>
      <c r="C4552" t="inlineStr">
        <is>
          <t>https://www.pollentiaproperties.com/en/property/id/911732-villa-for-sale-son-vida-amazing-panoramic-sea-views</t>
        </is>
      </c>
      <c r="E4552" t="n">
        <v>5</v>
      </c>
      <c r="G4552" t="n">
        <v>1</v>
      </c>
      <c r="H4552" t="n">
        <v>537</v>
      </c>
      <c r="J4552" t="inlineStr">
        <is>
          <t>Son Vida</t>
        </is>
      </c>
      <c r="K4552" t="n">
        <v>19.2</v>
      </c>
      <c r="L4552" t="n">
        <v>22</v>
      </c>
      <c r="M4552" t="n">
        <v>61.9</v>
      </c>
      <c r="N4552" t="n">
        <v>55</v>
      </c>
      <c r="O4552" t="n">
        <v>31</v>
      </c>
      <c r="P4552" t="n">
        <v>31</v>
      </c>
      <c r="Q4552" t="n">
        <v>59.6</v>
      </c>
      <c r="R4552" t="n">
        <v>51</v>
      </c>
      <c r="S4552" t="n">
        <v>3970000</v>
      </c>
      <c r="T4552" t="n">
        <v>7393</v>
      </c>
      <c r="U4552" t="n">
        <v>3970000</v>
      </c>
      <c r="AH4552" t="inlineStr">
        <is>
          <t>Quelle: Pollentia Properties</t>
        </is>
      </c>
    </row>
    <row r="4553">
      <c r="A4553" t="n">
        <v>4366</v>
      </c>
      <c r="B4553" t="inlineStr">
        <is>
          <t>Villa for sale in Costa d'en Blanes with stunning views all around</t>
        </is>
      </c>
      <c r="C4553" t="inlineStr">
        <is>
          <t>https://www.pollentiaproperties.com/en/property/id/911728-villa-for-sale-costa-blanes-lovely-views-all-around-luxury-interior</t>
        </is>
      </c>
      <c r="E4553" t="n">
        <v>4</v>
      </c>
      <c r="G4553" t="n">
        <v>1</v>
      </c>
      <c r="H4553" t="n">
        <v>401</v>
      </c>
      <c r="J4553" t="inlineStr">
        <is>
          <t>Costa D´en Blanes</t>
        </is>
      </c>
      <c r="K4553" t="n">
        <v>23.3</v>
      </c>
      <c r="L4553" t="n">
        <v>21</v>
      </c>
      <c r="M4553" t="n">
        <v>66.09999999999999</v>
      </c>
      <c r="N4553" t="n">
        <v>54</v>
      </c>
      <c r="O4553" t="n">
        <v>21</v>
      </c>
      <c r="P4553" t="n">
        <v>21</v>
      </c>
      <c r="Q4553" t="n">
        <v>63.8</v>
      </c>
      <c r="R4553" t="n">
        <v>51</v>
      </c>
      <c r="S4553" t="n">
        <v>4800000</v>
      </c>
      <c r="T4553" t="n">
        <v>11970</v>
      </c>
      <c r="U4553" t="n">
        <v>4800000</v>
      </c>
      <c r="AH4553" t="inlineStr">
        <is>
          <t>Quelle: Pollentia Properties</t>
        </is>
      </c>
    </row>
    <row r="4554">
      <c r="A4554" t="n">
        <v>4367</v>
      </c>
      <c r="B4554" t="inlineStr">
        <is>
          <t>Apartment for sale in Alcudia, recently converted into stylish loft</t>
        </is>
      </c>
      <c r="C4554" t="inlineStr">
        <is>
          <t>https://www.pollentiaproperties.com/en/property/id/911660-apartment-for-sale-alcudia-project-conversion</t>
        </is>
      </c>
      <c r="E4554" t="n">
        <v>1</v>
      </c>
      <c r="H4554" t="n">
        <v>74</v>
      </c>
      <c r="J4554" t="inlineStr">
        <is>
          <t>Alcudia Pueblo</t>
        </is>
      </c>
      <c r="AH4554" t="inlineStr">
        <is>
          <t>Quelle: Pollentia Properties</t>
        </is>
      </c>
    </row>
    <row r="4555">
      <c r="A4555" t="n">
        <v>4368</v>
      </c>
      <c r="B4555" t="inlineStr">
        <is>
          <t>Town house for sale in Alcudia, recently converted into stylish loft</t>
        </is>
      </c>
      <c r="C4555" t="inlineStr">
        <is>
          <t>https://www.pollentiaproperties.com/en/property/id/911658-town-house-for-sale-alcudia-conversion-project</t>
        </is>
      </c>
      <c r="E4555" t="n">
        <v>1</v>
      </c>
      <c r="H4555" t="n">
        <v>74</v>
      </c>
      <c r="J4555" t="inlineStr">
        <is>
          <t>Alcudia Pueblo</t>
        </is>
      </c>
      <c r="AH4555" t="inlineStr">
        <is>
          <t>Quelle: Pollentia Properties</t>
        </is>
      </c>
    </row>
    <row r="4556">
      <c r="A4556" t="n">
        <v>4369</v>
      </c>
      <c r="B4556" t="inlineStr">
        <is>
          <t>Town house for sale in Sineu project with pool and garage</t>
        </is>
      </c>
      <c r="C4556" t="inlineStr">
        <is>
          <t>https://www.pollentiaproperties.com/en/property/id/911249-town-house-for-sale-sineu-project-pool-garage</t>
        </is>
      </c>
      <c r="E4556" t="n">
        <v>3</v>
      </c>
      <c r="H4556" t="n">
        <v>304</v>
      </c>
      <c r="J4556" t="inlineStr">
        <is>
          <t>Sineu</t>
        </is>
      </c>
      <c r="K4556" t="n">
        <v>34.8</v>
      </c>
      <c r="L4556" t="n">
        <v>35</v>
      </c>
      <c r="M4556" t="n">
        <v>42.6</v>
      </c>
      <c r="N4556" t="n">
        <v>44</v>
      </c>
      <c r="O4556" t="n">
        <v>66.59999999999999</v>
      </c>
      <c r="P4556" t="n">
        <v>56</v>
      </c>
      <c r="Q4556" t="n">
        <v>40.3</v>
      </c>
      <c r="R4556" t="n">
        <v>40</v>
      </c>
      <c r="S4556" t="n">
        <v>1595000</v>
      </c>
      <c r="T4556" t="n">
        <v>5247</v>
      </c>
      <c r="AH4556" t="inlineStr">
        <is>
          <t>Quelle: Pollentia Properties</t>
        </is>
      </c>
    </row>
    <row r="4557">
      <c r="A4557" t="n">
        <v>4370</v>
      </c>
      <c r="B4557" t="inlineStr">
        <is>
          <t>Town house for sale in Sineu project with pool and garage</t>
        </is>
      </c>
      <c r="C4557" t="inlineStr">
        <is>
          <t>https://www.pollentiaproperties.com/en/property/id/911248-town-house-for-sale-sineu-project-pool-garage</t>
        </is>
      </c>
      <c r="E4557" t="n">
        <v>3</v>
      </c>
      <c r="H4557" t="n">
        <v>295</v>
      </c>
      <c r="J4557" t="inlineStr">
        <is>
          <t>Sineu</t>
        </is>
      </c>
      <c r="K4557" t="n">
        <v>34.8</v>
      </c>
      <c r="L4557" t="n">
        <v>35</v>
      </c>
      <c r="M4557" t="n">
        <v>42.6</v>
      </c>
      <c r="N4557" t="n">
        <v>44</v>
      </c>
      <c r="O4557" t="n">
        <v>66.59999999999999</v>
      </c>
      <c r="P4557" t="n">
        <v>56</v>
      </c>
      <c r="Q4557" t="n">
        <v>40.3</v>
      </c>
      <c r="R4557" t="n">
        <v>40</v>
      </c>
      <c r="S4557" t="n">
        <v>1350000</v>
      </c>
      <c r="T4557" t="n">
        <v>4576</v>
      </c>
      <c r="AH4557" t="inlineStr">
        <is>
          <t>Quelle: Pollentia Properties</t>
        </is>
      </c>
    </row>
    <row r="4558">
      <c r="A4558" t="n">
        <v>4371</v>
      </c>
      <c r="B4558" t="inlineStr">
        <is>
          <t>Villa for sale in Colonia Sant Pere potential for a dream home</t>
        </is>
      </c>
      <c r="C4558" t="inlineStr">
        <is>
          <t>https://www.pollentiaproperties.com/en/property/id/910935-villa-for-sale-colonia-sant-pere-potential--dream-home</t>
        </is>
      </c>
      <c r="E4558" t="n">
        <v>6</v>
      </c>
      <c r="G4558" t="n">
        <v>849</v>
      </c>
      <c r="H4558" t="n">
        <v>685</v>
      </c>
      <c r="J4558" t="inlineStr">
        <is>
          <t>Colònia de Sant Pere</t>
        </is>
      </c>
      <c r="K4558" t="n">
        <v>70</v>
      </c>
      <c r="L4558" t="n">
        <v>60</v>
      </c>
      <c r="M4558" t="n">
        <v>65.40000000000001</v>
      </c>
      <c r="N4558" t="n">
        <v>63</v>
      </c>
      <c r="O4558" t="n">
        <v>105.9</v>
      </c>
      <c r="P4558" t="n">
        <v>84</v>
      </c>
      <c r="Q4558" t="n">
        <v>63.1</v>
      </c>
      <c r="R4558" t="n">
        <v>60</v>
      </c>
      <c r="S4558" t="n">
        <v>3000000</v>
      </c>
      <c r="T4558" t="n">
        <v>4380</v>
      </c>
      <c r="U4558" t="n">
        <v>3534</v>
      </c>
      <c r="AH4558" t="inlineStr">
        <is>
          <t>Quelle: Pollentia Properties</t>
        </is>
      </c>
    </row>
    <row r="4559">
      <c r="A4559" t="n">
        <v>4372</v>
      </c>
      <c r="B4559" t="inlineStr">
        <is>
          <t>Townhouse for sale in Pollensa Old Town, beautifully renovated in perfect location</t>
        </is>
      </c>
      <c r="C4559" t="inlineStr">
        <is>
          <t>https://www.pollentiaproperties.com/en/property/id/910750-townhouse-sale-pollensa-beautifully-renovated--perfect-location</t>
        </is>
      </c>
      <c r="E4559" t="n">
        <v>4</v>
      </c>
      <c r="G4559" t="n">
        <v>77</v>
      </c>
      <c r="H4559" t="n">
        <v>200</v>
      </c>
      <c r="J4559" t="inlineStr">
        <is>
          <t>Pollença Pueblo</t>
        </is>
      </c>
      <c r="S4559" t="n">
        <v>735000</v>
      </c>
      <c r="T4559" t="n">
        <v>3675</v>
      </c>
      <c r="U4559" t="n">
        <v>9545</v>
      </c>
      <c r="AH4559" t="inlineStr">
        <is>
          <t>Quelle: Pollentia Properties</t>
        </is>
      </c>
    </row>
    <row r="4560">
      <c r="A4560" t="n">
        <v>4373</v>
      </c>
      <c r="B4560" t="inlineStr">
        <is>
          <t>Penthouse apartment for sale in Santa Ponsa in luxury complex</t>
        </is>
      </c>
      <c r="C4560" t="inlineStr">
        <is>
          <t>https://www.pollentiaproperties.com/en/property/id/910743-penthouse-for-sale-santa-ponsa-luxury-complex-private-rooftop-pool</t>
        </is>
      </c>
      <c r="E4560" t="n">
        <v>2</v>
      </c>
      <c r="H4560" t="n">
        <v>106</v>
      </c>
      <c r="J4560" t="inlineStr">
        <is>
          <t>Santa Ponsa</t>
        </is>
      </c>
      <c r="K4560" t="n">
        <v>31.1</v>
      </c>
      <c r="L4560" t="n">
        <v>28</v>
      </c>
      <c r="M4560" t="n">
        <v>73.90000000000001</v>
      </c>
      <c r="N4560" t="n">
        <v>61</v>
      </c>
      <c r="O4560" t="n">
        <v>15.2</v>
      </c>
      <c r="P4560" t="n">
        <v>19</v>
      </c>
      <c r="Q4560" t="n">
        <v>71.59999999999999</v>
      </c>
      <c r="R4560" t="n">
        <v>57</v>
      </c>
      <c r="S4560" t="n">
        <v>1085000</v>
      </c>
      <c r="T4560" t="n">
        <v>10236</v>
      </c>
      <c r="AH4560" t="inlineStr">
        <is>
          <t>Quelle: Pollentia Properties</t>
        </is>
      </c>
    </row>
    <row r="4561">
      <c r="A4561" t="n">
        <v>4374</v>
      </c>
      <c r="B4561" t="inlineStr">
        <is>
          <t>Building plot for sale in Puerto Alcudia with project for a villa</t>
        </is>
      </c>
      <c r="C4561" t="inlineStr">
        <is>
          <t>https://www.pollentiaproperties.com/en/property/id/910569-building-plot-for-sale-puerto-alcudia-project-building-license</t>
        </is>
      </c>
      <c r="G4561" t="n">
        <v>381</v>
      </c>
      <c r="H4561" t="n">
        <v>167</v>
      </c>
      <c r="J4561" t="inlineStr">
        <is>
          <t>Alcúdia</t>
        </is>
      </c>
      <c r="S4561" t="n">
        <v>536000</v>
      </c>
      <c r="T4561" t="n">
        <v>3210</v>
      </c>
      <c r="U4561" t="n">
        <v>1407</v>
      </c>
      <c r="AH4561" t="inlineStr">
        <is>
          <t>Quelle: Pollentia Properties</t>
        </is>
      </c>
    </row>
    <row r="4562">
      <c r="A4562" t="n">
        <v>4375</v>
      </c>
      <c r="B4562" t="inlineStr">
        <is>
          <t>Country house for sale in Pollensa with rustic charm</t>
        </is>
      </c>
      <c r="C4562" t="inlineStr">
        <is>
          <t>https://www.pollentiaproperties.com/en/property/id/910207-cpuntry-house-for-sale-pollensa-rustic-charm-garden-pool</t>
        </is>
      </c>
      <c r="E4562" t="n">
        <v>4</v>
      </c>
      <c r="G4562" t="n">
        <v>2</v>
      </c>
      <c r="H4562" t="n">
        <v>261</v>
      </c>
      <c r="J4562" t="inlineStr">
        <is>
          <t>Pollença</t>
        </is>
      </c>
      <c r="K4562" t="n">
        <v>60.6</v>
      </c>
      <c r="L4562" t="n">
        <v>47</v>
      </c>
      <c r="M4562" t="n">
        <v>78.7</v>
      </c>
      <c r="N4562" t="n">
        <v>74</v>
      </c>
      <c r="O4562" t="n">
        <v>83.2</v>
      </c>
      <c r="P4562" t="n">
        <v>63</v>
      </c>
      <c r="Q4562" t="n">
        <v>76.40000000000001</v>
      </c>
      <c r="R4562" t="n">
        <v>70</v>
      </c>
      <c r="S4562" t="n">
        <v>1395000</v>
      </c>
      <c r="T4562" t="n">
        <v>5345</v>
      </c>
      <c r="U4562" t="n">
        <v>697500</v>
      </c>
      <c r="AH4562" t="inlineStr">
        <is>
          <t>Quelle: Pollentia Properties</t>
        </is>
      </c>
    </row>
    <row r="4563">
      <c r="A4563" t="n">
        <v>4376</v>
      </c>
      <c r="B4563" t="inlineStr">
        <is>
          <t>New build luxury flats for sale in Santa Catalina, Palma</t>
        </is>
      </c>
      <c r="C4563" t="inlineStr">
        <is>
          <t>https://www.pollentiaproperties.com/en/property/id/910189-apartment-for-sale-santa-catalina-palma-new-development-community-pool</t>
        </is>
      </c>
      <c r="E4563" t="n">
        <v>2</v>
      </c>
      <c r="H4563" t="n">
        <v>95</v>
      </c>
      <c r="J4563" t="inlineStr">
        <is>
          <t>Santa Catalina</t>
        </is>
      </c>
      <c r="K4563" t="n">
        <v>11.2</v>
      </c>
      <c r="L4563" t="n">
        <v>19</v>
      </c>
      <c r="M4563" t="n">
        <v>54</v>
      </c>
      <c r="N4563" t="n">
        <v>51</v>
      </c>
      <c r="O4563" t="n">
        <v>29.1</v>
      </c>
      <c r="P4563" t="n">
        <v>31</v>
      </c>
      <c r="Q4563" t="n">
        <v>51.7</v>
      </c>
      <c r="R4563" t="n">
        <v>48</v>
      </c>
      <c r="S4563" t="n">
        <v>1320000</v>
      </c>
      <c r="T4563" t="n">
        <v>13895</v>
      </c>
      <c r="AH4563" t="inlineStr">
        <is>
          <t>Quelle: Pollentia Properties</t>
        </is>
      </c>
    </row>
    <row r="4564">
      <c r="A4564" t="n">
        <v>4377</v>
      </c>
      <c r="B4564" t="inlineStr">
        <is>
          <t>Townhouse for sale in Sineu in peaceful green setting</t>
        </is>
      </c>
      <c r="C4564" t="inlineStr">
        <is>
          <t>https://www.pollentiaproperties.com/en/property/id/910171-townhouse-sale-sineu-new-project-construction</t>
        </is>
      </c>
      <c r="E4564" t="n">
        <v>3</v>
      </c>
      <c r="G4564" t="n">
        <v>75</v>
      </c>
      <c r="H4564" t="n">
        <v>140</v>
      </c>
      <c r="J4564" t="inlineStr">
        <is>
          <t>Sineu</t>
        </is>
      </c>
      <c r="AH4564" t="inlineStr">
        <is>
          <t>Quelle: Pollentia Properties</t>
        </is>
      </c>
    </row>
    <row r="4565">
      <c r="A4565" t="n">
        <v>4378</v>
      </c>
      <c r="B4565" t="inlineStr">
        <is>
          <t>Townhouse for sale in Sineu in countryside location</t>
        </is>
      </c>
      <c r="C4565" t="inlineStr">
        <is>
          <t>https://www.pollentiaproperties.com/en/property/id/910170-townhouse-sale-sineu-new-project-construction</t>
        </is>
      </c>
      <c r="E4565" t="n">
        <v>3</v>
      </c>
      <c r="G4565" t="n">
        <v>95</v>
      </c>
      <c r="H4565" t="n">
        <v>140</v>
      </c>
      <c r="J4565" t="inlineStr">
        <is>
          <t>Sineu</t>
        </is>
      </c>
      <c r="AH4565" t="inlineStr">
        <is>
          <t>Quelle: Pollentia Properties</t>
        </is>
      </c>
    </row>
    <row r="4566">
      <c r="A4566" t="n">
        <v>4379</v>
      </c>
      <c r="B4566" t="inlineStr">
        <is>
          <t>New townhouse for sale in Sineu in nature-friendly zone</t>
        </is>
      </c>
      <c r="C4566" t="inlineStr">
        <is>
          <t>https://www.pollentiaproperties.com/en/property/id/910168-townhouse-sale-sineu-new-project-construction</t>
        </is>
      </c>
      <c r="E4566" t="n">
        <v>3</v>
      </c>
      <c r="G4566" t="n">
        <v>20</v>
      </c>
      <c r="H4566" t="n">
        <v>140</v>
      </c>
      <c r="J4566" t="inlineStr">
        <is>
          <t>Sineu</t>
        </is>
      </c>
      <c r="AH4566" t="inlineStr">
        <is>
          <t>Quelle: Pollentia Properties</t>
        </is>
      </c>
    </row>
    <row r="4567">
      <c r="A4567" t="n">
        <v>4380</v>
      </c>
      <c r="B4567" t="inlineStr">
        <is>
          <t>Modern townhouse for sale in Sineu in countryside location</t>
        </is>
      </c>
      <c r="C4567" t="inlineStr">
        <is>
          <t>https://www.pollentiaproperties.com/en/property/id/910165-townhouse-sale-sineu-new-project-construction</t>
        </is>
      </c>
      <c r="E4567" t="n">
        <v>3</v>
      </c>
      <c r="G4567" t="n">
        <v>51</v>
      </c>
      <c r="H4567" t="n">
        <v>140</v>
      </c>
      <c r="J4567" t="inlineStr">
        <is>
          <t>Sineu</t>
        </is>
      </c>
      <c r="AH4567" t="inlineStr">
        <is>
          <t>Quelle: Pollentia Properties</t>
        </is>
      </c>
    </row>
    <row r="4568">
      <c r="A4568" t="n">
        <v>4381</v>
      </c>
      <c r="B4568" t="inlineStr">
        <is>
          <t>Town house for sale in Pollença, modern with holiday rental license</t>
        </is>
      </c>
      <c r="C4568" t="inlineStr">
        <is>
          <t>https://www.pollentiaproperties.com/en/property/id/910152-town-house-for-sale-pollensa-traditional-charm-holiday-license</t>
        </is>
      </c>
      <c r="E4568" t="n">
        <v>4</v>
      </c>
      <c r="G4568" t="n">
        <v>100</v>
      </c>
      <c r="H4568" t="n">
        <v>210</v>
      </c>
      <c r="J4568" t="inlineStr">
        <is>
          <t>Pollença Pueblo</t>
        </is>
      </c>
      <c r="S4568" t="n">
        <v>950000</v>
      </c>
      <c r="T4568" t="n">
        <v>4524</v>
      </c>
      <c r="U4568" t="n">
        <v>9500</v>
      </c>
      <c r="AH4568" t="inlineStr">
        <is>
          <t>Quelle: Pollentia Properties</t>
        </is>
      </c>
    </row>
    <row r="4569">
      <c r="A4569" t="n">
        <v>4382</v>
      </c>
      <c r="B4569" t="inlineStr">
        <is>
          <t>Villa for sale in Bunyola newly built in stunning design</t>
        </is>
      </c>
      <c r="C4569" t="inlineStr">
        <is>
          <t>https://www.pollentiaproperties.com/en/property/id/910043-villa-sale-bunyola-newly-built-stunning-design-garden-pool</t>
        </is>
      </c>
      <c r="E4569" t="n">
        <v>4</v>
      </c>
      <c r="G4569" t="n">
        <v>1</v>
      </c>
      <c r="H4569" t="n">
        <v>869</v>
      </c>
      <c r="J4569" t="inlineStr">
        <is>
          <t>Bunyola</t>
        </is>
      </c>
      <c r="K4569" t="n">
        <v>26.3</v>
      </c>
      <c r="L4569" t="n">
        <v>25</v>
      </c>
      <c r="M4569" t="n">
        <v>69.09999999999999</v>
      </c>
      <c r="N4569" t="n">
        <v>58</v>
      </c>
      <c r="O4569" t="n">
        <v>48.9</v>
      </c>
      <c r="P4569" t="n">
        <v>41</v>
      </c>
      <c r="Q4569" t="n">
        <v>66.8</v>
      </c>
      <c r="R4569" t="n">
        <v>54</v>
      </c>
      <c r="S4569" t="n">
        <v>5850000</v>
      </c>
      <c r="T4569" t="n">
        <v>6732</v>
      </c>
      <c r="U4569" t="n">
        <v>5850000</v>
      </c>
      <c r="AH4569" t="inlineStr">
        <is>
          <t>Quelle: Pollentia Properties</t>
        </is>
      </c>
    </row>
    <row r="4570">
      <c r="A4570" t="n">
        <v>4383</v>
      </c>
      <c r="B4570" t="inlineStr">
        <is>
          <t>Villa for sale in Betlem in unbeatable sea facing location</t>
        </is>
      </c>
      <c r="C4570" t="inlineStr">
        <is>
          <t>https://www.pollentiaproperties.com/en/property/id/910040-villa-for-sale-betlem-seafront-location-garden-pool</t>
        </is>
      </c>
      <c r="E4570" t="n">
        <v>4</v>
      </c>
      <c r="G4570" t="n">
        <v>820</v>
      </c>
      <c r="H4570" t="n">
        <v>392</v>
      </c>
      <c r="J4570" t="inlineStr">
        <is>
          <t>Betlem</t>
        </is>
      </c>
      <c r="K4570" t="n">
        <v>73.3</v>
      </c>
      <c r="L4570" t="n">
        <v>63</v>
      </c>
      <c r="M4570" t="n">
        <v>68.7</v>
      </c>
      <c r="N4570" t="n">
        <v>67</v>
      </c>
      <c r="O4570" t="n">
        <v>109.1</v>
      </c>
      <c r="P4570" t="n">
        <v>88</v>
      </c>
      <c r="Q4570" t="n">
        <v>66.3</v>
      </c>
      <c r="R4570" t="n">
        <v>63</v>
      </c>
      <c r="S4570" t="n">
        <v>2950000</v>
      </c>
      <c r="T4570" t="n">
        <v>7526</v>
      </c>
      <c r="U4570" t="n">
        <v>3598</v>
      </c>
      <c r="AH4570" t="inlineStr">
        <is>
          <t>Quelle: Pollentia Properties</t>
        </is>
      </c>
    </row>
    <row r="4571">
      <c r="A4571" t="n">
        <v>4384</v>
      </c>
      <c r="B4571" t="inlineStr">
        <is>
          <t>Country home for sale in Port de Pollença, walking distance to the beach</t>
        </is>
      </c>
      <c r="C4571" t="inlineStr">
        <is>
          <t>https://www.pollentiaproperties.com/en/property/id/909932-country-home-for-sale-port-pollensa-fantastic-outdoor-spaces</t>
        </is>
      </c>
      <c r="E4571" t="n">
        <v>3</v>
      </c>
      <c r="G4571" t="n">
        <v>11</v>
      </c>
      <c r="H4571" t="n">
        <v>301</v>
      </c>
      <c r="J4571" t="inlineStr">
        <is>
          <t>Port de Pollença</t>
        </is>
      </c>
      <c r="K4571" t="n">
        <v>66.90000000000001</v>
      </c>
      <c r="L4571" t="n">
        <v>52</v>
      </c>
      <c r="M4571" t="n">
        <v>85</v>
      </c>
      <c r="N4571" t="n">
        <v>78</v>
      </c>
      <c r="O4571" t="n">
        <v>89.5</v>
      </c>
      <c r="P4571" t="n">
        <v>68</v>
      </c>
      <c r="Q4571" t="n">
        <v>82.7</v>
      </c>
      <c r="R4571" t="n">
        <v>75</v>
      </c>
      <c r="S4571" t="n">
        <v>1480000</v>
      </c>
      <c r="T4571" t="n">
        <v>4917</v>
      </c>
      <c r="U4571" t="n">
        <v>134545</v>
      </c>
      <c r="AH4571" t="inlineStr">
        <is>
          <t>Quelle: Pollentia Properties</t>
        </is>
      </c>
    </row>
    <row r="4572">
      <c r="A4572" t="n">
        <v>4385</v>
      </c>
      <c r="B4572" t="inlineStr">
        <is>
          <t>Country plot for sale in Manacor with project for a house</t>
        </is>
      </c>
      <c r="C4572" t="inlineStr">
        <is>
          <t>https://www.pollentiaproperties.com/en/property/id/909716-country-plot-for-sale-manacor-project-house</t>
        </is>
      </c>
      <c r="G4572" t="n">
        <v>42</v>
      </c>
      <c r="J4572" t="inlineStr">
        <is>
          <t>Manacor</t>
        </is>
      </c>
      <c r="S4572" t="n">
        <v>465000</v>
      </c>
      <c r="U4572" t="n">
        <v>11071</v>
      </c>
      <c r="AH4572" t="inlineStr">
        <is>
          <t>Quelle: Pollentia Properties</t>
        </is>
      </c>
    </row>
    <row r="4573">
      <c r="A4573" t="n">
        <v>4386</v>
      </c>
      <c r="B4573" t="inlineStr">
        <is>
          <t>Country plot for sale in Manacor with project for a house</t>
        </is>
      </c>
      <c r="C4573" t="inlineStr">
        <is>
          <t>https://www.pollentiaproperties.com/en/property/id/909715-country-plot-for-sale-manacor-project-house-pool</t>
        </is>
      </c>
      <c r="E4573" t="n">
        <v>3</v>
      </c>
      <c r="G4573" t="n">
        <v>41</v>
      </c>
      <c r="H4573" t="n">
        <v>372</v>
      </c>
      <c r="J4573" t="inlineStr">
        <is>
          <t>Manacor</t>
        </is>
      </c>
      <c r="S4573" t="n">
        <v>465000</v>
      </c>
      <c r="T4573" t="n">
        <v>1250</v>
      </c>
      <c r="U4573" t="n">
        <v>11341</v>
      </c>
      <c r="AH4573" t="inlineStr">
        <is>
          <t>Quelle: Pollentia Properties</t>
        </is>
      </c>
    </row>
    <row r="4574">
      <c r="A4574" t="n">
        <v>4387</v>
      </c>
      <c r="B4574" t="inlineStr">
        <is>
          <t>Country Home for sale in La Casa Blanca, large estate with rental license</t>
        </is>
      </c>
      <c r="C4574" t="inlineStr">
        <is>
          <t>https://www.pollentiaproperties.com/en/property/id/909613-villa-for-sale-la-casa-blanca-large-estate-rental-license</t>
        </is>
      </c>
      <c r="E4574" t="n">
        <v>5</v>
      </c>
      <c r="G4574" t="n">
        <v>150</v>
      </c>
      <c r="H4574" t="n">
        <v>664</v>
      </c>
      <c r="J4574" t="inlineStr">
        <is>
          <t>La Casa Blanca</t>
        </is>
      </c>
      <c r="K4574" t="n">
        <v>9.5</v>
      </c>
      <c r="L4574" t="n">
        <v>13</v>
      </c>
      <c r="M4574" t="n">
        <v>49.3</v>
      </c>
      <c r="N4574" t="n">
        <v>44</v>
      </c>
      <c r="O4574" t="n">
        <v>42</v>
      </c>
      <c r="P4574" t="n">
        <v>38</v>
      </c>
      <c r="Q4574" t="n">
        <v>47</v>
      </c>
      <c r="R4574" t="n">
        <v>41</v>
      </c>
      <c r="S4574" t="n">
        <v>2700000</v>
      </c>
      <c r="T4574" t="n">
        <v>4066</v>
      </c>
      <c r="U4574" t="n">
        <v>18000</v>
      </c>
      <c r="AH4574" t="inlineStr">
        <is>
          <t>Quelle: Pollentia Properties</t>
        </is>
      </c>
    </row>
    <row r="4575">
      <c r="A4575" t="n">
        <v>4388</v>
      </c>
      <c r="B4575" t="inlineStr">
        <is>
          <t>Villa for sale in Port Verd with fantastic views and sea access</t>
        </is>
      </c>
      <c r="C4575" t="inlineStr">
        <is>
          <t>https://www.pollentiaproperties.com/en/property/id/909483-villa-for-sale-port-verd-fantastic-views-sea-access</t>
        </is>
      </c>
      <c r="E4575" t="n">
        <v>6</v>
      </c>
      <c r="G4575" t="n">
        <v>966</v>
      </c>
      <c r="H4575" t="n">
        <v>833</v>
      </c>
      <c r="J4575" t="inlineStr">
        <is>
          <t>Port Verd</t>
        </is>
      </c>
      <c r="K4575" t="n">
        <v>69.2</v>
      </c>
      <c r="L4575" t="n">
        <v>59</v>
      </c>
      <c r="M4575" t="n">
        <v>64.5</v>
      </c>
      <c r="N4575" t="n">
        <v>63</v>
      </c>
      <c r="O4575" t="n">
        <v>103.4</v>
      </c>
      <c r="P4575" t="n">
        <v>84</v>
      </c>
      <c r="Q4575" t="n">
        <v>62.2</v>
      </c>
      <c r="R4575" t="n">
        <v>59</v>
      </c>
      <c r="AH4575" t="inlineStr">
        <is>
          <t>Quelle: Pollentia Properties</t>
        </is>
      </c>
    </row>
    <row r="4576">
      <c r="A4576" t="n">
        <v>4389</v>
      </c>
      <c r="B4576" t="inlineStr">
        <is>
          <t>Building plot for sale in Cala Vinyes with project and building permit</t>
        </is>
      </c>
      <c r="C4576" t="inlineStr">
        <is>
          <t>https://www.pollentiaproperties.com/en/property/id/909180-building-plot-for-sale-cala-vinyes-project-building-permit-garden-pool</t>
        </is>
      </c>
      <c r="G4576" t="n">
        <v>1</v>
      </c>
      <c r="H4576" t="n">
        <v>500</v>
      </c>
      <c r="J4576" t="inlineStr">
        <is>
          <t>Cala Vinyes</t>
        </is>
      </c>
      <c r="K4576" t="n">
        <v>31.5</v>
      </c>
      <c r="L4576" t="n">
        <v>31</v>
      </c>
      <c r="M4576" t="n">
        <v>74.3</v>
      </c>
      <c r="N4576" t="n">
        <v>64</v>
      </c>
      <c r="O4576" t="n">
        <v>20.4</v>
      </c>
      <c r="P4576" t="n">
        <v>25</v>
      </c>
      <c r="Q4576" t="n">
        <v>72</v>
      </c>
      <c r="R4576" t="n">
        <v>60</v>
      </c>
      <c r="S4576" t="n">
        <v>2950000</v>
      </c>
      <c r="T4576" t="n">
        <v>5900</v>
      </c>
      <c r="U4576" t="n">
        <v>2950000</v>
      </c>
      <c r="AH4576" t="inlineStr">
        <is>
          <t>Quelle: Pollentia Properties</t>
        </is>
      </c>
    </row>
    <row r="4577">
      <c r="A4577" t="n">
        <v>4390</v>
      </c>
      <c r="B4577" t="inlineStr">
        <is>
          <t>Townhouse for sale in Sencelles in modern rural setting</t>
        </is>
      </c>
      <c r="C4577" t="inlineStr">
        <is>
          <t>https://www.pollentiaproperties.com/en/property/id/908732-townhouse-sale-sencelles-new-project-construction</t>
        </is>
      </c>
      <c r="E4577" t="n">
        <v>3</v>
      </c>
      <c r="G4577" t="n">
        <v>95</v>
      </c>
      <c r="H4577" t="n">
        <v>140</v>
      </c>
      <c r="J4577" t="inlineStr">
        <is>
          <t>Sencelles</t>
        </is>
      </c>
      <c r="AH4577" t="inlineStr">
        <is>
          <t>Quelle: Pollentia Properties</t>
        </is>
      </c>
    </row>
    <row r="4578">
      <c r="A4578" t="n">
        <v>4391</v>
      </c>
      <c r="B4578" t="inlineStr">
        <is>
          <t>Townhouse for sale in Sencelles in green residential enclave</t>
        </is>
      </c>
      <c r="C4578" t="inlineStr">
        <is>
          <t>https://www.pollentiaproperties.com/en/property/id/908730-townhouse-sale-sencelles-new-project-construction</t>
        </is>
      </c>
      <c r="E4578" t="n">
        <v>3</v>
      </c>
      <c r="G4578" t="n">
        <v>20</v>
      </c>
      <c r="H4578" t="n">
        <v>140</v>
      </c>
      <c r="J4578" t="inlineStr">
        <is>
          <t>Sencelles</t>
        </is>
      </c>
      <c r="AH4578" t="inlineStr">
        <is>
          <t>Quelle: Pollentia Properties</t>
        </is>
      </c>
    </row>
    <row r="4579">
      <c r="A4579" t="n">
        <v>4392</v>
      </c>
      <c r="B4579" t="inlineStr">
        <is>
          <t>Townhouse for sale in Sencelles in quiet scenic location</t>
        </is>
      </c>
      <c r="C4579" t="inlineStr">
        <is>
          <t>https://www.pollentiaproperties.com/en/property/id/908729-townhouse-sale-sencelles-new-project-construction</t>
        </is>
      </c>
      <c r="E4579" t="n">
        <v>3</v>
      </c>
      <c r="G4579" t="n">
        <v>40</v>
      </c>
      <c r="H4579" t="n">
        <v>140</v>
      </c>
      <c r="J4579" t="inlineStr">
        <is>
          <t>Sencelles</t>
        </is>
      </c>
      <c r="AH4579" t="inlineStr">
        <is>
          <t>Quelle: Pollentia Properties</t>
        </is>
      </c>
    </row>
    <row r="4580">
      <c r="A4580" t="n">
        <v>4393</v>
      </c>
      <c r="B4580" t="inlineStr">
        <is>
          <t>Townhouse for sale in Sencelles in nature-integrated design</t>
        </is>
      </c>
      <c r="C4580" t="inlineStr">
        <is>
          <t>https://www.pollentiaproperties.com/en/property/id/908728-townhouse-sale-sencelles-new-project-construction</t>
        </is>
      </c>
      <c r="E4580" t="n">
        <v>3</v>
      </c>
      <c r="G4580" t="n">
        <v>71</v>
      </c>
      <c r="H4580" t="n">
        <v>140</v>
      </c>
      <c r="J4580" t="inlineStr">
        <is>
          <t>Sencelles</t>
        </is>
      </c>
      <c r="AH4580" t="inlineStr">
        <is>
          <t>Quelle: Pollentia Properties</t>
        </is>
      </c>
    </row>
    <row r="4581">
      <c r="A4581" t="n">
        <v>4394</v>
      </c>
      <c r="B4581" t="inlineStr">
        <is>
          <t>Townhouse for sale in Sencelles in idyllic rural area</t>
        </is>
      </c>
      <c r="C4581" t="inlineStr">
        <is>
          <t>https://www.pollentiaproperties.com/en/property/id/908727-townhouse-sale-sencelles-new-project-construction</t>
        </is>
      </c>
      <c r="E4581" t="n">
        <v>3</v>
      </c>
      <c r="G4581" t="n">
        <v>51</v>
      </c>
      <c r="H4581" t="n">
        <v>140</v>
      </c>
      <c r="J4581" t="inlineStr">
        <is>
          <t>Sencelles</t>
        </is>
      </c>
      <c r="AH4581" t="inlineStr">
        <is>
          <t>Quelle: Pollentia Properties</t>
        </is>
      </c>
    </row>
    <row r="4582">
      <c r="A4582" t="n">
        <v>4395</v>
      </c>
      <c r="B4582" t="inlineStr">
        <is>
          <t>Townhouse for sale in Caimari recently renovated with rental license</t>
        </is>
      </c>
      <c r="C4582" t="inlineStr">
        <is>
          <t>https://www.pollentiaproperties.com/en/property/id/908595-town-house-for-sale-caimari-current-renovation-patio.garden-pool</t>
        </is>
      </c>
      <c r="E4582" t="n">
        <v>3</v>
      </c>
      <c r="G4582" t="n">
        <v>172</v>
      </c>
      <c r="H4582" t="n">
        <v>201</v>
      </c>
      <c r="J4582" t="inlineStr">
        <is>
          <t>Caimari</t>
        </is>
      </c>
      <c r="K4582" t="n">
        <v>44.6</v>
      </c>
      <c r="L4582" t="n">
        <v>41</v>
      </c>
      <c r="M4582" t="n">
        <v>62.7</v>
      </c>
      <c r="N4582" t="n">
        <v>68</v>
      </c>
      <c r="O4582" t="n">
        <v>67.2</v>
      </c>
      <c r="P4582" t="n">
        <v>58</v>
      </c>
      <c r="Q4582" t="n">
        <v>60.4</v>
      </c>
      <c r="R4582" t="n">
        <v>64</v>
      </c>
      <c r="S4582" t="n">
        <v>1175000</v>
      </c>
      <c r="T4582" t="n">
        <v>5846</v>
      </c>
      <c r="U4582" t="n">
        <v>6831</v>
      </c>
      <c r="AH4582" t="inlineStr">
        <is>
          <t>Quelle: Pollentia Properties</t>
        </is>
      </c>
    </row>
    <row r="4583">
      <c r="A4583" t="n">
        <v>4396</v>
      </c>
      <c r="B4583" t="inlineStr">
        <is>
          <t>Sole Agency</t>
        </is>
      </c>
      <c r="C4583" t="inlineStr">
        <is>
          <t>https://www.pollentiaproperties.com/en/property/id/908593-plot-for-sale-alcudia-great-potential-house-pool</t>
        </is>
      </c>
      <c r="E4583" t="n">
        <v>3</v>
      </c>
      <c r="G4583" t="n">
        <v>27</v>
      </c>
      <c r="J4583" t="inlineStr">
        <is>
          <t>Alcudia Great Potential House Pool</t>
        </is>
      </c>
      <c r="S4583" t="n">
        <v>595000</v>
      </c>
      <c r="U4583" t="n">
        <v>22037</v>
      </c>
      <c r="AH4583" t="inlineStr">
        <is>
          <t>Quelle: Pollentia Properties</t>
        </is>
      </c>
    </row>
    <row r="4584">
      <c r="A4584" t="n">
        <v>4397</v>
      </c>
      <c r="B4584" t="inlineStr">
        <is>
          <t>Townhouse for sale in Puerto Alcudia in minimalist style</t>
        </is>
      </c>
      <c r="C4584" t="inlineStr">
        <is>
          <t>https://www.pollentiaproperties.com/en/property/id/908585-townhouse-sale-puerto-alcudia-minimalist-style</t>
        </is>
      </c>
      <c r="E4584" t="n">
        <v>2</v>
      </c>
      <c r="G4584" t="n">
        <v>29</v>
      </c>
      <c r="H4584" t="n">
        <v>123</v>
      </c>
      <c r="J4584" t="inlineStr">
        <is>
          <t>Puerto de Alcúdia</t>
        </is>
      </c>
      <c r="S4584" t="n">
        <v>890000</v>
      </c>
      <c r="T4584" t="n">
        <v>7236</v>
      </c>
      <c r="U4584" t="n">
        <v>30690</v>
      </c>
      <c r="AH4584" t="inlineStr">
        <is>
          <t>Quelle: Pollentia Properties</t>
        </is>
      </c>
    </row>
    <row r="4585">
      <c r="A4585" t="n">
        <v>4398</v>
      </c>
      <c r="B4585" t="inlineStr">
        <is>
          <t>Penthouse apartment for sale in Llenaire Puerto Pollensa over two levels</t>
        </is>
      </c>
      <c r="C4585" t="inlineStr">
        <is>
          <t>https://www.pollentiaproperties.com/en/property/id/908421-penthouse-apartment-for-sale-puerto-pollensa-two-levels-community-pool</t>
        </is>
      </c>
      <c r="E4585" t="n">
        <v>3</v>
      </c>
      <c r="H4585" t="n">
        <v>114</v>
      </c>
      <c r="J4585" t="inlineStr">
        <is>
          <t>Llenaire</t>
        </is>
      </c>
      <c r="S4585" t="n">
        <v>710000</v>
      </c>
      <c r="T4585" t="n">
        <v>6228</v>
      </c>
      <c r="AH4585" t="inlineStr">
        <is>
          <t>Quelle: Pollentia Properties</t>
        </is>
      </c>
    </row>
    <row r="4586">
      <c r="A4586" t="n">
        <v>4399</v>
      </c>
      <c r="B4586" t="inlineStr">
        <is>
          <t>Villa for sale in Marratxi, fantastic opportunity close to Palma</t>
        </is>
      </c>
      <c r="C4586" t="inlineStr">
        <is>
          <t>https://www.pollentiaproperties.com/en/property/id/908075-villa-for-sale-marratxi-attractive-investment-plot</t>
        </is>
      </c>
      <c r="E4586" t="n">
        <v>4</v>
      </c>
      <c r="G4586" t="n">
        <v>1</v>
      </c>
      <c r="H4586" t="n">
        <v>370</v>
      </c>
      <c r="J4586" t="inlineStr">
        <is>
          <t>Marratxí</t>
        </is>
      </c>
      <c r="K4586" t="n">
        <v>13</v>
      </c>
      <c r="L4586" t="n">
        <v>17</v>
      </c>
      <c r="M4586" t="n">
        <v>56.3</v>
      </c>
      <c r="N4586" t="n">
        <v>50</v>
      </c>
      <c r="O4586" t="n">
        <v>40.6</v>
      </c>
      <c r="P4586" t="n">
        <v>34</v>
      </c>
      <c r="Q4586" t="n">
        <v>54</v>
      </c>
      <c r="R4586" t="n">
        <v>46</v>
      </c>
      <c r="S4586" t="n">
        <v>1590000</v>
      </c>
      <c r="T4586" t="n">
        <v>4297</v>
      </c>
      <c r="U4586" t="n">
        <v>1590000</v>
      </c>
      <c r="AH4586" t="inlineStr">
        <is>
          <t>Quelle: Pollentia Properties</t>
        </is>
      </c>
    </row>
    <row r="4587">
      <c r="A4587" t="n">
        <v>4400</v>
      </c>
      <c r="B4587" t="inlineStr">
        <is>
          <t>Country home for sale in Biniali single storey luxury property</t>
        </is>
      </c>
      <c r="C4587" t="inlineStr">
        <is>
          <t>https://www.pollentiaproperties.com/en/property/id/907601-country-home-for-sale-biniali-single-storey-luxury-property-garden-pool</t>
        </is>
      </c>
      <c r="E4587" t="n">
        <v>4</v>
      </c>
      <c r="G4587" t="n">
        <v>22</v>
      </c>
      <c r="H4587" t="n">
        <v>456</v>
      </c>
      <c r="J4587" t="inlineStr">
        <is>
          <t>Biniali</t>
        </is>
      </c>
      <c r="K4587" t="n">
        <v>30.3</v>
      </c>
      <c r="L4587" t="n">
        <v>26</v>
      </c>
      <c r="M4587" t="n">
        <v>50.7</v>
      </c>
      <c r="N4587" t="n">
        <v>52</v>
      </c>
      <c r="O4587" t="n">
        <v>52.9</v>
      </c>
      <c r="P4587" t="n">
        <v>43</v>
      </c>
      <c r="Q4587" t="n">
        <v>48.4</v>
      </c>
      <c r="R4587" t="n">
        <v>49</v>
      </c>
      <c r="S4587" t="n">
        <v>3995000</v>
      </c>
      <c r="T4587" t="n">
        <v>8761</v>
      </c>
      <c r="U4587" t="n">
        <v>181591</v>
      </c>
      <c r="AH4587" t="inlineStr">
        <is>
          <t>Quelle: Pollentia Properties</t>
        </is>
      </c>
    </row>
    <row r="4588">
      <c r="A4588" t="n">
        <v>4401</v>
      </c>
      <c r="B4588" t="inlineStr">
        <is>
          <t>Town house for sale in Puerto Alcudia, Mallorca in new development with multiple units</t>
        </is>
      </c>
      <c r="C4588" t="inlineStr">
        <is>
          <t>https://www.pollentiaproperties.com/en/property/id/907301-town-house-for-sale-puerto-alcudia-beautiful-lakeside-location-community-pool</t>
        </is>
      </c>
      <c r="E4588" t="n">
        <v>3</v>
      </c>
      <c r="H4588" t="n">
        <v>96</v>
      </c>
      <c r="J4588" t="inlineStr">
        <is>
          <t>Puerto de Alcúdia</t>
        </is>
      </c>
      <c r="AH4588" t="inlineStr">
        <is>
          <t>Quelle: Pollentia Properties</t>
        </is>
      </c>
    </row>
    <row r="4589">
      <c r="A4589" t="n">
        <v>4402</v>
      </c>
      <c r="B4589" t="inlineStr">
        <is>
          <t>Town house for sale in Puerto Alcudia, Mallorca in new development with multiple units</t>
        </is>
      </c>
      <c r="C4589" t="inlineStr">
        <is>
          <t>https://www.pollentiaproperties.com/en/property/id/907296-town-house-for-sale-puerto-alcudia-beautiful-lakeside-location-community-pool</t>
        </is>
      </c>
      <c r="E4589" t="n">
        <v>3</v>
      </c>
      <c r="H4589" t="n">
        <v>96</v>
      </c>
      <c r="J4589" t="inlineStr">
        <is>
          <t>Puerto de Alcúdia</t>
        </is>
      </c>
      <c r="S4589" t="n">
        <v>650000</v>
      </c>
      <c r="T4589" t="n">
        <v>6771</v>
      </c>
      <c r="AH4589" t="inlineStr">
        <is>
          <t>Quelle: Pollentia Properties</t>
        </is>
      </c>
    </row>
    <row r="4590">
      <c r="A4590" t="n">
        <v>4403</v>
      </c>
      <c r="B4590" t="inlineStr">
        <is>
          <t>Country house for sale in Pollença brand new luxury property</t>
        </is>
      </c>
      <c r="C4590" t="inlineStr">
        <is>
          <t>https://www.pollentiaproperties.com/en/property/id/907288-country-house-for-sale-pollensa-brand-new-luxury-property</t>
        </is>
      </c>
      <c r="E4590" t="n">
        <v>4</v>
      </c>
      <c r="G4590" t="n">
        <v>18</v>
      </c>
      <c r="H4590" t="n">
        <v>429</v>
      </c>
      <c r="J4590" t="inlineStr">
        <is>
          <t>Pollença</t>
        </is>
      </c>
      <c r="K4590" t="n">
        <v>60.6</v>
      </c>
      <c r="L4590" t="n">
        <v>47</v>
      </c>
      <c r="M4590" t="n">
        <v>78.7</v>
      </c>
      <c r="N4590" t="n">
        <v>74</v>
      </c>
      <c r="O4590" t="n">
        <v>83.2</v>
      </c>
      <c r="P4590" t="n">
        <v>63</v>
      </c>
      <c r="Q4590" t="n">
        <v>76.40000000000001</v>
      </c>
      <c r="R4590" t="n">
        <v>70</v>
      </c>
      <c r="S4590" t="n">
        <v>3475000</v>
      </c>
      <c r="T4590" t="n">
        <v>8100</v>
      </c>
      <c r="U4590" t="n">
        <v>193056</v>
      </c>
      <c r="AH4590" t="inlineStr">
        <is>
          <t>Quelle: Pollentia Properties</t>
        </is>
      </c>
    </row>
    <row r="4591">
      <c r="A4591" t="n">
        <v>4404</v>
      </c>
      <c r="B4591" t="inlineStr">
        <is>
          <t>Town house for sale in Puerto Alcudia, Mallorca in new development with multiple units</t>
        </is>
      </c>
      <c r="C4591" t="inlineStr">
        <is>
          <t>https://www.pollentiaproperties.com/en/property/id/907281-town-house-for-sale-puerto-alcudia-beautiful-lakeside-location-community-pool</t>
        </is>
      </c>
      <c r="E4591" t="n">
        <v>3</v>
      </c>
      <c r="H4591" t="n">
        <v>96</v>
      </c>
      <c r="J4591" t="inlineStr">
        <is>
          <t>Puerto de Alcúdia</t>
        </is>
      </c>
      <c r="AH4591" t="inlineStr">
        <is>
          <t>Quelle: Pollentia Properties</t>
        </is>
      </c>
    </row>
    <row r="4592">
      <c r="A4592" t="n">
        <v>4405</v>
      </c>
      <c r="B4592" t="inlineStr">
        <is>
          <t>Country house for sale in Cas Concos stunning luxury property</t>
        </is>
      </c>
      <c r="C4592" t="inlineStr">
        <is>
          <t>https://www.pollentiaproperties.com/en/property/id/907113-country-home-for-sale-cas-concos-recently-finished-elegant-design</t>
        </is>
      </c>
      <c r="E4592" t="n">
        <v>4</v>
      </c>
      <c r="G4592" t="n">
        <v>28</v>
      </c>
      <c r="H4592" t="n">
        <v>410</v>
      </c>
      <c r="J4592" t="inlineStr">
        <is>
          <t>Cas Concos</t>
        </is>
      </c>
      <c r="K4592" t="n">
        <v>43.4</v>
      </c>
      <c r="L4592" t="n">
        <v>42</v>
      </c>
      <c r="M4592" t="n">
        <v>14.6</v>
      </c>
      <c r="N4592" t="n">
        <v>21</v>
      </c>
      <c r="O4592" t="n">
        <v>81.59999999999999</v>
      </c>
      <c r="P4592" t="n">
        <v>69</v>
      </c>
      <c r="Q4592" t="n">
        <v>15.9</v>
      </c>
      <c r="R4592" t="n">
        <v>25</v>
      </c>
      <c r="S4592" t="n">
        <v>5700000</v>
      </c>
      <c r="T4592" t="n">
        <v>13902</v>
      </c>
      <c r="U4592" t="n">
        <v>203571</v>
      </c>
      <c r="AH4592" t="inlineStr">
        <is>
          <t>Quelle: Pollentia Properties</t>
        </is>
      </c>
    </row>
    <row r="4593">
      <c r="A4593" t="n">
        <v>4406</v>
      </c>
      <c r="B4593" t="inlineStr">
        <is>
          <t>Country house for sale in Sant Joan, newly built with garden and pool</t>
        </is>
      </c>
      <c r="C4593" t="inlineStr">
        <is>
          <t>https://www.pollentiaproperties.com/en/property/id/907095-country-house-sale-sant-joan-newly-built-garden-pool</t>
        </is>
      </c>
      <c r="E4593" t="n">
        <v>2</v>
      </c>
      <c r="G4593" t="n">
        <v>15</v>
      </c>
      <c r="H4593" t="n">
        <v>135</v>
      </c>
      <c r="J4593" t="inlineStr">
        <is>
          <t>Sant Joan</t>
        </is>
      </c>
      <c r="K4593" t="n">
        <v>39.3</v>
      </c>
      <c r="L4593" t="n">
        <v>34</v>
      </c>
      <c r="M4593" t="n">
        <v>38</v>
      </c>
      <c r="N4593" t="n">
        <v>40</v>
      </c>
      <c r="O4593" t="n">
        <v>73.59999999999999</v>
      </c>
      <c r="P4593" t="n">
        <v>59</v>
      </c>
      <c r="Q4593" t="n">
        <v>35.7</v>
      </c>
      <c r="R4593" t="n">
        <v>36</v>
      </c>
      <c r="S4593" t="n">
        <v>1150000</v>
      </c>
      <c r="T4593" t="n">
        <v>8519</v>
      </c>
      <c r="U4593" t="n">
        <v>76667</v>
      </c>
      <c r="AH4593" t="inlineStr">
        <is>
          <t>Quelle: Pollentia Properties</t>
        </is>
      </c>
    </row>
    <row r="4594">
      <c r="A4594" t="n">
        <v>4407</v>
      </c>
      <c r="B4594" t="inlineStr">
        <is>
          <t>Villa for sale in Santa Ponsa, beautifully refurbished</t>
        </is>
      </c>
      <c r="C4594" t="inlineStr">
        <is>
          <t>https://www.pollentiaproperties.com/en/property/id/906832-villa-for-sale-santa-ponsa-recently-renovated-garden-garage-pool</t>
        </is>
      </c>
      <c r="E4594" t="n">
        <v>4</v>
      </c>
      <c r="G4594" t="n">
        <v>1</v>
      </c>
      <c r="H4594" t="n">
        <v>520</v>
      </c>
      <c r="J4594" t="inlineStr">
        <is>
          <t>Santa Ponsa</t>
        </is>
      </c>
      <c r="AH4594" t="inlineStr">
        <is>
          <t>Quelle: Pollentia Properties</t>
        </is>
      </c>
    </row>
    <row r="4595">
      <c r="A4595" t="n">
        <v>4408</v>
      </c>
      <c r="B4595" t="inlineStr">
        <is>
          <t>Country plot for sale in Campos with potential for building a house</t>
        </is>
      </c>
      <c r="C4595" t="inlineStr">
        <is>
          <t>https://www.pollentiaproperties.com/en/property/id/906753-country-plot-for-sale-campos-potential-building-house-good-location</t>
        </is>
      </c>
      <c r="G4595" t="n">
        <v>41</v>
      </c>
      <c r="J4595" t="inlineStr">
        <is>
          <t>Campos</t>
        </is>
      </c>
      <c r="S4595" t="n">
        <v>440000</v>
      </c>
      <c r="U4595" t="n">
        <v>10732</v>
      </c>
      <c r="AH4595" t="inlineStr">
        <is>
          <t>Quelle: Pollentia Properties</t>
        </is>
      </c>
    </row>
    <row r="4596">
      <c r="A4596" t="n">
        <v>4409</v>
      </c>
      <c r="B4596" t="inlineStr">
        <is>
          <t>Town houses for sale in the Son Espanyolet area of Palma in brand new project</t>
        </is>
      </c>
      <c r="C4596" t="inlineStr">
        <is>
          <t>https://www.pollentiaproperties.com/en/property/id/906611-town-house-for-sale-son-espanyolet-area-palma-brand-new-project</t>
        </is>
      </c>
      <c r="E4596" t="n">
        <v>3</v>
      </c>
      <c r="G4596" t="n">
        <v>811</v>
      </c>
      <c r="H4596" t="n">
        <v>125</v>
      </c>
      <c r="J4596" t="inlineStr">
        <is>
          <t>Son Espanyolet</t>
        </is>
      </c>
      <c r="K4596" t="n">
        <v>15.9</v>
      </c>
      <c r="L4596" t="n">
        <v>18</v>
      </c>
      <c r="M4596" t="n">
        <v>58.7</v>
      </c>
      <c r="N4596" t="n">
        <v>51</v>
      </c>
      <c r="O4596" t="n">
        <v>29.1</v>
      </c>
      <c r="P4596" t="n">
        <v>28</v>
      </c>
      <c r="Q4596" t="n">
        <v>56.4</v>
      </c>
      <c r="R4596" t="n">
        <v>47</v>
      </c>
      <c r="S4596" t="n">
        <v>1500000</v>
      </c>
      <c r="T4596" t="n">
        <v>12000</v>
      </c>
      <c r="U4596" t="n">
        <v>1850</v>
      </c>
      <c r="AH4596" t="inlineStr">
        <is>
          <t>Quelle: Pollentia Properties</t>
        </is>
      </c>
    </row>
    <row r="4597">
      <c r="A4597" t="n">
        <v>4410</v>
      </c>
      <c r="B4597" t="inlineStr">
        <is>
          <t>Town houses for sale in the Son Espanyolet area of Palma in brand new project</t>
        </is>
      </c>
      <c r="C4597" t="inlineStr">
        <is>
          <t>https://www.pollentiaproperties.com/en/property/id/906609-town-house-for-sale-son-espanyolet-area-palma-brand-new-project</t>
        </is>
      </c>
      <c r="E4597" t="n">
        <v>3</v>
      </c>
      <c r="G4597" t="n">
        <v>811</v>
      </c>
      <c r="H4597" t="n">
        <v>125</v>
      </c>
      <c r="J4597" t="inlineStr">
        <is>
          <t>Son Espanyolet</t>
        </is>
      </c>
      <c r="AH4597" t="inlineStr">
        <is>
          <t>Quelle: Pollentia Properties</t>
        </is>
      </c>
    </row>
    <row r="4598">
      <c r="A4598" t="n">
        <v>4411</v>
      </c>
      <c r="B4598" t="inlineStr">
        <is>
          <t>Town houses for sale in the Son Espanyolet area of Palma in brand new project</t>
        </is>
      </c>
      <c r="C4598" t="inlineStr">
        <is>
          <t>https://www.pollentiaproperties.com/en/property/id/906602-town-house-for-sale-son-espanyolet-area-palma-brand-new-project</t>
        </is>
      </c>
      <c r="E4598" t="n">
        <v>3</v>
      </c>
      <c r="G4598" t="n">
        <v>811</v>
      </c>
      <c r="H4598" t="n">
        <v>125</v>
      </c>
      <c r="J4598" t="inlineStr">
        <is>
          <t>Son Espanyolet</t>
        </is>
      </c>
      <c r="K4598" t="n">
        <v>15.9</v>
      </c>
      <c r="L4598" t="n">
        <v>18</v>
      </c>
      <c r="M4598" t="n">
        <v>58.7</v>
      </c>
      <c r="N4598" t="n">
        <v>51</v>
      </c>
      <c r="O4598" t="n">
        <v>29.1</v>
      </c>
      <c r="P4598" t="n">
        <v>28</v>
      </c>
      <c r="Q4598" t="n">
        <v>56.4</v>
      </c>
      <c r="R4598" t="n">
        <v>47</v>
      </c>
      <c r="S4598" t="n">
        <v>1500000</v>
      </c>
      <c r="T4598" t="n">
        <v>12000</v>
      </c>
      <c r="U4598" t="n">
        <v>1850</v>
      </c>
      <c r="AH4598" t="inlineStr">
        <is>
          <t>Quelle: Pollentia Properties</t>
        </is>
      </c>
    </row>
    <row r="4599">
      <c r="A4599" t="n">
        <v>4412</v>
      </c>
      <c r="B4599" t="inlineStr">
        <is>
          <t>Apartment for sale in Es Trenc in brand new development</t>
        </is>
      </c>
      <c r="C4599" t="inlineStr">
        <is>
          <t>https://www.pollentiaproperties.com/en/property/id/906448-apartment-for-sale-es-trenc-brand-new-development</t>
        </is>
      </c>
      <c r="E4599" t="n">
        <v>2</v>
      </c>
      <c r="H4599" t="n">
        <v>94</v>
      </c>
      <c r="J4599" t="inlineStr">
        <is>
          <t>Es Trenc</t>
        </is>
      </c>
      <c r="S4599" t="n">
        <v>789000</v>
      </c>
      <c r="T4599" t="n">
        <v>8394</v>
      </c>
      <c r="AH4599" t="inlineStr">
        <is>
          <t>Quelle: Pollentia Properties</t>
        </is>
      </c>
    </row>
    <row r="4600">
      <c r="A4600" t="n">
        <v>4413</v>
      </c>
      <c r="B4600" t="inlineStr">
        <is>
          <t>Apartment for sale in Es Trenc in brand new development</t>
        </is>
      </c>
      <c r="C4600" t="inlineStr">
        <is>
          <t>https://www.pollentiaproperties.com/en/property/id/906447-apartment-for-sale-es-trenc-brand-new-development</t>
        </is>
      </c>
      <c r="E4600" t="n">
        <v>2</v>
      </c>
      <c r="H4600" t="n">
        <v>94</v>
      </c>
      <c r="J4600" t="inlineStr">
        <is>
          <t>Es Trenc</t>
        </is>
      </c>
      <c r="S4600" t="n">
        <v>778000</v>
      </c>
      <c r="T4600" t="n">
        <v>8277</v>
      </c>
      <c r="AH4600" t="inlineStr">
        <is>
          <t>Quelle: Pollentia Properties</t>
        </is>
      </c>
    </row>
    <row r="4601">
      <c r="A4601" t="n">
        <v>4414</v>
      </c>
      <c r="B4601" t="inlineStr">
        <is>
          <t>Apartment for sale in Es Trenc in brand new development</t>
        </is>
      </c>
      <c r="C4601" t="inlineStr">
        <is>
          <t>https://www.pollentiaproperties.com/en/property/id/906446-apartment-for-sale-es-trenc-brand-new-development</t>
        </is>
      </c>
      <c r="E4601" t="n">
        <v>3</v>
      </c>
      <c r="H4601" t="n">
        <v>115</v>
      </c>
      <c r="J4601" t="inlineStr">
        <is>
          <t>Es Trenc</t>
        </is>
      </c>
      <c r="AH4601" t="inlineStr">
        <is>
          <t>Quelle: Pollentia Properties</t>
        </is>
      </c>
    </row>
    <row r="4602">
      <c r="A4602" t="n">
        <v>4415</v>
      </c>
      <c r="B4602" t="inlineStr">
        <is>
          <t>Apartment for sale in Es Trenc in brand new development</t>
        </is>
      </c>
      <c r="C4602" t="inlineStr">
        <is>
          <t>https://www.pollentiaproperties.com/en/property/id/906445-apartment-for-sale-es-trenc-brand-new-development</t>
        </is>
      </c>
      <c r="E4602" t="n">
        <v>2</v>
      </c>
      <c r="H4602" t="n">
        <v>94</v>
      </c>
      <c r="J4602" t="inlineStr">
        <is>
          <t>Es Trenc</t>
        </is>
      </c>
      <c r="S4602" t="n">
        <v>748000</v>
      </c>
      <c r="T4602" t="n">
        <v>7957</v>
      </c>
      <c r="AH4602" t="inlineStr">
        <is>
          <t>Quelle: Pollentia Properties</t>
        </is>
      </c>
    </row>
    <row r="4603">
      <c r="A4603" t="n">
        <v>4416</v>
      </c>
      <c r="B4603" t="inlineStr">
        <is>
          <t>Apartment for sale in Es Trenc in brand new development</t>
        </is>
      </c>
      <c r="C4603" t="inlineStr">
        <is>
          <t>https://www.pollentiaproperties.com/en/property/id/906444-apartment-for-sale-es-trenc-brand-new-development</t>
        </is>
      </c>
      <c r="E4603" t="n">
        <v>2</v>
      </c>
      <c r="H4603" t="n">
        <v>94</v>
      </c>
      <c r="J4603" t="inlineStr">
        <is>
          <t>Es Trenc</t>
        </is>
      </c>
      <c r="S4603" t="n">
        <v>739000</v>
      </c>
      <c r="T4603" t="n">
        <v>7862</v>
      </c>
      <c r="AH4603" t="inlineStr">
        <is>
          <t>Quelle: Pollentia Properties</t>
        </is>
      </c>
    </row>
    <row r="4604">
      <c r="A4604" t="n">
        <v>4417</v>
      </c>
      <c r="B4604" t="inlineStr">
        <is>
          <t>Apartment for sale in Es Trenc in brand new development</t>
        </is>
      </c>
      <c r="C4604" t="inlineStr">
        <is>
          <t>https://www.pollentiaproperties.com/en/property/id/906443-apartment-for-sale-es-trenc-brand-new-development</t>
        </is>
      </c>
      <c r="E4604" t="n">
        <v>3</v>
      </c>
      <c r="H4604" t="n">
        <v>115</v>
      </c>
      <c r="J4604" t="inlineStr">
        <is>
          <t>Es Trenc</t>
        </is>
      </c>
      <c r="AH4604" t="inlineStr">
        <is>
          <t>Quelle: Pollentia Properties</t>
        </is>
      </c>
    </row>
    <row r="4605">
      <c r="A4605" t="n">
        <v>4418</v>
      </c>
      <c r="B4605" t="inlineStr">
        <is>
          <t>Apartment for sale in Es Trenc in brand new development</t>
        </is>
      </c>
      <c r="C4605" t="inlineStr">
        <is>
          <t>https://www.pollentiaproperties.com/en/property/id/906442-apartment-for-sale-es-trenc-brand-new-development</t>
        </is>
      </c>
      <c r="E4605" t="n">
        <v>2</v>
      </c>
      <c r="H4605" t="n">
        <v>94</v>
      </c>
      <c r="J4605" t="inlineStr">
        <is>
          <t>Es Trenc</t>
        </is>
      </c>
      <c r="AH4605" t="inlineStr">
        <is>
          <t>Quelle: Pollentia Properties</t>
        </is>
      </c>
    </row>
    <row r="4606">
      <c r="A4606" t="n">
        <v>4419</v>
      </c>
      <c r="B4606" t="inlineStr">
        <is>
          <t>Apartment for sale in Es Trenc in brand new development</t>
        </is>
      </c>
      <c r="C4606" t="inlineStr">
        <is>
          <t>https://www.pollentiaproperties.com/en/property/id/906441-apartment-for-sale-es-trenc-brand-new-development</t>
        </is>
      </c>
      <c r="E4606" t="n">
        <v>2</v>
      </c>
      <c r="H4606" t="n">
        <v>94</v>
      </c>
      <c r="J4606" t="inlineStr">
        <is>
          <t>Es Trenc</t>
        </is>
      </c>
      <c r="AH4606" t="inlineStr">
        <is>
          <t>Quelle: Pollentia Properties</t>
        </is>
      </c>
    </row>
    <row r="4607">
      <c r="A4607" t="n">
        <v>4420</v>
      </c>
      <c r="B4607" t="inlineStr">
        <is>
          <t>Apartment for sale in Es Trenc in brand new development</t>
        </is>
      </c>
      <c r="C4607" t="inlineStr">
        <is>
          <t>https://www.pollentiaproperties.com/en/property/id/906439-apartment-for-sale-es-trenc-brand-new-development</t>
        </is>
      </c>
      <c r="E4607" t="n">
        <v>3</v>
      </c>
      <c r="H4607" t="n">
        <v>115</v>
      </c>
      <c r="J4607" t="inlineStr">
        <is>
          <t>Es Trenc</t>
        </is>
      </c>
      <c r="S4607" t="n">
        <v>899000</v>
      </c>
      <c r="T4607" t="n">
        <v>7817</v>
      </c>
      <c r="AH4607" t="inlineStr">
        <is>
          <t>Quelle: Pollentia Properties</t>
        </is>
      </c>
    </row>
    <row r="4608">
      <c r="A4608" t="n">
        <v>4421</v>
      </c>
      <c r="B4608" t="inlineStr">
        <is>
          <t>Apartment for sale in Es Trenc in brand new development</t>
        </is>
      </c>
      <c r="C4608" t="inlineStr">
        <is>
          <t>https://www.pollentiaproperties.com/en/property/id/906438-apartment-for-sale-es-trenc-brand-new-development</t>
        </is>
      </c>
      <c r="E4608" t="n">
        <v>3</v>
      </c>
      <c r="H4608" t="n">
        <v>115</v>
      </c>
      <c r="J4608" t="inlineStr">
        <is>
          <t>Es Trenc</t>
        </is>
      </c>
      <c r="AH4608" t="inlineStr">
        <is>
          <t>Quelle: Pollentia Properties</t>
        </is>
      </c>
    </row>
    <row r="4609">
      <c r="A4609" t="n">
        <v>4422</v>
      </c>
      <c r="B4609" t="inlineStr">
        <is>
          <t>Apartment for sale in Es Trenc in brand new development</t>
        </is>
      </c>
      <c r="C4609" t="inlineStr">
        <is>
          <t>https://www.pollentiaproperties.com/en/property/id/906437-apartment-for-sale-es-trenc-brand-new-development</t>
        </is>
      </c>
      <c r="E4609" t="n">
        <v>2</v>
      </c>
      <c r="H4609" t="n">
        <v>94</v>
      </c>
      <c r="J4609" t="inlineStr">
        <is>
          <t>Es Trenc</t>
        </is>
      </c>
      <c r="S4609" t="n">
        <v>729000</v>
      </c>
      <c r="T4609" t="n">
        <v>7755</v>
      </c>
      <c r="AH4609" t="inlineStr">
        <is>
          <t>Quelle: Pollentia Properties</t>
        </is>
      </c>
    </row>
    <row r="4610">
      <c r="A4610" t="n">
        <v>4423</v>
      </c>
      <c r="B4610" t="inlineStr">
        <is>
          <t>Apartment for sale in Es Trenc in brand new development</t>
        </is>
      </c>
      <c r="C4610" t="inlineStr">
        <is>
          <t>https://www.pollentiaproperties.com/en/property/id/906436-apartment-for-sale-es-trenc-brand-new-development</t>
        </is>
      </c>
      <c r="E4610" t="n">
        <v>2</v>
      </c>
      <c r="H4610" t="n">
        <v>94</v>
      </c>
      <c r="J4610" t="inlineStr">
        <is>
          <t>Es Trenc</t>
        </is>
      </c>
      <c r="AH4610" t="inlineStr">
        <is>
          <t>Quelle: Pollentia Properties</t>
        </is>
      </c>
    </row>
    <row r="4611">
      <c r="A4611" t="n">
        <v>4424</v>
      </c>
      <c r="B4611" t="inlineStr">
        <is>
          <t>Apartment for sale in Es Trenc in brand new development</t>
        </is>
      </c>
      <c r="C4611" t="inlineStr">
        <is>
          <t>https://www.pollentiaproperties.com/en/property/id/906369-apartment-for-sale-es-trenc-brand-new-development</t>
        </is>
      </c>
      <c r="E4611" t="n">
        <v>3</v>
      </c>
      <c r="H4611" t="n">
        <v>115</v>
      </c>
      <c r="J4611" t="inlineStr">
        <is>
          <t>Es Trenc</t>
        </is>
      </c>
      <c r="S4611" t="n">
        <v>899000</v>
      </c>
      <c r="T4611" t="n">
        <v>7817</v>
      </c>
      <c r="AH4611" t="inlineStr">
        <is>
          <t>Quelle: Pollentia Properties</t>
        </is>
      </c>
    </row>
    <row r="4612">
      <c r="A4612" t="n">
        <v>4425</v>
      </c>
      <c r="B4612" t="inlineStr">
        <is>
          <t>Apartment for sale in Es Trenc in brand new development</t>
        </is>
      </c>
      <c r="C4612" t="inlineStr">
        <is>
          <t>https://www.pollentiaproperties.com/en/property/id/906368-apartment-for-sale-es-trenc-brand-new-development</t>
        </is>
      </c>
      <c r="E4612" t="n">
        <v>2</v>
      </c>
      <c r="H4612" t="n">
        <v>94</v>
      </c>
      <c r="J4612" t="inlineStr">
        <is>
          <t>Es Trenc</t>
        </is>
      </c>
      <c r="S4612" t="n">
        <v>768000</v>
      </c>
      <c r="T4612" t="n">
        <v>8170</v>
      </c>
      <c r="AH4612" t="inlineStr">
        <is>
          <t>Quelle: Pollentia Properties</t>
        </is>
      </c>
    </row>
    <row r="4613">
      <c r="A4613" t="n">
        <v>4426</v>
      </c>
      <c r="B4613" t="inlineStr">
        <is>
          <t>Apartment for sale in Es Trenc in brand new development</t>
        </is>
      </c>
      <c r="C4613" t="inlineStr">
        <is>
          <t>https://www.pollentiaproperties.com/en/property/id/906367-apartment-for-sale-es-trenc-brand-new-development</t>
        </is>
      </c>
      <c r="E4613" t="n">
        <v>2</v>
      </c>
      <c r="H4613" t="n">
        <v>94</v>
      </c>
      <c r="J4613" t="inlineStr">
        <is>
          <t>Es Trenc</t>
        </is>
      </c>
      <c r="S4613" t="n">
        <v>748000</v>
      </c>
      <c r="T4613" t="n">
        <v>7957</v>
      </c>
      <c r="AH4613" t="inlineStr">
        <is>
          <t>Quelle: Pollentia Properties</t>
        </is>
      </c>
    </row>
    <row r="4614">
      <c r="A4614" t="n">
        <v>4427</v>
      </c>
      <c r="B4614" t="inlineStr">
        <is>
          <t>Apartment for sale in Es Trenc in brand new development</t>
        </is>
      </c>
      <c r="C4614" t="inlineStr">
        <is>
          <t>https://www.pollentiaproperties.com/en/property/id/906365-apartment-for-sale-es-trenc-brand-new-development</t>
        </is>
      </c>
      <c r="E4614" t="n">
        <v>3</v>
      </c>
      <c r="H4614" t="n">
        <v>115</v>
      </c>
      <c r="J4614" t="inlineStr">
        <is>
          <t>Es Trenc</t>
        </is>
      </c>
      <c r="S4614" t="n">
        <v>869000</v>
      </c>
      <c r="T4614" t="n">
        <v>7557</v>
      </c>
      <c r="AH4614" t="inlineStr">
        <is>
          <t>Quelle: Pollentia Properties</t>
        </is>
      </c>
    </row>
    <row r="4615">
      <c r="A4615" t="n">
        <v>4428</v>
      </c>
      <c r="B4615" t="inlineStr">
        <is>
          <t>Apartment for sale in Es Trenc in brand new development</t>
        </is>
      </c>
      <c r="C4615" t="inlineStr">
        <is>
          <t>https://www.pollentiaproperties.com/en/property/id/906353-apartment-for-sale-es-trenc-brand-new-development</t>
        </is>
      </c>
      <c r="E4615" t="n">
        <v>2</v>
      </c>
      <c r="H4615" t="n">
        <v>94</v>
      </c>
      <c r="J4615" t="inlineStr">
        <is>
          <t>Es Trenc</t>
        </is>
      </c>
      <c r="S4615" t="n">
        <v>758000</v>
      </c>
      <c r="T4615" t="n">
        <v>8064</v>
      </c>
      <c r="AH4615" t="inlineStr">
        <is>
          <t>Quelle: Pollentia Properties</t>
        </is>
      </c>
    </row>
    <row r="4616">
      <c r="A4616" t="n">
        <v>4429</v>
      </c>
      <c r="B4616" t="inlineStr">
        <is>
          <t>Apartment for sale in Es Trenc in brand new development</t>
        </is>
      </c>
      <c r="C4616" t="inlineStr">
        <is>
          <t>https://www.pollentiaproperties.com/en/property/id/906352-apartment-for-sale-es-trenc-brand-new-development</t>
        </is>
      </c>
      <c r="E4616" t="n">
        <v>2</v>
      </c>
      <c r="H4616" t="n">
        <v>94</v>
      </c>
      <c r="J4616" t="inlineStr">
        <is>
          <t>Es Trenc</t>
        </is>
      </c>
      <c r="AH4616" t="inlineStr">
        <is>
          <t>Quelle: Pollentia Properties</t>
        </is>
      </c>
    </row>
    <row r="4617">
      <c r="A4617" t="n">
        <v>4430</v>
      </c>
      <c r="B4617" t="inlineStr">
        <is>
          <t>Apartment for sale in Es Trenc in brand new development</t>
        </is>
      </c>
      <c r="C4617" t="inlineStr">
        <is>
          <t>https://www.pollentiaproperties.com/en/property/id/906351-apartment-for-sale-es-trenc-brand-new-development</t>
        </is>
      </c>
      <c r="E4617" t="n">
        <v>3</v>
      </c>
      <c r="H4617" t="n">
        <v>115</v>
      </c>
      <c r="J4617" t="inlineStr">
        <is>
          <t>Es Trenc</t>
        </is>
      </c>
      <c r="AH4617" t="inlineStr">
        <is>
          <t>Quelle: Pollentia Properties</t>
        </is>
      </c>
    </row>
    <row r="4618">
      <c r="A4618" t="n">
        <v>4431</v>
      </c>
      <c r="B4618" t="inlineStr">
        <is>
          <t>Apartment for sale in Es Trenc in brand new development</t>
        </is>
      </c>
      <c r="C4618" t="inlineStr">
        <is>
          <t>https://www.pollentiaproperties.com/en/property/id/906350-apartment-for-sale-es-trenc-brand-new-development</t>
        </is>
      </c>
      <c r="E4618" t="n">
        <v>2</v>
      </c>
      <c r="H4618" t="n">
        <v>94</v>
      </c>
      <c r="J4618" t="inlineStr">
        <is>
          <t>Es Trenc</t>
        </is>
      </c>
      <c r="S4618" t="n">
        <v>768000</v>
      </c>
      <c r="T4618" t="n">
        <v>8170</v>
      </c>
      <c r="AH4618" t="inlineStr">
        <is>
          <t>Quelle: Pollentia Properties</t>
        </is>
      </c>
    </row>
    <row r="4619">
      <c r="A4619" t="n">
        <v>4432</v>
      </c>
      <c r="B4619" t="inlineStr">
        <is>
          <t>Apartment for sale in Es Trenc in brand new development</t>
        </is>
      </c>
      <c r="C4619" t="inlineStr">
        <is>
          <t>https://www.pollentiaproperties.com/en/property/id/906346-apartment-for-sale-es-trenc-brand-new-development</t>
        </is>
      </c>
      <c r="E4619" t="n">
        <v>2</v>
      </c>
      <c r="H4619" t="n">
        <v>94</v>
      </c>
      <c r="J4619" t="inlineStr">
        <is>
          <t>Es Trenc</t>
        </is>
      </c>
      <c r="S4619" t="n">
        <v>748000</v>
      </c>
      <c r="T4619" t="n">
        <v>7957</v>
      </c>
      <c r="AH4619" t="inlineStr">
        <is>
          <t>Quelle: Pollentia Properties</t>
        </is>
      </c>
    </row>
    <row r="4620">
      <c r="A4620" t="n">
        <v>4433</v>
      </c>
      <c r="B4620" t="inlineStr">
        <is>
          <t>Apartment for sale in Es Trenc in brand new development</t>
        </is>
      </c>
      <c r="C4620" t="inlineStr">
        <is>
          <t>https://www.pollentiaproperties.com/en/property/id/906344-apartment-for-sale-es-trenc-brand-new-development</t>
        </is>
      </c>
      <c r="E4620" t="n">
        <v>3</v>
      </c>
      <c r="H4620" t="n">
        <v>115</v>
      </c>
      <c r="J4620" t="inlineStr">
        <is>
          <t>Es Trenc</t>
        </is>
      </c>
      <c r="AH4620" t="inlineStr">
        <is>
          <t>Quelle: Pollentia Properties</t>
        </is>
      </c>
    </row>
    <row r="4621">
      <c r="A4621" t="n">
        <v>4434</v>
      </c>
      <c r="B4621" t="inlineStr">
        <is>
          <t>Apartment for sale in Es Trenc in brand new development</t>
        </is>
      </c>
      <c r="C4621" t="inlineStr">
        <is>
          <t>https://www.pollentiaproperties.com/en/property/id/906343-apartment-for-sale-es-trenc-brand-new-development</t>
        </is>
      </c>
      <c r="E4621" t="n">
        <v>2</v>
      </c>
      <c r="H4621" t="n">
        <v>94</v>
      </c>
      <c r="J4621" t="inlineStr">
        <is>
          <t>Es Trenc</t>
        </is>
      </c>
      <c r="S4621" t="n">
        <v>748000</v>
      </c>
      <c r="T4621" t="n">
        <v>7957</v>
      </c>
      <c r="AH4621" t="inlineStr">
        <is>
          <t>Quelle: Pollentia Properties</t>
        </is>
      </c>
    </row>
    <row r="4622">
      <c r="A4622" t="n">
        <v>4435</v>
      </c>
      <c r="B4622" t="inlineStr">
        <is>
          <t>Apartment for sale in Es Trenc in brand new development</t>
        </is>
      </c>
      <c r="C4622" t="inlineStr">
        <is>
          <t>https://www.pollentiaproperties.com/en/property/id/906342-apartment-for-sale-es-trenc-brand-new-development</t>
        </is>
      </c>
      <c r="E4622" t="n">
        <v>2</v>
      </c>
      <c r="H4622" t="n">
        <v>94</v>
      </c>
      <c r="J4622" t="inlineStr">
        <is>
          <t>Es Trenc</t>
        </is>
      </c>
      <c r="AH4622" t="inlineStr">
        <is>
          <t>Quelle: Pollentia Properties</t>
        </is>
      </c>
    </row>
    <row r="4623">
      <c r="A4623" t="n">
        <v>4436</v>
      </c>
      <c r="B4623" t="inlineStr">
        <is>
          <t>Apartment for sale in Es Trenc in brand new development</t>
        </is>
      </c>
      <c r="C4623" t="inlineStr">
        <is>
          <t>https://www.pollentiaproperties.com/en/property/id/906341-apartment-for-sale-es-trenc-brand-new-development</t>
        </is>
      </c>
      <c r="E4623" t="n">
        <v>3</v>
      </c>
      <c r="H4623" t="n">
        <v>115</v>
      </c>
      <c r="J4623" t="inlineStr">
        <is>
          <t>Es Trenc</t>
        </is>
      </c>
      <c r="AH4623" t="inlineStr">
        <is>
          <t>Quelle: Pollentia Properties</t>
        </is>
      </c>
    </row>
    <row r="4624">
      <c r="A4624" t="n">
        <v>4437</v>
      </c>
      <c r="B4624" t="inlineStr">
        <is>
          <t>Apartment for sale in Es Trenc in brand new development</t>
        </is>
      </c>
      <c r="C4624" t="inlineStr">
        <is>
          <t>https://www.pollentiaproperties.com/en/property/id/906339-apartment-for-sale-es-trenc-brand-new-development</t>
        </is>
      </c>
      <c r="E4624" t="n">
        <v>2</v>
      </c>
      <c r="H4624" t="n">
        <v>95</v>
      </c>
      <c r="J4624" t="inlineStr">
        <is>
          <t>Es Trenc</t>
        </is>
      </c>
      <c r="S4624" t="n">
        <v>768000</v>
      </c>
      <c r="T4624" t="n">
        <v>8084</v>
      </c>
      <c r="AH4624" t="inlineStr">
        <is>
          <t>Quelle: Pollentia Properties</t>
        </is>
      </c>
    </row>
    <row r="4625">
      <c r="A4625" t="n">
        <v>4438</v>
      </c>
      <c r="B4625" t="inlineStr">
        <is>
          <t>Apartment for sale in Es Trenc in brand new development</t>
        </is>
      </c>
      <c r="C4625" t="inlineStr">
        <is>
          <t>https://www.pollentiaproperties.com/en/property/id/906337-apartment-for-sale-es-trenc-brand-new-development</t>
        </is>
      </c>
      <c r="E4625" t="n">
        <v>3</v>
      </c>
      <c r="H4625" t="n">
        <v>115</v>
      </c>
      <c r="J4625" t="inlineStr">
        <is>
          <t>Es Trenc</t>
        </is>
      </c>
      <c r="AH4625" t="inlineStr">
        <is>
          <t>Quelle: Pollentia Properties</t>
        </is>
      </c>
    </row>
    <row r="4626">
      <c r="A4626" t="n">
        <v>4439</v>
      </c>
      <c r="B4626" t="inlineStr">
        <is>
          <t>Apartment for sale in Es Trenc in brand new development</t>
        </is>
      </c>
      <c r="C4626" t="inlineStr">
        <is>
          <t>https://www.pollentiaproperties.com/en/property/id/906336-apartment-for-sale-es-trenc-brand-new-development</t>
        </is>
      </c>
      <c r="E4626" t="n">
        <v>3</v>
      </c>
      <c r="H4626" t="n">
        <v>115</v>
      </c>
      <c r="J4626" t="inlineStr">
        <is>
          <t>Es Trenc</t>
        </is>
      </c>
      <c r="AH4626" t="inlineStr">
        <is>
          <t>Quelle: Pollentia Properties</t>
        </is>
      </c>
    </row>
    <row r="4627">
      <c r="A4627" t="n">
        <v>4440</v>
      </c>
      <c r="B4627" t="inlineStr">
        <is>
          <t>Town house for sale in Pina, newly built</t>
        </is>
      </c>
      <c r="C4627" t="inlineStr">
        <is>
          <t>https://www.pollentiaproperties.com/en/property/id/906157-town-house-for-sale-pina-newly-built-courtyard-pool</t>
        </is>
      </c>
      <c r="E4627" t="n">
        <v>3</v>
      </c>
      <c r="G4627" t="n">
        <v>195</v>
      </c>
      <c r="H4627" t="n">
        <v>290</v>
      </c>
      <c r="J4627" t="inlineStr">
        <is>
          <t>Pina</t>
        </is>
      </c>
      <c r="K4627" t="n">
        <v>25.4</v>
      </c>
      <c r="L4627" t="n">
        <v>25</v>
      </c>
      <c r="M4627" t="n">
        <v>42.2</v>
      </c>
      <c r="N4627" t="n">
        <v>42</v>
      </c>
      <c r="O4627" t="n">
        <v>59.7</v>
      </c>
      <c r="P4627" t="n">
        <v>50</v>
      </c>
      <c r="Q4627" t="n">
        <v>39.9</v>
      </c>
      <c r="R4627" t="n">
        <v>38</v>
      </c>
      <c r="S4627" t="n">
        <v>1190000</v>
      </c>
      <c r="T4627" t="n">
        <v>4103</v>
      </c>
      <c r="U4627" t="n">
        <v>6103</v>
      </c>
      <c r="AH4627" t="inlineStr">
        <is>
          <t>Quelle: Pollentia Properties</t>
        </is>
      </c>
    </row>
    <row r="4628">
      <c r="A4628" t="n">
        <v>4441</v>
      </c>
      <c r="B4628" t="inlineStr">
        <is>
          <t>Villa for sale in Mal Pas in traditional coastal style with holiday license</t>
        </is>
      </c>
      <c r="C4628" t="inlineStr">
        <is>
          <t>https://www.pollentiaproperties.com/en/property/id/906154-villa-sale-mal-pas-traditional-coastal-style-rental-license</t>
        </is>
      </c>
      <c r="E4628" t="n">
        <v>5</v>
      </c>
      <c r="G4628" t="n">
        <v>2</v>
      </c>
      <c r="H4628" t="n">
        <v>365</v>
      </c>
      <c r="J4628" t="inlineStr">
        <is>
          <t>Mal Pas</t>
        </is>
      </c>
      <c r="K4628" t="n">
        <v>63.3</v>
      </c>
      <c r="L4628" t="n">
        <v>51</v>
      </c>
      <c r="M4628" t="n">
        <v>81.40000000000001</v>
      </c>
      <c r="N4628" t="n">
        <v>78</v>
      </c>
      <c r="O4628" t="n">
        <v>85.90000000000001</v>
      </c>
      <c r="P4628" t="n">
        <v>67</v>
      </c>
      <c r="Q4628" t="n">
        <v>79.09999999999999</v>
      </c>
      <c r="R4628" t="n">
        <v>74</v>
      </c>
      <c r="AH4628" t="inlineStr">
        <is>
          <t>Quelle: Pollentia Properties</t>
        </is>
      </c>
    </row>
    <row r="4629">
      <c r="A4629" t="n">
        <v>4442</v>
      </c>
      <c r="B4629" t="inlineStr">
        <is>
          <t>Apartment for sale in Sa Coma,  in new complex under construction</t>
        </is>
      </c>
      <c r="C4629" t="inlineStr">
        <is>
          <t>https://www.pollentiaproperties.com/en/property/id/905215-apartment-for-sale-sa-coma-completion-2024-investment</t>
        </is>
      </c>
      <c r="E4629" t="n">
        <v>2</v>
      </c>
      <c r="H4629" t="n">
        <v>98</v>
      </c>
      <c r="J4629" t="inlineStr">
        <is>
          <t>Sa Coma</t>
        </is>
      </c>
      <c r="AH4629" t="inlineStr">
        <is>
          <t>Quelle: Pollentia Properties</t>
        </is>
      </c>
    </row>
    <row r="4630">
      <c r="A4630" t="n">
        <v>4443</v>
      </c>
      <c r="B4630" t="inlineStr">
        <is>
          <t>Apartment for sale in Sa Coma,  in new complex under construction</t>
        </is>
      </c>
      <c r="C4630" t="inlineStr">
        <is>
          <t>https://www.pollentiaproperties.com/en/property/id/905210-apartment-for-sale-sa-coma-completion-2024-investment</t>
        </is>
      </c>
      <c r="E4630" t="n">
        <v>2</v>
      </c>
      <c r="H4630" t="n">
        <v>96</v>
      </c>
      <c r="J4630" t="inlineStr">
        <is>
          <t>Sa Coma</t>
        </is>
      </c>
      <c r="AH4630" t="inlineStr">
        <is>
          <t>Quelle: Pollentia Properties</t>
        </is>
      </c>
    </row>
    <row r="4631">
      <c r="A4631" t="n">
        <v>4444</v>
      </c>
      <c r="B4631" t="inlineStr">
        <is>
          <t>Apartment for sale in Sa Coma,  in new complex under construction</t>
        </is>
      </c>
      <c r="C4631" t="inlineStr">
        <is>
          <t>https://www.pollentiaproperties.com/en/property/id/905209-apartment-for-sale-sa-coma-completion-2024-investment</t>
        </is>
      </c>
      <c r="E4631" t="n">
        <v>2</v>
      </c>
      <c r="H4631" t="n">
        <v>98</v>
      </c>
      <c r="J4631" t="inlineStr">
        <is>
          <t>Sa Coma</t>
        </is>
      </c>
      <c r="AH4631" t="inlineStr">
        <is>
          <t>Quelle: Pollentia Properties</t>
        </is>
      </c>
    </row>
    <row r="4632">
      <c r="A4632" t="n">
        <v>4445</v>
      </c>
      <c r="B4632" t="inlineStr">
        <is>
          <t>Country home for sale in Pollença, prestigious property near the golf course</t>
        </is>
      </c>
      <c r="C4632" t="inlineStr">
        <is>
          <t>https://www.pollentiaproperties.com/en/property/id/904953-country-home-for-sale-pollensa-luxury-property-</t>
        </is>
      </c>
      <c r="E4632" t="n">
        <v>5</v>
      </c>
      <c r="G4632" t="n">
        <v>15</v>
      </c>
      <c r="H4632" t="n">
        <v>582</v>
      </c>
      <c r="J4632" t="inlineStr">
        <is>
          <t>Pollença</t>
        </is>
      </c>
      <c r="K4632" t="n">
        <v>60.6</v>
      </c>
      <c r="L4632" t="n">
        <v>47</v>
      </c>
      <c r="M4632" t="n">
        <v>78.7</v>
      </c>
      <c r="N4632" t="n">
        <v>74</v>
      </c>
      <c r="O4632" t="n">
        <v>83.2</v>
      </c>
      <c r="P4632" t="n">
        <v>63</v>
      </c>
      <c r="Q4632" t="n">
        <v>76.40000000000001</v>
      </c>
      <c r="R4632" t="n">
        <v>70</v>
      </c>
      <c r="S4632" t="n">
        <v>3900000</v>
      </c>
      <c r="T4632" t="n">
        <v>6701</v>
      </c>
      <c r="U4632" t="n">
        <v>260000</v>
      </c>
      <c r="AH4632" t="inlineStr">
        <is>
          <t>Quelle: Pollentia Properties</t>
        </is>
      </c>
    </row>
    <row r="4633">
      <c r="A4633" t="n">
        <v>4446</v>
      </c>
      <c r="B4633" t="inlineStr">
        <is>
          <t>Villa for sale in Puerto Alcúdia, with lovely views and a community pool</t>
        </is>
      </c>
      <c r="C4633" t="inlineStr">
        <is>
          <t>https://www.pollentiaproperties.com/en/property/id/904861-villa-for-sale-puerto-alcudia-lovely-views-community-pool</t>
        </is>
      </c>
      <c r="E4633" t="n">
        <v>3</v>
      </c>
      <c r="G4633" t="n">
        <v>200</v>
      </c>
      <c r="H4633" t="n">
        <v>120</v>
      </c>
      <c r="J4633" t="inlineStr">
        <is>
          <t>Puerto de Alcúdia</t>
        </is>
      </c>
      <c r="AH4633" t="inlineStr">
        <is>
          <t>Quelle: Pollentia Properties</t>
        </is>
      </c>
    </row>
    <row r="4634">
      <c r="A4634" t="n">
        <v>4447</v>
      </c>
      <c r="B4634" t="inlineStr">
        <is>
          <t>Villa for sale in Cala Ratjada, newly built in new development</t>
        </is>
      </c>
      <c r="C4634" t="inlineStr">
        <is>
          <t>https://www.pollentiaproperties.com/en/property/id/904565-villa-sale-cala-ratjada-new-project-construction</t>
        </is>
      </c>
      <c r="E4634" t="n">
        <v>3</v>
      </c>
      <c r="G4634" t="n">
        <v>177</v>
      </c>
      <c r="H4634" t="n">
        <v>333</v>
      </c>
      <c r="J4634" t="inlineStr">
        <is>
          <t>Cala Ratjada</t>
        </is>
      </c>
      <c r="K4634" t="n">
        <v>77.7</v>
      </c>
      <c r="L4634" t="n">
        <v>66</v>
      </c>
      <c r="M4634" t="n">
        <v>73</v>
      </c>
      <c r="N4634" t="n">
        <v>69</v>
      </c>
      <c r="O4634" t="n">
        <v>111.9</v>
      </c>
      <c r="P4634" t="n">
        <v>91</v>
      </c>
      <c r="Q4634" t="n">
        <v>70.7</v>
      </c>
      <c r="R4634" t="n">
        <v>66</v>
      </c>
      <c r="S4634" t="n">
        <v>1130000</v>
      </c>
      <c r="T4634" t="n">
        <v>3393</v>
      </c>
      <c r="U4634" t="n">
        <v>6384</v>
      </c>
      <c r="AH4634" t="inlineStr">
        <is>
          <t>Quelle: Pollentia Properties</t>
        </is>
      </c>
    </row>
    <row r="4635">
      <c r="A4635" t="n">
        <v>4448</v>
      </c>
      <c r="B4635" t="inlineStr">
        <is>
          <t>Villa for sale in Cala Ratjada, newly built in new development</t>
        </is>
      </c>
      <c r="C4635" t="inlineStr">
        <is>
          <t>https://www.pollentiaproperties.com/en/property/id/904564-villa-sale-cala-ratjada-new-project-construction</t>
        </is>
      </c>
      <c r="E4635" t="n">
        <v>3</v>
      </c>
      <c r="G4635" t="n">
        <v>203</v>
      </c>
      <c r="H4635" t="n">
        <v>333</v>
      </c>
      <c r="J4635" t="inlineStr">
        <is>
          <t>Cala Ratjada</t>
        </is>
      </c>
      <c r="K4635" t="n">
        <v>77.7</v>
      </c>
      <c r="L4635" t="n">
        <v>66</v>
      </c>
      <c r="M4635" t="n">
        <v>73</v>
      </c>
      <c r="N4635" t="n">
        <v>69</v>
      </c>
      <c r="O4635" t="n">
        <v>111.9</v>
      </c>
      <c r="P4635" t="n">
        <v>91</v>
      </c>
      <c r="Q4635" t="n">
        <v>70.7</v>
      </c>
      <c r="R4635" t="n">
        <v>66</v>
      </c>
      <c r="S4635" t="n">
        <v>1168000</v>
      </c>
      <c r="T4635" t="n">
        <v>3508</v>
      </c>
      <c r="U4635" t="n">
        <v>5754</v>
      </c>
      <c r="AH4635" t="inlineStr">
        <is>
          <t>Quelle: Pollentia Properties</t>
        </is>
      </c>
    </row>
    <row r="4636">
      <c r="A4636" t="n">
        <v>4449</v>
      </c>
      <c r="B4636" t="inlineStr">
        <is>
          <t>Villa for sale in Cala Ratjada, newly built in new development</t>
        </is>
      </c>
      <c r="C4636" t="inlineStr">
        <is>
          <t>https://www.pollentiaproperties.com/en/property/id/904563-villa-sale-cala-ratjada-new-project-construction</t>
        </is>
      </c>
      <c r="E4636" t="n">
        <v>3</v>
      </c>
      <c r="G4636" t="n">
        <v>212</v>
      </c>
      <c r="H4636" t="n">
        <v>333</v>
      </c>
      <c r="J4636" t="inlineStr">
        <is>
          <t>Cala Ratjada</t>
        </is>
      </c>
      <c r="K4636" t="n">
        <v>77.7</v>
      </c>
      <c r="L4636" t="n">
        <v>66</v>
      </c>
      <c r="M4636" t="n">
        <v>73</v>
      </c>
      <c r="N4636" t="n">
        <v>69</v>
      </c>
      <c r="O4636" t="n">
        <v>111.9</v>
      </c>
      <c r="P4636" t="n">
        <v>91</v>
      </c>
      <c r="Q4636" t="n">
        <v>70.7</v>
      </c>
      <c r="R4636" t="n">
        <v>66</v>
      </c>
      <c r="S4636" t="n">
        <v>1180000</v>
      </c>
      <c r="T4636" t="n">
        <v>3544</v>
      </c>
      <c r="U4636" t="n">
        <v>5566</v>
      </c>
      <c r="AH4636" t="inlineStr">
        <is>
          <t>Quelle: Pollentia Properties</t>
        </is>
      </c>
    </row>
    <row r="4637">
      <c r="A4637" t="n">
        <v>4450</v>
      </c>
      <c r="B4637" t="inlineStr">
        <is>
          <t>Villa for sale in Cala Ratjada, newly built in new development</t>
        </is>
      </c>
      <c r="C4637" t="inlineStr">
        <is>
          <t>https://www.pollentiaproperties.com/en/property/id/904561-villa-for-sale-cala-ratjada-development-under-construction</t>
        </is>
      </c>
      <c r="E4637" t="n">
        <v>3</v>
      </c>
      <c r="G4637" t="n">
        <v>194</v>
      </c>
      <c r="H4637" t="n">
        <v>232</v>
      </c>
      <c r="J4637" t="inlineStr">
        <is>
          <t>Cala Ratjada</t>
        </is>
      </c>
      <c r="S4637" t="n">
        <v>885000</v>
      </c>
      <c r="T4637" t="n">
        <v>3815</v>
      </c>
      <c r="U4637" t="n">
        <v>4562</v>
      </c>
      <c r="AH4637" t="inlineStr">
        <is>
          <t>Quelle: Pollentia Properties</t>
        </is>
      </c>
    </row>
    <row r="4638">
      <c r="A4638" t="n">
        <v>4451</v>
      </c>
      <c r="B4638" t="inlineStr">
        <is>
          <t>Villas for sale in Cala Ratjada, newly built in new development</t>
        </is>
      </c>
      <c r="C4638" t="inlineStr">
        <is>
          <t>https://www.pollentiaproperties.com/en/property/id/904560-villa-for-sale-cala-ratjada-development-under-construction</t>
        </is>
      </c>
      <c r="E4638" t="n">
        <v>3</v>
      </c>
      <c r="G4638" t="n">
        <v>186</v>
      </c>
      <c r="H4638" t="n">
        <v>232</v>
      </c>
      <c r="J4638" t="inlineStr">
        <is>
          <t>Cala Ratjada</t>
        </is>
      </c>
      <c r="S4638" t="n">
        <v>875000</v>
      </c>
      <c r="T4638" t="n">
        <v>3772</v>
      </c>
      <c r="U4638" t="n">
        <v>4704</v>
      </c>
      <c r="AH4638" t="inlineStr">
        <is>
          <t>Quelle: Pollentia Properties</t>
        </is>
      </c>
    </row>
    <row r="4639">
      <c r="A4639" t="n">
        <v>4452</v>
      </c>
      <c r="B4639" t="inlineStr">
        <is>
          <t>Villa for sale in Cala Ratjada, newly built in new development</t>
        </is>
      </c>
      <c r="C4639" t="inlineStr">
        <is>
          <t>https://www.pollentiaproperties.com/en/property/id/904559-villa-for-sale-cala-ratjada-development-under-construction</t>
        </is>
      </c>
      <c r="E4639" t="n">
        <v>3</v>
      </c>
      <c r="G4639" t="n">
        <v>189</v>
      </c>
      <c r="H4639" t="n">
        <v>232</v>
      </c>
      <c r="J4639" t="inlineStr">
        <is>
          <t>Cala Ratjada</t>
        </is>
      </c>
      <c r="S4639" t="n">
        <v>877000</v>
      </c>
      <c r="T4639" t="n">
        <v>3780</v>
      </c>
      <c r="U4639" t="n">
        <v>4640</v>
      </c>
      <c r="AH4639" t="inlineStr">
        <is>
          <t>Quelle: Pollentia Properties</t>
        </is>
      </c>
    </row>
    <row r="4640">
      <c r="A4640" t="n">
        <v>4453</v>
      </c>
      <c r="B4640" t="inlineStr">
        <is>
          <t>Villa for sale in Cala Ratjada, newly built in new development</t>
        </is>
      </c>
      <c r="C4640" t="inlineStr">
        <is>
          <t>https://www.pollentiaproperties.com/en/property/id/904557-villa-for-sale-cala-ratjada-development-under-construction</t>
        </is>
      </c>
      <c r="E4640" t="n">
        <v>3</v>
      </c>
      <c r="G4640" t="n">
        <v>189</v>
      </c>
      <c r="H4640" t="n">
        <v>232</v>
      </c>
      <c r="J4640" t="inlineStr">
        <is>
          <t>Cala Ratjada</t>
        </is>
      </c>
      <c r="S4640" t="n">
        <v>877000</v>
      </c>
      <c r="T4640" t="n">
        <v>3780</v>
      </c>
      <c r="U4640" t="n">
        <v>4640</v>
      </c>
      <c r="AH4640" t="inlineStr">
        <is>
          <t>Quelle: Pollentia Properties</t>
        </is>
      </c>
    </row>
    <row r="4641">
      <c r="A4641" t="n">
        <v>4454</v>
      </c>
      <c r="B4641" t="inlineStr">
        <is>
          <t>Villa for sale in Cala Ratjada, newly built in new development</t>
        </is>
      </c>
      <c r="C4641" t="inlineStr">
        <is>
          <t>https://www.pollentiaproperties.com/en/property/id/904555-villa-for-sale-cala-ratjada-development-under-construction</t>
        </is>
      </c>
      <c r="E4641" t="n">
        <v>3</v>
      </c>
      <c r="G4641" t="n">
        <v>246</v>
      </c>
      <c r="H4641" t="n">
        <v>250</v>
      </c>
      <c r="J4641" t="inlineStr">
        <is>
          <t>Cala Ratjada</t>
        </is>
      </c>
      <c r="K4641" t="n">
        <v>77.7</v>
      </c>
      <c r="L4641" t="n">
        <v>66</v>
      </c>
      <c r="M4641" t="n">
        <v>73</v>
      </c>
      <c r="N4641" t="n">
        <v>69</v>
      </c>
      <c r="O4641" t="n">
        <v>111.9</v>
      </c>
      <c r="P4641" t="n">
        <v>91</v>
      </c>
      <c r="Q4641" t="n">
        <v>70.7</v>
      </c>
      <c r="R4641" t="n">
        <v>66</v>
      </c>
      <c r="S4641" t="n">
        <v>1042000</v>
      </c>
      <c r="T4641" t="n">
        <v>4168</v>
      </c>
      <c r="U4641" t="n">
        <v>4236</v>
      </c>
      <c r="AH4641" t="inlineStr">
        <is>
          <t>Quelle: Pollentia Properties</t>
        </is>
      </c>
    </row>
    <row r="4642">
      <c r="A4642" t="n">
        <v>4455</v>
      </c>
      <c r="B4642" t="inlineStr">
        <is>
          <t>Villa for sale in Cala Ratjada, newly built in new development</t>
        </is>
      </c>
      <c r="C4642" t="inlineStr">
        <is>
          <t>https://www.pollentiaproperties.com/en/property/id/904551-villa-for-sale-cala-ratjada-development-under-construction</t>
        </is>
      </c>
      <c r="E4642" t="n">
        <v>3</v>
      </c>
      <c r="G4642" t="n">
        <v>285</v>
      </c>
      <c r="H4642" t="n">
        <v>250</v>
      </c>
      <c r="J4642" t="inlineStr">
        <is>
          <t>Cala Ratjada</t>
        </is>
      </c>
      <c r="K4642" t="n">
        <v>77.7</v>
      </c>
      <c r="L4642" t="n">
        <v>66</v>
      </c>
      <c r="M4642" t="n">
        <v>73</v>
      </c>
      <c r="N4642" t="n">
        <v>69</v>
      </c>
      <c r="O4642" t="n">
        <v>111.9</v>
      </c>
      <c r="P4642" t="n">
        <v>91</v>
      </c>
      <c r="Q4642" t="n">
        <v>70.7</v>
      </c>
      <c r="R4642" t="n">
        <v>66</v>
      </c>
      <c r="S4642" t="n">
        <v>1073000</v>
      </c>
      <c r="T4642" t="n">
        <v>4292</v>
      </c>
      <c r="U4642" t="n">
        <v>3765</v>
      </c>
      <c r="AH4642" t="inlineStr">
        <is>
          <t>Quelle: Pollentia Properties</t>
        </is>
      </c>
    </row>
    <row r="4643">
      <c r="A4643" t="n">
        <v>4456</v>
      </c>
      <c r="B4643" t="inlineStr">
        <is>
          <t>Villa for sale in Cala Ratjada, newly built in new development</t>
        </is>
      </c>
      <c r="C4643" t="inlineStr">
        <is>
          <t>https://www.pollentiaproperties.com/en/property/id/904548-villa-for-sale-cala-ratjada-development-under-construction</t>
        </is>
      </c>
      <c r="E4643" t="n">
        <v>3</v>
      </c>
      <c r="G4643" t="n">
        <v>237</v>
      </c>
      <c r="H4643" t="n">
        <v>232</v>
      </c>
      <c r="J4643" t="inlineStr">
        <is>
          <t>Cala Ratjada</t>
        </is>
      </c>
      <c r="S4643" t="n">
        <v>947000</v>
      </c>
      <c r="T4643" t="n">
        <v>4082</v>
      </c>
      <c r="U4643" t="n">
        <v>3996</v>
      </c>
      <c r="AH4643" t="inlineStr">
        <is>
          <t>Quelle: Pollentia Properties</t>
        </is>
      </c>
    </row>
    <row r="4644">
      <c r="A4644" t="n">
        <v>4457</v>
      </c>
      <c r="B4644" t="inlineStr">
        <is>
          <t>Country house for sale in Pollensa, NEW PRICE - NEW 4 BED ALTERNATIVE</t>
        </is>
      </c>
      <c r="C4644" t="inlineStr">
        <is>
          <t>https://www.pollentiaproperties.com/en/property/id/904412-country-house-for-sale-pollensa-wonderful-minimalist-interior</t>
        </is>
      </c>
      <c r="E4644" t="n">
        <v>4</v>
      </c>
      <c r="G4644" t="n">
        <v>22</v>
      </c>
      <c r="H4644" t="n">
        <v>638</v>
      </c>
      <c r="J4644" t="inlineStr">
        <is>
          <t>Pollença</t>
        </is>
      </c>
      <c r="K4644" t="n">
        <v>60.6</v>
      </c>
      <c r="L4644" t="n">
        <v>47</v>
      </c>
      <c r="M4644" t="n">
        <v>78.7</v>
      </c>
      <c r="N4644" t="n">
        <v>74</v>
      </c>
      <c r="O4644" t="n">
        <v>83.2</v>
      </c>
      <c r="P4644" t="n">
        <v>63</v>
      </c>
      <c r="Q4644" t="n">
        <v>76.40000000000001</v>
      </c>
      <c r="R4644" t="n">
        <v>70</v>
      </c>
      <c r="S4644" t="n">
        <v>3495000</v>
      </c>
      <c r="T4644" t="n">
        <v>5478</v>
      </c>
      <c r="U4644" t="n">
        <v>158864</v>
      </c>
      <c r="AH4644" t="inlineStr">
        <is>
          <t>Quelle: Pollentia Properties</t>
        </is>
      </c>
    </row>
    <row r="4645">
      <c r="A4645" t="n">
        <v>4458</v>
      </c>
      <c r="B4645" t="inlineStr">
        <is>
          <t>Penthouse for sale in La Bonanova, high-quality refurbished</t>
        </is>
      </c>
      <c r="C4645" t="inlineStr">
        <is>
          <t>https://www.pollentiaproperties.com/en/property/id/904237-penthouse-for-sale-la-bonanova-high-quality-refurbished</t>
        </is>
      </c>
      <c r="E4645" t="n">
        <v>4</v>
      </c>
      <c r="G4645" t="n">
        <v>809</v>
      </c>
      <c r="H4645" t="n">
        <v>230</v>
      </c>
      <c r="J4645" t="inlineStr">
        <is>
          <t>La Bonanova</t>
        </is>
      </c>
      <c r="K4645" t="n">
        <v>19.2</v>
      </c>
      <c r="L4645" t="n">
        <v>21</v>
      </c>
      <c r="M4645" t="n">
        <v>62</v>
      </c>
      <c r="N4645" t="n">
        <v>54</v>
      </c>
      <c r="O4645" t="n">
        <v>26.6</v>
      </c>
      <c r="P4645" t="n">
        <v>27</v>
      </c>
      <c r="Q4645" t="n">
        <v>59.7</v>
      </c>
      <c r="R4645" t="n">
        <v>51</v>
      </c>
      <c r="S4645" t="n">
        <v>1800000</v>
      </c>
      <c r="T4645" t="n">
        <v>7826</v>
      </c>
      <c r="U4645" t="n">
        <v>2225</v>
      </c>
      <c r="AH4645" t="inlineStr">
        <is>
          <t>Quelle: Pollentia Properties</t>
        </is>
      </c>
    </row>
    <row r="4646">
      <c r="A4646" t="n">
        <v>4459</v>
      </c>
      <c r="B4646" t="inlineStr">
        <is>
          <t>Apartment for sale in Puerto Alcudia in minimalist style</t>
        </is>
      </c>
      <c r="C4646" t="inlineStr">
        <is>
          <t>https://www.pollentiaproperties.com/en/property/id/904180-apartment-for-sale-puerto-alcudia-minimalistic-design</t>
        </is>
      </c>
      <c r="E4646" t="n">
        <v>2</v>
      </c>
      <c r="G4646" t="n">
        <v>29</v>
      </c>
      <c r="H4646" t="n">
        <v>123</v>
      </c>
      <c r="J4646" t="inlineStr">
        <is>
          <t>Puerto de Alcúdia</t>
        </is>
      </c>
      <c r="S4646" t="n">
        <v>890000</v>
      </c>
      <c r="T4646" t="n">
        <v>7236</v>
      </c>
      <c r="U4646" t="n">
        <v>30690</v>
      </c>
      <c r="AH4646" t="inlineStr">
        <is>
          <t>Quelle: Pollentia Properties</t>
        </is>
      </c>
    </row>
    <row r="4647">
      <c r="A4647" t="n">
        <v>4460</v>
      </c>
      <c r="B4647" t="inlineStr">
        <is>
          <t>Commercial premises for sale in Mallorca investment</t>
        </is>
      </c>
      <c r="C4647" t="inlineStr">
        <is>
          <t>https://www.pollentiaproperties.com/en/property/id/904177-commercial-premises-for-sale-palma-investment</t>
        </is>
      </c>
      <c r="H4647" t="n">
        <v>440</v>
      </c>
      <c r="J4647" t="inlineStr">
        <is>
          <t>Porto Pi</t>
        </is>
      </c>
      <c r="K4647" t="n">
        <v>20.3</v>
      </c>
      <c r="L4647" t="n">
        <v>19</v>
      </c>
      <c r="M4647" t="n">
        <v>63.1</v>
      </c>
      <c r="N4647" t="n">
        <v>52</v>
      </c>
      <c r="O4647" t="n">
        <v>26.9</v>
      </c>
      <c r="P4647" t="n">
        <v>24</v>
      </c>
      <c r="Q4647" t="n">
        <v>60.8</v>
      </c>
      <c r="R4647" t="n">
        <v>49</v>
      </c>
      <c r="S4647" t="n">
        <v>1050000</v>
      </c>
      <c r="T4647" t="n">
        <v>2386</v>
      </c>
      <c r="AH4647" t="inlineStr">
        <is>
          <t>Quelle: Pollentia Properties</t>
        </is>
      </c>
    </row>
    <row r="4648">
      <c r="A4648" t="n">
        <v>4461</v>
      </c>
      <c r="B4648" t="inlineStr">
        <is>
          <t>Country home for sale in Santa Margalida, with rental license</t>
        </is>
      </c>
      <c r="C4648" t="inlineStr">
        <is>
          <t>https://www.pollentiaproperties.com/en/property/id/904010-country-home-for-sale-santa-margalida-rental-license</t>
        </is>
      </c>
      <c r="E4648" t="n">
        <v>4</v>
      </c>
      <c r="G4648" t="n">
        <v>14</v>
      </c>
      <c r="H4648" t="n">
        <v>271</v>
      </c>
      <c r="J4648" t="inlineStr">
        <is>
          <t>Santa Margalida</t>
        </is>
      </c>
      <c r="AH4648" t="inlineStr">
        <is>
          <t>Quelle: Pollentia Properties</t>
        </is>
      </c>
    </row>
    <row r="4649">
      <c r="A4649" t="n">
        <v>4462</v>
      </c>
      <c r="B4649" t="inlineStr">
        <is>
          <t>Villa for sale in Bonaire with sea views</t>
        </is>
      </c>
      <c r="C4649" t="inlineStr">
        <is>
          <t>https://www.pollentiaproperties.com/en/property/id/903963-villa-for-sale-bonaire--sea-views-garden-pool</t>
        </is>
      </c>
      <c r="E4649" t="n">
        <v>5</v>
      </c>
      <c r="G4649" t="n">
        <v>634</v>
      </c>
      <c r="H4649" t="n">
        <v>392</v>
      </c>
      <c r="J4649" t="inlineStr">
        <is>
          <t>Bonaire</t>
        </is>
      </c>
      <c r="K4649" t="n">
        <v>64.40000000000001</v>
      </c>
      <c r="L4649" t="n">
        <v>54</v>
      </c>
      <c r="M4649" t="n">
        <v>82.5</v>
      </c>
      <c r="N4649" t="n">
        <v>80</v>
      </c>
      <c r="O4649" t="n">
        <v>87</v>
      </c>
      <c r="P4649" t="n">
        <v>70</v>
      </c>
      <c r="Q4649" t="n">
        <v>80.2</v>
      </c>
      <c r="R4649" t="n">
        <v>77</v>
      </c>
      <c r="S4649" t="n">
        <v>1200000</v>
      </c>
      <c r="T4649" t="n">
        <v>3061</v>
      </c>
      <c r="U4649" t="n">
        <v>1893</v>
      </c>
      <c r="AH4649" t="inlineStr">
        <is>
          <t>Quelle: Pollentia Properties</t>
        </is>
      </c>
    </row>
    <row r="4650">
      <c r="A4650" t="n">
        <v>4463</v>
      </c>
      <c r="B4650" t="inlineStr">
        <is>
          <t>Villa for sale in Son Gual, Mallorca in great area near Palma</t>
        </is>
      </c>
      <c r="C4650" t="inlineStr">
        <is>
          <t>https://www.pollentiaproperties.com/en/property/id/903851-villa-for-sale-son-gual-mallorca-great-area-near-palma</t>
        </is>
      </c>
      <c r="E4650" t="n">
        <v>3</v>
      </c>
      <c r="G4650" t="n">
        <v>2</v>
      </c>
      <c r="H4650" t="n">
        <v>243</v>
      </c>
      <c r="J4650" t="inlineStr">
        <is>
          <t>Son Gual</t>
        </is>
      </c>
      <c r="K4650" t="n">
        <v>15.4</v>
      </c>
      <c r="L4650" t="n">
        <v>18</v>
      </c>
      <c r="M4650" t="n">
        <v>45.2</v>
      </c>
      <c r="N4650" t="n">
        <v>43</v>
      </c>
      <c r="O4650" t="n">
        <v>49.6</v>
      </c>
      <c r="P4650" t="n">
        <v>43</v>
      </c>
      <c r="Q4650" t="n">
        <v>42.9</v>
      </c>
      <c r="R4650" t="n">
        <v>39</v>
      </c>
      <c r="S4650" t="n">
        <v>2300000</v>
      </c>
      <c r="T4650" t="n">
        <v>9465</v>
      </c>
      <c r="U4650" t="n">
        <v>1150000</v>
      </c>
      <c r="AH4650" t="inlineStr">
        <is>
          <t>Quelle: Pollentia Properties</t>
        </is>
      </c>
    </row>
    <row r="4651">
      <c r="A4651" t="n">
        <v>4464</v>
      </c>
      <c r="B4651" t="inlineStr">
        <is>
          <t>Apartment for sale in Palmanova in new complex close to the beach</t>
        </is>
      </c>
      <c r="C4651" t="inlineStr">
        <is>
          <t>https://www.pollentiaproperties.com/en/property/id/903843-apartment-for-sale-palmanova--new-complex-community-areas</t>
        </is>
      </c>
      <c r="E4651" t="n">
        <v>2</v>
      </c>
      <c r="H4651" t="n">
        <v>117</v>
      </c>
      <c r="J4651" t="inlineStr">
        <is>
          <t>Palmanova</t>
        </is>
      </c>
      <c r="S4651" t="n">
        <v>597000</v>
      </c>
      <c r="T4651" t="n">
        <v>5103</v>
      </c>
      <c r="AH4651" t="inlineStr">
        <is>
          <t>Quelle: Pollentia Properties</t>
        </is>
      </c>
    </row>
    <row r="4652">
      <c r="A4652" t="n">
        <v>4465</v>
      </c>
      <c r="B4652" t="inlineStr">
        <is>
          <t>Apartment for sale in Palmanova in new complex close to the beach</t>
        </is>
      </c>
      <c r="C4652" t="inlineStr">
        <is>
          <t>https://www.pollentiaproperties.com/en/property/id/903842-apartment-for-sale-palmanova--new-complex-community-areas</t>
        </is>
      </c>
      <c r="E4652" t="n">
        <v>2</v>
      </c>
      <c r="H4652" t="n">
        <v>97</v>
      </c>
      <c r="J4652" t="inlineStr">
        <is>
          <t>Palmanova</t>
        </is>
      </c>
      <c r="S4652" t="n">
        <v>577000</v>
      </c>
      <c r="T4652" t="n">
        <v>5948</v>
      </c>
      <c r="AH4652" t="inlineStr">
        <is>
          <t>Quelle: Pollentia Properties</t>
        </is>
      </c>
    </row>
    <row r="4653">
      <c r="A4653" t="n">
        <v>4466</v>
      </c>
      <c r="B4653" t="inlineStr">
        <is>
          <t>Apartment for sale in Palmanova in new complex close to the beach</t>
        </is>
      </c>
      <c r="C4653" t="inlineStr">
        <is>
          <t>https://www.pollentiaproperties.com/en/property/id/903841-apartment-for-sale-palmanova--new-complex-community-areas</t>
        </is>
      </c>
      <c r="E4653" t="n">
        <v>2</v>
      </c>
      <c r="H4653" t="n">
        <v>97</v>
      </c>
      <c r="J4653" t="inlineStr">
        <is>
          <t>Palmanova</t>
        </is>
      </c>
      <c r="S4653" t="n">
        <v>557000</v>
      </c>
      <c r="T4653" t="n">
        <v>5742</v>
      </c>
      <c r="AH4653" t="inlineStr">
        <is>
          <t>Quelle: Pollentia Properties</t>
        </is>
      </c>
    </row>
    <row r="4654">
      <c r="A4654" t="n">
        <v>4467</v>
      </c>
      <c r="B4654" t="inlineStr">
        <is>
          <t>Apartment for sale in Palmanova in new complex close to the beach</t>
        </is>
      </c>
      <c r="C4654" t="inlineStr">
        <is>
          <t>https://www.pollentiaproperties.com/en/property/id/903839-apartment-for-sale-palmanova--new-complex-community-areas</t>
        </is>
      </c>
      <c r="E4654" t="n">
        <v>2</v>
      </c>
      <c r="H4654" t="n">
        <v>85</v>
      </c>
      <c r="J4654" t="inlineStr">
        <is>
          <t>Palmanova</t>
        </is>
      </c>
      <c r="AH4654" t="inlineStr">
        <is>
          <t>Quelle: Pollentia Properties</t>
        </is>
      </c>
    </row>
    <row r="4655">
      <c r="A4655" t="n">
        <v>4468</v>
      </c>
      <c r="B4655" t="inlineStr">
        <is>
          <t>Apartment for sale in Palmanova in new complex close to the beach</t>
        </is>
      </c>
      <c r="C4655" t="inlineStr">
        <is>
          <t>https://www.pollentiaproperties.com/en/property/id/903838-apartment-for-sale-palmanova--new-complex-community-areas</t>
        </is>
      </c>
      <c r="E4655" t="n">
        <v>2</v>
      </c>
      <c r="H4655" t="n">
        <v>117</v>
      </c>
      <c r="J4655" t="inlineStr">
        <is>
          <t>Palmanova</t>
        </is>
      </c>
      <c r="S4655" t="n">
        <v>567000</v>
      </c>
      <c r="T4655" t="n">
        <v>4846</v>
      </c>
      <c r="AH4655" t="inlineStr">
        <is>
          <t>Quelle: Pollentia Properties</t>
        </is>
      </c>
    </row>
    <row r="4656">
      <c r="A4656" t="n">
        <v>4469</v>
      </c>
      <c r="B4656" t="inlineStr">
        <is>
          <t>Apartment for sale in Palmanova in new complex close to the beach</t>
        </is>
      </c>
      <c r="C4656" t="inlineStr">
        <is>
          <t>https://www.pollentiaproperties.com/en/property/id/903836-apartment-for-sale-palmanova--new-complex-community-areas</t>
        </is>
      </c>
      <c r="E4656" t="n">
        <v>3</v>
      </c>
      <c r="H4656" t="n">
        <v>114</v>
      </c>
      <c r="J4656" t="inlineStr">
        <is>
          <t>Palmanova</t>
        </is>
      </c>
      <c r="S4656" t="n">
        <v>657000</v>
      </c>
      <c r="T4656" t="n">
        <v>5763</v>
      </c>
      <c r="AH4656" t="inlineStr">
        <is>
          <t>Quelle: Pollentia Properties</t>
        </is>
      </c>
    </row>
    <row r="4657">
      <c r="A4657" t="n">
        <v>4470</v>
      </c>
      <c r="B4657" t="inlineStr">
        <is>
          <t>Apartment for sale in Palmanova in new complex close to the beach</t>
        </is>
      </c>
      <c r="C4657" t="inlineStr">
        <is>
          <t>https://www.pollentiaproperties.com/en/property/id/903763-apartment-for-sale-palmanova--new-complex-community-areas</t>
        </is>
      </c>
      <c r="E4657" t="n">
        <v>3</v>
      </c>
      <c r="H4657" t="n">
        <v>222</v>
      </c>
      <c r="J4657" t="inlineStr">
        <is>
          <t>Palmanova</t>
        </is>
      </c>
      <c r="S4657" t="n">
        <v>722000</v>
      </c>
      <c r="T4657" t="n">
        <v>3252</v>
      </c>
      <c r="AH4657" t="inlineStr">
        <is>
          <t>Quelle: Pollentia Properties</t>
        </is>
      </c>
    </row>
    <row r="4658">
      <c r="A4658" t="n">
        <v>4471</v>
      </c>
      <c r="B4658" t="inlineStr">
        <is>
          <t>Apartment for sale in Palmanova in new complex close to the beach</t>
        </is>
      </c>
      <c r="C4658" t="inlineStr">
        <is>
          <t>https://www.pollentiaproperties.com/en/property/id/903762-apartment-for-sale-palmanova--new-complex-community-areas</t>
        </is>
      </c>
      <c r="E4658" t="n">
        <v>2</v>
      </c>
      <c r="H4658" t="n">
        <v>142</v>
      </c>
      <c r="J4658" t="inlineStr">
        <is>
          <t>Palmanova</t>
        </is>
      </c>
      <c r="S4658" t="n">
        <v>697000</v>
      </c>
      <c r="T4658" t="n">
        <v>4908</v>
      </c>
      <c r="AH4658" t="inlineStr">
        <is>
          <t>Quelle: Pollentia Properties</t>
        </is>
      </c>
    </row>
    <row r="4659">
      <c r="A4659" t="n">
        <v>4472</v>
      </c>
      <c r="B4659" t="inlineStr">
        <is>
          <t>Apartment for sale in Palmanova in new complex close to the beach</t>
        </is>
      </c>
      <c r="C4659" t="inlineStr">
        <is>
          <t>https://www.pollentiaproperties.com/en/property/id/903761-apartment-for-sale-palmanova--new-complex-community-areas</t>
        </is>
      </c>
      <c r="E4659" t="n">
        <v>2</v>
      </c>
      <c r="H4659" t="n">
        <v>171</v>
      </c>
      <c r="J4659" t="inlineStr">
        <is>
          <t>Palmanova</t>
        </is>
      </c>
      <c r="S4659" t="n">
        <v>667000</v>
      </c>
      <c r="T4659" t="n">
        <v>3901</v>
      </c>
      <c r="AH4659" t="inlineStr">
        <is>
          <t>Quelle: Pollentia Properties</t>
        </is>
      </c>
    </row>
    <row r="4660">
      <c r="A4660" t="n">
        <v>4473</v>
      </c>
      <c r="B4660" t="inlineStr">
        <is>
          <t>Villa for sale in Campanet with timeless elegance in great location</t>
        </is>
      </c>
      <c r="C4660" t="inlineStr">
        <is>
          <t>https://www.pollentiaproperties.com/en/property/id/903598-villa-for-sale-campanet-top-quality-amazing-location-pool</t>
        </is>
      </c>
      <c r="E4660" t="n">
        <v>5</v>
      </c>
      <c r="H4660" t="n">
        <v>450</v>
      </c>
      <c r="J4660" t="inlineStr">
        <is>
          <t>Campanet</t>
        </is>
      </c>
      <c r="K4660" t="n">
        <v>46.9</v>
      </c>
      <c r="L4660" t="n">
        <v>38</v>
      </c>
      <c r="M4660" t="n">
        <v>65</v>
      </c>
      <c r="N4660" t="n">
        <v>65</v>
      </c>
      <c r="O4660" t="n">
        <v>69.5</v>
      </c>
      <c r="P4660" t="n">
        <v>54</v>
      </c>
      <c r="Q4660" t="n">
        <v>62.7</v>
      </c>
      <c r="R4660" t="n">
        <v>61</v>
      </c>
      <c r="S4660" t="n">
        <v>2500000</v>
      </c>
      <c r="T4660" t="n">
        <v>5556</v>
      </c>
      <c r="AH4660" t="inlineStr">
        <is>
          <t>Quelle: Pollentia Properties</t>
        </is>
      </c>
    </row>
    <row r="4661">
      <c r="A4661" t="n">
        <v>4474</v>
      </c>
      <c r="B4661" t="inlineStr">
        <is>
          <t>New build villa for sale in Llucmajor, Mallorca in luxurious new complex</t>
        </is>
      </c>
      <c r="C4661" t="inlineStr">
        <is>
          <t>https://www.pollentiaproperties.com/en/property/id/903531-villa-for-sale-llucmajor-luxurious-new-project</t>
        </is>
      </c>
      <c r="E4661" t="n">
        <v>4</v>
      </c>
      <c r="G4661" t="n">
        <v>243</v>
      </c>
      <c r="H4661" t="n">
        <v>164</v>
      </c>
      <c r="J4661" t="inlineStr">
        <is>
          <t>Llucmajor</t>
        </is>
      </c>
      <c r="S4661" t="n">
        <v>865000</v>
      </c>
      <c r="T4661" t="n">
        <v>5274</v>
      </c>
      <c r="U4661" t="n">
        <v>3560</v>
      </c>
      <c r="AH4661" t="inlineStr">
        <is>
          <t>Quelle: Pollentia Properties</t>
        </is>
      </c>
    </row>
    <row r="4662">
      <c r="A4662" t="n">
        <v>4475</v>
      </c>
      <c r="B4662" t="inlineStr">
        <is>
          <t>New build villa for sale in Llucmajor, Mallorca in luxurious new complex</t>
        </is>
      </c>
      <c r="C4662" t="inlineStr">
        <is>
          <t>https://www.pollentiaproperties.com/en/property/id/903530-villa-for-sale-llucmajor-luxurious-new-project</t>
        </is>
      </c>
      <c r="E4662" t="n">
        <v>4</v>
      </c>
      <c r="G4662" t="n">
        <v>243</v>
      </c>
      <c r="H4662" t="n">
        <v>164</v>
      </c>
      <c r="J4662" t="inlineStr">
        <is>
          <t>Llucmajor</t>
        </is>
      </c>
      <c r="S4662" t="n">
        <v>899000</v>
      </c>
      <c r="T4662" t="n">
        <v>5482</v>
      </c>
      <c r="U4662" t="n">
        <v>3700</v>
      </c>
      <c r="AH4662" t="inlineStr">
        <is>
          <t>Quelle: Pollentia Properties</t>
        </is>
      </c>
    </row>
    <row r="4663">
      <c r="A4663" t="n">
        <v>4476</v>
      </c>
      <c r="B4663" t="inlineStr">
        <is>
          <t>New build villa for sale in Llucmajor, Mallorca in luxurious new complex</t>
        </is>
      </c>
      <c r="C4663" t="inlineStr">
        <is>
          <t>https://www.pollentiaproperties.com/en/property/id/903529-villa-for-sale-llucmajor-luxurious-new-project</t>
        </is>
      </c>
      <c r="E4663" t="n">
        <v>4</v>
      </c>
      <c r="G4663" t="n">
        <v>241</v>
      </c>
      <c r="H4663" t="n">
        <v>164</v>
      </c>
      <c r="J4663" t="inlineStr">
        <is>
          <t>Llucmajor</t>
        </is>
      </c>
      <c r="S4663" t="n">
        <v>875000</v>
      </c>
      <c r="T4663" t="n">
        <v>5335</v>
      </c>
      <c r="U4663" t="n">
        <v>3631</v>
      </c>
      <c r="AH4663" t="inlineStr">
        <is>
          <t>Quelle: Pollentia Properties</t>
        </is>
      </c>
    </row>
    <row r="4664">
      <c r="A4664" t="n">
        <v>4477</v>
      </c>
      <c r="B4664" t="inlineStr">
        <is>
          <t>Apartments for sale in Santa Ponsa, in new top quality development</t>
        </is>
      </c>
      <c r="C4664" t="inlineStr">
        <is>
          <t>https://www.pollentiaproperties.com/en/property/id/903516-penthouse-for-sale-santa-ponsa-private-pool-under-construction</t>
        </is>
      </c>
      <c r="E4664" t="n">
        <v>4</v>
      </c>
      <c r="H4664" t="n">
        <v>173</v>
      </c>
      <c r="J4664" t="inlineStr">
        <is>
          <t>Santa Ponsa</t>
        </is>
      </c>
      <c r="AH4664" t="inlineStr">
        <is>
          <t>Quelle: Pollentia Properties</t>
        </is>
      </c>
    </row>
    <row r="4665">
      <c r="A4665" t="n">
        <v>4478</v>
      </c>
      <c r="B4665" t="inlineStr">
        <is>
          <t>Apartments for sale in Santa Ponsa, in new top quality development</t>
        </is>
      </c>
      <c r="C4665" t="inlineStr">
        <is>
          <t>https://www.pollentiaproperties.com/en/property/id/903515-penthouse-for-sale-santa-ponsa-private-pool-under-construction</t>
        </is>
      </c>
      <c r="E4665" t="n">
        <v>4</v>
      </c>
      <c r="H4665" t="n">
        <v>173</v>
      </c>
      <c r="J4665" t="inlineStr">
        <is>
          <t>Santa Ponsa</t>
        </is>
      </c>
      <c r="AH4665" t="inlineStr">
        <is>
          <t>Quelle: Pollentia Properties</t>
        </is>
      </c>
    </row>
    <row r="4666">
      <c r="A4666" t="n">
        <v>4479</v>
      </c>
      <c r="B4666" t="inlineStr">
        <is>
          <t>Apartments for sale in Santa Ponsa, in new top quality development</t>
        </is>
      </c>
      <c r="C4666" t="inlineStr">
        <is>
          <t>https://www.pollentiaproperties.com/en/property/id/903514-apartment-for-sale-santa-ponsa-new-development-top-quality</t>
        </is>
      </c>
      <c r="E4666" t="n">
        <v>4</v>
      </c>
      <c r="H4666" t="n">
        <v>173</v>
      </c>
      <c r="J4666" t="inlineStr">
        <is>
          <t>Santa Ponsa</t>
        </is>
      </c>
      <c r="K4666" t="n">
        <v>31.1</v>
      </c>
      <c r="L4666" t="n">
        <v>28</v>
      </c>
      <c r="M4666" t="n">
        <v>73.90000000000001</v>
      </c>
      <c r="N4666" t="n">
        <v>61</v>
      </c>
      <c r="O4666" t="n">
        <v>15.2</v>
      </c>
      <c r="P4666" t="n">
        <v>19</v>
      </c>
      <c r="Q4666" t="n">
        <v>71.59999999999999</v>
      </c>
      <c r="R4666" t="n">
        <v>57</v>
      </c>
      <c r="S4666" t="n">
        <v>2850000</v>
      </c>
      <c r="T4666" t="n">
        <v>16474</v>
      </c>
      <c r="AH4666" t="inlineStr">
        <is>
          <t>Quelle: Pollentia Properties</t>
        </is>
      </c>
    </row>
    <row r="4667">
      <c r="A4667" t="n">
        <v>4480</v>
      </c>
      <c r="B4667" t="inlineStr">
        <is>
          <t>Apartments for sale in Santa Ponsa, in new top quality development</t>
        </is>
      </c>
      <c r="C4667" t="inlineStr">
        <is>
          <t>https://www.pollentiaproperties.com/en/property/id/903513-ground-floor-for-sale-santa-ponsa-private-garden-pool</t>
        </is>
      </c>
      <c r="E4667" t="n">
        <v>4</v>
      </c>
      <c r="H4667" t="n">
        <v>173</v>
      </c>
      <c r="J4667" t="inlineStr">
        <is>
          <t>Santa Ponsa</t>
        </is>
      </c>
      <c r="K4667" t="n">
        <v>31.1</v>
      </c>
      <c r="L4667" t="n">
        <v>28</v>
      </c>
      <c r="M4667" t="n">
        <v>73.90000000000001</v>
      </c>
      <c r="N4667" t="n">
        <v>61</v>
      </c>
      <c r="O4667" t="n">
        <v>15.2</v>
      </c>
      <c r="P4667" t="n">
        <v>19</v>
      </c>
      <c r="Q4667" t="n">
        <v>71.59999999999999</v>
      </c>
      <c r="R4667" t="n">
        <v>57</v>
      </c>
      <c r="S4667" t="n">
        <v>2820000</v>
      </c>
      <c r="T4667" t="n">
        <v>16301</v>
      </c>
      <c r="AH4667" t="inlineStr">
        <is>
          <t>Quelle: Pollentia Properties</t>
        </is>
      </c>
    </row>
    <row r="4668">
      <c r="A4668" t="n">
        <v>4481</v>
      </c>
      <c r="B4668" t="inlineStr">
        <is>
          <t>Apartments for sale in Santa Ponsa, in new top quality development</t>
        </is>
      </c>
      <c r="C4668" t="inlineStr">
        <is>
          <t>https://www.pollentiaproperties.com/en/property/id/903511-ground-floor-for-sale-santa-ponsa-private-garden-pool</t>
        </is>
      </c>
      <c r="E4668" t="n">
        <v>4</v>
      </c>
      <c r="H4668" t="n">
        <v>173</v>
      </c>
      <c r="J4668" t="inlineStr">
        <is>
          <t>Santa Ponsa</t>
        </is>
      </c>
      <c r="K4668" t="n">
        <v>31.1</v>
      </c>
      <c r="L4668" t="n">
        <v>28</v>
      </c>
      <c r="M4668" t="n">
        <v>73.90000000000001</v>
      </c>
      <c r="N4668" t="n">
        <v>61</v>
      </c>
      <c r="O4668" t="n">
        <v>15.2</v>
      </c>
      <c r="P4668" t="n">
        <v>19</v>
      </c>
      <c r="Q4668" t="n">
        <v>71.59999999999999</v>
      </c>
      <c r="R4668" t="n">
        <v>57</v>
      </c>
      <c r="S4668" t="n">
        <v>1765800</v>
      </c>
      <c r="T4668" t="n">
        <v>10207</v>
      </c>
      <c r="AH4668" t="inlineStr">
        <is>
          <t>Quelle: Pollentia Properties</t>
        </is>
      </c>
    </row>
    <row r="4669">
      <c r="A4669" t="n">
        <v>4482</v>
      </c>
      <c r="B4669" t="inlineStr">
        <is>
          <t>Country building plot for sale in Santanyi with project potential</t>
        </is>
      </c>
      <c r="C4669" t="inlineStr">
        <is>
          <t>https://www.pollentiaproperties.com/en/property/id/903371-building-plot-for-sale-santanyi-project-potential-unbeatable-setting</t>
        </is>
      </c>
      <c r="G4669" t="n">
        <v>14</v>
      </c>
      <c r="J4669" t="inlineStr">
        <is>
          <t>Santanyí</t>
        </is>
      </c>
      <c r="S4669" t="n">
        <v>405000</v>
      </c>
      <c r="U4669" t="n">
        <v>28929</v>
      </c>
      <c r="AH4669" t="inlineStr">
        <is>
          <t>Quelle: Pollentia Properties</t>
        </is>
      </c>
    </row>
    <row r="4670">
      <c r="A4670" t="n">
        <v>4483</v>
      </c>
      <c r="B4670" t="inlineStr">
        <is>
          <t>Country building plot for sale in Calonge with basic project</t>
        </is>
      </c>
      <c r="C4670" t="inlineStr">
        <is>
          <t>https://www.pollentiaproperties.com/en/property/id/903369-building-plot-for-sale-calonge-basic-project-quiet-area</t>
        </is>
      </c>
      <c r="G4670" t="n">
        <v>22</v>
      </c>
      <c r="J4670" t="inlineStr">
        <is>
          <t>Calonge</t>
        </is>
      </c>
      <c r="S4670" t="n">
        <v>800000</v>
      </c>
      <c r="U4670" t="n">
        <v>36364</v>
      </c>
      <c r="AH4670" t="inlineStr">
        <is>
          <t>Quelle: Pollentia Properties</t>
        </is>
      </c>
    </row>
    <row r="4671">
      <c r="A4671" t="n">
        <v>4484</v>
      </c>
      <c r="B4671" t="inlineStr">
        <is>
          <t>Country house for sale in Cas Concos renovation potential</t>
        </is>
      </c>
      <c r="C4671" t="inlineStr">
        <is>
          <t>https://www.pollentiaproperties.com/en/property/id/903367-country-house-for-sale-in-cas-concos-renovation-potential</t>
        </is>
      </c>
      <c r="G4671" t="n">
        <v>9</v>
      </c>
      <c r="H4671" t="n">
        <v>600</v>
      </c>
      <c r="J4671" t="inlineStr">
        <is>
          <t>Cas Concos</t>
        </is>
      </c>
      <c r="K4671" t="n">
        <v>43.4</v>
      </c>
      <c r="L4671" t="n">
        <v>42</v>
      </c>
      <c r="M4671" t="n">
        <v>14.6</v>
      </c>
      <c r="N4671" t="n">
        <v>21</v>
      </c>
      <c r="O4671" t="n">
        <v>81.59999999999999</v>
      </c>
      <c r="P4671" t="n">
        <v>69</v>
      </c>
      <c r="Q4671" t="n">
        <v>15.9</v>
      </c>
      <c r="R4671" t="n">
        <v>25</v>
      </c>
      <c r="S4671" t="n">
        <v>1380000</v>
      </c>
      <c r="T4671" t="n">
        <v>2300</v>
      </c>
      <c r="U4671" t="n">
        <v>153333</v>
      </c>
      <c r="AH4671" t="inlineStr">
        <is>
          <t>Quelle: Pollentia Properties</t>
        </is>
      </c>
    </row>
    <row r="4672">
      <c r="A4672" t="n">
        <v>4485</v>
      </c>
      <c r="B4672" t="inlineStr">
        <is>
          <t>Building plot for sale in a residential area of Cala Mesquida, Mallorca</t>
        </is>
      </c>
      <c r="C4672" t="inlineStr">
        <is>
          <t>https://www.pollentiaproperties.com/en/property/id/902998-building-plot-for-sale-cala-mesquida-potential-detached-house-pool</t>
        </is>
      </c>
      <c r="G4672" t="n">
        <v>1</v>
      </c>
      <c r="H4672" t="n">
        <v>679</v>
      </c>
      <c r="J4672" t="inlineStr">
        <is>
          <t>Cala Mesquida</t>
        </is>
      </c>
      <c r="S4672" t="n">
        <v>330000</v>
      </c>
      <c r="T4672" t="n">
        <v>486</v>
      </c>
      <c r="U4672" t="n">
        <v>330000</v>
      </c>
      <c r="AH4672" t="inlineStr">
        <is>
          <t>Quelle: Pollentia Properties</t>
        </is>
      </c>
    </row>
    <row r="4673">
      <c r="A4673" t="n">
        <v>4486</v>
      </c>
      <c r="B4673" t="inlineStr">
        <is>
          <t>Apartment for sale in Sa Coma,  in new complex under construction</t>
        </is>
      </c>
      <c r="C4673" t="inlineStr">
        <is>
          <t>https://www.pollentiaproperties.com/en/property/id/902886-apartment-for-sale-sa-coma-completion-2024-investment</t>
        </is>
      </c>
      <c r="E4673" t="n">
        <v>2</v>
      </c>
      <c r="H4673" t="n">
        <v>96</v>
      </c>
      <c r="J4673" t="inlineStr">
        <is>
          <t>Sa Coma</t>
        </is>
      </c>
      <c r="AH4673" t="inlineStr">
        <is>
          <t>Quelle: Pollentia Properties</t>
        </is>
      </c>
    </row>
    <row r="4674">
      <c r="A4674" t="n">
        <v>4487</v>
      </c>
      <c r="B4674" t="inlineStr">
        <is>
          <t>Building plot for sale in Pollença with licence for two villas</t>
        </is>
      </c>
      <c r="C4674" t="inlineStr">
        <is>
          <t>https://www.pollentiaproperties.com/en/property/id/902861-building-plot-for-sale-pollensa--licence-project-two-villas</t>
        </is>
      </c>
      <c r="E4674" t="n">
        <v>4</v>
      </c>
      <c r="G4674" t="n">
        <v>1</v>
      </c>
      <c r="H4674" t="n">
        <v>237</v>
      </c>
      <c r="J4674" t="inlineStr">
        <is>
          <t>Pollença</t>
        </is>
      </c>
      <c r="S4674" t="n">
        <v>650000</v>
      </c>
      <c r="T4674" t="n">
        <v>2743</v>
      </c>
      <c r="U4674" t="n">
        <v>650000</v>
      </c>
      <c r="AH4674" t="inlineStr">
        <is>
          <t>Quelle: Pollentia Properties</t>
        </is>
      </c>
    </row>
    <row r="4675">
      <c r="A4675" t="n">
        <v>4488</v>
      </c>
      <c r="B4675" t="inlineStr">
        <is>
          <t>Country home for sale in Puntiró, with stunning panoramic views</t>
        </is>
      </c>
      <c r="C4675" t="inlineStr">
        <is>
          <t>https://www.pollentiaproperties.com/en/property/id/902855-country-home-for-sale-puntiro-stunning-panoramic-views</t>
        </is>
      </c>
      <c r="E4675" t="n">
        <v>6</v>
      </c>
      <c r="G4675" t="n">
        <v>8</v>
      </c>
      <c r="H4675" t="n">
        <v>397</v>
      </c>
      <c r="J4675" t="inlineStr">
        <is>
          <t>Puntiró</t>
        </is>
      </c>
      <c r="K4675" t="n">
        <v>16.7</v>
      </c>
      <c r="L4675" t="n">
        <v>21</v>
      </c>
      <c r="M4675" t="n">
        <v>53.4</v>
      </c>
      <c r="N4675" t="n">
        <v>52</v>
      </c>
      <c r="O4675" t="n">
        <v>47</v>
      </c>
      <c r="P4675" t="n">
        <v>43</v>
      </c>
      <c r="Q4675" t="n">
        <v>51.1</v>
      </c>
      <c r="R4675" t="n">
        <v>48</v>
      </c>
      <c r="S4675" t="n">
        <v>1790000</v>
      </c>
      <c r="T4675" t="n">
        <v>4509</v>
      </c>
      <c r="U4675" t="n">
        <v>223750</v>
      </c>
      <c r="AH4675" t="inlineStr">
        <is>
          <t>Quelle: Pollentia Properties</t>
        </is>
      </c>
    </row>
    <row r="4676">
      <c r="A4676" t="n">
        <v>4489</v>
      </c>
      <c r="B4676" t="inlineStr">
        <is>
          <t>Villa for sale in Pollensa currently under construction</t>
        </is>
      </c>
      <c r="C4676" t="inlineStr">
        <is>
          <t>https://www.pollentiaproperties.com/en/property/id/902845-villa-for-sale-pollensa-currently-under-construction-residential-area</t>
        </is>
      </c>
      <c r="E4676" t="n">
        <v>4</v>
      </c>
      <c r="G4676" t="n">
        <v>1</v>
      </c>
      <c r="H4676" t="n">
        <v>284</v>
      </c>
      <c r="J4676" t="inlineStr">
        <is>
          <t>Pollença</t>
        </is>
      </c>
      <c r="K4676" t="n">
        <v>60.6</v>
      </c>
      <c r="L4676" t="n">
        <v>47</v>
      </c>
      <c r="M4676" t="n">
        <v>78.7</v>
      </c>
      <c r="N4676" t="n">
        <v>74</v>
      </c>
      <c r="O4676" t="n">
        <v>83.2</v>
      </c>
      <c r="P4676" t="n">
        <v>63</v>
      </c>
      <c r="Q4676" t="n">
        <v>76.40000000000001</v>
      </c>
      <c r="R4676" t="n">
        <v>70</v>
      </c>
      <c r="S4676" t="n">
        <v>1650000</v>
      </c>
      <c r="T4676" t="n">
        <v>5810</v>
      </c>
      <c r="U4676" t="n">
        <v>1650000</v>
      </c>
      <c r="AH4676" t="inlineStr">
        <is>
          <t>Quelle: Pollentia Properties</t>
        </is>
      </c>
    </row>
    <row r="4677">
      <c r="A4677" t="n">
        <v>4490</v>
      </c>
      <c r="B4677" t="inlineStr">
        <is>
          <t>Townhouse for sale in El Terreno with roof terrace and sea views</t>
        </is>
      </c>
      <c r="C4677" t="inlineStr">
        <is>
          <t>https://www.pollentiaproperties.com/en/property/id/902641-town-house-for-sale-el-terreno-roof-terrace-pool-sea-views</t>
        </is>
      </c>
      <c r="E4677" t="n">
        <v>3</v>
      </c>
      <c r="H4677" t="n">
        <v>285</v>
      </c>
      <c r="J4677" t="inlineStr">
        <is>
          <t>El Terreno</t>
        </is>
      </c>
      <c r="K4677" t="n">
        <v>12.3</v>
      </c>
      <c r="L4677" t="n">
        <v>21</v>
      </c>
      <c r="M4677" t="n">
        <v>55</v>
      </c>
      <c r="N4677" t="n">
        <v>53</v>
      </c>
      <c r="O4677" t="n">
        <v>27.6</v>
      </c>
      <c r="P4677" t="n">
        <v>27</v>
      </c>
      <c r="Q4677" t="n">
        <v>52.7</v>
      </c>
      <c r="R4677" t="n">
        <v>50</v>
      </c>
      <c r="S4677" t="n">
        <v>1990000</v>
      </c>
      <c r="T4677" t="n">
        <v>6982</v>
      </c>
      <c r="AH4677" t="inlineStr">
        <is>
          <t>Quelle: Pollentia Properties</t>
        </is>
      </c>
    </row>
    <row r="4678">
      <c r="A4678" t="n">
        <v>4491</v>
      </c>
      <c r="B4678" t="inlineStr">
        <is>
          <t>Penthouse for sale in Puerto de Alcudia in magnficent location</t>
        </is>
      </c>
      <c r="C4678" t="inlineStr">
        <is>
          <t>https://www.pollentiaproperties.com/en/property/id/902629-penthouse-for-sale-puerto-alcudia-fantastic-location.views</t>
        </is>
      </c>
      <c r="E4678" t="n">
        <v>4</v>
      </c>
      <c r="H4678" t="n">
        <v>204</v>
      </c>
      <c r="J4678" t="inlineStr">
        <is>
          <t>Puerto de Alcúdia</t>
        </is>
      </c>
      <c r="K4678" t="n">
        <v>62.1</v>
      </c>
      <c r="L4678" t="n">
        <v>46</v>
      </c>
      <c r="M4678" t="n">
        <v>80.2</v>
      </c>
      <c r="N4678" t="n">
        <v>73</v>
      </c>
      <c r="O4678" t="n">
        <v>84.7</v>
      </c>
      <c r="P4678" t="n">
        <v>62</v>
      </c>
      <c r="Q4678" t="n">
        <v>77.90000000000001</v>
      </c>
      <c r="R4678" t="n">
        <v>69</v>
      </c>
      <c r="S4678" t="n">
        <v>1275000</v>
      </c>
      <c r="T4678" t="n">
        <v>6250</v>
      </c>
      <c r="AH4678" t="inlineStr">
        <is>
          <t>Quelle: Pollentia Properties</t>
        </is>
      </c>
    </row>
    <row r="4679">
      <c r="A4679" t="n">
        <v>4492</v>
      </c>
      <c r="B4679" t="inlineStr">
        <is>
          <t>Country house for sale in Santa María del Camí with luxurious elegance</t>
        </is>
      </c>
      <c r="C4679" t="inlineStr">
        <is>
          <t>https://www.pollentiaproperties.com/en/property/id/902533-country-house-for-sale-santa-maria-del-cami-luxurious-elegance-garden-pool</t>
        </is>
      </c>
      <c r="E4679" t="n">
        <v>4</v>
      </c>
      <c r="G4679" t="n">
        <v>17</v>
      </c>
      <c r="H4679" t="n">
        <v>645</v>
      </c>
      <c r="J4679" t="inlineStr">
        <is>
          <t>Santa Maria del Camí</t>
        </is>
      </c>
      <c r="K4679" t="n">
        <v>23.5</v>
      </c>
      <c r="L4679" t="n">
        <v>21</v>
      </c>
      <c r="M4679" t="n">
        <v>66.3</v>
      </c>
      <c r="N4679" t="n">
        <v>54</v>
      </c>
      <c r="O4679" t="n">
        <v>46.1</v>
      </c>
      <c r="P4679" t="n">
        <v>37</v>
      </c>
      <c r="Q4679" t="n">
        <v>64</v>
      </c>
      <c r="R4679" t="n">
        <v>51</v>
      </c>
      <c r="S4679" t="n">
        <v>4250000</v>
      </c>
      <c r="T4679" t="n">
        <v>6589</v>
      </c>
      <c r="U4679" t="n">
        <v>250000</v>
      </c>
      <c r="AH4679" t="inlineStr">
        <is>
          <t>Quelle: Pollentia Properties</t>
        </is>
      </c>
    </row>
    <row r="4680">
      <c r="A4680" t="n">
        <v>4493</v>
      </c>
      <c r="B4680" t="inlineStr">
        <is>
          <t>Villa for sale in Pollença in exclusive development</t>
        </is>
      </c>
      <c r="C4680" t="inlineStr">
        <is>
          <t>https://www.pollentiaproperties.com/en/property/id/902526-villa-for-sale-pollensa-exclusive-development</t>
        </is>
      </c>
      <c r="E4680" t="n">
        <v>3</v>
      </c>
      <c r="H4680" t="n">
        <v>180</v>
      </c>
      <c r="J4680" t="inlineStr">
        <is>
          <t>Pollença</t>
        </is>
      </c>
      <c r="K4680" t="n">
        <v>60.6</v>
      </c>
      <c r="L4680" t="n">
        <v>47</v>
      </c>
      <c r="M4680" t="n">
        <v>78.7</v>
      </c>
      <c r="N4680" t="n">
        <v>74</v>
      </c>
      <c r="O4680" t="n">
        <v>83.2</v>
      </c>
      <c r="P4680" t="n">
        <v>63</v>
      </c>
      <c r="Q4680" t="n">
        <v>76.40000000000001</v>
      </c>
      <c r="R4680" t="n">
        <v>70</v>
      </c>
      <c r="S4680" t="n">
        <v>1150000</v>
      </c>
      <c r="T4680" t="n">
        <v>6389</v>
      </c>
      <c r="AH4680" t="inlineStr">
        <is>
          <t>Quelle: Pollentia Properties</t>
        </is>
      </c>
    </row>
    <row r="4681">
      <c r="A4681" t="n">
        <v>4494</v>
      </c>
      <c r="B4681" t="inlineStr">
        <is>
          <t>Vineyard in Sencelles with house, garden and pool</t>
        </is>
      </c>
      <c r="C4681" t="inlineStr">
        <is>
          <t>https://www.pollentiaproperties.com/en/property/id/902477-country-house-for-sale-sencelles-garden-pool-productive-vineyard</t>
        </is>
      </c>
      <c r="E4681" t="n">
        <v>4</v>
      </c>
      <c r="G4681" t="n">
        <v>15</v>
      </c>
      <c r="H4681" t="n">
        <v>570</v>
      </c>
      <c r="J4681" t="inlineStr">
        <is>
          <t>Sencelles</t>
        </is>
      </c>
      <c r="K4681" t="n">
        <v>34.2</v>
      </c>
      <c r="L4681" t="n">
        <v>32</v>
      </c>
      <c r="M4681" t="n">
        <v>46.4</v>
      </c>
      <c r="N4681" t="n">
        <v>50</v>
      </c>
      <c r="O4681" t="n">
        <v>56.8</v>
      </c>
      <c r="P4681" t="n">
        <v>48</v>
      </c>
      <c r="Q4681" t="n">
        <v>44.1</v>
      </c>
      <c r="R4681" t="n">
        <v>46</v>
      </c>
      <c r="S4681" t="n">
        <v>2950000</v>
      </c>
      <c r="T4681" t="n">
        <v>5175</v>
      </c>
      <c r="U4681" t="n">
        <v>196667</v>
      </c>
      <c r="AH4681" t="inlineStr">
        <is>
          <t>Quelle: Pollentia Properties</t>
        </is>
      </c>
    </row>
    <row r="4682">
      <c r="A4682" t="n">
        <v>4495</v>
      </c>
      <c r="B4682" t="inlineStr">
        <is>
          <t>Town house for sale in Pollença, updated and in central location</t>
        </is>
      </c>
      <c r="C4682" t="inlineStr">
        <is>
          <t>https://www.pollentiaproperties.com/en/property/id/902422-town-house-for-sale-pollensa-updated-central-location</t>
        </is>
      </c>
      <c r="E4682" t="n">
        <v>3</v>
      </c>
      <c r="G4682" t="n">
        <v>91</v>
      </c>
      <c r="H4682" t="n">
        <v>144</v>
      </c>
      <c r="J4682" t="inlineStr">
        <is>
          <t>Pollença Pueblo</t>
        </is>
      </c>
      <c r="S4682" t="n">
        <v>689000</v>
      </c>
      <c r="T4682" t="n">
        <v>4785</v>
      </c>
      <c r="U4682" t="n">
        <v>7571</v>
      </c>
      <c r="AH4682" t="inlineStr">
        <is>
          <t>Quelle: Pollentia Properties</t>
        </is>
      </c>
    </row>
    <row r="4683">
      <c r="A4683" t="n">
        <v>4496</v>
      </c>
      <c r="B4683" t="inlineStr">
        <is>
          <t>Apartments for sale in Colonia de Sant Jordi in new development</t>
        </is>
      </c>
      <c r="C4683" t="inlineStr">
        <is>
          <t>https://www.pollentiaproperties.com/en/property/id/902418-apartments-for-sale-colonia-sant-jordi-new-development-community-pool</t>
        </is>
      </c>
      <c r="E4683" t="n">
        <v>3</v>
      </c>
      <c r="G4683" t="n">
        <v>214</v>
      </c>
      <c r="H4683" t="n">
        <v>233</v>
      </c>
      <c r="J4683" t="inlineStr">
        <is>
          <t>Colònia de Sant Jordi</t>
        </is>
      </c>
      <c r="S4683" t="n">
        <v>885000</v>
      </c>
      <c r="T4683" t="n">
        <v>3798</v>
      </c>
      <c r="U4683" t="n">
        <v>4136</v>
      </c>
      <c r="AH4683" t="inlineStr">
        <is>
          <t>Quelle: Pollentia Properties</t>
        </is>
      </c>
    </row>
    <row r="4684">
      <c r="A4684" t="n">
        <v>4497</v>
      </c>
      <c r="B4684" t="inlineStr">
        <is>
          <t>Apartments for sale in Colonia de Sant Jordi in new development</t>
        </is>
      </c>
      <c r="C4684" t="inlineStr">
        <is>
          <t>https://www.pollentiaproperties.com/en/property/id/902417-apartments-for-sale-colonia-sant-jordi-new-development-community-pool</t>
        </is>
      </c>
      <c r="E4684" t="n">
        <v>3</v>
      </c>
      <c r="G4684" t="n">
        <v>72</v>
      </c>
      <c r="H4684" t="n">
        <v>229</v>
      </c>
      <c r="J4684" t="inlineStr">
        <is>
          <t>Colònia de Sant Jordi</t>
        </is>
      </c>
      <c r="S4684" t="n">
        <v>825000</v>
      </c>
      <c r="T4684" t="n">
        <v>3603</v>
      </c>
      <c r="U4684" t="n">
        <v>11458</v>
      </c>
      <c r="AH4684" t="inlineStr">
        <is>
          <t>Quelle: Pollentia Properties</t>
        </is>
      </c>
    </row>
    <row r="4685">
      <c r="A4685" t="n">
        <v>4498</v>
      </c>
      <c r="B4685" t="inlineStr">
        <is>
          <t>Apartments for sale in Colonia de Sant Jordi in new development</t>
        </is>
      </c>
      <c r="C4685" t="inlineStr">
        <is>
          <t>https://www.pollentiaproperties.com/en/property/id/902416-apartments-for-sale-colonia-sant-jordi-new-development-community-pool</t>
        </is>
      </c>
      <c r="E4685" t="n">
        <v>3</v>
      </c>
      <c r="G4685" t="n">
        <v>99</v>
      </c>
      <c r="H4685" t="n">
        <v>284</v>
      </c>
      <c r="J4685" t="inlineStr">
        <is>
          <t>Colònia de Sant Jordi</t>
        </is>
      </c>
      <c r="S4685" t="n">
        <v>925000</v>
      </c>
      <c r="T4685" t="n">
        <v>3257</v>
      </c>
      <c r="U4685" t="n">
        <v>9343</v>
      </c>
      <c r="AH4685" t="inlineStr">
        <is>
          <t>Quelle: Pollentia Properties</t>
        </is>
      </c>
    </row>
    <row r="4686">
      <c r="A4686" t="n">
        <v>4499</v>
      </c>
      <c r="B4686" t="inlineStr">
        <is>
          <t>Apartments for sale in Colonia de Sant Jordi in new development</t>
        </is>
      </c>
      <c r="C4686" t="inlineStr">
        <is>
          <t>https://www.pollentiaproperties.com/en/property/id/902415-apartments-for-sale-colonia-sant-jordi-new-development-community-pool</t>
        </is>
      </c>
      <c r="E4686" t="n">
        <v>3</v>
      </c>
      <c r="G4686" t="n">
        <v>121</v>
      </c>
      <c r="H4686" t="n">
        <v>278</v>
      </c>
      <c r="J4686" t="inlineStr">
        <is>
          <t>Colònia de Sant Jordi</t>
        </is>
      </c>
      <c r="S4686" t="n">
        <v>920000</v>
      </c>
      <c r="T4686" t="n">
        <v>3309</v>
      </c>
      <c r="U4686" t="n">
        <v>7603</v>
      </c>
      <c r="AH4686" t="inlineStr">
        <is>
          <t>Quelle: Pollentia Properties</t>
        </is>
      </c>
    </row>
    <row r="4687">
      <c r="A4687" t="n">
        <v>4500</v>
      </c>
      <c r="B4687" t="inlineStr">
        <is>
          <t>Apartments for sale in Colonia de Sant Jordi in new development</t>
        </is>
      </c>
      <c r="C4687" t="inlineStr">
        <is>
          <t>https://www.pollentiaproperties.com/en/property/id/902414-apartments-for-sale-colonia-sant-jordi-new-development-community-pool</t>
        </is>
      </c>
      <c r="E4687" t="n">
        <v>3</v>
      </c>
      <c r="G4687" t="n">
        <v>75</v>
      </c>
      <c r="H4687" t="n">
        <v>289</v>
      </c>
      <c r="J4687" t="inlineStr">
        <is>
          <t>Colònia de Sant Jordi</t>
        </is>
      </c>
      <c r="S4687" t="n">
        <v>895000</v>
      </c>
      <c r="T4687" t="n">
        <v>3097</v>
      </c>
      <c r="U4687" t="n">
        <v>11933</v>
      </c>
      <c r="AH4687" t="inlineStr">
        <is>
          <t>Quelle: Pollentia Properties</t>
        </is>
      </c>
    </row>
    <row r="4688">
      <c r="A4688" t="n">
        <v>4501</v>
      </c>
      <c r="B4688" t="inlineStr">
        <is>
          <t>Apartments for sale in Colonia de Sant Jordi in new development</t>
        </is>
      </c>
      <c r="C4688" t="inlineStr">
        <is>
          <t>https://www.pollentiaproperties.com/en/property/id/902412-apartments-for-sale-colonia-sant-jordi-new-development-community-pool</t>
        </is>
      </c>
      <c r="E4688" t="n">
        <v>3</v>
      </c>
      <c r="H4688" t="n">
        <v>379</v>
      </c>
      <c r="J4688" t="inlineStr">
        <is>
          <t>Colònia de Sant Jordi</t>
        </is>
      </c>
      <c r="S4688" t="n">
        <v>970000</v>
      </c>
      <c r="T4688" t="n">
        <v>2559</v>
      </c>
      <c r="AH4688" t="inlineStr">
        <is>
          <t>Quelle: Pollentia Properties</t>
        </is>
      </c>
    </row>
    <row r="4689">
      <c r="A4689" t="n">
        <v>4502</v>
      </c>
      <c r="B4689" t="inlineStr">
        <is>
          <t>Apartments for sale in Colonia de Sant Jordi in new development</t>
        </is>
      </c>
      <c r="C4689" t="inlineStr">
        <is>
          <t>https://www.pollentiaproperties.com/en/property/id/902410-apartments-for-sale-colonia-sant-jordi-new-development-community-pool</t>
        </is>
      </c>
      <c r="E4689" t="n">
        <v>3</v>
      </c>
      <c r="H4689" t="n">
        <v>382</v>
      </c>
      <c r="J4689" t="inlineStr">
        <is>
          <t>Colònia de Sant Jordi</t>
        </is>
      </c>
      <c r="S4689" t="n">
        <v>990000</v>
      </c>
      <c r="T4689" t="n">
        <v>2592</v>
      </c>
      <c r="AH4689" t="inlineStr">
        <is>
          <t>Quelle: Pollentia Properties</t>
        </is>
      </c>
    </row>
    <row r="4690">
      <c r="A4690" t="n">
        <v>4503</v>
      </c>
      <c r="B4690" t="inlineStr">
        <is>
          <t>Apartments for sale in Colonia de Sant Jordi in new development</t>
        </is>
      </c>
      <c r="C4690" t="inlineStr">
        <is>
          <t>https://www.pollentiaproperties.com/en/property/id/902409-apartments-for-sale-colonia-sant-jordi-new-development-community-pool</t>
        </is>
      </c>
      <c r="E4690" t="n">
        <v>3</v>
      </c>
      <c r="H4690" t="n">
        <v>408</v>
      </c>
      <c r="J4690" t="inlineStr">
        <is>
          <t>Colònia de Sant Jordi</t>
        </is>
      </c>
      <c r="S4690" t="n">
        <v>995000</v>
      </c>
      <c r="T4690" t="n">
        <v>2439</v>
      </c>
      <c r="AH4690" t="inlineStr">
        <is>
          <t>Quelle: Pollentia Properties</t>
        </is>
      </c>
    </row>
    <row r="4691">
      <c r="A4691" t="n">
        <v>4504</v>
      </c>
      <c r="B4691" t="inlineStr">
        <is>
          <t>Apartments for sale in Colonia de Sant Jordi in new development</t>
        </is>
      </c>
      <c r="C4691" t="inlineStr">
        <is>
          <t>https://www.pollentiaproperties.com/en/property/id/902408-apartments-for-sale-colonia-sant-jordi-new-development-community-pool</t>
        </is>
      </c>
      <c r="E4691" t="n">
        <v>3</v>
      </c>
      <c r="H4691" t="n">
        <v>382</v>
      </c>
      <c r="J4691" t="inlineStr">
        <is>
          <t>Colònia de Sant Jordi</t>
        </is>
      </c>
      <c r="S4691" t="n">
        <v>995000</v>
      </c>
      <c r="T4691" t="n">
        <v>2605</v>
      </c>
      <c r="AH4691" t="inlineStr">
        <is>
          <t>Quelle: Pollentia Properties</t>
        </is>
      </c>
    </row>
    <row r="4692">
      <c r="A4692" t="n">
        <v>4505</v>
      </c>
      <c r="B4692" t="inlineStr">
        <is>
          <t>Apartments for sale in Colonia de Sant Jordi in new development</t>
        </is>
      </c>
      <c r="C4692" t="inlineStr">
        <is>
          <t>https://www.pollentiaproperties.com/en/property/id/902407-apartments-for-sale-colonia-sant-jordi-new-development-community-pool</t>
        </is>
      </c>
      <c r="E4692" t="n">
        <v>3</v>
      </c>
      <c r="H4692" t="n">
        <v>382</v>
      </c>
      <c r="J4692" t="inlineStr">
        <is>
          <t>Colònia de Sant Jordi</t>
        </is>
      </c>
      <c r="S4692" t="n">
        <v>975000</v>
      </c>
      <c r="T4692" t="n">
        <v>2552</v>
      </c>
      <c r="AH4692" t="inlineStr">
        <is>
          <t>Quelle: Pollentia Properties</t>
        </is>
      </c>
    </row>
    <row r="4693">
      <c r="A4693" t="n">
        <v>4506</v>
      </c>
      <c r="B4693" t="inlineStr">
        <is>
          <t>Apartments for sale in Colonia de Sant Jordi in new development</t>
        </is>
      </c>
      <c r="C4693" t="inlineStr">
        <is>
          <t>https://www.pollentiaproperties.com/en/property/id/902406-apartments-for-sale-colonia-sant-jordi-new-development-community-pool</t>
        </is>
      </c>
      <c r="E4693" t="n">
        <v>3</v>
      </c>
      <c r="H4693" t="n">
        <v>382</v>
      </c>
      <c r="J4693" t="inlineStr">
        <is>
          <t>Colònia de Sant Jordi</t>
        </is>
      </c>
      <c r="S4693" t="n">
        <v>990000</v>
      </c>
      <c r="T4693" t="n">
        <v>2592</v>
      </c>
      <c r="AH4693" t="inlineStr">
        <is>
          <t>Quelle: Pollentia Properties</t>
        </is>
      </c>
    </row>
    <row r="4694">
      <c r="A4694" t="n">
        <v>4507</v>
      </c>
      <c r="B4694" t="inlineStr">
        <is>
          <t>Apartments for sale in Colonia de Sant Jordi in new development</t>
        </is>
      </c>
      <c r="C4694" t="inlineStr">
        <is>
          <t>https://www.pollentiaproperties.com/en/property/id/902401-apartments-for-sale-colonia-sant-jordi-new-development-community-pool</t>
        </is>
      </c>
      <c r="E4694" t="n">
        <v>2</v>
      </c>
      <c r="H4694" t="n">
        <v>122</v>
      </c>
      <c r="J4694" t="inlineStr">
        <is>
          <t>Colònia de Sant Jordi</t>
        </is>
      </c>
      <c r="S4694" t="n">
        <v>595000</v>
      </c>
      <c r="T4694" t="n">
        <v>4877</v>
      </c>
      <c r="AH4694" t="inlineStr">
        <is>
          <t>Quelle: Pollentia Properties</t>
        </is>
      </c>
    </row>
    <row r="4695">
      <c r="A4695" t="n">
        <v>4508</v>
      </c>
      <c r="B4695" t="inlineStr">
        <is>
          <t>Apartments for sale in Colonia de Sant Jordi in new development</t>
        </is>
      </c>
      <c r="C4695" t="inlineStr">
        <is>
          <t>https://www.pollentiaproperties.com/en/property/id/902400-apartments-for-sale-colonia-sant-jordi-new-development-community-pool</t>
        </is>
      </c>
      <c r="E4695" t="n">
        <v>2</v>
      </c>
      <c r="G4695" t="n">
        <v>134</v>
      </c>
      <c r="H4695" t="n">
        <v>191</v>
      </c>
      <c r="J4695" t="inlineStr">
        <is>
          <t>Colònia de Sant Jordi</t>
        </is>
      </c>
      <c r="S4695" t="n">
        <v>695000</v>
      </c>
      <c r="T4695" t="n">
        <v>3639</v>
      </c>
      <c r="U4695" t="n">
        <v>5187</v>
      </c>
      <c r="AH4695" t="inlineStr">
        <is>
          <t>Quelle: Pollentia Properties</t>
        </is>
      </c>
    </row>
    <row r="4696">
      <c r="A4696" t="n">
        <v>4509</v>
      </c>
      <c r="B4696" t="inlineStr">
        <is>
          <t>Apartments for sale in Colonia de Sant Jordi in new development</t>
        </is>
      </c>
      <c r="C4696" t="inlineStr">
        <is>
          <t>https://www.pollentiaproperties.com/en/property/id/902399-apartments-for-sale-colonia-sant-jordi-new-development-community-pool</t>
        </is>
      </c>
      <c r="E4696" t="n">
        <v>2</v>
      </c>
      <c r="H4696" t="n">
        <v>118</v>
      </c>
      <c r="J4696" t="inlineStr">
        <is>
          <t>Colònia de Sant Jordi</t>
        </is>
      </c>
      <c r="S4696" t="n">
        <v>595000</v>
      </c>
      <c r="T4696" t="n">
        <v>5042</v>
      </c>
      <c r="AH4696" t="inlineStr">
        <is>
          <t>Quelle: Pollentia Properties</t>
        </is>
      </c>
    </row>
    <row r="4697">
      <c r="A4697" t="n">
        <v>4510</v>
      </c>
      <c r="B4697" t="inlineStr">
        <is>
          <t>Apartments for sale in Colonia de Sant Jordi in new development</t>
        </is>
      </c>
      <c r="C4697" t="inlineStr">
        <is>
          <t>https://www.pollentiaproperties.com/en/property/id/902397-apartments-for-sale-colonia-sant-jordi-new-development-community-pool</t>
        </is>
      </c>
      <c r="E4697" t="n">
        <v>2</v>
      </c>
      <c r="G4697" t="n">
        <v>64</v>
      </c>
      <c r="H4697" t="n">
        <v>215</v>
      </c>
      <c r="J4697" t="inlineStr">
        <is>
          <t>Colònia de Sant Jordi</t>
        </is>
      </c>
      <c r="S4697" t="n">
        <v>690000</v>
      </c>
      <c r="T4697" t="n">
        <v>3209</v>
      </c>
      <c r="U4697" t="n">
        <v>10781</v>
      </c>
      <c r="AH4697" t="inlineStr">
        <is>
          <t>Quelle: Pollentia Properties</t>
        </is>
      </c>
    </row>
    <row r="4698">
      <c r="A4698" t="n">
        <v>4511</v>
      </c>
      <c r="B4698" t="inlineStr">
        <is>
          <t>Apartments for sale in Colonia de Sant Jordi in new development</t>
        </is>
      </c>
      <c r="C4698" t="inlineStr">
        <is>
          <t>https://www.pollentiaproperties.com/en/property/id/902395-apartments-for-sale-colonia-sant-jordi-new-development-community-pool</t>
        </is>
      </c>
      <c r="E4698" t="n">
        <v>2</v>
      </c>
      <c r="G4698" t="n">
        <v>192</v>
      </c>
      <c r="H4698" t="n">
        <v>166</v>
      </c>
      <c r="J4698" t="inlineStr">
        <is>
          <t>Colònia de Sant Jordi</t>
        </is>
      </c>
      <c r="S4698" t="n">
        <v>685000</v>
      </c>
      <c r="T4698" t="n">
        <v>4127</v>
      </c>
      <c r="U4698" t="n">
        <v>3568</v>
      </c>
      <c r="AH4698" t="inlineStr">
        <is>
          <t>Quelle: Pollentia Properties</t>
        </is>
      </c>
    </row>
    <row r="4699">
      <c r="A4699" t="n">
        <v>4512</v>
      </c>
      <c r="B4699" t="inlineStr">
        <is>
          <t>Apartments for sale in Colonia de Sant Jordi in new development</t>
        </is>
      </c>
      <c r="C4699" t="inlineStr">
        <is>
          <t>https://www.pollentiaproperties.com/en/property/id/902394-apartments-for-sale-colonia-sant-jordi-new-development-community-pool</t>
        </is>
      </c>
      <c r="E4699" t="n">
        <v>2</v>
      </c>
      <c r="H4699" t="n">
        <v>118</v>
      </c>
      <c r="J4699" t="inlineStr">
        <is>
          <t>Colònia de Sant Jordi</t>
        </is>
      </c>
      <c r="S4699" t="n">
        <v>565000</v>
      </c>
      <c r="T4699" t="n">
        <v>4788</v>
      </c>
      <c r="AH4699" t="inlineStr">
        <is>
          <t>Quelle: Pollentia Properties</t>
        </is>
      </c>
    </row>
    <row r="4700">
      <c r="A4700" t="n">
        <v>4513</v>
      </c>
      <c r="B4700" t="inlineStr">
        <is>
          <t>Apartments for sale in Colonia de Sant Jordi in new development</t>
        </is>
      </c>
      <c r="C4700" t="inlineStr">
        <is>
          <t>https://www.pollentiaproperties.com/en/property/id/902392-apartments-for-sale-colonia-sant-jordi-new-development-community-pool</t>
        </is>
      </c>
      <c r="E4700" t="n">
        <v>2</v>
      </c>
      <c r="G4700" t="n">
        <v>174</v>
      </c>
      <c r="H4700" t="n">
        <v>165</v>
      </c>
      <c r="J4700" t="inlineStr">
        <is>
          <t>Colònia de Sant Jordi</t>
        </is>
      </c>
      <c r="S4700" t="n">
        <v>675000</v>
      </c>
      <c r="T4700" t="n">
        <v>4091</v>
      </c>
      <c r="U4700" t="n">
        <v>3879</v>
      </c>
      <c r="AH4700" t="inlineStr">
        <is>
          <t>Quelle: Pollentia Properties</t>
        </is>
      </c>
    </row>
    <row r="4701">
      <c r="A4701" t="n">
        <v>4514</v>
      </c>
      <c r="B4701" t="inlineStr">
        <is>
          <t>Apartments for sale in Colonia de Sant Jordi in new development</t>
        </is>
      </c>
      <c r="C4701" t="inlineStr">
        <is>
          <t>https://www.pollentiaproperties.com/en/property/id/902391-apartments-for-sale-colonia-sant-jordi-new-development-community-pool</t>
        </is>
      </c>
      <c r="E4701" t="n">
        <v>2</v>
      </c>
      <c r="H4701" t="n">
        <v>118</v>
      </c>
      <c r="J4701" t="inlineStr">
        <is>
          <t>Colònia de Sant Jordi</t>
        </is>
      </c>
      <c r="S4701" t="n">
        <v>560000</v>
      </c>
      <c r="T4701" t="n">
        <v>4746</v>
      </c>
      <c r="AH4701" t="inlineStr">
        <is>
          <t>Quelle: Pollentia Properties</t>
        </is>
      </c>
    </row>
    <row r="4702">
      <c r="A4702" t="n">
        <v>4515</v>
      </c>
      <c r="B4702" t="inlineStr">
        <is>
          <t>Apartments for sale in Colonia de Sant Jordi in new development</t>
        </is>
      </c>
      <c r="C4702" t="inlineStr">
        <is>
          <t>https://www.pollentiaproperties.com/en/property/id/902390-apartments-for-sale-colonia-sant-jordi-new-development-community-pool</t>
        </is>
      </c>
      <c r="E4702" t="n">
        <v>2</v>
      </c>
      <c r="G4702" t="n">
        <v>157</v>
      </c>
      <c r="H4702" t="n">
        <v>149</v>
      </c>
      <c r="J4702" t="inlineStr">
        <is>
          <t>Colònia de Sant Jordi</t>
        </is>
      </c>
      <c r="S4702" t="n">
        <v>670000</v>
      </c>
      <c r="T4702" t="n">
        <v>4497</v>
      </c>
      <c r="U4702" t="n">
        <v>4268</v>
      </c>
      <c r="AH4702" t="inlineStr">
        <is>
          <t>Quelle: Pollentia Properties</t>
        </is>
      </c>
    </row>
    <row r="4703">
      <c r="A4703" t="n">
        <v>4516</v>
      </c>
      <c r="B4703" t="inlineStr">
        <is>
          <t>Apartments for sale in Colonia de Sant Jordi in new development</t>
        </is>
      </c>
      <c r="C4703" t="inlineStr">
        <is>
          <t>https://www.pollentiaproperties.com/en/property/id/902296-apartments-for-sale-colonia-sant-jordi-new-development-community-pool</t>
        </is>
      </c>
      <c r="E4703" t="n">
        <v>2</v>
      </c>
      <c r="H4703" t="n">
        <v>118</v>
      </c>
      <c r="J4703" t="inlineStr">
        <is>
          <t>Colònia de Sant Jordi</t>
        </is>
      </c>
      <c r="S4703" t="n">
        <v>560000</v>
      </c>
      <c r="T4703" t="n">
        <v>4746</v>
      </c>
      <c r="AH4703" t="inlineStr">
        <is>
          <t>Quelle: Pollentia Properties</t>
        </is>
      </c>
    </row>
    <row r="4704">
      <c r="A4704" t="n">
        <v>4517</v>
      </c>
      <c r="B4704" t="inlineStr">
        <is>
          <t>Town house for sale in Esporles in new development</t>
        </is>
      </c>
      <c r="C4704" t="inlineStr">
        <is>
          <t>https://www.pollentiaproperties.com/en/property/id/902199-town-house-for-sale-esporles-new-development-community-pool</t>
        </is>
      </c>
      <c r="E4704" t="n">
        <v>3</v>
      </c>
      <c r="G4704" t="n">
        <v>139</v>
      </c>
      <c r="H4704" t="n">
        <v>149</v>
      </c>
      <c r="J4704" t="inlineStr">
        <is>
          <t>Esporles</t>
        </is>
      </c>
      <c r="S4704" t="n">
        <v>865000</v>
      </c>
      <c r="T4704" t="n">
        <v>5805</v>
      </c>
      <c r="U4704" t="n">
        <v>6223</v>
      </c>
      <c r="AH4704" t="inlineStr">
        <is>
          <t>Quelle: Pollentia Properties</t>
        </is>
      </c>
    </row>
    <row r="4705">
      <c r="A4705" t="n">
        <v>4518</v>
      </c>
      <c r="B4705" t="inlineStr">
        <is>
          <t>Town house for sale in Esporles in new development</t>
        </is>
      </c>
      <c r="C4705" t="inlineStr">
        <is>
          <t>https://www.pollentiaproperties.com/en/property/id/902198-town-house-for-sale-esporles-new-development-community-pool</t>
        </is>
      </c>
      <c r="E4705" t="n">
        <v>3</v>
      </c>
      <c r="G4705" t="n">
        <v>161</v>
      </c>
      <c r="H4705" t="n">
        <v>148</v>
      </c>
      <c r="J4705" t="inlineStr">
        <is>
          <t>Esporles</t>
        </is>
      </c>
      <c r="S4705" t="n">
        <v>865000</v>
      </c>
      <c r="T4705" t="n">
        <v>5845</v>
      </c>
      <c r="U4705" t="n">
        <v>5373</v>
      </c>
      <c r="AH4705" t="inlineStr">
        <is>
          <t>Quelle: Pollentia Properties</t>
        </is>
      </c>
    </row>
    <row r="4706">
      <c r="A4706" t="n">
        <v>4519</v>
      </c>
      <c r="B4706" t="inlineStr">
        <is>
          <t>Town house for sale in Esporles in new development</t>
        </is>
      </c>
      <c r="C4706" t="inlineStr">
        <is>
          <t>https://www.pollentiaproperties.com/en/property/id/902191-town-house-for-sale-esporles-new-development-community-pool</t>
        </is>
      </c>
      <c r="E4706" t="n">
        <v>3</v>
      </c>
      <c r="G4706" t="n">
        <v>175</v>
      </c>
      <c r="H4706" t="n">
        <v>150</v>
      </c>
      <c r="J4706" t="inlineStr">
        <is>
          <t>Esporles</t>
        </is>
      </c>
      <c r="AH4706" t="inlineStr">
        <is>
          <t>Quelle: Pollentia Properties</t>
        </is>
      </c>
    </row>
    <row r="4707">
      <c r="A4707" t="n">
        <v>4520</v>
      </c>
      <c r="B4707" t="inlineStr">
        <is>
          <t>Town house for sale in Esporles in new development</t>
        </is>
      </c>
      <c r="C4707" t="inlineStr">
        <is>
          <t>https://www.pollentiaproperties.com/en/property/id/902183-town-house-for-sale-esporles-new-development-community-pool</t>
        </is>
      </c>
      <c r="E4707" t="n">
        <v>3</v>
      </c>
      <c r="G4707" t="n">
        <v>222</v>
      </c>
      <c r="H4707" t="n">
        <v>142</v>
      </c>
      <c r="J4707" t="inlineStr">
        <is>
          <t>Esporles</t>
        </is>
      </c>
      <c r="S4707" t="n">
        <v>855000</v>
      </c>
      <c r="T4707" t="n">
        <v>6021</v>
      </c>
      <c r="U4707" t="n">
        <v>3851</v>
      </c>
      <c r="AH4707" t="inlineStr">
        <is>
          <t>Quelle: Pollentia Properties</t>
        </is>
      </c>
    </row>
    <row r="4708">
      <c r="A4708" t="n">
        <v>4521</v>
      </c>
      <c r="B4708" t="inlineStr">
        <is>
          <t>Country plot for sale in Sa Rápita, investment opportunity</t>
        </is>
      </c>
      <c r="C4708" t="inlineStr">
        <is>
          <t>https://www.pollentiaproperties.com/en/property/id/896222-country-plot-for-sale-sa-rapita</t>
        </is>
      </c>
      <c r="G4708" t="n">
        <v>250</v>
      </c>
      <c r="J4708" t="inlineStr">
        <is>
          <t>La Rapita</t>
        </is>
      </c>
      <c r="K4708" t="n">
        <v>37.4</v>
      </c>
      <c r="L4708" t="n">
        <v>34</v>
      </c>
      <c r="M4708" t="n">
        <v>17.3</v>
      </c>
      <c r="N4708" t="n">
        <v>22</v>
      </c>
      <c r="O4708" t="n">
        <v>75.59999999999999</v>
      </c>
      <c r="P4708" t="n">
        <v>61</v>
      </c>
      <c r="Q4708" t="n">
        <v>15</v>
      </c>
      <c r="R4708" t="n">
        <v>19</v>
      </c>
      <c r="S4708" t="n">
        <v>1200000</v>
      </c>
      <c r="U4708" t="n">
        <v>4800</v>
      </c>
      <c r="AH4708" t="inlineStr">
        <is>
          <t>Quelle: Pollentia Properties</t>
        </is>
      </c>
    </row>
    <row r="4709">
      <c r="A4709" t="n">
        <v>4522</v>
      </c>
      <c r="B4709" t="inlineStr">
        <is>
          <t>Two building plots for sale in Andratx with project for houses</t>
        </is>
      </c>
      <c r="C4709" t="inlineStr">
        <is>
          <t>https://www.pollentiaproperties.com/en/property/id/895936-building-plots-for-sale-andratx-project--houses</t>
        </is>
      </c>
      <c r="E4709" t="n">
        <v>3</v>
      </c>
      <c r="G4709" t="n">
        <v>1</v>
      </c>
      <c r="J4709" t="inlineStr">
        <is>
          <t>Andratx</t>
        </is>
      </c>
      <c r="K4709" t="n">
        <v>40.3</v>
      </c>
      <c r="L4709" t="n">
        <v>36</v>
      </c>
      <c r="M4709" t="n">
        <v>83</v>
      </c>
      <c r="N4709" t="n">
        <v>68</v>
      </c>
      <c r="O4709" t="n">
        <v>2.7</v>
      </c>
      <c r="P4709" t="n">
        <v>7</v>
      </c>
      <c r="Q4709" t="n">
        <v>80.7</v>
      </c>
      <c r="R4709" t="n">
        <v>65</v>
      </c>
      <c r="S4709" t="n">
        <v>2200000</v>
      </c>
      <c r="U4709" t="n">
        <v>2200000</v>
      </c>
      <c r="AH4709" t="inlineStr">
        <is>
          <t>Quelle: Pollentia Properties</t>
        </is>
      </c>
    </row>
    <row r="4710">
      <c r="A4710" t="n">
        <v>4523</v>
      </c>
      <c r="B4710" t="inlineStr">
        <is>
          <t>Country bulding plot for sale in Sa Rápita high quality project</t>
        </is>
      </c>
      <c r="C4710" t="inlineStr">
        <is>
          <t>https://www.pollentiaproperties.com/en/property/id/895772-country-bulding-plot-for-sale-sa-rapita-high-quality-project</t>
        </is>
      </c>
      <c r="G4710" t="n">
        <v>233</v>
      </c>
      <c r="J4710" t="inlineStr">
        <is>
          <t>La Rapita</t>
        </is>
      </c>
      <c r="K4710" t="n">
        <v>37.4</v>
      </c>
      <c r="L4710" t="n">
        <v>34</v>
      </c>
      <c r="M4710" t="n">
        <v>17.3</v>
      </c>
      <c r="N4710" t="n">
        <v>22</v>
      </c>
      <c r="O4710" t="n">
        <v>75.59999999999999</v>
      </c>
      <c r="P4710" t="n">
        <v>61</v>
      </c>
      <c r="Q4710" t="n">
        <v>15</v>
      </c>
      <c r="R4710" t="n">
        <v>19</v>
      </c>
      <c r="S4710" t="n">
        <v>1500000</v>
      </c>
      <c r="U4710" t="n">
        <v>6438</v>
      </c>
      <c r="AH4710" t="inlineStr">
        <is>
          <t>Quelle: Pollentia Properties</t>
        </is>
      </c>
    </row>
    <row r="4711">
      <c r="A4711" t="n">
        <v>4524</v>
      </c>
      <c r="B4711" t="inlineStr">
        <is>
          <t>Boutique hotel for sale in Ses Salines with charming installations</t>
        </is>
      </c>
      <c r="C4711" t="inlineStr">
        <is>
          <t>https://www.pollentiaproperties.com/en/property/id/895763-boutique-hotel-for-sale-ses-salines-charming-installations-garden-pool</t>
        </is>
      </c>
      <c r="E4711" t="n">
        <v>12</v>
      </c>
      <c r="G4711" t="n">
        <v>20</v>
      </c>
      <c r="H4711" t="n">
        <v>1</v>
      </c>
      <c r="J4711" t="inlineStr">
        <is>
          <t>Ses Salines</t>
        </is>
      </c>
      <c r="K4711" t="n">
        <v>44.5</v>
      </c>
      <c r="L4711" t="n">
        <v>39</v>
      </c>
      <c r="M4711" t="n">
        <v>2.4</v>
      </c>
      <c r="N4711" t="n">
        <v>5</v>
      </c>
      <c r="O4711" t="n">
        <v>82.7</v>
      </c>
      <c r="P4711" t="n">
        <v>67</v>
      </c>
      <c r="Q4711" t="n">
        <v>2</v>
      </c>
      <c r="R4711" t="n">
        <v>5</v>
      </c>
      <c r="S4711" t="n">
        <v>6500000</v>
      </c>
      <c r="T4711" t="n">
        <v>6500000</v>
      </c>
      <c r="U4711" t="n">
        <v>325000</v>
      </c>
      <c r="AH4711" t="inlineStr">
        <is>
          <t>Quelle: Pollentia Properties</t>
        </is>
      </c>
    </row>
    <row r="4712">
      <c r="A4712" t="n">
        <v>4525</v>
      </c>
      <c r="B4712" t="inlineStr">
        <is>
          <t>Town house for sale in Pollensa in central location</t>
        </is>
      </c>
      <c r="C4712" t="inlineStr">
        <is>
          <t>https://www.pollentiaproperties.com/en/property/id/895381-town-house-for-sale-pollensa--central-location-rooftop-terrace-garage</t>
        </is>
      </c>
      <c r="E4712" t="n">
        <v>5</v>
      </c>
      <c r="G4712" t="n">
        <v>116</v>
      </c>
      <c r="H4712" t="n">
        <v>161</v>
      </c>
      <c r="J4712" t="inlineStr">
        <is>
          <t>Pollença Pueblo</t>
        </is>
      </c>
      <c r="K4712" t="n">
        <v>60.6</v>
      </c>
      <c r="L4712" t="n">
        <v>47</v>
      </c>
      <c r="M4712" t="n">
        <v>78.7</v>
      </c>
      <c r="N4712" t="n">
        <v>74</v>
      </c>
      <c r="O4712" t="n">
        <v>83.2</v>
      </c>
      <c r="P4712" t="n">
        <v>63</v>
      </c>
      <c r="Q4712" t="n">
        <v>76.40000000000001</v>
      </c>
      <c r="R4712" t="n">
        <v>70</v>
      </c>
      <c r="S4712" t="n">
        <v>690000</v>
      </c>
      <c r="T4712" t="n">
        <v>4286</v>
      </c>
      <c r="U4712" t="n">
        <v>5948</v>
      </c>
      <c r="AH4712" t="inlineStr">
        <is>
          <t>Quelle: Pollentia Properties</t>
        </is>
      </c>
    </row>
    <row r="4713">
      <c r="A4713" t="n">
        <v>4526</v>
      </c>
      <c r="B4713" t="inlineStr">
        <is>
          <t>Apartment for sale in Puerto Alcudia in frontline location</t>
        </is>
      </c>
      <c r="C4713" t="inlineStr">
        <is>
          <t>https://www.pollentiaproperties.com/en/property/id/891100-apartment-for-sale-puerto-alcudia-front-line-sea-views</t>
        </is>
      </c>
      <c r="E4713" t="n">
        <v>4</v>
      </c>
      <c r="H4713" t="n">
        <v>406</v>
      </c>
      <c r="J4713" t="inlineStr">
        <is>
          <t>Puerto de Alcúdia</t>
        </is>
      </c>
      <c r="K4713" t="n">
        <v>62.1</v>
      </c>
      <c r="L4713" t="n">
        <v>46</v>
      </c>
      <c r="M4713" t="n">
        <v>80.2</v>
      </c>
      <c r="N4713" t="n">
        <v>73</v>
      </c>
      <c r="O4713" t="n">
        <v>84.7</v>
      </c>
      <c r="P4713" t="n">
        <v>62</v>
      </c>
      <c r="Q4713" t="n">
        <v>77.90000000000001</v>
      </c>
      <c r="R4713" t="n">
        <v>69</v>
      </c>
      <c r="S4713" t="n">
        <v>1700000</v>
      </c>
      <c r="T4713" t="n">
        <v>4187</v>
      </c>
      <c r="AH4713" t="inlineStr">
        <is>
          <t>Quelle: Pollentia Properties</t>
        </is>
      </c>
    </row>
    <row r="4714">
      <c r="A4714" t="n">
        <v>4527</v>
      </c>
      <c r="B4714" t="inlineStr">
        <is>
          <t>Country house for sale in Puerto Pollensa in private and relaxed setting</t>
        </is>
      </c>
      <c r="C4714" t="inlineStr">
        <is>
          <t>https://www.pollentiaproperties.com/en/property/id/887916-country-house-for-sale-puerto-pollensa-private-relaxed-setting-great-features</t>
        </is>
      </c>
      <c r="E4714" t="n">
        <v>4</v>
      </c>
      <c r="G4714" t="n">
        <v>9</v>
      </c>
      <c r="H4714" t="n">
        <v>402</v>
      </c>
      <c r="J4714" t="inlineStr">
        <is>
          <t>Pollença</t>
        </is>
      </c>
      <c r="K4714" t="n">
        <v>60.6</v>
      </c>
      <c r="L4714" t="n">
        <v>47</v>
      </c>
      <c r="M4714" t="n">
        <v>78.7</v>
      </c>
      <c r="N4714" t="n">
        <v>74</v>
      </c>
      <c r="O4714" t="n">
        <v>83.2</v>
      </c>
      <c r="P4714" t="n">
        <v>63</v>
      </c>
      <c r="Q4714" t="n">
        <v>76.40000000000001</v>
      </c>
      <c r="R4714" t="n">
        <v>70</v>
      </c>
      <c r="S4714" t="n">
        <v>1200000</v>
      </c>
      <c r="T4714" t="n">
        <v>2985</v>
      </c>
      <c r="U4714" t="n">
        <v>133333</v>
      </c>
      <c r="AH4714" t="inlineStr">
        <is>
          <t>Quelle: Pollentia Properties</t>
        </is>
      </c>
    </row>
    <row r="4715">
      <c r="A4715" t="n">
        <v>4528</v>
      </c>
      <c r="B4715" t="inlineStr">
        <is>
          <t>Ground floor for sale in new top quality development</t>
        </is>
      </c>
      <c r="C4715" t="inlineStr">
        <is>
          <t>https://www.pollentiaproperties.com/en/property/id/887630-ground-floor-for-sale-top-quality-development-last-unit-under-construction</t>
        </is>
      </c>
      <c r="E4715" t="n">
        <v>3</v>
      </c>
      <c r="H4715" t="n">
        <v>167</v>
      </c>
      <c r="J4715" t="inlineStr">
        <is>
          <t>Son Armadans</t>
        </is>
      </c>
      <c r="K4715" t="n">
        <v>11.6</v>
      </c>
      <c r="L4715" t="n">
        <v>19</v>
      </c>
      <c r="M4715" t="n">
        <v>54.4</v>
      </c>
      <c r="N4715" t="n">
        <v>52</v>
      </c>
      <c r="O4715" t="n">
        <v>28.3</v>
      </c>
      <c r="P4715" t="n">
        <v>28</v>
      </c>
      <c r="Q4715" t="n">
        <v>52.1</v>
      </c>
      <c r="R4715" t="n">
        <v>48</v>
      </c>
      <c r="S4715" t="n">
        <v>1250000</v>
      </c>
      <c r="T4715" t="n">
        <v>7485</v>
      </c>
      <c r="AH4715" t="inlineStr">
        <is>
          <t>Quelle: Pollentia Properties</t>
        </is>
      </c>
    </row>
    <row r="4716">
      <c r="A4716" t="n">
        <v>4529</v>
      </c>
      <c r="B4716" t="inlineStr">
        <is>
          <t>Apartments for sale in Son Armadans in new development</t>
        </is>
      </c>
      <c r="C4716" t="inlineStr">
        <is>
          <t>https://www.pollentiaproperties.com/en/property/id/887627-apartments-for-sale-new-top-quality-development-multiple-units-available</t>
        </is>
      </c>
      <c r="E4716" t="n">
        <v>2</v>
      </c>
      <c r="H4716" t="n">
        <v>89</v>
      </c>
      <c r="J4716" t="inlineStr">
        <is>
          <t>Son Armadans</t>
        </is>
      </c>
      <c r="K4716" t="n">
        <v>11.6</v>
      </c>
      <c r="L4716" t="n">
        <v>19</v>
      </c>
      <c r="M4716" t="n">
        <v>54.4</v>
      </c>
      <c r="N4716" t="n">
        <v>52</v>
      </c>
      <c r="O4716" t="n">
        <v>28.3</v>
      </c>
      <c r="P4716" t="n">
        <v>28</v>
      </c>
      <c r="Q4716" t="n">
        <v>52.1</v>
      </c>
      <c r="R4716" t="n">
        <v>48</v>
      </c>
      <c r="S4716" t="n">
        <v>1050250</v>
      </c>
      <c r="T4716" t="n">
        <v>11801</v>
      </c>
      <c r="AH4716" t="inlineStr">
        <is>
          <t>Quelle: Pollentia Properties</t>
        </is>
      </c>
    </row>
    <row r="4717">
      <c r="A4717" t="n">
        <v>4530</v>
      </c>
      <c r="B4717" t="inlineStr">
        <is>
          <t>Villa for sale in Son Vida luxury turnkey in great location</t>
        </is>
      </c>
      <c r="C4717" t="inlineStr">
        <is>
          <t>https://www.pollentiaproperties.com/en/property/id/887123-villa-for-sale-son-vida-luxury-property-great-location-garden-pool</t>
        </is>
      </c>
      <c r="E4717" t="n">
        <v>4</v>
      </c>
      <c r="G4717" t="n">
        <v>1</v>
      </c>
      <c r="H4717" t="n">
        <v>650</v>
      </c>
      <c r="J4717" t="inlineStr">
        <is>
          <t>Son Vida</t>
        </is>
      </c>
      <c r="K4717" t="n">
        <v>19.2</v>
      </c>
      <c r="L4717" t="n">
        <v>22</v>
      </c>
      <c r="M4717" t="n">
        <v>61.9</v>
      </c>
      <c r="N4717" t="n">
        <v>55</v>
      </c>
      <c r="O4717" t="n">
        <v>31</v>
      </c>
      <c r="P4717" t="n">
        <v>31</v>
      </c>
      <c r="Q4717" t="n">
        <v>59.6</v>
      </c>
      <c r="R4717" t="n">
        <v>51</v>
      </c>
      <c r="S4717" t="n">
        <v>5500000</v>
      </c>
      <c r="T4717" t="n">
        <v>8462</v>
      </c>
      <c r="U4717" t="n">
        <v>5500000</v>
      </c>
      <c r="AH4717" t="inlineStr">
        <is>
          <t>Quelle: Pollentia Properties</t>
        </is>
      </c>
    </row>
    <row r="4718">
      <c r="A4718" t="n">
        <v>4531</v>
      </c>
      <c r="B4718" t="inlineStr">
        <is>
          <t>Country house for sale in Pollença with tourist rental license</t>
        </is>
      </c>
      <c r="C4718" t="inlineStr">
        <is>
          <t>https://www.pollentiaproperties.com/en/property/id/887111-country-house-for-sale-pollensa-tourist-rental-license</t>
        </is>
      </c>
      <c r="E4718" t="n">
        <v>3</v>
      </c>
      <c r="G4718" t="n">
        <v>4</v>
      </c>
      <c r="H4718" t="n">
        <v>387</v>
      </c>
      <c r="J4718" t="inlineStr">
        <is>
          <t>Pollença</t>
        </is>
      </c>
      <c r="K4718" t="n">
        <v>60.6</v>
      </c>
      <c r="L4718" t="n">
        <v>47</v>
      </c>
      <c r="M4718" t="n">
        <v>78.7</v>
      </c>
      <c r="N4718" t="n">
        <v>74</v>
      </c>
      <c r="O4718" t="n">
        <v>83.2</v>
      </c>
      <c r="P4718" t="n">
        <v>63</v>
      </c>
      <c r="Q4718" t="n">
        <v>76.40000000000001</v>
      </c>
      <c r="R4718" t="n">
        <v>70</v>
      </c>
      <c r="S4718" t="n">
        <v>1500000</v>
      </c>
      <c r="T4718" t="n">
        <v>3876</v>
      </c>
      <c r="U4718" t="n">
        <v>375000</v>
      </c>
      <c r="AH4718" t="inlineStr">
        <is>
          <t>Quelle: Pollentia Properties</t>
        </is>
      </c>
    </row>
    <row r="4719">
      <c r="A4719" t="n">
        <v>4532</v>
      </c>
      <c r="B4719" t="inlineStr">
        <is>
          <t>Villa for sale in Pollensa with a fantastic garden</t>
        </is>
      </c>
      <c r="C4719" t="inlineStr">
        <is>
          <t>https://www.pollentiaproperties.com/en/property/id/887098-villa-for-sale-pollensa-quiet-residential-area-garden-pool</t>
        </is>
      </c>
      <c r="E4719" t="n">
        <v>5</v>
      </c>
      <c r="G4719" t="n">
        <v>3</v>
      </c>
      <c r="H4719" t="n">
        <v>427</v>
      </c>
      <c r="J4719" t="inlineStr">
        <is>
          <t>Pollença</t>
        </is>
      </c>
      <c r="K4719" t="n">
        <v>60.6</v>
      </c>
      <c r="L4719" t="n">
        <v>47</v>
      </c>
      <c r="M4719" t="n">
        <v>78.7</v>
      </c>
      <c r="N4719" t="n">
        <v>74</v>
      </c>
      <c r="O4719" t="n">
        <v>83.2</v>
      </c>
      <c r="P4719" t="n">
        <v>63</v>
      </c>
      <c r="Q4719" t="n">
        <v>76.40000000000001</v>
      </c>
      <c r="R4719" t="n">
        <v>70</v>
      </c>
      <c r="S4719" t="n">
        <v>1425000</v>
      </c>
      <c r="T4719" t="n">
        <v>3337</v>
      </c>
      <c r="U4719" t="n">
        <v>475000</v>
      </c>
      <c r="AH4719" t="inlineStr">
        <is>
          <t>Quelle: Pollentia Properties</t>
        </is>
      </c>
    </row>
    <row r="4720">
      <c r="A4720" t="n">
        <v>4533</v>
      </c>
      <c r="B4720" t="inlineStr">
        <is>
          <t>Villa for sale in Esporles recently constructed in charming location</t>
        </is>
      </c>
      <c r="C4720" t="inlineStr">
        <is>
          <t>https://www.pollentiaproperties.com/en/property/id/887007-villa-for-sale-esporles-newly-built-top-quality-garden-pool</t>
        </is>
      </c>
      <c r="E4720" t="n">
        <v>3</v>
      </c>
      <c r="G4720" t="n">
        <v>656</v>
      </c>
      <c r="H4720" t="n">
        <v>249</v>
      </c>
      <c r="J4720" t="inlineStr">
        <is>
          <t>Esporles</t>
        </is>
      </c>
      <c r="K4720" t="n">
        <v>24.9</v>
      </c>
      <c r="L4720" t="n">
        <v>27</v>
      </c>
      <c r="M4720" t="n">
        <v>67.59999999999999</v>
      </c>
      <c r="N4720" t="n">
        <v>60</v>
      </c>
      <c r="O4720" t="n">
        <v>43.2</v>
      </c>
      <c r="P4720" t="n">
        <v>40</v>
      </c>
      <c r="Q4720" t="n">
        <v>65.3</v>
      </c>
      <c r="R4720" t="n">
        <v>57</v>
      </c>
      <c r="S4720" t="n">
        <v>2450000</v>
      </c>
      <c r="T4720" t="n">
        <v>9839</v>
      </c>
      <c r="U4720" t="n">
        <v>3735</v>
      </c>
      <c r="AH4720" t="inlineStr">
        <is>
          <t>Quelle: Pollentia Properties</t>
        </is>
      </c>
    </row>
    <row r="4721">
      <c r="A4721" t="n">
        <v>4534</v>
      </c>
      <c r="B4721" t="inlineStr">
        <is>
          <t>Country house for sale in Pollença with two guest annexes</t>
        </is>
      </c>
      <c r="C4721" t="inlineStr">
        <is>
          <t>https://www.pollentiaproperties.com/en/property/id/886702-country-house-for-sale-pollensa-two-guest-annexes-garden-pool</t>
        </is>
      </c>
      <c r="E4721" t="n">
        <v>6</v>
      </c>
      <c r="G4721" t="n">
        <v>17</v>
      </c>
      <c r="H4721" t="n">
        <v>475</v>
      </c>
      <c r="J4721" t="inlineStr">
        <is>
          <t>Pollença</t>
        </is>
      </c>
      <c r="K4721" t="n">
        <v>60.6</v>
      </c>
      <c r="L4721" t="n">
        <v>47</v>
      </c>
      <c r="M4721" t="n">
        <v>78.7</v>
      </c>
      <c r="N4721" t="n">
        <v>74</v>
      </c>
      <c r="O4721" t="n">
        <v>83.2</v>
      </c>
      <c r="P4721" t="n">
        <v>63</v>
      </c>
      <c r="Q4721" t="n">
        <v>76.40000000000001</v>
      </c>
      <c r="R4721" t="n">
        <v>70</v>
      </c>
      <c r="S4721" t="n">
        <v>2995000</v>
      </c>
      <c r="T4721" t="n">
        <v>6305</v>
      </c>
      <c r="U4721" t="n">
        <v>176176</v>
      </c>
      <c r="AH4721" t="inlineStr">
        <is>
          <t>Quelle: Pollentia Properties</t>
        </is>
      </c>
    </row>
    <row r="4722">
      <c r="A4722" t="n">
        <v>4535</v>
      </c>
      <c r="B4722" t="inlineStr">
        <is>
          <t>Town house for sale in Pollença on the emblematic Calvario steps</t>
        </is>
      </c>
      <c r="C4722" t="inlineStr">
        <is>
          <t>https://www.pollentiaproperties.com/en/property/id/886316-town-house-for-sale-pollensa-emblematic-calvario-steps</t>
        </is>
      </c>
      <c r="E4722" t="n">
        <v>4</v>
      </c>
      <c r="H4722" t="n">
        <v>220</v>
      </c>
      <c r="J4722" t="inlineStr">
        <is>
          <t>Pollença Pueblo</t>
        </is>
      </c>
      <c r="K4722" t="n">
        <v>60.6</v>
      </c>
      <c r="L4722" t="n">
        <v>47</v>
      </c>
      <c r="M4722" t="n">
        <v>78.7</v>
      </c>
      <c r="N4722" t="n">
        <v>74</v>
      </c>
      <c r="O4722" t="n">
        <v>83.2</v>
      </c>
      <c r="P4722" t="n">
        <v>63</v>
      </c>
      <c r="Q4722" t="n">
        <v>76.40000000000001</v>
      </c>
      <c r="R4722" t="n">
        <v>70</v>
      </c>
      <c r="S4722" t="n">
        <v>1450000</v>
      </c>
      <c r="T4722" t="n">
        <v>6591</v>
      </c>
      <c r="AH4722" t="inlineStr">
        <is>
          <t>Quelle: Pollentia Properties</t>
        </is>
      </c>
    </row>
    <row r="4723">
      <c r="A4723" t="n">
        <v>4536</v>
      </c>
      <c r="B4723" t="inlineStr">
        <is>
          <t>Frontline villa for sale in Alcanada with direct sea access</t>
        </is>
      </c>
      <c r="C4723" t="inlineStr">
        <is>
          <t>https://www.pollentiaproperties.com/en/property/id/886156--villa-for-sale-alcanada-beach-access-rooftop.jacuzzi</t>
        </is>
      </c>
      <c r="E4723" t="n">
        <v>6</v>
      </c>
      <c r="G4723" t="n">
        <v>666</v>
      </c>
      <c r="H4723" t="n">
        <v>372</v>
      </c>
      <c r="J4723" t="inlineStr">
        <is>
          <t>Alcanada</t>
        </is>
      </c>
      <c r="K4723" t="n">
        <v>64.2</v>
      </c>
      <c r="L4723" t="n">
        <v>48</v>
      </c>
      <c r="M4723" t="n">
        <v>82.3</v>
      </c>
      <c r="N4723" t="n">
        <v>75</v>
      </c>
      <c r="O4723" t="n">
        <v>86.8</v>
      </c>
      <c r="P4723" t="n">
        <v>64</v>
      </c>
      <c r="Q4723" t="n">
        <v>80</v>
      </c>
      <c r="R4723" t="n">
        <v>71</v>
      </c>
      <c r="S4723" t="n">
        <v>4300000</v>
      </c>
      <c r="T4723" t="n">
        <v>11559</v>
      </c>
      <c r="U4723" t="n">
        <v>6456</v>
      </c>
      <c r="AH4723" t="inlineStr">
        <is>
          <t>Quelle: Pollentia Properties</t>
        </is>
      </c>
    </row>
    <row r="4724">
      <c r="A4724" t="n">
        <v>4537</v>
      </c>
      <c r="B4724" t="inlineStr">
        <is>
          <t>Town house for sale in Pollença impressive investment opportunity</t>
        </is>
      </c>
      <c r="C4724" t="inlineStr">
        <is>
          <t>https://www.pollentiaproperties.com/en/property/id/886022-town-house-for-sale-pollensa-central-location</t>
        </is>
      </c>
      <c r="E4724" t="n">
        <v>4</v>
      </c>
      <c r="G4724" t="n">
        <v>196</v>
      </c>
      <c r="H4724" t="n">
        <v>312</v>
      </c>
      <c r="J4724" t="inlineStr">
        <is>
          <t>Pollença Pueblo</t>
        </is>
      </c>
      <c r="K4724" t="n">
        <v>60.6</v>
      </c>
      <c r="L4724" t="n">
        <v>47</v>
      </c>
      <c r="M4724" t="n">
        <v>78.7</v>
      </c>
      <c r="N4724" t="n">
        <v>74</v>
      </c>
      <c r="O4724" t="n">
        <v>83.2</v>
      </c>
      <c r="P4724" t="n">
        <v>63</v>
      </c>
      <c r="Q4724" t="n">
        <v>76.40000000000001</v>
      </c>
      <c r="R4724" t="n">
        <v>70</v>
      </c>
      <c r="S4724" t="n">
        <v>1975000</v>
      </c>
      <c r="T4724" t="n">
        <v>6330</v>
      </c>
      <c r="U4724" t="n">
        <v>10077</v>
      </c>
      <c r="AH4724" t="inlineStr">
        <is>
          <t>Quelle: Pollentia Properties</t>
        </is>
      </c>
    </row>
    <row r="4725">
      <c r="A4725" t="n">
        <v>4538</v>
      </c>
      <c r="B4725" t="inlineStr">
        <is>
          <t>Building plot for sale in Galilea with project for a house</t>
        </is>
      </c>
      <c r="C4725" t="inlineStr">
        <is>
          <t>https://www.pollentiaproperties.com/en/property/id/885917-building-plot-for-sale-galilea--project-house-pool</t>
        </is>
      </c>
      <c r="G4725" t="n">
        <v>1</v>
      </c>
      <c r="J4725" t="inlineStr">
        <is>
          <t>Galilea</t>
        </is>
      </c>
      <c r="S4725" t="n">
        <v>430000</v>
      </c>
      <c r="U4725" t="n">
        <v>430000</v>
      </c>
      <c r="AH4725" t="inlineStr">
        <is>
          <t>Quelle: Pollentia Properties</t>
        </is>
      </c>
    </row>
    <row r="4726">
      <c r="A4726" t="n">
        <v>4539</v>
      </c>
      <c r="B4726" t="inlineStr">
        <is>
          <t>Sole Agency</t>
        </is>
      </c>
      <c r="C4726" t="inlineStr">
        <is>
          <t>https://www.pollentiaproperties.com/en/property/id/885322-working-farm-vineyard-for-sale-alcudia-great-potential-house-pool</t>
        </is>
      </c>
      <c r="E4726" t="n">
        <v>3</v>
      </c>
      <c r="G4726" t="n">
        <v>44</v>
      </c>
      <c r="J4726" t="inlineStr">
        <is>
          <t>Mallorca</t>
        </is>
      </c>
      <c r="S4726" t="n">
        <v>895000</v>
      </c>
      <c r="U4726" t="n">
        <v>20341</v>
      </c>
      <c r="AH4726" t="inlineStr">
        <is>
          <t>Quelle: Pollentia Properties</t>
        </is>
      </c>
    </row>
    <row r="4727">
      <c r="A4727" t="n">
        <v>4540</v>
      </c>
      <c r="B4727" t="inlineStr">
        <is>
          <t>Villa for sale in Bendinat with fabulous sea views</t>
        </is>
      </c>
      <c r="C4727" t="inlineStr">
        <is>
          <t>https://www.pollentiaproperties.com/en/property/id/885059-villa-for-sale-bendinat-garden-pool-fabulous-sea-views</t>
        </is>
      </c>
      <c r="E4727" t="n">
        <v>4</v>
      </c>
      <c r="G4727" t="n">
        <v>1</v>
      </c>
      <c r="H4727" t="n">
        <v>510</v>
      </c>
      <c r="J4727" t="inlineStr">
        <is>
          <t>Bendinat</t>
        </is>
      </c>
      <c r="K4727" t="n">
        <v>23.1</v>
      </c>
      <c r="L4727" t="n">
        <v>22</v>
      </c>
      <c r="M4727" t="n">
        <v>65.8</v>
      </c>
      <c r="N4727" t="n">
        <v>55</v>
      </c>
      <c r="O4727" t="n">
        <v>23.2</v>
      </c>
      <c r="P4727" t="n">
        <v>23</v>
      </c>
      <c r="Q4727" t="n">
        <v>63.5</v>
      </c>
      <c r="R4727" t="n">
        <v>51</v>
      </c>
      <c r="S4727" t="n">
        <v>5900000</v>
      </c>
      <c r="T4727" t="n">
        <v>11569</v>
      </c>
      <c r="U4727" t="n">
        <v>5900000</v>
      </c>
      <c r="AH4727" t="inlineStr">
        <is>
          <t>Quelle: Pollentia Properties</t>
        </is>
      </c>
    </row>
    <row r="4728">
      <c r="A4728" t="n">
        <v>4541</v>
      </c>
      <c r="B4728" t="inlineStr">
        <is>
          <t>Apartment for sale  in Palma, in central location with luxury interior</t>
        </is>
      </c>
      <c r="C4728" t="inlineStr">
        <is>
          <t>https://www.pollentiaproperties.com/en/property/id/884968-apartment-for-sale-palma-central-location-refurbished-interior</t>
        </is>
      </c>
      <c r="E4728" t="n">
        <v>3</v>
      </c>
      <c r="H4728" t="n">
        <v>208</v>
      </c>
      <c r="J4728" t="inlineStr">
        <is>
          <t>Palma de Mallorca</t>
        </is>
      </c>
      <c r="K4728" t="n">
        <v>9.699999999999999</v>
      </c>
      <c r="L4728" t="n">
        <v>14</v>
      </c>
      <c r="M4728" t="n">
        <v>52.5</v>
      </c>
      <c r="N4728" t="n">
        <v>47</v>
      </c>
      <c r="O4728" t="n">
        <v>32.1</v>
      </c>
      <c r="P4728" t="n">
        <v>36</v>
      </c>
      <c r="Q4728" t="n">
        <v>50.2</v>
      </c>
      <c r="R4728" t="n">
        <v>44</v>
      </c>
      <c r="S4728" t="n">
        <v>1850000</v>
      </c>
      <c r="T4728" t="n">
        <v>8894</v>
      </c>
      <c r="AH4728" t="inlineStr">
        <is>
          <t>Quelle: Pollentia Properties</t>
        </is>
      </c>
    </row>
    <row r="4729">
      <c r="A4729" t="n">
        <v>4542</v>
      </c>
      <c r="B4729" t="inlineStr">
        <is>
          <t>Villa for sale in Cas Català luxury and exclusive project</t>
        </is>
      </c>
      <c r="C4729" t="inlineStr">
        <is>
          <t>https://www.pollentiaproperties.com/en/property/id/884798-villa-for-sale-cas-catala-luxury-exclusive-project-garden-pool</t>
        </is>
      </c>
      <c r="E4729" t="n">
        <v>4</v>
      </c>
      <c r="G4729" t="n">
        <v>903</v>
      </c>
      <c r="H4729" t="n">
        <v>313</v>
      </c>
      <c r="J4729" t="inlineStr">
        <is>
          <t>Cas Català</t>
        </is>
      </c>
      <c r="K4729" t="n">
        <v>20</v>
      </c>
      <c r="L4729" t="n">
        <v>22</v>
      </c>
      <c r="M4729" t="n">
        <v>62.8</v>
      </c>
      <c r="N4729" t="n">
        <v>55</v>
      </c>
      <c r="O4729" t="n">
        <v>23.7</v>
      </c>
      <c r="P4729" t="n">
        <v>23</v>
      </c>
      <c r="Q4729" t="n">
        <v>60.5</v>
      </c>
      <c r="R4729" t="n">
        <v>51</v>
      </c>
      <c r="S4729" t="n">
        <v>6900000</v>
      </c>
      <c r="T4729" t="n">
        <v>22045</v>
      </c>
      <c r="U4729" t="n">
        <v>7641</v>
      </c>
      <c r="AH4729" t="inlineStr">
        <is>
          <t>Quelle: Pollentia Properties</t>
        </is>
      </c>
    </row>
    <row r="4730">
      <c r="A4730" t="n">
        <v>4543</v>
      </c>
      <c r="B4730" t="inlineStr">
        <is>
          <t>Townhouse for sale in Alaró, luxury property under construction</t>
        </is>
      </c>
      <c r="C4730" t="inlineStr">
        <is>
          <t>https://www.pollentiaproperties.com/en/property/id/884415-town-house-for-sale-alaro-house-under-construction</t>
        </is>
      </c>
      <c r="E4730" t="n">
        <v>7</v>
      </c>
      <c r="H4730" t="n">
        <v>600</v>
      </c>
      <c r="J4730" t="inlineStr">
        <is>
          <t>Alaró</t>
        </is>
      </c>
      <c r="K4730" t="n">
        <v>33.4</v>
      </c>
      <c r="L4730" t="n">
        <v>33</v>
      </c>
      <c r="M4730" t="n">
        <v>76.09999999999999</v>
      </c>
      <c r="N4730" t="n">
        <v>66</v>
      </c>
      <c r="O4730" t="n">
        <v>55.9</v>
      </c>
      <c r="P4730" t="n">
        <v>49</v>
      </c>
      <c r="Q4730" t="n">
        <v>73.8</v>
      </c>
      <c r="R4730" t="n">
        <v>62</v>
      </c>
      <c r="S4730" t="n">
        <v>6200000</v>
      </c>
      <c r="T4730" t="n">
        <v>10333</v>
      </c>
      <c r="AH4730" t="inlineStr">
        <is>
          <t>Quelle: Pollentia Properties</t>
        </is>
      </c>
    </row>
    <row r="4731">
      <c r="A4731" t="n">
        <v>4544</v>
      </c>
      <c r="B4731" t="inlineStr">
        <is>
          <t>Apartment for sale in Palma in Santa Catalina neighborhood</t>
        </is>
      </c>
      <c r="C4731" t="inlineStr">
        <is>
          <t>https://www.pollentiaproperties.com/en/property/id/884145-apartment-for-sale-palma-santa-catalina-neighbourhood-being-refurbished</t>
        </is>
      </c>
      <c r="E4731" t="n">
        <v>3</v>
      </c>
      <c r="H4731" t="n">
        <v>132</v>
      </c>
      <c r="J4731" t="inlineStr">
        <is>
          <t>Santa Catalina</t>
        </is>
      </c>
      <c r="S4731" t="n">
        <v>749000</v>
      </c>
      <c r="T4731" t="n">
        <v>5674</v>
      </c>
      <c r="AH4731" t="inlineStr">
        <is>
          <t>Quelle: Pollentia Properties</t>
        </is>
      </c>
    </row>
    <row r="4732">
      <c r="A4732" t="n">
        <v>4545</v>
      </c>
      <c r="B4732" t="inlineStr">
        <is>
          <t>Apartment for sale in Son Armadans to be built shortly</t>
        </is>
      </c>
      <c r="C4732" t="inlineStr">
        <is>
          <t>https://www.pollentiaproperties.com/en/property/id/883683-apartment-for-sale-son-armadans-starting-shortly-garden-pool</t>
        </is>
      </c>
      <c r="E4732" t="n">
        <v>3</v>
      </c>
      <c r="H4732" t="n">
        <v>119</v>
      </c>
      <c r="J4732" t="inlineStr">
        <is>
          <t>Son Armadans</t>
        </is>
      </c>
      <c r="K4732" t="n">
        <v>11.6</v>
      </c>
      <c r="L4732" t="n">
        <v>19</v>
      </c>
      <c r="M4732" t="n">
        <v>54.4</v>
      </c>
      <c r="N4732" t="n">
        <v>52</v>
      </c>
      <c r="O4732" t="n">
        <v>28.3</v>
      </c>
      <c r="P4732" t="n">
        <v>28</v>
      </c>
      <c r="Q4732" t="n">
        <v>52.1</v>
      </c>
      <c r="R4732" t="n">
        <v>48</v>
      </c>
      <c r="S4732" t="n">
        <v>1900000</v>
      </c>
      <c r="T4732" t="n">
        <v>15966</v>
      </c>
      <c r="AH4732" t="inlineStr">
        <is>
          <t>Quelle: Pollentia Properties</t>
        </is>
      </c>
    </row>
    <row r="4733">
      <c r="A4733" t="n">
        <v>4546</v>
      </c>
      <c r="B4733" t="inlineStr">
        <is>
          <t>Villa for sale in Soller with fantastic outdoor space and pool</t>
        </is>
      </c>
      <c r="C4733" t="inlineStr">
        <is>
          <t>https://www.pollentiaproperties.com/en/property/id/883378-villa-for-sale-soller-fantastic-outdoor-space-private-pool</t>
        </is>
      </c>
      <c r="E4733" t="n">
        <v>1</v>
      </c>
      <c r="G4733" t="n">
        <v>1</v>
      </c>
      <c r="H4733" t="n">
        <v>38</v>
      </c>
      <c r="J4733" t="inlineStr">
        <is>
          <t>Sóller</t>
        </is>
      </c>
      <c r="K4733" t="n">
        <v>32.5</v>
      </c>
      <c r="L4733" t="n">
        <v>38</v>
      </c>
      <c r="M4733" t="n">
        <v>75.2</v>
      </c>
      <c r="N4733" t="n">
        <v>70</v>
      </c>
      <c r="O4733" t="n">
        <v>52.1</v>
      </c>
      <c r="P4733" t="n">
        <v>51</v>
      </c>
      <c r="Q4733" t="n">
        <v>72.90000000000001</v>
      </c>
      <c r="R4733" t="n">
        <v>67</v>
      </c>
      <c r="S4733" t="n">
        <v>1590000</v>
      </c>
      <c r="T4733" t="n">
        <v>41842</v>
      </c>
      <c r="U4733" t="n">
        <v>1590000</v>
      </c>
      <c r="AH4733" t="inlineStr">
        <is>
          <t>Quelle: Pollentia Properties</t>
        </is>
      </c>
    </row>
    <row r="4734">
      <c r="A4734" t="n">
        <v>4547</v>
      </c>
      <c r="B4734" t="inlineStr">
        <is>
          <t>Apartment for sale in Puerto Portals, in exclusive seafront location</t>
        </is>
      </c>
      <c r="C4734" t="inlineStr">
        <is>
          <t>https://www.pollentiaproperties.com/en/property/id/883346-apartment-for-sale-puerto-portals-seafront-location-community-pool</t>
        </is>
      </c>
      <c r="E4734" t="n">
        <v>3</v>
      </c>
      <c r="H4734" t="n">
        <v>90</v>
      </c>
      <c r="J4734" t="inlineStr">
        <is>
          <t>Puerto Portals</t>
        </is>
      </c>
      <c r="K4734" t="n">
        <v>23.5</v>
      </c>
      <c r="L4734" t="n">
        <v>24</v>
      </c>
      <c r="M4734" t="n">
        <v>66.2</v>
      </c>
      <c r="N4734" t="n">
        <v>56</v>
      </c>
      <c r="O4734" t="n">
        <v>21.4</v>
      </c>
      <c r="P4734" t="n">
        <v>23</v>
      </c>
      <c r="Q4734" t="n">
        <v>63.9</v>
      </c>
      <c r="R4734" t="n">
        <v>53</v>
      </c>
      <c r="S4734" t="n">
        <v>1300000</v>
      </c>
      <c r="T4734" t="n">
        <v>14444</v>
      </c>
      <c r="AH4734" t="inlineStr">
        <is>
          <t>Quelle: Pollentia Properties</t>
        </is>
      </c>
    </row>
    <row r="4735">
      <c r="A4735" t="n">
        <v>4548</v>
      </c>
      <c r="B4735" t="inlineStr">
        <is>
          <t>Town house for sale in Pollença in prime location with patio and pool</t>
        </is>
      </c>
      <c r="C4735" t="inlineStr">
        <is>
          <t>https://www.pollentiaproperties.com/en/property/id/882958-town-house-for-sale-pollensa-prime-location-elegance-charm-patio-pool</t>
        </is>
      </c>
      <c r="E4735" t="n">
        <v>5</v>
      </c>
      <c r="G4735" t="n">
        <v>178</v>
      </c>
      <c r="H4735" t="n">
        <v>287</v>
      </c>
      <c r="J4735" t="inlineStr">
        <is>
          <t>Pollença Pueblo</t>
        </is>
      </c>
      <c r="K4735" t="n">
        <v>60.6</v>
      </c>
      <c r="L4735" t="n">
        <v>47</v>
      </c>
      <c r="M4735" t="n">
        <v>78.7</v>
      </c>
      <c r="N4735" t="n">
        <v>74</v>
      </c>
      <c r="O4735" t="n">
        <v>83.2</v>
      </c>
      <c r="P4735" t="n">
        <v>63</v>
      </c>
      <c r="Q4735" t="n">
        <v>76.40000000000001</v>
      </c>
      <c r="R4735" t="n">
        <v>70</v>
      </c>
      <c r="S4735" t="n">
        <v>2650000</v>
      </c>
      <c r="T4735" t="n">
        <v>9233</v>
      </c>
      <c r="U4735" t="n">
        <v>14888</v>
      </c>
      <c r="AH4735" t="inlineStr">
        <is>
          <t>Quelle: Pollentia Properties</t>
        </is>
      </c>
    </row>
    <row r="4736">
      <c r="A4736" t="n">
        <v>4549</v>
      </c>
      <c r="B4736" t="inlineStr">
        <is>
          <t>Town house for sale in Pollença with pool and great features</t>
        </is>
      </c>
      <c r="C4736" t="inlineStr">
        <is>
          <t>https://www.pollentiaproperties.com/en/property/id/882957-town-house-for-sale-pollensa-prime-location-stylish-features-patio-pool</t>
        </is>
      </c>
      <c r="E4736" t="n">
        <v>3</v>
      </c>
      <c r="G4736" t="n">
        <v>170</v>
      </c>
      <c r="H4736" t="n">
        <v>214</v>
      </c>
      <c r="J4736" t="inlineStr">
        <is>
          <t>Pollença Pueblo</t>
        </is>
      </c>
      <c r="K4736" t="n">
        <v>60.6</v>
      </c>
      <c r="L4736" t="n">
        <v>47</v>
      </c>
      <c r="M4736" t="n">
        <v>78.7</v>
      </c>
      <c r="N4736" t="n">
        <v>74</v>
      </c>
      <c r="O4736" t="n">
        <v>83.2</v>
      </c>
      <c r="P4736" t="n">
        <v>63</v>
      </c>
      <c r="Q4736" t="n">
        <v>76.40000000000001</v>
      </c>
      <c r="R4736" t="n">
        <v>70</v>
      </c>
      <c r="S4736" t="n">
        <v>2100000</v>
      </c>
      <c r="T4736" t="n">
        <v>9813</v>
      </c>
      <c r="U4736" t="n">
        <v>12353</v>
      </c>
      <c r="AH4736" t="inlineStr">
        <is>
          <t>Quelle: Pollentia Properties</t>
        </is>
      </c>
    </row>
    <row r="4737">
      <c r="A4737" t="n">
        <v>4550</v>
      </c>
      <c r="B4737" t="inlineStr">
        <is>
          <t>Town house for sale in Pollença in charming location with great features</t>
        </is>
      </c>
      <c r="C4737" t="inlineStr">
        <is>
          <t>https://www.pollentiaproperties.com/en/property/id/882956-town-house-for-sale-pollensa-traditional-charm-modern-comfort-pool</t>
        </is>
      </c>
      <c r="E4737" t="n">
        <v>3</v>
      </c>
      <c r="G4737" t="n">
        <v>126</v>
      </c>
      <c r="H4737" t="n">
        <v>212</v>
      </c>
      <c r="J4737" t="inlineStr">
        <is>
          <t>Pollença Pueblo</t>
        </is>
      </c>
      <c r="K4737" t="n">
        <v>60.6</v>
      </c>
      <c r="L4737" t="n">
        <v>47</v>
      </c>
      <c r="M4737" t="n">
        <v>78.7</v>
      </c>
      <c r="N4737" t="n">
        <v>74</v>
      </c>
      <c r="O4737" t="n">
        <v>83.2</v>
      </c>
      <c r="P4737" t="n">
        <v>63</v>
      </c>
      <c r="Q4737" t="n">
        <v>76.40000000000001</v>
      </c>
      <c r="R4737" t="n">
        <v>70</v>
      </c>
      <c r="S4737" t="n">
        <v>2050000</v>
      </c>
      <c r="T4737" t="n">
        <v>9670</v>
      </c>
      <c r="U4737" t="n">
        <v>16270</v>
      </c>
      <c r="AH4737" t="inlineStr">
        <is>
          <t>Quelle: Pollentia Properties</t>
        </is>
      </c>
    </row>
    <row r="4738">
      <c r="A4738" t="n">
        <v>4551</v>
      </c>
      <c r="B4738" t="inlineStr">
        <is>
          <t>Building plot for sale in Alcudia project for 5 homes already started</t>
        </is>
      </c>
      <c r="C4738" t="inlineStr">
        <is>
          <t>https://www.pollentiaproperties.com/en/property/id/882614-building-plot-for-sale-alcudia-project-five-homes-already-started</t>
        </is>
      </c>
      <c r="G4738" t="n">
        <v>244</v>
      </c>
      <c r="J4738" t="inlineStr">
        <is>
          <t>Alcúdia</t>
        </is>
      </c>
      <c r="AH4738" t="inlineStr">
        <is>
          <t>Quelle: Pollentia Properties</t>
        </is>
      </c>
    </row>
    <row r="4739">
      <c r="A4739" t="n">
        <v>4552</v>
      </c>
      <c r="B4739" t="inlineStr">
        <is>
          <t>Building plot for sale in Son Gual, Palma with project and building license</t>
        </is>
      </c>
      <c r="C4739" t="inlineStr">
        <is>
          <t>https://www.pollentiaproperties.com/en/property/id/882601-building-plot-for-sale-son-gual-palma-project-license-construction-seperate</t>
        </is>
      </c>
      <c r="G4739" t="n">
        <v>2</v>
      </c>
      <c r="J4739" t="inlineStr">
        <is>
          <t>Son Gual</t>
        </is>
      </c>
      <c r="S4739" t="n">
        <v>785000</v>
      </c>
      <c r="U4739" t="n">
        <v>392500</v>
      </c>
      <c r="AH4739" t="inlineStr">
        <is>
          <t>Quelle: Pollentia Properties</t>
        </is>
      </c>
    </row>
    <row r="4740">
      <c r="A4740" t="n">
        <v>4553</v>
      </c>
      <c r="B4740" t="inlineStr">
        <is>
          <t>Country house for sale in Puntiró with garden and a large pool</t>
        </is>
      </c>
      <c r="C4740" t="inlineStr">
        <is>
          <t>https://www.pollentiaproperties.com/en/property/id/882505-country-house-for-sale-puntiro-garden-large-pool</t>
        </is>
      </c>
      <c r="E4740" t="n">
        <v>4</v>
      </c>
      <c r="G4740" t="n">
        <v>8</v>
      </c>
      <c r="H4740" t="n">
        <v>172</v>
      </c>
      <c r="J4740" t="inlineStr">
        <is>
          <t>Puntiró</t>
        </is>
      </c>
      <c r="K4740" t="n">
        <v>16.7</v>
      </c>
      <c r="L4740" t="n">
        <v>21</v>
      </c>
      <c r="M4740" t="n">
        <v>53.4</v>
      </c>
      <c r="N4740" t="n">
        <v>52</v>
      </c>
      <c r="O4740" t="n">
        <v>47</v>
      </c>
      <c r="P4740" t="n">
        <v>43</v>
      </c>
      <c r="Q4740" t="n">
        <v>51.1</v>
      </c>
      <c r="R4740" t="n">
        <v>48</v>
      </c>
      <c r="S4740" t="n">
        <v>1700000</v>
      </c>
      <c r="T4740" t="n">
        <v>9884</v>
      </c>
      <c r="U4740" t="n">
        <v>212500</v>
      </c>
      <c r="AH4740" t="inlineStr">
        <is>
          <t>Quelle: Pollentia Properties</t>
        </is>
      </c>
    </row>
    <row r="4741">
      <c r="A4741" t="n">
        <v>4554</v>
      </c>
      <c r="B4741" t="inlineStr">
        <is>
          <t>Apartment for sale in Son Armadans building to start soon</t>
        </is>
      </c>
      <c r="C4741" t="inlineStr">
        <is>
          <t>https://www.pollentiaproperties.com/en/property/id/882351-apartment-for-sale-son-armadans-building-starting-soon</t>
        </is>
      </c>
      <c r="E4741" t="n">
        <v>2</v>
      </c>
      <c r="H4741" t="n">
        <v>119</v>
      </c>
      <c r="J4741" t="inlineStr">
        <is>
          <t>Son Armadans</t>
        </is>
      </c>
      <c r="S4741" t="n">
        <v>850000</v>
      </c>
      <c r="T4741" t="n">
        <v>7143</v>
      </c>
      <c r="AH4741" t="inlineStr">
        <is>
          <t>Quelle: Pollentia Properties</t>
        </is>
      </c>
    </row>
    <row r="4742">
      <c r="A4742" t="n">
        <v>4555</v>
      </c>
      <c r="B4742" t="inlineStr">
        <is>
          <t>Ground floor for sale in La Calatrava in Palma in restored building</t>
        </is>
      </c>
      <c r="C4742" t="inlineStr">
        <is>
          <t>https://www.pollentiaproperties.com/en/property/id/882348-apartment-for-sale-la-calatrava--palma-restored-building</t>
        </is>
      </c>
      <c r="E4742" t="n">
        <v>2</v>
      </c>
      <c r="H4742" t="n">
        <v>150</v>
      </c>
      <c r="J4742" t="inlineStr">
        <is>
          <t>La Calatrava</t>
        </is>
      </c>
      <c r="K4742" t="n">
        <v>9.4</v>
      </c>
      <c r="L4742" t="n">
        <v>15</v>
      </c>
      <c r="M4742" t="n">
        <v>52.1</v>
      </c>
      <c r="N4742" t="n">
        <v>48</v>
      </c>
      <c r="O4742" t="n">
        <v>31.7</v>
      </c>
      <c r="P4742" t="n">
        <v>36</v>
      </c>
      <c r="Q4742" t="n">
        <v>49.8</v>
      </c>
      <c r="R4742" t="n">
        <v>44</v>
      </c>
      <c r="S4742" t="n">
        <v>1495000</v>
      </c>
      <c r="T4742" t="n">
        <v>9967</v>
      </c>
      <c r="AH4742" t="inlineStr">
        <is>
          <t>Quelle: Pollentia Properties</t>
        </is>
      </c>
    </row>
    <row r="4743">
      <c r="A4743" t="n">
        <v>4556</v>
      </c>
      <c r="B4743" t="inlineStr">
        <is>
          <t>Country home for sale in Alcúdia, license to build house</t>
        </is>
      </c>
      <c r="C4743" t="inlineStr">
        <is>
          <t>https://www.pollentiaproperties.com/en/property/id/882232-country-building-plot-for-sale-alcudia-villa-pool</t>
        </is>
      </c>
      <c r="G4743" t="n">
        <v>35</v>
      </c>
      <c r="H4743" t="n">
        <v>493</v>
      </c>
      <c r="J4743" t="inlineStr">
        <is>
          <t>Alcúdia</t>
        </is>
      </c>
      <c r="S4743" t="n">
        <v>954000</v>
      </c>
      <c r="T4743" t="n">
        <v>1935</v>
      </c>
      <c r="U4743" t="n">
        <v>27257</v>
      </c>
      <c r="AH4743" t="inlineStr">
        <is>
          <t>Quelle: Pollentia Properties</t>
        </is>
      </c>
    </row>
    <row r="4744">
      <c r="A4744" t="n">
        <v>4557</v>
      </c>
      <c r="B4744" t="inlineStr">
        <is>
          <t>Country house for sale in Puntiró, newly built in luxury style</t>
        </is>
      </c>
      <c r="C4744" t="inlineStr">
        <is>
          <t>https://www.pollentiaproperties.com/en/property/id/881967-country-house-for-sale-puntiro-newly-built-luxury-style-garden-pool</t>
        </is>
      </c>
      <c r="E4744" t="n">
        <v>4</v>
      </c>
      <c r="G4744" t="n">
        <v>7</v>
      </c>
      <c r="H4744" t="n">
        <v>465</v>
      </c>
      <c r="J4744" t="inlineStr">
        <is>
          <t>Puntiró</t>
        </is>
      </c>
      <c r="K4744" t="n">
        <v>16.7</v>
      </c>
      <c r="L4744" t="n">
        <v>21</v>
      </c>
      <c r="M4744" t="n">
        <v>53.4</v>
      </c>
      <c r="N4744" t="n">
        <v>52</v>
      </c>
      <c r="O4744" t="n">
        <v>47</v>
      </c>
      <c r="P4744" t="n">
        <v>43</v>
      </c>
      <c r="Q4744" t="n">
        <v>51.1</v>
      </c>
      <c r="R4744" t="n">
        <v>48</v>
      </c>
      <c r="S4744" t="n">
        <v>4500000</v>
      </c>
      <c r="T4744" t="n">
        <v>9677</v>
      </c>
      <c r="U4744" t="n">
        <v>642857</v>
      </c>
      <c r="AH4744" t="inlineStr">
        <is>
          <t>Quelle: Pollentia Properties</t>
        </is>
      </c>
    </row>
    <row r="4745">
      <c r="A4745" t="n">
        <v>4558</v>
      </c>
      <c r="B4745" t="inlineStr">
        <is>
          <t>Villa for sale in Font de Sa Cala, in new top quality complex. LAST UNIT AVAILABLE!!</t>
        </is>
      </c>
      <c r="C4745" t="inlineStr">
        <is>
          <t>https://www.pollentiaproperties.com/en/property/id/881752-villa-for-sale-capdepera-brand-new-development-community-gardens</t>
        </is>
      </c>
      <c r="E4745" t="n">
        <v>3</v>
      </c>
      <c r="G4745" t="n">
        <v>313</v>
      </c>
      <c r="H4745" t="n">
        <v>267</v>
      </c>
      <c r="J4745" t="inlineStr">
        <is>
          <t>Font de sa Cala</t>
        </is>
      </c>
      <c r="K4745" t="n">
        <v>77.40000000000001</v>
      </c>
      <c r="L4745" t="n">
        <v>68</v>
      </c>
      <c r="M4745" t="n">
        <v>72.8</v>
      </c>
      <c r="N4745" t="n">
        <v>71</v>
      </c>
      <c r="O4745" t="n">
        <v>111.6</v>
      </c>
      <c r="P4745" t="n">
        <v>93</v>
      </c>
      <c r="Q4745" t="n">
        <v>70.5</v>
      </c>
      <c r="R4745" t="n">
        <v>68</v>
      </c>
      <c r="S4745" t="n">
        <v>1024000</v>
      </c>
      <c r="T4745" t="n">
        <v>3835</v>
      </c>
      <c r="U4745" t="n">
        <v>3272</v>
      </c>
      <c r="AH4745" t="inlineStr">
        <is>
          <t>Quelle: Pollentia Properties</t>
        </is>
      </c>
    </row>
    <row r="4746">
      <c r="A4746" t="n">
        <v>4559</v>
      </c>
      <c r="B4746" t="inlineStr">
        <is>
          <t>Building plot for sale in Portol with license and excavations</t>
        </is>
      </c>
      <c r="C4746" t="inlineStr">
        <is>
          <t>https://www.pollentiaproperties.com/en/property/id/881698-building-plot-for-sale-portol-license-excavations-house-garden</t>
        </is>
      </c>
      <c r="E4746" t="n">
        <v>3</v>
      </c>
      <c r="G4746" t="n">
        <v>531</v>
      </c>
      <c r="J4746" t="inlineStr">
        <is>
          <t>Portol</t>
        </is>
      </c>
      <c r="S4746" t="n">
        <v>278000</v>
      </c>
      <c r="U4746" t="n">
        <v>524</v>
      </c>
      <c r="AH4746" t="inlineStr">
        <is>
          <t>Quelle: Pollentia Properties</t>
        </is>
      </c>
    </row>
    <row r="4747">
      <c r="A4747" t="n">
        <v>4560</v>
      </c>
      <c r="B4747" t="inlineStr">
        <is>
          <t>Country house for sale in Pollença single storey with holiday license</t>
        </is>
      </c>
      <c r="C4747" t="inlineStr">
        <is>
          <t>https://www.pollentiaproperties.com/en/property/id/881202-country-house-for-sale-pollensa-single-storey-garden-pool</t>
        </is>
      </c>
      <c r="E4747" t="n">
        <v>4</v>
      </c>
      <c r="G4747" t="n">
        <v>12</v>
      </c>
      <c r="H4747" t="n">
        <v>368</v>
      </c>
      <c r="J4747" t="inlineStr">
        <is>
          <t>Pollença</t>
        </is>
      </c>
      <c r="K4747" t="n">
        <v>60.6</v>
      </c>
      <c r="L4747" t="n">
        <v>47</v>
      </c>
      <c r="M4747" t="n">
        <v>78.7</v>
      </c>
      <c r="N4747" t="n">
        <v>74</v>
      </c>
      <c r="O4747" t="n">
        <v>83.2</v>
      </c>
      <c r="P4747" t="n">
        <v>63</v>
      </c>
      <c r="Q4747" t="n">
        <v>76.40000000000001</v>
      </c>
      <c r="R4747" t="n">
        <v>70</v>
      </c>
      <c r="S4747" t="n">
        <v>2150000</v>
      </c>
      <c r="T4747" t="n">
        <v>5842</v>
      </c>
      <c r="U4747" t="n">
        <v>179167</v>
      </c>
      <c r="AH4747" t="inlineStr">
        <is>
          <t>Quelle: Pollentia Properties</t>
        </is>
      </c>
    </row>
    <row r="4748">
      <c r="A4748" t="n">
        <v>4561</v>
      </c>
      <c r="B4748" t="inlineStr">
        <is>
          <t>Town house for sale in El Terreno with pool and rental license</t>
        </is>
      </c>
      <c r="C4748" t="inlineStr">
        <is>
          <t>https://www.pollentiaproperties.com/en/property/id/880901-town-house-for-sale-el-terreno-great-location-sea-views-pool</t>
        </is>
      </c>
      <c r="E4748" t="n">
        <v>4</v>
      </c>
      <c r="G4748" t="n">
        <v>426</v>
      </c>
      <c r="H4748" t="n">
        <v>684</v>
      </c>
      <c r="J4748" t="inlineStr">
        <is>
          <t>El Terreno</t>
        </is>
      </c>
      <c r="K4748" t="n">
        <v>12.3</v>
      </c>
      <c r="L4748" t="n">
        <v>21</v>
      </c>
      <c r="M4748" t="n">
        <v>55</v>
      </c>
      <c r="N4748" t="n">
        <v>53</v>
      </c>
      <c r="O4748" t="n">
        <v>27.6</v>
      </c>
      <c r="P4748" t="n">
        <v>27</v>
      </c>
      <c r="Q4748" t="n">
        <v>52.7</v>
      </c>
      <c r="R4748" t="n">
        <v>50</v>
      </c>
      <c r="S4748" t="n">
        <v>2150000</v>
      </c>
      <c r="T4748" t="n">
        <v>3143</v>
      </c>
      <c r="U4748" t="n">
        <v>5047</v>
      </c>
      <c r="AH4748" t="inlineStr">
        <is>
          <t>Quelle: Pollentia Properties</t>
        </is>
      </c>
    </row>
    <row r="4749">
      <c r="A4749" t="n">
        <v>4562</v>
      </c>
      <c r="B4749" t="inlineStr">
        <is>
          <t>Spectacular villa for sale in Cala Fornells with great sea views</t>
        </is>
      </c>
      <c r="C4749" t="inlineStr">
        <is>
          <t>https://www.pollentiaproperties.com/en/property/id/880751-villa-for-sale-cala-fornells-spectacular-location-sea-views</t>
        </is>
      </c>
      <c r="E4749" t="n">
        <v>6</v>
      </c>
      <c r="G4749" t="n">
        <v>2</v>
      </c>
      <c r="H4749" t="n">
        <v>522</v>
      </c>
      <c r="J4749" t="inlineStr">
        <is>
          <t>Cala Fornells</t>
        </is>
      </c>
      <c r="K4749" t="n">
        <v>36.8</v>
      </c>
      <c r="L4749" t="n">
        <v>35</v>
      </c>
      <c r="M4749" t="n">
        <v>79.5</v>
      </c>
      <c r="N4749" t="n">
        <v>68</v>
      </c>
      <c r="O4749" t="n">
        <v>9.1</v>
      </c>
      <c r="P4749" t="n">
        <v>13</v>
      </c>
      <c r="Q4749" t="n">
        <v>77.2</v>
      </c>
      <c r="R4749" t="n">
        <v>64</v>
      </c>
      <c r="S4749" t="n">
        <v>14500000</v>
      </c>
      <c r="T4749" t="n">
        <v>27778</v>
      </c>
      <c r="U4749" t="n">
        <v>7250000</v>
      </c>
      <c r="AH4749" t="inlineStr">
        <is>
          <t>Quelle: Pollentia Properties</t>
        </is>
      </c>
    </row>
    <row r="4750">
      <c r="A4750" t="n">
        <v>4563</v>
      </c>
      <c r="B4750" t="inlineStr">
        <is>
          <t>Villa for sale in Santa Margalida in seafront location with great views</t>
        </is>
      </c>
      <c r="C4750" t="inlineStr">
        <is>
          <t>https://www.pollentiaproperties.com/en/property/id/880748-villa-for-sale-santa-margalida-seafront-location-great-views</t>
        </is>
      </c>
      <c r="E4750" t="n">
        <v>3</v>
      </c>
      <c r="G4750" t="n">
        <v>695</v>
      </c>
      <c r="H4750" t="n">
        <v>695</v>
      </c>
      <c r="J4750" t="inlineStr">
        <is>
          <t>Santa Margalida</t>
        </is>
      </c>
      <c r="K4750" t="n">
        <v>56.3</v>
      </c>
      <c r="L4750" t="n">
        <v>47</v>
      </c>
      <c r="M4750" t="n">
        <v>52.4</v>
      </c>
      <c r="N4750" t="n">
        <v>55</v>
      </c>
      <c r="O4750" t="n">
        <v>78.90000000000001</v>
      </c>
      <c r="P4750" t="n">
        <v>63</v>
      </c>
      <c r="Q4750" t="n">
        <v>50.1</v>
      </c>
      <c r="R4750" t="n">
        <v>51</v>
      </c>
      <c r="S4750" t="n">
        <v>5800000</v>
      </c>
      <c r="T4750" t="n">
        <v>8345</v>
      </c>
      <c r="U4750" t="n">
        <v>8345</v>
      </c>
      <c r="AH4750" t="inlineStr">
        <is>
          <t>Quelle: Pollentia Properties</t>
        </is>
      </c>
    </row>
    <row r="4751">
      <c r="A4751" t="n">
        <v>4564</v>
      </c>
      <c r="B4751" t="inlineStr">
        <is>
          <t>Villa for sale in Sa Marina in Alcudia with rental license</t>
        </is>
      </c>
      <c r="C4751" t="inlineStr">
        <is>
          <t>https://www.pollentiaproperties.com/en/property/id/880717-villa-for-sale-sa-marina-alcudia-fabulous-views-rental-license</t>
        </is>
      </c>
      <c r="E4751" t="n">
        <v>4</v>
      </c>
      <c r="G4751" t="n">
        <v>549</v>
      </c>
      <c r="H4751" t="n">
        <v>276</v>
      </c>
      <c r="J4751" t="inlineStr">
        <is>
          <t>Sa Marina</t>
        </is>
      </c>
      <c r="K4751" t="n">
        <v>47.6</v>
      </c>
      <c r="L4751" t="n">
        <v>44</v>
      </c>
      <c r="M4751" t="n">
        <v>4.4</v>
      </c>
      <c r="N4751" t="n">
        <v>7</v>
      </c>
      <c r="O4751" t="n">
        <v>85.8</v>
      </c>
      <c r="P4751" t="n">
        <v>72</v>
      </c>
      <c r="Q4751" t="n">
        <v>5</v>
      </c>
      <c r="R4751" t="n">
        <v>9</v>
      </c>
      <c r="S4751" t="n">
        <v>1650000</v>
      </c>
      <c r="T4751" t="n">
        <v>5978</v>
      </c>
      <c r="U4751" t="n">
        <v>3005</v>
      </c>
      <c r="AH4751" t="inlineStr">
        <is>
          <t>Quelle: Pollentia Properties</t>
        </is>
      </c>
    </row>
    <row r="4752">
      <c r="A4752" t="n">
        <v>4565</v>
      </c>
      <c r="B4752" t="inlineStr">
        <is>
          <t>Country estate for sale in Pollensa on huge plot of land with vineyard</t>
        </is>
      </c>
      <c r="C4752" t="inlineStr">
        <is>
          <t>https://www.pollentiaproperties.com/en/property/id/880247-country-estate-for-sale-pollensa-huge-plot-vineyard-olive-grove-three-residences</t>
        </is>
      </c>
      <c r="E4752" t="n">
        <v>6</v>
      </c>
      <c r="G4752" t="n">
        <v>172</v>
      </c>
      <c r="H4752" t="n">
        <v>1</v>
      </c>
      <c r="J4752" t="inlineStr">
        <is>
          <t>Pollença</t>
        </is>
      </c>
      <c r="K4752" t="n">
        <v>60.6</v>
      </c>
      <c r="L4752" t="n">
        <v>47</v>
      </c>
      <c r="M4752" t="n">
        <v>78.7</v>
      </c>
      <c r="N4752" t="n">
        <v>74</v>
      </c>
      <c r="O4752" t="n">
        <v>83.2</v>
      </c>
      <c r="P4752" t="n">
        <v>63</v>
      </c>
      <c r="Q4752" t="n">
        <v>76.40000000000001</v>
      </c>
      <c r="R4752" t="n">
        <v>70</v>
      </c>
      <c r="S4752" t="n">
        <v>7650000</v>
      </c>
      <c r="T4752" t="n">
        <v>7650000</v>
      </c>
      <c r="U4752" t="n">
        <v>44477</v>
      </c>
      <c r="AH4752" t="inlineStr">
        <is>
          <t>Quelle: Pollentia Properties</t>
        </is>
      </c>
    </row>
    <row r="4753">
      <c r="A4753" t="n">
        <v>4566</v>
      </c>
      <c r="B4753" t="inlineStr">
        <is>
          <t>Country house for sale in Alcudia luxury designer property</t>
        </is>
      </c>
      <c r="C4753" t="inlineStr">
        <is>
          <t>https://www.pollentiaproperties.com/en/property/id/880025-country-house-for-sale-alcudia-luxury-designer-property-garden-pool</t>
        </is>
      </c>
      <c r="E4753" t="n">
        <v>5</v>
      </c>
      <c r="G4753" t="n">
        <v>17</v>
      </c>
      <c r="H4753" t="n">
        <v>691</v>
      </c>
      <c r="J4753" t="inlineStr">
        <is>
          <t>Alcúdia</t>
        </is>
      </c>
      <c r="K4753" t="n">
        <v>61.6</v>
      </c>
      <c r="L4753" t="n">
        <v>47</v>
      </c>
      <c r="M4753" t="n">
        <v>79.7</v>
      </c>
      <c r="N4753" t="n">
        <v>74</v>
      </c>
      <c r="O4753" t="n">
        <v>84.2</v>
      </c>
      <c r="P4753" t="n">
        <v>63</v>
      </c>
      <c r="Q4753" t="n">
        <v>77.40000000000001</v>
      </c>
      <c r="R4753" t="n">
        <v>70</v>
      </c>
      <c r="AH4753" t="inlineStr">
        <is>
          <t>Quelle: Pollentia Properties</t>
        </is>
      </c>
    </row>
    <row r="4754">
      <c r="A4754" t="n">
        <v>4567</v>
      </c>
      <c r="B4754" t="inlineStr">
        <is>
          <t>Vineyard for sale in Pollensa on huge plot of land with house</t>
        </is>
      </c>
      <c r="C4754" t="inlineStr">
        <is>
          <t>https://www.pollentiaproperties.com/en/property/id/879834-vineyard-for-sale-pollensa-huge-plot-vineyard-olive-grove-three-residences</t>
        </is>
      </c>
      <c r="E4754" t="n">
        <v>6</v>
      </c>
      <c r="G4754" t="n">
        <v>172</v>
      </c>
      <c r="H4754" t="n">
        <v>1</v>
      </c>
      <c r="J4754" t="inlineStr">
        <is>
          <t>Pollença</t>
        </is>
      </c>
      <c r="K4754" t="n">
        <v>60.6</v>
      </c>
      <c r="L4754" t="n">
        <v>47</v>
      </c>
      <c r="M4754" t="n">
        <v>78.7</v>
      </c>
      <c r="N4754" t="n">
        <v>74</v>
      </c>
      <c r="O4754" t="n">
        <v>83.2</v>
      </c>
      <c r="P4754" t="n">
        <v>63</v>
      </c>
      <c r="Q4754" t="n">
        <v>76.40000000000001</v>
      </c>
      <c r="R4754" t="n">
        <v>70</v>
      </c>
      <c r="S4754" t="n">
        <v>7650000</v>
      </c>
      <c r="T4754" t="n">
        <v>7650000</v>
      </c>
      <c r="U4754" t="n">
        <v>44477</v>
      </c>
      <c r="AH4754" t="inlineStr">
        <is>
          <t>Quelle: Pollentia Properties</t>
        </is>
      </c>
    </row>
    <row r="4755">
      <c r="A4755" t="n">
        <v>4568</v>
      </c>
      <c r="B4755" t="inlineStr">
        <is>
          <t>Building plot for sale in Son Vida preliminary project in place</t>
        </is>
      </c>
      <c r="C4755" t="inlineStr">
        <is>
          <t>https://www.pollentiaproperties.com/en/property/id/879433-villa-for-sale-son-vida-preliminary-project</t>
        </is>
      </c>
      <c r="E4755" t="n">
        <v>6</v>
      </c>
      <c r="G4755" t="n">
        <v>2</v>
      </c>
      <c r="H4755" t="n">
        <v>553</v>
      </c>
      <c r="J4755" t="inlineStr">
        <is>
          <t>Son Vida</t>
        </is>
      </c>
      <c r="K4755" t="n">
        <v>19.2</v>
      </c>
      <c r="L4755" t="n">
        <v>22</v>
      </c>
      <c r="M4755" t="n">
        <v>61.9</v>
      </c>
      <c r="N4755" t="n">
        <v>55</v>
      </c>
      <c r="O4755" t="n">
        <v>31</v>
      </c>
      <c r="P4755" t="n">
        <v>31</v>
      </c>
      <c r="Q4755" t="n">
        <v>59.6</v>
      </c>
      <c r="R4755" t="n">
        <v>51</v>
      </c>
      <c r="S4755" t="n">
        <v>2900000</v>
      </c>
      <c r="T4755" t="n">
        <v>5244</v>
      </c>
      <c r="U4755" t="n">
        <v>1450000</v>
      </c>
      <c r="AH4755" t="inlineStr">
        <is>
          <t>Quelle: Pollentia Properties</t>
        </is>
      </c>
    </row>
    <row r="4756">
      <c r="A4756" t="n">
        <v>4569</v>
      </c>
      <c r="B4756" t="inlineStr">
        <is>
          <t>Building plot for sale in Son Vida with preliminary project</t>
        </is>
      </c>
      <c r="C4756" t="inlineStr">
        <is>
          <t>https://www.pollentiaproperties.com/en/property/id/879432-villa-for-sale-son-vida-preliminary-project</t>
        </is>
      </c>
      <c r="E4756" t="n">
        <v>6</v>
      </c>
      <c r="G4756" t="n">
        <v>2</v>
      </c>
      <c r="H4756" t="n">
        <v>663</v>
      </c>
      <c r="J4756" t="inlineStr">
        <is>
          <t>Son Vida</t>
        </is>
      </c>
      <c r="K4756" t="n">
        <v>19.2</v>
      </c>
      <c r="L4756" t="n">
        <v>22</v>
      </c>
      <c r="M4756" t="n">
        <v>61.9</v>
      </c>
      <c r="N4756" t="n">
        <v>55</v>
      </c>
      <c r="O4756" t="n">
        <v>31</v>
      </c>
      <c r="P4756" t="n">
        <v>31</v>
      </c>
      <c r="Q4756" t="n">
        <v>59.6</v>
      </c>
      <c r="R4756" t="n">
        <v>51</v>
      </c>
      <c r="S4756" t="n">
        <v>2600000</v>
      </c>
      <c r="T4756" t="n">
        <v>3922</v>
      </c>
      <c r="U4756" t="n">
        <v>1300000</v>
      </c>
      <c r="AH4756" t="inlineStr">
        <is>
          <t>Quelle: Pollentia Properties</t>
        </is>
      </c>
    </row>
    <row r="4757">
      <c r="A4757" t="n">
        <v>4570</v>
      </c>
      <c r="B4757" t="inlineStr">
        <is>
          <t>Building plot for sale in Son Vida preliminary project included</t>
        </is>
      </c>
      <c r="C4757" t="inlineStr">
        <is>
          <t>https://www.pollentiaproperties.com/en/property/id/879431-villa-for-sale-son-vida-preliminary-project-exclusive-location</t>
        </is>
      </c>
      <c r="E4757" t="n">
        <v>6</v>
      </c>
      <c r="G4757" t="n">
        <v>2</v>
      </c>
      <c r="H4757" t="n">
        <v>553</v>
      </c>
      <c r="J4757" t="inlineStr">
        <is>
          <t>Son Vida</t>
        </is>
      </c>
      <c r="K4757" t="n">
        <v>19.2</v>
      </c>
      <c r="L4757" t="n">
        <v>22</v>
      </c>
      <c r="M4757" t="n">
        <v>61.9</v>
      </c>
      <c r="N4757" t="n">
        <v>55</v>
      </c>
      <c r="O4757" t="n">
        <v>31</v>
      </c>
      <c r="P4757" t="n">
        <v>31</v>
      </c>
      <c r="Q4757" t="n">
        <v>59.6</v>
      </c>
      <c r="R4757" t="n">
        <v>51</v>
      </c>
      <c r="S4757" t="n">
        <v>2700000</v>
      </c>
      <c r="T4757" t="n">
        <v>4882</v>
      </c>
      <c r="U4757" t="n">
        <v>1350000</v>
      </c>
      <c r="AH4757" t="inlineStr">
        <is>
          <t>Quelle: Pollentia Properties</t>
        </is>
      </c>
    </row>
    <row r="4758">
      <c r="A4758" t="n">
        <v>4571</v>
      </c>
      <c r="B4758" t="inlineStr">
        <is>
          <t>Building plot for sale in Son Vida preliminary project included</t>
        </is>
      </c>
      <c r="C4758" t="inlineStr">
        <is>
          <t>https://www.pollentiaproperties.com/en/property/id/879430-villa-for-sale-son-vida-preliminary-project-pool</t>
        </is>
      </c>
      <c r="E4758" t="n">
        <v>6</v>
      </c>
      <c r="G4758" t="n">
        <v>3</v>
      </c>
      <c r="H4758" t="n">
        <v>660</v>
      </c>
      <c r="J4758" t="inlineStr">
        <is>
          <t>Son Vida</t>
        </is>
      </c>
      <c r="K4758" t="n">
        <v>19.2</v>
      </c>
      <c r="L4758" t="n">
        <v>22</v>
      </c>
      <c r="M4758" t="n">
        <v>61.9</v>
      </c>
      <c r="N4758" t="n">
        <v>55</v>
      </c>
      <c r="O4758" t="n">
        <v>31</v>
      </c>
      <c r="P4758" t="n">
        <v>31</v>
      </c>
      <c r="Q4758" t="n">
        <v>59.6</v>
      </c>
      <c r="R4758" t="n">
        <v>51</v>
      </c>
      <c r="S4758" t="n">
        <v>2900000</v>
      </c>
      <c r="T4758" t="n">
        <v>4394</v>
      </c>
      <c r="U4758" t="n">
        <v>966667</v>
      </c>
      <c r="AH4758" t="inlineStr">
        <is>
          <t>Quelle: Pollentia Properties</t>
        </is>
      </c>
    </row>
    <row r="4759">
      <c r="A4759" t="n">
        <v>4572</v>
      </c>
      <c r="B4759" t="inlineStr">
        <is>
          <t>Country house for sale in Pollença timelessly traditional style</t>
        </is>
      </c>
      <c r="C4759" t="inlineStr">
        <is>
          <t>https://www.pollentiaproperties.com/en/property/id/879412-country-house-for-sale-pollensa-timelessly-traditional-style</t>
        </is>
      </c>
      <c r="E4759" t="n">
        <v>5</v>
      </c>
      <c r="G4759" t="n">
        <v>16</v>
      </c>
      <c r="H4759" t="n">
        <v>411</v>
      </c>
      <c r="J4759" t="inlineStr">
        <is>
          <t>Pollença</t>
        </is>
      </c>
      <c r="K4759" t="n">
        <v>60.6</v>
      </c>
      <c r="L4759" t="n">
        <v>47</v>
      </c>
      <c r="M4759" t="n">
        <v>78.7</v>
      </c>
      <c r="N4759" t="n">
        <v>74</v>
      </c>
      <c r="O4759" t="n">
        <v>83.2</v>
      </c>
      <c r="P4759" t="n">
        <v>63</v>
      </c>
      <c r="Q4759" t="n">
        <v>76.40000000000001</v>
      </c>
      <c r="R4759" t="n">
        <v>70</v>
      </c>
      <c r="S4759" t="n">
        <v>4500000</v>
      </c>
      <c r="T4759" t="n">
        <v>10949</v>
      </c>
      <c r="U4759" t="n">
        <v>281250</v>
      </c>
      <c r="AH4759" t="inlineStr">
        <is>
          <t>Quelle: Pollentia Properties</t>
        </is>
      </c>
    </row>
    <row r="4760">
      <c r="A4760" t="n">
        <v>4573</v>
      </c>
      <c r="B4760" t="inlineStr">
        <is>
          <t>Building plot for sale in Sol de Mallorca for residential use</t>
        </is>
      </c>
      <c r="C4760" t="inlineStr">
        <is>
          <t>https://www.pollentiaproperties.com/en/property/id/878939-building-plot-for-sale-sol-de-mallorca-different-sizes-prices</t>
        </is>
      </c>
      <c r="G4760" t="n">
        <v>9</v>
      </c>
      <c r="J4760" t="inlineStr">
        <is>
          <t>Sol de Mallorca</t>
        </is>
      </c>
      <c r="K4760" t="n">
        <v>32.2</v>
      </c>
      <c r="L4760" t="n">
        <v>31</v>
      </c>
      <c r="M4760" t="n">
        <v>75</v>
      </c>
      <c r="N4760" t="n">
        <v>64</v>
      </c>
      <c r="O4760" t="n">
        <v>21.2</v>
      </c>
      <c r="P4760" t="n">
        <v>25</v>
      </c>
      <c r="Q4760" t="n">
        <v>72.7</v>
      </c>
      <c r="R4760" t="n">
        <v>60</v>
      </c>
      <c r="S4760" t="n">
        <v>4200000</v>
      </c>
      <c r="U4760" t="n">
        <v>466667</v>
      </c>
      <c r="AH4760" t="inlineStr">
        <is>
          <t>Quelle: Pollentia Properties</t>
        </is>
      </c>
    </row>
    <row r="4761">
      <c r="A4761" t="n">
        <v>4574</v>
      </c>
      <c r="B4761" t="inlineStr">
        <is>
          <t>Town house for sale in Pollensa in historic centre and fully renovated</t>
        </is>
      </c>
      <c r="C4761" t="inlineStr">
        <is>
          <t>https://www.pollentiaproperties.com/en/property/id/878686-town-house-for-sale-pollensa-historic-centre-fully-renovated</t>
        </is>
      </c>
      <c r="E4761" t="n">
        <v>4</v>
      </c>
      <c r="G4761" t="n">
        <v>111</v>
      </c>
      <c r="H4761" t="n">
        <v>220</v>
      </c>
      <c r="J4761" t="inlineStr">
        <is>
          <t>Pollença Pueblo</t>
        </is>
      </c>
      <c r="S4761" t="n">
        <v>799000</v>
      </c>
      <c r="T4761" t="n">
        <v>3632</v>
      </c>
      <c r="U4761" t="n">
        <v>7198</v>
      </c>
      <c r="AH4761" t="inlineStr">
        <is>
          <t>Quelle: Pollentia Properties</t>
        </is>
      </c>
    </row>
    <row r="4762">
      <c r="A4762" t="n">
        <v>4575</v>
      </c>
      <c r="B4762" t="inlineStr">
        <is>
          <t>Penthouse apartment for sale in Puerto Pollença sea facing</t>
        </is>
      </c>
      <c r="C4762" t="inlineStr">
        <is>
          <t>https://www.pollentiaproperties.com/en/property/id/878685-penthouse-apartment-for-sale-puerto-pollensa-front-line-views</t>
        </is>
      </c>
      <c r="E4762" t="n">
        <v>3</v>
      </c>
      <c r="H4762" t="n">
        <v>152</v>
      </c>
      <c r="J4762" t="inlineStr">
        <is>
          <t>Port de Pollença</t>
        </is>
      </c>
      <c r="K4762" t="n">
        <v>66.90000000000001</v>
      </c>
      <c r="L4762" t="n">
        <v>52</v>
      </c>
      <c r="M4762" t="n">
        <v>85</v>
      </c>
      <c r="N4762" t="n">
        <v>78</v>
      </c>
      <c r="O4762" t="n">
        <v>89.5</v>
      </c>
      <c r="P4762" t="n">
        <v>68</v>
      </c>
      <c r="Q4762" t="n">
        <v>82.7</v>
      </c>
      <c r="R4762" t="n">
        <v>75</v>
      </c>
      <c r="S4762" t="n">
        <v>2390000</v>
      </c>
      <c r="T4762" t="n">
        <v>15724</v>
      </c>
      <c r="AH4762" t="inlineStr">
        <is>
          <t>Quelle: Pollentia Properties</t>
        </is>
      </c>
    </row>
    <row r="4763">
      <c r="A4763" t="n">
        <v>4576</v>
      </c>
      <c r="B4763" t="inlineStr">
        <is>
          <t>Town house for sale in Es Molinar to be built in fantastic location</t>
        </is>
      </c>
      <c r="C4763" t="inlineStr">
        <is>
          <t>https://www.pollentiaproperties.com/en/property/id/877905-town-house-for-sale-es-molinar-to-be-built-fantastic-location</t>
        </is>
      </c>
      <c r="E4763" t="n">
        <v>3</v>
      </c>
      <c r="G4763" t="n">
        <v>162</v>
      </c>
      <c r="H4763" t="n">
        <v>201</v>
      </c>
      <c r="J4763" t="inlineStr">
        <is>
          <t>El Molinar</t>
        </is>
      </c>
      <c r="K4763" t="n">
        <v>8.6</v>
      </c>
      <c r="L4763" t="n">
        <v>13</v>
      </c>
      <c r="M4763" t="n">
        <v>51.3</v>
      </c>
      <c r="N4763" t="n">
        <v>46</v>
      </c>
      <c r="O4763" t="n">
        <v>37.5</v>
      </c>
      <c r="P4763" t="n">
        <v>34</v>
      </c>
      <c r="Q4763" t="n">
        <v>49</v>
      </c>
      <c r="R4763" t="n">
        <v>42</v>
      </c>
      <c r="S4763" t="n">
        <v>2790000</v>
      </c>
      <c r="T4763" t="n">
        <v>13881</v>
      </c>
      <c r="U4763" t="n">
        <v>17222</v>
      </c>
      <c r="AH4763" t="inlineStr">
        <is>
          <t>Quelle: Pollentia Properties</t>
        </is>
      </c>
    </row>
    <row r="4764">
      <c r="A4764" t="n">
        <v>4577</v>
      </c>
      <c r="B4764" t="inlineStr">
        <is>
          <t>Apartment for sale in Palma, in new and innovative complex in Nou Llevant</t>
        </is>
      </c>
      <c r="C4764" t="inlineStr">
        <is>
          <t>https://www.pollentiaproperties.com/en/property/id/877512-appartment-for-sale-palma-innovative-nou-llevant</t>
        </is>
      </c>
      <c r="E4764" t="n">
        <v>3</v>
      </c>
      <c r="H4764" t="n">
        <v>305</v>
      </c>
      <c r="J4764" t="inlineStr">
        <is>
          <t>Palma de Mallorca</t>
        </is>
      </c>
      <c r="K4764" t="n">
        <v>9.699999999999999</v>
      </c>
      <c r="L4764" t="n">
        <v>14</v>
      </c>
      <c r="M4764" t="n">
        <v>52.5</v>
      </c>
      <c r="N4764" t="n">
        <v>47</v>
      </c>
      <c r="O4764" t="n">
        <v>32.1</v>
      </c>
      <c r="P4764" t="n">
        <v>36</v>
      </c>
      <c r="Q4764" t="n">
        <v>50.2</v>
      </c>
      <c r="R4764" t="n">
        <v>44</v>
      </c>
      <c r="S4764" t="n">
        <v>3600000</v>
      </c>
      <c r="T4764" t="n">
        <v>11803</v>
      </c>
      <c r="AH4764" t="inlineStr">
        <is>
          <t>Quelle: Pollentia Properties</t>
        </is>
      </c>
    </row>
    <row r="4765">
      <c r="A4765" t="n">
        <v>4578</v>
      </c>
      <c r="B4765" t="inlineStr">
        <is>
          <t>Building plot for sale in Campanet with fantastic views</t>
        </is>
      </c>
      <c r="C4765" t="inlineStr">
        <is>
          <t>https://www.pollentiaproperties.com/en/property/id/876837-building-plot-for-sale-campanet-fantastic-views-great-opportunity</t>
        </is>
      </c>
      <c r="G4765" t="n">
        <v>401</v>
      </c>
      <c r="J4765" t="inlineStr">
        <is>
          <t>Campanet</t>
        </is>
      </c>
      <c r="S4765" t="n">
        <v>220000</v>
      </c>
      <c r="U4765" t="n">
        <v>549</v>
      </c>
      <c r="AH4765" t="inlineStr">
        <is>
          <t>Quelle: Pollentia Properties</t>
        </is>
      </c>
    </row>
    <row r="4766">
      <c r="A4766" t="n">
        <v>4579</v>
      </c>
      <c r="B4766" t="inlineStr">
        <is>
          <t>Villa for sale in Puerto Andratx, beautifully renovated</t>
        </is>
      </c>
      <c r="C4766" t="inlineStr">
        <is>
          <t>https://www.pollentiaproperties.com/en/property/id/876705-villa-for-sale-puerto-andratx-beautifully-renovated-garden-pool</t>
        </is>
      </c>
      <c r="E4766" t="n">
        <v>3</v>
      </c>
      <c r="G4766" t="n">
        <v>650</v>
      </c>
      <c r="H4766" t="n">
        <v>350</v>
      </c>
      <c r="J4766" t="inlineStr">
        <is>
          <t>Puerto Andratx</t>
        </is>
      </c>
      <c r="K4766" t="n">
        <v>43.5</v>
      </c>
      <c r="L4766" t="n">
        <v>38</v>
      </c>
      <c r="M4766" t="n">
        <v>86.2</v>
      </c>
      <c r="N4766" t="n">
        <v>71</v>
      </c>
      <c r="O4766" t="n">
        <v>6.3</v>
      </c>
      <c r="P4766" t="n">
        <v>11</v>
      </c>
      <c r="Q4766" t="n">
        <v>83.90000000000001</v>
      </c>
      <c r="R4766" t="n">
        <v>68</v>
      </c>
      <c r="S4766" t="n">
        <v>3550000</v>
      </c>
      <c r="T4766" t="n">
        <v>10143</v>
      </c>
      <c r="U4766" t="n">
        <v>5462</v>
      </c>
      <c r="AH4766" t="inlineStr">
        <is>
          <t>Quelle: Pollentia Properties</t>
        </is>
      </c>
    </row>
    <row r="4767">
      <c r="A4767" t="n">
        <v>4580</v>
      </c>
      <c r="B4767" t="inlineStr">
        <is>
          <t>Villa for sale in Génova near Palma currently under construction</t>
        </is>
      </c>
      <c r="C4767" t="inlineStr">
        <is>
          <t>https://www.pollentiaproperties.com/en/property/id/876282-villa-for-sale-genova-palma-contemporary-design-currently-under-construction</t>
        </is>
      </c>
      <c r="E4767" t="n">
        <v>4</v>
      </c>
      <c r="G4767" t="n">
        <v>1</v>
      </c>
      <c r="H4767" t="n">
        <v>515</v>
      </c>
      <c r="J4767" t="inlineStr">
        <is>
          <t>Génova</t>
        </is>
      </c>
      <c r="K4767" t="n">
        <v>18</v>
      </c>
      <c r="L4767" t="n">
        <v>20</v>
      </c>
      <c r="M4767" t="n">
        <v>60.7</v>
      </c>
      <c r="N4767" t="n">
        <v>53</v>
      </c>
      <c r="O4767" t="n">
        <v>25.4</v>
      </c>
      <c r="P4767" t="n">
        <v>26</v>
      </c>
      <c r="Q4767" t="n">
        <v>58.4</v>
      </c>
      <c r="R4767" t="n">
        <v>49</v>
      </c>
      <c r="S4767" t="n">
        <v>4150000</v>
      </c>
      <c r="T4767" t="n">
        <v>8058</v>
      </c>
      <c r="U4767" t="n">
        <v>4150000</v>
      </c>
      <c r="AH4767" t="inlineStr">
        <is>
          <t>Quelle: Pollentia Properties</t>
        </is>
      </c>
    </row>
    <row r="4768">
      <c r="A4768" t="n">
        <v>4581</v>
      </c>
      <c r="B4768" t="inlineStr">
        <is>
          <t>Town house for sale in Molinar, currently under construction</t>
        </is>
      </c>
      <c r="C4768" t="inlineStr">
        <is>
          <t>https://www.pollentiaproperties.com/en/property/id/876085-town-house-for-sale-molinar-starting-soon-trendy-location</t>
        </is>
      </c>
      <c r="E4768" t="n">
        <v>3</v>
      </c>
      <c r="G4768" t="n">
        <v>119</v>
      </c>
      <c r="H4768" t="n">
        <v>226</v>
      </c>
      <c r="J4768" t="inlineStr">
        <is>
          <t>El Molinar</t>
        </is>
      </c>
      <c r="K4768" t="n">
        <v>8.6</v>
      </c>
      <c r="L4768" t="n">
        <v>13</v>
      </c>
      <c r="M4768" t="n">
        <v>51.3</v>
      </c>
      <c r="N4768" t="n">
        <v>46</v>
      </c>
      <c r="O4768" t="n">
        <v>37.5</v>
      </c>
      <c r="P4768" t="n">
        <v>34</v>
      </c>
      <c r="Q4768" t="n">
        <v>49</v>
      </c>
      <c r="R4768" t="n">
        <v>42</v>
      </c>
      <c r="S4768" t="n">
        <v>2390000</v>
      </c>
      <c r="T4768" t="n">
        <v>10575</v>
      </c>
      <c r="U4768" t="n">
        <v>20084</v>
      </c>
      <c r="AH4768" t="inlineStr">
        <is>
          <t>Quelle: Pollentia Properties</t>
        </is>
      </c>
    </row>
    <row r="4769">
      <c r="A4769" t="n">
        <v>4582</v>
      </c>
      <c r="B4769" t="inlineStr">
        <is>
          <t>Town house for sale in Alcudia in historic centre</t>
        </is>
      </c>
      <c r="C4769" t="inlineStr">
        <is>
          <t>https://www.pollentiaproperties.com/en/property/id/875633-townhouse-for-sale-alcudia-old-town-terrace-patio</t>
        </is>
      </c>
      <c r="E4769" t="n">
        <v>3</v>
      </c>
      <c r="G4769" t="n">
        <v>60</v>
      </c>
      <c r="H4769" t="n">
        <v>132</v>
      </c>
      <c r="J4769" t="inlineStr">
        <is>
          <t>Alcudia Pueblo</t>
        </is>
      </c>
      <c r="S4769" t="n">
        <v>380000</v>
      </c>
      <c r="T4769" t="n">
        <v>2879</v>
      </c>
      <c r="U4769" t="n">
        <v>6333</v>
      </c>
      <c r="AH4769" t="inlineStr">
        <is>
          <t>Quelle: Pollentia Properties</t>
        </is>
      </c>
    </row>
    <row r="4770">
      <c r="A4770" t="n">
        <v>4583</v>
      </c>
      <c r="B4770" t="inlineStr">
        <is>
          <t>Town house for sale in Sa Pobla perfect for renovation in central location</t>
        </is>
      </c>
      <c r="C4770" t="inlineStr">
        <is>
          <t>https://www.pollentiaproperties.com/en/property/id/875608-town-house-for-sale--sa-pobla-perfect-renovation-project-central-location</t>
        </is>
      </c>
      <c r="E4770" t="n">
        <v>4</v>
      </c>
      <c r="G4770" t="n">
        <v>310</v>
      </c>
      <c r="H4770" t="n">
        <v>369</v>
      </c>
      <c r="J4770" t="inlineStr">
        <is>
          <t>Sa Pobla</t>
        </is>
      </c>
      <c r="S4770" t="n">
        <v>475000</v>
      </c>
      <c r="T4770" t="n">
        <v>1287</v>
      </c>
      <c r="U4770" t="n">
        <v>1532</v>
      </c>
      <c r="AH4770" t="inlineStr">
        <is>
          <t>Quelle: Pollentia Properties</t>
        </is>
      </c>
    </row>
    <row r="4771">
      <c r="A4771" t="n">
        <v>4584</v>
      </c>
      <c r="B4771" t="inlineStr">
        <is>
          <t>Country home for sale in Selva with project and building permit</t>
        </is>
      </c>
      <c r="C4771" t="inlineStr">
        <is>
          <t>https://www.pollentiaproperties.com/en/property/id/875101-country-home-selva-project-two-storey-house-building-permit</t>
        </is>
      </c>
      <c r="G4771" t="n">
        <v>42</v>
      </c>
      <c r="H4771" t="n">
        <v>223</v>
      </c>
      <c r="J4771" t="inlineStr">
        <is>
          <t>Selva</t>
        </is>
      </c>
      <c r="K4771" t="n">
        <v>44.5</v>
      </c>
      <c r="L4771" t="n">
        <v>41</v>
      </c>
      <c r="M4771" t="n">
        <v>62.6</v>
      </c>
      <c r="N4771" t="n">
        <v>67</v>
      </c>
      <c r="O4771" t="n">
        <v>67.09999999999999</v>
      </c>
      <c r="P4771" t="n">
        <v>57</v>
      </c>
      <c r="Q4771" t="n">
        <v>60.3</v>
      </c>
      <c r="R4771" t="n">
        <v>64</v>
      </c>
      <c r="S4771" t="n">
        <v>1490000</v>
      </c>
      <c r="T4771" t="n">
        <v>6682</v>
      </c>
      <c r="U4771" t="n">
        <v>35476</v>
      </c>
      <c r="AH4771" t="inlineStr">
        <is>
          <t>Quelle: Pollentia Properties</t>
        </is>
      </c>
    </row>
    <row r="4772">
      <c r="A4772" t="n">
        <v>4585</v>
      </c>
      <c r="B4772" t="inlineStr">
        <is>
          <t>Apartment for sale in Palma in renovated historical building in the old town</t>
        </is>
      </c>
      <c r="C4772" t="inlineStr">
        <is>
          <t>https://www.pollentiaproperties.com/en/property/id/874878-apartment-for-sale-palma-renovated-historical-building--old-town</t>
        </is>
      </c>
      <c r="E4772" t="n">
        <v>2</v>
      </c>
      <c r="H4772" t="n">
        <v>144</v>
      </c>
      <c r="J4772" t="inlineStr">
        <is>
          <t>Palma Casco Antiguo</t>
        </is>
      </c>
      <c r="K4772" t="n">
        <v>9.699999999999999</v>
      </c>
      <c r="L4772" t="n">
        <v>14</v>
      </c>
      <c r="M4772" t="n">
        <v>52.5</v>
      </c>
      <c r="N4772" t="n">
        <v>47</v>
      </c>
      <c r="O4772" t="n">
        <v>32.1</v>
      </c>
      <c r="P4772" t="n">
        <v>36</v>
      </c>
      <c r="Q4772" t="n">
        <v>50.2</v>
      </c>
      <c r="R4772" t="n">
        <v>44</v>
      </c>
      <c r="S4772" t="n">
        <v>1235000</v>
      </c>
      <c r="T4772" t="n">
        <v>8576</v>
      </c>
      <c r="AH4772" t="inlineStr">
        <is>
          <t>Quelle: Pollentia Properties</t>
        </is>
      </c>
    </row>
    <row r="4773">
      <c r="A4773" t="n">
        <v>4586</v>
      </c>
      <c r="B4773" t="inlineStr">
        <is>
          <t>Penthouse apartment for sale in Artá to be built soon</t>
        </is>
      </c>
      <c r="C4773" t="inlineStr">
        <is>
          <t>https://www.pollentiaproperties.com/en/property/id/874462-penthouse-apartment-for-sale-arta-to-be-built</t>
        </is>
      </c>
      <c r="E4773" t="n">
        <v>3</v>
      </c>
      <c r="H4773" t="n">
        <v>220</v>
      </c>
      <c r="J4773" t="inlineStr">
        <is>
          <t>Artà</t>
        </is>
      </c>
      <c r="K4773" t="n">
        <v>68.3</v>
      </c>
      <c r="L4773" t="n">
        <v>61</v>
      </c>
      <c r="M4773" t="n">
        <v>63.7</v>
      </c>
      <c r="N4773" t="n">
        <v>64</v>
      </c>
      <c r="O4773" t="n">
        <v>102.5</v>
      </c>
      <c r="P4773" t="n">
        <v>86</v>
      </c>
      <c r="Q4773" t="n">
        <v>61.4</v>
      </c>
      <c r="R4773" t="n">
        <v>61</v>
      </c>
      <c r="S4773" t="n">
        <v>1350000</v>
      </c>
      <c r="T4773" t="n">
        <v>6136</v>
      </c>
      <c r="AH4773" t="inlineStr">
        <is>
          <t>Quelle: Pollentia Properties</t>
        </is>
      </c>
    </row>
    <row r="4774">
      <c r="A4774" t="n">
        <v>4587</v>
      </c>
      <c r="B4774" t="inlineStr">
        <is>
          <t>Apartment for sale in Artá to be built soon</t>
        </is>
      </c>
      <c r="C4774" t="inlineStr">
        <is>
          <t>https://www.pollentiaproperties.com/en/property/id/874461-apartment-for-sale-arta-project-small-complex</t>
        </is>
      </c>
      <c r="E4774" t="n">
        <v>3</v>
      </c>
      <c r="H4774" t="n">
        <v>220</v>
      </c>
      <c r="J4774" t="inlineStr">
        <is>
          <t>Artà</t>
        </is>
      </c>
      <c r="K4774" t="n">
        <v>68.3</v>
      </c>
      <c r="L4774" t="n">
        <v>61</v>
      </c>
      <c r="M4774" t="n">
        <v>63.7</v>
      </c>
      <c r="N4774" t="n">
        <v>64</v>
      </c>
      <c r="O4774" t="n">
        <v>102.5</v>
      </c>
      <c r="P4774" t="n">
        <v>86</v>
      </c>
      <c r="Q4774" t="n">
        <v>61.4</v>
      </c>
      <c r="R4774" t="n">
        <v>61</v>
      </c>
      <c r="S4774" t="n">
        <v>1150000</v>
      </c>
      <c r="T4774" t="n">
        <v>5227</v>
      </c>
      <c r="AH4774" t="inlineStr">
        <is>
          <t>Quelle: Pollentia Properties</t>
        </is>
      </c>
    </row>
    <row r="4775">
      <c r="A4775" t="n">
        <v>4588</v>
      </c>
      <c r="B4775" t="inlineStr">
        <is>
          <t>Townhouse for sale in Muro, turnkey project under construction</t>
        </is>
      </c>
      <c r="C4775" t="inlineStr">
        <is>
          <t>https://www.pollentiaproperties.com/en/property/id/874328-town-house-for-sale-muro-currently-under-construction-turnkey-property</t>
        </is>
      </c>
      <c r="E4775" t="n">
        <v>4</v>
      </c>
      <c r="G4775" t="n">
        <v>271</v>
      </c>
      <c r="H4775" t="n">
        <v>298</v>
      </c>
      <c r="J4775" t="inlineStr">
        <is>
          <t>Muro</t>
        </is>
      </c>
      <c r="K4775" t="n">
        <v>58.2</v>
      </c>
      <c r="L4775" t="n">
        <v>46</v>
      </c>
      <c r="M4775" t="n">
        <v>60.2</v>
      </c>
      <c r="N4775" t="n">
        <v>64</v>
      </c>
      <c r="O4775" t="n">
        <v>80.8</v>
      </c>
      <c r="P4775" t="n">
        <v>62</v>
      </c>
      <c r="Q4775" t="n">
        <v>57.9</v>
      </c>
      <c r="R4775" t="n">
        <v>61</v>
      </c>
      <c r="S4775" t="n">
        <v>1650000</v>
      </c>
      <c r="T4775" t="n">
        <v>5537</v>
      </c>
      <c r="U4775" t="n">
        <v>6089</v>
      </c>
      <c r="AH4775" t="inlineStr">
        <is>
          <t>Quelle: Pollentia Properties</t>
        </is>
      </c>
    </row>
    <row r="4776">
      <c r="A4776" t="n">
        <v>4589</v>
      </c>
      <c r="B4776" t="inlineStr">
        <is>
          <t>Villa for sale in Portals Nous top quality property in stunning location</t>
        </is>
      </c>
      <c r="C4776" t="inlineStr">
        <is>
          <t>https://www.pollentiaproperties.com/en/property/id/874086-villa-for-sale-portals-nous-top-quality-property-stunning-location</t>
        </is>
      </c>
      <c r="E4776" t="n">
        <v>4</v>
      </c>
      <c r="G4776" t="n">
        <v>890</v>
      </c>
      <c r="H4776" t="n">
        <v>520</v>
      </c>
      <c r="J4776" t="inlineStr">
        <is>
          <t>Portals Nous</t>
        </is>
      </c>
      <c r="K4776" t="n">
        <v>23.8</v>
      </c>
      <c r="L4776" t="n">
        <v>23</v>
      </c>
      <c r="M4776" t="n">
        <v>66.59999999999999</v>
      </c>
      <c r="N4776" t="n">
        <v>56</v>
      </c>
      <c r="O4776" t="n">
        <v>21.8</v>
      </c>
      <c r="P4776" t="n">
        <v>22</v>
      </c>
      <c r="Q4776" t="n">
        <v>64.3</v>
      </c>
      <c r="R4776" t="n">
        <v>52</v>
      </c>
      <c r="S4776" t="n">
        <v>5900000</v>
      </c>
      <c r="T4776" t="n">
        <v>11346</v>
      </c>
      <c r="U4776" t="n">
        <v>6629</v>
      </c>
      <c r="AH4776" t="inlineStr">
        <is>
          <t>Quelle: Pollentia Properties</t>
        </is>
      </c>
    </row>
    <row r="4777">
      <c r="A4777" t="n">
        <v>4590</v>
      </c>
      <c r="B4777" t="inlineStr">
        <is>
          <t>Country house for sale in Esporles in stunning setting near Palma</t>
        </is>
      </c>
      <c r="C4777" t="inlineStr">
        <is>
          <t>https://www.pollentiaproperties.com/en/property/id/874085-country-house-for-sale-esporles-stunning-setting-proximity-palma</t>
        </is>
      </c>
      <c r="E4777" t="n">
        <v>5</v>
      </c>
      <c r="G4777" t="n">
        <v>8</v>
      </c>
      <c r="H4777" t="n">
        <v>350</v>
      </c>
      <c r="J4777" t="inlineStr">
        <is>
          <t>Esporles</t>
        </is>
      </c>
      <c r="K4777" t="n">
        <v>24.9</v>
      </c>
      <c r="L4777" t="n">
        <v>27</v>
      </c>
      <c r="M4777" t="n">
        <v>67.59999999999999</v>
      </c>
      <c r="N4777" t="n">
        <v>60</v>
      </c>
      <c r="O4777" t="n">
        <v>43.2</v>
      </c>
      <c r="P4777" t="n">
        <v>40</v>
      </c>
      <c r="Q4777" t="n">
        <v>65.3</v>
      </c>
      <c r="R4777" t="n">
        <v>57</v>
      </c>
      <c r="S4777" t="n">
        <v>1650000</v>
      </c>
      <c r="T4777" t="n">
        <v>4714</v>
      </c>
      <c r="U4777" t="n">
        <v>206250</v>
      </c>
      <c r="AH4777" t="inlineStr">
        <is>
          <t>Quelle: Pollentia Properties</t>
        </is>
      </c>
    </row>
    <row r="4778">
      <c r="A4778" t="n">
        <v>4591</v>
      </c>
      <c r="B4778" t="inlineStr">
        <is>
          <t>Building plot for sale in Puerto Alcudia new project with permit</t>
        </is>
      </c>
      <c r="C4778" t="inlineStr">
        <is>
          <t>https://www.pollentiaproperties.com/en/property/id/873954-building-plot-for-sale-puerto-alcudia-new-project-permit</t>
        </is>
      </c>
      <c r="E4778" t="n">
        <v>3</v>
      </c>
      <c r="G4778" t="n">
        <v>335</v>
      </c>
      <c r="H4778" t="n">
        <v>130</v>
      </c>
      <c r="J4778" t="inlineStr">
        <is>
          <t>Puerto de Alcúdia</t>
        </is>
      </c>
      <c r="S4778" t="n">
        <v>475000</v>
      </c>
      <c r="T4778" t="n">
        <v>3654</v>
      </c>
      <c r="U4778" t="n">
        <v>1418</v>
      </c>
      <c r="AH4778" t="inlineStr">
        <is>
          <t>Quelle: Pollentia Properties</t>
        </is>
      </c>
    </row>
    <row r="4779">
      <c r="A4779" t="n">
        <v>4592</v>
      </c>
      <c r="B4779" t="inlineStr">
        <is>
          <t>Town house for sale in Pollensa designer property in central location</t>
        </is>
      </c>
      <c r="C4779" t="inlineStr">
        <is>
          <t>https://www.pollentiaproperties.com/en/property/id/873953-town-house-for-sale-pollensa-designer-property-central-location</t>
        </is>
      </c>
      <c r="E4779" t="n">
        <v>3</v>
      </c>
      <c r="G4779" t="n">
        <v>63</v>
      </c>
      <c r="H4779" t="n">
        <v>154</v>
      </c>
      <c r="J4779" t="inlineStr">
        <is>
          <t>Pollença Pueblo</t>
        </is>
      </c>
      <c r="K4779" t="n">
        <v>60.6</v>
      </c>
      <c r="L4779" t="n">
        <v>47</v>
      </c>
      <c r="M4779" t="n">
        <v>78.7</v>
      </c>
      <c r="N4779" t="n">
        <v>74</v>
      </c>
      <c r="O4779" t="n">
        <v>83.2</v>
      </c>
      <c r="P4779" t="n">
        <v>63</v>
      </c>
      <c r="Q4779" t="n">
        <v>76.40000000000001</v>
      </c>
      <c r="R4779" t="n">
        <v>70</v>
      </c>
      <c r="S4779" t="n">
        <v>1400000</v>
      </c>
      <c r="T4779" t="n">
        <v>9091</v>
      </c>
      <c r="U4779" t="n">
        <v>22222</v>
      </c>
      <c r="AH4779" t="inlineStr">
        <is>
          <t>Quelle: Pollentia Properties</t>
        </is>
      </c>
    </row>
    <row r="4780">
      <c r="A4780" t="n">
        <v>4593</v>
      </c>
      <c r="B4780" t="inlineStr">
        <is>
          <t>Country home for sale in Sencelles, turnkey under construction</t>
        </is>
      </c>
      <c r="C4780" t="inlineStr">
        <is>
          <t>https://www.pollentiaproperties.com/en/property/id/873807-country-home-for-sale-sencelles-turnkey-house</t>
        </is>
      </c>
      <c r="E4780" t="n">
        <v>4</v>
      </c>
      <c r="G4780" t="n">
        <v>17</v>
      </c>
      <c r="H4780" t="n">
        <v>525</v>
      </c>
      <c r="J4780" t="inlineStr">
        <is>
          <t>Sencelles</t>
        </is>
      </c>
      <c r="K4780" t="n">
        <v>34.2</v>
      </c>
      <c r="L4780" t="n">
        <v>32</v>
      </c>
      <c r="M4780" t="n">
        <v>46.4</v>
      </c>
      <c r="N4780" t="n">
        <v>50</v>
      </c>
      <c r="O4780" t="n">
        <v>56.8</v>
      </c>
      <c r="P4780" t="n">
        <v>48</v>
      </c>
      <c r="Q4780" t="n">
        <v>44.1</v>
      </c>
      <c r="R4780" t="n">
        <v>46</v>
      </c>
      <c r="S4780" t="n">
        <v>3200000</v>
      </c>
      <c r="T4780" t="n">
        <v>6095</v>
      </c>
      <c r="U4780" t="n">
        <v>188235</v>
      </c>
      <c r="AH4780" t="inlineStr">
        <is>
          <t>Quelle: Pollentia Properties</t>
        </is>
      </c>
    </row>
    <row r="4781">
      <c r="A4781" t="n">
        <v>4594</v>
      </c>
      <c r="B4781" t="inlineStr">
        <is>
          <t>Building plot for sale in Gotmar with enormous potential</t>
        </is>
      </c>
      <c r="C4781" t="inlineStr">
        <is>
          <t>https://www.pollentiaproperties.com/en/property/id/873802-building-plot-for-sale-gotmar-enormous-potential-stunning-location</t>
        </is>
      </c>
      <c r="G4781" t="n">
        <v>2</v>
      </c>
      <c r="J4781" t="inlineStr">
        <is>
          <t>Gotmar</t>
        </is>
      </c>
      <c r="K4781" t="n">
        <v>66.2</v>
      </c>
      <c r="L4781" t="n">
        <v>50</v>
      </c>
      <c r="M4781" t="n">
        <v>84.3</v>
      </c>
      <c r="N4781" t="n">
        <v>77</v>
      </c>
      <c r="O4781" t="n">
        <v>88.8</v>
      </c>
      <c r="P4781" t="n">
        <v>66</v>
      </c>
      <c r="Q4781" t="n">
        <v>82</v>
      </c>
      <c r="R4781" t="n">
        <v>73</v>
      </c>
      <c r="S4781" t="n">
        <v>1000000</v>
      </c>
      <c r="U4781" t="n">
        <v>500000</v>
      </c>
      <c r="AH4781" t="inlineStr">
        <is>
          <t>Quelle: Pollentia Properties</t>
        </is>
      </c>
    </row>
    <row r="4782">
      <c r="A4782" t="n">
        <v>4595</v>
      </c>
      <c r="B4782" t="inlineStr">
        <is>
          <t>Building plot for sale in Gotmar residential area of Puerto Pollensa</t>
        </is>
      </c>
      <c r="C4782" t="inlineStr">
        <is>
          <t>https://www.pollentiaproperties.com/en/property/id/873800-building-plot-for-sale-gotmar-residential-area-puerto-polllensa-project-villa</t>
        </is>
      </c>
      <c r="E4782" t="n">
        <v>5</v>
      </c>
      <c r="G4782" t="n">
        <v>1</v>
      </c>
      <c r="H4782" t="n">
        <v>568</v>
      </c>
      <c r="J4782" t="inlineStr">
        <is>
          <t>Gotmar</t>
        </is>
      </c>
      <c r="K4782" t="n">
        <v>66.2</v>
      </c>
      <c r="L4782" t="n">
        <v>50</v>
      </c>
      <c r="M4782" t="n">
        <v>84.3</v>
      </c>
      <c r="N4782" t="n">
        <v>77</v>
      </c>
      <c r="O4782" t="n">
        <v>88.8</v>
      </c>
      <c r="P4782" t="n">
        <v>66</v>
      </c>
      <c r="Q4782" t="n">
        <v>82</v>
      </c>
      <c r="R4782" t="n">
        <v>73</v>
      </c>
      <c r="S4782" t="n">
        <v>1500000</v>
      </c>
      <c r="T4782" t="n">
        <v>2641</v>
      </c>
      <c r="U4782" t="n">
        <v>1500000</v>
      </c>
      <c r="AH4782" t="inlineStr">
        <is>
          <t>Quelle: Pollentia Properties</t>
        </is>
      </c>
    </row>
    <row r="4783">
      <c r="A4783" t="n">
        <v>4596</v>
      </c>
      <c r="B4783" t="inlineStr">
        <is>
          <t>Fantastic villa for sale in Gotmar Puerto Pollença</t>
        </is>
      </c>
      <c r="C4783" t="inlineStr">
        <is>
          <t>https://www.pollentiaproperties.com/en/property/id/873536-villa-for-sale-puerto-pollensa-recently-finished-contemporary-design</t>
        </is>
      </c>
      <c r="E4783" t="n">
        <v>6</v>
      </c>
      <c r="G4783" t="n">
        <v>1</v>
      </c>
      <c r="H4783" t="n">
        <v>588</v>
      </c>
      <c r="J4783" t="inlineStr">
        <is>
          <t>Gotmar</t>
        </is>
      </c>
      <c r="K4783" t="n">
        <v>66.2</v>
      </c>
      <c r="L4783" t="n">
        <v>50</v>
      </c>
      <c r="M4783" t="n">
        <v>84.3</v>
      </c>
      <c r="N4783" t="n">
        <v>77</v>
      </c>
      <c r="O4783" t="n">
        <v>88.8</v>
      </c>
      <c r="P4783" t="n">
        <v>66</v>
      </c>
      <c r="Q4783" t="n">
        <v>82</v>
      </c>
      <c r="R4783" t="n">
        <v>73</v>
      </c>
      <c r="S4783" t="n">
        <v>3950000</v>
      </c>
      <c r="T4783" t="n">
        <v>6718</v>
      </c>
      <c r="U4783" t="n">
        <v>3950000</v>
      </c>
      <c r="AH4783" t="inlineStr">
        <is>
          <t>Quelle: Pollentia Properties</t>
        </is>
      </c>
    </row>
    <row r="4784">
      <c r="A4784" t="n">
        <v>4597</v>
      </c>
      <c r="B4784" t="inlineStr">
        <is>
          <t>Villa for sale in Gotmar area of Puerto Pollensa under construction</t>
        </is>
      </c>
      <c r="C4784" t="inlineStr">
        <is>
          <t>https://www.pollentiaproperties.com/en/property/id/873535-villa-for-sale-gotmar-area-puerto-pollensa-under-construction</t>
        </is>
      </c>
      <c r="E4784" t="n">
        <v>5</v>
      </c>
      <c r="G4784" t="n">
        <v>1</v>
      </c>
      <c r="H4784" t="n">
        <v>500</v>
      </c>
      <c r="J4784" t="inlineStr">
        <is>
          <t>Gotmar</t>
        </is>
      </c>
      <c r="K4784" t="n">
        <v>66.2</v>
      </c>
      <c r="L4784" t="n">
        <v>50</v>
      </c>
      <c r="M4784" t="n">
        <v>84.3</v>
      </c>
      <c r="N4784" t="n">
        <v>77</v>
      </c>
      <c r="O4784" t="n">
        <v>88.8</v>
      </c>
      <c r="P4784" t="n">
        <v>66</v>
      </c>
      <c r="Q4784" t="n">
        <v>82</v>
      </c>
      <c r="R4784" t="n">
        <v>73</v>
      </c>
      <c r="S4784" t="n">
        <v>3950000</v>
      </c>
      <c r="T4784" t="n">
        <v>7900</v>
      </c>
      <c r="U4784" t="n">
        <v>3950000</v>
      </c>
      <c r="AH4784" t="inlineStr">
        <is>
          <t>Quelle: Pollentia Properties</t>
        </is>
      </c>
    </row>
    <row r="4785">
      <c r="A4785" t="n">
        <v>4598</v>
      </c>
      <c r="B4785" t="inlineStr">
        <is>
          <t>Townhouse for sale in Buger in perfect location with holiday rental license</t>
        </is>
      </c>
      <c r="C4785" t="inlineStr">
        <is>
          <t>https://www.pollentiaproperties.com/en/property/id/872694-townhouse-for-sale-buger-perfect-location-garden-private-pool-rental-license</t>
        </is>
      </c>
      <c r="E4785" t="n">
        <v>4</v>
      </c>
      <c r="G4785" t="n">
        <v>656</v>
      </c>
      <c r="H4785" t="n">
        <v>235</v>
      </c>
      <c r="J4785" t="inlineStr">
        <is>
          <t>Búger</t>
        </is>
      </c>
      <c r="K4785" t="n">
        <v>46.1</v>
      </c>
      <c r="L4785" t="n">
        <v>35</v>
      </c>
      <c r="M4785" t="n">
        <v>64.2</v>
      </c>
      <c r="N4785" t="n">
        <v>62</v>
      </c>
      <c r="O4785" t="n">
        <v>68.7</v>
      </c>
      <c r="P4785" t="n">
        <v>51</v>
      </c>
      <c r="Q4785" t="n">
        <v>61.9</v>
      </c>
      <c r="R4785" t="n">
        <v>58</v>
      </c>
      <c r="S4785" t="n">
        <v>1100000</v>
      </c>
      <c r="T4785" t="n">
        <v>4681</v>
      </c>
      <c r="U4785" t="n">
        <v>1677</v>
      </c>
      <c r="AH4785" t="inlineStr">
        <is>
          <t>Quelle: Pollentia Properties</t>
        </is>
      </c>
    </row>
    <row r="4786">
      <c r="A4786" t="n">
        <v>4599</v>
      </c>
      <c r="B4786" t="inlineStr">
        <is>
          <t>Country building plot in Selva with project and building permit</t>
        </is>
      </c>
      <c r="C4786" t="inlineStr">
        <is>
          <t>https://www.pollentiaproperties.com/en/property/id/872693-country-building-plot-selva-project-two-storey-house-building-permit</t>
        </is>
      </c>
      <c r="G4786" t="n">
        <v>42</v>
      </c>
      <c r="H4786" t="n">
        <v>223</v>
      </c>
      <c r="J4786" t="inlineStr">
        <is>
          <t>Selva</t>
        </is>
      </c>
      <c r="K4786" t="n">
        <v>44.5</v>
      </c>
      <c r="L4786" t="n">
        <v>41</v>
      </c>
      <c r="M4786" t="n">
        <v>62.6</v>
      </c>
      <c r="N4786" t="n">
        <v>67</v>
      </c>
      <c r="O4786" t="n">
        <v>67.09999999999999</v>
      </c>
      <c r="P4786" t="n">
        <v>57</v>
      </c>
      <c r="Q4786" t="n">
        <v>60.3</v>
      </c>
      <c r="R4786" t="n">
        <v>64</v>
      </c>
      <c r="S4786" t="n">
        <v>1490000</v>
      </c>
      <c r="T4786" t="n">
        <v>6682</v>
      </c>
      <c r="U4786" t="n">
        <v>35476</v>
      </c>
      <c r="AH4786" t="inlineStr">
        <is>
          <t>Quelle: Pollentia Properties</t>
        </is>
      </c>
    </row>
    <row r="4787">
      <c r="A4787" t="n">
        <v>4600</v>
      </c>
      <c r="B4787" t="inlineStr">
        <is>
          <t>Villa for sale in Palmanyola, Mallorca consisting of two identical homes</t>
        </is>
      </c>
      <c r="C4787" t="inlineStr">
        <is>
          <t>https://www.pollentiaproperties.com/en/property/id/872600-villa-for-sale-palmanyola-fantastic-outdoor-area-views-pool</t>
        </is>
      </c>
      <c r="E4787" t="n">
        <v>8</v>
      </c>
      <c r="G4787" t="n">
        <v>1</v>
      </c>
      <c r="H4787" t="n">
        <v>590</v>
      </c>
      <c r="J4787" t="inlineStr">
        <is>
          <t>Palmanyola</t>
        </is>
      </c>
      <c r="K4787" t="n">
        <v>19.1</v>
      </c>
      <c r="L4787" t="n">
        <v>22</v>
      </c>
      <c r="M4787" t="n">
        <v>61.8</v>
      </c>
      <c r="N4787" t="n">
        <v>55</v>
      </c>
      <c r="O4787" t="n">
        <v>38.7</v>
      </c>
      <c r="P4787" t="n">
        <v>35</v>
      </c>
      <c r="Q4787" t="n">
        <v>59.5</v>
      </c>
      <c r="R4787" t="n">
        <v>51</v>
      </c>
      <c r="S4787" t="n">
        <v>2190000</v>
      </c>
      <c r="T4787" t="n">
        <v>3712</v>
      </c>
      <c r="U4787" t="n">
        <v>2190000</v>
      </c>
      <c r="AH4787" t="inlineStr">
        <is>
          <t>Quelle: Pollentia Properties</t>
        </is>
      </c>
    </row>
    <row r="4788">
      <c r="A4788" t="n">
        <v>4601</v>
      </c>
      <c r="B4788" t="inlineStr">
        <is>
          <t>Villa for sale in Puerto Andratx with luxury and sophisticated design</t>
        </is>
      </c>
      <c r="C4788" t="inlineStr">
        <is>
          <t>https://www.pollentiaproperties.com/en/property/id/872187-villa-for-sale-puerto-andratx-luxury-sophisticated-design</t>
        </is>
      </c>
      <c r="E4788" t="n">
        <v>4</v>
      </c>
      <c r="G4788" t="n">
        <v>1</v>
      </c>
      <c r="H4788" t="n">
        <v>340</v>
      </c>
      <c r="J4788" t="inlineStr">
        <is>
          <t>Puerto Andratx</t>
        </is>
      </c>
      <c r="K4788" t="n">
        <v>43.5</v>
      </c>
      <c r="L4788" t="n">
        <v>38</v>
      </c>
      <c r="M4788" t="n">
        <v>86.2</v>
      </c>
      <c r="N4788" t="n">
        <v>71</v>
      </c>
      <c r="O4788" t="n">
        <v>6.3</v>
      </c>
      <c r="P4788" t="n">
        <v>11</v>
      </c>
      <c r="Q4788" t="n">
        <v>83.90000000000001</v>
      </c>
      <c r="R4788" t="n">
        <v>68</v>
      </c>
      <c r="S4788" t="n">
        <v>3950000</v>
      </c>
      <c r="T4788" t="n">
        <v>11618</v>
      </c>
      <c r="U4788" t="n">
        <v>3950000</v>
      </c>
      <c r="AH4788" t="inlineStr">
        <is>
          <t>Quelle: Pollentia Properties</t>
        </is>
      </c>
    </row>
    <row r="4789">
      <c r="A4789" t="n">
        <v>4602</v>
      </c>
      <c r="B4789" t="inlineStr">
        <is>
          <t>Penthouse for sale in Puerto Alcudia, brand new with private roof terrace</t>
        </is>
      </c>
      <c r="C4789" t="inlineStr">
        <is>
          <t>https://www.pollentiaproperties.com/en/property/id/871811-penthouse-for-sale-puerto-alcudia-brand-new-first-occupancy</t>
        </is>
      </c>
      <c r="E4789" t="n">
        <v>3</v>
      </c>
      <c r="H4789" t="n">
        <v>263</v>
      </c>
      <c r="J4789" t="inlineStr">
        <is>
          <t>Puerto de Alcúdia</t>
        </is>
      </c>
      <c r="K4789" t="n">
        <v>62.1</v>
      </c>
      <c r="L4789" t="n">
        <v>46</v>
      </c>
      <c r="M4789" t="n">
        <v>80.2</v>
      </c>
      <c r="N4789" t="n">
        <v>73</v>
      </c>
      <c r="O4789" t="n">
        <v>84.7</v>
      </c>
      <c r="P4789" t="n">
        <v>62</v>
      </c>
      <c r="Q4789" t="n">
        <v>77.90000000000001</v>
      </c>
      <c r="R4789" t="n">
        <v>69</v>
      </c>
      <c r="S4789" t="n">
        <v>1300000</v>
      </c>
      <c r="T4789" t="n">
        <v>4943</v>
      </c>
      <c r="AH4789" t="inlineStr">
        <is>
          <t>Quelle: Pollentia Properties</t>
        </is>
      </c>
    </row>
    <row r="4790">
      <c r="A4790" t="n">
        <v>4603</v>
      </c>
      <c r="B4790" t="inlineStr">
        <is>
          <t>Town house for sale in Sóller in central location with great potential</t>
        </is>
      </c>
      <c r="C4790" t="inlineStr">
        <is>
          <t>https://www.pollentiaproperties.com/en/property/id/870195-town-house-for-sale--soller-central-location-great-potential-renovation</t>
        </is>
      </c>
      <c r="E4790" t="n">
        <v>6</v>
      </c>
      <c r="G4790" t="n">
        <v>708</v>
      </c>
      <c r="H4790" t="n">
        <v>825</v>
      </c>
      <c r="J4790" t="inlineStr">
        <is>
          <t>Sóller</t>
        </is>
      </c>
      <c r="K4790" t="n">
        <v>32.5</v>
      </c>
      <c r="L4790" t="n">
        <v>38</v>
      </c>
      <c r="M4790" t="n">
        <v>75.2</v>
      </c>
      <c r="N4790" t="n">
        <v>70</v>
      </c>
      <c r="O4790" t="n">
        <v>52.1</v>
      </c>
      <c r="P4790" t="n">
        <v>51</v>
      </c>
      <c r="Q4790" t="n">
        <v>72.90000000000001</v>
      </c>
      <c r="R4790" t="n">
        <v>67</v>
      </c>
      <c r="S4790" t="n">
        <v>3300000</v>
      </c>
      <c r="T4790" t="n">
        <v>4000</v>
      </c>
      <c r="U4790" t="n">
        <v>4661</v>
      </c>
      <c r="AH4790" t="inlineStr">
        <is>
          <t>Quelle: Pollentia Properties</t>
        </is>
      </c>
    </row>
    <row r="4791">
      <c r="A4791" t="n">
        <v>4604</v>
      </c>
      <c r="B4791" t="inlineStr">
        <is>
          <t>Apartment for sale in Puerto Alcudia, brand new for first occupancy</t>
        </is>
      </c>
      <c r="C4791" t="inlineStr">
        <is>
          <t>https://www.pollentiaproperties.com/en/property/id/870052-apartment-for-sale-puerto-alcudia-brand-new-first-occupancy</t>
        </is>
      </c>
      <c r="E4791" t="n">
        <v>3</v>
      </c>
      <c r="H4791" t="n">
        <v>110</v>
      </c>
      <c r="J4791" t="inlineStr">
        <is>
          <t>Puerto de Alcúdia</t>
        </is>
      </c>
      <c r="S4791" t="n">
        <v>600000</v>
      </c>
      <c r="T4791" t="n">
        <v>5455</v>
      </c>
      <c r="AH4791" t="inlineStr">
        <is>
          <t>Quelle: Pollentia Properties</t>
        </is>
      </c>
    </row>
    <row r="4792">
      <c r="A4792" t="n">
        <v>4605</v>
      </c>
      <c r="B4792" t="inlineStr">
        <is>
          <t>Villa for sale in Establiments turnkey project wih garden and pool</t>
        </is>
      </c>
      <c r="C4792" t="inlineStr">
        <is>
          <t>https://www.pollentiaproperties.com/en/property/id/869624-villa-for-sale-establiments-turnkey-project-garden-pool.</t>
        </is>
      </c>
      <c r="E4792" t="n">
        <v>3</v>
      </c>
      <c r="G4792" t="n">
        <v>536</v>
      </c>
      <c r="H4792" t="n">
        <v>278</v>
      </c>
      <c r="J4792" t="inlineStr">
        <is>
          <t>Establiments</t>
        </is>
      </c>
      <c r="K4792" t="n">
        <v>19</v>
      </c>
      <c r="L4792" t="n">
        <v>25</v>
      </c>
      <c r="M4792" t="n">
        <v>61.8</v>
      </c>
      <c r="N4792" t="n">
        <v>58</v>
      </c>
      <c r="O4792" t="n">
        <v>35.7</v>
      </c>
      <c r="P4792" t="n">
        <v>39</v>
      </c>
      <c r="Q4792" t="n">
        <v>59.5</v>
      </c>
      <c r="R4792" t="n">
        <v>55</v>
      </c>
      <c r="S4792" t="n">
        <v>2950000</v>
      </c>
      <c r="T4792" t="n">
        <v>10612</v>
      </c>
      <c r="U4792" t="n">
        <v>5504</v>
      </c>
      <c r="AH4792" t="inlineStr">
        <is>
          <t>Quelle: Pollentia Properties</t>
        </is>
      </c>
    </row>
    <row r="4793">
      <c r="A4793" t="n">
        <v>4606</v>
      </c>
      <c r="B4793" t="inlineStr">
        <is>
          <t>Townhouse for sale in Santanyi, in prime central location</t>
        </is>
      </c>
      <c r="C4793" t="inlineStr">
        <is>
          <t>https://www.pollentiaproperties.com/en/property/id/869353-townhouse-for-sale-santanyi-great-investment-central-location</t>
        </is>
      </c>
      <c r="E4793" t="n">
        <v>6</v>
      </c>
      <c r="G4793" t="n">
        <v>325</v>
      </c>
      <c r="H4793" t="n">
        <v>559</v>
      </c>
      <c r="J4793" t="inlineStr">
        <is>
          <t>Santanyí Pueblo</t>
        </is>
      </c>
      <c r="K4793" t="n">
        <v>45.4</v>
      </c>
      <c r="L4793" t="n">
        <v>39</v>
      </c>
      <c r="M4793" t="n">
        <v>9</v>
      </c>
      <c r="N4793" t="n">
        <v>13</v>
      </c>
      <c r="O4793" t="n">
        <v>83.59999999999999</v>
      </c>
      <c r="P4793" t="n">
        <v>67</v>
      </c>
      <c r="Q4793" t="n">
        <v>9.699999999999999</v>
      </c>
      <c r="R4793" t="n">
        <v>15</v>
      </c>
      <c r="S4793" t="n">
        <v>1150000</v>
      </c>
      <c r="T4793" t="n">
        <v>2057</v>
      </c>
      <c r="U4793" t="n">
        <v>3538</v>
      </c>
      <c r="AH4793" t="inlineStr">
        <is>
          <t>Quelle: Pollentia Properties</t>
        </is>
      </c>
    </row>
    <row r="4794">
      <c r="A4794" t="n">
        <v>4607</v>
      </c>
      <c r="B4794" t="inlineStr">
        <is>
          <t>Country house for sale in Pollensa, with garden and pool on large plot</t>
        </is>
      </c>
      <c r="C4794" t="inlineStr">
        <is>
          <t>https://www.pollentiaproperties.com/en/property/id/869283-country-house-for-sale-pollensa-garden-pool-large-plot</t>
        </is>
      </c>
      <c r="E4794" t="n">
        <v>3</v>
      </c>
      <c r="G4794" t="n">
        <v>14</v>
      </c>
      <c r="H4794" t="n">
        <v>444</v>
      </c>
      <c r="J4794" t="inlineStr">
        <is>
          <t>Pollença</t>
        </is>
      </c>
      <c r="K4794" t="n">
        <v>60.6</v>
      </c>
      <c r="L4794" t="n">
        <v>47</v>
      </c>
      <c r="M4794" t="n">
        <v>78.7</v>
      </c>
      <c r="N4794" t="n">
        <v>74</v>
      </c>
      <c r="O4794" t="n">
        <v>83.2</v>
      </c>
      <c r="P4794" t="n">
        <v>63</v>
      </c>
      <c r="Q4794" t="n">
        <v>76.40000000000001</v>
      </c>
      <c r="R4794" t="n">
        <v>70</v>
      </c>
      <c r="S4794" t="n">
        <v>1800000</v>
      </c>
      <c r="T4794" t="n">
        <v>4054</v>
      </c>
      <c r="U4794" t="n">
        <v>128571</v>
      </c>
      <c r="AH4794" t="inlineStr">
        <is>
          <t>Quelle: Pollentia Properties</t>
        </is>
      </c>
    </row>
    <row r="4795">
      <c r="A4795" t="n">
        <v>4608</v>
      </c>
      <c r="B4795" t="inlineStr">
        <is>
          <t>Villa for sale in Alcanada with garden, pool and spectacular views</t>
        </is>
      </c>
      <c r="C4795" t="inlineStr">
        <is>
          <t>https://www.pollentiaproperties.com/en/property/id/868979-villa-for-sale-alcanada-garden-pool-spectacular-views</t>
        </is>
      </c>
      <c r="E4795" t="n">
        <v>5</v>
      </c>
      <c r="G4795" t="n">
        <v>1</v>
      </c>
      <c r="H4795" t="n">
        <v>543</v>
      </c>
      <c r="J4795" t="inlineStr">
        <is>
          <t>Alcanada</t>
        </is>
      </c>
      <c r="K4795" t="n">
        <v>64.2</v>
      </c>
      <c r="L4795" t="n">
        <v>48</v>
      </c>
      <c r="M4795" t="n">
        <v>82.3</v>
      </c>
      <c r="N4795" t="n">
        <v>75</v>
      </c>
      <c r="O4795" t="n">
        <v>86.8</v>
      </c>
      <c r="P4795" t="n">
        <v>64</v>
      </c>
      <c r="Q4795" t="n">
        <v>80</v>
      </c>
      <c r="R4795" t="n">
        <v>71</v>
      </c>
      <c r="S4795" t="n">
        <v>2275000</v>
      </c>
      <c r="T4795" t="n">
        <v>4190</v>
      </c>
      <c r="U4795" t="n">
        <v>2275000</v>
      </c>
      <c r="AH4795" t="inlineStr">
        <is>
          <t>Quelle: Pollentia Properties</t>
        </is>
      </c>
    </row>
    <row r="4796">
      <c r="A4796" t="n">
        <v>4609</v>
      </c>
      <c r="B4796" t="inlineStr">
        <is>
          <t>Villa for sale in El Vila in hillside location with great views</t>
        </is>
      </c>
      <c r="C4796" t="inlineStr">
        <is>
          <t>https://www.pollentiaproperties.com/en/property/id/868858-villa-for-sale-el-vila-hillside-location-great-views-garden-pool</t>
        </is>
      </c>
      <c r="E4796" t="n">
        <v>5</v>
      </c>
      <c r="G4796" t="n">
        <v>946</v>
      </c>
      <c r="H4796" t="n">
        <v>621</v>
      </c>
      <c r="J4796" t="inlineStr">
        <is>
          <t>El Vila</t>
        </is>
      </c>
      <c r="K4796" t="n">
        <v>64.90000000000001</v>
      </c>
      <c r="L4796" t="n">
        <v>49</v>
      </c>
      <c r="M4796" t="n">
        <v>83.09999999999999</v>
      </c>
      <c r="N4796" t="n">
        <v>76</v>
      </c>
      <c r="O4796" t="n">
        <v>87.5</v>
      </c>
      <c r="P4796" t="n">
        <v>65</v>
      </c>
      <c r="Q4796" t="n">
        <v>80.8</v>
      </c>
      <c r="R4796" t="n">
        <v>72</v>
      </c>
      <c r="S4796" t="n">
        <v>1800000</v>
      </c>
      <c r="T4796" t="n">
        <v>2899</v>
      </c>
      <c r="U4796" t="n">
        <v>1903</v>
      </c>
      <c r="AH4796" t="inlineStr">
        <is>
          <t>Quelle: Pollentia Properties</t>
        </is>
      </c>
    </row>
    <row r="4797">
      <c r="A4797" t="n">
        <v>4610</v>
      </c>
      <c r="B4797" t="inlineStr">
        <is>
          <t>Country house for sale in Es Trenc newly built with ecofriendly features</t>
        </is>
      </c>
      <c r="C4797" t="inlineStr">
        <is>
          <t>https://www.pollentiaproperties.com/en/property/id/868529-country-house-for-sale-es-trenc-newly-built-environmentally-frendly-features</t>
        </is>
      </c>
      <c r="E4797" t="n">
        <v>5</v>
      </c>
      <c r="G4797" t="n">
        <v>33</v>
      </c>
      <c r="H4797" t="n">
        <v>372</v>
      </c>
      <c r="J4797" t="inlineStr">
        <is>
          <t>Es Trenc</t>
        </is>
      </c>
      <c r="K4797" t="n">
        <v>44.7</v>
      </c>
      <c r="L4797" t="n">
        <v>42</v>
      </c>
      <c r="M4797" t="n">
        <v>11.2</v>
      </c>
      <c r="N4797" t="n">
        <v>18</v>
      </c>
      <c r="O4797" t="n">
        <v>82.90000000000001</v>
      </c>
      <c r="P4797" t="n">
        <v>70</v>
      </c>
      <c r="Q4797" t="n">
        <v>8.9</v>
      </c>
      <c r="R4797" t="n">
        <v>14</v>
      </c>
      <c r="AH4797" t="inlineStr">
        <is>
          <t>Quelle: Pollentia Properties</t>
        </is>
      </c>
    </row>
    <row r="4798">
      <c r="A4798" t="n">
        <v>4611</v>
      </c>
      <c r="B4798" t="inlineStr">
        <is>
          <t>Country house for sale in Colonia de Sant Pere with guest house and pool</t>
        </is>
      </c>
      <c r="C4798" t="inlineStr">
        <is>
          <t>https://www.pollentiaproperties.com/en/property/id/868320-country-house-for-sale-colonia-sant-pere-guest-house-pool</t>
        </is>
      </c>
      <c r="E4798" t="n">
        <v>6</v>
      </c>
      <c r="G4798" t="n">
        <v>14</v>
      </c>
      <c r="H4798" t="n">
        <v>560</v>
      </c>
      <c r="J4798" t="inlineStr">
        <is>
          <t>Colònia de Sant Pere</t>
        </is>
      </c>
      <c r="K4798" t="n">
        <v>70</v>
      </c>
      <c r="L4798" t="n">
        <v>60</v>
      </c>
      <c r="M4798" t="n">
        <v>65.40000000000001</v>
      </c>
      <c r="N4798" t="n">
        <v>63</v>
      </c>
      <c r="O4798" t="n">
        <v>105.9</v>
      </c>
      <c r="P4798" t="n">
        <v>84</v>
      </c>
      <c r="Q4798" t="n">
        <v>63.1</v>
      </c>
      <c r="R4798" t="n">
        <v>60</v>
      </c>
      <c r="S4798" t="n">
        <v>4700000</v>
      </c>
      <c r="T4798" t="n">
        <v>8393</v>
      </c>
      <c r="U4798" t="n">
        <v>335714</v>
      </c>
      <c r="AH4798" t="inlineStr">
        <is>
          <t>Quelle: Pollentia Properties</t>
        </is>
      </c>
    </row>
    <row r="4799">
      <c r="A4799" t="n">
        <v>4612</v>
      </c>
      <c r="B4799" t="inlineStr">
        <is>
          <t>Townhouse for sale in Campanet, stunning views of the Tramuntana Mountains</t>
        </is>
      </c>
      <c r="C4799" t="inlineStr">
        <is>
          <t>https://www.pollentiaproperties.com/en/property/id/867933-townhouse-for-sale-campanet-construction-starting</t>
        </is>
      </c>
      <c r="E4799" t="n">
        <v>4</v>
      </c>
      <c r="G4799" t="n">
        <v>151</v>
      </c>
      <c r="H4799" t="n">
        <v>212</v>
      </c>
      <c r="J4799" t="inlineStr">
        <is>
          <t>Campanet</t>
        </is>
      </c>
      <c r="K4799" t="n">
        <v>46.9</v>
      </c>
      <c r="L4799" t="n">
        <v>38</v>
      </c>
      <c r="M4799" t="n">
        <v>65</v>
      </c>
      <c r="N4799" t="n">
        <v>65</v>
      </c>
      <c r="O4799" t="n">
        <v>69.5</v>
      </c>
      <c r="P4799" t="n">
        <v>54</v>
      </c>
      <c r="Q4799" t="n">
        <v>62.7</v>
      </c>
      <c r="R4799" t="n">
        <v>61</v>
      </c>
      <c r="S4799" t="n">
        <v>1795000</v>
      </c>
      <c r="T4799" t="n">
        <v>8467</v>
      </c>
      <c r="U4799" t="n">
        <v>11887</v>
      </c>
      <c r="AH4799" t="inlineStr">
        <is>
          <t>Quelle: Pollentia Properties</t>
        </is>
      </c>
    </row>
    <row r="4800">
      <c r="A4800" t="n">
        <v>4613</v>
      </c>
      <c r="B4800" t="inlineStr">
        <is>
          <t>Semi detached villas for sale in Cala Romantica to be built</t>
        </is>
      </c>
      <c r="C4800" t="inlineStr">
        <is>
          <t>https://www.pollentiaproperties.com/en/property/id/865023-villa-for-sale-cala-romantica-complex-project-great-location</t>
        </is>
      </c>
      <c r="E4800" t="n">
        <v>2</v>
      </c>
      <c r="G4800" t="n">
        <v>215</v>
      </c>
      <c r="H4800" t="n">
        <v>114</v>
      </c>
      <c r="J4800" t="inlineStr">
        <is>
          <t>Cala Romàntica</t>
        </is>
      </c>
      <c r="S4800" t="n">
        <v>402000</v>
      </c>
      <c r="T4800" t="n">
        <v>3526</v>
      </c>
      <c r="U4800" t="n">
        <v>1870</v>
      </c>
      <c r="AH4800" t="inlineStr">
        <is>
          <t>Quelle: Pollentia Properties</t>
        </is>
      </c>
    </row>
    <row r="4801">
      <c r="A4801" t="n">
        <v>4614</v>
      </c>
      <c r="B4801" t="inlineStr">
        <is>
          <t>Villas for sale in Cala Romantica to be built</t>
        </is>
      </c>
      <c r="C4801" t="inlineStr">
        <is>
          <t>https://www.pollentiaproperties.com/en/property/id/865021-villa-for-sale-cala-romantica-project-great-location-complex</t>
        </is>
      </c>
      <c r="E4801" t="n">
        <v>3</v>
      </c>
      <c r="G4801" t="n">
        <v>535</v>
      </c>
      <c r="H4801" t="n">
        <v>234</v>
      </c>
      <c r="J4801" t="inlineStr">
        <is>
          <t>Cala Romàntica</t>
        </is>
      </c>
      <c r="S4801" t="n">
        <v>775000</v>
      </c>
      <c r="T4801" t="n">
        <v>3312</v>
      </c>
      <c r="U4801" t="n">
        <v>1449</v>
      </c>
      <c r="AH4801" t="inlineStr">
        <is>
          <t>Quelle: Pollentia Properties</t>
        </is>
      </c>
    </row>
    <row r="4802">
      <c r="A4802" t="n">
        <v>4615</v>
      </c>
      <c r="B4802" t="inlineStr">
        <is>
          <t>Penthouse apartment for sale in Palma, split level refurbised</t>
        </is>
      </c>
      <c r="C4802" t="inlineStr">
        <is>
          <t>https://www.pollentiaproperties.com/en/property/id/864543-penthouse-apartment-for-sale-palma-split-level-refurbishment-process</t>
        </is>
      </c>
      <c r="E4802" t="n">
        <v>3</v>
      </c>
      <c r="H4802" t="n">
        <v>243</v>
      </c>
      <c r="J4802" t="inlineStr">
        <is>
          <t>Palma Casco Antiguo</t>
        </is>
      </c>
      <c r="K4802" t="n">
        <v>9.699999999999999</v>
      </c>
      <c r="L4802" t="n">
        <v>14</v>
      </c>
      <c r="M4802" t="n">
        <v>52.5</v>
      </c>
      <c r="N4802" t="n">
        <v>47</v>
      </c>
      <c r="O4802" t="n">
        <v>32.1</v>
      </c>
      <c r="P4802" t="n">
        <v>36</v>
      </c>
      <c r="Q4802" t="n">
        <v>50.2</v>
      </c>
      <c r="R4802" t="n">
        <v>44</v>
      </c>
      <c r="S4802" t="n">
        <v>3450000</v>
      </c>
      <c r="T4802" t="n">
        <v>14198</v>
      </c>
      <c r="AH4802" t="inlineStr">
        <is>
          <t>Quelle: Pollentia Properties</t>
        </is>
      </c>
    </row>
    <row r="4803">
      <c r="A4803" t="n">
        <v>4616</v>
      </c>
      <c r="B4803" t="inlineStr">
        <is>
          <t>Building for sale in Palma historic building with building permit</t>
        </is>
      </c>
      <c r="C4803" t="inlineStr">
        <is>
          <t>https://www.pollentiaproperties.com/en/property/id/863747-building-for-sale-palma-historic-building-renovation-project</t>
        </is>
      </c>
      <c r="G4803" t="n">
        <v>531</v>
      </c>
      <c r="J4803" t="inlineStr">
        <is>
          <t>Palma Casco Antiguo</t>
        </is>
      </c>
      <c r="AH4803" t="inlineStr">
        <is>
          <t>Quelle: Pollentia Properties</t>
        </is>
      </c>
    </row>
    <row r="4804">
      <c r="A4804" t="n">
        <v>4617</v>
      </c>
      <c r="B4804" t="inlineStr">
        <is>
          <t>Villa for sale in Bonaire, new build with amazing design</t>
        </is>
      </c>
      <c r="C4804" t="inlineStr">
        <is>
          <t>https://www.pollentiaproperties.com/en/property/id/863090-villa-for-sale-bonaire-turnkey-project-amazing-design</t>
        </is>
      </c>
      <c r="E4804" t="n">
        <v>4</v>
      </c>
      <c r="G4804" t="n">
        <v>1</v>
      </c>
      <c r="H4804" t="n">
        <v>468</v>
      </c>
      <c r="J4804" t="inlineStr">
        <is>
          <t>Bonaire</t>
        </is>
      </c>
      <c r="K4804" t="n">
        <v>64.40000000000001</v>
      </c>
      <c r="L4804" t="n">
        <v>54</v>
      </c>
      <c r="M4804" t="n">
        <v>82.5</v>
      </c>
      <c r="N4804" t="n">
        <v>80</v>
      </c>
      <c r="O4804" t="n">
        <v>87</v>
      </c>
      <c r="P4804" t="n">
        <v>70</v>
      </c>
      <c r="Q4804" t="n">
        <v>80.2</v>
      </c>
      <c r="R4804" t="n">
        <v>77</v>
      </c>
      <c r="S4804" t="n">
        <v>3950000</v>
      </c>
      <c r="T4804" t="n">
        <v>8440</v>
      </c>
      <c r="U4804" t="n">
        <v>3950000</v>
      </c>
      <c r="AH4804" t="inlineStr">
        <is>
          <t>Quelle: Pollentia Properties</t>
        </is>
      </c>
    </row>
    <row r="4805">
      <c r="A4805" t="n">
        <v>4618</v>
      </c>
      <c r="B4805" t="inlineStr">
        <is>
          <t>Town house for sale in Sineu currently under construction</t>
        </is>
      </c>
      <c r="C4805" t="inlineStr">
        <is>
          <t>https://www.pollentiaproperties.com/en/property/id/863045-town-house-for-sale-sineu-currently-under-construction</t>
        </is>
      </c>
      <c r="E4805" t="n">
        <v>3</v>
      </c>
      <c r="G4805" t="n">
        <v>228</v>
      </c>
      <c r="H4805" t="n">
        <v>224</v>
      </c>
      <c r="J4805" t="inlineStr">
        <is>
          <t>Sineu</t>
        </is>
      </c>
      <c r="AH4805" t="inlineStr">
        <is>
          <t>Quelle: Pollentia Properties</t>
        </is>
      </c>
    </row>
    <row r="4806">
      <c r="A4806" t="n">
        <v>4619</v>
      </c>
      <c r="B4806" t="inlineStr">
        <is>
          <t>Building plot for sale in Pollença with space for two villas</t>
        </is>
      </c>
      <c r="C4806" t="inlineStr">
        <is>
          <t>https://www.pollentiaproperties.com/en/property/id/862977-building-plot-for-sale-pollensa-space-two-villas-pools</t>
        </is>
      </c>
      <c r="E4806" t="n">
        <v>1</v>
      </c>
      <c r="G4806" t="n">
        <v>1</v>
      </c>
      <c r="J4806" t="inlineStr">
        <is>
          <t>Pollença</t>
        </is>
      </c>
      <c r="S4806" t="n">
        <v>625000</v>
      </c>
      <c r="U4806" t="n">
        <v>625000</v>
      </c>
      <c r="AH4806" t="inlineStr">
        <is>
          <t>Quelle: Pollentia Properties</t>
        </is>
      </c>
    </row>
    <row r="4807">
      <c r="A4807" t="n">
        <v>4620</v>
      </c>
      <c r="B4807" t="inlineStr">
        <is>
          <t>Building plot for sale in Palmanova with amazing views</t>
        </is>
      </c>
      <c r="C4807" t="inlineStr">
        <is>
          <t>https://www.pollentiaproperties.com/en/property/id/862727-building-plot-for-sale-in-palmanova-with-amazing-views</t>
        </is>
      </c>
      <c r="G4807" t="n">
        <v>1</v>
      </c>
      <c r="J4807" t="inlineStr">
        <is>
          <t>Palmanova</t>
        </is>
      </c>
      <c r="S4807" t="n">
        <v>870000</v>
      </c>
      <c r="U4807" t="n">
        <v>870000</v>
      </c>
      <c r="AH4807" t="inlineStr">
        <is>
          <t>Quelle: Pollentia Properties</t>
        </is>
      </c>
    </row>
    <row r="4808">
      <c r="A4808" t="n">
        <v>4621</v>
      </c>
      <c r="B4808" t="inlineStr">
        <is>
          <t>Appartment for sale in Palma, in new and innovative complex in Nou Llevant</t>
        </is>
      </c>
      <c r="C4808" t="inlineStr">
        <is>
          <t>https://www.pollentiaproperties.com/en/property/id/862208-appartment-for-sale-palma-new-innovative-nou-llevant</t>
        </is>
      </c>
      <c r="E4808" t="n">
        <v>3</v>
      </c>
      <c r="H4808" t="n">
        <v>147</v>
      </c>
      <c r="J4808" t="inlineStr">
        <is>
          <t>Palma de Mallorca</t>
        </is>
      </c>
      <c r="K4808" t="n">
        <v>9.699999999999999</v>
      </c>
      <c r="L4808" t="n">
        <v>14</v>
      </c>
      <c r="M4808" t="n">
        <v>52.5</v>
      </c>
      <c r="N4808" t="n">
        <v>47</v>
      </c>
      <c r="O4808" t="n">
        <v>32.1</v>
      </c>
      <c r="P4808" t="n">
        <v>36</v>
      </c>
      <c r="Q4808" t="n">
        <v>50.2</v>
      </c>
      <c r="R4808" t="n">
        <v>44</v>
      </c>
      <c r="S4808" t="n">
        <v>2900000</v>
      </c>
      <c r="T4808" t="n">
        <v>19728</v>
      </c>
      <c r="AH4808" t="inlineStr">
        <is>
          <t>Quelle: Pollentia Properties</t>
        </is>
      </c>
    </row>
    <row r="4809">
      <c r="A4809" t="n">
        <v>4622</v>
      </c>
      <c r="B4809" t="inlineStr">
        <is>
          <t>Apartments for sale in Palma, in new and innovative complex in Nou Llevant</t>
        </is>
      </c>
      <c r="C4809" t="inlineStr">
        <is>
          <t>https://www.pollentiaproperties.com/en/property/id/862207-apartment-for-sale-palma-new-innovative-complex-nou-llevant</t>
        </is>
      </c>
      <c r="E4809" t="n">
        <v>2</v>
      </c>
      <c r="H4809" t="n">
        <v>100</v>
      </c>
      <c r="J4809" t="inlineStr">
        <is>
          <t>Palma de Mallorca</t>
        </is>
      </c>
      <c r="K4809" t="n">
        <v>9.699999999999999</v>
      </c>
      <c r="L4809" t="n">
        <v>14</v>
      </c>
      <c r="M4809" t="n">
        <v>52.5</v>
      </c>
      <c r="N4809" t="n">
        <v>47</v>
      </c>
      <c r="O4809" t="n">
        <v>32.1</v>
      </c>
      <c r="P4809" t="n">
        <v>36</v>
      </c>
      <c r="Q4809" t="n">
        <v>50.2</v>
      </c>
      <c r="R4809" t="n">
        <v>44</v>
      </c>
      <c r="S4809" t="n">
        <v>1340000</v>
      </c>
      <c r="T4809" t="n">
        <v>13400</v>
      </c>
      <c r="AH4809" t="inlineStr">
        <is>
          <t>Quelle: Pollentia Properties</t>
        </is>
      </c>
    </row>
    <row r="4810">
      <c r="A4810" t="n">
        <v>4623</v>
      </c>
      <c r="B4810" t="inlineStr">
        <is>
          <t>Villa for sale in Bonaire/Mal Pas, luxury turnkey project</t>
        </is>
      </c>
      <c r="C4810" t="inlineStr">
        <is>
          <t>https://www.pollentiaproperties.com/en/property/id/862182-villa-for-sale-bonaire-mal-pas-luxury-turnkey-project</t>
        </is>
      </c>
      <c r="E4810" t="n">
        <v>6</v>
      </c>
      <c r="G4810" t="n">
        <v>2</v>
      </c>
      <c r="H4810" t="n">
        <v>1</v>
      </c>
      <c r="J4810" t="inlineStr">
        <is>
          <t>Mal Pas</t>
        </is>
      </c>
      <c r="K4810" t="n">
        <v>63.3</v>
      </c>
      <c r="L4810" t="n">
        <v>51</v>
      </c>
      <c r="M4810" t="n">
        <v>81.40000000000001</v>
      </c>
      <c r="N4810" t="n">
        <v>78</v>
      </c>
      <c r="O4810" t="n">
        <v>85.90000000000001</v>
      </c>
      <c r="P4810" t="n">
        <v>67</v>
      </c>
      <c r="Q4810" t="n">
        <v>79.09999999999999</v>
      </c>
      <c r="R4810" t="n">
        <v>74</v>
      </c>
      <c r="S4810" t="n">
        <v>14000000</v>
      </c>
      <c r="T4810" t="n">
        <v>14000000</v>
      </c>
      <c r="U4810" t="n">
        <v>7000000</v>
      </c>
      <c r="AH4810" t="inlineStr">
        <is>
          <t>Quelle: Pollentia Properties</t>
        </is>
      </c>
    </row>
    <row r="4811">
      <c r="A4811" t="n">
        <v>4624</v>
      </c>
      <c r="B4811" t="inlineStr">
        <is>
          <t>Country house for sale in Pollença in beautiful valley location with holiday license</t>
        </is>
      </c>
      <c r="C4811" t="inlineStr">
        <is>
          <t>https://www.pollentiaproperties.com/en/property/id/862180-country-house-for-sale-pollensa-beautiful-valley-location--pool</t>
        </is>
      </c>
      <c r="E4811" t="n">
        <v>5</v>
      </c>
      <c r="G4811" t="n">
        <v>53</v>
      </c>
      <c r="H4811" t="n">
        <v>540</v>
      </c>
      <c r="J4811" t="inlineStr">
        <is>
          <t>Pollença</t>
        </is>
      </c>
      <c r="K4811" t="n">
        <v>60.6</v>
      </c>
      <c r="L4811" t="n">
        <v>47</v>
      </c>
      <c r="M4811" t="n">
        <v>78.7</v>
      </c>
      <c r="N4811" t="n">
        <v>74</v>
      </c>
      <c r="O4811" t="n">
        <v>83.2</v>
      </c>
      <c r="P4811" t="n">
        <v>63</v>
      </c>
      <c r="Q4811" t="n">
        <v>76.40000000000001</v>
      </c>
      <c r="R4811" t="n">
        <v>70</v>
      </c>
      <c r="S4811" t="n">
        <v>5000000</v>
      </c>
      <c r="T4811" t="n">
        <v>9259</v>
      </c>
      <c r="U4811" t="n">
        <v>94340</v>
      </c>
      <c r="AH4811" t="inlineStr">
        <is>
          <t>Quelle: Pollentia Properties</t>
        </is>
      </c>
    </row>
    <row r="4812">
      <c r="A4812" t="n">
        <v>4625</v>
      </c>
      <c r="B4812" t="inlineStr">
        <is>
          <t>Villa for sale in Canyamel in luxury designer style with stunning views</t>
        </is>
      </c>
      <c r="C4812" t="inlineStr">
        <is>
          <t>https://www.pollentiaproperties.com/en/property/id/861182-villa-for-sale-canyamel-luxury-designer-style-stunning-views</t>
        </is>
      </c>
      <c r="E4812" t="n">
        <v>4</v>
      </c>
      <c r="G4812" t="n">
        <v>1</v>
      </c>
      <c r="H4812" t="n">
        <v>671</v>
      </c>
      <c r="J4812" t="inlineStr">
        <is>
          <t>Canyamel</t>
        </is>
      </c>
      <c r="K4812" t="n">
        <v>74.7</v>
      </c>
      <c r="L4812" t="n">
        <v>65</v>
      </c>
      <c r="M4812" t="n">
        <v>70.09999999999999</v>
      </c>
      <c r="N4812" t="n">
        <v>68</v>
      </c>
      <c r="O4812" t="n">
        <v>108.9</v>
      </c>
      <c r="P4812" t="n">
        <v>90</v>
      </c>
      <c r="Q4812" t="n">
        <v>67.8</v>
      </c>
      <c r="R4812" t="n">
        <v>65</v>
      </c>
      <c r="S4812" t="n">
        <v>4900000</v>
      </c>
      <c r="T4812" t="n">
        <v>7303</v>
      </c>
      <c r="U4812" t="n">
        <v>4900000</v>
      </c>
      <c r="AH4812" t="inlineStr">
        <is>
          <t>Quelle: Pollentia Properties</t>
        </is>
      </c>
    </row>
    <row r="4813">
      <c r="A4813" t="n">
        <v>4626</v>
      </c>
      <c r="B4813" t="inlineStr">
        <is>
          <t>Country bulding plot for sale in Sa Rápita high quality project</t>
        </is>
      </c>
      <c r="C4813" t="inlineStr">
        <is>
          <t>https://www.pollentiaproperties.com/en/property/id/861172-country-bulding-plot-for-sale-sa-rapita-high-quality-project</t>
        </is>
      </c>
      <c r="E4813" t="n">
        <v>5</v>
      </c>
      <c r="G4813" t="n">
        <v>227</v>
      </c>
      <c r="H4813" t="n">
        <v>450</v>
      </c>
      <c r="J4813" t="inlineStr">
        <is>
          <t>La Rapita</t>
        </is>
      </c>
      <c r="K4813" t="n">
        <v>37.4</v>
      </c>
      <c r="L4813" t="n">
        <v>34</v>
      </c>
      <c r="M4813" t="n">
        <v>17.3</v>
      </c>
      <c r="N4813" t="n">
        <v>22</v>
      </c>
      <c r="O4813" t="n">
        <v>75.59999999999999</v>
      </c>
      <c r="P4813" t="n">
        <v>61</v>
      </c>
      <c r="Q4813" t="n">
        <v>15</v>
      </c>
      <c r="R4813" t="n">
        <v>19</v>
      </c>
      <c r="S4813" t="n">
        <v>995000</v>
      </c>
      <c r="T4813" t="n">
        <v>2211</v>
      </c>
      <c r="U4813" t="n">
        <v>4383</v>
      </c>
      <c r="AH4813" t="inlineStr">
        <is>
          <t>Quelle: Pollentia Properties</t>
        </is>
      </c>
    </row>
    <row r="4814">
      <c r="A4814" t="n">
        <v>4627</v>
      </c>
      <c r="B4814" t="inlineStr">
        <is>
          <t>Country house for sale in Sa Rápita high quality project. Construction costs not included</t>
        </is>
      </c>
      <c r="C4814" t="inlineStr">
        <is>
          <t>https://www.pollentiaproperties.com/en/property/id/861169-country-house-for-sale-sa-rapita-high-quality-project</t>
        </is>
      </c>
      <c r="E4814" t="n">
        <v>5</v>
      </c>
      <c r="G4814" t="n">
        <v>227</v>
      </c>
      <c r="H4814" t="n">
        <v>300</v>
      </c>
      <c r="J4814" t="inlineStr">
        <is>
          <t>La Rapita</t>
        </is>
      </c>
      <c r="K4814" t="n">
        <v>37.4</v>
      </c>
      <c r="L4814" t="n">
        <v>34</v>
      </c>
      <c r="M4814" t="n">
        <v>17.3</v>
      </c>
      <c r="N4814" t="n">
        <v>22</v>
      </c>
      <c r="O4814" t="n">
        <v>75.59999999999999</v>
      </c>
      <c r="P4814" t="n">
        <v>61</v>
      </c>
      <c r="Q4814" t="n">
        <v>15</v>
      </c>
      <c r="R4814" t="n">
        <v>19</v>
      </c>
      <c r="S4814" t="n">
        <v>995000</v>
      </c>
      <c r="T4814" t="n">
        <v>3317</v>
      </c>
      <c r="U4814" t="n">
        <v>4383</v>
      </c>
      <c r="AH4814" t="inlineStr">
        <is>
          <t>Quelle: Pollentia Properties</t>
        </is>
      </c>
    </row>
    <row r="4815">
      <c r="A4815" t="n">
        <v>4628</v>
      </c>
      <c r="B4815" t="inlineStr">
        <is>
          <t>Apartment for sale in Puerto Pollensa, on the exclusive Pine Walk with sea views</t>
        </is>
      </c>
      <c r="C4815" t="inlineStr">
        <is>
          <t>https://www.pollentiaproperties.com/en/property/id/860251-apartment-for-sale-puerto-pollensa-exclusive-pine-walk-sea-views</t>
        </is>
      </c>
      <c r="E4815" t="n">
        <v>4</v>
      </c>
      <c r="H4815" t="n">
        <v>175</v>
      </c>
      <c r="J4815" t="inlineStr">
        <is>
          <t>Pine Walk</t>
        </is>
      </c>
      <c r="K4815" t="n">
        <v>68</v>
      </c>
      <c r="L4815" t="n">
        <v>53</v>
      </c>
      <c r="M4815" t="n">
        <v>86.09999999999999</v>
      </c>
      <c r="N4815" t="n">
        <v>80</v>
      </c>
      <c r="O4815" t="n">
        <v>90.59999999999999</v>
      </c>
      <c r="P4815" t="n">
        <v>69</v>
      </c>
      <c r="Q4815" t="n">
        <v>83.8</v>
      </c>
      <c r="R4815" t="n">
        <v>76</v>
      </c>
      <c r="S4815" t="n">
        <v>2880000</v>
      </c>
      <c r="T4815" t="n">
        <v>16457</v>
      </c>
      <c r="AH4815" t="inlineStr">
        <is>
          <t>Quelle: Pollentia Properties</t>
        </is>
      </c>
    </row>
    <row r="4816">
      <c r="A4816" t="n">
        <v>4629</v>
      </c>
      <c r="B4816" t="inlineStr">
        <is>
          <t>Country house for sale in Puerto Andratx charming property close to the harbour</t>
        </is>
      </c>
      <c r="C4816" t="inlineStr">
        <is>
          <t>https://www.pollentiaproperties.com/en/property/id/860120-country-house-for-sale-puerto-andratx-charming-property-garden-pool</t>
        </is>
      </c>
      <c r="E4816" t="n">
        <v>5</v>
      </c>
      <c r="G4816" t="n">
        <v>3</v>
      </c>
      <c r="H4816" t="n">
        <v>350</v>
      </c>
      <c r="J4816" t="inlineStr">
        <is>
          <t>Puerto Andratx</t>
        </is>
      </c>
      <c r="K4816" t="n">
        <v>43.5</v>
      </c>
      <c r="L4816" t="n">
        <v>38</v>
      </c>
      <c r="M4816" t="n">
        <v>86.2</v>
      </c>
      <c r="N4816" t="n">
        <v>71</v>
      </c>
      <c r="O4816" t="n">
        <v>6.3</v>
      </c>
      <c r="P4816" t="n">
        <v>11</v>
      </c>
      <c r="Q4816" t="n">
        <v>83.90000000000001</v>
      </c>
      <c r="R4816" t="n">
        <v>68</v>
      </c>
      <c r="S4816" t="n">
        <v>3850000</v>
      </c>
      <c r="T4816" t="n">
        <v>11000</v>
      </c>
      <c r="U4816" t="n">
        <v>1283333</v>
      </c>
      <c r="AH4816" t="inlineStr">
        <is>
          <t>Quelle: Pollentia Properties</t>
        </is>
      </c>
    </row>
    <row r="4817">
      <c r="A4817" t="n">
        <v>4630</v>
      </c>
      <c r="B4817" t="inlineStr">
        <is>
          <t>Town houses for sale in the Son Espanyolet area of Palma in brand new project</t>
        </is>
      </c>
      <c r="C4817" t="inlineStr">
        <is>
          <t>https://www.pollentiaproperties.com/en/property/id/860071-town-house-for-sale-son-espanyolet-area-palma-brand-new-project</t>
        </is>
      </c>
      <c r="E4817" t="n">
        <v>3</v>
      </c>
      <c r="G4817" t="n">
        <v>811</v>
      </c>
      <c r="H4817" t="n">
        <v>117</v>
      </c>
      <c r="J4817" t="inlineStr">
        <is>
          <t>Son Espanyolet</t>
        </is>
      </c>
      <c r="K4817" t="n">
        <v>15.9</v>
      </c>
      <c r="L4817" t="n">
        <v>18</v>
      </c>
      <c r="M4817" t="n">
        <v>58.7</v>
      </c>
      <c r="N4817" t="n">
        <v>51</v>
      </c>
      <c r="O4817" t="n">
        <v>29.1</v>
      </c>
      <c r="P4817" t="n">
        <v>28</v>
      </c>
      <c r="Q4817" t="n">
        <v>56.4</v>
      </c>
      <c r="R4817" t="n">
        <v>47</v>
      </c>
      <c r="S4817" t="n">
        <v>1500000</v>
      </c>
      <c r="T4817" t="n">
        <v>12821</v>
      </c>
      <c r="U4817" t="n">
        <v>1850</v>
      </c>
      <c r="AH4817" t="inlineStr">
        <is>
          <t>Quelle: Pollentia Properties</t>
        </is>
      </c>
    </row>
    <row r="4818">
      <c r="A4818" t="n">
        <v>4631</v>
      </c>
      <c r="B4818" t="inlineStr">
        <is>
          <t>Country house for sale in Biniaraix with garden and pool in charming location</t>
        </is>
      </c>
      <c r="C4818" t="inlineStr">
        <is>
          <t>https://www.pollentiaproperties.com/en/property/id/859374-country-house-for-sale-biniaraix-garden-pool-charming-location</t>
        </is>
      </c>
      <c r="E4818" t="n">
        <v>10</v>
      </c>
      <c r="G4818" t="n">
        <v>20</v>
      </c>
      <c r="H4818" t="n">
        <v>965</v>
      </c>
      <c r="J4818" t="inlineStr">
        <is>
          <t>Biniaraix</t>
        </is>
      </c>
      <c r="K4818" t="n">
        <v>37.8</v>
      </c>
      <c r="L4818" t="n">
        <v>48</v>
      </c>
      <c r="M4818" t="n">
        <v>80.5</v>
      </c>
      <c r="N4818" t="n">
        <v>81</v>
      </c>
      <c r="O4818" t="n">
        <v>57.4</v>
      </c>
      <c r="P4818" t="n">
        <v>61</v>
      </c>
      <c r="Q4818" t="n">
        <v>78.2</v>
      </c>
      <c r="R4818" t="n">
        <v>77</v>
      </c>
      <c r="S4818" t="n">
        <v>5500000</v>
      </c>
      <c r="T4818" t="n">
        <v>5699</v>
      </c>
      <c r="U4818" t="n">
        <v>275000</v>
      </c>
      <c r="AH4818" t="inlineStr">
        <is>
          <t>Quelle: Pollentia Properties</t>
        </is>
      </c>
    </row>
    <row r="4819">
      <c r="A4819" t="n">
        <v>4632</v>
      </c>
      <c r="B4819" t="inlineStr">
        <is>
          <t>Villa for sale in Fornalutx top quality new build in magical location</t>
        </is>
      </c>
      <c r="C4819" t="inlineStr">
        <is>
          <t>https://www.pollentiaproperties.com/en/property/id/859371-villa-for-sale--fornalutx-top-quality-new-build-magical-location</t>
        </is>
      </c>
      <c r="E4819" t="n">
        <v>3</v>
      </c>
      <c r="H4819" t="n">
        <v>168</v>
      </c>
      <c r="J4819" t="inlineStr">
        <is>
          <t>Fornalutx</t>
        </is>
      </c>
      <c r="K4819" t="n">
        <v>38.9</v>
      </c>
      <c r="L4819" t="n">
        <v>46</v>
      </c>
      <c r="M4819" t="n">
        <v>81.59999999999999</v>
      </c>
      <c r="N4819" t="n">
        <v>79</v>
      </c>
      <c r="O4819" t="n">
        <v>58.5</v>
      </c>
      <c r="P4819" t="n">
        <v>60</v>
      </c>
      <c r="Q4819" t="n">
        <v>79.3</v>
      </c>
      <c r="R4819" t="n">
        <v>76</v>
      </c>
      <c r="S4819" t="n">
        <v>1300000</v>
      </c>
      <c r="T4819" t="n">
        <v>7738</v>
      </c>
      <c r="AH4819" t="inlineStr">
        <is>
          <t>Quelle: Pollentia Properties</t>
        </is>
      </c>
    </row>
    <row r="4820">
      <c r="A4820" t="n">
        <v>4633</v>
      </c>
      <c r="B4820" t="inlineStr">
        <is>
          <t>Country building plot for sale in Pollensa with project and license</t>
        </is>
      </c>
      <c r="C4820" t="inlineStr">
        <is>
          <t>https://www.pollentiaproperties.com/en/property/id/858854-country-building-plot-for-sale-pollensa-project-building-license</t>
        </is>
      </c>
      <c r="E4820" t="n">
        <v>3</v>
      </c>
      <c r="G4820" t="n">
        <v>14</v>
      </c>
      <c r="H4820" t="n">
        <v>398</v>
      </c>
      <c r="J4820" t="inlineStr">
        <is>
          <t>Pollença</t>
        </is>
      </c>
      <c r="S4820" t="n">
        <v>750000</v>
      </c>
      <c r="T4820" t="n">
        <v>1884</v>
      </c>
      <c r="U4820" t="n">
        <v>53571</v>
      </c>
      <c r="AH4820" t="inlineStr">
        <is>
          <t>Quelle: Pollentia Properties</t>
        </is>
      </c>
    </row>
    <row r="4821">
      <c r="A4821" t="n">
        <v>4634</v>
      </c>
      <c r="B4821" t="inlineStr">
        <is>
          <t>Country house for sale in Puerto Sóller, with permit for renovation project</t>
        </is>
      </c>
      <c r="C4821" t="inlineStr">
        <is>
          <t>https://www.pollentiaproperties.com/en/property/id/858735-country-house-for-sale-puerto-soller-permit-renovation-project</t>
        </is>
      </c>
      <c r="E4821" t="n">
        <v>4</v>
      </c>
      <c r="G4821" t="n">
        <v>3</v>
      </c>
      <c r="H4821" t="n">
        <v>267</v>
      </c>
      <c r="J4821" t="inlineStr">
        <is>
          <t>Port de Sóller</t>
        </is>
      </c>
      <c r="AH4821" t="inlineStr">
        <is>
          <t>Quelle: Pollentia Properties</t>
        </is>
      </c>
    </row>
    <row r="4822">
      <c r="A4822" t="n">
        <v>4635</v>
      </c>
      <c r="B4822" t="inlineStr">
        <is>
          <t>Villa for sale in Sol de Mallorca, top quality turnkey project with modern design</t>
        </is>
      </c>
      <c r="C4822" t="inlineStr">
        <is>
          <t>https://www.pollentiaproperties.com/en/property/id/858616-villa-for-sale-sol-mallorca-modern-top-quality-turnkey-project</t>
        </is>
      </c>
      <c r="E4822" t="n">
        <v>4</v>
      </c>
      <c r="G4822" t="n">
        <v>1</v>
      </c>
      <c r="H4822" t="n">
        <v>300</v>
      </c>
      <c r="J4822" t="inlineStr">
        <is>
          <t>Sol de Mallorca</t>
        </is>
      </c>
      <c r="K4822" t="n">
        <v>32.2</v>
      </c>
      <c r="L4822" t="n">
        <v>31</v>
      </c>
      <c r="M4822" t="n">
        <v>75</v>
      </c>
      <c r="N4822" t="n">
        <v>64</v>
      </c>
      <c r="O4822" t="n">
        <v>21.2</v>
      </c>
      <c r="P4822" t="n">
        <v>25</v>
      </c>
      <c r="Q4822" t="n">
        <v>72.7</v>
      </c>
      <c r="R4822" t="n">
        <v>60</v>
      </c>
      <c r="S4822" t="n">
        <v>3250000</v>
      </c>
      <c r="T4822" t="n">
        <v>10833</v>
      </c>
      <c r="U4822" t="n">
        <v>3250000</v>
      </c>
      <c r="AH4822" t="inlineStr">
        <is>
          <t>Quelle: Pollentia Properties</t>
        </is>
      </c>
    </row>
    <row r="4823">
      <c r="A4823" t="n">
        <v>4636</v>
      </c>
      <c r="B4823" t="inlineStr">
        <is>
          <t>Villa for sale in Cala Vinyes, top quality turnkey project with sea views</t>
        </is>
      </c>
      <c r="C4823" t="inlineStr">
        <is>
          <t>https://www.pollentiaproperties.com/en/property/id/858615-villa-for-sale-cala-vinyes-top-quality-turnkey-project-sea-views</t>
        </is>
      </c>
      <c r="E4823" t="n">
        <v>5</v>
      </c>
      <c r="G4823" t="n">
        <v>1</v>
      </c>
      <c r="H4823" t="n">
        <v>450</v>
      </c>
      <c r="J4823" t="inlineStr">
        <is>
          <t>Cala Vinyes</t>
        </is>
      </c>
      <c r="K4823" t="n">
        <v>31.5</v>
      </c>
      <c r="L4823" t="n">
        <v>31</v>
      </c>
      <c r="M4823" t="n">
        <v>74.3</v>
      </c>
      <c r="N4823" t="n">
        <v>64</v>
      </c>
      <c r="O4823" t="n">
        <v>20.4</v>
      </c>
      <c r="P4823" t="n">
        <v>25</v>
      </c>
      <c r="Q4823" t="n">
        <v>72</v>
      </c>
      <c r="R4823" t="n">
        <v>60</v>
      </c>
      <c r="S4823" t="n">
        <v>3250000</v>
      </c>
      <c r="T4823" t="n">
        <v>7222</v>
      </c>
      <c r="U4823" t="n">
        <v>3250000</v>
      </c>
      <c r="AH4823" t="inlineStr">
        <is>
          <t>Quelle: Pollentia Properties</t>
        </is>
      </c>
    </row>
    <row r="4824">
      <c r="A4824" t="n">
        <v>4637</v>
      </c>
      <c r="B4824" t="inlineStr">
        <is>
          <t>Villa for sale in Costa de la Calma, turnkey top quality project with pool</t>
        </is>
      </c>
      <c r="C4824" t="inlineStr">
        <is>
          <t>https://www.pollentiaproperties.com/en/property/id/858536-villa-for-sale-costa-de-la-calma--top-quality-turnkey-project-garden-pool</t>
        </is>
      </c>
      <c r="E4824" t="n">
        <v>3</v>
      </c>
      <c r="G4824" t="n">
        <v>850</v>
      </c>
      <c r="H4824" t="n">
        <v>300</v>
      </c>
      <c r="J4824" t="inlineStr">
        <is>
          <t>Costa de la Calma</t>
        </is>
      </c>
      <c r="K4824" t="n">
        <v>32.6</v>
      </c>
      <c r="L4824" t="n">
        <v>29</v>
      </c>
      <c r="M4824" t="n">
        <v>75.40000000000001</v>
      </c>
      <c r="N4824" t="n">
        <v>62</v>
      </c>
      <c r="O4824" t="n">
        <v>13.7</v>
      </c>
      <c r="P4824" t="n">
        <v>18</v>
      </c>
      <c r="Q4824" t="n">
        <v>73.09999999999999</v>
      </c>
      <c r="R4824" t="n">
        <v>58</v>
      </c>
      <c r="S4824" t="n">
        <v>3300000</v>
      </c>
      <c r="T4824" t="n">
        <v>11000</v>
      </c>
      <c r="U4824" t="n">
        <v>3882</v>
      </c>
      <c r="AH4824" t="inlineStr">
        <is>
          <t>Quelle: Pollentia Properties</t>
        </is>
      </c>
    </row>
    <row r="4825">
      <c r="A4825" t="n">
        <v>4638</v>
      </c>
      <c r="B4825" t="inlineStr">
        <is>
          <t>Villa for sale in Son Serra de Marina, with holiday rental license</t>
        </is>
      </c>
      <c r="C4825" t="inlineStr">
        <is>
          <t>https://www.pollentiaproperties.com/en/property/id/858176-villa-for-sale-son-serra-marina-holiday-rental-license</t>
        </is>
      </c>
      <c r="E4825" t="n">
        <v>5</v>
      </c>
      <c r="G4825" t="n">
        <v>353</v>
      </c>
      <c r="H4825" t="n">
        <v>230</v>
      </c>
      <c r="J4825" t="inlineStr">
        <is>
          <t>Son Serra de Marina</t>
        </is>
      </c>
      <c r="K4825" t="n">
        <v>69.59999999999999</v>
      </c>
      <c r="L4825" t="n">
        <v>59</v>
      </c>
      <c r="M4825" t="n">
        <v>64.90000000000001</v>
      </c>
      <c r="N4825" t="n">
        <v>63</v>
      </c>
      <c r="O4825" t="n">
        <v>91</v>
      </c>
      <c r="P4825" t="n">
        <v>76</v>
      </c>
      <c r="Q4825" t="n">
        <v>62.6</v>
      </c>
      <c r="R4825" t="n">
        <v>59</v>
      </c>
      <c r="S4825" t="n">
        <v>1250000</v>
      </c>
      <c r="T4825" t="n">
        <v>5435</v>
      </c>
      <c r="U4825" t="n">
        <v>3541</v>
      </c>
      <c r="AH4825" t="inlineStr">
        <is>
          <t>Quelle: Pollentia Properties</t>
        </is>
      </c>
    </row>
    <row r="4826">
      <c r="A4826" t="n">
        <v>4639</v>
      </c>
      <c r="B4826" t="inlineStr">
        <is>
          <t>Villa for sale in Son Serra de Marina, walking distance to the beach</t>
        </is>
      </c>
      <c r="C4826" t="inlineStr">
        <is>
          <t>https://www.pollentiaproperties.com/en/property/id/858175-villa-for-sale-son-serra-marina-beach-close-terrace</t>
        </is>
      </c>
      <c r="E4826" t="n">
        <v>2</v>
      </c>
      <c r="G4826" t="n">
        <v>287</v>
      </c>
      <c r="H4826" t="n">
        <v>278</v>
      </c>
      <c r="J4826" t="inlineStr">
        <is>
          <t>Son Serra de Marina</t>
        </is>
      </c>
      <c r="S4826" t="n">
        <v>950000</v>
      </c>
      <c r="T4826" t="n">
        <v>3417</v>
      </c>
      <c r="U4826" t="n">
        <v>3310</v>
      </c>
      <c r="AH4826" t="inlineStr">
        <is>
          <t>Quelle: Pollentia Properties</t>
        </is>
      </c>
    </row>
    <row r="4827">
      <c r="A4827" t="n">
        <v>4640</v>
      </c>
      <c r="B4827" t="inlineStr">
        <is>
          <t>Country house for sale in Colonia Sant Pere in fantastic location with sea views</t>
        </is>
      </c>
      <c r="C4827" t="inlineStr">
        <is>
          <t>https://www.pollentiaproperties.com/en/property/id/858173-country-house-for-sale-colonia-sant-pere-fantastic-location-sea-views</t>
        </is>
      </c>
      <c r="E4827" t="n">
        <v>5</v>
      </c>
      <c r="G4827" t="n">
        <v>16</v>
      </c>
      <c r="H4827" t="n">
        <v>480</v>
      </c>
      <c r="J4827" t="inlineStr">
        <is>
          <t>Colònia de Sant Pere</t>
        </is>
      </c>
      <c r="K4827" t="n">
        <v>70</v>
      </c>
      <c r="L4827" t="n">
        <v>60</v>
      </c>
      <c r="M4827" t="n">
        <v>65.40000000000001</v>
      </c>
      <c r="N4827" t="n">
        <v>63</v>
      </c>
      <c r="O4827" t="n">
        <v>105.9</v>
      </c>
      <c r="P4827" t="n">
        <v>84</v>
      </c>
      <c r="Q4827" t="n">
        <v>63.1</v>
      </c>
      <c r="R4827" t="n">
        <v>60</v>
      </c>
      <c r="S4827" t="n">
        <v>4900000</v>
      </c>
      <c r="T4827" t="n">
        <v>10208</v>
      </c>
      <c r="U4827" t="n">
        <v>306250</v>
      </c>
      <c r="AH4827" t="inlineStr">
        <is>
          <t>Quelle: Pollentia Properties</t>
        </is>
      </c>
    </row>
    <row r="4828">
      <c r="A4828" t="n">
        <v>4641</v>
      </c>
      <c r="B4828" t="inlineStr">
        <is>
          <t>Villa for sale in Sa Torre, Llucmajor on the coast with holiday license</t>
        </is>
      </c>
      <c r="C4828" t="inlineStr">
        <is>
          <t>https://www.pollentiaproperties.com/en/property/id/857992-villa-for-sale-sa-torre-llucmajor-coastal-complex-garden-pool</t>
        </is>
      </c>
      <c r="E4828" t="n">
        <v>4</v>
      </c>
      <c r="G4828" t="n">
        <v>1</v>
      </c>
      <c r="H4828" t="n">
        <v>546</v>
      </c>
      <c r="J4828" t="inlineStr">
        <is>
          <t>Sa Torre</t>
        </is>
      </c>
      <c r="K4828" t="n">
        <v>17</v>
      </c>
      <c r="L4828" t="n">
        <v>19</v>
      </c>
      <c r="M4828" t="n">
        <v>41.9</v>
      </c>
      <c r="N4828" t="n">
        <v>41</v>
      </c>
      <c r="O4828" t="n">
        <v>55.2</v>
      </c>
      <c r="P4828" t="n">
        <v>47</v>
      </c>
      <c r="Q4828" t="n">
        <v>39.6</v>
      </c>
      <c r="R4828" t="n">
        <v>38</v>
      </c>
      <c r="S4828" t="n">
        <v>1700000</v>
      </c>
      <c r="T4828" t="n">
        <v>3114</v>
      </c>
      <c r="U4828" t="n">
        <v>1700000</v>
      </c>
      <c r="AH4828" t="inlineStr">
        <is>
          <t>Quelle: Pollentia Properties</t>
        </is>
      </c>
    </row>
    <row r="4829">
      <c r="A4829" t="n">
        <v>4642</v>
      </c>
      <c r="B4829" t="inlineStr">
        <is>
          <t>Town house for sale in Sóller in central location and great potential</t>
        </is>
      </c>
      <c r="C4829" t="inlineStr">
        <is>
          <t>https://www.pollentiaproperties.com/en/property/id/856891-town-house-for-sale-soller-central-location-great-potential</t>
        </is>
      </c>
      <c r="E4829" t="n">
        <v>4</v>
      </c>
      <c r="G4829" t="n">
        <v>1</v>
      </c>
      <c r="H4829" t="n">
        <v>260</v>
      </c>
      <c r="J4829" t="inlineStr">
        <is>
          <t>Sóller</t>
        </is>
      </c>
      <c r="S4829" t="n">
        <v>890000</v>
      </c>
      <c r="T4829" t="n">
        <v>3423</v>
      </c>
      <c r="U4829" t="n">
        <v>890000</v>
      </c>
      <c r="AH4829" t="inlineStr">
        <is>
          <t>Quelle: Pollentia Properties</t>
        </is>
      </c>
    </row>
    <row r="4830">
      <c r="A4830" t="n">
        <v>4643</v>
      </c>
      <c r="B4830" t="inlineStr">
        <is>
          <t>Town house for sale in Sóller with modern design, garden and pool</t>
        </is>
      </c>
      <c r="C4830" t="inlineStr">
        <is>
          <t>https://www.pollentiaproperties.com/en/property/id/856854-town-house-for-sale-soller-modern-design-different-purchase-options</t>
        </is>
      </c>
      <c r="E4830" t="n">
        <v>5</v>
      </c>
      <c r="G4830" t="n">
        <v>4</v>
      </c>
      <c r="H4830" t="n">
        <v>600</v>
      </c>
      <c r="J4830" t="inlineStr">
        <is>
          <t>Sóller</t>
        </is>
      </c>
      <c r="K4830" t="n">
        <v>32.5</v>
      </c>
      <c r="L4830" t="n">
        <v>38</v>
      </c>
      <c r="M4830" t="n">
        <v>75.2</v>
      </c>
      <c r="N4830" t="n">
        <v>70</v>
      </c>
      <c r="O4830" t="n">
        <v>52.1</v>
      </c>
      <c r="P4830" t="n">
        <v>51</v>
      </c>
      <c r="Q4830" t="n">
        <v>72.90000000000001</v>
      </c>
      <c r="R4830" t="n">
        <v>67</v>
      </c>
      <c r="S4830" t="n">
        <v>3555000</v>
      </c>
      <c r="T4830" t="n">
        <v>5925</v>
      </c>
      <c r="U4830" t="n">
        <v>888750</v>
      </c>
      <c r="AH4830" t="inlineStr">
        <is>
          <t>Quelle: Pollentia Properties</t>
        </is>
      </c>
    </row>
    <row r="4831">
      <c r="A4831" t="n">
        <v>4644</v>
      </c>
      <c r="B4831" t="inlineStr">
        <is>
          <t>Building plot for sale in Cala Major great investment opportunity</t>
        </is>
      </c>
      <c r="C4831" t="inlineStr">
        <is>
          <t>https://www.pollentiaproperties.com/en/property/id/856778-building-plot-for-sale-cala-major-great-investment-opportunity</t>
        </is>
      </c>
      <c r="G4831" t="n">
        <v>1</v>
      </c>
      <c r="H4831" t="n">
        <v>417</v>
      </c>
      <c r="J4831" t="inlineStr">
        <is>
          <t>Cala Major</t>
        </is>
      </c>
      <c r="K4831" t="n">
        <v>19.7</v>
      </c>
      <c r="L4831" t="n">
        <v>19</v>
      </c>
      <c r="M4831" t="n">
        <v>62.5</v>
      </c>
      <c r="N4831" t="n">
        <v>52</v>
      </c>
      <c r="O4831" t="n">
        <v>26.3</v>
      </c>
      <c r="P4831" t="n">
        <v>24</v>
      </c>
      <c r="Q4831" t="n">
        <v>60.2</v>
      </c>
      <c r="R4831" t="n">
        <v>48</v>
      </c>
      <c r="S4831" t="n">
        <v>4500000</v>
      </c>
      <c r="T4831" t="n">
        <v>10791</v>
      </c>
      <c r="U4831" t="n">
        <v>4500000</v>
      </c>
      <c r="AH4831" t="inlineStr">
        <is>
          <t>Quelle: Pollentia Properties</t>
        </is>
      </c>
    </row>
    <row r="4832">
      <c r="A4832" t="n">
        <v>4645</v>
      </c>
      <c r="B4832" t="inlineStr">
        <is>
          <t>Villa for sale in Bonaire newly built with amazing design</t>
        </is>
      </c>
      <c r="C4832" t="inlineStr">
        <is>
          <t>https://www.pollentiaproperties.com/en/property/id/856766-villa-for-sale-bonaire-currently-newly-built-amazing-design-garden-pool</t>
        </is>
      </c>
      <c r="E4832" t="n">
        <v>5</v>
      </c>
      <c r="G4832" t="n">
        <v>1</v>
      </c>
      <c r="H4832" t="n">
        <v>546</v>
      </c>
      <c r="J4832" t="inlineStr">
        <is>
          <t>Bonaire</t>
        </is>
      </c>
      <c r="K4832" t="n">
        <v>64.40000000000001</v>
      </c>
      <c r="L4832" t="n">
        <v>54</v>
      </c>
      <c r="M4832" t="n">
        <v>82.5</v>
      </c>
      <c r="N4832" t="n">
        <v>80</v>
      </c>
      <c r="O4832" t="n">
        <v>87</v>
      </c>
      <c r="P4832" t="n">
        <v>70</v>
      </c>
      <c r="Q4832" t="n">
        <v>80.2</v>
      </c>
      <c r="R4832" t="n">
        <v>77</v>
      </c>
      <c r="AH4832" t="inlineStr">
        <is>
          <t>Quelle: Pollentia Properties</t>
        </is>
      </c>
    </row>
    <row r="4833">
      <c r="A4833" t="n">
        <v>4646</v>
      </c>
      <c r="B4833" t="inlineStr">
        <is>
          <t>Town house for sale in Campanet with three floors, garden and pool</t>
        </is>
      </c>
      <c r="C4833" t="inlineStr">
        <is>
          <t>https://www.pollentiaproperties.com/en/property/id/855888-town-house-for-sale-icampanet--three-floors-garden-pool</t>
        </is>
      </c>
      <c r="E4833" t="n">
        <v>5</v>
      </c>
      <c r="G4833" t="n">
        <v>971</v>
      </c>
      <c r="H4833" t="n">
        <v>234</v>
      </c>
      <c r="J4833" t="inlineStr">
        <is>
          <t>Campanet</t>
        </is>
      </c>
      <c r="K4833" t="n">
        <v>46.9</v>
      </c>
      <c r="L4833" t="n">
        <v>38</v>
      </c>
      <c r="M4833" t="n">
        <v>65</v>
      </c>
      <c r="N4833" t="n">
        <v>65</v>
      </c>
      <c r="O4833" t="n">
        <v>69.5</v>
      </c>
      <c r="P4833" t="n">
        <v>54</v>
      </c>
      <c r="Q4833" t="n">
        <v>62.7</v>
      </c>
      <c r="R4833" t="n">
        <v>61</v>
      </c>
      <c r="S4833" t="n">
        <v>890000</v>
      </c>
      <c r="T4833" t="n">
        <v>3803</v>
      </c>
      <c r="U4833" t="n">
        <v>917</v>
      </c>
      <c r="AH4833" t="inlineStr">
        <is>
          <t>Quelle: Pollentia Properties</t>
        </is>
      </c>
    </row>
    <row r="4834">
      <c r="A4834" t="n">
        <v>4647</v>
      </c>
      <c r="B4834" t="inlineStr">
        <is>
          <t>Country plot for sale in Binissalem, build the house of your dreams</t>
        </is>
      </c>
      <c r="C4834" t="inlineStr">
        <is>
          <t>https://www.pollentiaproperties.com/en/property/id/855639-country-plot-for-sale-binissalem-12-hectares-land-vineyard</t>
        </is>
      </c>
      <c r="E4834" t="n">
        <v>4</v>
      </c>
      <c r="G4834" t="n">
        <v>120</v>
      </c>
      <c r="H4834" t="n">
        <v>518</v>
      </c>
      <c r="J4834" t="inlineStr">
        <is>
          <t>Binissalem</t>
        </is>
      </c>
      <c r="K4834" t="n">
        <v>31.5</v>
      </c>
      <c r="L4834" t="n">
        <v>29</v>
      </c>
      <c r="M4834" t="n">
        <v>74.3</v>
      </c>
      <c r="N4834" t="n">
        <v>62</v>
      </c>
      <c r="O4834" t="n">
        <v>54.1</v>
      </c>
      <c r="P4834" t="n">
        <v>45</v>
      </c>
      <c r="Q4834" t="n">
        <v>72</v>
      </c>
      <c r="R4834" t="n">
        <v>58</v>
      </c>
      <c r="S4834" t="n">
        <v>1700000</v>
      </c>
      <c r="T4834" t="n">
        <v>3282</v>
      </c>
      <c r="U4834" t="n">
        <v>14167</v>
      </c>
      <c r="AH4834" t="inlineStr">
        <is>
          <t>Quelle: Pollentia Properties</t>
        </is>
      </c>
    </row>
    <row r="4835">
      <c r="A4835" t="n">
        <v>4648</v>
      </c>
      <c r="B4835" t="inlineStr">
        <is>
          <t>Country building plot for sale in Buger project with permit including a pool</t>
        </is>
      </c>
      <c r="C4835" t="inlineStr">
        <is>
          <t>https://www.pollentiaproperties.com/en/property/id/855552-country-plot-for-sale-buger-project-building-permit-private-pool</t>
        </is>
      </c>
      <c r="E4835" t="n">
        <v>4</v>
      </c>
      <c r="G4835" t="n">
        <v>17</v>
      </c>
      <c r="H4835" t="n">
        <v>292</v>
      </c>
      <c r="J4835" t="inlineStr">
        <is>
          <t>Búger</t>
        </is>
      </c>
      <c r="S4835" t="n">
        <v>520000</v>
      </c>
      <c r="T4835" t="n">
        <v>1781</v>
      </c>
      <c r="U4835" t="n">
        <v>30588</v>
      </c>
      <c r="AH4835" t="inlineStr">
        <is>
          <t>Quelle: Pollentia Properties</t>
        </is>
      </c>
    </row>
    <row r="4836">
      <c r="A4836" t="n">
        <v>4649</v>
      </c>
      <c r="B4836" t="inlineStr">
        <is>
          <t>Vineyard for sale in Binissalem, build the house of your dreams</t>
        </is>
      </c>
      <c r="C4836" t="inlineStr">
        <is>
          <t>https://www.pollentiaproperties.com/en/property/id/855400-vineyard-for-sale-in-binissalem-on-12-hectares-of-land-house-optional</t>
        </is>
      </c>
      <c r="G4836" t="n">
        <v>120</v>
      </c>
      <c r="J4836" t="inlineStr">
        <is>
          <t>Binissalem</t>
        </is>
      </c>
      <c r="K4836" t="n">
        <v>31.5</v>
      </c>
      <c r="L4836" t="n">
        <v>29</v>
      </c>
      <c r="M4836" t="n">
        <v>74.3</v>
      </c>
      <c r="N4836" t="n">
        <v>62</v>
      </c>
      <c r="O4836" t="n">
        <v>54.1</v>
      </c>
      <c r="P4836" t="n">
        <v>45</v>
      </c>
      <c r="Q4836" t="n">
        <v>72</v>
      </c>
      <c r="R4836" t="n">
        <v>58</v>
      </c>
      <c r="S4836" t="n">
        <v>1700000</v>
      </c>
      <c r="U4836" t="n">
        <v>14167</v>
      </c>
      <c r="AH4836" t="inlineStr">
        <is>
          <t>Quelle: Pollentia Properties</t>
        </is>
      </c>
    </row>
    <row r="4837">
      <c r="A4837" t="n">
        <v>4650</v>
      </c>
      <c r="B4837" t="inlineStr">
        <is>
          <t>Country house for sale in Binissalem on 12 hectares of land for a vineyard</t>
        </is>
      </c>
      <c r="C4837" t="inlineStr">
        <is>
          <t>https://www.pollentiaproperties.com/en/property/id/855399-country-house-for-sale-binissalem-twelve-hectares-land-potential-vineyard</t>
        </is>
      </c>
      <c r="E4837" t="n">
        <v>4</v>
      </c>
      <c r="G4837" t="n">
        <v>120</v>
      </c>
      <c r="H4837" t="n">
        <v>518</v>
      </c>
      <c r="J4837" t="inlineStr">
        <is>
          <t>Binissalem</t>
        </is>
      </c>
      <c r="K4837" t="n">
        <v>31.5</v>
      </c>
      <c r="L4837" t="n">
        <v>29</v>
      </c>
      <c r="M4837" t="n">
        <v>74.3</v>
      </c>
      <c r="N4837" t="n">
        <v>62</v>
      </c>
      <c r="O4837" t="n">
        <v>54.1</v>
      </c>
      <c r="P4837" t="n">
        <v>45</v>
      </c>
      <c r="Q4837" t="n">
        <v>72</v>
      </c>
      <c r="R4837" t="n">
        <v>58</v>
      </c>
      <c r="S4837" t="n">
        <v>3500000</v>
      </c>
      <c r="T4837" t="n">
        <v>6757</v>
      </c>
      <c r="U4837" t="n">
        <v>29167</v>
      </c>
      <c r="AH4837" t="inlineStr">
        <is>
          <t>Quelle: Pollentia Properties</t>
        </is>
      </c>
    </row>
    <row r="4838">
      <c r="A4838" t="n">
        <v>4651</v>
      </c>
      <c r="B4838" t="inlineStr">
        <is>
          <t>Apartment with sea views for sale in La Bonanova with community pool</t>
        </is>
      </c>
      <c r="C4838" t="inlineStr">
        <is>
          <t>https://www.pollentiaproperties.com/en/property/id/854924-apartment-for-sale-la-bonanova-palma-newly-built-community-pool-garage</t>
        </is>
      </c>
      <c r="E4838" t="n">
        <v>3</v>
      </c>
      <c r="H4838" t="n">
        <v>125</v>
      </c>
      <c r="J4838" t="inlineStr">
        <is>
          <t>La Bonanova</t>
        </is>
      </c>
      <c r="K4838" t="n">
        <v>19.2</v>
      </c>
      <c r="L4838" t="n">
        <v>21</v>
      </c>
      <c r="M4838" t="n">
        <v>62</v>
      </c>
      <c r="N4838" t="n">
        <v>54</v>
      </c>
      <c r="O4838" t="n">
        <v>26.6</v>
      </c>
      <c r="P4838" t="n">
        <v>27</v>
      </c>
      <c r="Q4838" t="n">
        <v>59.7</v>
      </c>
      <c r="R4838" t="n">
        <v>51</v>
      </c>
      <c r="S4838" t="n">
        <v>1195000</v>
      </c>
      <c r="T4838" t="n">
        <v>9560</v>
      </c>
      <c r="AH4838" t="inlineStr">
        <is>
          <t>Quelle: Pollentia Properties</t>
        </is>
      </c>
    </row>
    <row r="4839">
      <c r="A4839" t="n">
        <v>4652</v>
      </c>
      <c r="B4839" t="inlineStr">
        <is>
          <t>Villa for sale in Bonaire with spectacular sea views</t>
        </is>
      </c>
      <c r="C4839" t="inlineStr">
        <is>
          <t>https://www.pollentiaproperties.com/en/property/id/854918-villa-for-sale-bonaire-spectacular-sea-views-refurbishment-project</t>
        </is>
      </c>
      <c r="E4839" t="n">
        <v>4</v>
      </c>
      <c r="G4839" t="n">
        <v>1</v>
      </c>
      <c r="J4839" t="inlineStr">
        <is>
          <t>Bonaire</t>
        </is>
      </c>
      <c r="K4839" t="n">
        <v>64.40000000000001</v>
      </c>
      <c r="L4839" t="n">
        <v>54</v>
      </c>
      <c r="M4839" t="n">
        <v>82.5</v>
      </c>
      <c r="N4839" t="n">
        <v>80</v>
      </c>
      <c r="O4839" t="n">
        <v>87</v>
      </c>
      <c r="P4839" t="n">
        <v>70</v>
      </c>
      <c r="Q4839" t="n">
        <v>80.2</v>
      </c>
      <c r="R4839" t="n">
        <v>77</v>
      </c>
      <c r="S4839" t="n">
        <v>3600000</v>
      </c>
      <c r="U4839" t="n">
        <v>3600000</v>
      </c>
      <c r="AH4839" t="inlineStr">
        <is>
          <t>Quelle: Pollentia Properties</t>
        </is>
      </c>
    </row>
    <row r="4840">
      <c r="A4840" t="n">
        <v>4653</v>
      </c>
      <c r="B4840" t="inlineStr">
        <is>
          <t>Villa for sale in Costa de la Calma, under construction</t>
        </is>
      </c>
      <c r="C4840" t="inlineStr">
        <is>
          <t>https://www.pollentiaproperties.com/en/property/id/854307-villa-sale-costa-de-la-calma-project-building-license</t>
        </is>
      </c>
      <c r="E4840" t="n">
        <v>5</v>
      </c>
      <c r="G4840" t="n">
        <v>925</v>
      </c>
      <c r="H4840" t="n">
        <v>610</v>
      </c>
      <c r="J4840" t="inlineStr">
        <is>
          <t>Costa de la Calma</t>
        </is>
      </c>
      <c r="K4840" t="n">
        <v>32.6</v>
      </c>
      <c r="L4840" t="n">
        <v>29</v>
      </c>
      <c r="M4840" t="n">
        <v>75.40000000000001</v>
      </c>
      <c r="N4840" t="n">
        <v>62</v>
      </c>
      <c r="O4840" t="n">
        <v>13.7</v>
      </c>
      <c r="P4840" t="n">
        <v>18</v>
      </c>
      <c r="Q4840" t="n">
        <v>73.09999999999999</v>
      </c>
      <c r="R4840" t="n">
        <v>58</v>
      </c>
      <c r="S4840" t="n">
        <v>7500000</v>
      </c>
      <c r="T4840" t="n">
        <v>12295</v>
      </c>
      <c r="U4840" t="n">
        <v>8108</v>
      </c>
      <c r="AH4840" t="inlineStr">
        <is>
          <t>Quelle: Pollentia Properties</t>
        </is>
      </c>
    </row>
    <row r="4841">
      <c r="A4841" t="n">
        <v>4654</v>
      </c>
      <c r="B4841" t="inlineStr">
        <is>
          <t>Building plot for sale  in Son Toni, Sa Pobla for building a villa with pool</t>
        </is>
      </c>
      <c r="C4841" t="inlineStr">
        <is>
          <t>https://www.pollentiaproperties.com/en/property/id/854283-building-plot-for-sale-son-toni-sa-pobla-potential-villa-pool</t>
        </is>
      </c>
      <c r="G4841" t="n">
        <v>2</v>
      </c>
      <c r="J4841" t="inlineStr">
        <is>
          <t>Pollença</t>
        </is>
      </c>
      <c r="S4841" t="n">
        <v>710000</v>
      </c>
      <c r="U4841" t="n">
        <v>355000</v>
      </c>
      <c r="AH4841" t="inlineStr">
        <is>
          <t>Quelle: Pollentia Properties</t>
        </is>
      </c>
    </row>
    <row r="4842">
      <c r="A4842" t="n">
        <v>4655</v>
      </c>
      <c r="B4842" t="inlineStr">
        <is>
          <t>Villa for sale in Bunyola, in quiet residential area with garden and pool</t>
        </is>
      </c>
      <c r="C4842" t="inlineStr">
        <is>
          <t>https://www.pollentiaproperties.com/en/property/id/854234-villa-for-sale-bunyola-residential.area-garden-pool</t>
        </is>
      </c>
      <c r="E4842" t="n">
        <v>4</v>
      </c>
      <c r="G4842" t="n">
        <v>1</v>
      </c>
      <c r="H4842" t="n">
        <v>250</v>
      </c>
      <c r="J4842" t="inlineStr">
        <is>
          <t>Bunyola</t>
        </is>
      </c>
      <c r="K4842" t="n">
        <v>26.3</v>
      </c>
      <c r="L4842" t="n">
        <v>25</v>
      </c>
      <c r="M4842" t="n">
        <v>69.09999999999999</v>
      </c>
      <c r="N4842" t="n">
        <v>58</v>
      </c>
      <c r="O4842" t="n">
        <v>48.9</v>
      </c>
      <c r="P4842" t="n">
        <v>41</v>
      </c>
      <c r="Q4842" t="n">
        <v>66.8</v>
      </c>
      <c r="R4842" t="n">
        <v>54</v>
      </c>
      <c r="S4842" t="n">
        <v>1250000</v>
      </c>
      <c r="T4842" t="n">
        <v>5000</v>
      </c>
      <c r="U4842" t="n">
        <v>1250000</v>
      </c>
      <c r="AH4842" t="inlineStr">
        <is>
          <t>Quelle: Pollentia Properties</t>
        </is>
      </c>
    </row>
    <row r="4843">
      <c r="A4843" t="n">
        <v>4656</v>
      </c>
      <c r="B4843" t="inlineStr">
        <is>
          <t>Villa in for sale in Puntiró near Palma, luxury property under construction</t>
        </is>
      </c>
      <c r="C4843" t="inlineStr">
        <is>
          <t>https://www.pollentiaproperties.com/en/property/id/853908-villa-for-sale-puntiro-under-construction-modern-design-pool</t>
        </is>
      </c>
      <c r="E4843" t="n">
        <v>5</v>
      </c>
      <c r="G4843" t="n">
        <v>8</v>
      </c>
      <c r="H4843" t="n">
        <v>530</v>
      </c>
      <c r="J4843" t="inlineStr">
        <is>
          <t>Puntiró</t>
        </is>
      </c>
      <c r="K4843" t="n">
        <v>16.7</v>
      </c>
      <c r="L4843" t="n">
        <v>21</v>
      </c>
      <c r="M4843" t="n">
        <v>53.4</v>
      </c>
      <c r="N4843" t="n">
        <v>52</v>
      </c>
      <c r="O4843" t="n">
        <v>47</v>
      </c>
      <c r="P4843" t="n">
        <v>43</v>
      </c>
      <c r="Q4843" t="n">
        <v>51.1</v>
      </c>
      <c r="R4843" t="n">
        <v>48</v>
      </c>
      <c r="AH4843" t="inlineStr">
        <is>
          <t>Quelle: Pollentia Properties</t>
        </is>
      </c>
    </row>
    <row r="4844">
      <c r="A4844" t="n">
        <v>4657</v>
      </c>
      <c r="B4844" t="inlineStr">
        <is>
          <t>Building plot for sale in Bonaire in fantastic location</t>
        </is>
      </c>
      <c r="C4844" t="inlineStr">
        <is>
          <t>https://www.pollentiaproperties.com/en/property/id/853898-building-plot-for-sale-bonaire--fantastic-location</t>
        </is>
      </c>
      <c r="G4844" t="n">
        <v>744</v>
      </c>
      <c r="J4844" t="inlineStr">
        <is>
          <t>Bonaire</t>
        </is>
      </c>
      <c r="S4844" t="n">
        <v>380000</v>
      </c>
      <c r="U4844" t="n">
        <v>511</v>
      </c>
      <c r="AH4844" t="inlineStr">
        <is>
          <t>Quelle: Pollentia Properties</t>
        </is>
      </c>
    </row>
    <row r="4845">
      <c r="A4845" t="n">
        <v>4658</v>
      </c>
      <c r="B4845" t="inlineStr">
        <is>
          <t>Front line penthouse for sale in Puerto Pollensa with sea views</t>
        </is>
      </c>
      <c r="C4845" t="inlineStr">
        <is>
          <t>https://www.pollentiaproperties.com/en/property/id/853442-penthouse-apartment-for-sale-puerto-pollensa-frontline-great-sea-views</t>
        </is>
      </c>
      <c r="E4845" t="n">
        <v>2</v>
      </c>
      <c r="H4845" t="n">
        <v>92</v>
      </c>
      <c r="J4845" t="inlineStr">
        <is>
          <t>Port de Pollença</t>
        </is>
      </c>
      <c r="AH4845" t="inlineStr">
        <is>
          <t>Quelle: Pollentia Properties</t>
        </is>
      </c>
    </row>
    <row r="4846">
      <c r="A4846" t="n">
        <v>4659</v>
      </c>
      <c r="B4846" t="inlineStr">
        <is>
          <t>Villa for sale in Cala Ratjada in new development under construction</t>
        </is>
      </c>
      <c r="C4846" t="inlineStr">
        <is>
          <t>https://www.pollentiaproperties.com/en/property/id/852455-villa-for-sale-cala-ratjada-development-under-construction</t>
        </is>
      </c>
      <c r="E4846" t="n">
        <v>3</v>
      </c>
      <c r="G4846" t="n">
        <v>186</v>
      </c>
      <c r="H4846" t="n">
        <v>232</v>
      </c>
      <c r="J4846" t="inlineStr">
        <is>
          <t>Cala Ratjada</t>
        </is>
      </c>
      <c r="S4846" t="n">
        <v>875000</v>
      </c>
      <c r="T4846" t="n">
        <v>3772</v>
      </c>
      <c r="U4846" t="n">
        <v>4704</v>
      </c>
      <c r="AH4846" t="inlineStr">
        <is>
          <t>Quelle: Pollentia Properties</t>
        </is>
      </c>
    </row>
    <row r="4847">
      <c r="A4847" t="n">
        <v>4660</v>
      </c>
      <c r="B4847" t="inlineStr">
        <is>
          <t>Country house for sale in Son Macià in quiet area near Manacor</t>
        </is>
      </c>
      <c r="C4847" t="inlineStr">
        <is>
          <t>https://www.pollentiaproperties.com/en/property/id/852442-country-house-for-sale-son-macia-renovated-private-pool</t>
        </is>
      </c>
      <c r="E4847" t="n">
        <v>4</v>
      </c>
      <c r="G4847" t="n">
        <v>12</v>
      </c>
      <c r="H4847" t="n">
        <v>295</v>
      </c>
      <c r="J4847" t="inlineStr">
        <is>
          <t>Son Macià</t>
        </is>
      </c>
      <c r="S4847" t="n">
        <v>990000</v>
      </c>
      <c r="T4847" t="n">
        <v>3356</v>
      </c>
      <c r="U4847" t="n">
        <v>82500</v>
      </c>
      <c r="AH4847" t="inlineStr">
        <is>
          <t>Quelle: Pollentia Properties</t>
        </is>
      </c>
    </row>
    <row r="4848">
      <c r="A4848" t="n">
        <v>4661</v>
      </c>
      <c r="B4848" t="inlineStr">
        <is>
          <t>Villa for sale in Bonaire, completely renovated with rental license</t>
        </is>
      </c>
      <c r="C4848" t="inlineStr">
        <is>
          <t>https://www.pollentiaproperties.com/en/property/id/852298-villa-for-sale-bonaire-completely-renovated-holiday-license</t>
        </is>
      </c>
      <c r="E4848" t="n">
        <v>6</v>
      </c>
      <c r="G4848" t="n">
        <v>565</v>
      </c>
      <c r="H4848" t="n">
        <v>350</v>
      </c>
      <c r="J4848" t="inlineStr">
        <is>
          <t>Bonaire</t>
        </is>
      </c>
      <c r="K4848" t="n">
        <v>64.40000000000001</v>
      </c>
      <c r="L4848" t="n">
        <v>54</v>
      </c>
      <c r="M4848" t="n">
        <v>82.5</v>
      </c>
      <c r="N4848" t="n">
        <v>80</v>
      </c>
      <c r="O4848" t="n">
        <v>87</v>
      </c>
      <c r="P4848" t="n">
        <v>70</v>
      </c>
      <c r="Q4848" t="n">
        <v>80.2</v>
      </c>
      <c r="R4848" t="n">
        <v>77</v>
      </c>
      <c r="S4848" t="n">
        <v>1450000</v>
      </c>
      <c r="T4848" t="n">
        <v>4143</v>
      </c>
      <c r="U4848" t="n">
        <v>2566</v>
      </c>
      <c r="AH4848" t="inlineStr">
        <is>
          <t>Quelle: Pollentia Properties</t>
        </is>
      </c>
    </row>
    <row r="4849">
      <c r="A4849" t="n">
        <v>4662</v>
      </c>
      <c r="B4849" t="inlineStr">
        <is>
          <t>Country home for sale in Pollensa with project and license for building</t>
        </is>
      </c>
      <c r="C4849" t="inlineStr">
        <is>
          <t>https://www.pollentiaproperties.com/en/property/id/852188-country-home-for-sale-pollensa-project-building-license</t>
        </is>
      </c>
      <c r="E4849" t="n">
        <v>4</v>
      </c>
      <c r="G4849" t="n">
        <v>29</v>
      </c>
      <c r="H4849" t="n">
        <v>285</v>
      </c>
      <c r="J4849" t="inlineStr">
        <is>
          <t>Pollença</t>
        </is>
      </c>
      <c r="K4849" t="n">
        <v>60.6</v>
      </c>
      <c r="L4849" t="n">
        <v>47</v>
      </c>
      <c r="M4849" t="n">
        <v>78.7</v>
      </c>
      <c r="N4849" t="n">
        <v>74</v>
      </c>
      <c r="O4849" t="n">
        <v>83.2</v>
      </c>
      <c r="P4849" t="n">
        <v>63</v>
      </c>
      <c r="Q4849" t="n">
        <v>76.40000000000001</v>
      </c>
      <c r="R4849" t="n">
        <v>70</v>
      </c>
      <c r="S4849" t="n">
        <v>4000000</v>
      </c>
      <c r="T4849" t="n">
        <v>14035</v>
      </c>
      <c r="U4849" t="n">
        <v>137931</v>
      </c>
      <c r="AH4849" t="inlineStr">
        <is>
          <t>Quelle: Pollentia Properties</t>
        </is>
      </c>
    </row>
    <row r="4850">
      <c r="A4850" t="n">
        <v>4663</v>
      </c>
      <c r="B4850" t="inlineStr">
        <is>
          <t>Apartment for sale in Pinaret with community pool, close to the beach</t>
        </is>
      </c>
      <c r="C4850" t="inlineStr">
        <is>
          <t>https://www.pollentiaproperties.com/en/property/id/851220-apartment-for-sale-pinaret-terrace-community-pool</t>
        </is>
      </c>
      <c r="E4850" t="n">
        <v>3</v>
      </c>
      <c r="H4850" t="n">
        <v>115</v>
      </c>
      <c r="J4850" t="inlineStr">
        <is>
          <t>Pinaret</t>
        </is>
      </c>
      <c r="AH4850" t="inlineStr">
        <is>
          <t>Quelle: Pollentia Properties</t>
        </is>
      </c>
    </row>
    <row r="4851">
      <c r="A4851" t="n">
        <v>4664</v>
      </c>
      <c r="B4851" t="inlineStr">
        <is>
          <t>Apartment for sale in Sa Coma,  in new complex under construction</t>
        </is>
      </c>
      <c r="C4851" t="inlineStr">
        <is>
          <t>https://www.pollentiaproperties.com/en/property/id/851217-apartment-for-sale-sa-coma-completion-2024-investment</t>
        </is>
      </c>
      <c r="E4851" t="n">
        <v>2</v>
      </c>
      <c r="H4851" t="n">
        <v>98</v>
      </c>
      <c r="J4851" t="inlineStr">
        <is>
          <t>Sa Coma</t>
        </is>
      </c>
      <c r="AH4851" t="inlineStr">
        <is>
          <t>Quelle: Pollentia Properties</t>
        </is>
      </c>
    </row>
    <row r="4852">
      <c r="A4852" t="n">
        <v>4665</v>
      </c>
      <c r="B4852" t="inlineStr">
        <is>
          <t>Country plot for sale in Campos with great potential for its use</t>
        </is>
      </c>
      <c r="C4852" t="inlineStr">
        <is>
          <t>https://www.pollentiaproperties.com/en/property/id/850719-country-plot-for-sale-campos-great-potential-family-home</t>
        </is>
      </c>
      <c r="G4852" t="n">
        <v>73</v>
      </c>
      <c r="H4852" t="n">
        <v>486</v>
      </c>
      <c r="J4852" t="inlineStr">
        <is>
          <t>Campos</t>
        </is>
      </c>
      <c r="S4852" t="n">
        <v>890000</v>
      </c>
      <c r="T4852" t="n">
        <v>1831</v>
      </c>
      <c r="U4852" t="n">
        <v>12192</v>
      </c>
      <c r="AH4852" t="inlineStr">
        <is>
          <t>Quelle: Pollentia Properties</t>
        </is>
      </c>
    </row>
    <row r="4853">
      <c r="A4853" t="n">
        <v>4666</v>
      </c>
      <c r="B4853" t="inlineStr">
        <is>
          <t>Apartment for sale in Palmanova new complex close to the beach</t>
        </is>
      </c>
      <c r="C4853" t="inlineStr">
        <is>
          <t>https://www.pollentiaproperties.com/en/property/id/850383-apartment-for-sale-palmanova-new-complex-community-areas</t>
        </is>
      </c>
      <c r="E4853" t="n">
        <v>2</v>
      </c>
      <c r="H4853" t="n">
        <v>119</v>
      </c>
      <c r="J4853" t="inlineStr">
        <is>
          <t>Palmanova</t>
        </is>
      </c>
      <c r="S4853" t="n">
        <v>596000</v>
      </c>
      <c r="T4853" t="n">
        <v>5008</v>
      </c>
      <c r="AH4853" t="inlineStr">
        <is>
          <t>Quelle: Pollentia Properties</t>
        </is>
      </c>
    </row>
    <row r="4854">
      <c r="A4854" t="n">
        <v>4667</v>
      </c>
      <c r="B4854" t="inlineStr">
        <is>
          <t>Town house for sale in Pollensa in desirable area of the Calvario</t>
        </is>
      </c>
      <c r="C4854" t="inlineStr">
        <is>
          <t>https://www.pollentiaproperties.com/en/property/id/850067-town-house-for-sale-pollensa-calvario-steps-renovation-project</t>
        </is>
      </c>
      <c r="E4854" t="n">
        <v>4</v>
      </c>
      <c r="G4854" t="n">
        <v>44</v>
      </c>
      <c r="H4854" t="n">
        <v>117</v>
      </c>
      <c r="J4854" t="inlineStr">
        <is>
          <t>El Calvari</t>
        </is>
      </c>
      <c r="AH4854" t="inlineStr">
        <is>
          <t>Quelle: Pollentia Properties</t>
        </is>
      </c>
    </row>
    <row r="4855">
      <c r="A4855" t="n">
        <v>4668</v>
      </c>
      <c r="B4855" t="inlineStr">
        <is>
          <t>Country house for sale in Alcúdia in great location with rental license</t>
        </is>
      </c>
      <c r="C4855" t="inlineStr">
        <is>
          <t>https://www.pollentiaproperties.com/en/property/id/849638-country-house-for-sale--pollensa-great-location-garden-pool-rental-license</t>
        </is>
      </c>
      <c r="E4855" t="n">
        <v>4</v>
      </c>
      <c r="G4855" t="n">
        <v>14</v>
      </c>
      <c r="H4855" t="n">
        <v>339</v>
      </c>
      <c r="J4855" t="inlineStr">
        <is>
          <t>Alcúdia</t>
        </is>
      </c>
      <c r="K4855" t="n">
        <v>61.6</v>
      </c>
      <c r="L4855" t="n">
        <v>47</v>
      </c>
      <c r="M4855" t="n">
        <v>79.7</v>
      </c>
      <c r="N4855" t="n">
        <v>74</v>
      </c>
      <c r="O4855" t="n">
        <v>84.2</v>
      </c>
      <c r="P4855" t="n">
        <v>63</v>
      </c>
      <c r="Q4855" t="n">
        <v>77.40000000000001</v>
      </c>
      <c r="R4855" t="n">
        <v>70</v>
      </c>
      <c r="S4855" t="n">
        <v>2200000</v>
      </c>
      <c r="T4855" t="n">
        <v>6490</v>
      </c>
      <c r="U4855" t="n">
        <v>157143</v>
      </c>
      <c r="AH4855" t="inlineStr">
        <is>
          <t>Quelle: Pollentia Properties</t>
        </is>
      </c>
    </row>
    <row r="4856">
      <c r="A4856" t="n">
        <v>4669</v>
      </c>
      <c r="B4856" t="inlineStr">
        <is>
          <t>Villa for sale in S'Aranjassa area of Palma with garden and pool</t>
        </is>
      </c>
      <c r="C4856" t="inlineStr">
        <is>
          <t>https://www.pollentiaproperties.com/en/property/id/849553-villa-for-sale-s-aranjassa-area-palma-garden-pool</t>
        </is>
      </c>
      <c r="E4856" t="n">
        <v>6</v>
      </c>
      <c r="G4856" t="n">
        <v>8</v>
      </c>
      <c r="H4856" t="n">
        <v>500</v>
      </c>
      <c r="J4856" t="inlineStr">
        <is>
          <t>S`Aranjassa</t>
        </is>
      </c>
      <c r="K4856" t="n">
        <v>8</v>
      </c>
      <c r="L4856" t="n">
        <v>12</v>
      </c>
      <c r="M4856" t="n">
        <v>43.5</v>
      </c>
      <c r="N4856" t="n">
        <v>40</v>
      </c>
      <c r="O4856" t="n">
        <v>46.1</v>
      </c>
      <c r="P4856" t="n">
        <v>39</v>
      </c>
      <c r="Q4856" t="n">
        <v>41.2</v>
      </c>
      <c r="R4856" t="n">
        <v>37</v>
      </c>
      <c r="S4856" t="n">
        <v>2200000</v>
      </c>
      <c r="T4856" t="n">
        <v>4400</v>
      </c>
      <c r="U4856" t="n">
        <v>275000</v>
      </c>
      <c r="AH4856" t="inlineStr">
        <is>
          <t>Quelle: Pollentia Properties</t>
        </is>
      </c>
    </row>
    <row r="4857">
      <c r="A4857" t="n">
        <v>4670</v>
      </c>
      <c r="B4857" t="inlineStr">
        <is>
          <t>Villa for sale in Bahia Azul in Llucmajor with impressive views</t>
        </is>
      </c>
      <c r="C4857" t="inlineStr">
        <is>
          <t>https://www.pollentiaproperties.com/en/property/id/849314-villa-for-sale-bahia-azul-llucmajor-impressive-sea-views</t>
        </is>
      </c>
      <c r="E4857" t="n">
        <v>4</v>
      </c>
      <c r="G4857" t="n">
        <v>1</v>
      </c>
      <c r="H4857" t="n">
        <v>423</v>
      </c>
      <c r="J4857" t="inlineStr">
        <is>
          <t>Bahia Azul</t>
        </is>
      </c>
      <c r="K4857" t="n">
        <v>18.3</v>
      </c>
      <c r="L4857" t="n">
        <v>20</v>
      </c>
      <c r="M4857" t="n">
        <v>40.6</v>
      </c>
      <c r="N4857" t="n">
        <v>40</v>
      </c>
      <c r="O4857" t="n">
        <v>56.5</v>
      </c>
      <c r="P4857" t="n">
        <v>48</v>
      </c>
      <c r="Q4857" t="n">
        <v>38.3</v>
      </c>
      <c r="R4857" t="n">
        <v>36</v>
      </c>
      <c r="S4857" t="n">
        <v>3875000</v>
      </c>
      <c r="T4857" t="n">
        <v>9161</v>
      </c>
      <c r="U4857" t="n">
        <v>3875000</v>
      </c>
      <c r="AH4857" t="inlineStr">
        <is>
          <t>Quelle: Pollentia Properties</t>
        </is>
      </c>
    </row>
    <row r="4858">
      <c r="A4858" t="n">
        <v>4671</v>
      </c>
      <c r="B4858" t="inlineStr">
        <is>
          <t>Country plot for sale in Pollença with project applied for to build a house and pool</t>
        </is>
      </c>
      <c r="C4858" t="inlineStr">
        <is>
          <t>https://www.pollentiaproperties.com/en/property/id/848461-country-plot-for-sale-Pollensa-project-pending-house-pool</t>
        </is>
      </c>
      <c r="E4858" t="n">
        <v>4</v>
      </c>
      <c r="G4858" t="n">
        <v>17</v>
      </c>
      <c r="H4858" t="n">
        <v>260</v>
      </c>
      <c r="J4858" t="inlineStr">
        <is>
          <t>Pollença</t>
        </is>
      </c>
      <c r="S4858" t="n">
        <v>725000</v>
      </c>
      <c r="T4858" t="n">
        <v>2788</v>
      </c>
      <c r="U4858" t="n">
        <v>42647</v>
      </c>
      <c r="AH4858" t="inlineStr">
        <is>
          <t>Quelle: Pollentia Properties</t>
        </is>
      </c>
    </row>
    <row r="4859">
      <c r="A4859" t="n">
        <v>4672</v>
      </c>
      <c r="B4859" t="inlineStr">
        <is>
          <t>Villa for sale in Sa Coma close to the beach in quiet residential area</t>
        </is>
      </c>
      <c r="C4859" t="inlineStr">
        <is>
          <t>https://www.pollentiaproperties.com/en/property/id/848313-villa-for-sale-sa-coma-residential-area-garden-pool-garage</t>
        </is>
      </c>
      <c r="E4859" t="n">
        <v>4</v>
      </c>
      <c r="G4859" t="n">
        <v>1</v>
      </c>
      <c r="H4859" t="n">
        <v>267</v>
      </c>
      <c r="J4859" t="inlineStr">
        <is>
          <t>Sa Coma</t>
        </is>
      </c>
      <c r="S4859" t="n">
        <v>974000</v>
      </c>
      <c r="T4859" t="n">
        <v>3648</v>
      </c>
      <c r="U4859" t="n">
        <v>974000</v>
      </c>
      <c r="AH4859" t="inlineStr">
        <is>
          <t>Quelle: Pollentia Properties</t>
        </is>
      </c>
    </row>
    <row r="4860">
      <c r="A4860" t="n">
        <v>4673</v>
      </c>
      <c r="B4860" t="inlineStr">
        <is>
          <t>Town house for sale in Capdepera fantastic renovation project</t>
        </is>
      </c>
      <c r="C4860" t="inlineStr">
        <is>
          <t>https://www.pollentiaproperties.com/en/property/id/848312-town-house-for-sale-capdepera-renovation-project-fantastic-opportunity</t>
        </is>
      </c>
      <c r="H4860" t="n">
        <v>365</v>
      </c>
      <c r="J4860" t="inlineStr">
        <is>
          <t>Capdepera</t>
        </is>
      </c>
      <c r="S4860" t="n">
        <v>450000</v>
      </c>
      <c r="T4860" t="n">
        <v>1233</v>
      </c>
      <c r="AH4860" t="inlineStr">
        <is>
          <t>Quelle: Pollentia Properties</t>
        </is>
      </c>
    </row>
    <row r="4861">
      <c r="A4861" t="n">
        <v>4674</v>
      </c>
      <c r="B4861" t="inlineStr">
        <is>
          <t>Country house for sale in Felantix in idyllic location</t>
        </is>
      </c>
      <c r="C4861" t="inlineStr">
        <is>
          <t>https://www.pollentiaproperties.com/en/property/id/847832-country-house-for-sale-felantix-in-idyllic-location-rental-license</t>
        </is>
      </c>
      <c r="E4861" t="n">
        <v>5</v>
      </c>
      <c r="G4861" t="n">
        <v>17</v>
      </c>
      <c r="H4861" t="n">
        <v>400</v>
      </c>
      <c r="J4861" t="inlineStr">
        <is>
          <t>Felanitx</t>
        </is>
      </c>
      <c r="K4861" t="n">
        <v>45</v>
      </c>
      <c r="L4861" t="n">
        <v>40</v>
      </c>
      <c r="M4861" t="n">
        <v>26.8</v>
      </c>
      <c r="N4861" t="n">
        <v>30</v>
      </c>
      <c r="O4861" t="n">
        <v>83.2</v>
      </c>
      <c r="P4861" t="n">
        <v>68</v>
      </c>
      <c r="Q4861" t="n">
        <v>24.5</v>
      </c>
      <c r="R4861" t="n">
        <v>26</v>
      </c>
      <c r="S4861" t="n">
        <v>1800000</v>
      </c>
      <c r="T4861" t="n">
        <v>4500</v>
      </c>
      <c r="U4861" t="n">
        <v>105882</v>
      </c>
      <c r="AH4861" t="inlineStr">
        <is>
          <t>Quelle: Pollentia Properties</t>
        </is>
      </c>
    </row>
    <row r="4862">
      <c r="A4862" t="n">
        <v>4675</v>
      </c>
      <c r="B4862" t="inlineStr">
        <is>
          <t>Villa for sale in Palma, Son Veri Nou in seafacing location with garden and pool</t>
        </is>
      </c>
      <c r="C4862" t="inlineStr">
        <is>
          <t>https://www.pollentiaproperties.com/en/property/id/847733-villa-in-palma-son-veri-nou-seafacing-location-with-garden-and-pool</t>
        </is>
      </c>
      <c r="E4862" t="n">
        <v>4</v>
      </c>
      <c r="G4862" t="n">
        <v>958</v>
      </c>
      <c r="H4862" t="n">
        <v>689</v>
      </c>
      <c r="J4862" t="inlineStr">
        <is>
          <t>Son Verí Nou</t>
        </is>
      </c>
      <c r="K4862" t="n">
        <v>11.5</v>
      </c>
      <c r="L4862" t="n">
        <v>14</v>
      </c>
      <c r="M4862" t="n">
        <v>41.8</v>
      </c>
      <c r="N4862" t="n">
        <v>40</v>
      </c>
      <c r="O4862" t="n">
        <v>49.7</v>
      </c>
      <c r="P4862" t="n">
        <v>42</v>
      </c>
      <c r="Q4862" t="n">
        <v>39.5</v>
      </c>
      <c r="R4862" t="n">
        <v>36</v>
      </c>
      <c r="S4862" t="n">
        <v>15000000</v>
      </c>
      <c r="T4862" t="n">
        <v>21771</v>
      </c>
      <c r="U4862" t="n">
        <v>15658</v>
      </c>
      <c r="AH4862" t="inlineStr">
        <is>
          <t>Quelle: Pollentia Properties</t>
        </is>
      </c>
    </row>
    <row r="4863">
      <c r="A4863" t="n">
        <v>4676</v>
      </c>
      <c r="B4863" t="inlineStr">
        <is>
          <t>Apartments for sale in Santa Ponsa, in new top quality development</t>
        </is>
      </c>
      <c r="C4863" t="inlineStr">
        <is>
          <t>https://www.pollentiaproperties.com/en/property/id/847705-ground-floor-for-sale-santa-ponsa-private-garden-pool</t>
        </is>
      </c>
      <c r="E4863" t="n">
        <v>4</v>
      </c>
      <c r="H4863" t="n">
        <v>173</v>
      </c>
      <c r="J4863" t="inlineStr">
        <is>
          <t>Santa Ponsa</t>
        </is>
      </c>
      <c r="K4863" t="n">
        <v>31.1</v>
      </c>
      <c r="L4863" t="n">
        <v>28</v>
      </c>
      <c r="M4863" t="n">
        <v>73.90000000000001</v>
      </c>
      <c r="N4863" t="n">
        <v>61</v>
      </c>
      <c r="O4863" t="n">
        <v>15.2</v>
      </c>
      <c r="P4863" t="n">
        <v>19</v>
      </c>
      <c r="Q4863" t="n">
        <v>71.59999999999999</v>
      </c>
      <c r="R4863" t="n">
        <v>57</v>
      </c>
      <c r="S4863" t="n">
        <v>1668300</v>
      </c>
      <c r="T4863" t="n">
        <v>9643</v>
      </c>
      <c r="AH4863" t="inlineStr">
        <is>
          <t>Quelle: Pollentia Properties</t>
        </is>
      </c>
    </row>
    <row r="4864">
      <c r="A4864" t="n">
        <v>4677</v>
      </c>
      <c r="B4864" t="inlineStr">
        <is>
          <t>Apartments for sale in Santa Ponsa, in new top quality development</t>
        </is>
      </c>
      <c r="C4864" t="inlineStr">
        <is>
          <t>https://www.pollentiaproperties.com/en/property/id/847704-penthouse-for-sale-santa-ponsa-private-pool-under-construction</t>
        </is>
      </c>
      <c r="E4864" t="n">
        <v>4</v>
      </c>
      <c r="H4864" t="n">
        <v>173</v>
      </c>
      <c r="J4864" t="inlineStr">
        <is>
          <t>Santa Ponsa</t>
        </is>
      </c>
      <c r="K4864" t="n">
        <v>31.1</v>
      </c>
      <c r="L4864" t="n">
        <v>28</v>
      </c>
      <c r="M4864" t="n">
        <v>73.90000000000001</v>
      </c>
      <c r="N4864" t="n">
        <v>61</v>
      </c>
      <c r="O4864" t="n">
        <v>15.2</v>
      </c>
      <c r="P4864" t="n">
        <v>19</v>
      </c>
      <c r="Q4864" t="n">
        <v>71.59999999999999</v>
      </c>
      <c r="R4864" t="n">
        <v>57</v>
      </c>
      <c r="S4864" t="n">
        <v>1678550</v>
      </c>
      <c r="T4864" t="n">
        <v>9703</v>
      </c>
      <c r="AH4864" t="inlineStr">
        <is>
          <t>Quelle: Pollentia Properties</t>
        </is>
      </c>
    </row>
    <row r="4865">
      <c r="A4865" t="n">
        <v>4678</v>
      </c>
      <c r="B4865" t="inlineStr">
        <is>
          <t>Apartment for sale in Palmanova in new complex close to the beach</t>
        </is>
      </c>
      <c r="C4865" t="inlineStr">
        <is>
          <t>https://www.pollentiaproperties.com/en/property/id/847636-apartment-for-sale-palmanova--new-complex-community-areas</t>
        </is>
      </c>
      <c r="E4865" t="n">
        <v>1</v>
      </c>
      <c r="H4865" t="n">
        <v>72</v>
      </c>
      <c r="J4865" t="inlineStr">
        <is>
          <t>Palmanova</t>
        </is>
      </c>
      <c r="S4865" t="n">
        <v>457000</v>
      </c>
      <c r="T4865" t="n">
        <v>6347</v>
      </c>
      <c r="AH4865" t="inlineStr">
        <is>
          <t>Quelle: Pollentia Properties</t>
        </is>
      </c>
    </row>
    <row r="4866">
      <c r="A4866" t="n">
        <v>4679</v>
      </c>
      <c r="B4866" t="inlineStr">
        <is>
          <t>Country house for sale in Porto Cristo with tourist rental license</t>
        </is>
      </c>
      <c r="C4866" t="inlineStr">
        <is>
          <t>https://www.pollentiaproperties.com/en/property/id/847635-country-house-for-sale-porto-cristo-terrace-pool-tourist-rental-license</t>
        </is>
      </c>
      <c r="E4866" t="n">
        <v>4</v>
      </c>
      <c r="G4866" t="n">
        <v>14</v>
      </c>
      <c r="H4866" t="n">
        <v>112</v>
      </c>
      <c r="J4866" t="inlineStr">
        <is>
          <t>Porto Cristo</t>
        </is>
      </c>
      <c r="S4866" t="n">
        <v>915000</v>
      </c>
      <c r="T4866" t="n">
        <v>8170</v>
      </c>
      <c r="U4866" t="n">
        <v>65357</v>
      </c>
      <c r="AH4866" t="inlineStr">
        <is>
          <t>Quelle: Pollentia Properties</t>
        </is>
      </c>
    </row>
    <row r="4867">
      <c r="A4867" t="n">
        <v>4680</v>
      </c>
      <c r="B4867" t="inlineStr">
        <is>
          <t>Villa for sale in Mal Pas, Alcudia currently under construction</t>
        </is>
      </c>
      <c r="C4867" t="inlineStr">
        <is>
          <t>https://www.pollentiaproperties.com/en/property/id/845853-villa-for-sale-mal-pas-alcudia-currently-under-construction-top-quality</t>
        </is>
      </c>
      <c r="E4867" t="n">
        <v>6</v>
      </c>
      <c r="G4867" t="n">
        <v>7</v>
      </c>
      <c r="H4867" t="n">
        <v>540</v>
      </c>
      <c r="J4867" t="inlineStr">
        <is>
          <t>Mal Pas</t>
        </is>
      </c>
      <c r="K4867" t="n">
        <v>63.3</v>
      </c>
      <c r="L4867" t="n">
        <v>51</v>
      </c>
      <c r="M4867" t="n">
        <v>81.40000000000001</v>
      </c>
      <c r="N4867" t="n">
        <v>78</v>
      </c>
      <c r="O4867" t="n">
        <v>85.90000000000001</v>
      </c>
      <c r="P4867" t="n">
        <v>67</v>
      </c>
      <c r="Q4867" t="n">
        <v>79.09999999999999</v>
      </c>
      <c r="R4867" t="n">
        <v>74</v>
      </c>
      <c r="S4867" t="n">
        <v>8995000</v>
      </c>
      <c r="T4867" t="n">
        <v>16657</v>
      </c>
      <c r="U4867" t="n">
        <v>1285000</v>
      </c>
      <c r="AH4867" t="inlineStr">
        <is>
          <t>Quelle: Pollentia Properties</t>
        </is>
      </c>
    </row>
    <row r="4868">
      <c r="A4868" t="n">
        <v>4681</v>
      </c>
      <c r="B4868" t="inlineStr">
        <is>
          <t>Villa for sale in Mallorca designer property in fantastic location</t>
        </is>
      </c>
      <c r="C4868" t="inlineStr">
        <is>
          <t>https://www.pollentiaproperties.com/en/property/id/844449-villa-for-sale-esporles-luxury-property-garden-pool</t>
        </is>
      </c>
      <c r="E4868" t="n">
        <v>6</v>
      </c>
      <c r="G4868" t="n">
        <v>3</v>
      </c>
      <c r="H4868" t="n">
        <v>548</v>
      </c>
      <c r="J4868" t="inlineStr">
        <is>
          <t>Esporles</t>
        </is>
      </c>
      <c r="K4868" t="n">
        <v>24.9</v>
      </c>
      <c r="L4868" t="n">
        <v>27</v>
      </c>
      <c r="M4868" t="n">
        <v>67.59999999999999</v>
      </c>
      <c r="N4868" t="n">
        <v>60</v>
      </c>
      <c r="O4868" t="n">
        <v>43.2</v>
      </c>
      <c r="P4868" t="n">
        <v>40</v>
      </c>
      <c r="Q4868" t="n">
        <v>65.3</v>
      </c>
      <c r="R4868" t="n">
        <v>57</v>
      </c>
      <c r="S4868" t="n">
        <v>4200000</v>
      </c>
      <c r="T4868" t="n">
        <v>7664</v>
      </c>
      <c r="U4868" t="n">
        <v>1400000</v>
      </c>
      <c r="AH4868" t="inlineStr">
        <is>
          <t>Quelle: Pollentia Properties</t>
        </is>
      </c>
    </row>
    <row r="4869">
      <c r="A4869" t="n">
        <v>4682</v>
      </c>
      <c r="B4869" t="inlineStr">
        <is>
          <t>Villa for sale in Cas Catala luxury property with holiday license</t>
        </is>
      </c>
      <c r="C4869" t="inlineStr">
        <is>
          <t>https://www.pollentiaproperties.com/en/property/id/844386-villa-for-sale-cas-catala-luxury-property-garden-pool</t>
        </is>
      </c>
      <c r="E4869" t="n">
        <v>6</v>
      </c>
      <c r="G4869" t="n">
        <v>856</v>
      </c>
      <c r="H4869" t="n">
        <v>493</v>
      </c>
      <c r="J4869" t="inlineStr">
        <is>
          <t>Cas Català</t>
        </is>
      </c>
      <c r="K4869" t="n">
        <v>20</v>
      </c>
      <c r="L4869" t="n">
        <v>22</v>
      </c>
      <c r="M4869" t="n">
        <v>62.8</v>
      </c>
      <c r="N4869" t="n">
        <v>55</v>
      </c>
      <c r="O4869" t="n">
        <v>23.7</v>
      </c>
      <c r="P4869" t="n">
        <v>23</v>
      </c>
      <c r="Q4869" t="n">
        <v>60.5</v>
      </c>
      <c r="R4869" t="n">
        <v>51</v>
      </c>
      <c r="S4869" t="n">
        <v>6500000</v>
      </c>
      <c r="T4869" t="n">
        <v>13185</v>
      </c>
      <c r="U4869" t="n">
        <v>7593</v>
      </c>
      <c r="AH4869" t="inlineStr">
        <is>
          <t>Quelle: Pollentia Properties</t>
        </is>
      </c>
    </row>
    <row r="4870">
      <c r="A4870" t="n">
        <v>4683</v>
      </c>
      <c r="B4870" t="inlineStr">
        <is>
          <t>Town house for sale in Pollença in great location in historic centre</t>
        </is>
      </c>
      <c r="C4870" t="inlineStr">
        <is>
          <t>https://www.pollentiaproperties.com/en/property/id/844375-town-house-for-sale-pollensa-great-location-historic-centre</t>
        </is>
      </c>
      <c r="E4870" t="n">
        <v>3</v>
      </c>
      <c r="G4870" t="n">
        <v>41</v>
      </c>
      <c r="H4870" t="n">
        <v>100</v>
      </c>
      <c r="J4870" t="inlineStr">
        <is>
          <t>Pollença Pueblo</t>
        </is>
      </c>
      <c r="S4870" t="n">
        <v>378000</v>
      </c>
      <c r="T4870" t="n">
        <v>3780</v>
      </c>
      <c r="U4870" t="n">
        <v>9220</v>
      </c>
      <c r="AH4870" t="inlineStr">
        <is>
          <t>Quelle: Pollentia Properties</t>
        </is>
      </c>
    </row>
    <row r="4871">
      <c r="A4871" t="n">
        <v>4684</v>
      </c>
      <c r="B4871" t="inlineStr">
        <is>
          <t>Townhouse for sale in Muro, fantastic new build</t>
        </is>
      </c>
      <c r="C4871" t="inlineStr">
        <is>
          <t>https://www.pollentiaproperties.com/en/property/id/844168-townhouse-for-sale-muro-new-build-top-quality-reduced-price</t>
        </is>
      </c>
      <c r="E4871" t="n">
        <v>3</v>
      </c>
      <c r="G4871" t="n">
        <v>420</v>
      </c>
      <c r="H4871" t="n">
        <v>228</v>
      </c>
      <c r="J4871" t="inlineStr">
        <is>
          <t>Muro</t>
        </is>
      </c>
      <c r="AH4871" t="inlineStr">
        <is>
          <t>Quelle: Pollentia Properties</t>
        </is>
      </c>
    </row>
    <row r="4872">
      <c r="A4872" t="n">
        <v>4685</v>
      </c>
      <c r="B4872" t="inlineStr">
        <is>
          <t>Country house for sale in Son Ferriol with lots of land and potential</t>
        </is>
      </c>
      <c r="C4872" t="inlineStr">
        <is>
          <t>https://www.pollentiaproperties.com/en/property/id/842668-country-house-son-ferriol-huge-plot-great-potential</t>
        </is>
      </c>
      <c r="E4872" t="n">
        <v>5</v>
      </c>
      <c r="G4872" t="n">
        <v>142</v>
      </c>
      <c r="H4872" t="n">
        <v>1</v>
      </c>
      <c r="J4872" t="inlineStr">
        <is>
          <t>Son Ferriol</t>
        </is>
      </c>
      <c r="K4872" t="n">
        <v>7.9</v>
      </c>
      <c r="L4872" t="n">
        <v>14</v>
      </c>
      <c r="M4872" t="n">
        <v>51.1</v>
      </c>
      <c r="N4872" t="n">
        <v>48</v>
      </c>
      <c r="O4872" t="n">
        <v>38.2</v>
      </c>
      <c r="P4872" t="n">
        <v>36</v>
      </c>
      <c r="Q4872" t="n">
        <v>48.8</v>
      </c>
      <c r="R4872" t="n">
        <v>44</v>
      </c>
      <c r="S4872" t="n">
        <v>2500000</v>
      </c>
      <c r="T4872" t="n">
        <v>2500000</v>
      </c>
      <c r="U4872" t="n">
        <v>17606</v>
      </c>
      <c r="AH4872" t="inlineStr">
        <is>
          <t>Quelle: Pollentia Properties</t>
        </is>
      </c>
    </row>
    <row r="4873">
      <c r="A4873" t="n">
        <v>4686</v>
      </c>
      <c r="B4873" t="inlineStr">
        <is>
          <t>Stylishly renovated town house for sale in Pollença</t>
        </is>
      </c>
      <c r="C4873" t="inlineStr">
        <is>
          <t>https://www.pollentiaproperties.com/en/property/id/842570-townhouse-for-sale-pollensa-old-town-stylishly-renovated</t>
        </is>
      </c>
      <c r="E4873" t="n">
        <v>2</v>
      </c>
      <c r="G4873" t="n">
        <v>105</v>
      </c>
      <c r="H4873" t="n">
        <v>115</v>
      </c>
      <c r="J4873" t="inlineStr">
        <is>
          <t>Pollença Pueblo</t>
        </is>
      </c>
      <c r="S4873" t="n">
        <v>895000</v>
      </c>
      <c r="T4873" t="n">
        <v>7783</v>
      </c>
      <c r="U4873" t="n">
        <v>8524</v>
      </c>
      <c r="AH4873" t="inlineStr">
        <is>
          <t>Quelle: Pollentia Properties</t>
        </is>
      </c>
    </row>
    <row r="4874">
      <c r="A4874" t="n">
        <v>4687</v>
      </c>
      <c r="B4874" t="inlineStr">
        <is>
          <t>Country house in Sencelles with garden, pool and productive vineyard</t>
        </is>
      </c>
      <c r="C4874" t="inlineStr">
        <is>
          <t>https://www.pollentiaproperties.com/en/property/id/842566-country-house-for-sale-sencelles-garden-pool-productive-vineyard</t>
        </is>
      </c>
      <c r="E4874" t="n">
        <v>4</v>
      </c>
      <c r="G4874" t="n">
        <v>15</v>
      </c>
      <c r="H4874" t="n">
        <v>570</v>
      </c>
      <c r="J4874" t="inlineStr">
        <is>
          <t>Sencelles</t>
        </is>
      </c>
      <c r="K4874" t="n">
        <v>34.2</v>
      </c>
      <c r="L4874" t="n">
        <v>32</v>
      </c>
      <c r="M4874" t="n">
        <v>46.4</v>
      </c>
      <c r="N4874" t="n">
        <v>50</v>
      </c>
      <c r="O4874" t="n">
        <v>56.8</v>
      </c>
      <c r="P4874" t="n">
        <v>48</v>
      </c>
      <c r="Q4874" t="n">
        <v>44.1</v>
      </c>
      <c r="R4874" t="n">
        <v>46</v>
      </c>
      <c r="S4874" t="n">
        <v>2950000</v>
      </c>
      <c r="T4874" t="n">
        <v>5175</v>
      </c>
      <c r="U4874" t="n">
        <v>196667</v>
      </c>
      <c r="AH4874" t="inlineStr">
        <is>
          <t>Quelle: Pollentia Properties</t>
        </is>
      </c>
    </row>
    <row r="4875">
      <c r="A4875" t="n">
        <v>4688</v>
      </c>
      <c r="B4875" t="inlineStr">
        <is>
          <t>Town house for sale in Pollensa with fantastic traditional features</t>
        </is>
      </c>
      <c r="C4875" t="inlineStr">
        <is>
          <t>https://www.pollentiaproperties.com/en/property/id/842265-town-house-for-sale-pollensa-great-location-traditional-features</t>
        </is>
      </c>
      <c r="E4875" t="n">
        <v>3</v>
      </c>
      <c r="G4875" t="n">
        <v>164</v>
      </c>
      <c r="H4875" t="n">
        <v>449</v>
      </c>
      <c r="J4875" t="inlineStr">
        <is>
          <t>Pollença Pueblo</t>
        </is>
      </c>
      <c r="S4875" t="n">
        <v>850000</v>
      </c>
      <c r="T4875" t="n">
        <v>1893</v>
      </c>
      <c r="U4875" t="n">
        <v>5183</v>
      </c>
      <c r="AH4875" t="inlineStr">
        <is>
          <t>Quelle: Pollentia Properties</t>
        </is>
      </c>
    </row>
    <row r="4876">
      <c r="A4876" t="n">
        <v>4689</v>
      </c>
      <c r="B4876" t="inlineStr">
        <is>
          <t>Building plot for sale in Muro for developing terraced houses</t>
        </is>
      </c>
      <c r="C4876" t="inlineStr">
        <is>
          <t>https://www.pollentiaproperties.com/en/property/id/837550-building-plot-for-sale-muro-ideal-development-terraced-houses</t>
        </is>
      </c>
      <c r="G4876" t="n">
        <v>2</v>
      </c>
      <c r="J4876" t="inlineStr">
        <is>
          <t>Muro</t>
        </is>
      </c>
      <c r="S4876" t="n">
        <v>899000</v>
      </c>
      <c r="U4876" t="n">
        <v>449500</v>
      </c>
      <c r="AH4876" t="inlineStr">
        <is>
          <t>Quelle: Pollentia Properties</t>
        </is>
      </c>
    </row>
    <row r="4877">
      <c r="A4877" t="n">
        <v>4690</v>
      </c>
      <c r="B4877" t="inlineStr">
        <is>
          <t>Villa for sale in Santa Ponsa with sea views and private pool</t>
        </is>
      </c>
      <c r="C4877" t="inlineStr">
        <is>
          <t>https://www.pollentiaproperties.com/en/property/id/835472-villa-for-sale-santa-ponsa-sea-views-private-pool</t>
        </is>
      </c>
      <c r="E4877" t="n">
        <v>3</v>
      </c>
      <c r="G4877" t="n">
        <v>838</v>
      </c>
      <c r="H4877" t="n">
        <v>353</v>
      </c>
      <c r="J4877" t="inlineStr">
        <is>
          <t>Santa Ponsa</t>
        </is>
      </c>
      <c r="K4877" t="n">
        <v>31.1</v>
      </c>
      <c r="L4877" t="n">
        <v>28</v>
      </c>
      <c r="M4877" t="n">
        <v>73.90000000000001</v>
      </c>
      <c r="N4877" t="n">
        <v>61</v>
      </c>
      <c r="O4877" t="n">
        <v>15.2</v>
      </c>
      <c r="P4877" t="n">
        <v>19</v>
      </c>
      <c r="Q4877" t="n">
        <v>71.59999999999999</v>
      </c>
      <c r="R4877" t="n">
        <v>57</v>
      </c>
      <c r="S4877" t="n">
        <v>3950000</v>
      </c>
      <c r="T4877" t="n">
        <v>11190</v>
      </c>
      <c r="U4877" t="n">
        <v>4714</v>
      </c>
      <c r="AH4877" t="inlineStr">
        <is>
          <t>Quelle: Pollentia Properties</t>
        </is>
      </c>
    </row>
    <row r="4878">
      <c r="A4878" t="n">
        <v>4691</v>
      </c>
      <c r="B4878" t="inlineStr">
        <is>
          <t>Villa for sale in Buger in perfect location with holiday rental license</t>
        </is>
      </c>
      <c r="C4878" t="inlineStr">
        <is>
          <t>https://www.pollentiaproperties.com/en/property/id/834930-villa-for-sale-buger-perfect-location-garden-private-pool-rental-license</t>
        </is>
      </c>
      <c r="E4878" t="n">
        <v>4</v>
      </c>
      <c r="G4878" t="n">
        <v>656</v>
      </c>
      <c r="H4878" t="n">
        <v>235</v>
      </c>
      <c r="J4878" t="inlineStr">
        <is>
          <t>Búger</t>
        </is>
      </c>
      <c r="K4878" t="n">
        <v>46.1</v>
      </c>
      <c r="L4878" t="n">
        <v>35</v>
      </c>
      <c r="M4878" t="n">
        <v>64.2</v>
      </c>
      <c r="N4878" t="n">
        <v>62</v>
      </c>
      <c r="O4878" t="n">
        <v>68.7</v>
      </c>
      <c r="P4878" t="n">
        <v>51</v>
      </c>
      <c r="Q4878" t="n">
        <v>61.9</v>
      </c>
      <c r="R4878" t="n">
        <v>58</v>
      </c>
      <c r="S4878" t="n">
        <v>1100000</v>
      </c>
      <c r="T4878" t="n">
        <v>4681</v>
      </c>
      <c r="U4878" t="n">
        <v>1677</v>
      </c>
      <c r="AH4878" t="inlineStr">
        <is>
          <t>Quelle: Pollentia Properties</t>
        </is>
      </c>
    </row>
    <row r="4879">
      <c r="A4879" t="n">
        <v>4692</v>
      </c>
      <c r="B4879" t="inlineStr">
        <is>
          <t>Penthouse apartment for sale in Son Armadans, new build. LAST UNIT!</t>
        </is>
      </c>
      <c r="C4879" t="inlineStr">
        <is>
          <t>https://www.pollentiaproperties.com/en/property/id/834895-penthouse-for-sale-el-terreno-brand-new-development-stunning-location</t>
        </is>
      </c>
      <c r="E4879" t="n">
        <v>2</v>
      </c>
      <c r="H4879" t="n">
        <v>161</v>
      </c>
      <c r="J4879" t="inlineStr">
        <is>
          <t>Son Armadans</t>
        </is>
      </c>
      <c r="K4879" t="n">
        <v>11.6</v>
      </c>
      <c r="L4879" t="n">
        <v>19</v>
      </c>
      <c r="M4879" t="n">
        <v>54.4</v>
      </c>
      <c r="N4879" t="n">
        <v>52</v>
      </c>
      <c r="O4879" t="n">
        <v>28.3</v>
      </c>
      <c r="P4879" t="n">
        <v>28</v>
      </c>
      <c r="Q4879" t="n">
        <v>52.1</v>
      </c>
      <c r="R4879" t="n">
        <v>48</v>
      </c>
      <c r="S4879" t="n">
        <v>1420250</v>
      </c>
      <c r="T4879" t="n">
        <v>8821</v>
      </c>
      <c r="AH4879" t="inlineStr">
        <is>
          <t>Quelle: Pollentia Properties</t>
        </is>
      </c>
    </row>
    <row r="4880">
      <c r="A4880" t="n">
        <v>4693</v>
      </c>
      <c r="B4880" t="inlineStr">
        <is>
          <t>Apartment for sale in El Terreno in small development in great area</t>
        </is>
      </c>
      <c r="C4880" t="inlineStr">
        <is>
          <t>https://www.pollentiaproperties.com/en/property/id/834893-apartment-for-sale-in-palma-in-small-development-in-great-area</t>
        </is>
      </c>
      <c r="E4880" t="n">
        <v>2</v>
      </c>
      <c r="H4880" t="n">
        <v>88</v>
      </c>
      <c r="J4880" t="inlineStr">
        <is>
          <t>Son Armadans</t>
        </is>
      </c>
      <c r="AH4880" t="inlineStr">
        <is>
          <t>Quelle: Pollentia Properties</t>
        </is>
      </c>
    </row>
    <row r="4881">
      <c r="A4881" t="n">
        <v>4694</v>
      </c>
      <c r="B4881" t="inlineStr">
        <is>
          <t>Apartment for sale in Palmanova in new complex close to the beach</t>
        </is>
      </c>
      <c r="C4881" t="inlineStr">
        <is>
          <t>https://www.pollentiaproperties.com/en/property/id/834549-apartment-for-sale-palmanova--new-complex-community-areas</t>
        </is>
      </c>
      <c r="E4881" t="n">
        <v>2</v>
      </c>
      <c r="H4881" t="n">
        <v>133</v>
      </c>
      <c r="J4881" t="inlineStr">
        <is>
          <t>Palmanova</t>
        </is>
      </c>
      <c r="S4881" t="n">
        <v>657000</v>
      </c>
      <c r="T4881" t="n">
        <v>4940</v>
      </c>
      <c r="AH4881" t="inlineStr">
        <is>
          <t>Quelle: Pollentia Properties</t>
        </is>
      </c>
    </row>
    <row r="4882">
      <c r="A4882" t="n">
        <v>4695</v>
      </c>
      <c r="B4882" t="inlineStr">
        <is>
          <t>Villa for sale in Canyamel in magical location</t>
        </is>
      </c>
      <c r="C4882" t="inlineStr">
        <is>
          <t>https://www.pollentiaproperties.com/en/property/id/834488-spectacular-villa-for-sale-canyamel-magical-location--spectacular-views</t>
        </is>
      </c>
      <c r="E4882" t="n">
        <v>6</v>
      </c>
      <c r="G4882" t="n">
        <v>1</v>
      </c>
      <c r="H4882" t="n">
        <v>650</v>
      </c>
      <c r="J4882" t="inlineStr">
        <is>
          <t>Canyamel</t>
        </is>
      </c>
      <c r="K4882" t="n">
        <v>74.7</v>
      </c>
      <c r="L4882" t="n">
        <v>65</v>
      </c>
      <c r="M4882" t="n">
        <v>70.09999999999999</v>
      </c>
      <c r="N4882" t="n">
        <v>68</v>
      </c>
      <c r="O4882" t="n">
        <v>108.9</v>
      </c>
      <c r="P4882" t="n">
        <v>90</v>
      </c>
      <c r="Q4882" t="n">
        <v>67.8</v>
      </c>
      <c r="R4882" t="n">
        <v>65</v>
      </c>
      <c r="S4882" t="n">
        <v>3700000</v>
      </c>
      <c r="T4882" t="n">
        <v>5692</v>
      </c>
      <c r="U4882" t="n">
        <v>3700000</v>
      </c>
      <c r="AH4882" t="inlineStr">
        <is>
          <t>Quelle: Pollentia Properties</t>
        </is>
      </c>
    </row>
    <row r="4883">
      <c r="A4883" t="n">
        <v>4696</v>
      </c>
      <c r="B4883" t="inlineStr">
        <is>
          <t>Stylish town house for sale in Santa Eugenia with garden and pool</t>
        </is>
      </c>
      <c r="C4883" t="inlineStr">
        <is>
          <t>https://www.pollentiaproperties.com/en/property/id/834380-town-house-for-sale-santa-eugenia-stylish-interior-garden-pool</t>
        </is>
      </c>
      <c r="E4883" t="n">
        <v>4</v>
      </c>
      <c r="G4883" t="n">
        <v>340</v>
      </c>
      <c r="H4883" t="n">
        <v>148</v>
      </c>
      <c r="J4883" t="inlineStr">
        <is>
          <t>Santa Eugènia</t>
        </is>
      </c>
      <c r="K4883" t="n">
        <v>28.5</v>
      </c>
      <c r="L4883" t="n">
        <v>25</v>
      </c>
      <c r="M4883" t="n">
        <v>48.2</v>
      </c>
      <c r="N4883" t="n">
        <v>48</v>
      </c>
      <c r="O4883" t="n">
        <v>51.1</v>
      </c>
      <c r="P4883" t="n">
        <v>42</v>
      </c>
      <c r="Q4883" t="n">
        <v>45.9</v>
      </c>
      <c r="R4883" t="n">
        <v>44</v>
      </c>
      <c r="S4883" t="n">
        <v>1200000</v>
      </c>
      <c r="T4883" t="n">
        <v>8108</v>
      </c>
      <c r="U4883" t="n">
        <v>3529</v>
      </c>
      <c r="AH4883" t="inlineStr">
        <is>
          <t>Quelle: Pollentia Properties</t>
        </is>
      </c>
    </row>
    <row r="4884">
      <c r="A4884" t="n">
        <v>4697</v>
      </c>
      <c r="B4884" t="inlineStr">
        <is>
          <t>Apartment for sale in Bendinat in luxury development with community gardens and pools</t>
        </is>
      </c>
      <c r="C4884" t="inlineStr">
        <is>
          <t>https://www.pollentiaproperties.com/en/property/id/834221-apartment-for-sale-bendinat-luxury-development-community-gardens-pools</t>
        </is>
      </c>
      <c r="E4884" t="n">
        <v>4</v>
      </c>
      <c r="H4884" t="n">
        <v>231</v>
      </c>
      <c r="J4884" t="inlineStr">
        <is>
          <t>Bendinat</t>
        </is>
      </c>
      <c r="K4884" t="n">
        <v>23.1</v>
      </c>
      <c r="L4884" t="n">
        <v>22</v>
      </c>
      <c r="M4884" t="n">
        <v>65.8</v>
      </c>
      <c r="N4884" t="n">
        <v>55</v>
      </c>
      <c r="O4884" t="n">
        <v>23.2</v>
      </c>
      <c r="P4884" t="n">
        <v>23</v>
      </c>
      <c r="Q4884" t="n">
        <v>63.5</v>
      </c>
      <c r="R4884" t="n">
        <v>51</v>
      </c>
      <c r="S4884" t="n">
        <v>2525000</v>
      </c>
      <c r="T4884" t="n">
        <v>10931</v>
      </c>
      <c r="AH4884" t="inlineStr">
        <is>
          <t>Quelle: Pollentia Properties</t>
        </is>
      </c>
    </row>
    <row r="4885">
      <c r="A4885" t="n">
        <v>4698</v>
      </c>
      <c r="B4885" t="inlineStr">
        <is>
          <t>Country house for sale in Santa María del Camí single storey design</t>
        </is>
      </c>
      <c r="C4885" t="inlineStr">
        <is>
          <t>https://www.pollentiaproperties.com/en/property/id/833679-country-house-info-sale-santa-maria-del-cami-stunning-single-storey-design</t>
        </is>
      </c>
      <c r="E4885" t="n">
        <v>4</v>
      </c>
      <c r="G4885" t="n">
        <v>34</v>
      </c>
      <c r="H4885" t="n">
        <v>736</v>
      </c>
      <c r="J4885" t="inlineStr">
        <is>
          <t>Santa Maria del Camí</t>
        </is>
      </c>
      <c r="K4885" t="n">
        <v>23.5</v>
      </c>
      <c r="L4885" t="n">
        <v>21</v>
      </c>
      <c r="M4885" t="n">
        <v>66.3</v>
      </c>
      <c r="N4885" t="n">
        <v>54</v>
      </c>
      <c r="O4885" t="n">
        <v>46.1</v>
      </c>
      <c r="P4885" t="n">
        <v>37</v>
      </c>
      <c r="Q4885" t="n">
        <v>64</v>
      </c>
      <c r="R4885" t="n">
        <v>51</v>
      </c>
      <c r="S4885" t="n">
        <v>8500000</v>
      </c>
      <c r="T4885" t="n">
        <v>11549</v>
      </c>
      <c r="U4885" t="n">
        <v>250000</v>
      </c>
      <c r="AH4885" t="inlineStr">
        <is>
          <t>Quelle: Pollentia Properties</t>
        </is>
      </c>
    </row>
    <row r="4886">
      <c r="A4886" t="n">
        <v>4699</v>
      </c>
      <c r="B4886" t="inlineStr">
        <is>
          <t>Villa for sale in Son Gual, Palma currently under construction</t>
        </is>
      </c>
      <c r="C4886" t="inlineStr">
        <is>
          <t>https://www.pollentiaproperties.com/en/property/id/833215-villa-for-sale-son-gual-palma-currently-under-construction</t>
        </is>
      </c>
      <c r="E4886" t="n">
        <v>4</v>
      </c>
      <c r="G4886" t="n">
        <v>2</v>
      </c>
      <c r="H4886" t="n">
        <v>300</v>
      </c>
      <c r="J4886" t="inlineStr">
        <is>
          <t>Son Gual</t>
        </is>
      </c>
      <c r="K4886" t="n">
        <v>15.4</v>
      </c>
      <c r="L4886" t="n">
        <v>18</v>
      </c>
      <c r="M4886" t="n">
        <v>45.2</v>
      </c>
      <c r="N4886" t="n">
        <v>43</v>
      </c>
      <c r="O4886" t="n">
        <v>49.6</v>
      </c>
      <c r="P4886" t="n">
        <v>43</v>
      </c>
      <c r="Q4886" t="n">
        <v>42.9</v>
      </c>
      <c r="R4886" t="n">
        <v>39</v>
      </c>
      <c r="S4886" t="n">
        <v>2450000</v>
      </c>
      <c r="T4886" t="n">
        <v>8167</v>
      </c>
      <c r="U4886" t="n">
        <v>1225000</v>
      </c>
      <c r="AH4886" t="inlineStr">
        <is>
          <t>Quelle: Pollentia Properties</t>
        </is>
      </c>
    </row>
    <row r="4887">
      <c r="A4887" t="n">
        <v>4700</v>
      </c>
      <c r="B4887" t="inlineStr">
        <is>
          <t>Modern penthouse for sale in Palma in panoramic location</t>
        </is>
      </c>
      <c r="C4887" t="inlineStr">
        <is>
          <t>https://www.pollentiaproperties.com/en/property/id/833166-penthouse-for-sale-palma-sea-facing-location</t>
        </is>
      </c>
      <c r="E4887" t="n">
        <v>3</v>
      </c>
      <c r="G4887" t="n">
        <v>289</v>
      </c>
      <c r="H4887" t="n">
        <v>208</v>
      </c>
      <c r="J4887" t="inlineStr">
        <is>
          <t>Paseo Marítimo</t>
        </is>
      </c>
      <c r="K4887" t="n">
        <v>10.9</v>
      </c>
      <c r="L4887" t="n">
        <v>17</v>
      </c>
      <c r="M4887" t="n">
        <v>53.7</v>
      </c>
      <c r="N4887" t="n">
        <v>50</v>
      </c>
      <c r="O4887" t="n">
        <v>29.9</v>
      </c>
      <c r="P4887" t="n">
        <v>32</v>
      </c>
      <c r="Q4887" t="n">
        <v>51.4</v>
      </c>
      <c r="R4887" t="n">
        <v>46</v>
      </c>
      <c r="S4887" t="n">
        <v>5100000</v>
      </c>
      <c r="T4887" t="n">
        <v>24519</v>
      </c>
      <c r="U4887" t="n">
        <v>17647</v>
      </c>
      <c r="AH4887" t="inlineStr">
        <is>
          <t>Quelle: Pollentia Properties</t>
        </is>
      </c>
    </row>
    <row r="4888">
      <c r="A4888" t="n">
        <v>4701</v>
      </c>
      <c r="B4888" t="inlineStr">
        <is>
          <t>Luxury Apartment for sale in Palma in sought-after district</t>
        </is>
      </c>
      <c r="C4888" t="inlineStr">
        <is>
          <t>https://www.pollentiaproperties.com/en/property/id/833161-apartment-for-sale-palma-paseo-seafacing-location</t>
        </is>
      </c>
      <c r="E4888" t="n">
        <v>2</v>
      </c>
      <c r="G4888" t="n">
        <v>60</v>
      </c>
      <c r="H4888" t="n">
        <v>146</v>
      </c>
      <c r="J4888" t="inlineStr">
        <is>
          <t>Paseo Marítimo</t>
        </is>
      </c>
      <c r="AH4888" t="inlineStr">
        <is>
          <t>Quelle: Pollentia Properties</t>
        </is>
      </c>
    </row>
    <row r="4889">
      <c r="A4889" t="n">
        <v>4702</v>
      </c>
      <c r="B4889" t="inlineStr">
        <is>
          <t>Penthouse for sale in Palma, Son Dameto, newly built with private solarium</t>
        </is>
      </c>
      <c r="C4889" t="inlineStr">
        <is>
          <t>https://www.pollentiaproperties.com/en/property/id/832945-apartment-for-sale-son-dameto-isolated-multi-family-25-dwellings</t>
        </is>
      </c>
      <c r="E4889" t="n">
        <v>3</v>
      </c>
      <c r="H4889" t="n">
        <v>122</v>
      </c>
      <c r="J4889" t="inlineStr">
        <is>
          <t>Son Dameto</t>
        </is>
      </c>
      <c r="K4889" t="n">
        <v>14.7</v>
      </c>
      <c r="L4889" t="n">
        <v>16</v>
      </c>
      <c r="M4889" t="n">
        <v>57.5</v>
      </c>
      <c r="N4889" t="n">
        <v>49</v>
      </c>
      <c r="O4889" t="n">
        <v>28.6</v>
      </c>
      <c r="P4889" t="n">
        <v>26</v>
      </c>
      <c r="Q4889" t="n">
        <v>55.2</v>
      </c>
      <c r="R4889" t="n">
        <v>45</v>
      </c>
      <c r="S4889" t="n">
        <v>1340000</v>
      </c>
      <c r="T4889" t="n">
        <v>10984</v>
      </c>
      <c r="AH4889" t="inlineStr">
        <is>
          <t>Quelle: Pollentia Properties</t>
        </is>
      </c>
    </row>
    <row r="4890">
      <c r="A4890" t="n">
        <v>4703</v>
      </c>
      <c r="B4890" t="inlineStr">
        <is>
          <t>Villa for sale in Bonaire/Mal Pas, luxury turnkey project</t>
        </is>
      </c>
      <c r="C4890" t="inlineStr">
        <is>
          <t>https://www.pollentiaproperties.com/en/property/id/832769-villa-for-sale-bonaire-mal-pas-luxury-turnkey-project</t>
        </is>
      </c>
      <c r="E4890" t="n">
        <v>6</v>
      </c>
      <c r="G4890" t="n">
        <v>2</v>
      </c>
      <c r="H4890" t="n">
        <v>1</v>
      </c>
      <c r="J4890" t="inlineStr">
        <is>
          <t>Bonaire</t>
        </is>
      </c>
      <c r="K4890" t="n">
        <v>64.40000000000001</v>
      </c>
      <c r="L4890" t="n">
        <v>54</v>
      </c>
      <c r="M4890" t="n">
        <v>82.5</v>
      </c>
      <c r="N4890" t="n">
        <v>80</v>
      </c>
      <c r="O4890" t="n">
        <v>87</v>
      </c>
      <c r="P4890" t="n">
        <v>70</v>
      </c>
      <c r="Q4890" t="n">
        <v>80.2</v>
      </c>
      <c r="R4890" t="n">
        <v>77</v>
      </c>
      <c r="S4890" t="n">
        <v>14000000</v>
      </c>
      <c r="T4890" t="n">
        <v>14000000</v>
      </c>
      <c r="U4890" t="n">
        <v>7000000</v>
      </c>
      <c r="AH4890" t="inlineStr">
        <is>
          <t>Quelle: Pollentia Properties</t>
        </is>
      </c>
    </row>
    <row r="4891">
      <c r="A4891" t="n">
        <v>4704</v>
      </c>
      <c r="B4891" t="inlineStr">
        <is>
          <t>Villa for sale in Son Gual, Mallorca in great area near Palma</t>
        </is>
      </c>
      <c r="C4891" t="inlineStr">
        <is>
          <t>https://www.pollentiaproperties.com/en/property/id/832549-villa-for-sale-son-gual-exclusive-development-luxury-private-pool</t>
        </is>
      </c>
      <c r="E4891" t="n">
        <v>4</v>
      </c>
      <c r="G4891" t="n">
        <v>2</v>
      </c>
      <c r="H4891" t="n">
        <v>250</v>
      </c>
      <c r="J4891" t="inlineStr">
        <is>
          <t>Son Gual</t>
        </is>
      </c>
      <c r="K4891" t="n">
        <v>15.4</v>
      </c>
      <c r="L4891" t="n">
        <v>18</v>
      </c>
      <c r="M4891" t="n">
        <v>45.2</v>
      </c>
      <c r="N4891" t="n">
        <v>43</v>
      </c>
      <c r="O4891" t="n">
        <v>49.6</v>
      </c>
      <c r="P4891" t="n">
        <v>43</v>
      </c>
      <c r="Q4891" t="n">
        <v>42.9</v>
      </c>
      <c r="R4891" t="n">
        <v>39</v>
      </c>
      <c r="S4891" t="n">
        <v>2700000</v>
      </c>
      <c r="T4891" t="n">
        <v>10800</v>
      </c>
      <c r="U4891" t="n">
        <v>1350000</v>
      </c>
      <c r="AH4891" t="inlineStr">
        <is>
          <t>Quelle: Pollentia Properties</t>
        </is>
      </c>
    </row>
    <row r="4892">
      <c r="A4892" t="n">
        <v>4705</v>
      </c>
      <c r="B4892" t="inlineStr">
        <is>
          <t>Villa for sale in Son Gual, Mallorca in great area near Palma</t>
        </is>
      </c>
      <c r="C4892" t="inlineStr">
        <is>
          <t>https://www.pollentiaproperties.com/en/property/id/832547-villa-for-sale-son-gual-development-exclusive-luxury-homes-private-pool</t>
        </is>
      </c>
      <c r="E4892" t="n">
        <v>4</v>
      </c>
      <c r="G4892" t="n">
        <v>2</v>
      </c>
      <c r="H4892" t="n">
        <v>250</v>
      </c>
      <c r="J4892" t="inlineStr">
        <is>
          <t>Son Gual</t>
        </is>
      </c>
      <c r="K4892" t="n">
        <v>15.4</v>
      </c>
      <c r="L4892" t="n">
        <v>18</v>
      </c>
      <c r="M4892" t="n">
        <v>45.2</v>
      </c>
      <c r="N4892" t="n">
        <v>43</v>
      </c>
      <c r="O4892" t="n">
        <v>49.6</v>
      </c>
      <c r="P4892" t="n">
        <v>43</v>
      </c>
      <c r="Q4892" t="n">
        <v>42.9</v>
      </c>
      <c r="R4892" t="n">
        <v>39</v>
      </c>
      <c r="S4892" t="n">
        <v>2700000</v>
      </c>
      <c r="T4892" t="n">
        <v>10800</v>
      </c>
      <c r="U4892" t="n">
        <v>1350000</v>
      </c>
      <c r="AH4892" t="inlineStr">
        <is>
          <t>Quelle: Pollentia Properties</t>
        </is>
      </c>
    </row>
    <row r="4893">
      <c r="A4893" t="n">
        <v>4706</v>
      </c>
      <c r="B4893" t="inlineStr">
        <is>
          <t>Villa for sale in Son Gual, Mallorca in great area near Palma</t>
        </is>
      </c>
      <c r="C4893" t="inlineStr">
        <is>
          <t>https://www.pollentiaproperties.com/en/property/id/832545-villa-for-sale-son-gual-exclusive-development-luxury-homes-pool</t>
        </is>
      </c>
      <c r="E4893" t="n">
        <v>4</v>
      </c>
      <c r="G4893" t="n">
        <v>2</v>
      </c>
      <c r="H4893" t="n">
        <v>400</v>
      </c>
      <c r="J4893" t="inlineStr">
        <is>
          <t>Son Gual</t>
        </is>
      </c>
      <c r="K4893" t="n">
        <v>15.4</v>
      </c>
      <c r="L4893" t="n">
        <v>18</v>
      </c>
      <c r="M4893" t="n">
        <v>45.2</v>
      </c>
      <c r="N4893" t="n">
        <v>43</v>
      </c>
      <c r="O4893" t="n">
        <v>49.6</v>
      </c>
      <c r="P4893" t="n">
        <v>43</v>
      </c>
      <c r="Q4893" t="n">
        <v>42.9</v>
      </c>
      <c r="R4893" t="n">
        <v>39</v>
      </c>
      <c r="S4893" t="n">
        <v>2900000</v>
      </c>
      <c r="T4893" t="n">
        <v>7250</v>
      </c>
      <c r="U4893" t="n">
        <v>1450000</v>
      </c>
      <c r="AH4893" t="inlineStr">
        <is>
          <t>Quelle: Pollentia Properties</t>
        </is>
      </c>
    </row>
    <row r="4894">
      <c r="A4894" t="n">
        <v>4707</v>
      </c>
      <c r="B4894" t="inlineStr">
        <is>
          <t>Country building plot for sale in Puntiró with license for a house and pool</t>
        </is>
      </c>
      <c r="C4894" t="inlineStr">
        <is>
          <t>https://www.pollentiaproperties.com/en/property/id/832489-building-plot-for-sale-puntiro-license-villa-pool</t>
        </is>
      </c>
      <c r="G4894" t="n">
        <v>7</v>
      </c>
      <c r="J4894" t="inlineStr">
        <is>
          <t>Puntiró</t>
        </is>
      </c>
      <c r="S4894" t="n">
        <v>420000</v>
      </c>
      <c r="U4894" t="n">
        <v>60000</v>
      </c>
      <c r="AH4894" t="inlineStr">
        <is>
          <t>Quelle: Pollentia Properties</t>
        </is>
      </c>
    </row>
    <row r="4895">
      <c r="A4895" t="n">
        <v>4708</v>
      </c>
      <c r="B4895" t="inlineStr">
        <is>
          <t>Villa for sale in Playa de Palma, brand new development!!</t>
        </is>
      </c>
      <c r="C4895" t="inlineStr">
        <is>
          <t>https://www.pollentiaproperties.com/en/property/id/831778-villa-for-sale-playa-palma-brand-new-development-26-houses</t>
        </is>
      </c>
      <c r="E4895" t="n">
        <v>4</v>
      </c>
      <c r="G4895" t="n">
        <v>282</v>
      </c>
      <c r="H4895" t="n">
        <v>149</v>
      </c>
      <c r="J4895" t="inlineStr">
        <is>
          <t>Playa de Palma</t>
        </is>
      </c>
      <c r="K4895" t="n">
        <v>5.8</v>
      </c>
      <c r="L4895" t="n">
        <v>10</v>
      </c>
      <c r="M4895" t="n">
        <v>48.6</v>
      </c>
      <c r="N4895" t="n">
        <v>43</v>
      </c>
      <c r="O4895" t="n">
        <v>40.1</v>
      </c>
      <c r="P4895" t="n">
        <v>35</v>
      </c>
      <c r="Q4895" t="n">
        <v>46.3</v>
      </c>
      <c r="R4895" t="n">
        <v>39</v>
      </c>
      <c r="S4895" t="n">
        <v>1267000</v>
      </c>
      <c r="T4895" t="n">
        <v>8503</v>
      </c>
      <c r="U4895" t="n">
        <v>4493</v>
      </c>
      <c r="AH4895" t="inlineStr">
        <is>
          <t>Quelle: Pollentia Properties</t>
        </is>
      </c>
    </row>
    <row r="4896">
      <c r="A4896" t="n">
        <v>4709</v>
      </c>
      <c r="B4896" t="inlineStr">
        <is>
          <t>Country house for sale in Pollensa, NEW PRICE - NEW 4 BED ALTERNATIVE</t>
        </is>
      </c>
      <c r="C4896" t="inlineStr">
        <is>
          <t>https://www.pollentiaproperties.com/en/property/id/831439-country-house-for-sale-pollensa-wonderful-minimalist-interior</t>
        </is>
      </c>
      <c r="E4896" t="n">
        <v>3</v>
      </c>
      <c r="G4896" t="n">
        <v>22</v>
      </c>
      <c r="H4896" t="n">
        <v>638</v>
      </c>
      <c r="J4896" t="inlineStr">
        <is>
          <t>Pollença</t>
        </is>
      </c>
      <c r="K4896" t="n">
        <v>60.6</v>
      </c>
      <c r="L4896" t="n">
        <v>47</v>
      </c>
      <c r="M4896" t="n">
        <v>78.7</v>
      </c>
      <c r="N4896" t="n">
        <v>74</v>
      </c>
      <c r="O4896" t="n">
        <v>83.2</v>
      </c>
      <c r="P4896" t="n">
        <v>63</v>
      </c>
      <c r="Q4896" t="n">
        <v>76.40000000000001</v>
      </c>
      <c r="R4896" t="n">
        <v>70</v>
      </c>
      <c r="S4896" t="n">
        <v>3495000</v>
      </c>
      <c r="T4896" t="n">
        <v>5478</v>
      </c>
      <c r="U4896" t="n">
        <v>158864</v>
      </c>
      <c r="AH4896" t="inlineStr">
        <is>
          <t>Quelle: Pollentia Properties</t>
        </is>
      </c>
    </row>
    <row r="4897">
      <c r="A4897" t="n">
        <v>4710</v>
      </c>
      <c r="B4897" t="inlineStr">
        <is>
          <t>Villa for sale in Puerto Pollensa brand new in Llenaire area</t>
        </is>
      </c>
      <c r="C4897" t="inlineStr">
        <is>
          <t>https://www.pollentiaproperties.com/en/property/id/831166-villa-for-sale-puerto-pollensa-brand-new-fantastic-project</t>
        </is>
      </c>
      <c r="E4897" t="n">
        <v>5</v>
      </c>
      <c r="G4897" t="n">
        <v>1</v>
      </c>
      <c r="H4897" t="n">
        <v>414</v>
      </c>
      <c r="J4897" t="inlineStr">
        <is>
          <t>Llenaire</t>
        </is>
      </c>
      <c r="K4897" t="n">
        <v>63.2</v>
      </c>
      <c r="L4897" t="n">
        <v>48</v>
      </c>
      <c r="M4897" t="n">
        <v>81.3</v>
      </c>
      <c r="N4897" t="n">
        <v>75</v>
      </c>
      <c r="O4897" t="n">
        <v>85.8</v>
      </c>
      <c r="P4897" t="n">
        <v>64</v>
      </c>
      <c r="Q4897" t="n">
        <v>79</v>
      </c>
      <c r="R4897" t="n">
        <v>71</v>
      </c>
      <c r="S4897" t="n">
        <v>3800000</v>
      </c>
      <c r="T4897" t="n">
        <v>9179</v>
      </c>
      <c r="U4897" t="n">
        <v>3800000</v>
      </c>
      <c r="AH4897" t="inlineStr">
        <is>
          <t>Quelle: Pollentia Properties</t>
        </is>
      </c>
    </row>
    <row r="4898">
      <c r="A4898" t="n">
        <v>4711</v>
      </c>
      <c r="B4898" t="inlineStr">
        <is>
          <t>Apartment for sale in Es Trenc in brand new development</t>
        </is>
      </c>
      <c r="C4898" t="inlineStr">
        <is>
          <t>https://www.pollentiaproperties.com/en/property/id/830581-apartment-for-sale-es-trenc-brand-new-development</t>
        </is>
      </c>
      <c r="E4898" t="n">
        <v>2</v>
      </c>
      <c r="H4898" t="n">
        <v>94</v>
      </c>
      <c r="J4898" t="inlineStr">
        <is>
          <t>Es Trenc</t>
        </is>
      </c>
      <c r="AH4898" t="inlineStr">
        <is>
          <t>Quelle: Pollentia Properties</t>
        </is>
      </c>
    </row>
    <row r="4899">
      <c r="A4899" t="n">
        <v>4712</v>
      </c>
      <c r="B4899" t="inlineStr">
        <is>
          <t>Town house for sale in Pollensa, beautifully renovated with pool</t>
        </is>
      </c>
      <c r="C4899" t="inlineStr">
        <is>
          <t>https://www.pollentiaproperties.com/en/property/id/829723-town-house-for-sale-pollensa-central-location-renovated-private-pool</t>
        </is>
      </c>
      <c r="E4899" t="n">
        <v>3</v>
      </c>
      <c r="G4899" t="n">
        <v>53</v>
      </c>
      <c r="H4899" t="n">
        <v>120</v>
      </c>
      <c r="J4899" t="inlineStr">
        <is>
          <t>Pollença Pueblo</t>
        </is>
      </c>
      <c r="K4899" t="n">
        <v>60.6</v>
      </c>
      <c r="L4899" t="n">
        <v>47</v>
      </c>
      <c r="M4899" t="n">
        <v>78.7</v>
      </c>
      <c r="N4899" t="n">
        <v>74</v>
      </c>
      <c r="O4899" t="n">
        <v>83.2</v>
      </c>
      <c r="P4899" t="n">
        <v>63</v>
      </c>
      <c r="Q4899" t="n">
        <v>76.40000000000001</v>
      </c>
      <c r="R4899" t="n">
        <v>70</v>
      </c>
      <c r="S4899" t="n">
        <v>1145000</v>
      </c>
      <c r="T4899" t="n">
        <v>9542</v>
      </c>
      <c r="U4899" t="n">
        <v>21604</v>
      </c>
      <c r="AH4899" t="inlineStr">
        <is>
          <t>Quelle: Pollentia Properties</t>
        </is>
      </c>
    </row>
    <row r="4900">
      <c r="A4900" t="n">
        <v>4713</v>
      </c>
      <c r="B4900" t="inlineStr">
        <is>
          <t>Villa for sale in Canyamel, luxurious property close to the golf course</t>
        </is>
      </c>
      <c r="C4900" t="inlineStr">
        <is>
          <t>https://www.pollentiaproperties.com/en/property/id/829524-villa-for-sale-canyamel-luxurious-property-beautiful-natural-setting</t>
        </is>
      </c>
      <c r="E4900" t="n">
        <v>5</v>
      </c>
      <c r="G4900" t="n">
        <v>2</v>
      </c>
      <c r="H4900" t="n">
        <v>615</v>
      </c>
      <c r="J4900" t="inlineStr">
        <is>
          <t>Canyamel</t>
        </is>
      </c>
      <c r="K4900" t="n">
        <v>74.7</v>
      </c>
      <c r="L4900" t="n">
        <v>65</v>
      </c>
      <c r="M4900" t="n">
        <v>70.09999999999999</v>
      </c>
      <c r="N4900" t="n">
        <v>68</v>
      </c>
      <c r="O4900" t="n">
        <v>108.9</v>
      </c>
      <c r="P4900" t="n">
        <v>90</v>
      </c>
      <c r="Q4900" t="n">
        <v>67.8</v>
      </c>
      <c r="R4900" t="n">
        <v>65</v>
      </c>
      <c r="AH4900" t="inlineStr">
        <is>
          <t>Quelle: Pollentia Properties</t>
        </is>
      </c>
    </row>
    <row r="4901">
      <c r="A4901" t="n">
        <v>4714</v>
      </c>
      <c r="B4901" t="inlineStr">
        <is>
          <t>Country home for sale in Felanitx, with a holiday license</t>
        </is>
      </c>
      <c r="C4901" t="inlineStr">
        <is>
          <t>https://www.pollentiaproperties.com/en/property/id/829523-country-home-for-sale-felanitx-garden-pool-rental-license</t>
        </is>
      </c>
      <c r="E4901" t="n">
        <v>3</v>
      </c>
      <c r="G4901" t="n">
        <v>20</v>
      </c>
      <c r="H4901" t="n">
        <v>200</v>
      </c>
      <c r="J4901" t="inlineStr">
        <is>
          <t>Felanitx</t>
        </is>
      </c>
      <c r="K4901" t="n">
        <v>45</v>
      </c>
      <c r="L4901" t="n">
        <v>40</v>
      </c>
      <c r="M4901" t="n">
        <v>26.8</v>
      </c>
      <c r="N4901" t="n">
        <v>30</v>
      </c>
      <c r="O4901" t="n">
        <v>83.2</v>
      </c>
      <c r="P4901" t="n">
        <v>68</v>
      </c>
      <c r="Q4901" t="n">
        <v>24.5</v>
      </c>
      <c r="R4901" t="n">
        <v>26</v>
      </c>
      <c r="S4901" t="n">
        <v>1790000</v>
      </c>
      <c r="T4901" t="n">
        <v>8950</v>
      </c>
      <c r="U4901" t="n">
        <v>89500</v>
      </c>
      <c r="AH4901" t="inlineStr">
        <is>
          <t>Quelle: Pollentia Properties</t>
        </is>
      </c>
    </row>
    <row r="4902">
      <c r="A4902" t="n">
        <v>4715</v>
      </c>
      <c r="B4902" t="inlineStr">
        <is>
          <t>Country plot for sale in Artà, with license for house with garden and pool</t>
        </is>
      </c>
      <c r="C4902" t="inlineStr">
        <is>
          <t>https://www.pollentiaproperties.com/en/property/id/829176-country-plot-for-sale-arta-building-permission-house-garden-pool</t>
        </is>
      </c>
      <c r="G4902" t="n">
        <v>40</v>
      </c>
      <c r="J4902" t="inlineStr">
        <is>
          <t>Artà</t>
        </is>
      </c>
      <c r="S4902" t="n">
        <v>850000</v>
      </c>
      <c r="U4902" t="n">
        <v>21250</v>
      </c>
      <c r="AH4902" t="inlineStr">
        <is>
          <t>Quelle: Pollentia Properties</t>
        </is>
      </c>
    </row>
    <row r="4903">
      <c r="A4903" t="n">
        <v>4716</v>
      </c>
      <c r="B4903" t="inlineStr">
        <is>
          <t>Country house for sale in Sóller, Mallorca in traditional style with garden</t>
        </is>
      </c>
      <c r="C4903" t="inlineStr">
        <is>
          <t>https://www.pollentiaproperties.com/en/property/id/828814-country-house-for-sale-soller-traditional-style-garden-barbecue</t>
        </is>
      </c>
      <c r="E4903" t="n">
        <v>4</v>
      </c>
      <c r="G4903" t="n">
        <v>664</v>
      </c>
      <c r="H4903" t="n">
        <v>189</v>
      </c>
      <c r="J4903" t="inlineStr">
        <is>
          <t>Sóller</t>
        </is>
      </c>
      <c r="S4903" t="n">
        <v>900000</v>
      </c>
      <c r="T4903" t="n">
        <v>4762</v>
      </c>
      <c r="U4903" t="n">
        <v>1355</v>
      </c>
      <c r="AH4903" t="inlineStr">
        <is>
          <t>Quelle: Pollentia Properties</t>
        </is>
      </c>
    </row>
    <row r="4904">
      <c r="A4904" t="n">
        <v>4717</v>
      </c>
      <c r="B4904" t="inlineStr">
        <is>
          <t>Villa for sale in Alaró, Mallorca with two guest apartments</t>
        </is>
      </c>
      <c r="C4904" t="inlineStr">
        <is>
          <t>https://www.pollentiaproperties.com/en/property/id/828688-villa-for-sale-alaro-two-guest-apartments-garden-pool</t>
        </is>
      </c>
      <c r="E4904" t="n">
        <v>12</v>
      </c>
      <c r="G4904" t="n">
        <v>12</v>
      </c>
      <c r="H4904" t="n">
        <v>475</v>
      </c>
      <c r="J4904" t="inlineStr">
        <is>
          <t>Alaró</t>
        </is>
      </c>
      <c r="K4904" t="n">
        <v>33.4</v>
      </c>
      <c r="L4904" t="n">
        <v>33</v>
      </c>
      <c r="M4904" t="n">
        <v>76.09999999999999</v>
      </c>
      <c r="N4904" t="n">
        <v>66</v>
      </c>
      <c r="O4904" t="n">
        <v>55.9</v>
      </c>
      <c r="P4904" t="n">
        <v>49</v>
      </c>
      <c r="Q4904" t="n">
        <v>73.8</v>
      </c>
      <c r="R4904" t="n">
        <v>62</v>
      </c>
      <c r="S4904" t="n">
        <v>5800000</v>
      </c>
      <c r="T4904" t="n">
        <v>12211</v>
      </c>
      <c r="U4904" t="n">
        <v>483333</v>
      </c>
      <c r="AH4904" t="inlineStr">
        <is>
          <t>Quelle: Pollentia Properties</t>
        </is>
      </c>
    </row>
    <row r="4905">
      <c r="A4905" t="n">
        <v>4718</v>
      </c>
      <c r="B4905" t="inlineStr">
        <is>
          <t>Country  house for sale in Sóller, Mallorca in spectacular location</t>
        </is>
      </c>
      <c r="C4905" t="inlineStr">
        <is>
          <t>https://www.pollentiaproperties.com/en/property/id/828545-country-house-for-sale-soller-spectacular-location-historical-property</t>
        </is>
      </c>
      <c r="E4905" t="n">
        <v>7</v>
      </c>
      <c r="G4905" t="n">
        <v>79</v>
      </c>
      <c r="H4905" t="n">
        <v>621</v>
      </c>
      <c r="J4905" t="inlineStr">
        <is>
          <t>Sóller</t>
        </is>
      </c>
      <c r="K4905" t="n">
        <v>32.5</v>
      </c>
      <c r="L4905" t="n">
        <v>38</v>
      </c>
      <c r="M4905" t="n">
        <v>75.2</v>
      </c>
      <c r="N4905" t="n">
        <v>70</v>
      </c>
      <c r="O4905" t="n">
        <v>52.1</v>
      </c>
      <c r="P4905" t="n">
        <v>51</v>
      </c>
      <c r="Q4905" t="n">
        <v>72.90000000000001</v>
      </c>
      <c r="R4905" t="n">
        <v>67</v>
      </c>
      <c r="S4905" t="n">
        <v>4500000</v>
      </c>
      <c r="T4905" t="n">
        <v>7246</v>
      </c>
      <c r="U4905" t="n">
        <v>56962</v>
      </c>
      <c r="AH4905" t="inlineStr">
        <is>
          <t>Quelle: Pollentia Properties</t>
        </is>
      </c>
    </row>
    <row r="4906">
      <c r="A4906" t="n">
        <v>4719</v>
      </c>
      <c r="B4906" t="inlineStr">
        <is>
          <t>Villa for sale in Port Adriano exclusive property in wonderful location</t>
        </is>
      </c>
      <c r="C4906" t="inlineStr">
        <is>
          <t>https://www.pollentiaproperties.com/en/property/id/828482-villa-for-sale-port-adriano-exclusive-property-wonderful-location</t>
        </is>
      </c>
      <c r="E4906" t="n">
        <v>4</v>
      </c>
      <c r="G4906" t="n">
        <v>800</v>
      </c>
      <c r="H4906" t="n">
        <v>384</v>
      </c>
      <c r="J4906" t="inlineStr">
        <is>
          <t>Port Adriano</t>
        </is>
      </c>
      <c r="K4906" t="n">
        <v>34.7</v>
      </c>
      <c r="L4906" t="n">
        <v>32</v>
      </c>
      <c r="M4906" t="n">
        <v>77.40000000000001</v>
      </c>
      <c r="N4906" t="n">
        <v>65</v>
      </c>
      <c r="O4906" t="n">
        <v>18.7</v>
      </c>
      <c r="P4906" t="n">
        <v>23</v>
      </c>
      <c r="Q4906" t="n">
        <v>75.09999999999999</v>
      </c>
      <c r="R4906" t="n">
        <v>61</v>
      </c>
      <c r="S4906" t="n">
        <v>6250000</v>
      </c>
      <c r="T4906" t="n">
        <v>16276</v>
      </c>
      <c r="U4906" t="n">
        <v>7812</v>
      </c>
      <c r="AH4906" t="inlineStr">
        <is>
          <t>Quelle: Pollentia Properties</t>
        </is>
      </c>
    </row>
    <row r="4907">
      <c r="A4907" t="n">
        <v>4720</v>
      </c>
      <c r="B4907" t="inlineStr">
        <is>
          <t>Building plot for sale in Pollença in area of high demand</t>
        </is>
      </c>
      <c r="C4907" t="inlineStr">
        <is>
          <t>https://www.pollentiaproperties.com/en/property/id/828166-building-plot-infor-sale-pollensa-high-demand-area</t>
        </is>
      </c>
      <c r="G4907" t="n">
        <v>206</v>
      </c>
      <c r="J4907" t="inlineStr">
        <is>
          <t>Pollença</t>
        </is>
      </c>
      <c r="S4907" t="n">
        <v>350000</v>
      </c>
      <c r="U4907" t="n">
        <v>1699</v>
      </c>
      <c r="AH4907" t="inlineStr">
        <is>
          <t>Quelle: Pollentia Properties</t>
        </is>
      </c>
    </row>
    <row r="4908">
      <c r="A4908" t="n">
        <v>4721</v>
      </c>
      <c r="B4908" t="inlineStr">
        <is>
          <t>Country home for sale in Lloret de Vistalegre, with great features</t>
        </is>
      </c>
      <c r="C4908" t="inlineStr">
        <is>
          <t>https://www.pollentiaproperties.com/en/property/id/826891-country-home-for-sale-lloret-vistalegre-great-interior-features-huge-plot</t>
        </is>
      </c>
      <c r="E4908" t="n">
        <v>7</v>
      </c>
      <c r="G4908" t="n">
        <v>49</v>
      </c>
      <c r="H4908" t="n">
        <v>1</v>
      </c>
      <c r="J4908" t="inlineStr">
        <is>
          <t>Lloret de Vistalegre</t>
        </is>
      </c>
      <c r="K4908" t="n">
        <v>33.2</v>
      </c>
      <c r="L4908" t="n">
        <v>36</v>
      </c>
      <c r="M4908" t="n">
        <v>47.7</v>
      </c>
      <c r="N4908" t="n">
        <v>51</v>
      </c>
      <c r="O4908" t="n">
        <v>65</v>
      </c>
      <c r="P4908" t="n">
        <v>57</v>
      </c>
      <c r="Q4908" t="n">
        <v>45.4</v>
      </c>
      <c r="R4908" t="n">
        <v>47</v>
      </c>
      <c r="S4908" t="n">
        <v>3800000</v>
      </c>
      <c r="T4908" t="n">
        <v>3800000</v>
      </c>
      <c r="U4908" t="n">
        <v>77551</v>
      </c>
      <c r="AH4908" t="inlineStr">
        <is>
          <t>Quelle: Pollentia Properties</t>
        </is>
      </c>
    </row>
    <row r="4909">
      <c r="A4909" t="n">
        <v>4722</v>
      </c>
      <c r="B4909" t="inlineStr">
        <is>
          <t>Villa for sale in Bonaire, Mallorca new build with stunning design</t>
        </is>
      </c>
      <c r="C4909" t="inlineStr">
        <is>
          <t>https://www.pollentiaproperties.com/en/property/id/826738-villa-for-sale-bonaire-stunning-new-build--sea-views</t>
        </is>
      </c>
      <c r="E4909" t="n">
        <v>4</v>
      </c>
      <c r="G4909" t="n">
        <v>1</v>
      </c>
      <c r="H4909" t="n">
        <v>480</v>
      </c>
      <c r="J4909" t="inlineStr">
        <is>
          <t>Bonaire</t>
        </is>
      </c>
      <c r="AH4909" t="inlineStr">
        <is>
          <t>Quelle: Pollentia Properties</t>
        </is>
      </c>
    </row>
    <row r="4910">
      <c r="A4910" t="n">
        <v>4723</v>
      </c>
      <c r="B4910" t="inlineStr">
        <is>
          <t>Country plot for sale in Muro, Mallorca for building a house and pool</t>
        </is>
      </c>
      <c r="C4910" t="inlineStr">
        <is>
          <t>https://www.pollentiaproperties.com/en/property/id/826706-country-plot-for-sale-muro-possibility--house-pool-two-levels</t>
        </is>
      </c>
      <c r="G4910" t="n">
        <v>22</v>
      </c>
      <c r="H4910" t="n">
        <v>300</v>
      </c>
      <c r="J4910" t="inlineStr">
        <is>
          <t>Muro</t>
        </is>
      </c>
      <c r="S4910" t="n">
        <v>285000</v>
      </c>
      <c r="T4910" t="n">
        <v>950</v>
      </c>
      <c r="U4910" t="n">
        <v>12955</v>
      </c>
      <c r="AH4910" t="inlineStr">
        <is>
          <t>Quelle: Pollentia Properties</t>
        </is>
      </c>
    </row>
    <row r="4911">
      <c r="A4911" t="n">
        <v>4724</v>
      </c>
      <c r="B4911" t="inlineStr">
        <is>
          <t>Project completion date: 12/2023</t>
        </is>
      </c>
      <c r="C4911" t="inlineStr">
        <is>
          <t>https://www.pollentiaproperties.com/en/property/id/826120-country-house-for-sale-santanyi-currently-nearing-completion-terraces-pool</t>
        </is>
      </c>
      <c r="E4911" t="n">
        <v>5</v>
      </c>
      <c r="G4911" t="n">
        <v>44</v>
      </c>
      <c r="H4911" t="n">
        <v>402</v>
      </c>
      <c r="J4911" t="inlineStr">
        <is>
          <t>Mallorca</t>
        </is>
      </c>
      <c r="K4911" t="n">
        <v>47.4</v>
      </c>
      <c r="L4911" t="n">
        <v>40</v>
      </c>
      <c r="M4911" t="n">
        <v>51.8</v>
      </c>
      <c r="N4911" t="n">
        <v>55</v>
      </c>
      <c r="O4911" t="n">
        <v>70</v>
      </c>
      <c r="P4911" t="n">
        <v>56</v>
      </c>
      <c r="Q4911" t="n">
        <v>49.5</v>
      </c>
      <c r="R4911" t="n">
        <v>51</v>
      </c>
      <c r="S4911" t="n">
        <v>3950000</v>
      </c>
      <c r="T4911" t="n">
        <v>9826</v>
      </c>
      <c r="U4911" t="n">
        <v>89773</v>
      </c>
      <c r="AH4911" t="inlineStr">
        <is>
          <t>Quelle: Pollentia Properties</t>
        </is>
      </c>
    </row>
    <row r="4912">
      <c r="A4912" t="n">
        <v>4725</v>
      </c>
      <c r="B4912" t="inlineStr">
        <is>
          <t>Villa for sale in Puntiró, an exceptional property in a beautiful area</t>
        </is>
      </c>
      <c r="C4912" t="inlineStr">
        <is>
          <t>https://www.pollentiaproperties.com/en/property/id/825540-villa-for-sale-puntiro-exceptional-property-beautiful-quiet-area</t>
        </is>
      </c>
      <c r="E4912" t="n">
        <v>4</v>
      </c>
      <c r="G4912" t="n">
        <v>8</v>
      </c>
      <c r="H4912" t="n">
        <v>506</v>
      </c>
      <c r="J4912" t="inlineStr">
        <is>
          <t>Puntiró</t>
        </is>
      </c>
      <c r="K4912" t="n">
        <v>16.7</v>
      </c>
      <c r="L4912" t="n">
        <v>21</v>
      </c>
      <c r="M4912" t="n">
        <v>53.4</v>
      </c>
      <c r="N4912" t="n">
        <v>52</v>
      </c>
      <c r="O4912" t="n">
        <v>47</v>
      </c>
      <c r="P4912" t="n">
        <v>43</v>
      </c>
      <c r="Q4912" t="n">
        <v>51.1</v>
      </c>
      <c r="R4912" t="n">
        <v>48</v>
      </c>
      <c r="S4912" t="n">
        <v>4995000</v>
      </c>
      <c r="T4912" t="n">
        <v>9872</v>
      </c>
      <c r="U4912" t="n">
        <v>624375</v>
      </c>
      <c r="AH4912" t="inlineStr">
        <is>
          <t>Quelle: Pollentia Properties</t>
        </is>
      </c>
    </row>
    <row r="4913">
      <c r="A4913" t="n">
        <v>4726</v>
      </c>
      <c r="B4913" t="inlineStr">
        <is>
          <t>Hotels for sale in Mallorca. Hotel in Artà in stunning emblematic building</t>
        </is>
      </c>
      <c r="C4913" t="inlineStr">
        <is>
          <t>https://www.pollentiaproperties.com/en/property/id/825408-hotel-for-sale-arta-stunning-emblematic-building-eight-suites</t>
        </is>
      </c>
      <c r="E4913" t="n">
        <v>8</v>
      </c>
      <c r="G4913" t="n">
        <v>1</v>
      </c>
      <c r="H4913" t="n">
        <v>1</v>
      </c>
      <c r="J4913" t="inlineStr">
        <is>
          <t>Artà</t>
        </is>
      </c>
      <c r="K4913" t="n">
        <v>68.3</v>
      </c>
      <c r="L4913" t="n">
        <v>61</v>
      </c>
      <c r="M4913" t="n">
        <v>63.7</v>
      </c>
      <c r="N4913" t="n">
        <v>64</v>
      </c>
      <c r="O4913" t="n">
        <v>102.5</v>
      </c>
      <c r="P4913" t="n">
        <v>86</v>
      </c>
      <c r="Q4913" t="n">
        <v>61.4</v>
      </c>
      <c r="R4913" t="n">
        <v>61</v>
      </c>
      <c r="S4913" t="n">
        <v>3400000</v>
      </c>
      <c r="T4913" t="n">
        <v>3400000</v>
      </c>
      <c r="U4913" t="n">
        <v>3400000</v>
      </c>
      <c r="AH4913" t="inlineStr">
        <is>
          <t>Quelle: Pollentia Properties</t>
        </is>
      </c>
    </row>
    <row r="4914">
      <c r="A4914" t="n">
        <v>4727</v>
      </c>
      <c r="B4914" t="inlineStr">
        <is>
          <t>Town  house for sale in Sóller, Mallorca in magnificent central location</t>
        </is>
      </c>
      <c r="C4914" t="inlineStr">
        <is>
          <t>https://www.pollentiaproperties.com/en/property/id/825380-town-house-for-sale-soller-magnificent-central-location-charmingly-traditional</t>
        </is>
      </c>
      <c r="E4914" t="n">
        <v>5</v>
      </c>
      <c r="G4914" t="n">
        <v>100</v>
      </c>
      <c r="H4914" t="n">
        <v>266</v>
      </c>
      <c r="J4914" t="inlineStr">
        <is>
          <t>Sóller</t>
        </is>
      </c>
      <c r="K4914" t="n">
        <v>32.5</v>
      </c>
      <c r="L4914" t="n">
        <v>38</v>
      </c>
      <c r="M4914" t="n">
        <v>75.2</v>
      </c>
      <c r="N4914" t="n">
        <v>70</v>
      </c>
      <c r="O4914" t="n">
        <v>52.1</v>
      </c>
      <c r="P4914" t="n">
        <v>51</v>
      </c>
      <c r="Q4914" t="n">
        <v>72.90000000000001</v>
      </c>
      <c r="R4914" t="n">
        <v>67</v>
      </c>
      <c r="AH4914" t="inlineStr">
        <is>
          <t>Quelle: Pollentia Properties</t>
        </is>
      </c>
    </row>
    <row r="4915">
      <c r="A4915" t="n">
        <v>4728</v>
      </c>
      <c r="B4915" t="inlineStr">
        <is>
          <t>Town house for sale in Puerto Alcudia, Mallorca in new development with multiple units</t>
        </is>
      </c>
      <c r="C4915" t="inlineStr">
        <is>
          <t>https://www.pollentiaproperties.com/en/property/id/825182-town-house-for-sale-puerto-alcudia-beautiful-lakeside-location-community-pool</t>
        </is>
      </c>
      <c r="E4915" t="n">
        <v>3</v>
      </c>
      <c r="H4915" t="n">
        <v>96</v>
      </c>
      <c r="J4915" t="inlineStr">
        <is>
          <t>Puerto de Alcúdia</t>
        </is>
      </c>
      <c r="S4915" t="n">
        <v>620000</v>
      </c>
      <c r="T4915" t="n">
        <v>6458</v>
      </c>
      <c r="AH4915" t="inlineStr">
        <is>
          <t>Quelle: Pollentia Properties</t>
        </is>
      </c>
    </row>
    <row r="4916">
      <c r="A4916" t="n">
        <v>4729</v>
      </c>
      <c r="B4916" t="inlineStr">
        <is>
          <t>Apartments for sale in Santa Ponsa, in new top quality development</t>
        </is>
      </c>
      <c r="C4916" t="inlineStr">
        <is>
          <t>https://www.pollentiaproperties.com/en/property/id/824055-apartment-for-sale-santa-ponsa-new-development-top-quality</t>
        </is>
      </c>
      <c r="E4916" t="n">
        <v>4</v>
      </c>
      <c r="H4916" t="n">
        <v>173</v>
      </c>
      <c r="J4916" t="inlineStr">
        <is>
          <t>Santa Ponsa</t>
        </is>
      </c>
      <c r="K4916" t="n">
        <v>31.1</v>
      </c>
      <c r="L4916" t="n">
        <v>28</v>
      </c>
      <c r="M4916" t="n">
        <v>73.90000000000001</v>
      </c>
      <c r="N4916" t="n">
        <v>61</v>
      </c>
      <c r="O4916" t="n">
        <v>15.2</v>
      </c>
      <c r="P4916" t="n">
        <v>19</v>
      </c>
      <c r="Q4916" t="n">
        <v>71.59999999999999</v>
      </c>
      <c r="R4916" t="n">
        <v>57</v>
      </c>
      <c r="S4916" t="n">
        <v>1970000</v>
      </c>
      <c r="T4916" t="n">
        <v>11387</v>
      </c>
      <c r="AH4916" t="inlineStr">
        <is>
          <t>Quelle: Pollentia Properties</t>
        </is>
      </c>
    </row>
    <row r="4917">
      <c r="A4917" t="n">
        <v>4730</v>
      </c>
      <c r="B4917" t="inlineStr">
        <is>
          <t>Apartment for sale in Palma, Mallorca in city centre with great potential</t>
        </is>
      </c>
      <c r="C4917" t="inlineStr">
        <is>
          <t>https://www.pollentiaproperties.com/en/property/id/823652-apartment-for-sale-palma-sindicatos-area-spacious-interior</t>
        </is>
      </c>
      <c r="E4917" t="n">
        <v>7</v>
      </c>
      <c r="H4917" t="n">
        <v>192</v>
      </c>
      <c r="J4917" t="inlineStr">
        <is>
          <t>Sindicato</t>
        </is>
      </c>
      <c r="K4917" t="n">
        <v>9.699999999999999</v>
      </c>
      <c r="L4917" t="n">
        <v>15</v>
      </c>
      <c r="M4917" t="n">
        <v>52.4</v>
      </c>
      <c r="N4917" t="n">
        <v>48</v>
      </c>
      <c r="O4917" t="n">
        <v>32.1</v>
      </c>
      <c r="P4917" t="n">
        <v>36</v>
      </c>
      <c r="Q4917" t="n">
        <v>50.1</v>
      </c>
      <c r="R4917" t="n">
        <v>44</v>
      </c>
      <c r="S4917" t="n">
        <v>740000</v>
      </c>
      <c r="T4917" t="n">
        <v>3854</v>
      </c>
      <c r="AH4917" t="inlineStr">
        <is>
          <t>Quelle: Pollentia Properties</t>
        </is>
      </c>
    </row>
    <row r="4918">
      <c r="A4918" t="n">
        <v>4731</v>
      </c>
      <c r="B4918" t="inlineStr">
        <is>
          <t>Country home for sale in Porreres, Mallorca in peaceful environment</t>
        </is>
      </c>
      <c r="C4918" t="inlineStr">
        <is>
          <t>https://www.pollentiaproperties.com/en/property/id/823626-country-home-for-sale-porreres-peaceful-location-separate-annexe</t>
        </is>
      </c>
      <c r="E4918" t="n">
        <v>4</v>
      </c>
      <c r="G4918" t="n">
        <v>17</v>
      </c>
      <c r="H4918" t="n">
        <v>148</v>
      </c>
      <c r="J4918" t="inlineStr">
        <is>
          <t>Porreres</t>
        </is>
      </c>
      <c r="S4918" t="n">
        <v>790000</v>
      </c>
      <c r="T4918" t="n">
        <v>5338</v>
      </c>
      <c r="U4918" t="n">
        <v>46471</v>
      </c>
      <c r="AH4918" t="inlineStr">
        <is>
          <t>Quelle: Pollentia Properties</t>
        </is>
      </c>
    </row>
    <row r="4919">
      <c r="A4919" t="n">
        <v>4732</v>
      </c>
      <c r="B4919" t="inlineStr">
        <is>
          <t>Building plot for sale in Colònia de Sant Pere, building license for villa with pool</t>
        </is>
      </c>
      <c r="C4919" t="inlineStr">
        <is>
          <t>https://www.pollentiaproperties.com/en/property/id/823613-building-plot-for-sale-colonia-sant-pere-building-license-villa-pool</t>
        </is>
      </c>
      <c r="G4919" t="n">
        <v>16</v>
      </c>
      <c r="J4919" t="inlineStr">
        <is>
          <t>Colònia de Sant Pere</t>
        </is>
      </c>
      <c r="S4919" t="n">
        <v>800000</v>
      </c>
      <c r="U4919" t="n">
        <v>50000</v>
      </c>
      <c r="AH4919" t="inlineStr">
        <is>
          <t>Quelle: Pollentia Properties</t>
        </is>
      </c>
    </row>
    <row r="4920">
      <c r="A4920" t="n">
        <v>4733</v>
      </c>
      <c r="B4920" t="inlineStr">
        <is>
          <t>Country house for sale in Mallorca, Biniali newly built with great features</t>
        </is>
      </c>
      <c r="C4920" t="inlineStr">
        <is>
          <t>https://www.pollentiaproperties.com/en/property/id/823533-country-house-for-sale-biniali-newly-built-great-features-garden-pool</t>
        </is>
      </c>
      <c r="E4920" t="n">
        <v>3</v>
      </c>
      <c r="G4920" t="n">
        <v>15</v>
      </c>
      <c r="H4920" t="n">
        <v>591</v>
      </c>
      <c r="J4920" t="inlineStr">
        <is>
          <t>Biniali</t>
        </is>
      </c>
      <c r="K4920" t="n">
        <v>30.3</v>
      </c>
      <c r="L4920" t="n">
        <v>26</v>
      </c>
      <c r="M4920" t="n">
        <v>50.7</v>
      </c>
      <c r="N4920" t="n">
        <v>52</v>
      </c>
      <c r="O4920" t="n">
        <v>52.9</v>
      </c>
      <c r="P4920" t="n">
        <v>43</v>
      </c>
      <c r="Q4920" t="n">
        <v>48.4</v>
      </c>
      <c r="R4920" t="n">
        <v>49</v>
      </c>
      <c r="S4920" t="n">
        <v>5200000</v>
      </c>
      <c r="T4920" t="n">
        <v>8799</v>
      </c>
      <c r="U4920" t="n">
        <v>346667</v>
      </c>
      <c r="AH4920" t="inlineStr">
        <is>
          <t>Quelle: Pollentia Properties</t>
        </is>
      </c>
    </row>
    <row r="4921">
      <c r="A4921" t="n">
        <v>4734</v>
      </c>
      <c r="B4921" t="inlineStr">
        <is>
          <t>Country house for sale in Ses Salines, Mallorca with enormous potential</t>
        </is>
      </c>
      <c r="C4921" t="inlineStr">
        <is>
          <t>https://www.pollentiaproperties.com/en/property/id/823231-country-house-for-sale-ses-salines-mallorca-enormous-extension-potential</t>
        </is>
      </c>
      <c r="E4921" t="n">
        <v>4</v>
      </c>
      <c r="G4921" t="n">
        <v>150</v>
      </c>
      <c r="H4921" t="n">
        <v>3</v>
      </c>
      <c r="J4921" t="inlineStr">
        <is>
          <t>Ses Salines</t>
        </is>
      </c>
      <c r="K4921" t="n">
        <v>44.5</v>
      </c>
      <c r="L4921" t="n">
        <v>39</v>
      </c>
      <c r="M4921" t="n">
        <v>2.4</v>
      </c>
      <c r="N4921" t="n">
        <v>5</v>
      </c>
      <c r="O4921" t="n">
        <v>82.7</v>
      </c>
      <c r="P4921" t="n">
        <v>67</v>
      </c>
      <c r="Q4921" t="n">
        <v>2</v>
      </c>
      <c r="R4921" t="n">
        <v>5</v>
      </c>
      <c r="S4921" t="n">
        <v>10600000</v>
      </c>
      <c r="T4921" t="n">
        <v>3533333</v>
      </c>
      <c r="U4921" t="n">
        <v>70667</v>
      </c>
      <c r="AH4921" t="inlineStr">
        <is>
          <t>Quelle: Pollentia Properties</t>
        </is>
      </c>
    </row>
    <row r="4922">
      <c r="A4922" t="n">
        <v>4735</v>
      </c>
      <c r="B4922" t="inlineStr">
        <is>
          <t>Penthouse apartments for sale in Playa de Palma with rooftop pool</t>
        </is>
      </c>
      <c r="C4922" t="inlineStr">
        <is>
          <t>https://www.pollentiaproperties.com/en/property/id/823093-penthouse-apartments-for-sale-playa-de-palma-rooftop-pool</t>
        </is>
      </c>
      <c r="E4922" t="n">
        <v>2</v>
      </c>
      <c r="J4922" t="inlineStr">
        <is>
          <t>Playa de Palma</t>
        </is>
      </c>
      <c r="AH4922" t="inlineStr">
        <is>
          <t>Quelle: Pollentia Properties</t>
        </is>
      </c>
    </row>
    <row r="4923">
      <c r="A4923" t="n">
        <v>4736</v>
      </c>
      <c r="B4923" t="inlineStr">
        <is>
          <t>Penthouse for sale in Playa de Palma, Mallorca with community pool</t>
        </is>
      </c>
      <c r="C4923" t="inlineStr">
        <is>
          <t>https://www.pollentiaproperties.com/en/property/id/823092-apartment-for-sale-playa-de-palma-community-pool-parking-space</t>
        </is>
      </c>
      <c r="E4923" t="n">
        <v>1</v>
      </c>
      <c r="J4923" t="inlineStr">
        <is>
          <t>Playa de Palma</t>
        </is>
      </c>
      <c r="AH4923" t="inlineStr">
        <is>
          <t>Quelle: Pollentia Properties</t>
        </is>
      </c>
    </row>
    <row r="4924">
      <c r="A4924" t="n">
        <v>4737</v>
      </c>
      <c r="B4924" t="inlineStr">
        <is>
          <t>Country home for sale in María de la Salud, Mallorca with endless potential</t>
        </is>
      </c>
      <c r="C4924" t="inlineStr">
        <is>
          <t>https://www.pollentiaproperties.com/en/property/id/822165-country-house-for-sale-maria-salud-huge-potential</t>
        </is>
      </c>
      <c r="E4924" t="n">
        <v>10</v>
      </c>
      <c r="G4924" t="n">
        <v>298</v>
      </c>
      <c r="H4924" t="n">
        <v>6</v>
      </c>
      <c r="J4924" t="inlineStr">
        <is>
          <t>María de la Salut</t>
        </is>
      </c>
      <c r="K4924" t="n">
        <v>42</v>
      </c>
      <c r="L4924" t="n">
        <v>45</v>
      </c>
      <c r="M4924" t="n">
        <v>49.4</v>
      </c>
      <c r="N4924" t="n">
        <v>52</v>
      </c>
      <c r="O4924" t="n">
        <v>77.3</v>
      </c>
      <c r="P4924" t="n">
        <v>62</v>
      </c>
      <c r="Q4924" t="n">
        <v>47.1</v>
      </c>
      <c r="R4924" t="n">
        <v>49</v>
      </c>
      <c r="S4924" t="n">
        <v>3715000</v>
      </c>
      <c r="T4924" t="n">
        <v>619167</v>
      </c>
      <c r="U4924" t="n">
        <v>12466</v>
      </c>
      <c r="AH4924" t="inlineStr">
        <is>
          <t>Quelle: Pollentia Properties</t>
        </is>
      </c>
    </row>
    <row r="4925">
      <c r="A4925" t="n">
        <v>4738</v>
      </c>
      <c r="B4925" t="inlineStr">
        <is>
          <t>Country home for sale in Felanitx, Mallorca brand new on a large plot</t>
        </is>
      </c>
      <c r="C4925" t="inlineStr">
        <is>
          <t>https://www.pollentiaproperties.com/en/property/id/821464-country-home-for-sale-felanitx-brand-new-property-large-plot</t>
        </is>
      </c>
      <c r="E4925" t="n">
        <v>6</v>
      </c>
      <c r="G4925" t="n">
        <v>42</v>
      </c>
      <c r="H4925" t="n">
        <v>600</v>
      </c>
      <c r="J4925" t="inlineStr">
        <is>
          <t>Felanitx</t>
        </is>
      </c>
      <c r="K4925" t="n">
        <v>45</v>
      </c>
      <c r="L4925" t="n">
        <v>40</v>
      </c>
      <c r="M4925" t="n">
        <v>26.8</v>
      </c>
      <c r="N4925" t="n">
        <v>30</v>
      </c>
      <c r="O4925" t="n">
        <v>83.2</v>
      </c>
      <c r="P4925" t="n">
        <v>68</v>
      </c>
      <c r="Q4925" t="n">
        <v>24.5</v>
      </c>
      <c r="R4925" t="n">
        <v>26</v>
      </c>
      <c r="S4925" t="n">
        <v>3200000</v>
      </c>
      <c r="T4925" t="n">
        <v>5333</v>
      </c>
      <c r="U4925" t="n">
        <v>76190</v>
      </c>
      <c r="AH4925" t="inlineStr">
        <is>
          <t>Quelle: Pollentia Properties</t>
        </is>
      </c>
    </row>
    <row r="4926">
      <c r="A4926" t="n">
        <v>4739</v>
      </c>
      <c r="B4926" t="inlineStr">
        <is>
          <t>Country plots for sale in Mallorca for a single family homes with pool</t>
        </is>
      </c>
      <c r="C4926" t="inlineStr">
        <is>
          <t>https://www.pollentiaproperties.com/en/property/id/821271-country-plots-for-sale-la.rapita-project-detached-home-pool</t>
        </is>
      </c>
      <c r="G4926" t="n">
        <v>300</v>
      </c>
      <c r="J4926" t="inlineStr">
        <is>
          <t>La Rapita</t>
        </is>
      </c>
      <c r="K4926" t="n">
        <v>37.4</v>
      </c>
      <c r="L4926" t="n">
        <v>34</v>
      </c>
      <c r="M4926" t="n">
        <v>17.3</v>
      </c>
      <c r="N4926" t="n">
        <v>22</v>
      </c>
      <c r="O4926" t="n">
        <v>75.59999999999999</v>
      </c>
      <c r="P4926" t="n">
        <v>61</v>
      </c>
      <c r="Q4926" t="n">
        <v>15</v>
      </c>
      <c r="R4926" t="n">
        <v>19</v>
      </c>
      <c r="S4926" t="n">
        <v>2700000</v>
      </c>
      <c r="U4926" t="n">
        <v>9000</v>
      </c>
      <c r="AH4926" t="inlineStr">
        <is>
          <t>Quelle: Pollentia Properties</t>
        </is>
      </c>
    </row>
    <row r="4927">
      <c r="A4927" t="n">
        <v>4740</v>
      </c>
      <c r="B4927" t="inlineStr">
        <is>
          <t>Country house for sale in Campos, Mallorca building project  with large garden and private pool</t>
        </is>
      </c>
      <c r="C4927" t="inlineStr">
        <is>
          <t>https://www.pollentiaproperties.com/en/property/id/821230-country-home-for-sale-campos-mallorca-quiet-location-high-quality-project</t>
        </is>
      </c>
      <c r="E4927" t="n">
        <v>4</v>
      </c>
      <c r="G4927" t="n">
        <v>20</v>
      </c>
      <c r="H4927" t="n">
        <v>1</v>
      </c>
      <c r="J4927" t="inlineStr">
        <is>
          <t>Campos</t>
        </is>
      </c>
      <c r="K4927" t="n">
        <v>32.9</v>
      </c>
      <c r="L4927" t="n">
        <v>28</v>
      </c>
      <c r="M4927" t="n">
        <v>14.6</v>
      </c>
      <c r="N4927" t="n">
        <v>18</v>
      </c>
      <c r="O4927" t="n">
        <v>71.09999999999999</v>
      </c>
      <c r="P4927" t="n">
        <v>56</v>
      </c>
      <c r="Q4927" t="n">
        <v>12.3</v>
      </c>
      <c r="R4927" t="n">
        <v>14</v>
      </c>
      <c r="S4927" t="n">
        <v>5500000</v>
      </c>
      <c r="T4927" t="n">
        <v>5500000</v>
      </c>
      <c r="U4927" t="n">
        <v>275000</v>
      </c>
      <c r="AH4927" t="inlineStr">
        <is>
          <t>Quelle: Pollentia Properties</t>
        </is>
      </c>
    </row>
    <row r="4928">
      <c r="A4928" t="n">
        <v>4741</v>
      </c>
      <c r="B4928" t="inlineStr">
        <is>
          <t>Country home for sale in Esporles, Mallorca with huge extension of land</t>
        </is>
      </c>
      <c r="C4928" t="inlineStr">
        <is>
          <t>https://www.pollentiaproperties.com/en/property/id/821128-country-home-for-sale-esporles-fantastic-huge-plot-great-accommodation</t>
        </is>
      </c>
      <c r="E4928" t="n">
        <v>6</v>
      </c>
      <c r="G4928" t="n">
        <v>70</v>
      </c>
      <c r="H4928" t="n">
        <v>500</v>
      </c>
      <c r="J4928" t="inlineStr">
        <is>
          <t>Esporles</t>
        </is>
      </c>
      <c r="K4928" t="n">
        <v>24.9</v>
      </c>
      <c r="L4928" t="n">
        <v>27</v>
      </c>
      <c r="M4928" t="n">
        <v>67.59999999999999</v>
      </c>
      <c r="N4928" t="n">
        <v>60</v>
      </c>
      <c r="O4928" t="n">
        <v>43.2</v>
      </c>
      <c r="P4928" t="n">
        <v>40</v>
      </c>
      <c r="Q4928" t="n">
        <v>65.3</v>
      </c>
      <c r="R4928" t="n">
        <v>57</v>
      </c>
      <c r="S4928" t="n">
        <v>5500000</v>
      </c>
      <c r="T4928" t="n">
        <v>11000</v>
      </c>
      <c r="U4928" t="n">
        <v>78571</v>
      </c>
      <c r="AH4928" t="inlineStr">
        <is>
          <t>Quelle: Pollentia Properties</t>
        </is>
      </c>
    </row>
    <row r="4929">
      <c r="A4929" t="n">
        <v>4742</v>
      </c>
      <c r="B4929" t="inlineStr">
        <is>
          <t>Country home for sale in Campos, Mallorca new build</t>
        </is>
      </c>
      <c r="C4929" t="inlineStr">
        <is>
          <t>https://www.pollentiaproperties.com/en/property/id/821107-country-home-for-sale-campos-mallorca-modern-new-build</t>
        </is>
      </c>
      <c r="E4929" t="n">
        <v>5</v>
      </c>
      <c r="G4929" t="n">
        <v>23</v>
      </c>
      <c r="H4929" t="n">
        <v>500</v>
      </c>
      <c r="J4929" t="inlineStr">
        <is>
          <t>Campos</t>
        </is>
      </c>
      <c r="K4929" t="n">
        <v>32.9</v>
      </c>
      <c r="L4929" t="n">
        <v>28</v>
      </c>
      <c r="M4929" t="n">
        <v>14.6</v>
      </c>
      <c r="N4929" t="n">
        <v>18</v>
      </c>
      <c r="O4929" t="n">
        <v>71.09999999999999</v>
      </c>
      <c r="P4929" t="n">
        <v>56</v>
      </c>
      <c r="Q4929" t="n">
        <v>12.3</v>
      </c>
      <c r="R4929" t="n">
        <v>14</v>
      </c>
      <c r="S4929" t="n">
        <v>3150000</v>
      </c>
      <c r="T4929" t="n">
        <v>6300</v>
      </c>
      <c r="U4929" t="n">
        <v>136957</v>
      </c>
      <c r="AH4929" t="inlineStr">
        <is>
          <t>Quelle: Pollentia Properties</t>
        </is>
      </c>
    </row>
    <row r="4930">
      <c r="A4930" t="n">
        <v>4743</v>
      </c>
      <c r="B4930" t="inlineStr">
        <is>
          <t>Country home for sale in Algaida, Mallorca new build plus traditional</t>
        </is>
      </c>
      <c r="C4930" t="inlineStr">
        <is>
          <t>https://www.pollentiaproperties.com/en/property/id/820419-country-home-for-sale-algaida-mallorca-top-quality-new-build-close-palma</t>
        </is>
      </c>
      <c r="E4930" t="n">
        <v>4</v>
      </c>
      <c r="G4930" t="n">
        <v>15</v>
      </c>
      <c r="H4930" t="n">
        <v>561</v>
      </c>
      <c r="J4930" t="inlineStr">
        <is>
          <t>Algaida</t>
        </is>
      </c>
      <c r="K4930" t="n">
        <v>20.1</v>
      </c>
      <c r="L4930" t="n">
        <v>21</v>
      </c>
      <c r="M4930" t="n">
        <v>39.8</v>
      </c>
      <c r="N4930" t="n">
        <v>41</v>
      </c>
      <c r="O4930" t="n">
        <v>54.4</v>
      </c>
      <c r="P4930" t="n">
        <v>46</v>
      </c>
      <c r="Q4930" t="n">
        <v>37.5</v>
      </c>
      <c r="R4930" t="n">
        <v>37</v>
      </c>
      <c r="S4930" t="n">
        <v>2750000</v>
      </c>
      <c r="T4930" t="n">
        <v>4902</v>
      </c>
      <c r="U4930" t="n">
        <v>183333</v>
      </c>
      <c r="AH4930" t="inlineStr">
        <is>
          <t>Quelle: Pollentia Properties</t>
        </is>
      </c>
    </row>
    <row r="4931">
      <c r="A4931" t="n">
        <v>4744</v>
      </c>
      <c r="B4931" t="inlineStr">
        <is>
          <t>Manor townhouse for sale in Mancor de la vall. With independent garden.</t>
        </is>
      </c>
      <c r="C4931" t="inlineStr">
        <is>
          <t>https://www.pollentiaproperties.com/en/property/id/820415-manor-townhouse-sale-mancor-vall-independent-garden</t>
        </is>
      </c>
      <c r="E4931" t="n">
        <v>5</v>
      </c>
      <c r="G4931" t="n">
        <v>753</v>
      </c>
      <c r="H4931" t="n">
        <v>964</v>
      </c>
      <c r="J4931" t="inlineStr">
        <is>
          <t>Mancor de la Vall</t>
        </is>
      </c>
      <c r="K4931" t="n">
        <v>41.6</v>
      </c>
      <c r="L4931" t="n">
        <v>38</v>
      </c>
      <c r="M4931" t="n">
        <v>61.8</v>
      </c>
      <c r="N4931" t="n">
        <v>67</v>
      </c>
      <c r="O4931" t="n">
        <v>64.2</v>
      </c>
      <c r="P4931" t="n">
        <v>54</v>
      </c>
      <c r="Q4931" t="n">
        <v>59.5</v>
      </c>
      <c r="R4931" t="n">
        <v>63</v>
      </c>
      <c r="S4931" t="n">
        <v>2000000</v>
      </c>
      <c r="T4931" t="n">
        <v>2075</v>
      </c>
      <c r="U4931" t="n">
        <v>2656</v>
      </c>
      <c r="AH4931" t="inlineStr">
        <is>
          <t>Quelle: Pollentia Properties</t>
        </is>
      </c>
    </row>
    <row r="4932">
      <c r="A4932" t="n">
        <v>4745</v>
      </c>
      <c r="B4932" t="inlineStr">
        <is>
          <t>Town house for sale in Llucmajor, Mallorca newly built in modern style</t>
        </is>
      </c>
      <c r="C4932" t="inlineStr">
        <is>
          <t>https://www.pollentiaproperties.com/en/property/id/820375-town-house-for-sale-llucmajor-newly-built-modern-style-terrace-pool</t>
        </is>
      </c>
      <c r="E4932" t="n">
        <v>4</v>
      </c>
      <c r="H4932" t="n">
        <v>237</v>
      </c>
      <c r="J4932" t="inlineStr">
        <is>
          <t>Llucmajor Pueblo</t>
        </is>
      </c>
      <c r="AH4932" t="inlineStr">
        <is>
          <t>Quelle: Pollentia Properties</t>
        </is>
      </c>
    </row>
    <row r="4933">
      <c r="A4933" t="n">
        <v>4746</v>
      </c>
      <c r="B4933" t="inlineStr">
        <is>
          <t>Country home for sale in Algaida, Mallorca new build plus tradition</t>
        </is>
      </c>
      <c r="C4933" t="inlineStr">
        <is>
          <t>https://www.pollentiaproperties.com/en/property/id/820258-country-home-for-sale-algaida-top-quality-new-build-garden-pool</t>
        </is>
      </c>
      <c r="E4933" t="n">
        <v>4</v>
      </c>
      <c r="G4933" t="n">
        <v>15</v>
      </c>
      <c r="H4933" t="n">
        <v>561</v>
      </c>
      <c r="J4933" t="inlineStr">
        <is>
          <t>Algaida</t>
        </is>
      </c>
      <c r="K4933" t="n">
        <v>20.1</v>
      </c>
      <c r="L4933" t="n">
        <v>21</v>
      </c>
      <c r="M4933" t="n">
        <v>39.8</v>
      </c>
      <c r="N4933" t="n">
        <v>41</v>
      </c>
      <c r="O4933" t="n">
        <v>54.4</v>
      </c>
      <c r="P4933" t="n">
        <v>46</v>
      </c>
      <c r="Q4933" t="n">
        <v>37.5</v>
      </c>
      <c r="R4933" t="n">
        <v>37</v>
      </c>
      <c r="S4933" t="n">
        <v>2950000</v>
      </c>
      <c r="T4933" t="n">
        <v>5258</v>
      </c>
      <c r="U4933" t="n">
        <v>196667</v>
      </c>
      <c r="AH4933" t="inlineStr">
        <is>
          <t>Quelle: Pollentia Properties</t>
        </is>
      </c>
    </row>
    <row r="4934">
      <c r="A4934" t="n">
        <v>4747</v>
      </c>
      <c r="B4934" t="inlineStr">
        <is>
          <t>Villa for sale in Cala Major luxury property with direct access to the sea</t>
        </is>
      </c>
      <c r="C4934" t="inlineStr">
        <is>
          <t>https://www.pollentiaproperties.com/en/property/id/820169-villa-for-sale-cala-major-luxury-property-direct-access-sea</t>
        </is>
      </c>
      <c r="E4934" t="n">
        <v>5</v>
      </c>
      <c r="G4934" t="n">
        <v>2</v>
      </c>
      <c r="H4934" t="n">
        <v>922</v>
      </c>
      <c r="J4934" t="inlineStr">
        <is>
          <t>Cala Major</t>
        </is>
      </c>
      <c r="K4934" t="n">
        <v>19.7</v>
      </c>
      <c r="L4934" t="n">
        <v>19</v>
      </c>
      <c r="M4934" t="n">
        <v>62.5</v>
      </c>
      <c r="N4934" t="n">
        <v>52</v>
      </c>
      <c r="O4934" t="n">
        <v>26.3</v>
      </c>
      <c r="P4934" t="n">
        <v>24</v>
      </c>
      <c r="Q4934" t="n">
        <v>60.2</v>
      </c>
      <c r="R4934" t="n">
        <v>48</v>
      </c>
      <c r="AH4934" t="inlineStr">
        <is>
          <t>Quelle: Pollentia Properties</t>
        </is>
      </c>
    </row>
    <row r="4935">
      <c r="A4935" t="n">
        <v>4748</v>
      </c>
      <c r="B4935" t="inlineStr">
        <is>
          <t>Villa for sale in Puntiró, Mallorca in peaceful country environment</t>
        </is>
      </c>
      <c r="C4935" t="inlineStr">
        <is>
          <t>https://www.pollentiaproperties.com/en/property/id/820103-villa-for-sale-puntiro-peaceful-environment-top-quality-throughout</t>
        </is>
      </c>
      <c r="E4935" t="n">
        <v>5</v>
      </c>
      <c r="G4935" t="n">
        <v>9</v>
      </c>
      <c r="H4935" t="n">
        <v>320</v>
      </c>
      <c r="J4935" t="inlineStr">
        <is>
          <t>Puntiró</t>
        </is>
      </c>
      <c r="K4935" t="n">
        <v>16.7</v>
      </c>
      <c r="L4935" t="n">
        <v>21</v>
      </c>
      <c r="M4935" t="n">
        <v>53.4</v>
      </c>
      <c r="N4935" t="n">
        <v>52</v>
      </c>
      <c r="O4935" t="n">
        <v>47</v>
      </c>
      <c r="P4935" t="n">
        <v>43</v>
      </c>
      <c r="Q4935" t="n">
        <v>51.1</v>
      </c>
      <c r="R4935" t="n">
        <v>48</v>
      </c>
      <c r="S4935" t="n">
        <v>1700000</v>
      </c>
      <c r="T4935" t="n">
        <v>5312</v>
      </c>
      <c r="U4935" t="n">
        <v>188889</v>
      </c>
      <c r="AH4935" t="inlineStr">
        <is>
          <t>Quelle: Pollentia Properties</t>
        </is>
      </c>
    </row>
    <row r="4936">
      <c r="A4936" t="n">
        <v>4749</v>
      </c>
      <c r="B4936" t="inlineStr">
        <is>
          <t>Villa for sale in Puntiró, Mallorca in peaceful residential area</t>
        </is>
      </c>
      <c r="C4936" t="inlineStr">
        <is>
          <t>https://www.pollentiaproperties.com/en/property/id/819712-villa-for-sale-puntiro-peaceful-residential-area-spacious-accommodation</t>
        </is>
      </c>
      <c r="E4936" t="n">
        <v>8</v>
      </c>
      <c r="G4936" t="n">
        <v>8</v>
      </c>
      <c r="H4936" t="n">
        <v>583</v>
      </c>
      <c r="J4936" t="inlineStr">
        <is>
          <t>Puntiró</t>
        </is>
      </c>
      <c r="K4936" t="n">
        <v>16.7</v>
      </c>
      <c r="L4936" t="n">
        <v>21</v>
      </c>
      <c r="M4936" t="n">
        <v>53.4</v>
      </c>
      <c r="N4936" t="n">
        <v>52</v>
      </c>
      <c r="O4936" t="n">
        <v>47</v>
      </c>
      <c r="P4936" t="n">
        <v>43</v>
      </c>
      <c r="Q4936" t="n">
        <v>51.1</v>
      </c>
      <c r="R4936" t="n">
        <v>48</v>
      </c>
      <c r="AH4936" t="inlineStr">
        <is>
          <t>Quelle: Pollentia Properties</t>
        </is>
      </c>
    </row>
    <row r="4937">
      <c r="A4937" t="n">
        <v>4750</v>
      </c>
      <c r="B4937" t="inlineStr">
        <is>
          <t>Town house for sale in Buger, Mallorca in charming location</t>
        </is>
      </c>
      <c r="C4937" t="inlineStr">
        <is>
          <t>https://www.pollentiaproperties.com/en/property/id/819630-town-house-for-sale-buger-great-potential-fantastic-location</t>
        </is>
      </c>
      <c r="E4937" t="n">
        <v>4</v>
      </c>
      <c r="H4937" t="n">
        <v>192</v>
      </c>
      <c r="J4937" t="inlineStr">
        <is>
          <t>Búger</t>
        </is>
      </c>
      <c r="S4937" t="n">
        <v>340000</v>
      </c>
      <c r="T4937" t="n">
        <v>1771</v>
      </c>
      <c r="AH4937" t="inlineStr">
        <is>
          <t>Quelle: Pollentia Properties</t>
        </is>
      </c>
    </row>
    <row r="4938">
      <c r="A4938" t="n">
        <v>4751</v>
      </c>
      <c r="B4938" t="inlineStr">
        <is>
          <t>Townhouse for sale in Campanet, charming property with marvellous views</t>
        </is>
      </c>
      <c r="C4938" t="inlineStr">
        <is>
          <t>https://www.pollentiaproperties.com/en/property/id/819530-townhouse-for-sale-campanet-charming-property-marvellous-views</t>
        </is>
      </c>
      <c r="E4938" t="n">
        <v>3</v>
      </c>
      <c r="G4938" t="n">
        <v>157</v>
      </c>
      <c r="H4938" t="n">
        <v>309</v>
      </c>
      <c r="J4938" t="inlineStr">
        <is>
          <t>Campanet</t>
        </is>
      </c>
      <c r="S4938" t="n">
        <v>950000</v>
      </c>
      <c r="T4938" t="n">
        <v>3074</v>
      </c>
      <c r="U4938" t="n">
        <v>6051</v>
      </c>
      <c r="AH4938" t="inlineStr">
        <is>
          <t>Quelle: Pollentia Properties</t>
        </is>
      </c>
    </row>
    <row r="4939">
      <c r="A4939" t="n">
        <v>4752</v>
      </c>
      <c r="B4939" t="inlineStr">
        <is>
          <t>Villa for sale in El Vila, in a stunning private location with rental license</t>
        </is>
      </c>
      <c r="C4939" t="inlineStr">
        <is>
          <t>https://www.pollentiaproperties.com/en/property/id/819383-villa-for-sale-el-vila-stunning-private-location-rental-license</t>
        </is>
      </c>
      <c r="E4939" t="n">
        <v>5</v>
      </c>
      <c r="G4939" t="n">
        <v>1</v>
      </c>
      <c r="H4939" t="n">
        <v>477</v>
      </c>
      <c r="J4939" t="inlineStr">
        <is>
          <t>El Vila</t>
        </is>
      </c>
      <c r="K4939" t="n">
        <v>64.90000000000001</v>
      </c>
      <c r="L4939" t="n">
        <v>49</v>
      </c>
      <c r="M4939" t="n">
        <v>83.09999999999999</v>
      </c>
      <c r="N4939" t="n">
        <v>76</v>
      </c>
      <c r="O4939" t="n">
        <v>87.5</v>
      </c>
      <c r="P4939" t="n">
        <v>65</v>
      </c>
      <c r="Q4939" t="n">
        <v>80.8</v>
      </c>
      <c r="R4939" t="n">
        <v>72</v>
      </c>
      <c r="S4939" t="n">
        <v>3495000</v>
      </c>
      <c r="T4939" t="n">
        <v>7327</v>
      </c>
      <c r="U4939" t="n">
        <v>3495000</v>
      </c>
      <c r="AH4939" t="inlineStr">
        <is>
          <t>Quelle: Pollentia Properties</t>
        </is>
      </c>
    </row>
    <row r="4940">
      <c r="A4940" t="n">
        <v>4753</v>
      </c>
      <c r="B4940" t="inlineStr">
        <is>
          <t>Villa for sale in Bendinat, Mallorca newly built in exclusive location</t>
        </is>
      </c>
      <c r="C4940" t="inlineStr">
        <is>
          <t>https://www.pollentiaproperties.com/en/property/id/819349-villa-for-sale-calvia-new-build-top-quality-throughout</t>
        </is>
      </c>
      <c r="E4940" t="n">
        <v>5</v>
      </c>
      <c r="G4940" t="n">
        <v>789</v>
      </c>
      <c r="H4940" t="n">
        <v>276</v>
      </c>
      <c r="J4940" t="inlineStr">
        <is>
          <t>Bendinat</t>
        </is>
      </c>
      <c r="K4940" t="n">
        <v>23.1</v>
      </c>
      <c r="L4940" t="n">
        <v>22</v>
      </c>
      <c r="M4940" t="n">
        <v>65.8</v>
      </c>
      <c r="N4940" t="n">
        <v>55</v>
      </c>
      <c r="O4940" t="n">
        <v>23.2</v>
      </c>
      <c r="P4940" t="n">
        <v>23</v>
      </c>
      <c r="Q4940" t="n">
        <v>63.5</v>
      </c>
      <c r="R4940" t="n">
        <v>51</v>
      </c>
      <c r="S4940" t="n">
        <v>7475000</v>
      </c>
      <c r="T4940" t="n">
        <v>27083</v>
      </c>
      <c r="U4940" t="n">
        <v>9474</v>
      </c>
      <c r="AH4940" t="inlineStr">
        <is>
          <t>Quelle: Pollentia Properties</t>
        </is>
      </c>
    </row>
    <row r="4941">
      <c r="A4941" t="n">
        <v>4754</v>
      </c>
      <c r="B4941" t="inlineStr">
        <is>
          <t>Country house for sale in Artà, Mallorca uncompleted project</t>
        </is>
      </c>
      <c r="C4941" t="inlineStr">
        <is>
          <t>https://www.pollentiaproperties.com/en/property/id/819288-country-house-for-sale-arta-uncompleted-project-perfect-location</t>
        </is>
      </c>
      <c r="E4941" t="n">
        <v>5</v>
      </c>
      <c r="G4941" t="n">
        <v>73</v>
      </c>
      <c r="H4941" t="n">
        <v>552</v>
      </c>
      <c r="J4941" t="inlineStr">
        <is>
          <t>Artà</t>
        </is>
      </c>
      <c r="K4941" t="n">
        <v>68.3</v>
      </c>
      <c r="L4941" t="n">
        <v>61</v>
      </c>
      <c r="M4941" t="n">
        <v>63.7</v>
      </c>
      <c r="N4941" t="n">
        <v>64</v>
      </c>
      <c r="O4941" t="n">
        <v>102.5</v>
      </c>
      <c r="P4941" t="n">
        <v>86</v>
      </c>
      <c r="Q4941" t="n">
        <v>61.4</v>
      </c>
      <c r="R4941" t="n">
        <v>61</v>
      </c>
      <c r="S4941" t="n">
        <v>1100000</v>
      </c>
      <c r="T4941" t="n">
        <v>1993</v>
      </c>
      <c r="U4941" t="n">
        <v>15068</v>
      </c>
      <c r="AH4941" t="inlineStr">
        <is>
          <t>Quelle: Pollentia Properties</t>
        </is>
      </c>
    </row>
    <row r="4942">
      <c r="A4942" t="n">
        <v>4755</v>
      </c>
      <c r="B4942" t="inlineStr">
        <is>
          <t>Villa for sale in La Mola, Andratx, Mallorca in stunning seafacing location</t>
        </is>
      </c>
      <c r="C4942" t="inlineStr">
        <is>
          <t>https://www.pollentiaproperties.com/en/property/id/819219-villa-for-sale-la-mola-stunning-property-breathtaking-sea-views</t>
        </is>
      </c>
      <c r="E4942" t="n">
        <v>4</v>
      </c>
      <c r="G4942" t="n">
        <v>1</v>
      </c>
      <c r="H4942" t="n">
        <v>450</v>
      </c>
      <c r="J4942" t="inlineStr">
        <is>
          <t>La Mola</t>
        </is>
      </c>
      <c r="K4942" t="n">
        <v>66</v>
      </c>
      <c r="L4942" t="n">
        <v>51</v>
      </c>
      <c r="M4942" t="n">
        <v>84.09999999999999</v>
      </c>
      <c r="N4942" t="n">
        <v>78</v>
      </c>
      <c r="O4942" t="n">
        <v>88.59999999999999</v>
      </c>
      <c r="P4942" t="n">
        <v>67</v>
      </c>
      <c r="Q4942" t="n">
        <v>81.8</v>
      </c>
      <c r="R4942" t="n">
        <v>74</v>
      </c>
      <c r="S4942" t="n">
        <v>13800000</v>
      </c>
      <c r="T4942" t="n">
        <v>30667</v>
      </c>
      <c r="U4942" t="n">
        <v>13800000</v>
      </c>
      <c r="AH4942" t="inlineStr">
        <is>
          <t>Quelle: Pollentia Properties</t>
        </is>
      </c>
    </row>
    <row r="4943">
      <c r="A4943" t="n">
        <v>4756</v>
      </c>
      <c r="B4943" t="inlineStr">
        <is>
          <t>Country home for sale in Artà, Mallorca perfect renovation project</t>
        </is>
      </c>
      <c r="C4943" t="inlineStr">
        <is>
          <t>https://www.pollentiaproperties.com/en/property/id/818947-country-home-for-sale-arta-fantastic-renovation-project</t>
        </is>
      </c>
      <c r="G4943" t="n">
        <v>160</v>
      </c>
      <c r="H4943" t="n">
        <v>320</v>
      </c>
      <c r="J4943" t="inlineStr">
        <is>
          <t>Artà</t>
        </is>
      </c>
      <c r="K4943" t="n">
        <v>68.3</v>
      </c>
      <c r="L4943" t="n">
        <v>61</v>
      </c>
      <c r="M4943" t="n">
        <v>63.7</v>
      </c>
      <c r="N4943" t="n">
        <v>64</v>
      </c>
      <c r="O4943" t="n">
        <v>102.5</v>
      </c>
      <c r="P4943" t="n">
        <v>86</v>
      </c>
      <c r="Q4943" t="n">
        <v>61.4</v>
      </c>
      <c r="R4943" t="n">
        <v>61</v>
      </c>
      <c r="S4943" t="n">
        <v>1800000</v>
      </c>
      <c r="T4943" t="n">
        <v>5625</v>
      </c>
      <c r="U4943" t="n">
        <v>11250</v>
      </c>
      <c r="AH4943" t="inlineStr">
        <is>
          <t>Quelle: Pollentia Properties</t>
        </is>
      </c>
    </row>
    <row r="4944">
      <c r="A4944" t="n">
        <v>4757</v>
      </c>
      <c r="B4944" t="inlineStr">
        <is>
          <t>Villa for sale in Colonia de Sant Pere, Mallorca new exclusive development</t>
        </is>
      </c>
      <c r="C4944" t="inlineStr">
        <is>
          <t>https://www.pollentiaproperties.com/en/property/id/818821-villa-for-sale-colonia-de-sant-pere-exclusive-development-maximum-comfort</t>
        </is>
      </c>
      <c r="E4944" t="n">
        <v>3</v>
      </c>
      <c r="H4944" t="n">
        <v>369</v>
      </c>
      <c r="J4944" t="inlineStr">
        <is>
          <t>Colònia de Sant Pere</t>
        </is>
      </c>
      <c r="K4944" t="n">
        <v>70</v>
      </c>
      <c r="L4944" t="n">
        <v>60</v>
      </c>
      <c r="M4944" t="n">
        <v>65.40000000000001</v>
      </c>
      <c r="N4944" t="n">
        <v>63</v>
      </c>
      <c r="O4944" t="n">
        <v>105.9</v>
      </c>
      <c r="P4944" t="n">
        <v>84</v>
      </c>
      <c r="Q4944" t="n">
        <v>63.1</v>
      </c>
      <c r="R4944" t="n">
        <v>60</v>
      </c>
      <c r="S4944" t="n">
        <v>1250000</v>
      </c>
      <c r="T4944" t="n">
        <v>3388</v>
      </c>
      <c r="AH4944" t="inlineStr">
        <is>
          <t>Quelle: Pollentia Properties</t>
        </is>
      </c>
    </row>
    <row r="4945">
      <c r="A4945" t="n">
        <v>4758</v>
      </c>
      <c r="B4945" t="inlineStr">
        <is>
          <t>Apartment for sale in Cala Murada, Mallorca under construction</t>
        </is>
      </c>
      <c r="C4945" t="inlineStr">
        <is>
          <t>https://www.pollentiaproperties.com/en/property/id/818815-home-for-sale-cala-murada-currently-under-construction-completion-next-year</t>
        </is>
      </c>
      <c r="E4945" t="n">
        <v>2</v>
      </c>
      <c r="H4945" t="n">
        <v>77</v>
      </c>
      <c r="J4945" t="inlineStr">
        <is>
          <t>Cala Murada</t>
        </is>
      </c>
      <c r="S4945" t="n">
        <v>398000</v>
      </c>
      <c r="T4945" t="n">
        <v>5169</v>
      </c>
      <c r="AH4945" t="inlineStr">
        <is>
          <t>Quelle: Pollentia Properties</t>
        </is>
      </c>
    </row>
    <row r="4946">
      <c r="A4946" t="n">
        <v>4759</v>
      </c>
      <c r="B4946" t="inlineStr">
        <is>
          <t>Townhouse for sale in Pollensa, Mallorca potential for renovation</t>
        </is>
      </c>
      <c r="C4946" t="inlineStr">
        <is>
          <t>https://www.pollentiaproperties.com/en/property/id/818733-townhouse-for-sale-pollensa-patio-terrace-renovation-project</t>
        </is>
      </c>
      <c r="G4946" t="n">
        <v>122</v>
      </c>
      <c r="H4946" t="n">
        <v>161</v>
      </c>
      <c r="J4946" t="inlineStr">
        <is>
          <t>Pollença Pueblo</t>
        </is>
      </c>
      <c r="S4946" t="n">
        <v>479000</v>
      </c>
      <c r="T4946" t="n">
        <v>2975</v>
      </c>
      <c r="U4946" t="n">
        <v>3926</v>
      </c>
      <c r="AH4946" t="inlineStr">
        <is>
          <t>Quelle: Pollentia Properties</t>
        </is>
      </c>
    </row>
    <row r="4947">
      <c r="A4947" t="n">
        <v>4760</v>
      </c>
      <c r="B4947" t="inlineStr">
        <is>
          <t>Penthouse for sale in Palma, Mallorca in stunning area of Portixol</t>
        </is>
      </c>
      <c r="C4947" t="inlineStr">
        <is>
          <t>https://www.pollentiaproperties.com/en/property/id/818478-penthouse-for-sale-palma-exclusive-complex-community-garden-pool</t>
        </is>
      </c>
      <c r="E4947" t="n">
        <v>2</v>
      </c>
      <c r="H4947" t="n">
        <v>225</v>
      </c>
      <c r="J4947" t="inlineStr">
        <is>
          <t>Palma de Mallorca</t>
        </is>
      </c>
      <c r="K4947" t="n">
        <v>9.699999999999999</v>
      </c>
      <c r="L4947" t="n">
        <v>14</v>
      </c>
      <c r="M4947" t="n">
        <v>52.5</v>
      </c>
      <c r="N4947" t="n">
        <v>47</v>
      </c>
      <c r="O4947" t="n">
        <v>32.1</v>
      </c>
      <c r="P4947" t="n">
        <v>36</v>
      </c>
      <c r="Q4947" t="n">
        <v>50.2</v>
      </c>
      <c r="R4947" t="n">
        <v>44</v>
      </c>
      <c r="S4947" t="n">
        <v>1900000</v>
      </c>
      <c r="T4947" t="n">
        <v>8444</v>
      </c>
      <c r="AH4947" t="inlineStr">
        <is>
          <t>Quelle: Pollentia Properties</t>
        </is>
      </c>
    </row>
    <row r="4948">
      <c r="A4948" t="n">
        <v>4761</v>
      </c>
      <c r="B4948" t="inlineStr">
        <is>
          <t>Apartment for sale in Puerto Pollensa, brand new luxury project</t>
        </is>
      </c>
      <c r="C4948" t="inlineStr">
        <is>
          <t>https://www.pollentiaproperties.com/en/property/id/818469-new-build-apartment-for-sale-puerto-pollensa-pure-luxury</t>
        </is>
      </c>
      <c r="E4948" t="n">
        <v>4</v>
      </c>
      <c r="G4948" t="n">
        <v>1</v>
      </c>
      <c r="H4948" t="n">
        <v>192</v>
      </c>
      <c r="J4948" t="inlineStr">
        <is>
          <t>Llenaire</t>
        </is>
      </c>
      <c r="AH4948" t="inlineStr">
        <is>
          <t>Quelle: Pollentia Properties</t>
        </is>
      </c>
    </row>
    <row r="4949">
      <c r="A4949" t="n">
        <v>4762</v>
      </c>
      <c r="B4949" t="inlineStr">
        <is>
          <t>Penthouse apartment for sale in Alcudia, Mallorca with garden and solar power.</t>
        </is>
      </c>
      <c r="C4949" t="inlineStr">
        <is>
          <t>https://www.pollentiaproperties.com/en/property/id/818367-penthouse-apartment-for-sale-alcudia-private-garden-terrrace</t>
        </is>
      </c>
      <c r="E4949" t="n">
        <v>4</v>
      </c>
      <c r="H4949" t="n">
        <v>166</v>
      </c>
      <c r="J4949" t="inlineStr">
        <is>
          <t>Puerto de Alcúdia</t>
        </is>
      </c>
      <c r="K4949" t="n">
        <v>62.1</v>
      </c>
      <c r="L4949" t="n">
        <v>46</v>
      </c>
      <c r="M4949" t="n">
        <v>80.2</v>
      </c>
      <c r="N4949" t="n">
        <v>73</v>
      </c>
      <c r="O4949" t="n">
        <v>84.7</v>
      </c>
      <c r="P4949" t="n">
        <v>62</v>
      </c>
      <c r="Q4949" t="n">
        <v>77.90000000000001</v>
      </c>
      <c r="R4949" t="n">
        <v>69</v>
      </c>
      <c r="S4949" t="n">
        <v>1490000</v>
      </c>
      <c r="T4949" t="n">
        <v>8976</v>
      </c>
      <c r="AH4949" t="inlineStr">
        <is>
          <t>Quelle: Pollentia Properties</t>
        </is>
      </c>
    </row>
    <row r="4950">
      <c r="A4950" t="n">
        <v>4763</v>
      </c>
      <c r="B4950" t="inlineStr">
        <is>
          <t>Country plot for sale in Campanet, Mallorca, Baleares, Mallorca</t>
        </is>
      </c>
      <c r="C4950" t="inlineStr">
        <is>
          <t>https://www.pollentiaproperties.com/en/property/id/818250-country-plot-for-sale-campanet-mallorca</t>
        </is>
      </c>
      <c r="G4950" t="n">
        <v>14</v>
      </c>
      <c r="J4950" t="inlineStr">
        <is>
          <t>Campanet</t>
        </is>
      </c>
      <c r="S4950" t="n">
        <v>230000</v>
      </c>
      <c r="U4950" t="n">
        <v>16429</v>
      </c>
      <c r="AH4950" t="inlineStr">
        <is>
          <t>Quelle: Pollentia Properties</t>
        </is>
      </c>
    </row>
    <row r="4951">
      <c r="A4951" t="n">
        <v>4764</v>
      </c>
      <c r="B4951" t="inlineStr">
        <is>
          <t>Townhouse for sale in Artà, Mallorca fantastic renovation potential</t>
        </is>
      </c>
      <c r="C4951" t="inlineStr">
        <is>
          <t>https://www.pollentiaproperties.com/en/property/id/818175-townhouse-for-sale-arta-good-location-renovation-project</t>
        </is>
      </c>
      <c r="E4951" t="n">
        <v>9</v>
      </c>
      <c r="J4951" t="inlineStr">
        <is>
          <t>Artà</t>
        </is>
      </c>
      <c r="K4951" t="n">
        <v>68.3</v>
      </c>
      <c r="L4951" t="n">
        <v>61</v>
      </c>
      <c r="M4951" t="n">
        <v>63.7</v>
      </c>
      <c r="N4951" t="n">
        <v>64</v>
      </c>
      <c r="O4951" t="n">
        <v>102.5</v>
      </c>
      <c r="P4951" t="n">
        <v>86</v>
      </c>
      <c r="Q4951" t="n">
        <v>61.4</v>
      </c>
      <c r="R4951" t="n">
        <v>61</v>
      </c>
      <c r="S4951" t="n">
        <v>650000</v>
      </c>
      <c r="AH4951" t="inlineStr">
        <is>
          <t>Quelle: Pollentia Properties</t>
        </is>
      </c>
    </row>
    <row r="4952">
      <c r="A4952" t="n">
        <v>4765</v>
      </c>
      <c r="B4952" t="inlineStr">
        <is>
          <t>Building plot for sale in a residential area of Cala Mesquida, Mallorca</t>
        </is>
      </c>
      <c r="C4952" t="inlineStr">
        <is>
          <t>https://www.pollentiaproperties.com/en/property/id/817257-building-plot-for-sale-cala-mesquida-potential-detached-house-pool</t>
        </is>
      </c>
      <c r="G4952" t="n">
        <v>761</v>
      </c>
      <c r="H4952" t="n">
        <v>507</v>
      </c>
      <c r="J4952" t="inlineStr">
        <is>
          <t>Cala Mesquida</t>
        </is>
      </c>
      <c r="S4952" t="n">
        <v>450000</v>
      </c>
      <c r="T4952" t="n">
        <v>888</v>
      </c>
      <c r="U4952" t="n">
        <v>591</v>
      </c>
      <c r="AH4952" t="inlineStr">
        <is>
          <t>Quelle: Pollentia Properties</t>
        </is>
      </c>
    </row>
    <row r="4953">
      <c r="A4953" t="n">
        <v>4766</v>
      </c>
      <c r="B4953" t="inlineStr">
        <is>
          <t>Villa for sale in Alcanada, with a pool and rental license</t>
        </is>
      </c>
      <c r="C4953" t="inlineStr">
        <is>
          <t>https://www.pollentiaproperties.com/en/property/id/817216-villa-for-sale-alcanada-pool-marvellous-views-bay-alcudia</t>
        </is>
      </c>
      <c r="E4953" t="n">
        <v>3</v>
      </c>
      <c r="G4953" t="n">
        <v>455</v>
      </c>
      <c r="H4953" t="n">
        <v>241</v>
      </c>
      <c r="J4953" t="inlineStr">
        <is>
          <t>Alcanada</t>
        </is>
      </c>
      <c r="K4953" t="n">
        <v>64.2</v>
      </c>
      <c r="L4953" t="n">
        <v>48</v>
      </c>
      <c r="M4953" t="n">
        <v>82.3</v>
      </c>
      <c r="N4953" t="n">
        <v>75</v>
      </c>
      <c r="O4953" t="n">
        <v>86.8</v>
      </c>
      <c r="P4953" t="n">
        <v>64</v>
      </c>
      <c r="Q4953" t="n">
        <v>80</v>
      </c>
      <c r="R4953" t="n">
        <v>71</v>
      </c>
      <c r="S4953" t="n">
        <v>1250000</v>
      </c>
      <c r="T4953" t="n">
        <v>5187</v>
      </c>
      <c r="U4953" t="n">
        <v>2747</v>
      </c>
      <c r="AH4953" t="inlineStr">
        <is>
          <t>Quelle: Pollentia Properties</t>
        </is>
      </c>
    </row>
    <row r="4954">
      <c r="A4954" t="n">
        <v>4767</v>
      </c>
      <c r="B4954" t="inlineStr">
        <is>
          <t>Duplex apartment for sale in Palma, Mallorca in stunning designer style</t>
        </is>
      </c>
      <c r="C4954" t="inlineStr">
        <is>
          <t>https://www.pollentiaproperties.com/en/property/id/817175-duplex-apartment-for-sale-palma-historic-centre-four-bedrooms-patio</t>
        </is>
      </c>
      <c r="E4954" t="n">
        <v>4</v>
      </c>
      <c r="G4954" t="n">
        <v>391</v>
      </c>
      <c r="H4954" t="n">
        <v>220</v>
      </c>
      <c r="J4954" t="inlineStr">
        <is>
          <t>Palma Casco Antiguo</t>
        </is>
      </c>
      <c r="AH4954" t="inlineStr">
        <is>
          <t>Quelle: Pollentia Properties</t>
        </is>
      </c>
    </row>
    <row r="4955">
      <c r="A4955" t="n">
        <v>4768</v>
      </c>
      <c r="B4955" t="inlineStr">
        <is>
          <t>Apartment for sale in Palma  brand new property in seafront location</t>
        </is>
      </c>
      <c r="C4955" t="inlineStr">
        <is>
          <t>https://www.pollentiaproperties.com/en/property/id/815913-apartment-for-sale-palma-brand-new-property-amazing-views</t>
        </is>
      </c>
      <c r="E4955" t="n">
        <v>2</v>
      </c>
      <c r="H4955" t="n">
        <v>150</v>
      </c>
      <c r="J4955" t="inlineStr">
        <is>
          <t>Paseo Marítimo</t>
        </is>
      </c>
      <c r="K4955" t="n">
        <v>10.9</v>
      </c>
      <c r="L4955" t="n">
        <v>17</v>
      </c>
      <c r="M4955" t="n">
        <v>53.7</v>
      </c>
      <c r="N4955" t="n">
        <v>50</v>
      </c>
      <c r="O4955" t="n">
        <v>29.9</v>
      </c>
      <c r="P4955" t="n">
        <v>32</v>
      </c>
      <c r="Q4955" t="n">
        <v>51.4</v>
      </c>
      <c r="R4955" t="n">
        <v>46</v>
      </c>
      <c r="S4955" t="n">
        <v>1100000</v>
      </c>
      <c r="T4955" t="n">
        <v>7333</v>
      </c>
      <c r="AH4955" t="inlineStr">
        <is>
          <t>Quelle: Pollentia Properties</t>
        </is>
      </c>
    </row>
    <row r="4956">
      <c r="A4956" t="n">
        <v>4769</v>
      </c>
      <c r="B4956" t="inlineStr">
        <is>
          <t>Town house for sale in Sóller, Mallorca elegance in central location</t>
        </is>
      </c>
      <c r="C4956" t="inlineStr">
        <is>
          <t>https://www.pollentiaproperties.com/en/property/id/815657-town-house-for-sale-soller-central-location-three-floors-great-potential</t>
        </is>
      </c>
      <c r="E4956" t="n">
        <v>8</v>
      </c>
      <c r="G4956" t="n">
        <v>160</v>
      </c>
      <c r="H4956" t="n">
        <v>385</v>
      </c>
      <c r="J4956" t="inlineStr">
        <is>
          <t>Sóller</t>
        </is>
      </c>
      <c r="K4956" t="n">
        <v>32.5</v>
      </c>
      <c r="L4956" t="n">
        <v>38</v>
      </c>
      <c r="M4956" t="n">
        <v>75.2</v>
      </c>
      <c r="N4956" t="n">
        <v>70</v>
      </c>
      <c r="O4956" t="n">
        <v>52.1</v>
      </c>
      <c r="P4956" t="n">
        <v>51</v>
      </c>
      <c r="Q4956" t="n">
        <v>72.90000000000001</v>
      </c>
      <c r="R4956" t="n">
        <v>67</v>
      </c>
      <c r="S4956" t="n">
        <v>1100000</v>
      </c>
      <c r="T4956" t="n">
        <v>2857</v>
      </c>
      <c r="U4956" t="n">
        <v>6875</v>
      </c>
      <c r="AH4956" t="inlineStr">
        <is>
          <t>Quelle: Pollentia Properties</t>
        </is>
      </c>
    </row>
    <row r="4957">
      <c r="A4957" t="n">
        <v>4770</v>
      </c>
      <c r="B4957" t="inlineStr">
        <is>
          <t>Villa for sale in Bahia Azul, luxurious new build in Mallorca</t>
        </is>
      </c>
      <c r="C4957" t="inlineStr">
        <is>
          <t>https://www.pollentiaproperties.com/en/property/id/814244-villa-for-sale-bahia-azul-luxurious-new-build</t>
        </is>
      </c>
      <c r="E4957" t="n">
        <v>5</v>
      </c>
      <c r="H4957" t="n">
        <v>225</v>
      </c>
      <c r="J4957" t="inlineStr">
        <is>
          <t>Bahia Azul</t>
        </is>
      </c>
      <c r="K4957" t="n">
        <v>18.3</v>
      </c>
      <c r="L4957" t="n">
        <v>20</v>
      </c>
      <c r="M4957" t="n">
        <v>40.6</v>
      </c>
      <c r="N4957" t="n">
        <v>40</v>
      </c>
      <c r="O4957" t="n">
        <v>56.5</v>
      </c>
      <c r="P4957" t="n">
        <v>48</v>
      </c>
      <c r="Q4957" t="n">
        <v>38.3</v>
      </c>
      <c r="R4957" t="n">
        <v>36</v>
      </c>
      <c r="AH4957" t="inlineStr">
        <is>
          <t>Quelle: Pollentia Properties</t>
        </is>
      </c>
    </row>
    <row r="4958">
      <c r="A4958" t="n">
        <v>4771</v>
      </c>
      <c r="B4958" t="inlineStr">
        <is>
          <t>Rental license</t>
        </is>
      </c>
      <c r="C4958" t="inlineStr">
        <is>
          <t>https://www.pollentiaproperties.com/en/property/id/813293-country-home-for-sale-manacor-pretty-countryside-location-private-pool</t>
        </is>
      </c>
      <c r="E4958" t="n">
        <v>4</v>
      </c>
      <c r="G4958" t="n">
        <v>13</v>
      </c>
      <c r="H4958" t="n">
        <v>230</v>
      </c>
      <c r="J4958" t="inlineStr">
        <is>
          <t>Mallorca</t>
        </is>
      </c>
      <c r="K4958" t="n">
        <v>47.4</v>
      </c>
      <c r="L4958" t="n">
        <v>40</v>
      </c>
      <c r="M4958" t="n">
        <v>51.8</v>
      </c>
      <c r="N4958" t="n">
        <v>55</v>
      </c>
      <c r="O4958" t="n">
        <v>70</v>
      </c>
      <c r="P4958" t="n">
        <v>56</v>
      </c>
      <c r="Q4958" t="n">
        <v>49.5</v>
      </c>
      <c r="R4958" t="n">
        <v>51</v>
      </c>
      <c r="S4958" t="n">
        <v>1490000</v>
      </c>
      <c r="T4958" t="n">
        <v>6478</v>
      </c>
      <c r="U4958" t="n">
        <v>114615</v>
      </c>
      <c r="AH4958" t="inlineStr">
        <is>
          <t>Quelle: Pollentia Properties</t>
        </is>
      </c>
    </row>
    <row r="4959">
      <c r="A4959" t="n">
        <v>4772</v>
      </c>
      <c r="B4959" t="inlineStr">
        <is>
          <t>Villa for sale in Galilea, new build with great views</t>
        </is>
      </c>
      <c r="C4959" t="inlineStr">
        <is>
          <t>https://www.pollentiaproperties.com/en/property/id/813114-villa-for-sale-galilea-new-build-great-views</t>
        </is>
      </c>
      <c r="E4959" t="n">
        <v>3</v>
      </c>
      <c r="G4959" t="n">
        <v>440</v>
      </c>
      <c r="H4959" t="n">
        <v>175</v>
      </c>
      <c r="J4959" t="inlineStr">
        <is>
          <t>Galilea</t>
        </is>
      </c>
      <c r="K4959" t="n">
        <v>30.4</v>
      </c>
      <c r="L4959" t="n">
        <v>38</v>
      </c>
      <c r="M4959" t="n">
        <v>73.2</v>
      </c>
      <c r="N4959" t="n">
        <v>71</v>
      </c>
      <c r="O4959" t="n">
        <v>21.4</v>
      </c>
      <c r="P4959" t="n">
        <v>34</v>
      </c>
      <c r="Q4959" t="n">
        <v>70.90000000000001</v>
      </c>
      <c r="R4959" t="n">
        <v>67</v>
      </c>
      <c r="S4959" t="n">
        <v>1300000</v>
      </c>
      <c r="T4959" t="n">
        <v>7429</v>
      </c>
      <c r="U4959" t="n">
        <v>2955</v>
      </c>
      <c r="AH4959" t="inlineStr">
        <is>
          <t>Quelle: Pollentia Properties</t>
        </is>
      </c>
    </row>
    <row r="4960">
      <c r="A4960" t="n">
        <v>4773</v>
      </c>
      <c r="B4960" t="inlineStr">
        <is>
          <t>Town house for sale in Sóller, Mallorca in charming location</t>
        </is>
      </c>
      <c r="C4960" t="inlineStr">
        <is>
          <t>https://www.pollentiaproperties.com/en/property/id/813005-town-house-for-sale-soller-traditionally-elegant-garden-pool</t>
        </is>
      </c>
      <c r="E4960" t="n">
        <v>6</v>
      </c>
      <c r="G4960" t="n">
        <v>1</v>
      </c>
      <c r="H4960" t="n">
        <v>432</v>
      </c>
      <c r="J4960" t="inlineStr">
        <is>
          <t>Sóller</t>
        </is>
      </c>
      <c r="K4960" t="n">
        <v>32.5</v>
      </c>
      <c r="L4960" t="n">
        <v>38</v>
      </c>
      <c r="M4960" t="n">
        <v>75.2</v>
      </c>
      <c r="N4960" t="n">
        <v>70</v>
      </c>
      <c r="O4960" t="n">
        <v>52.1</v>
      </c>
      <c r="P4960" t="n">
        <v>51</v>
      </c>
      <c r="Q4960" t="n">
        <v>72.90000000000001</v>
      </c>
      <c r="R4960" t="n">
        <v>67</v>
      </c>
      <c r="AH4960" t="inlineStr">
        <is>
          <t>Quelle: Pollentia Properties</t>
        </is>
      </c>
    </row>
    <row r="4961">
      <c r="A4961" t="n">
        <v>4774</v>
      </c>
      <c r="B4961" t="inlineStr">
        <is>
          <t>Country home for sale in Sóller, traditional with charm</t>
        </is>
      </c>
      <c r="C4961" t="inlineStr">
        <is>
          <t>https://www.pollentiaproperties.com/en/property/id/812978-country-home-for-sale-in-soller-traditional-with-charm</t>
        </is>
      </c>
      <c r="E4961" t="n">
        <v>2</v>
      </c>
      <c r="G4961" t="n">
        <v>330</v>
      </c>
      <c r="H4961" t="n">
        <v>103</v>
      </c>
      <c r="J4961" t="inlineStr">
        <is>
          <t>Sóller</t>
        </is>
      </c>
      <c r="S4961" t="n">
        <v>950000</v>
      </c>
      <c r="T4961" t="n">
        <v>9223</v>
      </c>
      <c r="U4961" t="n">
        <v>2879</v>
      </c>
      <c r="AH4961" t="inlineStr">
        <is>
          <t>Quelle: Pollentia Properties</t>
        </is>
      </c>
    </row>
    <row r="4962">
      <c r="A4962" t="n">
        <v>4775</v>
      </c>
      <c r="B4962" t="inlineStr">
        <is>
          <t>Town house in Puerto Sóller, Mallorca very impressive in seafront position</t>
        </is>
      </c>
      <c r="C4962" t="inlineStr">
        <is>
          <t>https://www.pollentiaproperties.com/en/property/id/812971-impressive-town-house-puerto-soller-mallorca-seafront-position</t>
        </is>
      </c>
      <c r="E4962" t="n">
        <v>6</v>
      </c>
      <c r="G4962" t="n">
        <v>400</v>
      </c>
      <c r="H4962" t="n">
        <v>382</v>
      </c>
      <c r="J4962" t="inlineStr">
        <is>
          <t>Port de Sóller</t>
        </is>
      </c>
      <c r="K4962" t="n">
        <v>36.3</v>
      </c>
      <c r="L4962" t="n">
        <v>42</v>
      </c>
      <c r="M4962" t="n">
        <v>79.09999999999999</v>
      </c>
      <c r="N4962" t="n">
        <v>75</v>
      </c>
      <c r="O4962" t="n">
        <v>56</v>
      </c>
      <c r="P4962" t="n">
        <v>55</v>
      </c>
      <c r="Q4962" t="n">
        <v>76.8</v>
      </c>
      <c r="R4962" t="n">
        <v>71</v>
      </c>
      <c r="S4962" t="n">
        <v>3500000</v>
      </c>
      <c r="T4962" t="n">
        <v>9162</v>
      </c>
      <c r="U4962" t="n">
        <v>8750</v>
      </c>
      <c r="AH4962" t="inlineStr">
        <is>
          <t>Quelle: Pollentia Properties</t>
        </is>
      </c>
    </row>
    <row r="4963">
      <c r="A4963" t="n">
        <v>4776</v>
      </c>
      <c r="B4963" t="inlineStr">
        <is>
          <t>Town house for sale in Soller, Mallorca mansion style with garden</t>
        </is>
      </c>
      <c r="C4963" t="inlineStr">
        <is>
          <t>https://www.pollentiaproperties.com/en/property/id/812969-mansion-for-sale-soller-beautiful-garden-central-location</t>
        </is>
      </c>
      <c r="E4963" t="n">
        <v>8</v>
      </c>
      <c r="G4963" t="n">
        <v>350</v>
      </c>
      <c r="H4963" t="n">
        <v>900</v>
      </c>
      <c r="J4963" t="inlineStr">
        <is>
          <t>Sóller</t>
        </is>
      </c>
      <c r="K4963" t="n">
        <v>32.5</v>
      </c>
      <c r="L4963" t="n">
        <v>38</v>
      </c>
      <c r="M4963" t="n">
        <v>75.2</v>
      </c>
      <c r="N4963" t="n">
        <v>70</v>
      </c>
      <c r="O4963" t="n">
        <v>52.1</v>
      </c>
      <c r="P4963" t="n">
        <v>51</v>
      </c>
      <c r="Q4963" t="n">
        <v>72.90000000000001</v>
      </c>
      <c r="R4963" t="n">
        <v>67</v>
      </c>
      <c r="S4963" t="n">
        <v>3500000</v>
      </c>
      <c r="T4963" t="n">
        <v>3889</v>
      </c>
      <c r="U4963" t="n">
        <v>10000</v>
      </c>
      <c r="AH4963" t="inlineStr">
        <is>
          <t>Quelle: Pollentia Properties</t>
        </is>
      </c>
    </row>
    <row r="4964">
      <c r="A4964" t="n">
        <v>4777</v>
      </c>
      <c r="B4964" t="inlineStr">
        <is>
          <t>Property for sale in Majorca, fantastic country house in Santa Margalida</t>
        </is>
      </c>
      <c r="C4964" t="inlineStr">
        <is>
          <t>https://www.pollentiaproperties.com/en/property/id/812752-country-home-for-sale-santa-margalida-stunning-wine-cellar-bar-pool</t>
        </is>
      </c>
      <c r="E4964" t="n">
        <v>8</v>
      </c>
      <c r="G4964" t="n">
        <v>151</v>
      </c>
      <c r="H4964" t="n">
        <v>1</v>
      </c>
      <c r="J4964" t="inlineStr">
        <is>
          <t>Santa Margalida</t>
        </is>
      </c>
      <c r="K4964" t="n">
        <v>56.3</v>
      </c>
      <c r="L4964" t="n">
        <v>47</v>
      </c>
      <c r="M4964" t="n">
        <v>52.4</v>
      </c>
      <c r="N4964" t="n">
        <v>55</v>
      </c>
      <c r="O4964" t="n">
        <v>78.90000000000001</v>
      </c>
      <c r="P4964" t="n">
        <v>63</v>
      </c>
      <c r="Q4964" t="n">
        <v>50.1</v>
      </c>
      <c r="R4964" t="n">
        <v>51</v>
      </c>
      <c r="S4964" t="n">
        <v>4600000</v>
      </c>
      <c r="T4964" t="n">
        <v>4600000</v>
      </c>
      <c r="U4964" t="n">
        <v>30464</v>
      </c>
      <c r="AH4964" t="inlineStr">
        <is>
          <t>Quelle: Pollentia Properties</t>
        </is>
      </c>
    </row>
    <row r="4965">
      <c r="A4965" t="n">
        <v>4778</v>
      </c>
      <c r="B4965" t="inlineStr">
        <is>
          <t>Buiding plot for sale in Palma with great development potential</t>
        </is>
      </c>
      <c r="C4965" t="inlineStr">
        <is>
          <t>https://www.pollentiaproperties.com/en/property/id/812728-building-plot-for-sale-in-palma-great-potential-central-location</t>
        </is>
      </c>
      <c r="G4965" t="n">
        <v>1</v>
      </c>
      <c r="J4965" t="inlineStr">
        <is>
          <t>Palma de Mallorca</t>
        </is>
      </c>
      <c r="K4965" t="n">
        <v>9.699999999999999</v>
      </c>
      <c r="L4965" t="n">
        <v>14</v>
      </c>
      <c r="M4965" t="n">
        <v>52.5</v>
      </c>
      <c r="N4965" t="n">
        <v>47</v>
      </c>
      <c r="O4965" t="n">
        <v>32.1</v>
      </c>
      <c r="P4965" t="n">
        <v>36</v>
      </c>
      <c r="Q4965" t="n">
        <v>50.2</v>
      </c>
      <c r="R4965" t="n">
        <v>44</v>
      </c>
      <c r="S4965" t="n">
        <v>1100000</v>
      </c>
      <c r="U4965" t="n">
        <v>1100000</v>
      </c>
      <c r="AH4965" t="inlineStr">
        <is>
          <t>Quelle: Pollentia Properties</t>
        </is>
      </c>
    </row>
    <row r="4966">
      <c r="A4966" t="n">
        <v>4779</v>
      </c>
      <c r="B4966" t="inlineStr">
        <is>
          <t>New build villa for sale in Llucmajor, Mallorca in luxurious new complex</t>
        </is>
      </c>
      <c r="C4966" t="inlineStr">
        <is>
          <t>https://www.pollentiaproperties.com/en/property/id/811491-villa-for-sale-llucmajor-luxurious-new-project</t>
        </is>
      </c>
      <c r="E4966" t="n">
        <v>4</v>
      </c>
      <c r="G4966" t="n">
        <v>218</v>
      </c>
      <c r="H4966" t="n">
        <v>157</v>
      </c>
      <c r="J4966" t="inlineStr">
        <is>
          <t>Llucmajor</t>
        </is>
      </c>
      <c r="S4966" t="n">
        <v>850000</v>
      </c>
      <c r="T4966" t="n">
        <v>5414</v>
      </c>
      <c r="U4966" t="n">
        <v>3899</v>
      </c>
      <c r="AH4966" t="inlineStr">
        <is>
          <t>Quelle: Pollentia Properties</t>
        </is>
      </c>
    </row>
    <row r="4967">
      <c r="A4967" t="n">
        <v>4780</v>
      </c>
      <c r="B4967" t="inlineStr">
        <is>
          <t>Villa for sale in Pollensa, new build in quiet residential area with pool</t>
        </is>
      </c>
      <c r="C4967" t="inlineStr">
        <is>
          <t>https://www.pollentiaproperties.com/en/property/id/810555-villa-for-sale-pollensa-new-build-top-quality-garden-pool</t>
        </is>
      </c>
      <c r="E4967" t="n">
        <v>3</v>
      </c>
      <c r="G4967" t="n">
        <v>800</v>
      </c>
      <c r="H4967" t="n">
        <v>117</v>
      </c>
      <c r="J4967" t="inlineStr">
        <is>
          <t>Pollença</t>
        </is>
      </c>
      <c r="AH4967" t="inlineStr">
        <is>
          <t>Quelle: Pollentia Properties</t>
        </is>
      </c>
    </row>
    <row r="4968">
      <c r="A4968" t="n">
        <v>4781</v>
      </c>
      <c r="B4968" t="inlineStr">
        <is>
          <t>Plots for sale in Puntiró, close to Palma</t>
        </is>
      </c>
      <c r="C4968" t="inlineStr">
        <is>
          <t>https://www.pollentiaproperties.com/en/property/id/809361-building-plot-for-sale-puntiro-permit-renovation-necessary-great-location</t>
        </is>
      </c>
      <c r="J4968" t="inlineStr">
        <is>
          <t>Puntiró</t>
        </is>
      </c>
      <c r="AH4968" t="inlineStr">
        <is>
          <t>Quelle: Pollentia Properties</t>
        </is>
      </c>
    </row>
    <row r="4969">
      <c r="A4969" t="n">
        <v>4782</v>
      </c>
      <c r="B4969" t="inlineStr">
        <is>
          <t>Country house for sale in Porreres in quiet and idyllic location</t>
        </is>
      </c>
      <c r="C4969" t="inlineStr">
        <is>
          <t>https://www.pollentiaproperties.com/en/property/id/809349-country-house-for-sale-porreres-large-plot-annexes-quiet-location</t>
        </is>
      </c>
      <c r="E4969" t="n">
        <v>5</v>
      </c>
      <c r="G4969" t="n">
        <v>30</v>
      </c>
      <c r="H4969" t="n">
        <v>307</v>
      </c>
      <c r="J4969" t="inlineStr">
        <is>
          <t>Porreres</t>
        </is>
      </c>
      <c r="K4969" t="n">
        <v>35.9</v>
      </c>
      <c r="L4969" t="n">
        <v>34</v>
      </c>
      <c r="M4969" t="n">
        <v>27.6</v>
      </c>
      <c r="N4969" t="n">
        <v>32</v>
      </c>
      <c r="O4969" t="n">
        <v>69.3</v>
      </c>
      <c r="P4969" t="n">
        <v>59</v>
      </c>
      <c r="Q4969" t="n">
        <v>25.3</v>
      </c>
      <c r="R4969" t="n">
        <v>29</v>
      </c>
      <c r="S4969" t="n">
        <v>5750000</v>
      </c>
      <c r="T4969" t="n">
        <v>18730</v>
      </c>
      <c r="U4969" t="n">
        <v>191667</v>
      </c>
      <c r="AH4969" t="inlineStr">
        <is>
          <t>Quelle: Pollentia Properties</t>
        </is>
      </c>
    </row>
    <row r="4970">
      <c r="A4970" t="n">
        <v>4783</v>
      </c>
      <c r="B4970" t="inlineStr">
        <is>
          <t>Villa for sale in Cala Ratjada,  Mallorca luxury new build</t>
        </is>
      </c>
      <c r="C4970" t="inlineStr">
        <is>
          <t>https://www.pollentiaproperties.com/en/property/id/808906-villa-for-sale-cala-ratjada-new-build-project-seafront-garden-pool</t>
        </is>
      </c>
      <c r="E4970" t="n">
        <v>4</v>
      </c>
      <c r="G4970" t="n">
        <v>840</v>
      </c>
      <c r="H4970" t="n">
        <v>502</v>
      </c>
      <c r="J4970" t="inlineStr">
        <is>
          <t>Cala Ratjada</t>
        </is>
      </c>
      <c r="K4970" t="n">
        <v>77.7</v>
      </c>
      <c r="L4970" t="n">
        <v>66</v>
      </c>
      <c r="M4970" t="n">
        <v>73</v>
      </c>
      <c r="N4970" t="n">
        <v>69</v>
      </c>
      <c r="O4970" t="n">
        <v>111.9</v>
      </c>
      <c r="P4970" t="n">
        <v>91</v>
      </c>
      <c r="Q4970" t="n">
        <v>70.7</v>
      </c>
      <c r="R4970" t="n">
        <v>66</v>
      </c>
      <c r="S4970" t="n">
        <v>2500000</v>
      </c>
      <c r="T4970" t="n">
        <v>4980</v>
      </c>
      <c r="U4970" t="n">
        <v>2976</v>
      </c>
      <c r="AH4970" t="inlineStr">
        <is>
          <t>Quelle: Pollentia Properties</t>
        </is>
      </c>
    </row>
    <row r="4971">
      <c r="A4971" t="n">
        <v>4784</v>
      </c>
      <c r="B4971" t="inlineStr">
        <is>
          <t>Building Plot for sale in Porto Petro, total of three plots</t>
        </is>
      </c>
      <c r="C4971" t="inlineStr">
        <is>
          <t>https://www.pollentiaproperties.com/en/property/id/808572-building-plot-for-sale-porto-petro-great-development-potential</t>
        </is>
      </c>
      <c r="J4971" t="inlineStr">
        <is>
          <t>Porto Petro</t>
        </is>
      </c>
      <c r="K4971" t="n">
        <v>55.4</v>
      </c>
      <c r="L4971" t="n">
        <v>50</v>
      </c>
      <c r="M4971" t="n">
        <v>19.1</v>
      </c>
      <c r="N4971" t="n">
        <v>26</v>
      </c>
      <c r="O4971" t="n">
        <v>93.59999999999999</v>
      </c>
      <c r="P4971" t="n">
        <v>77</v>
      </c>
      <c r="Q4971" t="n">
        <v>20.6</v>
      </c>
      <c r="R4971" t="n">
        <v>28</v>
      </c>
      <c r="S4971" t="n">
        <v>1500000</v>
      </c>
      <c r="AH4971" t="inlineStr">
        <is>
          <t>Quelle: Pollentia Properties</t>
        </is>
      </c>
    </row>
    <row r="4972">
      <c r="A4972" t="n">
        <v>4785</v>
      </c>
      <c r="B4972" t="inlineStr">
        <is>
          <t>Property for sale in Mallorca beautiful country house in Sencelles</t>
        </is>
      </c>
      <c r="C4972" t="inlineStr">
        <is>
          <t>https://www.pollentiaproperties.com/en/property/id/807815-country-house-for-sale-sencelles-guest-house-garden-pool-large-plot</t>
        </is>
      </c>
      <c r="E4972" t="n">
        <v>4</v>
      </c>
      <c r="G4972" t="n">
        <v>15</v>
      </c>
      <c r="H4972" t="n">
        <v>493</v>
      </c>
      <c r="J4972" t="inlineStr">
        <is>
          <t>Sencelles</t>
        </is>
      </c>
      <c r="K4972" t="n">
        <v>34.2</v>
      </c>
      <c r="L4972" t="n">
        <v>32</v>
      </c>
      <c r="M4972" t="n">
        <v>46.4</v>
      </c>
      <c r="N4972" t="n">
        <v>50</v>
      </c>
      <c r="O4972" t="n">
        <v>56.8</v>
      </c>
      <c r="P4972" t="n">
        <v>48</v>
      </c>
      <c r="Q4972" t="n">
        <v>44.1</v>
      </c>
      <c r="R4972" t="n">
        <v>46</v>
      </c>
      <c r="S4972" t="n">
        <v>2950000</v>
      </c>
      <c r="T4972" t="n">
        <v>5984</v>
      </c>
      <c r="U4972" t="n">
        <v>196667</v>
      </c>
      <c r="AH4972" t="inlineStr">
        <is>
          <t>Quelle: Pollentia Properties</t>
        </is>
      </c>
    </row>
    <row r="4973">
      <c r="A4973" t="n">
        <v>4786</v>
      </c>
      <c r="B4973" t="inlineStr">
        <is>
          <t>Country plot for sale in Santa Margalida</t>
        </is>
      </c>
      <c r="C4973" t="inlineStr">
        <is>
          <t>https://www.pollentiaproperties.com/en/property/id/807224-country-plot-for-sale-santa-margalida-building-license-house</t>
        </is>
      </c>
      <c r="E4973" t="n">
        <v>3</v>
      </c>
      <c r="G4973" t="n">
        <v>17</v>
      </c>
      <c r="H4973" t="n">
        <v>293</v>
      </c>
      <c r="J4973" t="inlineStr">
        <is>
          <t>Santa Margalida</t>
        </is>
      </c>
      <c r="S4973" t="n">
        <v>310000</v>
      </c>
      <c r="T4973" t="n">
        <v>1058</v>
      </c>
      <c r="U4973" t="n">
        <v>18235</v>
      </c>
      <c r="AH4973" t="inlineStr">
        <is>
          <t>Quelle: Pollentia Properties</t>
        </is>
      </c>
    </row>
    <row r="4974">
      <c r="A4974" t="n">
        <v>4787</v>
      </c>
      <c r="B4974" t="inlineStr">
        <is>
          <t>Country building plot for sale in Alcúdia to build a villa</t>
        </is>
      </c>
      <c r="C4974" t="inlineStr">
        <is>
          <t>https://www.pollentiaproperties.com/en/property/id/805906-country-building-plot-for-sale-alcudia-villa-pool</t>
        </is>
      </c>
      <c r="G4974" t="n">
        <v>35</v>
      </c>
      <c r="H4974" t="n">
        <v>493</v>
      </c>
      <c r="J4974" t="inlineStr">
        <is>
          <t>Alcúdia</t>
        </is>
      </c>
      <c r="S4974" t="n">
        <v>954000</v>
      </c>
      <c r="T4974" t="n">
        <v>1935</v>
      </c>
      <c r="U4974" t="n">
        <v>27257</v>
      </c>
      <c r="AH4974" t="inlineStr">
        <is>
          <t>Quelle: Pollentia Properties</t>
        </is>
      </c>
    </row>
    <row r="4975">
      <c r="A4975" t="n">
        <v>4788</v>
      </c>
      <c r="B4975" t="inlineStr">
        <is>
          <t>Townhouse for sale in Pollensa Old Town fully renovated with great style</t>
        </is>
      </c>
      <c r="C4975" t="inlineStr">
        <is>
          <t>https://www.pollentiaproperties.com/en/property/id/805247-town-house-for-sale-pollensa-central-location-stylishly-renovated</t>
        </is>
      </c>
      <c r="E4975" t="n">
        <v>3</v>
      </c>
      <c r="G4975" t="n">
        <v>89</v>
      </c>
      <c r="H4975" t="n">
        <v>180</v>
      </c>
      <c r="J4975" t="inlineStr">
        <is>
          <t>Pollença Pueblo</t>
        </is>
      </c>
      <c r="K4975" t="n">
        <v>60.6</v>
      </c>
      <c r="L4975" t="n">
        <v>47</v>
      </c>
      <c r="M4975" t="n">
        <v>78.7</v>
      </c>
      <c r="N4975" t="n">
        <v>74</v>
      </c>
      <c r="O4975" t="n">
        <v>83.2</v>
      </c>
      <c r="P4975" t="n">
        <v>63</v>
      </c>
      <c r="Q4975" t="n">
        <v>76.40000000000001</v>
      </c>
      <c r="R4975" t="n">
        <v>70</v>
      </c>
      <c r="S4975" t="n">
        <v>1100000</v>
      </c>
      <c r="T4975" t="n">
        <v>6111</v>
      </c>
      <c r="U4975" t="n">
        <v>12360</v>
      </c>
      <c r="AH4975" t="inlineStr">
        <is>
          <t>Quelle: Pollentia Properties</t>
        </is>
      </c>
    </row>
    <row r="4976">
      <c r="A4976" t="n">
        <v>4789</v>
      </c>
      <c r="B4976" t="inlineStr">
        <is>
          <t>New build property</t>
        </is>
      </c>
      <c r="C4976" t="inlineStr">
        <is>
          <t>https://www.pollentiaproperties.com/en/property/id/804506-country-house-for-sale-alcudia-basement-wine-cellar-vineyard</t>
        </is>
      </c>
      <c r="E4976" t="n">
        <v>4</v>
      </c>
      <c r="G4976" t="n">
        <v>15</v>
      </c>
      <c r="H4976" t="n">
        <v>500</v>
      </c>
      <c r="J4976" t="inlineStr">
        <is>
          <t>Mallorca</t>
        </is>
      </c>
      <c r="K4976" t="n">
        <v>47.4</v>
      </c>
      <c r="L4976" t="n">
        <v>40</v>
      </c>
      <c r="M4976" t="n">
        <v>51.8</v>
      </c>
      <c r="N4976" t="n">
        <v>55</v>
      </c>
      <c r="O4976" t="n">
        <v>70</v>
      </c>
      <c r="P4976" t="n">
        <v>56</v>
      </c>
      <c r="Q4976" t="n">
        <v>49.5</v>
      </c>
      <c r="R4976" t="n">
        <v>51</v>
      </c>
      <c r="S4976" t="n">
        <v>4200000</v>
      </c>
      <c r="T4976" t="n">
        <v>8400</v>
      </c>
      <c r="U4976" t="n">
        <v>280000</v>
      </c>
      <c r="AH4976" t="inlineStr">
        <is>
          <t>Quelle: Pollentia Properties</t>
        </is>
      </c>
    </row>
    <row r="4977">
      <c r="A4977" t="n">
        <v>4790</v>
      </c>
      <c r="B4977" t="inlineStr">
        <is>
          <t>New build property</t>
        </is>
      </c>
      <c r="C4977" t="inlineStr">
        <is>
          <t>https://www.pollentiaproperties.com/en/property/id/804157-vineyard-for-sale-alcudia-including-villa-wine-cellar-great-location</t>
        </is>
      </c>
      <c r="E4977" t="n">
        <v>4</v>
      </c>
      <c r="G4977" t="n">
        <v>15</v>
      </c>
      <c r="H4977" t="n">
        <v>500</v>
      </c>
      <c r="J4977" t="inlineStr">
        <is>
          <t>Alcudia Including Villa Wine Cellar Great Location</t>
        </is>
      </c>
      <c r="K4977" t="n">
        <v>61.6</v>
      </c>
      <c r="L4977" t="n">
        <v>47</v>
      </c>
      <c r="M4977" t="n">
        <v>79.7</v>
      </c>
      <c r="N4977" t="n">
        <v>74</v>
      </c>
      <c r="O4977" t="n">
        <v>84.2</v>
      </c>
      <c r="P4977" t="n">
        <v>63</v>
      </c>
      <c r="Q4977" t="n">
        <v>77.40000000000001</v>
      </c>
      <c r="R4977" t="n">
        <v>70</v>
      </c>
      <c r="S4977" t="n">
        <v>4200000</v>
      </c>
      <c r="T4977" t="n">
        <v>8400</v>
      </c>
      <c r="U4977" t="n">
        <v>280000</v>
      </c>
      <c r="AH4977" t="inlineStr">
        <is>
          <t>Quelle: Pollentia Properties</t>
        </is>
      </c>
    </row>
    <row r="4978">
      <c r="A4978" t="n">
        <v>4791</v>
      </c>
      <c r="B4978" t="inlineStr">
        <is>
          <t>Country plot in Pollensa with project and license for building</t>
        </is>
      </c>
      <c r="C4978" t="inlineStr">
        <is>
          <t>https://www.pollentiaproperties.com/en/property/id/803609-country-plot-for-sale-pollensa-project-building-license</t>
        </is>
      </c>
      <c r="E4978" t="n">
        <v>4</v>
      </c>
      <c r="G4978" t="n">
        <v>29</v>
      </c>
      <c r="H4978" t="n">
        <v>285</v>
      </c>
      <c r="J4978" t="inlineStr">
        <is>
          <t>Pollença</t>
        </is>
      </c>
      <c r="K4978" t="n">
        <v>60.6</v>
      </c>
      <c r="L4978" t="n">
        <v>47</v>
      </c>
      <c r="M4978" t="n">
        <v>78.7</v>
      </c>
      <c r="N4978" t="n">
        <v>74</v>
      </c>
      <c r="O4978" t="n">
        <v>83.2</v>
      </c>
      <c r="P4978" t="n">
        <v>63</v>
      </c>
      <c r="Q4978" t="n">
        <v>76.40000000000001</v>
      </c>
      <c r="R4978" t="n">
        <v>70</v>
      </c>
      <c r="S4978" t="n">
        <v>2000000</v>
      </c>
      <c r="T4978" t="n">
        <v>7018</v>
      </c>
      <c r="U4978" t="n">
        <v>68966</v>
      </c>
      <c r="AH4978" t="inlineStr">
        <is>
          <t>Quelle: Pollentia Properties</t>
        </is>
      </c>
    </row>
    <row r="4979">
      <c r="A4979" t="n">
        <v>4792</v>
      </c>
      <c r="B4979" t="inlineStr">
        <is>
          <t>Property for sale in Mallorca large town house in Alcudia</t>
        </is>
      </c>
      <c r="C4979" t="inlineStr">
        <is>
          <t>https://www.pollentiaproperties.com/en/property/id/803135-town-house-for-sale-alcudia-traditional-features-great-location</t>
        </is>
      </c>
      <c r="E4979" t="n">
        <v>4</v>
      </c>
      <c r="H4979" t="n">
        <v>376</v>
      </c>
      <c r="J4979" t="inlineStr">
        <is>
          <t>Alcúdia</t>
        </is>
      </c>
      <c r="K4979" t="n">
        <v>61.6</v>
      </c>
      <c r="L4979" t="n">
        <v>47</v>
      </c>
      <c r="M4979" t="n">
        <v>79.7</v>
      </c>
      <c r="N4979" t="n">
        <v>74</v>
      </c>
      <c r="O4979" t="n">
        <v>84.2</v>
      </c>
      <c r="P4979" t="n">
        <v>63</v>
      </c>
      <c r="Q4979" t="n">
        <v>77.40000000000001</v>
      </c>
      <c r="R4979" t="n">
        <v>70</v>
      </c>
      <c r="S4979" t="n">
        <v>1200000</v>
      </c>
      <c r="T4979" t="n">
        <v>3191</v>
      </c>
      <c r="AH4979" t="inlineStr">
        <is>
          <t>Quelle: Pollentia Properties</t>
        </is>
      </c>
    </row>
    <row r="4980">
      <c r="A4980" t="n">
        <v>4793</v>
      </c>
      <c r="B4980" t="inlineStr">
        <is>
          <t>Business premises for sale in Pollensa, Mallorca with great potential</t>
        </is>
      </c>
      <c r="C4980" t="inlineStr">
        <is>
          <t>https://www.pollentiaproperties.com/en/property/id/802421-business-premises-for-sale--pollensa-strategic-location-endless-potential</t>
        </is>
      </c>
      <c r="G4980" t="n">
        <v>4</v>
      </c>
      <c r="H4980" t="n">
        <v>1</v>
      </c>
      <c r="J4980" t="inlineStr">
        <is>
          <t>Pollença</t>
        </is>
      </c>
      <c r="K4980" t="n">
        <v>60.6</v>
      </c>
      <c r="L4980" t="n">
        <v>47</v>
      </c>
      <c r="M4980" t="n">
        <v>78.7</v>
      </c>
      <c r="N4980" t="n">
        <v>74</v>
      </c>
      <c r="O4980" t="n">
        <v>83.2</v>
      </c>
      <c r="P4980" t="n">
        <v>63</v>
      </c>
      <c r="Q4980" t="n">
        <v>76.40000000000001</v>
      </c>
      <c r="R4980" t="n">
        <v>70</v>
      </c>
      <c r="S4980" t="n">
        <v>3500000</v>
      </c>
      <c r="T4980" t="n">
        <v>3500000</v>
      </c>
      <c r="U4980" t="n">
        <v>875000</v>
      </c>
      <c r="AH4980" t="inlineStr">
        <is>
          <t>Quelle: Pollentia Properties</t>
        </is>
      </c>
    </row>
    <row r="4981">
      <c r="A4981" t="n">
        <v>4794</v>
      </c>
      <c r="B4981" t="inlineStr">
        <is>
          <t>Country home for sale in Llubí, on large estate</t>
        </is>
      </c>
      <c r="C4981" t="inlineStr">
        <is>
          <t>https://www.pollentiaproperties.com/en/property/id/802399-country-house-for-sale-llubi-annexes-large-estate-great-potential</t>
        </is>
      </c>
      <c r="E4981" t="n">
        <v>5</v>
      </c>
      <c r="G4981" t="n">
        <v>459</v>
      </c>
      <c r="H4981" t="n">
        <v>1</v>
      </c>
      <c r="J4981" t="inlineStr">
        <is>
          <t>Llubí</t>
        </is>
      </c>
      <c r="K4981" t="n">
        <v>46.1</v>
      </c>
      <c r="L4981" t="n">
        <v>38</v>
      </c>
      <c r="M4981" t="n">
        <v>50.9</v>
      </c>
      <c r="N4981" t="n">
        <v>54</v>
      </c>
      <c r="O4981" t="n">
        <v>68.7</v>
      </c>
      <c r="P4981" t="n">
        <v>54</v>
      </c>
      <c r="Q4981" t="n">
        <v>48.6</v>
      </c>
      <c r="R4981" t="n">
        <v>50</v>
      </c>
      <c r="S4981" t="n">
        <v>2500000</v>
      </c>
      <c r="T4981" t="n">
        <v>2500000</v>
      </c>
      <c r="U4981" t="n">
        <v>5447</v>
      </c>
      <c r="AH4981" t="inlineStr">
        <is>
          <t>Quelle: Pollentia Properties</t>
        </is>
      </c>
    </row>
    <row r="4982">
      <c r="A4982" t="n">
        <v>4795</v>
      </c>
      <c r="B4982" t="inlineStr">
        <is>
          <t>Apartment for sale in Puerto Pollensa on Pine Walk seafront boulevard</t>
        </is>
      </c>
      <c r="C4982" t="inlineStr">
        <is>
          <t>https://www.pollentiaproperties.com/en/property/id/802149-apartment-for-sale-puerto-pollensa-pine-walk-seafront-boulevard</t>
        </is>
      </c>
      <c r="E4982" t="n">
        <v>3</v>
      </c>
      <c r="H4982" t="n">
        <v>116</v>
      </c>
      <c r="J4982" t="inlineStr">
        <is>
          <t>Pine Walk</t>
        </is>
      </c>
      <c r="AH4982" t="inlineStr">
        <is>
          <t>Quelle: Pollentia Properties</t>
        </is>
      </c>
    </row>
    <row r="4983">
      <c r="A4983" t="n">
        <v>4796</v>
      </c>
      <c r="B4983" t="inlineStr">
        <is>
          <t>Property for sale in Mallorca country home in Binissalem</t>
        </is>
      </c>
      <c r="C4983" t="inlineStr">
        <is>
          <t>https://www.pollentiaproperties.com/en/property/id/801659-country-house-for-sale-mallorca-renovation-project-large-plot</t>
        </is>
      </c>
      <c r="G4983" t="n">
        <v>88</v>
      </c>
      <c r="H4983" t="n">
        <v>220</v>
      </c>
      <c r="J4983" t="inlineStr">
        <is>
          <t>Binissalem</t>
        </is>
      </c>
      <c r="K4983" t="n">
        <v>31.5</v>
      </c>
      <c r="L4983" t="n">
        <v>29</v>
      </c>
      <c r="M4983" t="n">
        <v>74.3</v>
      </c>
      <c r="N4983" t="n">
        <v>62</v>
      </c>
      <c r="O4983" t="n">
        <v>54.1</v>
      </c>
      <c r="P4983" t="n">
        <v>45</v>
      </c>
      <c r="Q4983" t="n">
        <v>72</v>
      </c>
      <c r="R4983" t="n">
        <v>58</v>
      </c>
      <c r="S4983" t="n">
        <v>1950000</v>
      </c>
      <c r="T4983" t="n">
        <v>8864</v>
      </c>
      <c r="U4983" t="n">
        <v>22159</v>
      </c>
      <c r="AH4983" t="inlineStr">
        <is>
          <t>Quelle: Pollentia Properties</t>
        </is>
      </c>
    </row>
    <row r="4984">
      <c r="A4984" t="n">
        <v>4797</v>
      </c>
      <c r="B4984" t="inlineStr">
        <is>
          <t>Villa for sale in Pollença in exclusive residential area</t>
        </is>
      </c>
      <c r="C4984" t="inlineStr">
        <is>
          <t>https://www.pollentiaproperties.com/en/property/id/799749-villa-for-sale-pollensa-hillside-location-garden-pool-garage</t>
        </is>
      </c>
      <c r="E4984" t="n">
        <v>5</v>
      </c>
      <c r="G4984" t="n">
        <v>2</v>
      </c>
      <c r="H4984" t="n">
        <v>800</v>
      </c>
      <c r="J4984" t="inlineStr">
        <is>
          <t>La Font</t>
        </is>
      </c>
      <c r="K4984" t="n">
        <v>62.7</v>
      </c>
      <c r="L4984" t="n">
        <v>49</v>
      </c>
      <c r="M4984" t="n">
        <v>80.8</v>
      </c>
      <c r="N4984" t="n">
        <v>76</v>
      </c>
      <c r="O4984" t="n">
        <v>85.3</v>
      </c>
      <c r="P4984" t="n">
        <v>65</v>
      </c>
      <c r="Q4984" t="n">
        <v>78.5</v>
      </c>
      <c r="R4984" t="n">
        <v>72</v>
      </c>
      <c r="S4984" t="n">
        <v>4950000</v>
      </c>
      <c r="T4984" t="n">
        <v>6188</v>
      </c>
      <c r="U4984" t="n">
        <v>2475000</v>
      </c>
      <c r="AH4984" t="inlineStr">
        <is>
          <t>Quelle: Pollentia Properties</t>
        </is>
      </c>
    </row>
    <row r="4985">
      <c r="A4985" t="n">
        <v>4798</v>
      </c>
      <c r="B4985" t="inlineStr">
        <is>
          <t>Country home for sale in Montuiri, elegant and sustainable</t>
        </is>
      </c>
      <c r="C4985" t="inlineStr">
        <is>
          <t>https://www.pollentiaproperties.com/en/property/id/798527-country-home-for-sale-montuiri-elegant-sustainable-garden-pool</t>
        </is>
      </c>
      <c r="G4985" t="n">
        <v>19</v>
      </c>
      <c r="H4985" t="n">
        <v>320</v>
      </c>
      <c r="J4985" t="inlineStr">
        <is>
          <t>Montuïri</t>
        </is>
      </c>
      <c r="K4985" t="n">
        <v>27.9</v>
      </c>
      <c r="L4985" t="n">
        <v>28</v>
      </c>
      <c r="M4985" t="n">
        <v>32.5</v>
      </c>
      <c r="N4985" t="n">
        <v>36</v>
      </c>
      <c r="O4985" t="n">
        <v>62.1</v>
      </c>
      <c r="P4985" t="n">
        <v>52</v>
      </c>
      <c r="Q4985" t="n">
        <v>30.2</v>
      </c>
      <c r="R4985" t="n">
        <v>32</v>
      </c>
      <c r="S4985" t="n">
        <v>2070000</v>
      </c>
      <c r="T4985" t="n">
        <v>6469</v>
      </c>
      <c r="U4985" t="n">
        <v>108947</v>
      </c>
      <c r="AH4985" t="inlineStr">
        <is>
          <t>Quelle: Pollentia Properties</t>
        </is>
      </c>
    </row>
    <row r="4986">
      <c r="A4986" t="n">
        <v>4799</v>
      </c>
      <c r="B4986" t="inlineStr">
        <is>
          <t>Country plot for sale in Pollença in the highly sought-after area of Mallorca</t>
        </is>
      </c>
      <c r="C4986" t="inlineStr">
        <is>
          <t>https://www.pollentiaproperties.com/en/property/id/798366-country-plot-for-sale-pollensa-option-new-build-house</t>
        </is>
      </c>
      <c r="E4986" t="n">
        <v>4</v>
      </c>
      <c r="G4986" t="n">
        <v>14</v>
      </c>
      <c r="H4986" t="n">
        <v>251</v>
      </c>
      <c r="J4986" t="inlineStr">
        <is>
          <t>Pollença</t>
        </is>
      </c>
      <c r="S4986" t="n">
        <v>990000</v>
      </c>
      <c r="T4986" t="n">
        <v>3944</v>
      </c>
      <c r="U4986" t="n">
        <v>70714</v>
      </c>
      <c r="AH4986" t="inlineStr">
        <is>
          <t>Quelle: Pollentia Properties</t>
        </is>
      </c>
    </row>
    <row r="4987">
      <c r="A4987" t="n">
        <v>4800</v>
      </c>
      <c r="B4987" t="inlineStr">
        <is>
          <t>Townhouse for sale in Pollença, with holiday rental license</t>
        </is>
      </c>
      <c r="C4987" t="inlineStr">
        <is>
          <t>https://www.pollentiaproperties.com/en/property/id/798011-town-house-for-sale-pollensa-exquisite-refurbishment-great-location</t>
        </is>
      </c>
      <c r="E4987" t="n">
        <v>3</v>
      </c>
      <c r="G4987" t="n">
        <v>103</v>
      </c>
      <c r="H4987" t="n">
        <v>118</v>
      </c>
      <c r="J4987" t="inlineStr">
        <is>
          <t>Pollença Pueblo</t>
        </is>
      </c>
      <c r="AH4987" t="inlineStr">
        <is>
          <t>Quelle: Pollentia Properties</t>
        </is>
      </c>
    </row>
    <row r="4988">
      <c r="A4988" t="n">
        <v>4801</v>
      </c>
      <c r="B4988" t="inlineStr">
        <is>
          <t>Property for sale in Mallorca beautiful villa in Puig de Ros, Llucmajor</t>
        </is>
      </c>
      <c r="C4988" t="inlineStr">
        <is>
          <t>https://www.pollentiaproperties.com/en/property/id/797635-villa-for-sale-llucmajor-top-quality-construction-two-floors-garden-pool</t>
        </is>
      </c>
      <c r="E4988" t="n">
        <v>5</v>
      </c>
      <c r="G4988" t="n">
        <v>1</v>
      </c>
      <c r="H4988" t="n">
        <v>400</v>
      </c>
      <c r="J4988" t="inlineStr">
        <is>
          <t>Puig de Ros</t>
        </is>
      </c>
      <c r="K4988" t="n">
        <v>15.6</v>
      </c>
      <c r="L4988" t="n">
        <v>17</v>
      </c>
      <c r="M4988" t="n">
        <v>42.2</v>
      </c>
      <c r="N4988" t="n">
        <v>40</v>
      </c>
      <c r="O4988" t="n">
        <v>53.8</v>
      </c>
      <c r="P4988" t="n">
        <v>44</v>
      </c>
      <c r="Q4988" t="n">
        <v>39.9</v>
      </c>
      <c r="R4988" t="n">
        <v>37</v>
      </c>
      <c r="AH4988" t="inlineStr">
        <is>
          <t>Quelle: Pollentia Properties</t>
        </is>
      </c>
    </row>
    <row r="4989">
      <c r="A4989" t="n">
        <v>4802</v>
      </c>
      <c r="B4989" t="inlineStr">
        <is>
          <t>Property for sale in Mallorca, country home in Pollensa</t>
        </is>
      </c>
      <c r="C4989" t="inlineStr">
        <is>
          <t>https://www.pollentiaproperties.com/en/property/id/795824-country-house-for-sale-pollensa-magical-location-huge-potential</t>
        </is>
      </c>
      <c r="E4989" t="n">
        <v>9</v>
      </c>
      <c r="G4989" t="n">
        <v>745</v>
      </c>
      <c r="H4989" t="n">
        <v>800</v>
      </c>
      <c r="J4989" t="inlineStr">
        <is>
          <t>Pollença</t>
        </is>
      </c>
      <c r="K4989" t="n">
        <v>60.6</v>
      </c>
      <c r="L4989" t="n">
        <v>47</v>
      </c>
      <c r="M4989" t="n">
        <v>78.7</v>
      </c>
      <c r="N4989" t="n">
        <v>74</v>
      </c>
      <c r="O4989" t="n">
        <v>83.2</v>
      </c>
      <c r="P4989" t="n">
        <v>63</v>
      </c>
      <c r="Q4989" t="n">
        <v>76.40000000000001</v>
      </c>
      <c r="R4989" t="n">
        <v>70</v>
      </c>
      <c r="S4989" t="n">
        <v>4800000</v>
      </c>
      <c r="T4989" t="n">
        <v>6000</v>
      </c>
      <c r="U4989" t="n">
        <v>6443</v>
      </c>
      <c r="AH4989" t="inlineStr">
        <is>
          <t>Quelle: Pollentia Properties</t>
        </is>
      </c>
    </row>
    <row r="4990">
      <c r="A4990" t="n">
        <v>4803</v>
      </c>
      <c r="B4990" t="inlineStr">
        <is>
          <t>Sold</t>
        </is>
      </c>
      <c r="C4990" t="inlineStr">
        <is>
          <t>https://www.pollentiaproperties.com/en/property/id/795699-apartment-for-sale-es-trenc-residential-development-two-bedrooms-community-pool</t>
        </is>
      </c>
      <c r="E4990" t="n">
        <v>2</v>
      </c>
      <c r="H4990" t="n">
        <v>75</v>
      </c>
      <c r="J4990" t="inlineStr">
        <is>
          <t>Es Trenc Residential Development Two Bedrooms Community Pool</t>
        </is>
      </c>
      <c r="AH4990" t="inlineStr">
        <is>
          <t>Quelle: Pollentia Properties</t>
        </is>
      </c>
    </row>
    <row r="4991">
      <c r="A4991" t="n">
        <v>4804</v>
      </c>
      <c r="B4991" t="inlineStr">
        <is>
          <t>Property for sale in Mallorca, building plot in La Font</t>
        </is>
      </c>
      <c r="C4991" t="inlineStr">
        <is>
          <t>https://www.pollentiaproperties.com/en/property/id/793604-building-plot-for-sale-pollensa-residential-area-house-garden-pool</t>
        </is>
      </c>
      <c r="G4991" t="n">
        <v>1</v>
      </c>
      <c r="J4991" t="inlineStr">
        <is>
          <t>La Font</t>
        </is>
      </c>
      <c r="S4991" t="n">
        <v>375000</v>
      </c>
      <c r="U4991" t="n">
        <v>375000</v>
      </c>
      <c r="AH4991" t="inlineStr">
        <is>
          <t>Quelle: Pollentia Properties</t>
        </is>
      </c>
    </row>
    <row r="4992">
      <c r="A4992" t="n">
        <v>4805</v>
      </c>
      <c r="B4992" t="inlineStr">
        <is>
          <t>Town house for sale in Pollença blending tradition and modernity</t>
        </is>
      </c>
      <c r="C4992" t="inlineStr">
        <is>
          <t>https://www.pollentiaproperties.com/en/property/id/793528-town-house-for-sale-pollensa-blending-tradition-contemporary-comforts-pool</t>
        </is>
      </c>
      <c r="E4992" t="n">
        <v>4</v>
      </c>
      <c r="H4992" t="n">
        <v>591</v>
      </c>
      <c r="J4992" t="inlineStr">
        <is>
          <t>Pollença Pueblo</t>
        </is>
      </c>
      <c r="K4992" t="n">
        <v>60.6</v>
      </c>
      <c r="L4992" t="n">
        <v>47</v>
      </c>
      <c r="M4992" t="n">
        <v>78.7</v>
      </c>
      <c r="N4992" t="n">
        <v>74</v>
      </c>
      <c r="O4992" t="n">
        <v>83.2</v>
      </c>
      <c r="P4992" t="n">
        <v>63</v>
      </c>
      <c r="Q4992" t="n">
        <v>76.40000000000001</v>
      </c>
      <c r="R4992" t="n">
        <v>70</v>
      </c>
      <c r="S4992" t="n">
        <v>3995000</v>
      </c>
      <c r="T4992" t="n">
        <v>6760</v>
      </c>
      <c r="AH4992" t="inlineStr">
        <is>
          <t>Quelle: Pollentia Properties</t>
        </is>
      </c>
    </row>
    <row r="4993">
      <c r="A4993" t="n">
        <v>4806</v>
      </c>
      <c r="B4993" t="inlineStr">
        <is>
          <t>Property for sale in Mallorca country house in Pollensa</t>
        </is>
      </c>
      <c r="C4993" t="inlineStr">
        <is>
          <t>https://www.pollentiaproperties.com/en/property/id/792818-country-house-for-sale-pollensa-renovation-possible-great-investment</t>
        </is>
      </c>
      <c r="E4993" t="n">
        <v>6</v>
      </c>
      <c r="G4993" t="n">
        <v>7</v>
      </c>
      <c r="J4993" t="inlineStr">
        <is>
          <t>Pollença</t>
        </is>
      </c>
      <c r="K4993" t="n">
        <v>60.6</v>
      </c>
      <c r="L4993" t="n">
        <v>47</v>
      </c>
      <c r="M4993" t="n">
        <v>78.7</v>
      </c>
      <c r="N4993" t="n">
        <v>74</v>
      </c>
      <c r="O4993" t="n">
        <v>83.2</v>
      </c>
      <c r="P4993" t="n">
        <v>63</v>
      </c>
      <c r="Q4993" t="n">
        <v>76.40000000000001</v>
      </c>
      <c r="R4993" t="n">
        <v>70</v>
      </c>
      <c r="S4993" t="n">
        <v>900000</v>
      </c>
      <c r="U4993" t="n">
        <v>128571</v>
      </c>
      <c r="AH4993" t="inlineStr">
        <is>
          <t>Quelle: Pollentia Properties</t>
        </is>
      </c>
    </row>
    <row r="4994">
      <c r="A4994" t="n">
        <v>4807</v>
      </c>
      <c r="B4994" t="inlineStr">
        <is>
          <t>Villa for sale in Alcanada newly built luxury property</t>
        </is>
      </c>
      <c r="C4994" t="inlineStr">
        <is>
          <t>https://www.pollentiaproperties.com/en/property/id/792493-villa-for-sale-alcanada-newly-built-top-quality-sea-views-pool</t>
        </is>
      </c>
      <c r="E4994" t="n">
        <v>3</v>
      </c>
      <c r="G4994" t="n">
        <v>363</v>
      </c>
      <c r="H4994" t="n">
        <v>220</v>
      </c>
      <c r="J4994" t="inlineStr">
        <is>
          <t>Alcanada</t>
        </is>
      </c>
      <c r="K4994" t="n">
        <v>64.2</v>
      </c>
      <c r="L4994" t="n">
        <v>48</v>
      </c>
      <c r="M4994" t="n">
        <v>82.3</v>
      </c>
      <c r="N4994" t="n">
        <v>75</v>
      </c>
      <c r="O4994" t="n">
        <v>86.8</v>
      </c>
      <c r="P4994" t="n">
        <v>64</v>
      </c>
      <c r="Q4994" t="n">
        <v>80</v>
      </c>
      <c r="R4994" t="n">
        <v>71</v>
      </c>
      <c r="S4994" t="n">
        <v>1900000</v>
      </c>
      <c r="T4994" t="n">
        <v>8636</v>
      </c>
      <c r="U4994" t="n">
        <v>5234</v>
      </c>
      <c r="AH4994" t="inlineStr">
        <is>
          <t>Quelle: Pollentia Properties</t>
        </is>
      </c>
    </row>
    <row r="4995">
      <c r="A4995" t="n">
        <v>4808</v>
      </c>
      <c r="B4995" t="inlineStr">
        <is>
          <t>Property for sale in Mallorca attic apartment in Palma</t>
        </is>
      </c>
      <c r="C4995" t="inlineStr">
        <is>
          <t>https://www.pollentiaproperties.com/en/property/id/787524-attic-apartment-for-sale-palma-historic-building-central-location</t>
        </is>
      </c>
      <c r="E4995" t="n">
        <v>8</v>
      </c>
      <c r="G4995" t="n">
        <v>187</v>
      </c>
      <c r="H4995" t="n">
        <v>461</v>
      </c>
      <c r="J4995" t="inlineStr">
        <is>
          <t>Palma Casco Antiguo</t>
        </is>
      </c>
      <c r="K4995" t="n">
        <v>9.699999999999999</v>
      </c>
      <c r="L4995" t="n">
        <v>14</v>
      </c>
      <c r="M4995" t="n">
        <v>52.5</v>
      </c>
      <c r="N4995" t="n">
        <v>47</v>
      </c>
      <c r="O4995" t="n">
        <v>32.1</v>
      </c>
      <c r="P4995" t="n">
        <v>36</v>
      </c>
      <c r="Q4995" t="n">
        <v>50.2</v>
      </c>
      <c r="R4995" t="n">
        <v>44</v>
      </c>
      <c r="S4995" t="n">
        <v>3430000</v>
      </c>
      <c r="T4995" t="n">
        <v>7440</v>
      </c>
      <c r="U4995" t="n">
        <v>18342</v>
      </c>
      <c r="AH4995" t="inlineStr">
        <is>
          <t>Quelle: Pollentia Properties</t>
        </is>
      </c>
    </row>
    <row r="4996">
      <c r="A4996" t="n">
        <v>4809</v>
      </c>
      <c r="B4996" t="inlineStr">
        <is>
          <t>Property for sale in Mallorca country home in Artá</t>
        </is>
      </c>
      <c r="C4996" t="inlineStr">
        <is>
          <t>https://www.pollentiaproperties.com/en/property/id/787359-country-house-for-sale-arta-huge-plot-agriculltural-possibilities</t>
        </is>
      </c>
      <c r="H4996" t="n">
        <v>911</v>
      </c>
      <c r="J4996" t="inlineStr">
        <is>
          <t>Artà</t>
        </is>
      </c>
      <c r="K4996" t="n">
        <v>68.3</v>
      </c>
      <c r="L4996" t="n">
        <v>61</v>
      </c>
      <c r="M4996" t="n">
        <v>63.7</v>
      </c>
      <c r="N4996" t="n">
        <v>64</v>
      </c>
      <c r="O4996" t="n">
        <v>102.5</v>
      </c>
      <c r="P4996" t="n">
        <v>86</v>
      </c>
      <c r="Q4996" t="n">
        <v>61.4</v>
      </c>
      <c r="R4996" t="n">
        <v>61</v>
      </c>
      <c r="S4996" t="n">
        <v>7800000</v>
      </c>
      <c r="T4996" t="n">
        <v>8562</v>
      </c>
      <c r="AH4996" t="inlineStr">
        <is>
          <t>Quelle: Pollentia Properties</t>
        </is>
      </c>
    </row>
    <row r="4997">
      <c r="A4997" t="n">
        <v>4810</v>
      </c>
      <c r="B4997" t="inlineStr">
        <is>
          <t>Property for sale in Mallorca country plot in Alcudia</t>
        </is>
      </c>
      <c r="C4997" t="inlineStr">
        <is>
          <t>https://www.pollentiaproperties.com/en/property/id/784907-plot-for-sale-alcudia-build-two-storey-house</t>
        </is>
      </c>
      <c r="G4997" t="n">
        <v>16</v>
      </c>
      <c r="J4997" t="inlineStr">
        <is>
          <t>Alcúdia</t>
        </is>
      </c>
      <c r="AH4997" t="inlineStr">
        <is>
          <t>Quelle: Pollentia Properties</t>
        </is>
      </c>
    </row>
    <row r="4998">
      <c r="A4998" t="n">
        <v>4811</v>
      </c>
      <c r="B4998" t="inlineStr">
        <is>
          <t>Country house for sale in Pollensa, Mallorca in spectacular location</t>
        </is>
      </c>
      <c r="C4998" t="inlineStr">
        <is>
          <t>https://www.pollentiaproperties.com/en/property/id/779831-country-house-for-sale-pollensa-garden-pool-tennis-court</t>
        </is>
      </c>
      <c r="E4998" t="n">
        <v>4</v>
      </c>
      <c r="G4998" t="n">
        <v>24</v>
      </c>
      <c r="H4998" t="n">
        <v>650</v>
      </c>
      <c r="J4998" t="inlineStr">
        <is>
          <t>Pollença</t>
        </is>
      </c>
      <c r="K4998" t="n">
        <v>60.6</v>
      </c>
      <c r="L4998" t="n">
        <v>47</v>
      </c>
      <c r="M4998" t="n">
        <v>78.7</v>
      </c>
      <c r="N4998" t="n">
        <v>74</v>
      </c>
      <c r="O4998" t="n">
        <v>83.2</v>
      </c>
      <c r="P4998" t="n">
        <v>63</v>
      </c>
      <c r="Q4998" t="n">
        <v>76.40000000000001</v>
      </c>
      <c r="R4998" t="n">
        <v>70</v>
      </c>
      <c r="S4998" t="n">
        <v>2500000</v>
      </c>
      <c r="T4998" t="n">
        <v>3846</v>
      </c>
      <c r="U4998" t="n">
        <v>104167</v>
      </c>
      <c r="AH4998" t="inlineStr">
        <is>
          <t>Quelle: Pollentia Properties</t>
        </is>
      </c>
    </row>
    <row r="4999">
      <c r="A4999" t="n">
        <v>4812</v>
      </c>
      <c r="B4999" t="inlineStr">
        <is>
          <t>Country house for sale in Pollensa project with potential</t>
        </is>
      </c>
      <c r="C4999" t="inlineStr">
        <is>
          <t>https://www.pollentiaproperties.com/en/property/id/779078-country-house-for-sale-pollensa-project-large-plot</t>
        </is>
      </c>
      <c r="G4999" t="n">
        <v>90</v>
      </c>
      <c r="H4999" t="n">
        <v>251</v>
      </c>
      <c r="J4999" t="inlineStr">
        <is>
          <t>Golf Pollensa</t>
        </is>
      </c>
      <c r="S4999" t="n">
        <v>900000</v>
      </c>
      <c r="T4999" t="n">
        <v>3586</v>
      </c>
      <c r="U4999" t="n">
        <v>10000</v>
      </c>
      <c r="AH4999" t="inlineStr">
        <is>
          <t>Quelle: Pollentia Properties</t>
        </is>
      </c>
    </row>
    <row r="5000">
      <c r="A5000" t="n">
        <v>4813</v>
      </c>
      <c r="B5000" t="inlineStr">
        <is>
          <t>Country house for sale in Inca, with fantastic features</t>
        </is>
      </c>
      <c r="C5000" t="inlineStr">
        <is>
          <t>https://www.pollentiaproperties.com/en/property/id/778551-country-house-for-sale-inca-top-quality-great-accommodation</t>
        </is>
      </c>
      <c r="E5000" t="n">
        <v>4</v>
      </c>
      <c r="G5000" t="n">
        <v>20</v>
      </c>
      <c r="H5000" t="n">
        <v>520</v>
      </c>
      <c r="J5000" t="inlineStr">
        <is>
          <t>Inca</t>
        </is>
      </c>
      <c r="K5000" t="n">
        <v>37.5</v>
      </c>
      <c r="L5000" t="n">
        <v>29</v>
      </c>
      <c r="M5000" t="n">
        <v>55.6</v>
      </c>
      <c r="N5000" t="n">
        <v>55</v>
      </c>
      <c r="O5000" t="n">
        <v>60.1</v>
      </c>
      <c r="P5000" t="n">
        <v>45</v>
      </c>
      <c r="Q5000" t="n">
        <v>53.3</v>
      </c>
      <c r="R5000" t="n">
        <v>51</v>
      </c>
      <c r="S5000" t="n">
        <v>5400000</v>
      </c>
      <c r="T5000" t="n">
        <v>10385</v>
      </c>
      <c r="U5000" t="n">
        <v>270000</v>
      </c>
      <c r="AH5000" t="inlineStr">
        <is>
          <t>Quelle: Pollentia Properties</t>
        </is>
      </c>
    </row>
    <row r="5001">
      <c r="A5001" t="n">
        <v>4814</v>
      </c>
      <c r="B5001" t="inlineStr">
        <is>
          <t>Country house for sale in Cas Concos, Mallorca built to the highest standards</t>
        </is>
      </c>
      <c r="C5001" t="inlineStr">
        <is>
          <t>https://www.pollentiaproperties.com/en/property/id/778353-country-house-cas-concos-construction-project-garden-pool</t>
        </is>
      </c>
      <c r="E5001" t="n">
        <v>4</v>
      </c>
      <c r="G5001" t="n">
        <v>20</v>
      </c>
      <c r="H5001" t="n">
        <v>400</v>
      </c>
      <c r="J5001" t="inlineStr">
        <is>
          <t>Cas Concos</t>
        </is>
      </c>
      <c r="K5001" t="n">
        <v>43.4</v>
      </c>
      <c r="L5001" t="n">
        <v>42</v>
      </c>
      <c r="M5001" t="n">
        <v>14.6</v>
      </c>
      <c r="N5001" t="n">
        <v>21</v>
      </c>
      <c r="O5001" t="n">
        <v>81.59999999999999</v>
      </c>
      <c r="P5001" t="n">
        <v>69</v>
      </c>
      <c r="Q5001" t="n">
        <v>15.9</v>
      </c>
      <c r="R5001" t="n">
        <v>25</v>
      </c>
      <c r="S5001" t="n">
        <v>6300000</v>
      </c>
      <c r="T5001" t="n">
        <v>15750</v>
      </c>
      <c r="U5001" t="n">
        <v>315000</v>
      </c>
      <c r="AH5001" t="inlineStr">
        <is>
          <t>Quelle: Pollentia Properties</t>
        </is>
      </c>
    </row>
    <row r="5002">
      <c r="A5002" t="n">
        <v>4815</v>
      </c>
      <c r="B5002" t="inlineStr">
        <is>
          <t>Villa for sale in Formentor in select and exclusive location</t>
        </is>
      </c>
      <c r="C5002" t="inlineStr">
        <is>
          <t>https://www.pollentiaproperties.com/en/property/id/778044-villa-for-sale-formentor-select-exclusive-location</t>
        </is>
      </c>
      <c r="E5002" t="n">
        <v>6</v>
      </c>
      <c r="G5002" t="n">
        <v>1</v>
      </c>
      <c r="H5002" t="n">
        <v>536</v>
      </c>
      <c r="J5002" t="inlineStr">
        <is>
          <t>Formentor</t>
        </is>
      </c>
      <c r="K5002" t="n">
        <v>68.8</v>
      </c>
      <c r="L5002" t="n">
        <v>55</v>
      </c>
      <c r="M5002" t="n">
        <v>86.90000000000001</v>
      </c>
      <c r="N5002" t="n">
        <v>82</v>
      </c>
      <c r="O5002" t="n">
        <v>91.40000000000001</v>
      </c>
      <c r="P5002" t="n">
        <v>71</v>
      </c>
      <c r="Q5002" t="n">
        <v>84.59999999999999</v>
      </c>
      <c r="R5002" t="n">
        <v>78</v>
      </c>
      <c r="AH5002" t="inlineStr">
        <is>
          <t>Quelle: Pollentia Properties</t>
        </is>
      </c>
    </row>
    <row r="5003">
      <c r="A5003" t="n">
        <v>4816</v>
      </c>
      <c r="B5003" t="inlineStr">
        <is>
          <t>Property for sale in Majorca, traditional country house in Artà</t>
        </is>
      </c>
      <c r="C5003" t="inlineStr">
        <is>
          <t>https://www.pollentiaproperties.com/en/property/id/771488-vineyard-for-sale-arta-mallorca-three-buildings</t>
        </is>
      </c>
      <c r="H5003" t="n">
        <v>911</v>
      </c>
      <c r="J5003" t="inlineStr">
        <is>
          <t>Artà</t>
        </is>
      </c>
      <c r="K5003" t="n">
        <v>68.3</v>
      </c>
      <c r="L5003" t="n">
        <v>61</v>
      </c>
      <c r="M5003" t="n">
        <v>63.7</v>
      </c>
      <c r="N5003" t="n">
        <v>64</v>
      </c>
      <c r="O5003" t="n">
        <v>102.5</v>
      </c>
      <c r="P5003" t="n">
        <v>86</v>
      </c>
      <c r="Q5003" t="n">
        <v>61.4</v>
      </c>
      <c r="R5003" t="n">
        <v>61</v>
      </c>
      <c r="S5003" t="n">
        <v>7800000</v>
      </c>
      <c r="T5003" t="n">
        <v>8562</v>
      </c>
      <c r="AH5003" t="inlineStr">
        <is>
          <t>Quelle: Pollentia Properties</t>
        </is>
      </c>
    </row>
    <row r="5004">
      <c r="A5004" t="n">
        <v>4817</v>
      </c>
      <c r="B5004" t="inlineStr">
        <is>
          <t>Property for sale in Majorca, villa in Bonaire, sea facing</t>
        </is>
      </c>
      <c r="C5004" t="inlineStr">
        <is>
          <t>https://www.pollentiaproperties.com/en/property/id/770447-villa-for-sale-majorca-bonaire-exclusive-seafront-location</t>
        </is>
      </c>
      <c r="E5004" t="n">
        <v>2</v>
      </c>
      <c r="G5004" t="n">
        <v>14</v>
      </c>
      <c r="H5004" t="n">
        <v>314</v>
      </c>
      <c r="J5004" t="inlineStr">
        <is>
          <t>Bonaire</t>
        </is>
      </c>
      <c r="K5004" t="n">
        <v>64.40000000000001</v>
      </c>
      <c r="L5004" t="n">
        <v>54</v>
      </c>
      <c r="M5004" t="n">
        <v>82.5</v>
      </c>
      <c r="N5004" t="n">
        <v>80</v>
      </c>
      <c r="O5004" t="n">
        <v>87</v>
      </c>
      <c r="P5004" t="n">
        <v>70</v>
      </c>
      <c r="Q5004" t="n">
        <v>80.2</v>
      </c>
      <c r="R5004" t="n">
        <v>77</v>
      </c>
      <c r="S5004" t="n">
        <v>7500000</v>
      </c>
      <c r="T5004" t="n">
        <v>23885</v>
      </c>
      <c r="U5004" t="n">
        <v>535714</v>
      </c>
      <c r="AH5004" t="inlineStr">
        <is>
          <t>Quelle: Pollentia Properties</t>
        </is>
      </c>
    </row>
    <row r="5005">
      <c r="A5005" t="n">
        <v>4818</v>
      </c>
      <c r="B5005" t="inlineStr">
        <is>
          <t>Property for sale in Majorca, historic country house with extensive land in Esporles</t>
        </is>
      </c>
      <c r="C5005" t="inlineStr">
        <is>
          <t>https://www.pollentiaproperties.com/en/property/id/770252-country-house-for-sale-esporles-vineyard-project-spectacular-setting</t>
        </is>
      </c>
      <c r="E5005" t="n">
        <v>7</v>
      </c>
      <c r="G5005" t="n">
        <v>500</v>
      </c>
      <c r="H5005" t="n">
        <v>600</v>
      </c>
      <c r="J5005" t="inlineStr">
        <is>
          <t>Esporles</t>
        </is>
      </c>
      <c r="K5005" t="n">
        <v>24.9</v>
      </c>
      <c r="L5005" t="n">
        <v>27</v>
      </c>
      <c r="M5005" t="n">
        <v>67.59999999999999</v>
      </c>
      <c r="N5005" t="n">
        <v>60</v>
      </c>
      <c r="O5005" t="n">
        <v>43.2</v>
      </c>
      <c r="P5005" t="n">
        <v>40</v>
      </c>
      <c r="Q5005" t="n">
        <v>65.3</v>
      </c>
      <c r="R5005" t="n">
        <v>57</v>
      </c>
      <c r="S5005" t="n">
        <v>6000000</v>
      </c>
      <c r="T5005" t="n">
        <v>10000</v>
      </c>
      <c r="U5005" t="n">
        <v>12000</v>
      </c>
      <c r="AH5005" t="inlineStr">
        <is>
          <t>Quelle: Pollentia Properties</t>
        </is>
      </c>
    </row>
    <row r="5006">
      <c r="A5006" t="n">
        <v>4819</v>
      </c>
      <c r="B5006" t="inlineStr">
        <is>
          <t>Property for sale in Mallorca charming country house in Campanet</t>
        </is>
      </c>
      <c r="C5006" t="inlineStr">
        <is>
          <t>https://www.pollentiaproperties.com/en/property/id/767791-country-house-for-sale-campanet-fantastic-possibilities</t>
        </is>
      </c>
      <c r="E5006" t="n">
        <v>7</v>
      </c>
      <c r="G5006" t="n">
        <v>20</v>
      </c>
      <c r="J5006" t="inlineStr">
        <is>
          <t>Campanet</t>
        </is>
      </c>
      <c r="K5006" t="n">
        <v>46.9</v>
      </c>
      <c r="L5006" t="n">
        <v>38</v>
      </c>
      <c r="M5006" t="n">
        <v>65</v>
      </c>
      <c r="N5006" t="n">
        <v>65</v>
      </c>
      <c r="O5006" t="n">
        <v>69.5</v>
      </c>
      <c r="P5006" t="n">
        <v>54</v>
      </c>
      <c r="Q5006" t="n">
        <v>62.7</v>
      </c>
      <c r="R5006" t="n">
        <v>61</v>
      </c>
      <c r="S5006" t="n">
        <v>1000000</v>
      </c>
      <c r="U5006" t="n">
        <v>50000</v>
      </c>
      <c r="AH5006" t="inlineStr">
        <is>
          <t>Quelle: Pollentia Properties</t>
        </is>
      </c>
    </row>
    <row r="5007">
      <c r="A5007" t="n">
        <v>4820</v>
      </c>
      <c r="B5007" t="inlineStr">
        <is>
          <t>Property for sale in Majorca, town house in Pollensa, wonderful renovation project</t>
        </is>
      </c>
      <c r="C5007" t="inlineStr">
        <is>
          <t>https://www.pollentiaproperties.com/en/property/id/767684-town-house-for-sale-pollensa-renovation-project-prime-location</t>
        </is>
      </c>
      <c r="E5007" t="n">
        <v>6</v>
      </c>
      <c r="G5007" t="n">
        <v>200</v>
      </c>
      <c r="H5007" t="n">
        <v>415</v>
      </c>
      <c r="J5007" t="inlineStr">
        <is>
          <t>Pollença Pueblo</t>
        </is>
      </c>
      <c r="K5007" t="n">
        <v>60.6</v>
      </c>
      <c r="L5007" t="n">
        <v>47</v>
      </c>
      <c r="M5007" t="n">
        <v>78.7</v>
      </c>
      <c r="N5007" t="n">
        <v>74</v>
      </c>
      <c r="O5007" t="n">
        <v>83.2</v>
      </c>
      <c r="P5007" t="n">
        <v>63</v>
      </c>
      <c r="Q5007" t="n">
        <v>76.40000000000001</v>
      </c>
      <c r="R5007" t="n">
        <v>70</v>
      </c>
      <c r="S5007" t="n">
        <v>900000</v>
      </c>
      <c r="T5007" t="n">
        <v>2169</v>
      </c>
      <c r="U5007" t="n">
        <v>4500</v>
      </c>
      <c r="AH5007" t="inlineStr">
        <is>
          <t>Quelle: Pollentia Properties</t>
        </is>
      </c>
    </row>
    <row r="5008">
      <c r="A5008" t="n">
        <v>4821</v>
      </c>
      <c r="B5008" t="inlineStr">
        <is>
          <t>Large estate in Manacor, full ot character</t>
        </is>
      </c>
      <c r="C5008" t="inlineStr">
        <is>
          <t>https://www.pollentiaproperties.com/en/property/id/766794-building-for-sale-manacor-historic-features-investment-opportunity</t>
        </is>
      </c>
      <c r="E5008" t="n">
        <v>20</v>
      </c>
      <c r="G5008" t="n">
        <v>582</v>
      </c>
      <c r="H5008" t="n">
        <v>2</v>
      </c>
      <c r="J5008" t="inlineStr">
        <is>
          <t>Manacor</t>
        </is>
      </c>
      <c r="K5008" t="n">
        <v>49.2</v>
      </c>
      <c r="L5008" t="n">
        <v>44</v>
      </c>
      <c r="M5008" t="n">
        <v>40.3</v>
      </c>
      <c r="N5008" t="n">
        <v>45</v>
      </c>
      <c r="O5008" t="n">
        <v>83.40000000000001</v>
      </c>
      <c r="P5008" t="n">
        <v>68</v>
      </c>
      <c r="Q5008" t="n">
        <v>38</v>
      </c>
      <c r="R5008" t="n">
        <v>41</v>
      </c>
      <c r="S5008" t="n">
        <v>6800000</v>
      </c>
      <c r="T5008" t="n">
        <v>3400000</v>
      </c>
      <c r="U5008" t="n">
        <v>11684</v>
      </c>
      <c r="AH5008" t="inlineStr">
        <is>
          <t>Quelle: Pollentia Properties</t>
        </is>
      </c>
    </row>
    <row r="5009">
      <c r="A5009" t="n">
        <v>4822</v>
      </c>
      <c r="B5009" t="inlineStr">
        <is>
          <t>Property for sale in Majorca, country house in Bonaire, sea facing</t>
        </is>
      </c>
      <c r="C5009" t="inlineStr">
        <is>
          <t>https://www.pollentiaproperties.com/en/property/id/766734-country-estate-for-sale-bonaire-exclusive-seafront-location</t>
        </is>
      </c>
      <c r="E5009" t="n">
        <v>2</v>
      </c>
      <c r="G5009" t="n">
        <v>14</v>
      </c>
      <c r="H5009" t="n">
        <v>314</v>
      </c>
      <c r="J5009" t="inlineStr">
        <is>
          <t>Bonaire</t>
        </is>
      </c>
      <c r="K5009" t="n">
        <v>64.40000000000001</v>
      </c>
      <c r="L5009" t="n">
        <v>54</v>
      </c>
      <c r="M5009" t="n">
        <v>82.5</v>
      </c>
      <c r="N5009" t="n">
        <v>80</v>
      </c>
      <c r="O5009" t="n">
        <v>87</v>
      </c>
      <c r="P5009" t="n">
        <v>70</v>
      </c>
      <c r="Q5009" t="n">
        <v>80.2</v>
      </c>
      <c r="R5009" t="n">
        <v>77</v>
      </c>
      <c r="S5009" t="n">
        <v>7500000</v>
      </c>
      <c r="T5009" t="n">
        <v>23885</v>
      </c>
      <c r="U5009" t="n">
        <v>535714</v>
      </c>
      <c r="AH5009" t="inlineStr">
        <is>
          <t>Quelle: Pollentia Properties</t>
        </is>
      </c>
    </row>
    <row r="5010">
      <c r="A5010" t="n">
        <v>4823</v>
      </c>
      <c r="B5010" t="inlineStr">
        <is>
          <t>Plot for sale in Campanet, Mallorca in the heart of the island</t>
        </is>
      </c>
      <c r="C5010" t="inlineStr">
        <is>
          <t>https://www.pollentiaproperties.com/en/property/id/764652-plot-for-sale-campanet-town-house-development</t>
        </is>
      </c>
      <c r="E5010" t="n">
        <v>5</v>
      </c>
      <c r="G5010" t="n">
        <v>316</v>
      </c>
      <c r="H5010" t="n">
        <v>230</v>
      </c>
      <c r="J5010" t="inlineStr">
        <is>
          <t>Campanet</t>
        </is>
      </c>
      <c r="K5010" t="n">
        <v>46.9</v>
      </c>
      <c r="L5010" t="n">
        <v>38</v>
      </c>
      <c r="M5010" t="n">
        <v>65</v>
      </c>
      <c r="N5010" t="n">
        <v>65</v>
      </c>
      <c r="O5010" t="n">
        <v>69.5</v>
      </c>
      <c r="P5010" t="n">
        <v>54</v>
      </c>
      <c r="Q5010" t="n">
        <v>62.7</v>
      </c>
      <c r="R5010" t="n">
        <v>61</v>
      </c>
      <c r="S5010" t="n">
        <v>375000</v>
      </c>
      <c r="T5010" t="n">
        <v>1630</v>
      </c>
      <c r="U5010" t="n">
        <v>1187</v>
      </c>
      <c r="AH5010" t="inlineStr">
        <is>
          <t>Quelle: Pollentia Properties</t>
        </is>
      </c>
    </row>
    <row r="5011">
      <c r="A5011" t="n">
        <v>4824</v>
      </c>
      <c r="B5011" t="inlineStr">
        <is>
          <t>Country home for sale in Pollensa, stunning modern new build</t>
        </is>
      </c>
      <c r="C5011" t="inlineStr">
        <is>
          <t>https://www.pollentiaproperties.com/en/property/id/763847-country-house-for-sale-pollensa-new-build-top-quality</t>
        </is>
      </c>
      <c r="E5011" t="n">
        <v>5</v>
      </c>
      <c r="G5011" t="n">
        <v>19</v>
      </c>
      <c r="H5011" t="n">
        <v>517</v>
      </c>
      <c r="J5011" t="inlineStr">
        <is>
          <t>Pollença</t>
        </is>
      </c>
      <c r="K5011" t="n">
        <v>60.6</v>
      </c>
      <c r="L5011" t="n">
        <v>47</v>
      </c>
      <c r="M5011" t="n">
        <v>78.7</v>
      </c>
      <c r="N5011" t="n">
        <v>74</v>
      </c>
      <c r="O5011" t="n">
        <v>83.2</v>
      </c>
      <c r="P5011" t="n">
        <v>63</v>
      </c>
      <c r="Q5011" t="n">
        <v>76.40000000000001</v>
      </c>
      <c r="R5011" t="n">
        <v>70</v>
      </c>
      <c r="S5011" t="n">
        <v>5200000</v>
      </c>
      <c r="T5011" t="n">
        <v>10058</v>
      </c>
      <c r="U5011" t="n">
        <v>273684</v>
      </c>
      <c r="AH5011" t="inlineStr">
        <is>
          <t>Quelle: Pollentia Properties</t>
        </is>
      </c>
    </row>
    <row r="5012">
      <c r="A5012" t="n">
        <v>4825</v>
      </c>
      <c r="B5012" t="inlineStr">
        <is>
          <t>Villa for sale in Pollença luxury property in great location</t>
        </is>
      </c>
      <c r="C5012" t="inlineStr">
        <is>
          <t>https://www.pollentiaproperties.com/en/property/id/763403-villa-for-sale-pollensa-luxury-interior-garden-pool</t>
        </is>
      </c>
      <c r="E5012" t="n">
        <v>6</v>
      </c>
      <c r="G5012" t="n">
        <v>2</v>
      </c>
      <c r="H5012" t="n">
        <v>783</v>
      </c>
      <c r="J5012" t="inlineStr">
        <is>
          <t>El Vila</t>
        </is>
      </c>
      <c r="K5012" t="n">
        <v>64.90000000000001</v>
      </c>
      <c r="L5012" t="n">
        <v>49</v>
      </c>
      <c r="M5012" t="n">
        <v>83.09999999999999</v>
      </c>
      <c r="N5012" t="n">
        <v>76</v>
      </c>
      <c r="O5012" t="n">
        <v>87.5</v>
      </c>
      <c r="P5012" t="n">
        <v>65</v>
      </c>
      <c r="Q5012" t="n">
        <v>80.8</v>
      </c>
      <c r="R5012" t="n">
        <v>72</v>
      </c>
      <c r="S5012" t="n">
        <v>3500000</v>
      </c>
      <c r="T5012" t="n">
        <v>4470</v>
      </c>
      <c r="U5012" t="n">
        <v>1750000</v>
      </c>
      <c r="AH5012" t="inlineStr">
        <is>
          <t>Quelle: Pollentia Properties</t>
        </is>
      </c>
    </row>
    <row r="5013">
      <c r="A5013" t="n">
        <v>4826</v>
      </c>
      <c r="B5013" t="inlineStr">
        <is>
          <t>Town house for sale in Pollensa for a total renovation project</t>
        </is>
      </c>
      <c r="C5013" t="inlineStr">
        <is>
          <t>https://www.pollentiaproperties.com/en/property/id/762336-town-house-for-sale-pollensa-renovation-project-central-location</t>
        </is>
      </c>
      <c r="E5013" t="n">
        <v>4</v>
      </c>
      <c r="G5013" t="n">
        <v>113</v>
      </c>
      <c r="H5013" t="n">
        <v>254</v>
      </c>
      <c r="J5013" t="inlineStr">
        <is>
          <t>Pollença Pueblo</t>
        </is>
      </c>
      <c r="AH5013" t="inlineStr">
        <is>
          <t>Quelle: Pollentia Properties</t>
        </is>
      </c>
    </row>
    <row r="5014">
      <c r="A5014" t="n">
        <v>4827</v>
      </c>
      <c r="B5014" t="inlineStr">
        <is>
          <t>Renders 3D</t>
        </is>
      </c>
      <c r="C5014" t="inlineStr">
        <is>
          <t>https://www.pollentiaproperties.com/en/property/id/760450-building-plot-for-sale-puerto-pollensa-residential-area-project-villa-pool</t>
        </is>
      </c>
      <c r="E5014" t="n">
        <v>5</v>
      </c>
      <c r="G5014" t="n">
        <v>1</v>
      </c>
      <c r="J5014" t="inlineStr">
        <is>
          <t>Mallorca</t>
        </is>
      </c>
      <c r="K5014" t="n">
        <v>47.4</v>
      </c>
      <c r="L5014" t="n">
        <v>40</v>
      </c>
      <c r="M5014" t="n">
        <v>51.8</v>
      </c>
      <c r="N5014" t="n">
        <v>55</v>
      </c>
      <c r="O5014" t="n">
        <v>70</v>
      </c>
      <c r="P5014" t="n">
        <v>56</v>
      </c>
      <c r="Q5014" t="n">
        <v>49.5</v>
      </c>
      <c r="R5014" t="n">
        <v>51</v>
      </c>
      <c r="S5014" t="n">
        <v>1250000</v>
      </c>
      <c r="U5014" t="n">
        <v>1250000</v>
      </c>
      <c r="AH5014" t="inlineStr">
        <is>
          <t>Quelle: Pollentia Properties</t>
        </is>
      </c>
    </row>
    <row r="5015">
      <c r="A5015" t="n">
        <v>4828</v>
      </c>
      <c r="B5015" t="inlineStr">
        <is>
          <t>Villas for sale in Cala San Vicente, Majorca. Close to the sea.</t>
        </is>
      </c>
      <c r="C5015" t="inlineStr">
        <is>
          <t>https://www.pollentiaproperties.com/en/property/id/757888-building-plots-for-sale-cala-san-vicente-two-villas</t>
        </is>
      </c>
      <c r="E5015" t="n">
        <v>4</v>
      </c>
      <c r="G5015" t="n">
        <v>960</v>
      </c>
      <c r="H5015" t="n">
        <v>313</v>
      </c>
      <c r="J5015" t="inlineStr">
        <is>
          <t>Cala Sant Vicenç</t>
        </is>
      </c>
      <c r="K5015" t="n">
        <v>66.5</v>
      </c>
      <c r="L5015" t="n">
        <v>52</v>
      </c>
      <c r="M5015" t="n">
        <v>84.59999999999999</v>
      </c>
      <c r="N5015" t="n">
        <v>79</v>
      </c>
      <c r="O5015" t="n">
        <v>89.09999999999999</v>
      </c>
      <c r="P5015" t="n">
        <v>68</v>
      </c>
      <c r="Q5015" t="n">
        <v>82.3</v>
      </c>
      <c r="R5015" t="n">
        <v>75</v>
      </c>
      <c r="S5015" t="n">
        <v>1600000</v>
      </c>
      <c r="T5015" t="n">
        <v>5112</v>
      </c>
      <c r="U5015" t="n">
        <v>1667</v>
      </c>
      <c r="AH5015" t="inlineStr">
        <is>
          <t>Quelle: Pollentia Properties</t>
        </is>
      </c>
    </row>
    <row r="5016">
      <c r="A5016" t="n">
        <v>4829</v>
      </c>
      <c r="B5016" t="inlineStr">
        <is>
          <t>Town house for sale in Pollensa, with fantastic terrace</t>
        </is>
      </c>
      <c r="C5016" t="inlineStr">
        <is>
          <t>https://www.pollentiaproperties.com/en/property/id/757456-town-house-for-sale-pollensa-prime-central-location-recent-refurbishment</t>
        </is>
      </c>
      <c r="E5016" t="n">
        <v>4</v>
      </c>
      <c r="G5016" t="n">
        <v>127</v>
      </c>
      <c r="H5016" t="n">
        <v>365</v>
      </c>
      <c r="J5016" t="inlineStr">
        <is>
          <t>Pollença Pueblo</t>
        </is>
      </c>
      <c r="AH5016" t="inlineStr">
        <is>
          <t>Quelle: Pollentia Properties</t>
        </is>
      </c>
    </row>
    <row r="5017">
      <c r="A5017" t="n">
        <v>4830</v>
      </c>
      <c r="B5017" t="inlineStr">
        <is>
          <t>Charming renovated townhouse for sale in Pollensa with rental licence</t>
        </is>
      </c>
      <c r="C5017" t="inlineStr">
        <is>
          <t>https://www.pollentiaproperties.com/en/property/id/751955-townhouse-for-sale-pollensa-beautiful-renovation-rental-license</t>
        </is>
      </c>
      <c r="E5017" t="n">
        <v>3</v>
      </c>
      <c r="H5017" t="n">
        <v>111</v>
      </c>
      <c r="J5017" t="inlineStr">
        <is>
          <t>Pollença Pueblo</t>
        </is>
      </c>
      <c r="S5017" t="n">
        <v>795000</v>
      </c>
      <c r="T5017" t="n">
        <v>7162</v>
      </c>
      <c r="AH5017" t="inlineStr">
        <is>
          <t>Quelle: Pollentia Properties</t>
        </is>
      </c>
    </row>
    <row r="5018">
      <c r="A5018" t="n">
        <v>4831</v>
      </c>
      <c r="B5018" t="inlineStr">
        <is>
          <t>Apartment for sale in Palma Old Town La Calatrava and close to beach</t>
        </is>
      </c>
      <c r="C5018" t="inlineStr">
        <is>
          <t>https://www.pollentiaproperties.com/en/property/id/747478-apartment-for-sale-la-calatrava-palma-close-beach</t>
        </is>
      </c>
      <c r="E5018" t="n">
        <v>2</v>
      </c>
      <c r="H5018" t="n">
        <v>52</v>
      </c>
      <c r="J5018" t="inlineStr">
        <is>
          <t>La Calatrava</t>
        </is>
      </c>
      <c r="AH5018" t="inlineStr">
        <is>
          <t>Quelle: Pollentia Properties</t>
        </is>
      </c>
    </row>
    <row r="5019">
      <c r="A5019" t="n">
        <v>4832</v>
      </c>
      <c r="B5019" t="inlineStr">
        <is>
          <t>Villa for sale in Formentor, Mallorca currently under construction</t>
        </is>
      </c>
      <c r="C5019" t="inlineStr">
        <is>
          <t>https://www.pollentiaproperties.com/en/property/id/747364-villa-for-sale-formentor-idyllic-location</t>
        </is>
      </c>
      <c r="E5019" t="n">
        <v>4</v>
      </c>
      <c r="G5019" t="n">
        <v>2</v>
      </c>
      <c r="H5019" t="n">
        <v>600</v>
      </c>
      <c r="J5019" t="inlineStr">
        <is>
          <t>Formentor</t>
        </is>
      </c>
      <c r="AH5019" t="inlineStr">
        <is>
          <t>Quelle: Pollentia Properties</t>
        </is>
      </c>
    </row>
    <row r="5020">
      <c r="A5020" t="n">
        <v>4833</v>
      </c>
      <c r="B5020" t="inlineStr">
        <is>
          <t>Building plot for sale in Formentor, Mallorca for an exclusive villa</t>
        </is>
      </c>
      <c r="C5020" t="inlineStr">
        <is>
          <t>https://www.pollentiaproperties.com/en/property/id/747222-building-plot-for-sale-formentor-basic-construction-completed</t>
        </is>
      </c>
      <c r="G5020" t="n">
        <v>2</v>
      </c>
      <c r="H5020" t="n">
        <v>600</v>
      </c>
      <c r="J5020" t="inlineStr">
        <is>
          <t>Formentor</t>
        </is>
      </c>
      <c r="AH5020" t="inlineStr">
        <is>
          <t>Quelle: Pollentia Properties</t>
        </is>
      </c>
    </row>
    <row r="5021">
      <c r="A5021" t="n">
        <v>4834</v>
      </c>
      <c r="B5021" t="inlineStr">
        <is>
          <t>Villa in Son Serra de Marina comprising two separate homes</t>
        </is>
      </c>
      <c r="C5021" t="inlineStr">
        <is>
          <t>https://www.pollentiaproperties.com/en/property/id/747048-villa-for-sale-son-serra-marina-comprising-two-separate-homes</t>
        </is>
      </c>
      <c r="E5021" t="n">
        <v>6</v>
      </c>
      <c r="H5021" t="n">
        <v>400</v>
      </c>
      <c r="J5021" t="inlineStr">
        <is>
          <t>Son Serra de Marina</t>
        </is>
      </c>
      <c r="K5021" t="n">
        <v>69.59999999999999</v>
      </c>
      <c r="L5021" t="n">
        <v>59</v>
      </c>
      <c r="M5021" t="n">
        <v>64.90000000000001</v>
      </c>
      <c r="N5021" t="n">
        <v>63</v>
      </c>
      <c r="O5021" t="n">
        <v>91</v>
      </c>
      <c r="P5021" t="n">
        <v>76</v>
      </c>
      <c r="Q5021" t="n">
        <v>62.6</v>
      </c>
      <c r="R5021" t="n">
        <v>59</v>
      </c>
      <c r="S5021" t="n">
        <v>870000</v>
      </c>
      <c r="T5021" t="n">
        <v>2175</v>
      </c>
      <c r="AH5021" t="inlineStr">
        <is>
          <t>Quelle: Pollentia Properties</t>
        </is>
      </c>
    </row>
    <row r="5022">
      <c r="A5022" t="n">
        <v>4835</v>
      </c>
      <c r="B5022" t="inlineStr">
        <is>
          <t>Property for sale in Mallorca charming country house in Lloseta</t>
        </is>
      </c>
      <c r="C5022" t="inlineStr">
        <is>
          <t>https://www.pollentiaproperties.com/en/property/id/745156-country-house-for-sale-lloseta-charming-location-great-features</t>
        </is>
      </c>
      <c r="E5022" t="n">
        <v>5</v>
      </c>
      <c r="G5022" t="n">
        <v>3</v>
      </c>
      <c r="H5022" t="n">
        <v>1</v>
      </c>
      <c r="J5022" t="inlineStr">
        <is>
          <t>Lloseta</t>
        </is>
      </c>
      <c r="K5022" t="n">
        <v>36.4</v>
      </c>
      <c r="L5022" t="n">
        <v>31</v>
      </c>
      <c r="M5022" t="n">
        <v>79.2</v>
      </c>
      <c r="N5022" t="n">
        <v>64</v>
      </c>
      <c r="O5022" t="n">
        <v>59</v>
      </c>
      <c r="P5022" t="n">
        <v>48</v>
      </c>
      <c r="Q5022" t="n">
        <v>76.90000000000001</v>
      </c>
      <c r="R5022" t="n">
        <v>61</v>
      </c>
      <c r="AH5022" t="inlineStr">
        <is>
          <t>Quelle: Pollentia Properties</t>
        </is>
      </c>
    </row>
    <row r="5023">
      <c r="A5023" t="n">
        <v>4836</v>
      </c>
      <c r="B5023" t="inlineStr">
        <is>
          <t>Rental license</t>
        </is>
      </c>
      <c r="C5023" t="inlineStr">
        <is>
          <t>https://www.pollentiaproperties.com/en/property/id/744946-town-house-for-sale-pollensa-prime-location-stylish-renovation</t>
        </is>
      </c>
      <c r="E5023" t="n">
        <v>4</v>
      </c>
      <c r="G5023" t="n">
        <v>71</v>
      </c>
      <c r="H5023" t="n">
        <v>182</v>
      </c>
      <c r="J5023" t="inlineStr">
        <is>
          <t>Mallorca</t>
        </is>
      </c>
      <c r="K5023" t="n">
        <v>47.4</v>
      </c>
      <c r="L5023" t="n">
        <v>40</v>
      </c>
      <c r="M5023" t="n">
        <v>51.8</v>
      </c>
      <c r="N5023" t="n">
        <v>55</v>
      </c>
      <c r="O5023" t="n">
        <v>70</v>
      </c>
      <c r="P5023" t="n">
        <v>56</v>
      </c>
      <c r="Q5023" t="n">
        <v>49.5</v>
      </c>
      <c r="R5023" t="n">
        <v>51</v>
      </c>
      <c r="S5023" t="n">
        <v>1200000</v>
      </c>
      <c r="T5023" t="n">
        <v>6593</v>
      </c>
      <c r="U5023" t="n">
        <v>16901</v>
      </c>
      <c r="AH5023" t="inlineStr">
        <is>
          <t>Quelle: Pollentia Properties</t>
        </is>
      </c>
    </row>
    <row r="5024">
      <c r="A5024" t="n">
        <v>4837</v>
      </c>
      <c r="B5024" t="inlineStr">
        <is>
          <t>Property for sale in Majorca, Stunning property in Cala San Vicente, Majorca, with pool.</t>
        </is>
      </c>
      <c r="C5024" t="inlineStr">
        <is>
          <t>https://www.pollentiaproperties.com/en/property/id/744940-country-home-for-sale-cala-san-vicente-great-accommodation</t>
        </is>
      </c>
      <c r="E5024" t="n">
        <v>12</v>
      </c>
      <c r="G5024" t="n">
        <v>39</v>
      </c>
      <c r="J5024" t="inlineStr">
        <is>
          <t>Cala Sant Vicenç</t>
        </is>
      </c>
      <c r="K5024" t="n">
        <v>66.5</v>
      </c>
      <c r="L5024" t="n">
        <v>52</v>
      </c>
      <c r="M5024" t="n">
        <v>84.59999999999999</v>
      </c>
      <c r="N5024" t="n">
        <v>79</v>
      </c>
      <c r="O5024" t="n">
        <v>89.09999999999999</v>
      </c>
      <c r="P5024" t="n">
        <v>68</v>
      </c>
      <c r="Q5024" t="n">
        <v>82.3</v>
      </c>
      <c r="R5024" t="n">
        <v>75</v>
      </c>
      <c r="S5024" t="n">
        <v>9000000</v>
      </c>
      <c r="U5024" t="n">
        <v>230769</v>
      </c>
      <c r="AH5024" t="inlineStr">
        <is>
          <t>Quelle: Pollentia Properties</t>
        </is>
      </c>
    </row>
    <row r="5025">
      <c r="A5025" t="n">
        <v>4838</v>
      </c>
      <c r="B5025" t="inlineStr">
        <is>
          <t>Villa for sale in Alcanada with private pool and sea views</t>
        </is>
      </c>
      <c r="C5025" t="inlineStr">
        <is>
          <t>https://www.pollentiaproperties.com/en/property/id/738521-villa-for-sale-alcanada-infinity-pool-sea-views</t>
        </is>
      </c>
      <c r="E5025" t="n">
        <v>4</v>
      </c>
      <c r="G5025" t="n">
        <v>443</v>
      </c>
      <c r="H5025" t="n">
        <v>272</v>
      </c>
      <c r="J5025" t="inlineStr">
        <is>
          <t>Alcanada</t>
        </is>
      </c>
      <c r="K5025" t="n">
        <v>64.2</v>
      </c>
      <c r="L5025" t="n">
        <v>48</v>
      </c>
      <c r="M5025" t="n">
        <v>82.3</v>
      </c>
      <c r="N5025" t="n">
        <v>75</v>
      </c>
      <c r="O5025" t="n">
        <v>86.8</v>
      </c>
      <c r="P5025" t="n">
        <v>64</v>
      </c>
      <c r="Q5025" t="n">
        <v>80</v>
      </c>
      <c r="R5025" t="n">
        <v>71</v>
      </c>
      <c r="S5025" t="n">
        <v>1795000</v>
      </c>
      <c r="T5025" t="n">
        <v>6599</v>
      </c>
      <c r="U5025" t="n">
        <v>4052</v>
      </c>
      <c r="AH5025" t="inlineStr">
        <is>
          <t>Quelle: Pollentia Properties</t>
        </is>
      </c>
    </row>
    <row r="5026">
      <c r="A5026" t="n">
        <v>4839</v>
      </c>
      <c r="B5026" t="inlineStr">
        <is>
          <t>Country house  for sale in Pollensa on large estate with great potential</t>
        </is>
      </c>
      <c r="C5026" t="inlineStr">
        <is>
          <t>https://www.pollentiaproperties.com/en/property/id/736122-country-estate-for-sale-pollensa-extensive-grounds-three-houses</t>
        </is>
      </c>
      <c r="E5026" t="n">
        <v>10</v>
      </c>
      <c r="G5026" t="n">
        <v>76</v>
      </c>
      <c r="H5026" t="n">
        <v>1</v>
      </c>
      <c r="J5026" t="inlineStr">
        <is>
          <t>Pollença</t>
        </is>
      </c>
      <c r="K5026" t="n">
        <v>60.6</v>
      </c>
      <c r="L5026" t="n">
        <v>47</v>
      </c>
      <c r="M5026" t="n">
        <v>78.7</v>
      </c>
      <c r="N5026" t="n">
        <v>74</v>
      </c>
      <c r="O5026" t="n">
        <v>83.2</v>
      </c>
      <c r="P5026" t="n">
        <v>63</v>
      </c>
      <c r="Q5026" t="n">
        <v>76.40000000000001</v>
      </c>
      <c r="R5026" t="n">
        <v>70</v>
      </c>
      <c r="S5026" t="n">
        <v>3500000</v>
      </c>
      <c r="T5026" t="n">
        <v>3500000</v>
      </c>
      <c r="U5026" t="n">
        <v>46053</v>
      </c>
      <c r="AH5026" t="inlineStr">
        <is>
          <t>Quelle: Pollentia Properties</t>
        </is>
      </c>
    </row>
    <row r="5027">
      <c r="A5027" t="n">
        <v>4840</v>
      </c>
      <c r="B5027" t="inlineStr">
        <is>
          <t>Property for sale in Mallorca building plot in Cala Mesquida, Mallorca</t>
        </is>
      </c>
      <c r="C5027" t="inlineStr">
        <is>
          <t>https://www.pollentiaproperties.com/en/property/id/732562-plots-for-sale-cala-mesquida-varying-sizes-prices</t>
        </is>
      </c>
      <c r="G5027" t="n">
        <v>915</v>
      </c>
      <c r="H5027" t="n">
        <v>609</v>
      </c>
      <c r="J5027" t="inlineStr">
        <is>
          <t>Cala Mesquida</t>
        </is>
      </c>
      <c r="S5027" t="n">
        <v>310000</v>
      </c>
      <c r="T5027" t="n">
        <v>509</v>
      </c>
      <c r="U5027" t="n">
        <v>339</v>
      </c>
      <c r="AH5027" t="inlineStr">
        <is>
          <t>Quelle: Pollentia Properties</t>
        </is>
      </c>
    </row>
    <row r="5028">
      <c r="A5028" t="n">
        <v>4841</v>
      </c>
      <c r="B5028" t="inlineStr">
        <is>
          <t>Country house for sale in Pollensa, Mallora in quiet environment</t>
        </is>
      </c>
      <c r="C5028" t="inlineStr">
        <is>
          <t>https://www.pollentiaproperties.com/en/property/id/732078-country-house-for-sale-pollensa-exceptional-location</t>
        </is>
      </c>
      <c r="E5028" t="n">
        <v>5</v>
      </c>
      <c r="G5028" t="n">
        <v>5</v>
      </c>
      <c r="H5028" t="n">
        <v>250</v>
      </c>
      <c r="J5028" t="inlineStr">
        <is>
          <t>Pollença</t>
        </is>
      </c>
      <c r="K5028" t="n">
        <v>60.6</v>
      </c>
      <c r="L5028" t="n">
        <v>47</v>
      </c>
      <c r="M5028" t="n">
        <v>78.7</v>
      </c>
      <c r="N5028" t="n">
        <v>74</v>
      </c>
      <c r="O5028" t="n">
        <v>83.2</v>
      </c>
      <c r="P5028" t="n">
        <v>63</v>
      </c>
      <c r="Q5028" t="n">
        <v>76.40000000000001</v>
      </c>
      <c r="R5028" t="n">
        <v>70</v>
      </c>
      <c r="AH5028" t="inlineStr">
        <is>
          <t>Quelle: Pollentia Properties</t>
        </is>
      </c>
    </row>
    <row r="5029">
      <c r="A5029" t="n">
        <v>4842</v>
      </c>
      <c r="B5029" t="inlineStr">
        <is>
          <t>Plot for sale in Cala Mesquida - Capdepera, Mallorca</t>
        </is>
      </c>
      <c r="C5029" t="inlineStr">
        <is>
          <t>https://www.pollentiaproperties.com/en/property/id/731751-plots-for-sale-cala-mesquida-capdepera-mallorca</t>
        </is>
      </c>
      <c r="G5029" t="n">
        <v>618</v>
      </c>
      <c r="H5029" t="n">
        <v>412</v>
      </c>
      <c r="J5029" t="inlineStr">
        <is>
          <t>Cala Mesquida</t>
        </is>
      </c>
      <c r="S5029" t="n">
        <v>260000</v>
      </c>
      <c r="T5029" t="n">
        <v>631</v>
      </c>
      <c r="U5029" t="n">
        <v>421</v>
      </c>
      <c r="AH5029" t="inlineStr">
        <is>
          <t>Quelle: Pollentia Properties</t>
        </is>
      </c>
    </row>
    <row r="5030">
      <c r="A5030" t="n">
        <v>4843</v>
      </c>
      <c r="B5030" t="inlineStr">
        <is>
          <t>Commercial building for sale in Pollensa, Mallorca with business set up</t>
        </is>
      </c>
      <c r="C5030" t="inlineStr">
        <is>
          <t>https://www.pollentiaproperties.com/en/property/id/731308-commercial-premises-for-sale-pollensa-restaurant-apartments-prime-location</t>
        </is>
      </c>
      <c r="G5030" t="n">
        <v>450</v>
      </c>
      <c r="J5030" t="inlineStr">
        <is>
          <t>Pollença Pueblo</t>
        </is>
      </c>
      <c r="K5030" t="n">
        <v>60.6</v>
      </c>
      <c r="L5030" t="n">
        <v>47</v>
      </c>
      <c r="M5030" t="n">
        <v>78.7</v>
      </c>
      <c r="N5030" t="n">
        <v>74</v>
      </c>
      <c r="O5030" t="n">
        <v>83.2</v>
      </c>
      <c r="P5030" t="n">
        <v>63</v>
      </c>
      <c r="Q5030" t="n">
        <v>76.40000000000001</v>
      </c>
      <c r="R5030" t="n">
        <v>70</v>
      </c>
      <c r="S5030" t="n">
        <v>2800000</v>
      </c>
      <c r="U5030" t="n">
        <v>6222</v>
      </c>
      <c r="AH5030" t="inlineStr">
        <is>
          <t>Quelle: Pollentia Properties</t>
        </is>
      </c>
    </row>
    <row r="5031">
      <c r="A5031" t="n">
        <v>4844</v>
      </c>
      <c r="B5031" t="inlineStr">
        <is>
          <t>Manor house for sale in Escorca, North Mallorca magnificent location</t>
        </is>
      </c>
      <c r="C5031" t="inlineStr">
        <is>
          <t>https://www.pollentiaproperties.com/en/property/id/729056-manor-house-for-sale-escorca-mallorca-spectacular-mountain-scenery</t>
        </is>
      </c>
      <c r="E5031" t="n">
        <v>11</v>
      </c>
      <c r="G5031" t="n">
        <v>570</v>
      </c>
      <c r="H5031" t="n">
        <v>1</v>
      </c>
      <c r="J5031" t="inlineStr">
        <is>
          <t>Pollença</t>
        </is>
      </c>
      <c r="K5031" t="n">
        <v>60.6</v>
      </c>
      <c r="L5031" t="n">
        <v>47</v>
      </c>
      <c r="M5031" t="n">
        <v>78.7</v>
      </c>
      <c r="N5031" t="n">
        <v>74</v>
      </c>
      <c r="O5031" t="n">
        <v>83.2</v>
      </c>
      <c r="P5031" t="n">
        <v>63</v>
      </c>
      <c r="Q5031" t="n">
        <v>76.40000000000001</v>
      </c>
      <c r="R5031" t="n">
        <v>70</v>
      </c>
      <c r="S5031" t="n">
        <v>6000000</v>
      </c>
      <c r="T5031" t="n">
        <v>6000000</v>
      </c>
      <c r="U5031" t="n">
        <v>10526</v>
      </c>
      <c r="AH5031" t="inlineStr">
        <is>
          <t>Quelle: Pollentia Properties</t>
        </is>
      </c>
    </row>
    <row r="5032">
      <c r="A5032" t="n">
        <v>4845</v>
      </c>
      <c r="B5032" t="inlineStr">
        <is>
          <t>Country house for sale in Pollensa, charming and traditional interior</t>
        </is>
      </c>
      <c r="C5032" t="inlineStr">
        <is>
          <t>https://www.pollentiaproperties.com/en/property/id/728766-country-house-for-sale-pollensa-traditional-style-adjacent-building</t>
        </is>
      </c>
      <c r="E5032" t="n">
        <v>6</v>
      </c>
      <c r="G5032" t="n">
        <v>476</v>
      </c>
      <c r="H5032" t="n">
        <v>751</v>
      </c>
      <c r="J5032" t="inlineStr">
        <is>
          <t>Pollença</t>
        </is>
      </c>
      <c r="K5032" t="n">
        <v>60.6</v>
      </c>
      <c r="L5032" t="n">
        <v>47</v>
      </c>
      <c r="M5032" t="n">
        <v>78.7</v>
      </c>
      <c r="N5032" t="n">
        <v>74</v>
      </c>
      <c r="O5032" t="n">
        <v>83.2</v>
      </c>
      <c r="P5032" t="n">
        <v>63</v>
      </c>
      <c r="Q5032" t="n">
        <v>76.40000000000001</v>
      </c>
      <c r="R5032" t="n">
        <v>70</v>
      </c>
      <c r="S5032" t="n">
        <v>2660000</v>
      </c>
      <c r="T5032" t="n">
        <v>3542</v>
      </c>
      <c r="U5032" t="n">
        <v>5588</v>
      </c>
      <c r="AH5032" t="inlineStr">
        <is>
          <t>Quelle: Pollentia Properties</t>
        </is>
      </c>
    </row>
    <row r="5033">
      <c r="A5033" t="n">
        <v>4846</v>
      </c>
      <c r="B5033" t="inlineStr">
        <is>
          <t>Country house for sale in Fornalutx, Mallorca in a mountain location</t>
        </is>
      </c>
      <c r="C5033" t="inlineStr">
        <is>
          <t>https://www.pollentiaproperties.com/en/property/id/728679-luxurious-country-residence-for-sale-fornalutx-wonderful-setting</t>
        </is>
      </c>
      <c r="E5033" t="n">
        <v>5</v>
      </c>
      <c r="G5033" t="n">
        <v>121</v>
      </c>
      <c r="H5033" t="n">
        <v>500</v>
      </c>
      <c r="J5033" t="inlineStr">
        <is>
          <t>Fornalutx</t>
        </is>
      </c>
      <c r="K5033" t="n">
        <v>38.9</v>
      </c>
      <c r="L5033" t="n">
        <v>46</v>
      </c>
      <c r="M5033" t="n">
        <v>81.59999999999999</v>
      </c>
      <c r="N5033" t="n">
        <v>79</v>
      </c>
      <c r="O5033" t="n">
        <v>58.5</v>
      </c>
      <c r="P5033" t="n">
        <v>60</v>
      </c>
      <c r="Q5033" t="n">
        <v>79.3</v>
      </c>
      <c r="R5033" t="n">
        <v>76</v>
      </c>
      <c r="AH5033" t="inlineStr">
        <is>
          <t>Quelle: Pollentia Properties</t>
        </is>
      </c>
    </row>
    <row r="5034">
      <c r="A5034" t="n">
        <v>4847</v>
      </c>
      <c r="B5034" t="inlineStr">
        <is>
          <t>Country Home for sale in Pollensa, Majorca. Luxurious and exclusive.</t>
        </is>
      </c>
      <c r="C5034" t="inlineStr">
        <is>
          <t>https://www.pollentiaproperties.com/en/property/id/728011-country-home-for-sale-pollensa-stunning-facilities-great-views</t>
        </is>
      </c>
      <c r="E5034" t="n">
        <v>6</v>
      </c>
      <c r="G5034" t="n">
        <v>14</v>
      </c>
      <c r="H5034" t="n">
        <v>335</v>
      </c>
      <c r="J5034" t="inlineStr">
        <is>
          <t>Pollença</t>
        </is>
      </c>
      <c r="K5034" t="n">
        <v>60.6</v>
      </c>
      <c r="L5034" t="n">
        <v>47</v>
      </c>
      <c r="M5034" t="n">
        <v>78.7</v>
      </c>
      <c r="N5034" t="n">
        <v>74</v>
      </c>
      <c r="O5034" t="n">
        <v>83.2</v>
      </c>
      <c r="P5034" t="n">
        <v>63</v>
      </c>
      <c r="Q5034" t="n">
        <v>76.40000000000001</v>
      </c>
      <c r="R5034" t="n">
        <v>70</v>
      </c>
      <c r="AH5034" t="inlineStr">
        <is>
          <t>Quelle: Pollentia Properties</t>
        </is>
      </c>
    </row>
    <row r="5035">
      <c r="A5035" t="n">
        <v>4848</v>
      </c>
      <c r="B5035" t="inlineStr">
        <is>
          <t>Property for sale in Mallorca, Magnificent town house in Pollensa Majorca prime location</t>
        </is>
      </c>
      <c r="C5035" t="inlineStr">
        <is>
          <t>https://www.pollentiaproperties.com/en/property/id/726464-great-town-house-for-sale-pollensa-central-location</t>
        </is>
      </c>
      <c r="E5035" t="n">
        <v>7</v>
      </c>
      <c r="H5035" t="n">
        <v>504</v>
      </c>
      <c r="J5035" t="inlineStr">
        <is>
          <t>Pollença Pueblo</t>
        </is>
      </c>
      <c r="K5035" t="n">
        <v>60.6</v>
      </c>
      <c r="L5035" t="n">
        <v>47</v>
      </c>
      <c r="M5035" t="n">
        <v>78.7</v>
      </c>
      <c r="N5035" t="n">
        <v>74</v>
      </c>
      <c r="O5035" t="n">
        <v>83.2</v>
      </c>
      <c r="P5035" t="n">
        <v>63</v>
      </c>
      <c r="Q5035" t="n">
        <v>76.40000000000001</v>
      </c>
      <c r="R5035" t="n">
        <v>70</v>
      </c>
      <c r="S5035" t="n">
        <v>2335000</v>
      </c>
      <c r="T5035" t="n">
        <v>4633</v>
      </c>
      <c r="AH5035" t="inlineStr">
        <is>
          <t>Quelle: Pollentia Properties</t>
        </is>
      </c>
    </row>
    <row r="5036">
      <c r="A5036" t="n">
        <v>4849</v>
      </c>
      <c r="B5036" t="inlineStr">
        <is>
          <t>Town house for sale in El Calvari in Pollensa historic centre</t>
        </is>
      </c>
      <c r="C5036" t="inlineStr">
        <is>
          <t>https://www.pollentiaproperties.com/en/property/id/724520-town-house-for-sale-pollensa-calvario-area-huge-garden-great-potential</t>
        </is>
      </c>
      <c r="E5036" t="n">
        <v>3</v>
      </c>
      <c r="G5036" t="n">
        <v>303</v>
      </c>
      <c r="H5036" t="n">
        <v>153</v>
      </c>
      <c r="J5036" t="inlineStr">
        <is>
          <t>El Calvari</t>
        </is>
      </c>
      <c r="S5036" t="n">
        <v>900000</v>
      </c>
      <c r="T5036" t="n">
        <v>5882</v>
      </c>
      <c r="U5036" t="n">
        <v>2970</v>
      </c>
      <c r="AH5036" t="inlineStr">
        <is>
          <t>Quelle: Pollentia Properties</t>
        </is>
      </c>
    </row>
    <row r="5037">
      <c r="A5037" t="n">
        <v>4850</v>
      </c>
      <c r="B5037" t="inlineStr">
        <is>
          <t>Property for sale in Majorca, Villas Santa Ponsa, high standards</t>
        </is>
      </c>
      <c r="C5037" t="inlineStr">
        <is>
          <t>https://www.pollentiaproperties.com/en/property/id/723127-town-houses-villas-for-sale-santa-ponsa-mallorca-high-standards</t>
        </is>
      </c>
      <c r="E5037" t="n">
        <v>3</v>
      </c>
      <c r="J5037" t="inlineStr">
        <is>
          <t>Nova Santa Ponsa</t>
        </is>
      </c>
      <c r="AH5037" t="inlineStr">
        <is>
          <t>Quelle: Pollentia Properties</t>
        </is>
      </c>
    </row>
    <row r="5038">
      <c r="A5038" t="n">
        <v>4851</v>
      </c>
      <c r="B5038" t="inlineStr">
        <is>
          <t>Buy land in Majorca,  Bonaire - Alcudia  North Mallorca</t>
        </is>
      </c>
      <c r="C5038" t="inlineStr">
        <is>
          <t>https://www.pollentiaproperties.com/en/property/id/723112-Plot-land-for-sale-Bonaire-Alcudia-Balearic-Islands</t>
        </is>
      </c>
      <c r="G5038" t="n">
        <v>600</v>
      </c>
      <c r="J5038" t="inlineStr">
        <is>
          <t>Bonaire</t>
        </is>
      </c>
      <c r="S5038" t="n">
        <v>425000</v>
      </c>
      <c r="U5038" t="n">
        <v>708</v>
      </c>
      <c r="AH5038" t="inlineStr">
        <is>
          <t>Quelle: Pollentia Properties</t>
        </is>
      </c>
    </row>
    <row r="5039">
      <c r="A5039" t="n">
        <v>4852</v>
      </c>
      <c r="B5039" t="inlineStr">
        <is>
          <t>Country house for sale near Pollensa, Mallorca prime location</t>
        </is>
      </c>
      <c r="C5039" t="inlineStr">
        <is>
          <t>https://www.pollentiaproperties.com/en/property/id/723075-country-residence-for-sale-pollensa-beautiful-location</t>
        </is>
      </c>
      <c r="E5039" t="n">
        <v>5</v>
      </c>
      <c r="G5039" t="n">
        <v>3</v>
      </c>
      <c r="H5039" t="n">
        <v>371</v>
      </c>
      <c r="J5039" t="inlineStr">
        <is>
          <t>Pollença</t>
        </is>
      </c>
      <c r="K5039" t="n">
        <v>60.6</v>
      </c>
      <c r="L5039" t="n">
        <v>47</v>
      </c>
      <c r="M5039" t="n">
        <v>78.7</v>
      </c>
      <c r="N5039" t="n">
        <v>74</v>
      </c>
      <c r="O5039" t="n">
        <v>83.2</v>
      </c>
      <c r="P5039" t="n">
        <v>63</v>
      </c>
      <c r="Q5039" t="n">
        <v>76.40000000000001</v>
      </c>
      <c r="R5039" t="n">
        <v>70</v>
      </c>
      <c r="S5039" t="n">
        <v>2100000</v>
      </c>
      <c r="T5039" t="n">
        <v>5660</v>
      </c>
      <c r="U5039" t="n">
        <v>700000</v>
      </c>
      <c r="AH5039" t="inlineStr">
        <is>
          <t>Quelle: Pollentia Properties</t>
        </is>
      </c>
    </row>
    <row r="5040">
      <c r="A5040" t="n">
        <v>4853</v>
      </c>
      <c r="B5040" t="inlineStr">
        <is>
          <t>Repossessed property for sale in Majorca - Golf Course in Mallorca Hotel project</t>
        </is>
      </c>
      <c r="C5040" t="inlineStr">
        <is>
          <t>https://www.pollentiaproperties.com/en/property/id/719896-golf-course-for-sale-mallorca-hotel-project-pollensa-due-to-bank-repossession</t>
        </is>
      </c>
      <c r="E5040" t="n">
        <v>55</v>
      </c>
      <c r="G5040" t="n">
        <v>702</v>
      </c>
      <c r="J5040" t="inlineStr">
        <is>
          <t>Golf Pollensa</t>
        </is>
      </c>
      <c r="K5040" t="n">
        <v>56.9</v>
      </c>
      <c r="L5040" t="n">
        <v>40</v>
      </c>
      <c r="M5040" t="n">
        <v>75</v>
      </c>
      <c r="N5040" t="n">
        <v>67</v>
      </c>
      <c r="O5040" t="n">
        <v>79.5</v>
      </c>
      <c r="P5040" t="n">
        <v>57</v>
      </c>
      <c r="Q5040" t="n">
        <v>72.7</v>
      </c>
      <c r="R5040" t="n">
        <v>64</v>
      </c>
      <c r="AH5040" t="inlineStr">
        <is>
          <t>Quelle: Pollentia Properties</t>
        </is>
      </c>
    </row>
    <row r="5041">
      <c r="A5041" t="n">
        <v>4854</v>
      </c>
      <c r="B5041" t="inlineStr">
        <is>
          <t>Country house for sale in Pollensa Mallorca with garden and pool</t>
        </is>
      </c>
      <c r="C5041" t="inlineStr">
        <is>
          <t>https://www.pollentiaproperties.com/en/property/id/719824-country-house-for-sale-pollensa-garden-pool-beautiful-setting</t>
        </is>
      </c>
      <c r="E5041" t="n">
        <v>3</v>
      </c>
      <c r="G5041" t="n">
        <v>6</v>
      </c>
      <c r="H5041" t="n">
        <v>225</v>
      </c>
      <c r="J5041" t="inlineStr">
        <is>
          <t>Pollença</t>
        </is>
      </c>
      <c r="K5041" t="n">
        <v>60.6</v>
      </c>
      <c r="L5041" t="n">
        <v>47</v>
      </c>
      <c r="M5041" t="n">
        <v>78.7</v>
      </c>
      <c r="N5041" t="n">
        <v>74</v>
      </c>
      <c r="O5041" t="n">
        <v>83.2</v>
      </c>
      <c r="P5041" t="n">
        <v>63</v>
      </c>
      <c r="Q5041" t="n">
        <v>76.40000000000001</v>
      </c>
      <c r="R5041" t="n">
        <v>70</v>
      </c>
      <c r="S5041" t="n">
        <v>1600000</v>
      </c>
      <c r="T5041" t="n">
        <v>7111</v>
      </c>
      <c r="U5041" t="n">
        <v>266667</v>
      </c>
      <c r="AH5041" t="inlineStr">
        <is>
          <t>Quelle: Pollentia Properties</t>
        </is>
      </c>
    </row>
    <row r="5042">
      <c r="A5042" t="n">
        <v>4855</v>
      </c>
      <c r="B5042" t="inlineStr">
        <is>
          <t>Villa for sale in Formentor, Mallorca exclusive and spectacular</t>
        </is>
      </c>
      <c r="C5042" t="inlineStr">
        <is>
          <t>https://www.pollentiaproperties.com/en/property/id/719812-spectacular-villa-for-sale-formentor-majorca-beautiful-setting</t>
        </is>
      </c>
      <c r="E5042" t="n">
        <v>4</v>
      </c>
      <c r="G5042" t="n">
        <v>4</v>
      </c>
      <c r="H5042" t="n">
        <v>300</v>
      </c>
      <c r="J5042" t="inlineStr">
        <is>
          <t>Formentor</t>
        </is>
      </c>
      <c r="AH5042" t="inlineStr">
        <is>
          <t>Quelle: Pollentia Properties</t>
        </is>
      </c>
    </row>
    <row r="5043">
      <c r="A5043" t="n">
        <v>4856</v>
      </c>
      <c r="B5043" t="inlineStr">
        <is>
          <t>Building plot for sale in Cala San Vicente, Mallorca unique opportunity</t>
        </is>
      </c>
      <c r="C5043" t="inlineStr">
        <is>
          <t>https://www.pollentiaproperties.com/en/property/id/716316-plot-for-sale-cala-san-vicente-unique-opportunity</t>
        </is>
      </c>
      <c r="G5043" t="n">
        <v>238</v>
      </c>
      <c r="J5043" t="inlineStr">
        <is>
          <t>Cala Sant Vicenç</t>
        </is>
      </c>
      <c r="S5043" t="n">
        <v>350000</v>
      </c>
      <c r="U5043" t="n">
        <v>1471</v>
      </c>
      <c r="AH5043" t="inlineStr">
        <is>
          <t>Quelle: Pollentia Properties</t>
        </is>
      </c>
    </row>
    <row r="5044">
      <c r="A5044" t="n">
        <v>4857</v>
      </c>
      <c r="B5044" t="inlineStr">
        <is>
          <t>Country estate for sale in Alcudia, Mallorca with several buildings</t>
        </is>
      </c>
      <c r="C5044" t="inlineStr">
        <is>
          <t>https://www.pollentiaproperties.com/en/property/id/712544-country-home-for-sale-alcudia-main-house-guest-bungalow</t>
        </is>
      </c>
      <c r="E5044" t="n">
        <v>5</v>
      </c>
      <c r="G5044" t="n">
        <v>39</v>
      </c>
      <c r="H5044" t="n">
        <v>1</v>
      </c>
      <c r="J5044" t="inlineStr">
        <is>
          <t>Alcúdia</t>
        </is>
      </c>
      <c r="K5044" t="n">
        <v>61.6</v>
      </c>
      <c r="L5044" t="n">
        <v>47</v>
      </c>
      <c r="M5044" t="n">
        <v>79.7</v>
      </c>
      <c r="N5044" t="n">
        <v>74</v>
      </c>
      <c r="O5044" t="n">
        <v>84.2</v>
      </c>
      <c r="P5044" t="n">
        <v>63</v>
      </c>
      <c r="Q5044" t="n">
        <v>77.40000000000001</v>
      </c>
      <c r="R5044" t="n">
        <v>70</v>
      </c>
      <c r="S5044" t="n">
        <v>3900000</v>
      </c>
      <c r="T5044" t="n">
        <v>3900000</v>
      </c>
      <c r="U5044" t="n">
        <v>100000</v>
      </c>
      <c r="AH5044" t="inlineStr">
        <is>
          <t>Quelle: Pollentia Properties</t>
        </is>
      </c>
    </row>
    <row r="5045">
      <c r="A5045" t="n">
        <v>4858</v>
      </c>
      <c r="B5045" t="inlineStr">
        <is>
          <t>Country house for sale in Pollensa with holiday rental license</t>
        </is>
      </c>
      <c r="C5045" t="inlineStr">
        <is>
          <t>https://www.pollentiaproperties.com/en/property/id/712101-country-house-for-sale-puerto-pollensa-privacy-rustic-charm</t>
        </is>
      </c>
      <c r="E5045" t="n">
        <v>4</v>
      </c>
      <c r="G5045" t="n">
        <v>14</v>
      </c>
      <c r="H5045" t="n">
        <v>251</v>
      </c>
      <c r="J5045" t="inlineStr">
        <is>
          <t>Pollença</t>
        </is>
      </c>
      <c r="K5045" t="n">
        <v>60.6</v>
      </c>
      <c r="L5045" t="n">
        <v>47</v>
      </c>
      <c r="M5045" t="n">
        <v>78.7</v>
      </c>
      <c r="N5045" t="n">
        <v>74</v>
      </c>
      <c r="O5045" t="n">
        <v>83.2</v>
      </c>
      <c r="P5045" t="n">
        <v>63</v>
      </c>
      <c r="Q5045" t="n">
        <v>76.40000000000001</v>
      </c>
      <c r="R5045" t="n">
        <v>70</v>
      </c>
      <c r="S5045" t="n">
        <v>1200000</v>
      </c>
      <c r="T5045" t="n">
        <v>4781</v>
      </c>
      <c r="U5045" t="n">
        <v>85714</v>
      </c>
      <c r="AH5045" t="inlineStr">
        <is>
          <t>Quelle: Pollentia Properties</t>
        </is>
      </c>
    </row>
    <row r="5046">
      <c r="A5046" t="n">
        <v>4859</v>
      </c>
      <c r="B5046" t="inlineStr">
        <is>
          <t>Villa for sale in Formentor Bay, Pollensa, North Majorca</t>
        </is>
      </c>
      <c r="C5046" t="inlineStr">
        <is>
          <t>https://www.pollentiaproperties.com/en/property/id/708568-villa-for-sale-formentor-bay-pollensa-stunning-classical-style</t>
        </is>
      </c>
      <c r="E5046" t="n">
        <v>7</v>
      </c>
      <c r="G5046" t="n">
        <v>4</v>
      </c>
      <c r="H5046" t="n">
        <v>836</v>
      </c>
      <c r="J5046" t="inlineStr">
        <is>
          <t>Formentor</t>
        </is>
      </c>
      <c r="K5046" t="n">
        <v>68.8</v>
      </c>
      <c r="L5046" t="n">
        <v>55</v>
      </c>
      <c r="M5046" t="n">
        <v>86.90000000000001</v>
      </c>
      <c r="N5046" t="n">
        <v>82</v>
      </c>
      <c r="O5046" t="n">
        <v>91.40000000000001</v>
      </c>
      <c r="P5046" t="n">
        <v>71</v>
      </c>
      <c r="Q5046" t="n">
        <v>84.59999999999999</v>
      </c>
      <c r="R5046" t="n">
        <v>78</v>
      </c>
      <c r="AH5046" t="inlineStr">
        <is>
          <t>Quelle: Pollentia Properties</t>
        </is>
      </c>
    </row>
    <row r="5047">
      <c r="A5047" t="n">
        <v>4860</v>
      </c>
      <c r="B5047" t="inlineStr">
        <is>
          <t>Country house for sale in Pollensa, Majorca, beautiful countryside.</t>
        </is>
      </c>
      <c r="C5047" t="inlineStr">
        <is>
          <t>https://www.pollentiaproperties.com/en/property/id/708554-country-house-for-sale-pollensa-beautiful-setting</t>
        </is>
      </c>
      <c r="E5047" t="n">
        <v>4</v>
      </c>
      <c r="G5047" t="n">
        <v>16</v>
      </c>
      <c r="H5047" t="n">
        <v>632</v>
      </c>
      <c r="J5047" t="inlineStr">
        <is>
          <t>Pollença</t>
        </is>
      </c>
      <c r="K5047" t="n">
        <v>60.6</v>
      </c>
      <c r="L5047" t="n">
        <v>47</v>
      </c>
      <c r="M5047" t="n">
        <v>78.7</v>
      </c>
      <c r="N5047" t="n">
        <v>74</v>
      </c>
      <c r="O5047" t="n">
        <v>83.2</v>
      </c>
      <c r="P5047" t="n">
        <v>63</v>
      </c>
      <c r="Q5047" t="n">
        <v>76.40000000000001</v>
      </c>
      <c r="R5047" t="n">
        <v>70</v>
      </c>
      <c r="S5047" t="n">
        <v>3800000</v>
      </c>
      <c r="T5047" t="n">
        <v>6013</v>
      </c>
      <c r="U5047" t="n">
        <v>237500</v>
      </c>
      <c r="AH5047" t="inlineStr">
        <is>
          <t>Quelle: Pollentia Properties</t>
        </is>
      </c>
    </row>
    <row r="5048">
      <c r="A5048" t="n">
        <v>4861</v>
      </c>
      <c r="B5048" t="inlineStr">
        <is>
          <t>Property for sale in Majorca, Finca in Algaida - Mallorca in quiet setting</t>
        </is>
      </c>
      <c r="C5048" t="inlineStr">
        <is>
          <t>https://www.pollentiaproperties.com/en/property/id/708480-country-house-for-sale-algaida-mallorca-perfect-location</t>
        </is>
      </c>
      <c r="E5048" t="n">
        <v>5</v>
      </c>
      <c r="G5048" t="n">
        <v>29</v>
      </c>
      <c r="H5048" t="n">
        <v>883</v>
      </c>
      <c r="J5048" t="inlineStr">
        <is>
          <t>Algaida</t>
        </is>
      </c>
      <c r="K5048" t="n">
        <v>20.1</v>
      </c>
      <c r="L5048" t="n">
        <v>21</v>
      </c>
      <c r="M5048" t="n">
        <v>39.8</v>
      </c>
      <c r="N5048" t="n">
        <v>41</v>
      </c>
      <c r="O5048" t="n">
        <v>54.4</v>
      </c>
      <c r="P5048" t="n">
        <v>46</v>
      </c>
      <c r="Q5048" t="n">
        <v>37.5</v>
      </c>
      <c r="R5048" t="n">
        <v>37</v>
      </c>
      <c r="S5048" t="n">
        <v>2700000</v>
      </c>
      <c r="T5048" t="n">
        <v>3058</v>
      </c>
      <c r="U5048" t="n">
        <v>93103</v>
      </c>
      <c r="AH5048" t="inlineStr">
        <is>
          <t>Quelle: Pollentia Properties</t>
        </is>
      </c>
    </row>
    <row r="5049">
      <c r="A5049" t="n">
        <v>4862</v>
      </c>
      <c r="B5049" t="inlineStr">
        <is>
          <t>Country home for sale in Pollença elegant luxury on large plot</t>
        </is>
      </c>
      <c r="C5049" t="inlineStr">
        <is>
          <t>https://www.pollentiaproperties.com/en/property/id/708243-country-house-for-sale-pollensa-traditional-elegance-garden-pool</t>
        </is>
      </c>
      <c r="E5049" t="n">
        <v>6</v>
      </c>
      <c r="G5049" t="n">
        <v>25</v>
      </c>
      <c r="H5049" t="n">
        <v>438</v>
      </c>
      <c r="J5049" t="inlineStr">
        <is>
          <t>Pollença</t>
        </is>
      </c>
      <c r="K5049" t="n">
        <v>60.6</v>
      </c>
      <c r="L5049" t="n">
        <v>47</v>
      </c>
      <c r="M5049" t="n">
        <v>78.7</v>
      </c>
      <c r="N5049" t="n">
        <v>74</v>
      </c>
      <c r="O5049" t="n">
        <v>83.2</v>
      </c>
      <c r="P5049" t="n">
        <v>63</v>
      </c>
      <c r="Q5049" t="n">
        <v>76.40000000000001</v>
      </c>
      <c r="R5049" t="n">
        <v>70</v>
      </c>
      <c r="S5049" t="n">
        <v>2600000</v>
      </c>
      <c r="T5049" t="n">
        <v>5936</v>
      </c>
      <c r="U5049" t="n">
        <v>104000</v>
      </c>
      <c r="AH5049" t="inlineStr">
        <is>
          <t>Quelle: Pollentia Properties</t>
        </is>
      </c>
    </row>
    <row r="5050">
      <c r="A5050" t="n">
        <v>4863</v>
      </c>
      <c r="B5050" t="inlineStr">
        <is>
          <t>Country house for sale in Pollensa, with holiday license</t>
        </is>
      </c>
      <c r="C5050" t="inlineStr">
        <is>
          <t>https://www.pollentiaproperties.com/en/property/id/707366-country-house-for-sale-pollensa-north-mallorca</t>
        </is>
      </c>
      <c r="E5050" t="n">
        <v>5</v>
      </c>
      <c r="G5050" t="n">
        <v>18</v>
      </c>
      <c r="H5050" t="n">
        <v>350</v>
      </c>
      <c r="J5050" t="inlineStr">
        <is>
          <t>Pollença</t>
        </is>
      </c>
      <c r="K5050" t="n">
        <v>60.6</v>
      </c>
      <c r="L5050" t="n">
        <v>47</v>
      </c>
      <c r="M5050" t="n">
        <v>78.7</v>
      </c>
      <c r="N5050" t="n">
        <v>74</v>
      </c>
      <c r="O5050" t="n">
        <v>83.2</v>
      </c>
      <c r="P5050" t="n">
        <v>63</v>
      </c>
      <c r="Q5050" t="n">
        <v>76.40000000000001</v>
      </c>
      <c r="R5050" t="n">
        <v>70</v>
      </c>
      <c r="S5050" t="n">
        <v>1909000</v>
      </c>
      <c r="T5050" t="n">
        <v>5454</v>
      </c>
      <c r="U5050" t="n">
        <v>106056</v>
      </c>
      <c r="AH5050" t="inlineStr">
        <is>
          <t>Quelle: Pollentia Properties</t>
        </is>
      </c>
    </row>
    <row r="5051">
      <c r="A5051" t="n">
        <v>4864</v>
      </c>
      <c r="B5051" t="inlineStr">
        <is>
          <t>Building plot for sale in Pollensa with license for a house</t>
        </is>
      </c>
      <c r="C5051" t="inlineStr">
        <is>
          <t>https://www.pollentiaproperties.com/en/property/id/707319-plot-for-sale-pollensa-villa-pool-building-costs-not-included</t>
        </is>
      </c>
      <c r="E5051" t="n">
        <v>4</v>
      </c>
      <c r="G5051" t="n">
        <v>24</v>
      </c>
      <c r="H5051" t="n">
        <v>300</v>
      </c>
      <c r="J5051" t="inlineStr">
        <is>
          <t>Pollença</t>
        </is>
      </c>
      <c r="K5051" t="n">
        <v>60.6</v>
      </c>
      <c r="L5051" t="n">
        <v>47</v>
      </c>
      <c r="M5051" t="n">
        <v>78.7</v>
      </c>
      <c r="N5051" t="n">
        <v>74</v>
      </c>
      <c r="O5051" t="n">
        <v>83.2</v>
      </c>
      <c r="P5051" t="n">
        <v>63</v>
      </c>
      <c r="Q5051" t="n">
        <v>76.40000000000001</v>
      </c>
      <c r="R5051" t="n">
        <v>70</v>
      </c>
      <c r="S5051" t="n">
        <v>1175000</v>
      </c>
      <c r="T5051" t="n">
        <v>3917</v>
      </c>
      <c r="U5051" t="n">
        <v>48958</v>
      </c>
      <c r="AH5051" t="inlineStr">
        <is>
          <t>Quelle: Pollentia Properties</t>
        </is>
      </c>
    </row>
    <row r="5052">
      <c r="A5052" t="n">
        <v>4865</v>
      </c>
      <c r="B5052" t="inlineStr">
        <is>
          <t>Villa for sale in Pollença in with holiday rental license</t>
        </is>
      </c>
      <c r="C5052" t="inlineStr">
        <is>
          <t>https://www.pollentiaproperties.com/en/property/id/707084-villa-for-sale-pollensa-contemporary-villa-peaceful-residential-area</t>
        </is>
      </c>
      <c r="E5052" t="n">
        <v>3</v>
      </c>
      <c r="G5052" t="n">
        <v>1</v>
      </c>
      <c r="H5052" t="n">
        <v>240</v>
      </c>
      <c r="J5052" t="inlineStr">
        <is>
          <t>Pollença</t>
        </is>
      </c>
      <c r="S5052" t="n">
        <v>950000</v>
      </c>
      <c r="T5052" t="n">
        <v>3958</v>
      </c>
      <c r="U5052" t="n">
        <v>950000</v>
      </c>
      <c r="AH5052" t="inlineStr">
        <is>
          <t>Quelle: Pollentia Properties</t>
        </is>
      </c>
    </row>
    <row r="5053">
      <c r="A5053" t="n">
        <v>4866</v>
      </c>
      <c r="B5053" t="inlineStr">
        <is>
          <t>Villa for sale in Formentor, Mallorca</t>
        </is>
      </c>
      <c r="C5053" t="inlineStr">
        <is>
          <t>https://www.pollentiaproperties.com/en/property/id/706783-beautiful-villa-for-sale-formentor-spectacular-location</t>
        </is>
      </c>
      <c r="E5053" t="n">
        <v>6</v>
      </c>
      <c r="G5053" t="n">
        <v>4</v>
      </c>
      <c r="H5053" t="n">
        <v>1</v>
      </c>
      <c r="J5053" t="inlineStr">
        <is>
          <t>Formentor</t>
        </is>
      </c>
      <c r="K5053" t="n">
        <v>68.8</v>
      </c>
      <c r="L5053" t="n">
        <v>55</v>
      </c>
      <c r="M5053" t="n">
        <v>86.90000000000001</v>
      </c>
      <c r="N5053" t="n">
        <v>82</v>
      </c>
      <c r="O5053" t="n">
        <v>91.40000000000001</v>
      </c>
      <c r="P5053" t="n">
        <v>71</v>
      </c>
      <c r="Q5053" t="n">
        <v>84.59999999999999</v>
      </c>
      <c r="R5053" t="n">
        <v>78</v>
      </c>
      <c r="AH5053" t="inlineStr">
        <is>
          <t>Quelle: Pollentia Properties</t>
        </is>
      </c>
    </row>
    <row r="5054">
      <c r="A5054" t="n">
        <v>4867</v>
      </c>
      <c r="B5054" t="inlineStr">
        <is>
          <t>Villa for sale in Llenaire with garden and pool in prime location</t>
        </is>
      </c>
      <c r="C5054" t="inlineStr">
        <is>
          <t>https://www.pollentiaproperties.com/en/property/id/706065-villa-for-sale-llenaire-puerto-pollensa-great-location</t>
        </is>
      </c>
      <c r="E5054" t="n">
        <v>3</v>
      </c>
      <c r="G5054" t="n">
        <v>1</v>
      </c>
      <c r="H5054" t="n">
        <v>220</v>
      </c>
      <c r="J5054" t="inlineStr">
        <is>
          <t>Llenaire</t>
        </is>
      </c>
      <c r="K5054" t="n">
        <v>63.2</v>
      </c>
      <c r="L5054" t="n">
        <v>48</v>
      </c>
      <c r="M5054" t="n">
        <v>81.3</v>
      </c>
      <c r="N5054" t="n">
        <v>75</v>
      </c>
      <c r="O5054" t="n">
        <v>85.8</v>
      </c>
      <c r="P5054" t="n">
        <v>64</v>
      </c>
      <c r="Q5054" t="n">
        <v>79</v>
      </c>
      <c r="R5054" t="n">
        <v>71</v>
      </c>
      <c r="S5054" t="n">
        <v>1900000</v>
      </c>
      <c r="T5054" t="n">
        <v>8636</v>
      </c>
      <c r="U5054" t="n">
        <v>1900000</v>
      </c>
      <c r="AH5054" t="inlineStr">
        <is>
          <t>Quelle: Pollentia Properties</t>
        </is>
      </c>
    </row>
    <row r="5055">
      <c r="A5055" t="n">
        <v>4868</v>
      </c>
      <c r="B5055" t="inlineStr">
        <is>
          <t>Villa for sale in Bonaire, in exclusive residential area</t>
        </is>
      </c>
      <c r="C5055" t="inlineStr">
        <is>
          <t>https://www.pollentiaproperties.com/en/property/id/705780-villa-for-sale-bonaire-three-floors-garden-pool-sea-views</t>
        </is>
      </c>
      <c r="E5055" t="n">
        <v>5</v>
      </c>
      <c r="G5055" t="n">
        <v>561</v>
      </c>
      <c r="H5055" t="n">
        <v>205</v>
      </c>
      <c r="J5055" t="inlineStr">
        <is>
          <t>Bonaire</t>
        </is>
      </c>
      <c r="K5055" t="n">
        <v>64.40000000000001</v>
      </c>
      <c r="L5055" t="n">
        <v>54</v>
      </c>
      <c r="M5055" t="n">
        <v>82.5</v>
      </c>
      <c r="N5055" t="n">
        <v>80</v>
      </c>
      <c r="O5055" t="n">
        <v>87</v>
      </c>
      <c r="P5055" t="n">
        <v>70</v>
      </c>
      <c r="Q5055" t="n">
        <v>80.2</v>
      </c>
      <c r="R5055" t="n">
        <v>77</v>
      </c>
      <c r="S5055" t="n">
        <v>1500000</v>
      </c>
      <c r="T5055" t="n">
        <v>7317</v>
      </c>
      <c r="U5055" t="n">
        <v>2674</v>
      </c>
      <c r="AH5055" t="inlineStr">
        <is>
          <t>Quelle: Pollentia Properties</t>
        </is>
      </c>
    </row>
    <row r="5056">
      <c r="A5056" t="n">
        <v>4869</v>
      </c>
      <c r="B5056" t="inlineStr">
        <is>
          <t>Carrer dels Caputxins, Centre – Palma de Mallorca</t>
        </is>
      </c>
      <c r="C5056" t="inlineStr">
        <is>
          <t>https://www.fotocasa.es/es/comprar/vivienda/palma-de-mallorca/aire-acondicionado-parking-terraza-ascensor-no-amueblado/187789879/d</t>
        </is>
      </c>
      <c r="E5056" t="n">
        <v>4</v>
      </c>
      <c r="H5056" t="n">
        <v>215</v>
      </c>
      <c r="J5056" t="inlineStr">
        <is>
          <t>Palma de Mallorca</t>
        </is>
      </c>
      <c r="K5056" t="n">
        <v>9.699999999999999</v>
      </c>
      <c r="L5056" t="n">
        <v>14</v>
      </c>
      <c r="M5056" t="n">
        <v>52.5</v>
      </c>
      <c r="N5056" t="n">
        <v>47</v>
      </c>
      <c r="O5056" t="n">
        <v>32.1</v>
      </c>
      <c r="P5056" t="n">
        <v>36</v>
      </c>
      <c r="Q5056" t="n">
        <v>50.2</v>
      </c>
      <c r="R5056" t="n">
        <v>44</v>
      </c>
      <c r="S5056" t="n">
        <v>1100000</v>
      </c>
      <c r="T5056" t="n">
        <v>5116</v>
      </c>
      <c r="AH5056" t="inlineStr">
        <is>
          <t>Quelle: Fotocasa</t>
        </is>
      </c>
    </row>
    <row r="5057">
      <c r="A5057" t="n">
        <v>4870</v>
      </c>
      <c r="B5057" t="inlineStr">
        <is>
          <t>Carrer Aragó 226, Llevant – Palma de Mallorca</t>
        </is>
      </c>
      <c r="C5057" t="inlineStr">
        <is>
          <t>https://www.fotocasa.es/es/comprar/vivienda/palma-de-mallorca/aire-acondicionado-calefaccion-ascensor/187057321/d</t>
        </is>
      </c>
      <c r="E5057" t="n">
        <v>3</v>
      </c>
      <c r="H5057" t="n">
        <v>98</v>
      </c>
      <c r="J5057" t="inlineStr">
        <is>
          <t>Palma de Mallorca</t>
        </is>
      </c>
      <c r="S5057" t="n">
        <v>407000</v>
      </c>
      <c r="T5057" t="n">
        <v>4153</v>
      </c>
      <c r="AH5057" t="inlineStr">
        <is>
          <t>Quelle: Fotocasa</t>
        </is>
      </c>
    </row>
    <row r="5058">
      <c r="A5058" t="n">
        <v>4871</v>
      </c>
      <c r="B5058" t="inlineStr">
        <is>
          <t>Carrer de Francesc Vidal i Sureda 111, Ponent – Palma de Mallorca</t>
        </is>
      </c>
      <c r="C5058" t="inlineStr">
        <is>
          <t>https://www.fotocasa.es/es/comprar/vivienda/palma-de-mallorca/aire-acondicionado-calefaccion-parking-jardin-terraza-trastero-patio-piscina-television-internet-no-amueblado/185330184/d</t>
        </is>
      </c>
      <c r="E5058" t="n">
        <v>4</v>
      </c>
      <c r="H5058" t="n">
        <v>436</v>
      </c>
      <c r="J5058" t="inlineStr">
        <is>
          <t>Palma de Mallorca</t>
        </is>
      </c>
      <c r="K5058" t="n">
        <v>9.699999999999999</v>
      </c>
      <c r="L5058" t="n">
        <v>14</v>
      </c>
      <c r="M5058" t="n">
        <v>52.5</v>
      </c>
      <c r="N5058" t="n">
        <v>47</v>
      </c>
      <c r="O5058" t="n">
        <v>32.1</v>
      </c>
      <c r="P5058" t="n">
        <v>36</v>
      </c>
      <c r="Q5058" t="n">
        <v>50.2</v>
      </c>
      <c r="R5058" t="n">
        <v>44</v>
      </c>
      <c r="S5058" t="n">
        <v>3850000</v>
      </c>
      <c r="T5058" t="n">
        <v>8830</v>
      </c>
      <c r="AH5058" t="inlineStr">
        <is>
          <t>Quelle: Fotocasa</t>
        </is>
      </c>
    </row>
    <row r="5059">
      <c r="A5059" t="n">
        <v>4872</v>
      </c>
      <c r="B5059" t="inlineStr">
        <is>
          <t>Gran Via de Colom – Inca</t>
        </is>
      </c>
      <c r="C5059" t="inlineStr">
        <is>
          <t>https://www.fotocasa.es/es/comprar/vivienda/inca/parking-terraza-trastero-ascensor/188599898/d</t>
        </is>
      </c>
      <c r="E5059" t="n">
        <v>3</v>
      </c>
      <c r="H5059" t="n">
        <v>132</v>
      </c>
      <c r="J5059" t="inlineStr">
        <is>
          <t>Inca</t>
        </is>
      </c>
      <c r="S5059" t="n">
        <v>389000</v>
      </c>
      <c r="T5059" t="n">
        <v>2947</v>
      </c>
      <c r="AH5059" t="inlineStr">
        <is>
          <t>Quelle: Fotocasa</t>
        </is>
      </c>
    </row>
    <row r="5060">
      <c r="A5060" t="n">
        <v>4873</v>
      </c>
      <c r="B5060" t="inlineStr">
        <is>
          <t>Badia Blava - Badia Gran - Tolleric – Llucmajor</t>
        </is>
      </c>
      <c r="C5060" t="inlineStr">
        <is>
          <t>https://www.fotocasa.es/es/comprar/vivienda/llucmajor/aire-acondicionado-terraza-amueblado/188113191/d</t>
        </is>
      </c>
      <c r="E5060" t="n">
        <v>2</v>
      </c>
      <c r="H5060" t="n">
        <v>89</v>
      </c>
      <c r="J5060" t="inlineStr">
        <is>
          <t>Llucmajor</t>
        </is>
      </c>
      <c r="S5060" t="n">
        <v>349000</v>
      </c>
      <c r="T5060" t="n">
        <v>3921</v>
      </c>
      <c r="AH5060" t="inlineStr">
        <is>
          <t>Quelle: Fotocasa</t>
        </is>
      </c>
    </row>
    <row r="5061">
      <c r="A5061" t="n">
        <v>4874</v>
      </c>
      <c r="B5061" t="inlineStr">
        <is>
          <t>Gran Via de Colom – Inca</t>
        </is>
      </c>
      <c r="C5061" t="inlineStr">
        <is>
          <t>https://www.fotocasa.es/es/comprar/vivienda/inca/ascensor/188615231/d</t>
        </is>
      </c>
      <c r="E5061" t="n">
        <v>3</v>
      </c>
      <c r="H5061" t="n">
        <v>106</v>
      </c>
      <c r="J5061" t="inlineStr">
        <is>
          <t>Inca</t>
        </is>
      </c>
      <c r="S5061" t="n">
        <v>325000</v>
      </c>
      <c r="T5061" t="n">
        <v>3066</v>
      </c>
      <c r="AH5061" t="inlineStr">
        <is>
          <t>Quelle: Fotocasa</t>
        </is>
      </c>
    </row>
    <row r="5062">
      <c r="A5062" t="n">
        <v>4875</v>
      </c>
      <c r="B5062" t="inlineStr">
        <is>
          <t>Centre – Palma de Mallorca</t>
        </is>
      </c>
      <c r="C5062" t="inlineStr">
        <is>
          <t>https://www.fotocasa.es/es/comprar/vivienda/palma-de-mallorca/aire-acondicionado-ascensor-no-amueblado/186673479/d</t>
        </is>
      </c>
      <c r="E5062" t="n">
        <v>3</v>
      </c>
      <c r="H5062" t="n">
        <v>130</v>
      </c>
      <c r="J5062" t="inlineStr">
        <is>
          <t>Palma de Mallorca</t>
        </is>
      </c>
      <c r="K5062" t="n">
        <v>9.699999999999999</v>
      </c>
      <c r="L5062" t="n">
        <v>14</v>
      </c>
      <c r="M5062" t="n">
        <v>52.5</v>
      </c>
      <c r="N5062" t="n">
        <v>47</v>
      </c>
      <c r="O5062" t="n">
        <v>32.1</v>
      </c>
      <c r="P5062" t="n">
        <v>36</v>
      </c>
      <c r="Q5062" t="n">
        <v>50.2</v>
      </c>
      <c r="R5062" t="n">
        <v>44</v>
      </c>
      <c r="S5062" t="n">
        <v>1875000</v>
      </c>
      <c r="T5062" t="n">
        <v>14423</v>
      </c>
      <c r="AH5062" t="inlineStr">
        <is>
          <t>Quelle: Fotocasa</t>
        </is>
      </c>
    </row>
    <row r="5063">
      <c r="A5063" t="n">
        <v>4876</v>
      </c>
      <c r="B5063" t="inlineStr">
        <is>
          <t>Carrer Goleta 63 – Sa Pobla</t>
        </is>
      </c>
      <c r="C5063" t="inlineStr">
        <is>
          <t>https://www.fotocasa.es/es/comprar/vivienda/sa-pobla/aire-acondicionado-parking-trastero-ascensor-no-amueblado/188895271/d</t>
        </is>
      </c>
      <c r="E5063" t="n">
        <v>2</v>
      </c>
      <c r="H5063" t="n">
        <v>99</v>
      </c>
      <c r="J5063" t="inlineStr">
        <is>
          <t>Sa Pobla</t>
        </is>
      </c>
      <c r="S5063" t="n">
        <v>280000</v>
      </c>
      <c r="T5063" t="n">
        <v>2828</v>
      </c>
      <c r="AH5063" t="inlineStr">
        <is>
          <t>Quelle: Fotocasa</t>
        </is>
      </c>
    </row>
    <row r="5064">
      <c r="A5064" t="n">
        <v>4877</v>
      </c>
      <c r="B5064" t="inlineStr">
        <is>
          <t>Avinguda de l'Olivera 96, Palmanova – Calvià</t>
        </is>
      </c>
      <c r="C5064" t="inlineStr">
        <is>
          <t>https://www.fotocasa.es/es/comprar/vivienda/calvia/aire-acondicionado-calefaccion-parking-terraza-trastero-ascensor-no-amueblado/188778558/d</t>
        </is>
      </c>
      <c r="E5064" t="n">
        <v>2</v>
      </c>
      <c r="H5064" t="n">
        <v>76</v>
      </c>
      <c r="J5064" t="inlineStr">
        <is>
          <t>Calvià</t>
        </is>
      </c>
      <c r="S5064" t="n">
        <v>540000</v>
      </c>
      <c r="T5064" t="n">
        <v>7105</v>
      </c>
      <c r="AH5064" t="inlineStr">
        <is>
          <t>Quelle: Fotocasa</t>
        </is>
      </c>
    </row>
    <row r="5065">
      <c r="A5065" t="n">
        <v>4878</v>
      </c>
      <c r="B5065" t="inlineStr">
        <is>
          <t>Magaluf 18, Magaluf – Calvià</t>
        </is>
      </c>
      <c r="C5065" t="inlineStr">
        <is>
          <t>https://www.fotocasa.es/es/comprar/vivienda/calvia/aire-acondicionado-calefaccion-parking-terraza-trastero-ascensor-amueblado-piscina/188740524/d</t>
        </is>
      </c>
      <c r="E5065" t="n">
        <v>2</v>
      </c>
      <c r="H5065" t="n">
        <v>265</v>
      </c>
      <c r="J5065" t="inlineStr">
        <is>
          <t>Calvià</t>
        </is>
      </c>
      <c r="K5065" t="n">
        <v>31.1</v>
      </c>
      <c r="L5065" t="n">
        <v>28</v>
      </c>
      <c r="M5065" t="n">
        <v>73.90000000000001</v>
      </c>
      <c r="N5065" t="n">
        <v>61</v>
      </c>
      <c r="O5065" t="n">
        <v>19.4</v>
      </c>
      <c r="P5065" t="n">
        <v>22</v>
      </c>
      <c r="Q5065" t="n">
        <v>71.59999999999999</v>
      </c>
      <c r="R5065" t="n">
        <v>58</v>
      </c>
      <c r="S5065" t="n">
        <v>1560000</v>
      </c>
      <c r="T5065" t="n">
        <v>5887</v>
      </c>
      <c r="AH5065" t="inlineStr">
        <is>
          <t>Quelle: Fotocasa</t>
        </is>
      </c>
    </row>
    <row r="5066">
      <c r="A5066" t="n">
        <v>4879</v>
      </c>
      <c r="B5066" t="inlineStr">
        <is>
          <t>Carrer d'Alfons el Magnànim 54, Nord – Palma de Mallorca</t>
        </is>
      </c>
      <c r="C5066" t="inlineStr">
        <is>
          <t>https://www.fotocasa.es/es/comprar/vivienda/obra-nueva/palma-de-mallorca/20647173/188731781</t>
        </is>
      </c>
      <c r="E5066" t="n">
        <v>3</v>
      </c>
      <c r="H5066" t="n">
        <v>96</v>
      </c>
      <c r="J5066" t="inlineStr">
        <is>
          <t>Palma de Mallorca</t>
        </is>
      </c>
      <c r="S5066" t="n">
        <v>570000</v>
      </c>
      <c r="T5066" t="n">
        <v>5938</v>
      </c>
      <c r="AH5066" t="inlineStr">
        <is>
          <t>Quelle: Fotocasa</t>
        </is>
      </c>
    </row>
    <row r="5067">
      <c r="A5067" t="n">
        <v>4880</v>
      </c>
      <c r="B5067" t="inlineStr">
        <is>
          <t>Carrer d'Alfons el Magnànim 54, Nord – Palma de Mallorca</t>
        </is>
      </c>
      <c r="C5067" t="inlineStr">
        <is>
          <t>https://www.fotocasa.es/es/comprar/vivienda/obra-nueva/palma-de-mallorca/20647173/188633081</t>
        </is>
      </c>
      <c r="E5067" t="n">
        <v>2</v>
      </c>
      <c r="H5067" t="n">
        <v>72</v>
      </c>
      <c r="J5067" t="inlineStr">
        <is>
          <t>Palma de Mallorca</t>
        </is>
      </c>
      <c r="S5067" t="n">
        <v>425000</v>
      </c>
      <c r="T5067" t="n">
        <v>5903</v>
      </c>
      <c r="AH5067" t="inlineStr">
        <is>
          <t>Quelle: Fotocasa</t>
        </is>
      </c>
    </row>
    <row r="5068">
      <c r="A5068" t="n">
        <v>4881</v>
      </c>
      <c r="B5068" t="inlineStr">
        <is>
          <t>Avenida Gabriel Roca, Ponent – Palma de Mallorca</t>
        </is>
      </c>
      <c r="C5068" t="inlineStr">
        <is>
          <t>https://www.fotocasa.es/es/comprar/vivienda/palma-de-mallorca/aire-acondicionado-calefaccion-trastero-zona-comunitaria-ascensor-amueblado-piscina/186767781/d</t>
        </is>
      </c>
      <c r="E5068" t="n">
        <v>3</v>
      </c>
      <c r="H5068" t="n">
        <v>73</v>
      </c>
      <c r="J5068" t="inlineStr">
        <is>
          <t>Palma de Mallorca</t>
        </is>
      </c>
      <c r="S5068" t="n">
        <v>365000</v>
      </c>
      <c r="T5068" t="n">
        <v>5000</v>
      </c>
      <c r="AH5068" t="inlineStr">
        <is>
          <t>Quelle: Fotocasa</t>
        </is>
      </c>
    </row>
    <row r="5069">
      <c r="A5069" t="n">
        <v>4882</v>
      </c>
      <c r="B5069" t="inlineStr">
        <is>
          <t>Carrer de Darwin 1, Platja de Palma – Palma de Mallorca</t>
        </is>
      </c>
      <c r="C5069" t="inlineStr">
        <is>
          <t>https://www.fotocasa.es/es/comprar/vivienda/obra-nueva/palma-de-mallorca/20514805/188028819</t>
        </is>
      </c>
      <c r="E5069" t="n">
        <v>2</v>
      </c>
      <c r="H5069" t="n">
        <v>84</v>
      </c>
      <c r="J5069" t="inlineStr">
        <is>
          <t>Palma de Mallorca</t>
        </is>
      </c>
      <c r="S5069" t="n">
        <v>387500</v>
      </c>
      <c r="T5069" t="n">
        <v>4613</v>
      </c>
      <c r="AH5069" t="inlineStr">
        <is>
          <t>Quelle: Fotocasa</t>
        </is>
      </c>
    </row>
    <row r="5070">
      <c r="A5070" t="n">
        <v>4883</v>
      </c>
      <c r="B5070" t="inlineStr">
        <is>
          <t>Carrer de Darwin 1, Platja de Palma – Palma de Mallorca</t>
        </is>
      </c>
      <c r="C5070" t="inlineStr">
        <is>
          <t>https://www.fotocasa.es/es/comprar/vivienda/obra-nueva/palma-de-mallorca/20514805/187934974</t>
        </is>
      </c>
      <c r="E5070" t="n">
        <v>2</v>
      </c>
      <c r="H5070" t="n">
        <v>84</v>
      </c>
      <c r="J5070" t="inlineStr">
        <is>
          <t>Palma de Mallorca</t>
        </is>
      </c>
      <c r="S5070" t="n">
        <v>375000</v>
      </c>
      <c r="T5070" t="n">
        <v>4464</v>
      </c>
      <c r="AH5070" t="inlineStr">
        <is>
          <t>Quelle: Fotocasa</t>
        </is>
      </c>
    </row>
    <row r="5071">
      <c r="A5071" t="n">
        <v>4884</v>
      </c>
      <c r="B5071" t="inlineStr">
        <is>
          <t>Carrer de la Garlanda, Llevant – Palma de Mallorca</t>
        </is>
      </c>
      <c r="C5071" t="inlineStr">
        <is>
          <t>https://www.fotocasa.es/es/comprar/vivienda/palma-de-mallorca/ascensor-no-amueblado/188836763/d</t>
        </is>
      </c>
      <c r="E5071" t="n">
        <v>4</v>
      </c>
      <c r="H5071" t="n">
        <v>144</v>
      </c>
      <c r="J5071" t="inlineStr">
        <is>
          <t>Palma de Mallorca</t>
        </is>
      </c>
      <c r="S5071" t="n">
        <v>429000</v>
      </c>
      <c r="T5071" t="n">
        <v>2979</v>
      </c>
      <c r="AH5071" t="inlineStr">
        <is>
          <t>Quelle: Fotocasa</t>
        </is>
      </c>
    </row>
    <row r="5072">
      <c r="A5072" t="n">
        <v>4885</v>
      </c>
      <c r="B5072" t="inlineStr">
        <is>
          <t>Carrer de Lluís Martí, Llevant – Palma de Mallorca</t>
        </is>
      </c>
      <c r="C5072" t="inlineStr">
        <is>
          <t>https://www.fotocasa.es/es/comprar/vivienda/obra-nueva/palma-de-mallorca/20514804/188677508</t>
        </is>
      </c>
      <c r="E5072" t="n">
        <v>3</v>
      </c>
      <c r="H5072" t="n">
        <v>95</v>
      </c>
      <c r="J5072" t="inlineStr">
        <is>
          <t>Palma de Mallorca</t>
        </is>
      </c>
      <c r="S5072" t="n">
        <v>368750</v>
      </c>
      <c r="T5072" t="n">
        <v>3882</v>
      </c>
      <c r="AH5072" t="inlineStr">
        <is>
          <t>Quelle: Fotocasa</t>
        </is>
      </c>
    </row>
    <row r="5073">
      <c r="A5073" t="n">
        <v>4886</v>
      </c>
      <c r="B5073" t="inlineStr">
        <is>
          <t>Carrer Ciutadella 41, Son Amonda - Reis Catòlics – Inca</t>
        </is>
      </c>
      <c r="C5073" t="inlineStr">
        <is>
          <t>https://www.fotocasa.es/es/comprar/vivienda/inca/aire-acondicionado-no-amueblado/188797188/d</t>
        </is>
      </c>
      <c r="E5073" t="n">
        <v>3</v>
      </c>
      <c r="H5073" t="n">
        <v>60</v>
      </c>
      <c r="J5073" t="inlineStr">
        <is>
          <t>Inca</t>
        </is>
      </c>
      <c r="S5073" t="n">
        <v>265000</v>
      </c>
      <c r="T5073" t="n">
        <v>4417</v>
      </c>
      <c r="AH5073" t="inlineStr">
        <is>
          <t>Quelle: Fotocasa</t>
        </is>
      </c>
    </row>
    <row r="5074">
      <c r="A5074" t="n">
        <v>4887</v>
      </c>
      <c r="B5074" t="inlineStr">
        <is>
          <t>Portals Nous – Calvià</t>
        </is>
      </c>
      <c r="C5074" t="inlineStr">
        <is>
          <t>https://www.fotocasa.es/es/comprar/vivienda/calvia/aire-acondicionado-parking-terraza-ascensor-amueblado-piscina/188817051/d</t>
        </is>
      </c>
      <c r="E5074" t="n">
        <v>0</v>
      </c>
      <c r="H5074" t="n">
        <v>35</v>
      </c>
      <c r="J5074" t="inlineStr">
        <is>
          <t>Calvià</t>
        </is>
      </c>
      <c r="S5074" t="n">
        <v>225000</v>
      </c>
      <c r="T5074" t="n">
        <v>6429</v>
      </c>
      <c r="AH5074" t="inlineStr">
        <is>
          <t>Quelle: Fotocasa</t>
        </is>
      </c>
    </row>
    <row r="5075">
      <c r="A5075" t="n">
        <v>4888</v>
      </c>
      <c r="B5075" t="inlineStr">
        <is>
          <t>Calle CIMA, Ponent – Palma de Mallorca</t>
        </is>
      </c>
      <c r="C5075" t="inlineStr">
        <is>
          <t>https://www.fotocasa.es/es/comprar/vivienda/palma-de-mallorca/aire-acondicionado-ascensor/188409509/d</t>
        </is>
      </c>
      <c r="E5075" t="n">
        <v>3</v>
      </c>
      <c r="H5075" t="n">
        <v>102</v>
      </c>
      <c r="J5075" t="inlineStr">
        <is>
          <t>Palma de Mallorca</t>
        </is>
      </c>
      <c r="S5075" t="n">
        <v>530000</v>
      </c>
      <c r="T5075" t="n">
        <v>5196</v>
      </c>
      <c r="AH5075" t="inlineStr">
        <is>
          <t>Quelle: Fotocasa</t>
        </is>
      </c>
    </row>
    <row r="5076">
      <c r="A5076" t="n">
        <v>4889</v>
      </c>
      <c r="B5076" t="inlineStr">
        <is>
          <t>Carrer de Francesc Martí i Móra, Ponent – Palma de Mallorca</t>
        </is>
      </c>
      <c r="C5076" t="inlineStr">
        <is>
          <t>https://www.fotocasa.es/es/comprar/vivienda/palma-de-mallorca/aire-acondicionado-calefaccion-parking-ascensor-no-amueblado/185923430/d</t>
        </is>
      </c>
      <c r="E5076" t="n">
        <v>3</v>
      </c>
      <c r="H5076" t="n">
        <v>115</v>
      </c>
      <c r="J5076" t="inlineStr">
        <is>
          <t>Palma de Mallorca</t>
        </is>
      </c>
      <c r="S5076" t="n">
        <v>595000</v>
      </c>
      <c r="T5076" t="n">
        <v>5174</v>
      </c>
      <c r="AH5076" t="inlineStr">
        <is>
          <t>Quelle: Fotocasa</t>
        </is>
      </c>
    </row>
    <row r="5077">
      <c r="A5077" t="n">
        <v>4890</v>
      </c>
      <c r="B5077" t="inlineStr">
        <is>
          <t>Calle Llibertat, Ponent – Palma de Mallorca</t>
        </is>
      </c>
      <c r="C5077" t="inlineStr">
        <is>
          <t>https://www.fotocasa.es/es/comprar/vivienda/palma-de-mallorca/parking-ascensor-no-amueblado/188742901/d</t>
        </is>
      </c>
      <c r="E5077" t="n">
        <v>4</v>
      </c>
      <c r="H5077" t="n">
        <v>125</v>
      </c>
      <c r="J5077" t="inlineStr">
        <is>
          <t>Palma de Mallorca</t>
        </is>
      </c>
      <c r="S5077" t="n">
        <v>410000</v>
      </c>
      <c r="T5077" t="n">
        <v>3280</v>
      </c>
      <c r="AH5077" t="inlineStr">
        <is>
          <t>Quelle: Fotocasa</t>
        </is>
      </c>
    </row>
    <row r="5078">
      <c r="A5078" t="n">
        <v>4891</v>
      </c>
      <c r="B5078" t="inlineStr">
        <is>
          <t>Santa Ponça – Calvià</t>
        </is>
      </c>
      <c r="C5078" t="inlineStr">
        <is>
          <t>https://www.fotocasa.es/es/comprar/vivienda/calvia/aire-acondicionado-calefaccion-parking-terraza-trastero-piscina-amueblado/188739913/d</t>
        </is>
      </c>
      <c r="E5078" t="n">
        <v>3</v>
      </c>
      <c r="H5078" t="n">
        <v>201</v>
      </c>
      <c r="J5078" t="inlineStr">
        <is>
          <t>Calvià</t>
        </is>
      </c>
      <c r="K5078" t="n">
        <v>31.1</v>
      </c>
      <c r="L5078" t="n">
        <v>28</v>
      </c>
      <c r="M5078" t="n">
        <v>73.90000000000001</v>
      </c>
      <c r="N5078" t="n">
        <v>61</v>
      </c>
      <c r="O5078" t="n">
        <v>19.4</v>
      </c>
      <c r="P5078" t="n">
        <v>22</v>
      </c>
      <c r="Q5078" t="n">
        <v>71.59999999999999</v>
      </c>
      <c r="R5078" t="n">
        <v>58</v>
      </c>
      <c r="S5078" t="n">
        <v>1500000</v>
      </c>
      <c r="T5078" t="n">
        <v>7463</v>
      </c>
      <c r="AH5078" t="inlineStr">
        <is>
          <t>Quelle: Fotocasa</t>
        </is>
      </c>
    </row>
    <row r="5079">
      <c r="A5079" t="n">
        <v>4892</v>
      </c>
      <c r="B5079" t="inlineStr">
        <is>
          <t>Llevant – Palma de Mallorca</t>
        </is>
      </c>
      <c r="C5079" t="inlineStr">
        <is>
          <t>https://www.fotocasa.es/es/comprar/vivienda/palma-de-mallorca/aire-acondicionado-terraza-amueblado/187290337/d</t>
        </is>
      </c>
      <c r="E5079" t="n">
        <v>4</v>
      </c>
      <c r="H5079" t="n">
        <v>105</v>
      </c>
      <c r="J5079" t="inlineStr">
        <is>
          <t>Palma de Mallorca</t>
        </is>
      </c>
      <c r="S5079" t="n">
        <v>279000</v>
      </c>
      <c r="T5079" t="n">
        <v>2657</v>
      </c>
      <c r="AH5079" t="inlineStr">
        <is>
          <t>Quelle: Fotocasa</t>
        </is>
      </c>
    </row>
    <row r="5080">
      <c r="A5080" t="n">
        <v>4893</v>
      </c>
      <c r="B5080" t="inlineStr">
        <is>
          <t>Ponent – Palma de Mallorca</t>
        </is>
      </c>
      <c r="C5080" t="inlineStr">
        <is>
          <t>https://www.fotocasa.es/es/comprar/vivienda/palma-de-mallorca/aire-acondicionado-calefaccion-parking-terraza-ascensor-internet/188469587/d</t>
        </is>
      </c>
      <c r="E5080" t="n">
        <v>4</v>
      </c>
      <c r="H5080" t="n">
        <v>145</v>
      </c>
      <c r="J5080" t="inlineStr">
        <is>
          <t>Palma de Mallorca</t>
        </is>
      </c>
      <c r="S5080" t="n">
        <v>795000</v>
      </c>
      <c r="T5080" t="n">
        <v>5483</v>
      </c>
      <c r="AH5080" t="inlineStr">
        <is>
          <t>Quelle: Fotocasa</t>
        </is>
      </c>
    </row>
    <row r="5081">
      <c r="A5081" t="n">
        <v>4894</v>
      </c>
      <c r="B5081" t="inlineStr">
        <is>
          <t>Camí de Can Soler, Ponent – Palma de Mallorca</t>
        </is>
      </c>
      <c r="C5081" t="inlineStr">
        <is>
          <t>https://www.fotocasa.es/es/comprar/vivienda/palma-de-mallorca/aire-acondicionado-calefaccion-parking-terraza-trastero-no-amueblado/185990357/d</t>
        </is>
      </c>
      <c r="E5081" t="n">
        <v>4</v>
      </c>
      <c r="H5081" t="n">
        <v>300</v>
      </c>
      <c r="J5081" t="inlineStr">
        <is>
          <t>Palma de Mallorca</t>
        </is>
      </c>
      <c r="S5081" t="n">
        <v>690000</v>
      </c>
      <c r="T5081" t="n">
        <v>2300</v>
      </c>
      <c r="AH5081" t="inlineStr">
        <is>
          <t>Quelle: Fotocasa</t>
        </is>
      </c>
    </row>
    <row r="5082">
      <c r="A5082" t="n">
        <v>4895</v>
      </c>
      <c r="B5082" t="inlineStr">
        <is>
          <t>Centre – Palma de Mallorca</t>
        </is>
      </c>
      <c r="C5082" t="inlineStr">
        <is>
          <t>https://www.fotocasa.es/es/comprar/vivienda/palma-de-mallorca/parking-terraza-trastero-ascensor/188543636/d</t>
        </is>
      </c>
      <c r="E5082" t="n">
        <v>3</v>
      </c>
      <c r="H5082" t="n">
        <v>152</v>
      </c>
      <c r="J5082" t="inlineStr">
        <is>
          <t>Palma de Mallorca</t>
        </is>
      </c>
      <c r="S5082" t="n">
        <v>895000</v>
      </c>
      <c r="T5082" t="n">
        <v>5888</v>
      </c>
      <c r="AH5082" t="inlineStr">
        <is>
          <t>Quelle: Fotocasa</t>
        </is>
      </c>
    </row>
    <row r="5083">
      <c r="A5083" t="n">
        <v>4896</v>
      </c>
      <c r="B5083" t="inlineStr">
        <is>
          <t>Es Blanquer – Inca</t>
        </is>
      </c>
      <c r="C5083" t="inlineStr">
        <is>
          <t>https://www.fotocasa.es/es/comprar/vivienda/inca/terraza/188598039/d</t>
        </is>
      </c>
      <c r="E5083" t="n">
        <v>3</v>
      </c>
      <c r="H5083" t="n">
        <v>108</v>
      </c>
      <c r="J5083" t="inlineStr">
        <is>
          <t>Inca</t>
        </is>
      </c>
      <c r="S5083" t="n">
        <v>315000</v>
      </c>
      <c r="T5083" t="n">
        <v>2917</v>
      </c>
      <c r="AH5083" t="inlineStr">
        <is>
          <t>Quelle: Fotocasa</t>
        </is>
      </c>
    </row>
    <row r="5084">
      <c r="A5084" t="n">
        <v>4897</v>
      </c>
      <c r="B5084" t="inlineStr">
        <is>
          <t>Pollença Poble – Pollença</t>
        </is>
      </c>
      <c r="C5084" t="inlineStr">
        <is>
          <t>https://www.fotocasa.es/es/comprar/vivienda/pollenca/aire-acondicionado-terraza-trastero-patio-amueblado-television-internet/188617228/d</t>
        </is>
      </c>
      <c r="E5084" t="n">
        <v>3</v>
      </c>
      <c r="H5084" t="n">
        <v>122</v>
      </c>
      <c r="J5084" t="inlineStr">
        <is>
          <t>Pollença</t>
        </is>
      </c>
      <c r="S5084" t="n">
        <v>689000</v>
      </c>
      <c r="T5084" t="n">
        <v>5648</v>
      </c>
      <c r="AH5084" t="inlineStr">
        <is>
          <t>Quelle: Fotocasa</t>
        </is>
      </c>
    </row>
    <row r="5085">
      <c r="A5085" t="n">
        <v>4898</v>
      </c>
      <c r="B5085" t="inlineStr">
        <is>
          <t>Ponent – Palma de Mallorca</t>
        </is>
      </c>
      <c r="C5085" t="inlineStr">
        <is>
          <t>https://www.fotocasa.es/es/comprar/vivienda/palma-de-mallorca/parking-terraza-ascensor/188060708/d</t>
        </is>
      </c>
      <c r="E5085" t="n">
        <v>4</v>
      </c>
      <c r="H5085" t="n">
        <v>156</v>
      </c>
      <c r="J5085" t="inlineStr">
        <is>
          <t>Palma de Mallorca</t>
        </is>
      </c>
      <c r="S5085" t="n">
        <v>745000</v>
      </c>
      <c r="T5085" t="n">
        <v>4776</v>
      </c>
      <c r="AH5085" t="inlineStr">
        <is>
          <t>Quelle: Fotocasa</t>
        </is>
      </c>
    </row>
    <row r="5086">
      <c r="A5086" t="n">
        <v>4899</v>
      </c>
      <c r="B5086" t="inlineStr">
        <is>
          <t>Colònia Sant Jordi – Ses Salines</t>
        </is>
      </c>
      <c r="C5086" t="inlineStr">
        <is>
          <t>https://www.fotocasa.es/es/comprar/vivienda/ses-salines/aire-acondicionado-parking-terraza-ascensor/187938965/d</t>
        </is>
      </c>
      <c r="E5086" t="n">
        <v>3</v>
      </c>
      <c r="H5086" t="n">
        <v>129</v>
      </c>
      <c r="J5086" t="inlineStr">
        <is>
          <t>Ses Salines</t>
        </is>
      </c>
      <c r="S5086" t="n">
        <v>995000</v>
      </c>
      <c r="T5086" t="n">
        <v>7713</v>
      </c>
      <c r="AH5086" t="inlineStr">
        <is>
          <t>Quelle: Fotocasa</t>
        </is>
      </c>
    </row>
    <row r="5087">
      <c r="A5087" t="n">
        <v>4900</v>
      </c>
      <c r="B5087" t="inlineStr">
        <is>
          <t>Carrer del Llaüt, Platja de Palma – Palma de Mallorca</t>
        </is>
      </c>
      <c r="C5087" t="inlineStr">
        <is>
          <t>https://www.fotocasa.es/es/comprar/vivienda/palma-de-mallorca/aire-acondicionado-parking-terraza-ascensor-amueblado/182176339/d</t>
        </is>
      </c>
      <c r="E5087" t="n">
        <v>2</v>
      </c>
      <c r="H5087" t="n">
        <v>180</v>
      </c>
      <c r="J5087" t="inlineStr">
        <is>
          <t>Palma de Mallorca</t>
        </is>
      </c>
      <c r="S5087" t="n">
        <v>640000</v>
      </c>
      <c r="T5087" t="n">
        <v>3556</v>
      </c>
      <c r="AH5087" t="inlineStr">
        <is>
          <t>Quelle: Fotocasa</t>
        </is>
      </c>
    </row>
    <row r="5088">
      <c r="A5088" t="n">
        <v>4901</v>
      </c>
      <c r="B5088" t="inlineStr">
        <is>
          <t>Cristo Rey - Parque Europa – Inca</t>
        </is>
      </c>
      <c r="C5088" t="inlineStr">
        <is>
          <t>https://www.fotocasa.es/es/comprar/vivienda/inca/aire-acondicionado-parking-terraza-trastero-ascensor-piscina/187743105/d</t>
        </is>
      </c>
      <c r="E5088" t="n">
        <v>3</v>
      </c>
      <c r="H5088" t="n">
        <v>118</v>
      </c>
      <c r="J5088" t="inlineStr">
        <is>
          <t>Inca</t>
        </is>
      </c>
      <c r="S5088" t="n">
        <v>630000</v>
      </c>
      <c r="T5088" t="n">
        <v>5339</v>
      </c>
      <c r="AH5088" t="inlineStr">
        <is>
          <t>Quelle: Fotocasa</t>
        </is>
      </c>
    </row>
    <row r="5089">
      <c r="A5089" t="n">
        <v>4902</v>
      </c>
      <c r="B5089" t="inlineStr">
        <is>
          <t>Carrer de la Barrera, Ponent – Palma de Mallorca</t>
        </is>
      </c>
      <c r="C5089" t="inlineStr">
        <is>
          <t>https://www.fotocasa.es/es/comprar/vivienda/palma-de-mallorca/aire-acondicionado-calefaccion-jardin-terraza-trastero-amueblado/187996215/d</t>
        </is>
      </c>
      <c r="E5089" t="n">
        <v>3</v>
      </c>
      <c r="H5089" t="n">
        <v>135</v>
      </c>
      <c r="J5089" t="inlineStr">
        <is>
          <t>Palma de Mallorca</t>
        </is>
      </c>
      <c r="S5089" t="n">
        <v>599000</v>
      </c>
      <c r="T5089" t="n">
        <v>4437</v>
      </c>
      <c r="AH5089" t="inlineStr">
        <is>
          <t>Quelle: Fotocasa</t>
        </is>
      </c>
    </row>
    <row r="5090">
      <c r="A5090" t="n">
        <v>4903</v>
      </c>
      <c r="B5090" t="inlineStr">
        <is>
          <t>De Mallorca, Ponent – Palma de Mallorca</t>
        </is>
      </c>
      <c r="C5090" t="inlineStr">
        <is>
          <t>https://www.fotocasa.es/es/comprar/vivienda/palma-de-mallorca/aire-acondicionado-ascensor-no-amueblado/185896576/d</t>
        </is>
      </c>
      <c r="E5090" t="n">
        <v>3</v>
      </c>
      <c r="H5090" t="n">
        <v>130</v>
      </c>
      <c r="J5090" t="inlineStr">
        <is>
          <t>Palma de Mallorca</t>
        </is>
      </c>
      <c r="S5090" t="n">
        <v>630000</v>
      </c>
      <c r="T5090" t="n">
        <v>4846</v>
      </c>
      <c r="AH5090" t="inlineStr">
        <is>
          <t>Quelle: Fotocasa</t>
        </is>
      </c>
    </row>
    <row r="5091">
      <c r="A5091" t="n">
        <v>4904</v>
      </c>
      <c r="B5091" t="inlineStr">
        <is>
          <t xml:space="preserve"> LLEDONER. DEL, Ciutat d'Alcúdia – Alcúdia</t>
        </is>
      </c>
      <c r="C5091" t="inlineStr">
        <is>
          <t>https://www.fotocasa.es/es/comprar/vivienda/alcudia/jardin-terraza-trastero-patio/182063653/d</t>
        </is>
      </c>
      <c r="E5091" t="n">
        <v>4</v>
      </c>
      <c r="H5091" t="n">
        <v>160</v>
      </c>
      <c r="J5091" t="inlineStr">
        <is>
          <t>Alcúdia</t>
        </is>
      </c>
      <c r="S5091" t="n">
        <v>415000</v>
      </c>
      <c r="T5091" t="n">
        <v>2594</v>
      </c>
      <c r="AH5091" t="inlineStr">
        <is>
          <t>Quelle: Fotocasa</t>
        </is>
      </c>
    </row>
    <row r="5092">
      <c r="A5092" t="n">
        <v>4905</v>
      </c>
      <c r="B5092" t="inlineStr">
        <is>
          <t>Centro – Inca</t>
        </is>
      </c>
      <c r="C5092" t="inlineStr">
        <is>
          <t>https://www.fotocasa.es/es/comprar/vivienda/inca/aire-acondicionado-parking-jardin-terraza-trastero-piscina-amueblado/182564463/d</t>
        </is>
      </c>
      <c r="E5092" t="n">
        <v>3</v>
      </c>
      <c r="H5092" t="n">
        <v>372</v>
      </c>
      <c r="J5092" t="inlineStr">
        <is>
          <t>Inca</t>
        </is>
      </c>
      <c r="S5092" t="n">
        <v>795000</v>
      </c>
      <c r="T5092" t="n">
        <v>2137</v>
      </c>
      <c r="AH5092" t="inlineStr">
        <is>
          <t>Quelle: Fotocasa</t>
        </is>
      </c>
    </row>
    <row r="5093">
      <c r="A5093" t="n">
        <v>4906</v>
      </c>
      <c r="B5093" t="inlineStr">
        <is>
          <t xml:space="preserve"> TEODOR CANET, DE, Port d'Alcúdia - Platja d'Alcúdia – Alcúdia</t>
        </is>
      </c>
      <c r="C5093" t="inlineStr">
        <is>
          <t>https://www.fotocasa.es/es/comprar/vivienda/alcudia/terraza-ascensor-amueblado/185490272/d</t>
        </is>
      </c>
      <c r="E5093" t="n">
        <v>4</v>
      </c>
      <c r="H5093" t="n">
        <v>120</v>
      </c>
      <c r="J5093" t="inlineStr">
        <is>
          <t>Alcúdia</t>
        </is>
      </c>
      <c r="S5093" t="n">
        <v>345000</v>
      </c>
      <c r="T5093" t="n">
        <v>2875</v>
      </c>
      <c r="AH5093" t="inlineStr">
        <is>
          <t>Quelle: Fotocasa</t>
        </is>
      </c>
    </row>
    <row r="5094">
      <c r="A5094" t="n">
        <v>4907</v>
      </c>
      <c r="B5094" t="inlineStr">
        <is>
          <t>Son Amonda - Reis Catòlics – Inca</t>
        </is>
      </c>
      <c r="C5094" t="inlineStr">
        <is>
          <t>https://www.fotocasa.es/es/comprar/vivienda/inca/son-amonda-reis-catolics/188632071/d</t>
        </is>
      </c>
      <c r="E5094" t="n">
        <v>6</v>
      </c>
      <c r="H5094" t="n">
        <v>300</v>
      </c>
      <c r="J5094" t="inlineStr">
        <is>
          <t>Inca</t>
        </is>
      </c>
      <c r="K5094" t="n">
        <v>37.5</v>
      </c>
      <c r="L5094" t="n">
        <v>29</v>
      </c>
      <c r="M5094" t="n">
        <v>55.6</v>
      </c>
      <c r="N5094" t="n">
        <v>55</v>
      </c>
      <c r="O5094" t="n">
        <v>60.1</v>
      </c>
      <c r="P5094" t="n">
        <v>45</v>
      </c>
      <c r="Q5094" t="n">
        <v>53.3</v>
      </c>
      <c r="R5094" t="n">
        <v>51</v>
      </c>
      <c r="S5094" t="n">
        <v>735000</v>
      </c>
      <c r="T5094" t="n">
        <v>2450</v>
      </c>
      <c r="AH5094" t="inlineStr">
        <is>
          <t>Quelle: Fotocasa</t>
        </is>
      </c>
    </row>
    <row r="5095">
      <c r="A5095" t="n">
        <v>4908</v>
      </c>
      <c r="B5095" t="inlineStr">
        <is>
          <t>Bacarés - Manresa  - Bonaire – Alcúdia</t>
        </is>
      </c>
      <c r="C5095" t="inlineStr">
        <is>
          <t>https://www.fotocasa.es/es/comprar/vivienda/alcudia/aire-acondicionado-calefaccion-jardin-terraza-patio-piscina-amueblado/186838922/d</t>
        </is>
      </c>
      <c r="E5095" t="n">
        <v>4</v>
      </c>
      <c r="H5095" t="n">
        <v>236</v>
      </c>
      <c r="J5095" t="inlineStr">
        <is>
          <t>Alcúdia</t>
        </is>
      </c>
      <c r="K5095" t="n">
        <v>61.6</v>
      </c>
      <c r="L5095" t="n">
        <v>47</v>
      </c>
      <c r="M5095" t="n">
        <v>79.7</v>
      </c>
      <c r="N5095" t="n">
        <v>74</v>
      </c>
      <c r="O5095" t="n">
        <v>84.2</v>
      </c>
      <c r="P5095" t="n">
        <v>63</v>
      </c>
      <c r="Q5095" t="n">
        <v>77.40000000000001</v>
      </c>
      <c r="R5095" t="n">
        <v>70</v>
      </c>
      <c r="S5095" t="n">
        <v>2200000</v>
      </c>
      <c r="T5095" t="n">
        <v>9322</v>
      </c>
      <c r="AH5095" t="inlineStr">
        <is>
          <t>Quelle: Fotocasa</t>
        </is>
      </c>
    </row>
    <row r="5096">
      <c r="A5096" t="n">
        <v>4909</v>
      </c>
      <c r="B5096" t="inlineStr">
        <is>
          <t>Ponent – Palma de Mallorca</t>
        </is>
      </c>
      <c r="C5096" t="inlineStr">
        <is>
          <t>https://www.fotocasa.es/es/comprar/vivienda/palma-de-mallorca/aire-acondicionado-parking-jardin-terraza-no-amueblado/184992215/d</t>
        </is>
      </c>
      <c r="E5096" t="n">
        <v>4</v>
      </c>
      <c r="H5096" t="n">
        <v>275</v>
      </c>
      <c r="J5096" t="inlineStr">
        <is>
          <t>Palma de Mallorca</t>
        </is>
      </c>
      <c r="K5096" t="n">
        <v>9.699999999999999</v>
      </c>
      <c r="L5096" t="n">
        <v>14</v>
      </c>
      <c r="M5096" t="n">
        <v>52.5</v>
      </c>
      <c r="N5096" t="n">
        <v>47</v>
      </c>
      <c r="O5096" t="n">
        <v>32.1</v>
      </c>
      <c r="P5096" t="n">
        <v>36</v>
      </c>
      <c r="Q5096" t="n">
        <v>50.2</v>
      </c>
      <c r="R5096" t="n">
        <v>44</v>
      </c>
      <c r="S5096" t="n">
        <v>1450000</v>
      </c>
      <c r="T5096" t="n">
        <v>5273</v>
      </c>
      <c r="AH5096" t="inlineStr">
        <is>
          <t>Quelle: Fotocasa</t>
        </is>
      </c>
    </row>
    <row r="5097">
      <c r="A5097" t="n">
        <v>4910</v>
      </c>
      <c r="B5097" t="inlineStr">
        <is>
          <t>Nord – Palma de Mallorca</t>
        </is>
      </c>
      <c r="C5097" t="inlineStr">
        <is>
          <t>https://www.fotocasa.es/es/comprar/vivienda/palma-de-mallorca/aire-acondicionado-calefaccion-terraza-no-amueblado/187777107/d</t>
        </is>
      </c>
      <c r="E5097" t="n">
        <v>4</v>
      </c>
      <c r="H5097" t="n">
        <v>160</v>
      </c>
      <c r="J5097" t="inlineStr">
        <is>
          <t>Palma de Mallorca</t>
        </is>
      </c>
      <c r="S5097" t="n">
        <v>650000</v>
      </c>
      <c r="T5097" t="n">
        <v>4062</v>
      </c>
      <c r="AH5097" t="inlineStr">
        <is>
          <t>Quelle: Fotocasa</t>
        </is>
      </c>
    </row>
    <row r="5098">
      <c r="A5098" t="n">
        <v>4911</v>
      </c>
      <c r="B5098" t="inlineStr">
        <is>
          <t>Carrer Aragó, Llevant – Palma de Mallorca</t>
        </is>
      </c>
      <c r="C5098" t="inlineStr">
        <is>
          <t>https://www.fotocasa.es/es/comprar/vivienda/palma-de-mallorca/calefaccion-parking-trastero-zona-comunitaria-ascensor-piscina-no-amueblado/188440554/d</t>
        </is>
      </c>
      <c r="E5098" t="n">
        <v>3</v>
      </c>
      <c r="H5098" t="n">
        <v>90</v>
      </c>
      <c r="J5098" t="inlineStr">
        <is>
          <t>Palma de Mallorca</t>
        </is>
      </c>
      <c r="S5098" t="n">
        <v>420000</v>
      </c>
      <c r="T5098" t="n">
        <v>4667</v>
      </c>
      <c r="AH5098" t="inlineStr">
        <is>
          <t>Quelle: Fotocasa</t>
        </is>
      </c>
    </row>
    <row r="5099">
      <c r="A5099" t="n">
        <v>4912</v>
      </c>
      <c r="B5099" t="inlineStr">
        <is>
          <t xml:space="preserve"> DE LA JUSTICIA, Cristo Rey - Parque Europa – Inca</t>
        </is>
      </c>
      <c r="C5099" t="inlineStr">
        <is>
          <t>https://www.fotocasa.es/es/comprar/vivienda/inca/aire-acondicionado-parking-terraza/188827406/d</t>
        </is>
      </c>
      <c r="E5099" t="n">
        <v>3</v>
      </c>
      <c r="H5099" t="n">
        <v>146</v>
      </c>
      <c r="J5099" t="inlineStr">
        <is>
          <t>Inca</t>
        </is>
      </c>
      <c r="S5099" t="n">
        <v>365000</v>
      </c>
      <c r="T5099" t="n">
        <v>2500</v>
      </c>
      <c r="AH5099" t="inlineStr">
        <is>
          <t>Quelle: Fotocasa</t>
        </is>
      </c>
    </row>
    <row r="5100">
      <c r="A5100" t="n">
        <v>4913</v>
      </c>
      <c r="B5100" t="inlineStr">
        <is>
          <t>Son Amonda - Reis Catòlics – Inca</t>
        </is>
      </c>
      <c r="C5100" t="inlineStr">
        <is>
          <t>https://www.fotocasa.es/es/comprar/vivienda/inca/aire-acondicionado-parking-terraza-trastero/184851028/d</t>
        </is>
      </c>
      <c r="E5100" t="n">
        <v>5</v>
      </c>
      <c r="H5100" t="n">
        <v>576</v>
      </c>
      <c r="J5100" t="inlineStr">
        <is>
          <t>Inca</t>
        </is>
      </c>
      <c r="K5100" t="n">
        <v>37.5</v>
      </c>
      <c r="L5100" t="n">
        <v>29</v>
      </c>
      <c r="M5100" t="n">
        <v>55.6</v>
      </c>
      <c r="N5100" t="n">
        <v>55</v>
      </c>
      <c r="O5100" t="n">
        <v>60.1</v>
      </c>
      <c r="P5100" t="n">
        <v>45</v>
      </c>
      <c r="Q5100" t="n">
        <v>53.3</v>
      </c>
      <c r="R5100" t="n">
        <v>51</v>
      </c>
      <c r="S5100" t="n">
        <v>1618000</v>
      </c>
      <c r="T5100" t="n">
        <v>2809</v>
      </c>
      <c r="AH5100" t="inlineStr">
        <is>
          <t>Quelle: Fotocasa</t>
        </is>
      </c>
    </row>
    <row r="5101">
      <c r="A5101" t="n">
        <v>4914</v>
      </c>
      <c r="B5101" t="inlineStr">
        <is>
          <t>Carrer Roger de Llúria, Ponent – Palma de Mallorca</t>
        </is>
      </c>
      <c r="C5101" t="inlineStr">
        <is>
          <t>https://www.fotocasa.es/es/comprar/vivienda/palma-de-mallorca/aire-acondicionado-calefaccion-parking-jardin-terraza-trastero-ascensor-piscina/182901312/d</t>
        </is>
      </c>
      <c r="E5101" t="n">
        <v>3</v>
      </c>
      <c r="H5101" t="n">
        <v>79</v>
      </c>
      <c r="J5101" t="inlineStr">
        <is>
          <t>Palma de Mallorca</t>
        </is>
      </c>
      <c r="S5101" t="n">
        <v>870000</v>
      </c>
      <c r="T5101" t="n">
        <v>11013</v>
      </c>
      <c r="AH5101" t="inlineStr">
        <is>
          <t>Quelle: Fotocasa</t>
        </is>
      </c>
    </row>
    <row r="5102">
      <c r="A5102" t="n">
        <v>4915</v>
      </c>
      <c r="B5102" t="inlineStr">
        <is>
          <t>Llevant – Palma de Mallorca</t>
        </is>
      </c>
      <c r="C5102" t="inlineStr">
        <is>
          <t>https://www.fotocasa.es/es/comprar/vivienda/palma-de-mallorca/sant-jordi/153379572/d</t>
        </is>
      </c>
      <c r="E5102" t="n">
        <v>4</v>
      </c>
      <c r="H5102" t="n">
        <v>800</v>
      </c>
      <c r="J5102" t="inlineStr">
        <is>
          <t>Palma de Mallorca</t>
        </is>
      </c>
      <c r="K5102" t="n">
        <v>9.699999999999999</v>
      </c>
      <c r="L5102" t="n">
        <v>14</v>
      </c>
      <c r="M5102" t="n">
        <v>52.5</v>
      </c>
      <c r="N5102" t="n">
        <v>47</v>
      </c>
      <c r="O5102" t="n">
        <v>32.1</v>
      </c>
      <c r="P5102" t="n">
        <v>36</v>
      </c>
      <c r="Q5102" t="n">
        <v>50.2</v>
      </c>
      <c r="R5102" t="n">
        <v>44</v>
      </c>
      <c r="S5102" t="n">
        <v>2400000</v>
      </c>
      <c r="T5102" t="n">
        <v>3000</v>
      </c>
      <c r="AH5102" t="inlineStr">
        <is>
          <t>Quelle: Fotocasa</t>
        </is>
      </c>
    </row>
    <row r="5103">
      <c r="A5103" t="n">
        <v>4916</v>
      </c>
      <c r="B5103" t="inlineStr">
        <is>
          <t>Carrer Unió 6A, Centre – Palma de Mallorca</t>
        </is>
      </c>
      <c r="C5103" t="inlineStr">
        <is>
          <t>https://www.fotocasa.es/es/comprar/vivienda/palma-de-mallorca/ascensor-no-amueblado/187518834/d</t>
        </is>
      </c>
      <c r="E5103" t="n">
        <v>2</v>
      </c>
      <c r="H5103" t="n">
        <v>135</v>
      </c>
      <c r="J5103" t="inlineStr">
        <is>
          <t>Palma de Mallorca</t>
        </is>
      </c>
      <c r="K5103" t="n">
        <v>9.699999999999999</v>
      </c>
      <c r="L5103" t="n">
        <v>14</v>
      </c>
      <c r="M5103" t="n">
        <v>52.5</v>
      </c>
      <c r="N5103" t="n">
        <v>47</v>
      </c>
      <c r="O5103" t="n">
        <v>32.1</v>
      </c>
      <c r="P5103" t="n">
        <v>36</v>
      </c>
      <c r="Q5103" t="n">
        <v>50.2</v>
      </c>
      <c r="R5103" t="n">
        <v>44</v>
      </c>
      <c r="S5103" t="n">
        <v>1500000</v>
      </c>
      <c r="T5103" t="n">
        <v>11111</v>
      </c>
      <c r="AH5103" t="inlineStr">
        <is>
          <t>Quelle: Fotocasa</t>
        </is>
      </c>
    </row>
    <row r="5104">
      <c r="A5104" t="n">
        <v>4917</v>
      </c>
      <c r="B5104" t="inlineStr">
        <is>
          <t>Carrer de Joan Capó 5, Nord – Palma de Mallorca</t>
        </is>
      </c>
      <c r="C5104" t="inlineStr">
        <is>
          <t>https://www.fotocasa.es/es/comprar/vivienda/palma-de-mallorca/aire-acondicionado-parking-ascensor-no-amueblado/186968204/d</t>
        </is>
      </c>
      <c r="E5104" t="n">
        <v>2</v>
      </c>
      <c r="H5104" t="n">
        <v>90</v>
      </c>
      <c r="J5104" t="inlineStr">
        <is>
          <t>Palma de Mallorca</t>
        </is>
      </c>
      <c r="S5104" t="n">
        <v>490000</v>
      </c>
      <c r="T5104" t="n">
        <v>5444</v>
      </c>
      <c r="AH5104" t="inlineStr">
        <is>
          <t>Quelle: Fotocasa</t>
        </is>
      </c>
    </row>
    <row r="5105">
      <c r="A5105" t="n">
        <v>4918</v>
      </c>
      <c r="B5105" t="inlineStr">
        <is>
          <t>Centro – Inca</t>
        </is>
      </c>
      <c r="C5105" t="inlineStr">
        <is>
          <t>https://www.fotocasa.es/es/comprar/vivienda/inca/aire-acondicionado-terraza/186554849/d</t>
        </is>
      </c>
      <c r="E5105" t="n">
        <v>5</v>
      </c>
      <c r="H5105" t="n">
        <v>220</v>
      </c>
      <c r="J5105" t="inlineStr">
        <is>
          <t>Inca</t>
        </is>
      </c>
      <c r="K5105" t="n">
        <v>37.5</v>
      </c>
      <c r="L5105" t="n">
        <v>29</v>
      </c>
      <c r="M5105" t="n">
        <v>55.6</v>
      </c>
      <c r="N5105" t="n">
        <v>55</v>
      </c>
      <c r="O5105" t="n">
        <v>60.1</v>
      </c>
      <c r="P5105" t="n">
        <v>45</v>
      </c>
      <c r="Q5105" t="n">
        <v>53.3</v>
      </c>
      <c r="R5105" t="n">
        <v>51</v>
      </c>
      <c r="S5105" t="n">
        <v>349000</v>
      </c>
      <c r="T5105" t="n">
        <v>1586</v>
      </c>
      <c r="AH5105" t="inlineStr">
        <is>
          <t>Quelle: Fotocasa</t>
        </is>
      </c>
    </row>
    <row r="5106">
      <c r="A5106" t="n">
        <v>4919</v>
      </c>
      <c r="B5106" t="inlineStr">
        <is>
          <t>Carrer Roger de Llúria, Ponent – Palma de Mallorca</t>
        </is>
      </c>
      <c r="C5106" t="inlineStr">
        <is>
          <t>https://www.fotocasa.es/es/comprar/vivienda/palma-de-mallorca/aire-acondicionado-calefaccion-parking-jardin-terraza-trastero-ascensor-piscina/182901310/d</t>
        </is>
      </c>
      <c r="E5106" t="n">
        <v>2</v>
      </c>
      <c r="H5106" t="n">
        <v>60</v>
      </c>
      <c r="J5106" t="inlineStr">
        <is>
          <t>Palma de Mallorca</t>
        </is>
      </c>
      <c r="S5106" t="n">
        <v>535000</v>
      </c>
      <c r="T5106" t="n">
        <v>8917</v>
      </c>
      <c r="AH5106" t="inlineStr">
        <is>
          <t>Quelle: Fotocasa</t>
        </is>
      </c>
    </row>
    <row r="5107">
      <c r="A5107" t="n">
        <v>4920</v>
      </c>
      <c r="B5107" t="inlineStr">
        <is>
          <t>Ponent – Palma de Mallorca</t>
        </is>
      </c>
      <c r="C5107" t="inlineStr">
        <is>
          <t>https://www.fotocasa.es/es/comprar/vivienda/palma-de-mallorca/aire-acondicionado-calefaccion-parking-jardin-terraza-trastero-ascensor-piscina/182779180/d</t>
        </is>
      </c>
      <c r="E5107" t="n">
        <v>2</v>
      </c>
      <c r="H5107" t="n">
        <v>71</v>
      </c>
      <c r="J5107" t="inlineStr">
        <is>
          <t>Palma de Mallorca</t>
        </is>
      </c>
      <c r="S5107" t="n">
        <v>720000</v>
      </c>
      <c r="T5107" t="n">
        <v>10141</v>
      </c>
      <c r="AH5107" t="inlineStr">
        <is>
          <t>Quelle: Fotocasa</t>
        </is>
      </c>
    </row>
    <row r="5108">
      <c r="A5108" t="n">
        <v>4921</v>
      </c>
      <c r="B5108" t="inlineStr">
        <is>
          <t xml:space="preserve"> DE PIUS XII, Son Amonda - Reis Catòlics – Inca</t>
        </is>
      </c>
      <c r="C5108" t="inlineStr">
        <is>
          <t>https://www.fotocasa.es/es/comprar/vivienda/inca/trastero/188842032/d</t>
        </is>
      </c>
      <c r="E5108" t="n">
        <v>3</v>
      </c>
      <c r="H5108" t="n">
        <v>121</v>
      </c>
      <c r="J5108" t="inlineStr">
        <is>
          <t>Inca</t>
        </is>
      </c>
      <c r="S5108" t="n">
        <v>285000</v>
      </c>
      <c r="T5108" t="n">
        <v>2355</v>
      </c>
      <c r="AH5108" t="inlineStr">
        <is>
          <t>Quelle: Fotocasa</t>
        </is>
      </c>
    </row>
    <row r="5109">
      <c r="A5109" t="n">
        <v>4922</v>
      </c>
      <c r="B5109" t="inlineStr">
        <is>
          <t>Carrer d'Antoni Pons 23, Ponent – Palma de Mallorca</t>
        </is>
      </c>
      <c r="C5109" t="inlineStr">
        <is>
          <t>https://www.fotocasa.es/es/comprar/vivienda/palma-de-mallorca/aire-acondicionado-trastero-no-amueblado/188810027/d</t>
        </is>
      </c>
      <c r="E5109" t="n">
        <v>3</v>
      </c>
      <c r="H5109" t="n">
        <v>107</v>
      </c>
      <c r="J5109" t="inlineStr">
        <is>
          <t>Palma de Mallorca</t>
        </is>
      </c>
      <c r="S5109" t="n">
        <v>395000</v>
      </c>
      <c r="T5109" t="n">
        <v>3692</v>
      </c>
      <c r="AH5109" t="inlineStr">
        <is>
          <t>Quelle: Fotocasa</t>
        </is>
      </c>
    </row>
    <row r="5110">
      <c r="A5110" t="n">
        <v>4923</v>
      </c>
      <c r="B5110" t="inlineStr">
        <is>
          <t>Centro – Inca</t>
        </is>
      </c>
      <c r="C5110" t="inlineStr">
        <is>
          <t>https://www.fotocasa.es/es/comprar/vivienda/inca/aire-acondicionado-terraza/187635604/d</t>
        </is>
      </c>
      <c r="E5110" t="n">
        <v>3</v>
      </c>
      <c r="H5110" t="n">
        <v>115</v>
      </c>
      <c r="J5110" t="inlineStr">
        <is>
          <t>Inca</t>
        </is>
      </c>
      <c r="S5110" t="n">
        <v>308000</v>
      </c>
      <c r="T5110" t="n">
        <v>2678</v>
      </c>
      <c r="AH5110" t="inlineStr">
        <is>
          <t>Quelle: Fotocasa</t>
        </is>
      </c>
    </row>
    <row r="5111">
      <c r="A5111" t="n">
        <v>4924</v>
      </c>
      <c r="B5111" t="inlineStr">
        <is>
          <t xml:space="preserve"> DE LES MONGES, Centro – Inca</t>
        </is>
      </c>
      <c r="C5111" t="inlineStr">
        <is>
          <t>https://www.fotocasa.es/es/comprar/vivienda/inca/parking-terraza/188616861/d</t>
        </is>
      </c>
      <c r="E5111" t="n">
        <v>3</v>
      </c>
      <c r="H5111" t="n">
        <v>160</v>
      </c>
      <c r="J5111" t="inlineStr">
        <is>
          <t>Inca</t>
        </is>
      </c>
      <c r="S5111" t="n">
        <v>320000</v>
      </c>
      <c r="T5111" t="n">
        <v>2000</v>
      </c>
      <c r="AH5111" t="inlineStr">
        <is>
          <t>Quelle: Fotocasa</t>
        </is>
      </c>
    </row>
    <row r="5112">
      <c r="A5112" t="n">
        <v>4925</v>
      </c>
      <c r="B5112" t="inlineStr">
        <is>
          <t>Son Amonda - Reis Catòlics – Inca</t>
        </is>
      </c>
      <c r="C5112" t="inlineStr">
        <is>
          <t>https://www.fotocasa.es/es/comprar/vivienda/inca/son-amonda-reis-catolics/188265087/d</t>
        </is>
      </c>
      <c r="E5112" t="n">
        <v>3</v>
      </c>
      <c r="H5112" t="n">
        <v>477</v>
      </c>
      <c r="J5112" t="inlineStr">
        <is>
          <t>Inca</t>
        </is>
      </c>
      <c r="K5112" t="n">
        <v>37.5</v>
      </c>
      <c r="L5112" t="n">
        <v>29</v>
      </c>
      <c r="M5112" t="n">
        <v>55.6</v>
      </c>
      <c r="N5112" t="n">
        <v>55</v>
      </c>
      <c r="O5112" t="n">
        <v>60.1</v>
      </c>
      <c r="P5112" t="n">
        <v>45</v>
      </c>
      <c r="Q5112" t="n">
        <v>53.3</v>
      </c>
      <c r="R5112" t="n">
        <v>51</v>
      </c>
      <c r="S5112" t="n">
        <v>1250000</v>
      </c>
      <c r="T5112" t="n">
        <v>2621</v>
      </c>
      <c r="AH5112" t="inlineStr">
        <is>
          <t>Quelle: Fotocasa</t>
        </is>
      </c>
    </row>
    <row r="5113">
      <c r="A5113" t="n">
        <v>4926</v>
      </c>
      <c r="B5113" t="inlineStr">
        <is>
          <t>Passeig de Mallorca, Centre – Palma de Mallorca</t>
        </is>
      </c>
      <c r="C5113" t="inlineStr">
        <is>
          <t>https://www.fotocasa.es/es/comprar/vivienda/palma-de-mallorca/ascensor-no-amueblado/184949106/d</t>
        </is>
      </c>
      <c r="E5113" t="n">
        <v>5</v>
      </c>
      <c r="H5113" t="n">
        <v>196</v>
      </c>
      <c r="J5113" t="inlineStr">
        <is>
          <t>Palma de Mallorca</t>
        </is>
      </c>
      <c r="K5113" t="n">
        <v>9.699999999999999</v>
      </c>
      <c r="L5113" t="n">
        <v>14</v>
      </c>
      <c r="M5113" t="n">
        <v>52.5</v>
      </c>
      <c r="N5113" t="n">
        <v>47</v>
      </c>
      <c r="O5113" t="n">
        <v>32.1</v>
      </c>
      <c r="P5113" t="n">
        <v>36</v>
      </c>
      <c r="Q5113" t="n">
        <v>50.2</v>
      </c>
      <c r="R5113" t="n">
        <v>44</v>
      </c>
      <c r="S5113" t="n">
        <v>1200000</v>
      </c>
      <c r="T5113" t="n">
        <v>6122</v>
      </c>
      <c r="AH5113" t="inlineStr">
        <is>
          <t>Quelle: Fotocasa</t>
        </is>
      </c>
    </row>
    <row r="5114">
      <c r="A5114" t="n">
        <v>4927</v>
      </c>
      <c r="B5114" t="inlineStr">
        <is>
          <t>Carrer de son Espanyolet, Ponent – Palma de Mallorca</t>
        </is>
      </c>
      <c r="C5114" t="inlineStr">
        <is>
          <t>https://www.fotocasa.es/es/comprar/vivienda/palma-de-mallorca/aire-acondicionado-calefaccion-terraza-ascensor-amueblado/188860350/d</t>
        </is>
      </c>
      <c r="E5114" t="n">
        <v>2</v>
      </c>
      <c r="H5114" t="n">
        <v>129</v>
      </c>
      <c r="J5114" t="inlineStr">
        <is>
          <t>Palma de Mallorca</t>
        </is>
      </c>
      <c r="S5114" t="n">
        <v>799000</v>
      </c>
      <c r="T5114" t="n">
        <v>6194</v>
      </c>
      <c r="AH5114" t="inlineStr">
        <is>
          <t>Quelle: Fotocasa</t>
        </is>
      </c>
    </row>
    <row r="5115">
      <c r="A5115" t="n">
        <v>4928</v>
      </c>
      <c r="B5115" t="inlineStr">
        <is>
          <t>Carrer de la Dragonera, Ponent – Palma de Mallorca</t>
        </is>
      </c>
      <c r="C5115" t="inlineStr">
        <is>
          <t>https://www.fotocasa.es/es/comprar/vivienda/palma-de-mallorca/calefaccion-terraza-ascensor/188103945/d</t>
        </is>
      </c>
      <c r="E5115" t="n">
        <v>3</v>
      </c>
      <c r="H5115" t="n">
        <v>100</v>
      </c>
      <c r="J5115" t="inlineStr">
        <is>
          <t>Palma de Mallorca</t>
        </is>
      </c>
      <c r="S5115" t="n">
        <v>630000</v>
      </c>
      <c r="T5115" t="n">
        <v>6300</v>
      </c>
      <c r="AH5115" t="inlineStr">
        <is>
          <t>Quelle: Fotocasa</t>
        </is>
      </c>
    </row>
    <row r="5116">
      <c r="A5116" t="n">
        <v>4929</v>
      </c>
      <c r="B5116" t="inlineStr">
        <is>
          <t>C. de la Fàbrica, Ponent – Palma de Mallorca</t>
        </is>
      </c>
      <c r="C5116" t="inlineStr">
        <is>
          <t>https://www.fotocasa.es/es/comprar/vivienda/palma-de-mallorca/aire-acondicionado-calefaccion-jardin-terraza/182171059/d</t>
        </is>
      </c>
      <c r="E5116" t="n">
        <v>3</v>
      </c>
      <c r="H5116" t="n">
        <v>150</v>
      </c>
      <c r="J5116" t="inlineStr">
        <is>
          <t>Palma de Mallorca</t>
        </is>
      </c>
      <c r="K5116" t="n">
        <v>9.699999999999999</v>
      </c>
      <c r="L5116" t="n">
        <v>14</v>
      </c>
      <c r="M5116" t="n">
        <v>52.5</v>
      </c>
      <c r="N5116" t="n">
        <v>47</v>
      </c>
      <c r="O5116" t="n">
        <v>32.1</v>
      </c>
      <c r="P5116" t="n">
        <v>36</v>
      </c>
      <c r="Q5116" t="n">
        <v>50.2</v>
      </c>
      <c r="R5116" t="n">
        <v>44</v>
      </c>
      <c r="S5116" t="n">
        <v>1280000</v>
      </c>
      <c r="T5116" t="n">
        <v>8533</v>
      </c>
      <c r="AH5116" t="inlineStr">
        <is>
          <t>Quelle: Fotocasa</t>
        </is>
      </c>
    </row>
    <row r="5117">
      <c r="A5117" t="n">
        <v>4930</v>
      </c>
      <c r="B5117" t="inlineStr">
        <is>
          <t>Carrer de Francesc Martí i Móra, Ponent – Palma de Mallorca</t>
        </is>
      </c>
      <c r="C5117" t="inlineStr">
        <is>
          <t>https://www.fotocasa.es/es/comprar/vivienda/palma-de-mallorca/aire-acondicionado-calefaccion-parking-terraza-ascensor/186680425/d</t>
        </is>
      </c>
      <c r="E5117" t="n">
        <v>3</v>
      </c>
      <c r="H5117" t="n">
        <v>115</v>
      </c>
      <c r="J5117" t="inlineStr">
        <is>
          <t>Palma de Mallorca</t>
        </is>
      </c>
      <c r="S5117" t="n">
        <v>595000</v>
      </c>
      <c r="T5117" t="n">
        <v>5174</v>
      </c>
      <c r="AH5117" t="inlineStr">
        <is>
          <t>Quelle: Fotocasa</t>
        </is>
      </c>
    </row>
    <row r="5118">
      <c r="A5118" t="n">
        <v>4931</v>
      </c>
      <c r="B5118" t="inlineStr">
        <is>
          <t>Costa de la Pols, Centre – Palma de Mallorca</t>
        </is>
      </c>
      <c r="C5118" t="inlineStr">
        <is>
          <t>https://www.fotocasa.es/es/comprar/vivienda/palma-de-mallorca/aire-acondicionado-calefaccion-jardin-terraza-trastero-no-amueblado/188339317/d</t>
        </is>
      </c>
      <c r="E5118" t="n">
        <v>8</v>
      </c>
      <c r="H5118" t="n">
        <v>762</v>
      </c>
      <c r="J5118" t="inlineStr">
        <is>
          <t>Palma de Mallorca</t>
        </is>
      </c>
      <c r="K5118" t="n">
        <v>9.699999999999999</v>
      </c>
      <c r="L5118" t="n">
        <v>14</v>
      </c>
      <c r="M5118" t="n">
        <v>52.5</v>
      </c>
      <c r="N5118" t="n">
        <v>47</v>
      </c>
      <c r="O5118" t="n">
        <v>32.1</v>
      </c>
      <c r="P5118" t="n">
        <v>36</v>
      </c>
      <c r="Q5118" t="n">
        <v>50.2</v>
      </c>
      <c r="R5118" t="n">
        <v>44</v>
      </c>
      <c r="S5118" t="n">
        <v>2700000</v>
      </c>
      <c r="T5118" t="n">
        <v>3543</v>
      </c>
      <c r="AH5118" t="inlineStr">
        <is>
          <t>Quelle: Fotocasa</t>
        </is>
      </c>
    </row>
    <row r="5119">
      <c r="A5119" t="n">
        <v>4932</v>
      </c>
      <c r="B5119" t="inlineStr">
        <is>
          <t>Fabrica, Ponent – Palma de Mallorca</t>
        </is>
      </c>
      <c r="C5119" t="inlineStr">
        <is>
          <t>https://www.fotocasa.es/es/comprar/vivienda/palma-de-mallorca/aire-acondicionado-calefaccion-ascensor-no-amueblado/185165213/d</t>
        </is>
      </c>
      <c r="E5119" t="n">
        <v>2</v>
      </c>
      <c r="H5119" t="n">
        <v>88</v>
      </c>
      <c r="J5119" t="inlineStr">
        <is>
          <t>Palma de Mallorca</t>
        </is>
      </c>
      <c r="S5119" t="n">
        <v>595000</v>
      </c>
      <c r="T5119" t="n">
        <v>6761</v>
      </c>
      <c r="AH5119" t="inlineStr">
        <is>
          <t>Quelle: Fotocasa</t>
        </is>
      </c>
    </row>
    <row r="5120">
      <c r="A5120" t="n">
        <v>4933</v>
      </c>
      <c r="B5120" t="inlineStr">
        <is>
          <t>Carrer del Poble Espanyol, Ponent – Palma de Mallorca</t>
        </is>
      </c>
      <c r="C5120" t="inlineStr">
        <is>
          <t>https://www.fotocasa.es/es/comprar/vivienda/palma-de-mallorca/amueblado/188056356/d</t>
        </is>
      </c>
      <c r="E5120" t="n">
        <v>2</v>
      </c>
      <c r="H5120" t="n">
        <v>83</v>
      </c>
      <c r="J5120" t="inlineStr">
        <is>
          <t>Palma de Mallorca</t>
        </is>
      </c>
      <c r="S5120" t="n">
        <v>530000</v>
      </c>
      <c r="T5120" t="n">
        <v>6386</v>
      </c>
      <c r="AH5120" t="inlineStr">
        <is>
          <t>Quelle: Fotocasa</t>
        </is>
      </c>
    </row>
    <row r="5121">
      <c r="A5121" t="n">
        <v>4934</v>
      </c>
      <c r="B5121" t="inlineStr">
        <is>
          <t>Bacarés - Manresa  - Bonaire – Alcúdia</t>
        </is>
      </c>
      <c r="C5121" t="inlineStr">
        <is>
          <t>https://www.fotocasa.es/es/comprar/vivienda/alcudia/aire-acondicionado-parking-terraza-amueblado/188817891/d</t>
        </is>
      </c>
      <c r="E5121" t="n">
        <v>2</v>
      </c>
      <c r="H5121" t="n">
        <v>144</v>
      </c>
      <c r="J5121" t="inlineStr">
        <is>
          <t>Alcúdia</t>
        </is>
      </c>
      <c r="S5121" t="n">
        <v>555000</v>
      </c>
      <c r="T5121" t="n">
        <v>3854</v>
      </c>
      <c r="AH5121" t="inlineStr">
        <is>
          <t>Quelle: Fotocasa</t>
        </is>
      </c>
    </row>
    <row r="5122">
      <c r="A5122" t="n">
        <v>4935</v>
      </c>
      <c r="B5122" t="inlineStr">
        <is>
          <t>Marola , Ponent – Palma de Mallorca</t>
        </is>
      </c>
      <c r="C5122" t="inlineStr">
        <is>
          <t>https://www.fotocasa.es/es/comprar/vivienda/palma-de-mallorca/aire-acondicionado-calefaccion-parking-terraza-trastero-piscina-amueblado/184772444/d</t>
        </is>
      </c>
      <c r="E5122" t="n">
        <v>6</v>
      </c>
      <c r="H5122" t="n">
        <v>537</v>
      </c>
      <c r="J5122" t="inlineStr">
        <is>
          <t>Palma de Mallorca</t>
        </is>
      </c>
      <c r="K5122" t="n">
        <v>9.699999999999999</v>
      </c>
      <c r="L5122" t="n">
        <v>14</v>
      </c>
      <c r="M5122" t="n">
        <v>52.5</v>
      </c>
      <c r="N5122" t="n">
        <v>47</v>
      </c>
      <c r="O5122" t="n">
        <v>32.1</v>
      </c>
      <c r="P5122" t="n">
        <v>36</v>
      </c>
      <c r="Q5122" t="n">
        <v>50.2</v>
      </c>
      <c r="R5122" t="n">
        <v>44</v>
      </c>
      <c r="S5122" t="n">
        <v>3970000</v>
      </c>
      <c r="T5122" t="n">
        <v>7393</v>
      </c>
      <c r="AH5122" t="inlineStr">
        <is>
          <t>Quelle: Fotocasa</t>
        </is>
      </c>
    </row>
    <row r="5123">
      <c r="A5123" t="n">
        <v>4936</v>
      </c>
      <c r="B5123" t="inlineStr">
        <is>
          <t>Carrer del Dentol, Platja de Palma – Palma de Mallorca</t>
        </is>
      </c>
      <c r="C5123" t="inlineStr">
        <is>
          <t>https://www.fotocasa.es/es/comprar/vivienda/palma-de-mallorca/aire-acondicionado-calefaccion-parking-jardin-terraza-trastero-piscina/188344800/d</t>
        </is>
      </c>
      <c r="E5123" t="n">
        <v>3</v>
      </c>
      <c r="H5123" t="n">
        <v>248</v>
      </c>
      <c r="J5123" t="inlineStr">
        <is>
          <t>Palma de Mallorca</t>
        </is>
      </c>
      <c r="K5123" t="n">
        <v>9.699999999999999</v>
      </c>
      <c r="L5123" t="n">
        <v>14</v>
      </c>
      <c r="M5123" t="n">
        <v>52.5</v>
      </c>
      <c r="N5123" t="n">
        <v>47</v>
      </c>
      <c r="O5123" t="n">
        <v>32.1</v>
      </c>
      <c r="P5123" t="n">
        <v>36</v>
      </c>
      <c r="Q5123" t="n">
        <v>50.2</v>
      </c>
      <c r="R5123" t="n">
        <v>44</v>
      </c>
      <c r="S5123" t="n">
        <v>1290000</v>
      </c>
      <c r="T5123" t="n">
        <v>5202</v>
      </c>
      <c r="AH5123" t="inlineStr">
        <is>
          <t>Quelle: Fotocasa</t>
        </is>
      </c>
    </row>
    <row r="5124">
      <c r="A5124" t="n">
        <v>4937</v>
      </c>
      <c r="B5124" t="inlineStr">
        <is>
          <t>Carrer de Francesc Frontera, Platja de Palma – Palma de Mallorca</t>
        </is>
      </c>
      <c r="C5124" t="inlineStr">
        <is>
          <t>https://www.fotocasa.es/es/comprar/vivienda/palma-de-mallorca/terraza-ascensor-no-amueblado/188740471/d</t>
        </is>
      </c>
      <c r="E5124" t="n">
        <v>3</v>
      </c>
      <c r="H5124" t="n">
        <v>90</v>
      </c>
      <c r="J5124" t="inlineStr">
        <is>
          <t>Palma de Mallorca</t>
        </is>
      </c>
      <c r="S5124" t="n">
        <v>395000</v>
      </c>
      <c r="T5124" t="n">
        <v>4389</v>
      </c>
      <c r="AH5124" t="inlineStr">
        <is>
          <t>Quelle: Fotocasa</t>
        </is>
      </c>
    </row>
    <row r="5125">
      <c r="A5125" t="n">
        <v>4938</v>
      </c>
      <c r="B5125" t="inlineStr">
        <is>
          <t>Carrer de Jeroni Pou, Llevant – Palma de Mallorca</t>
        </is>
      </c>
      <c r="C5125" t="inlineStr">
        <is>
          <t>https://www.fotocasa.es/es/comprar/vivienda/palma-de-mallorca/parking-terraza-trastero-no-amueblado/188457087/d</t>
        </is>
      </c>
      <c r="E5125" t="n">
        <v>4</v>
      </c>
      <c r="H5125" t="n">
        <v>98</v>
      </c>
      <c r="J5125" t="inlineStr">
        <is>
          <t>Palma de Mallorca</t>
        </is>
      </c>
      <c r="S5125" t="n">
        <v>399000</v>
      </c>
      <c r="T5125" t="n">
        <v>4071</v>
      </c>
      <c r="AH5125" t="inlineStr">
        <is>
          <t>Quelle: Fotocasa</t>
        </is>
      </c>
    </row>
    <row r="5126">
      <c r="A5126" t="n">
        <v>4939</v>
      </c>
      <c r="B5126" t="inlineStr">
        <is>
          <t>Son Amonda - Reis Catòlics – Inca</t>
        </is>
      </c>
      <c r="C5126" t="inlineStr">
        <is>
          <t>https://www.fotocasa.es/es/comprar/vivienda/inca/aire-acondicionado-calefaccion-parking-jardin-terraza-trastero-piscina/183370390/d</t>
        </is>
      </c>
      <c r="E5126" t="n">
        <v>4</v>
      </c>
      <c r="H5126" t="n">
        <v>315</v>
      </c>
      <c r="J5126" t="inlineStr">
        <is>
          <t>Inca</t>
        </is>
      </c>
      <c r="K5126" t="n">
        <v>37.5</v>
      </c>
      <c r="L5126" t="n">
        <v>29</v>
      </c>
      <c r="M5126" t="n">
        <v>55.6</v>
      </c>
      <c r="N5126" t="n">
        <v>55</v>
      </c>
      <c r="O5126" t="n">
        <v>60.1</v>
      </c>
      <c r="P5126" t="n">
        <v>45</v>
      </c>
      <c r="Q5126" t="n">
        <v>53.3</v>
      </c>
      <c r="R5126" t="n">
        <v>51</v>
      </c>
      <c r="S5126" t="n">
        <v>1395000</v>
      </c>
      <c r="T5126" t="n">
        <v>4429</v>
      </c>
      <c r="AH5126" t="inlineStr">
        <is>
          <t>Quelle: Fotocasa</t>
        </is>
      </c>
    </row>
    <row r="5127">
      <c r="A5127" t="n">
        <v>4940</v>
      </c>
      <c r="B5127" t="inlineStr">
        <is>
          <t>Pg. del Born, Centre – Palma de Mallorca</t>
        </is>
      </c>
      <c r="C5127" t="inlineStr">
        <is>
          <t>https://www.fotocasa.es/es/comprar/vivienda/palma-de-mallorca/aire-acondicionado-calefaccion-terraza-ascensor-amueblado/188620887/d</t>
        </is>
      </c>
      <c r="E5127" t="n">
        <v>3</v>
      </c>
      <c r="H5127" t="n">
        <v>206</v>
      </c>
      <c r="J5127" t="inlineStr">
        <is>
          <t>Palma de Mallorca</t>
        </is>
      </c>
      <c r="K5127" t="n">
        <v>9.699999999999999</v>
      </c>
      <c r="L5127" t="n">
        <v>14</v>
      </c>
      <c r="M5127" t="n">
        <v>52.5</v>
      </c>
      <c r="N5127" t="n">
        <v>47</v>
      </c>
      <c r="O5127" t="n">
        <v>32.1</v>
      </c>
      <c r="P5127" t="n">
        <v>36</v>
      </c>
      <c r="Q5127" t="n">
        <v>50.2</v>
      </c>
      <c r="R5127" t="n">
        <v>44</v>
      </c>
      <c r="S5127" t="n">
        <v>3150000</v>
      </c>
      <c r="T5127" t="n">
        <v>15291</v>
      </c>
      <c r="AH5127" t="inlineStr">
        <is>
          <t>Quelle: Fotocasa</t>
        </is>
      </c>
    </row>
    <row r="5128">
      <c r="A5128" t="n">
        <v>4941</v>
      </c>
      <c r="B5128" t="inlineStr">
        <is>
          <t>Carrer de José Vargas Ponce, Platja de Palma – Palma de Mallorca</t>
        </is>
      </c>
      <c r="C5128" t="inlineStr">
        <is>
          <t>https://www.fotocasa.es/es/comprar/vivienda/palma-de-mallorca/jardin-terraza-ascensor-amueblado/187105143/d</t>
        </is>
      </c>
      <c r="E5128" t="n">
        <v>3</v>
      </c>
      <c r="H5128" t="n">
        <v>108</v>
      </c>
      <c r="J5128" t="inlineStr">
        <is>
          <t>Palma de Mallorca</t>
        </is>
      </c>
      <c r="S5128" t="n">
        <v>425000</v>
      </c>
      <c r="T5128" t="n">
        <v>3935</v>
      </c>
      <c r="AH5128" t="inlineStr">
        <is>
          <t>Quelle: Fotocasa</t>
        </is>
      </c>
    </row>
    <row r="5129">
      <c r="A5129" t="n">
        <v>4942</v>
      </c>
      <c r="B5129" t="inlineStr">
        <is>
          <t>Carrer de Monterrey, Ponent – Palma de Mallorca</t>
        </is>
      </c>
      <c r="C5129" t="inlineStr">
        <is>
          <t>https://www.fotocasa.es/es/comprar/vivienda/palma-de-mallorca/aire-acondicionado-calefaccion-parking-terraza-trastero-piscina/185586799/d</t>
        </is>
      </c>
      <c r="E5129" t="n">
        <v>0</v>
      </c>
      <c r="H5129" t="n">
        <v>250</v>
      </c>
      <c r="J5129" t="inlineStr">
        <is>
          <t>Palma de Mallorca</t>
        </is>
      </c>
      <c r="S5129" t="n">
        <v>649000</v>
      </c>
      <c r="T5129" t="n">
        <v>2596</v>
      </c>
      <c r="AH5129" t="inlineStr">
        <is>
          <t>Quelle: Fotocasa</t>
        </is>
      </c>
    </row>
    <row r="5130">
      <c r="A5130" t="n">
        <v>4943</v>
      </c>
      <c r="B5130" t="inlineStr">
        <is>
          <t>Carrer de Sant Marçal 26, Platja de Palma – Palma de Mallorca</t>
        </is>
      </c>
      <c r="C5130" t="inlineStr">
        <is>
          <t>https://www.fotocasa.es/es/comprar/vivienda/palma-de-mallorca/aire-acondicionado-parking-ascensor/182172393/d</t>
        </is>
      </c>
      <c r="E5130" t="n">
        <v>2</v>
      </c>
      <c r="H5130" t="n">
        <v>97</v>
      </c>
      <c r="J5130" t="inlineStr">
        <is>
          <t>Palma de Mallorca</t>
        </is>
      </c>
      <c r="S5130" t="n">
        <v>550000</v>
      </c>
      <c r="T5130" t="n">
        <v>5670</v>
      </c>
      <c r="AH5130" t="inlineStr">
        <is>
          <t>Quelle: Fotocasa</t>
        </is>
      </c>
    </row>
    <row r="5131">
      <c r="A5131" t="n">
        <v>4944</v>
      </c>
      <c r="B5131" t="inlineStr">
        <is>
          <t>Carrer de Tomàs Forteza, Llevant – Palma de Mallorca</t>
        </is>
      </c>
      <c r="C5131" t="inlineStr">
        <is>
          <t>https://www.fotocasa.es/es/comprar/vivienda/palma-de-mallorca/aire-acondicionado-calefaccion-trastero-ascensor-amueblado/188743213/d</t>
        </is>
      </c>
      <c r="E5131" t="n">
        <v>1</v>
      </c>
      <c r="H5131" t="n">
        <v>50</v>
      </c>
      <c r="J5131" t="inlineStr">
        <is>
          <t>Palma de Mallorca</t>
        </is>
      </c>
      <c r="S5131" t="n">
        <v>299000</v>
      </c>
      <c r="T5131" t="n">
        <v>5980</v>
      </c>
      <c r="AH5131" t="inlineStr">
        <is>
          <t>Quelle: Fotocasa</t>
        </is>
      </c>
    </row>
    <row r="5132">
      <c r="A5132" t="n">
        <v>4945</v>
      </c>
      <c r="B5132" t="inlineStr">
        <is>
          <t>Carrer d'En Morei, Centre – Palma de Mallorca</t>
        </is>
      </c>
      <c r="C5132" t="inlineStr">
        <is>
          <t>https://www.fotocasa.es/es/comprar/vivienda/palma-de-mallorca/aire-acondicionado-calefaccion-parking-ascensor/188712048/d</t>
        </is>
      </c>
      <c r="E5132" t="n">
        <v>3</v>
      </c>
      <c r="H5132" t="n">
        <v>137</v>
      </c>
      <c r="J5132" t="inlineStr">
        <is>
          <t>Palma de Mallorca</t>
        </is>
      </c>
      <c r="K5132" t="n">
        <v>9.699999999999999</v>
      </c>
      <c r="L5132" t="n">
        <v>14</v>
      </c>
      <c r="M5132" t="n">
        <v>52.5</v>
      </c>
      <c r="N5132" t="n">
        <v>47</v>
      </c>
      <c r="O5132" t="n">
        <v>32.1</v>
      </c>
      <c r="P5132" t="n">
        <v>36</v>
      </c>
      <c r="Q5132" t="n">
        <v>50.2</v>
      </c>
      <c r="R5132" t="n">
        <v>44</v>
      </c>
      <c r="S5132" t="n">
        <v>1680000</v>
      </c>
      <c r="T5132" t="n">
        <v>12263</v>
      </c>
      <c r="AH5132" t="inlineStr">
        <is>
          <t>Quelle: Fotocasa</t>
        </is>
      </c>
    </row>
    <row r="5133">
      <c r="A5133" t="n">
        <v>4946</v>
      </c>
      <c r="B5133" t="inlineStr">
        <is>
          <t>Chic townhouse for sale on a new development in Artà, Northeast Mallorca</t>
        </is>
      </c>
      <c r="C5133" t="inlineStr">
        <is>
          <t>https://www.balearic-properties.com/en/property/id/928286-new-townhouse-community-pool-arta-mallorca-html</t>
        </is>
      </c>
      <c r="E5133" t="n">
        <v>3</v>
      </c>
      <c r="G5133" t="n">
        <v>0</v>
      </c>
      <c r="H5133" t="n">
        <v>151</v>
      </c>
      <c r="J5133" t="inlineStr">
        <is>
          <t>Artà</t>
        </is>
      </c>
      <c r="S5133" t="n">
        <v>888000</v>
      </c>
      <c r="T5133" t="n">
        <v>5881</v>
      </c>
      <c r="AH5133" t="inlineStr">
        <is>
          <t>Quelle: Balearic Properties</t>
        </is>
      </c>
    </row>
    <row r="5134">
      <c r="A5134" t="n">
        <v>4947</v>
      </c>
      <c r="B5134" t="inlineStr">
        <is>
          <t>Unfinished Luxury Finca for Sale in Santanyi, Southeast Mallorca</t>
        </is>
      </c>
      <c r="C5134" t="inlineStr">
        <is>
          <t>https://www.balearic-properties.com/en/property/id/947902-unfinished-finca-panoramic-views-mallorca-santanyi-html</t>
        </is>
      </c>
      <c r="E5134" t="n">
        <v>4</v>
      </c>
      <c r="G5134" t="n">
        <v>20091</v>
      </c>
      <c r="H5134" t="n">
        <v>384</v>
      </c>
      <c r="J5134" t="inlineStr">
        <is>
          <t>Santanyí</t>
        </is>
      </c>
      <c r="K5134" t="n">
        <v>45.4</v>
      </c>
      <c r="L5134" t="n">
        <v>39</v>
      </c>
      <c r="M5134" t="n">
        <v>9</v>
      </c>
      <c r="N5134" t="n">
        <v>13</v>
      </c>
      <c r="O5134" t="n">
        <v>83.59999999999999</v>
      </c>
      <c r="P5134" t="n">
        <v>67</v>
      </c>
      <c r="Q5134" t="n">
        <v>9.699999999999999</v>
      </c>
      <c r="R5134" t="n">
        <v>15</v>
      </c>
      <c r="S5134" t="n">
        <v>2300000</v>
      </c>
      <c r="T5134" t="n">
        <v>5990</v>
      </c>
      <c r="U5134" t="n">
        <v>114</v>
      </c>
      <c r="AH5134" t="inlineStr">
        <is>
          <t>Quelle: Balearic Properties</t>
        </is>
      </c>
    </row>
    <row r="5135">
      <c r="A5135" t="n">
        <v>4948</v>
      </c>
      <c r="B5135" t="inlineStr">
        <is>
          <t>Penthouse renovation project for sale in Palma Old Town, Mallorca</t>
        </is>
      </c>
      <c r="C5135" t="inlineStr">
        <is>
          <t>https://www.balearic-properties.com/en/property/id/962339-duplex-penthouse-renovation-project-palma-mallorca-html</t>
        </is>
      </c>
      <c r="E5135" t="n">
        <v>3</v>
      </c>
      <c r="G5135" t="n">
        <v>0</v>
      </c>
      <c r="H5135" t="n">
        <v>238</v>
      </c>
      <c r="J5135" t="inlineStr">
        <is>
          <t>Palma City Centre</t>
        </is>
      </c>
      <c r="K5135" t="n">
        <v>11.6</v>
      </c>
      <c r="L5135" t="n">
        <v>20</v>
      </c>
      <c r="M5135" t="n">
        <v>54.3</v>
      </c>
      <c r="N5135" t="n">
        <v>53</v>
      </c>
      <c r="O5135" t="n">
        <v>29.5</v>
      </c>
      <c r="P5135" t="n">
        <v>29</v>
      </c>
      <c r="Q5135" t="n">
        <v>52</v>
      </c>
      <c r="R5135" t="n">
        <v>49</v>
      </c>
      <c r="S5135" t="n">
        <v>1275000</v>
      </c>
      <c r="T5135" t="n">
        <v>5357</v>
      </c>
      <c r="AH5135" t="inlineStr">
        <is>
          <t>Quelle: Balearic Properties</t>
        </is>
      </c>
    </row>
    <row r="5136">
      <c r="A5136" t="n">
        <v>4949</v>
      </c>
      <c r="B5136" t="inlineStr">
        <is>
          <t>Stylish apartment with spacious terrace for sale in Cala Major, Southwest Mallorca</t>
        </is>
      </c>
      <c r="C5136" t="inlineStr">
        <is>
          <t>https://www.balearic-properties.com/en/property/id/962317-stylish-home-pool-terrace-cala-major-mallorca-html</t>
        </is>
      </c>
      <c r="E5136" t="n">
        <v>2</v>
      </c>
      <c r="G5136" t="n">
        <v>0</v>
      </c>
      <c r="H5136" t="n">
        <v>0</v>
      </c>
      <c r="J5136" t="inlineStr">
        <is>
          <t>Cala Major</t>
        </is>
      </c>
      <c r="K5136" t="n">
        <v>19.7</v>
      </c>
      <c r="L5136" t="n">
        <v>19</v>
      </c>
      <c r="M5136" t="n">
        <v>62.5</v>
      </c>
      <c r="N5136" t="n">
        <v>52</v>
      </c>
      <c r="O5136" t="n">
        <v>26.3</v>
      </c>
      <c r="P5136" t="n">
        <v>24</v>
      </c>
      <c r="Q5136" t="n">
        <v>60.2</v>
      </c>
      <c r="R5136" t="n">
        <v>48</v>
      </c>
      <c r="S5136" t="n">
        <v>1450000</v>
      </c>
      <c r="AH5136" t="inlineStr">
        <is>
          <t>Quelle: Balearic Properties</t>
        </is>
      </c>
    </row>
    <row r="5137">
      <c r="A5137" t="n">
        <v>4950</v>
      </c>
      <c r="B5137" t="inlineStr">
        <is>
          <t>Elegant sea view apartment for sale in Cala Major, Southwest Mallorca</t>
        </is>
      </c>
      <c r="C5137" t="inlineStr">
        <is>
          <t>https://www.balearic-properties.com/en/property/id/962318-elegant-sea-view-apartment-cala-majormallorca-html</t>
        </is>
      </c>
      <c r="E5137" t="n">
        <v>2</v>
      </c>
      <c r="G5137" t="n">
        <v>0</v>
      </c>
      <c r="H5137" t="n">
        <v>0</v>
      </c>
      <c r="J5137" t="inlineStr">
        <is>
          <t>Cala Major</t>
        </is>
      </c>
      <c r="K5137" t="n">
        <v>19.7</v>
      </c>
      <c r="L5137" t="n">
        <v>19</v>
      </c>
      <c r="M5137" t="n">
        <v>62.5</v>
      </c>
      <c r="N5137" t="n">
        <v>52</v>
      </c>
      <c r="O5137" t="n">
        <v>26.3</v>
      </c>
      <c r="P5137" t="n">
        <v>24</v>
      </c>
      <c r="Q5137" t="n">
        <v>60.2</v>
      </c>
      <c r="R5137" t="n">
        <v>48</v>
      </c>
      <c r="S5137" t="n">
        <v>1500000</v>
      </c>
      <c r="AH5137" t="inlineStr">
        <is>
          <t>Quelle: Balearic Properties</t>
        </is>
      </c>
    </row>
    <row r="5138">
      <c r="A5138" t="n">
        <v>4951</v>
      </c>
      <c r="B5138" t="inlineStr">
        <is>
          <t>Modern sea view penthouse for sale in Cala Major, Southwest Mallorca</t>
        </is>
      </c>
      <c r="C5138" t="inlineStr">
        <is>
          <t>https://www.balearic-properties.com/en/property/id/962320-seaview-luxury-penthouse-cala-major-mallorca-html</t>
        </is>
      </c>
      <c r="E5138" t="n">
        <v>2</v>
      </c>
      <c r="G5138" t="n">
        <v>0</v>
      </c>
      <c r="H5138" t="n">
        <v>0</v>
      </c>
      <c r="J5138" t="inlineStr">
        <is>
          <t>Cala Major</t>
        </is>
      </c>
      <c r="K5138" t="n">
        <v>19.7</v>
      </c>
      <c r="L5138" t="n">
        <v>19</v>
      </c>
      <c r="M5138" t="n">
        <v>62.5</v>
      </c>
      <c r="N5138" t="n">
        <v>52</v>
      </c>
      <c r="O5138" t="n">
        <v>26.3</v>
      </c>
      <c r="P5138" t="n">
        <v>24</v>
      </c>
      <c r="Q5138" t="n">
        <v>60.2</v>
      </c>
      <c r="R5138" t="n">
        <v>48</v>
      </c>
      <c r="S5138" t="n">
        <v>1995000</v>
      </c>
      <c r="AH5138" t="inlineStr">
        <is>
          <t>Quelle: Balearic Properties</t>
        </is>
      </c>
    </row>
    <row r="5139">
      <c r="A5139" t="n">
        <v>4952</v>
      </c>
      <c r="B5139" t="inlineStr">
        <is>
          <t>Wonderful villa with pool for sale near Pollensa Golf, Mallorca</t>
        </is>
      </c>
      <c r="C5139" t="inlineStr">
        <is>
          <t>https://www.balearic-properties.com/en/property/id/821650-villa-garden-pool-pollensa-mallorca-html</t>
        </is>
      </c>
      <c r="E5139" t="n">
        <v>3</v>
      </c>
      <c r="G5139" t="n">
        <v>487</v>
      </c>
      <c r="H5139" t="n">
        <v>119</v>
      </c>
      <c r="J5139" t="inlineStr">
        <is>
          <t>Pollença</t>
        </is>
      </c>
      <c r="S5139" t="n">
        <v>725000</v>
      </c>
      <c r="T5139" t="n">
        <v>6092</v>
      </c>
      <c r="U5139" t="n">
        <v>1489</v>
      </c>
      <c r="AH5139" t="inlineStr">
        <is>
          <t>Quelle: Balearic Properties</t>
        </is>
      </c>
    </row>
    <row r="5140">
      <c r="A5140" t="n">
        <v>4953</v>
      </c>
      <c r="B5140" t="inlineStr">
        <is>
          <t>Renovated sea view penthouse for sale in Cala Pi, Llucmajor, South Mallorca</t>
        </is>
      </c>
      <c r="C5140" t="inlineStr">
        <is>
          <t>https://www.balearic-properties.com/en/property/id/959297-seaview-apartment-cala-pi-llucmajor-mallorca-html</t>
        </is>
      </c>
      <c r="E5140" t="n">
        <v>2</v>
      </c>
      <c r="G5140" t="n">
        <v>0</v>
      </c>
      <c r="H5140" t="n">
        <v>87</v>
      </c>
      <c r="J5140" t="inlineStr">
        <is>
          <t>Cala Pi</t>
        </is>
      </c>
      <c r="S5140" t="n">
        <v>495000</v>
      </c>
      <c r="T5140" t="n">
        <v>5690</v>
      </c>
      <c r="AH5140" t="inlineStr">
        <is>
          <t>Quelle: Balearic Properties</t>
        </is>
      </c>
    </row>
    <row r="5141">
      <c r="A5141" t="n">
        <v>4954</v>
      </c>
      <c r="B5141" t="inlineStr">
        <is>
          <t>Elegant town house with character for sale in Muro, Central Mallorca</t>
        </is>
      </c>
      <c r="C5141" t="inlineStr">
        <is>
          <t>https://www.balearic-properties.com/en/property/id/961894-elegant-townhouse-character-muro-mallorca-html</t>
        </is>
      </c>
      <c r="E5141" t="n">
        <v>4</v>
      </c>
      <c r="G5141" t="n">
        <v>456</v>
      </c>
      <c r="H5141" t="n">
        <v>668</v>
      </c>
      <c r="J5141" t="inlineStr">
        <is>
          <t>Muro</t>
        </is>
      </c>
      <c r="K5141" t="n">
        <v>58.2</v>
      </c>
      <c r="L5141" t="n">
        <v>46</v>
      </c>
      <c r="M5141" t="n">
        <v>60.2</v>
      </c>
      <c r="N5141" t="n">
        <v>64</v>
      </c>
      <c r="O5141" t="n">
        <v>80.8</v>
      </c>
      <c r="P5141" t="n">
        <v>62</v>
      </c>
      <c r="Q5141" t="n">
        <v>57.9</v>
      </c>
      <c r="R5141" t="n">
        <v>61</v>
      </c>
      <c r="S5141" t="n">
        <v>1200000</v>
      </c>
      <c r="T5141" t="n">
        <v>1796</v>
      </c>
      <c r="U5141" t="n">
        <v>2632</v>
      </c>
      <c r="AH5141" t="inlineStr">
        <is>
          <t>Quelle: Balearic Properties</t>
        </is>
      </c>
    </row>
    <row r="5142">
      <c r="A5142" t="n">
        <v>4955</v>
      </c>
      <c r="B5142" t="inlineStr">
        <is>
          <t>Country home with fabulous views for sale on the outskirts of Sóller, Mallorca</t>
        </is>
      </c>
      <c r="C5142" t="inlineStr">
        <is>
          <t>https://www.balearic-properties.com/en/property/id/930684-country-home-fabulous-views-soller-mallorca-html</t>
        </is>
      </c>
      <c r="E5142" t="n">
        <v>4</v>
      </c>
      <c r="G5142" t="n">
        <v>1303</v>
      </c>
      <c r="H5142" t="n">
        <v>220</v>
      </c>
      <c r="J5142" t="inlineStr">
        <is>
          <t>Sóller</t>
        </is>
      </c>
      <c r="K5142" t="n">
        <v>32.5</v>
      </c>
      <c r="L5142" t="n">
        <v>38</v>
      </c>
      <c r="M5142" t="n">
        <v>75.2</v>
      </c>
      <c r="N5142" t="n">
        <v>70</v>
      </c>
      <c r="O5142" t="n">
        <v>52.1</v>
      </c>
      <c r="P5142" t="n">
        <v>51</v>
      </c>
      <c r="Q5142" t="n">
        <v>72.90000000000001</v>
      </c>
      <c r="R5142" t="n">
        <v>67</v>
      </c>
      <c r="S5142" t="n">
        <v>1200000</v>
      </c>
      <c r="T5142" t="n">
        <v>5455</v>
      </c>
      <c r="U5142" t="n">
        <v>921</v>
      </c>
      <c r="AH5142" t="inlineStr">
        <is>
          <t>Quelle: Balearic Properties</t>
        </is>
      </c>
    </row>
    <row r="5143">
      <c r="A5143" t="n">
        <v>4956</v>
      </c>
      <c r="B5143" t="inlineStr">
        <is>
          <t>Mediterranean villa with holiday rental license for sale in Santa Ponsa, Southwest Mallorca</t>
        </is>
      </c>
      <c r="C5143" t="inlineStr">
        <is>
          <t>https://www.balearic-properties.com/en/property/id/960822-villa-holiday-license-santa-ponsa-mallorca-html</t>
        </is>
      </c>
      <c r="E5143" t="n">
        <v>4</v>
      </c>
      <c r="G5143" t="n">
        <v>823</v>
      </c>
      <c r="H5143" t="n">
        <v>232</v>
      </c>
      <c r="J5143" t="inlineStr">
        <is>
          <t>Santa Ponsa</t>
        </is>
      </c>
      <c r="K5143" t="n">
        <v>31.1</v>
      </c>
      <c r="L5143" t="n">
        <v>28</v>
      </c>
      <c r="M5143" t="n">
        <v>73.90000000000001</v>
      </c>
      <c r="N5143" t="n">
        <v>61</v>
      </c>
      <c r="O5143" t="n">
        <v>15.2</v>
      </c>
      <c r="P5143" t="n">
        <v>19</v>
      </c>
      <c r="Q5143" t="n">
        <v>71.59999999999999</v>
      </c>
      <c r="R5143" t="n">
        <v>57</v>
      </c>
      <c r="S5143" t="n">
        <v>2950000</v>
      </c>
      <c r="T5143" t="n">
        <v>12716</v>
      </c>
      <c r="U5143" t="n">
        <v>3584</v>
      </c>
      <c r="AH5143" t="inlineStr">
        <is>
          <t>Quelle: Balearic Properties</t>
        </is>
      </c>
    </row>
    <row r="5144">
      <c r="A5144" t="n">
        <v>4957</v>
      </c>
      <c r="B5144" t="inlineStr">
        <is>
          <t>Renovated Bali-inspired town house with pool for sale in Génova, Palma, Mallorca</t>
        </is>
      </c>
      <c r="C5144" t="inlineStr">
        <is>
          <t>https://www.balearic-properties.com/en/property/id/962256-townhouse-pool-genova-palma-mallorca-html</t>
        </is>
      </c>
      <c r="E5144" t="n">
        <v>2</v>
      </c>
      <c r="G5144" t="n">
        <v>0</v>
      </c>
      <c r="H5144" t="n">
        <v>295</v>
      </c>
      <c r="J5144" t="inlineStr">
        <is>
          <t>Génova</t>
        </is>
      </c>
      <c r="K5144" t="n">
        <v>18</v>
      </c>
      <c r="L5144" t="n">
        <v>20</v>
      </c>
      <c r="M5144" t="n">
        <v>60.7</v>
      </c>
      <c r="N5144" t="n">
        <v>53</v>
      </c>
      <c r="O5144" t="n">
        <v>25.4</v>
      </c>
      <c r="P5144" t="n">
        <v>26</v>
      </c>
      <c r="Q5144" t="n">
        <v>58.4</v>
      </c>
      <c r="R5144" t="n">
        <v>49</v>
      </c>
      <c r="S5144" t="n">
        <v>2200000</v>
      </c>
      <c r="T5144" t="n">
        <v>7458</v>
      </c>
      <c r="AH5144" t="inlineStr">
        <is>
          <t>Quelle: Balearic Properties</t>
        </is>
      </c>
    </row>
    <row r="5145">
      <c r="A5145" t="n">
        <v>4958</v>
      </c>
      <c r="B5145" t="inlineStr">
        <is>
          <t>Stunning frontline penthouse for sale in Cas Catala, Mallorca</t>
        </is>
      </c>
      <c r="C5145" t="inlineStr">
        <is>
          <t>https://www.balearic-properties.com/en/property/id/923852-penthouse-direct-sea-access-cas-catala-mallorca-html</t>
        </is>
      </c>
      <c r="E5145" t="n">
        <v>4</v>
      </c>
      <c r="G5145" t="n">
        <v>0</v>
      </c>
      <c r="H5145" t="n">
        <v>155</v>
      </c>
      <c r="J5145" t="inlineStr">
        <is>
          <t>Cas Català</t>
        </is>
      </c>
      <c r="K5145" t="n">
        <v>20</v>
      </c>
      <c r="L5145" t="n">
        <v>22</v>
      </c>
      <c r="M5145" t="n">
        <v>62.8</v>
      </c>
      <c r="N5145" t="n">
        <v>55</v>
      </c>
      <c r="O5145" t="n">
        <v>23.7</v>
      </c>
      <c r="P5145" t="n">
        <v>23</v>
      </c>
      <c r="Q5145" t="n">
        <v>60.5</v>
      </c>
      <c r="R5145" t="n">
        <v>51</v>
      </c>
      <c r="S5145" t="n">
        <v>2650000</v>
      </c>
      <c r="T5145" t="n">
        <v>17097</v>
      </c>
      <c r="AH5145" t="inlineStr">
        <is>
          <t>Quelle: Balearic Properties</t>
        </is>
      </c>
    </row>
    <row r="5146">
      <c r="A5146" t="n">
        <v>4959</v>
      </c>
      <c r="B5146" t="inlineStr">
        <is>
          <t>Move-in-ready town house with private pool in Génova, Palma, Mallorca</t>
        </is>
      </c>
      <c r="C5146" t="inlineStr">
        <is>
          <t>https://www.balearic-properties.com/en/property/id/962252-townhouse-pool-genova-palma-mallorca-html</t>
        </is>
      </c>
      <c r="E5146" t="n">
        <v>2</v>
      </c>
      <c r="G5146" t="n">
        <v>0</v>
      </c>
      <c r="H5146" t="n">
        <v>290</v>
      </c>
      <c r="J5146" t="inlineStr">
        <is>
          <t>Génova</t>
        </is>
      </c>
      <c r="K5146" t="n">
        <v>18</v>
      </c>
      <c r="L5146" t="n">
        <v>20</v>
      </c>
      <c r="M5146" t="n">
        <v>60.7</v>
      </c>
      <c r="N5146" t="n">
        <v>53</v>
      </c>
      <c r="O5146" t="n">
        <v>25.4</v>
      </c>
      <c r="P5146" t="n">
        <v>26</v>
      </c>
      <c r="Q5146" t="n">
        <v>58.4</v>
      </c>
      <c r="R5146" t="n">
        <v>49</v>
      </c>
      <c r="S5146" t="n">
        <v>2450000</v>
      </c>
      <c r="T5146" t="n">
        <v>8448</v>
      </c>
      <c r="AH5146" t="inlineStr">
        <is>
          <t>Quelle: Balearic Properties</t>
        </is>
      </c>
    </row>
    <row r="5147">
      <c r="A5147" t="n">
        <v>4960</v>
      </c>
      <c r="B5147" t="inlineStr">
        <is>
          <t>Apartment for sale in the heart of Palma Old Town, Mallorca</t>
        </is>
      </c>
      <c r="C5147" t="inlineStr">
        <is>
          <t>https://www.balearic-properties.com/en/property/id/962249-apartment-balcony-lift-palma-mallorca-html</t>
        </is>
      </c>
      <c r="E5147" t="n">
        <v>1</v>
      </c>
      <c r="G5147" t="n">
        <v>0</v>
      </c>
      <c r="H5147" t="n">
        <v>82</v>
      </c>
      <c r="J5147" t="inlineStr">
        <is>
          <t>Palma Casco Antiguo</t>
        </is>
      </c>
      <c r="S5147" t="n">
        <v>850000</v>
      </c>
      <c r="T5147" t="n">
        <v>10366</v>
      </c>
      <c r="AH5147" t="inlineStr">
        <is>
          <t>Quelle: Balearic Properties</t>
        </is>
      </c>
    </row>
    <row r="5148">
      <c r="A5148" t="n">
        <v>4961</v>
      </c>
      <c r="B5148" t="inlineStr">
        <is>
          <t>Wonderful apartment for sale in prestigious Palma Old Town, Mallorca</t>
        </is>
      </c>
      <c r="C5148" t="inlineStr">
        <is>
          <t>https://www.balearic-properties.com/en/property/id/962251-apartment-balcony-lift-palma-mallorca-html</t>
        </is>
      </c>
      <c r="E5148" t="n">
        <v>1</v>
      </c>
      <c r="G5148" t="n">
        <v>0</v>
      </c>
      <c r="H5148" t="n">
        <v>82</v>
      </c>
      <c r="J5148" t="inlineStr">
        <is>
          <t>Palma Casco Antiguo</t>
        </is>
      </c>
      <c r="S5148" t="n">
        <v>900000</v>
      </c>
      <c r="T5148" t="n">
        <v>10976</v>
      </c>
      <c r="AH5148" t="inlineStr">
        <is>
          <t>Quelle: Balearic Properties</t>
        </is>
      </c>
    </row>
    <row r="5149">
      <c r="A5149" t="n">
        <v>4962</v>
      </c>
      <c r="B5149" t="inlineStr">
        <is>
          <t>Renovated mountain view town house for sale in Mancor de la Vall, Mallorca</t>
        </is>
      </c>
      <c r="C5149" t="inlineStr">
        <is>
          <t>https://www.balearic-properties.com/en/property/id/845252-renovated-mountain-view-townhouse-mancor-de-la-vall-mallorca-html</t>
        </is>
      </c>
      <c r="E5149" t="n">
        <v>2</v>
      </c>
      <c r="G5149" t="n">
        <v>120</v>
      </c>
      <c r="H5149" t="n">
        <v>141</v>
      </c>
      <c r="J5149" t="inlineStr">
        <is>
          <t>Mancor de la Vall</t>
        </is>
      </c>
      <c r="S5149" t="n">
        <v>895000</v>
      </c>
      <c r="T5149" t="n">
        <v>6348</v>
      </c>
      <c r="U5149" t="n">
        <v>7458</v>
      </c>
      <c r="AH5149" t="inlineStr">
        <is>
          <t>Quelle: Balearic Properties</t>
        </is>
      </c>
    </row>
    <row r="5150">
      <c r="A5150" t="n">
        <v>4963</v>
      </c>
      <c r="B5150" t="inlineStr">
        <is>
          <t>Unique penthouse with sea views for sale in Port Pollensa, North Mallorca</t>
        </is>
      </c>
      <c r="C5150" t="inlineStr">
        <is>
          <t>https://www.balearic-properties.com/en/property/id/960095-unique-penthouse-sea-views-port-pollensa-mallorca-html</t>
        </is>
      </c>
      <c r="E5150" t="n">
        <v>3</v>
      </c>
      <c r="G5150" t="n">
        <v>0</v>
      </c>
      <c r="H5150" t="n">
        <v>100</v>
      </c>
      <c r="J5150" t="inlineStr">
        <is>
          <t>Port de Pollença</t>
        </is>
      </c>
      <c r="AH5150" t="inlineStr">
        <is>
          <t>Quelle: Balearic Properties</t>
        </is>
      </c>
    </row>
    <row r="5151">
      <c r="A5151" t="n">
        <v>4964</v>
      </c>
      <c r="B5151" t="inlineStr">
        <is>
          <t>Newbuilt finca with mountain views in Cas Concos, Felanitx for sale, Mallorca</t>
        </is>
      </c>
      <c r="C5151" t="inlineStr">
        <is>
          <t>https://www.balearic-properties.com/en/property/id/928604-newbuilt-finca-with-mountain-views-in-cas-concos-felanitx-for-sale-mallorca</t>
        </is>
      </c>
      <c r="E5151" t="n">
        <v>3</v>
      </c>
      <c r="G5151" t="n">
        <v>20082</v>
      </c>
      <c r="H5151" t="n">
        <v>353</v>
      </c>
      <c r="J5151" t="inlineStr">
        <is>
          <t>Cas Concos</t>
        </is>
      </c>
      <c r="K5151" t="n">
        <v>43.4</v>
      </c>
      <c r="L5151" t="n">
        <v>42</v>
      </c>
      <c r="M5151" t="n">
        <v>14.6</v>
      </c>
      <c r="N5151" t="n">
        <v>21</v>
      </c>
      <c r="O5151" t="n">
        <v>81.59999999999999</v>
      </c>
      <c r="P5151" t="n">
        <v>69</v>
      </c>
      <c r="Q5151" t="n">
        <v>15.9</v>
      </c>
      <c r="R5151" t="n">
        <v>25</v>
      </c>
      <c r="S5151" t="n">
        <v>1990000</v>
      </c>
      <c r="T5151" t="n">
        <v>5637</v>
      </c>
      <c r="U5151" t="n">
        <v>99</v>
      </c>
      <c r="AH5151" t="inlineStr">
        <is>
          <t>Quelle: Balearic Properties</t>
        </is>
      </c>
    </row>
    <row r="5152">
      <c r="A5152" t="n">
        <v>4965</v>
      </c>
      <c r="B5152" t="inlineStr">
        <is>
          <t>Outstanding sea view villa with holiday license for sale in Puerto Pollensa, Mallorca</t>
        </is>
      </c>
      <c r="C5152" t="inlineStr">
        <is>
          <t>https://www.balearic-properties.com/en/property/id/824813-seaview-villa-rental-license-pollensa-mallorca-html</t>
        </is>
      </c>
      <c r="E5152" t="n">
        <v>5</v>
      </c>
      <c r="G5152" t="n">
        <v>3180</v>
      </c>
      <c r="H5152" t="n">
        <v>477</v>
      </c>
      <c r="J5152" t="inlineStr">
        <is>
          <t>Port de Pollença</t>
        </is>
      </c>
      <c r="K5152" t="n">
        <v>66.90000000000001</v>
      </c>
      <c r="L5152" t="n">
        <v>52</v>
      </c>
      <c r="M5152" t="n">
        <v>85</v>
      </c>
      <c r="N5152" t="n">
        <v>78</v>
      </c>
      <c r="O5152" t="n">
        <v>89.5</v>
      </c>
      <c r="P5152" t="n">
        <v>68</v>
      </c>
      <c r="Q5152" t="n">
        <v>82.7</v>
      </c>
      <c r="R5152" t="n">
        <v>75</v>
      </c>
      <c r="S5152" t="n">
        <v>3495000</v>
      </c>
      <c r="T5152" t="n">
        <v>7327</v>
      </c>
      <c r="U5152" t="n">
        <v>1099</v>
      </c>
      <c r="AH5152" t="inlineStr">
        <is>
          <t>Quelle: Balearic Properties</t>
        </is>
      </c>
    </row>
    <row r="5153">
      <c r="A5153" t="n">
        <v>4966</v>
      </c>
      <c r="B5153" t="inlineStr">
        <is>
          <t>Designer luxury villa with sea views for sale in exclusive Son Vida, Palma, Mallorca</t>
        </is>
      </c>
      <c r="C5153" t="inlineStr">
        <is>
          <t>https://www.balearic-properties.com/en/property/id/961684-luxury-villa-sea-view-son-vida-mallorca-html</t>
        </is>
      </c>
      <c r="E5153" t="n">
        <v>5</v>
      </c>
      <c r="G5153" t="n">
        <v>3000</v>
      </c>
      <c r="H5153" t="n">
        <v>600</v>
      </c>
      <c r="J5153" t="inlineStr">
        <is>
          <t>Son Vida</t>
        </is>
      </c>
      <c r="K5153" t="n">
        <v>19.2</v>
      </c>
      <c r="L5153" t="n">
        <v>22</v>
      </c>
      <c r="M5153" t="n">
        <v>61.9</v>
      </c>
      <c r="N5153" t="n">
        <v>55</v>
      </c>
      <c r="O5153" t="n">
        <v>31</v>
      </c>
      <c r="P5153" t="n">
        <v>31</v>
      </c>
      <c r="Q5153" t="n">
        <v>59.6</v>
      </c>
      <c r="R5153" t="n">
        <v>51</v>
      </c>
      <c r="S5153" t="n">
        <v>6495000</v>
      </c>
      <c r="T5153" t="n">
        <v>10825</v>
      </c>
      <c r="U5153" t="n">
        <v>2165</v>
      </c>
      <c r="AH5153" t="inlineStr">
        <is>
          <t>Quelle: Balearic Properties</t>
        </is>
      </c>
    </row>
    <row r="5154">
      <c r="A5154" t="n">
        <v>4967</v>
      </c>
      <c r="B5154" t="inlineStr">
        <is>
          <t>Stunning family villa just steps from the sea for sale in Puerto Pollensa, North Mallorca</t>
        </is>
      </c>
      <c r="C5154" t="inlineStr">
        <is>
          <t>https://www.balearic-properties.com/en/property/id/699235-villa-beach-seaview-puerto-pollensa-mallorca-html</t>
        </is>
      </c>
      <c r="E5154" t="n">
        <v>4</v>
      </c>
      <c r="G5154" t="n">
        <v>912</v>
      </c>
      <c r="H5154" t="n">
        <v>393</v>
      </c>
      <c r="J5154" t="inlineStr">
        <is>
          <t>Port de Pollença</t>
        </is>
      </c>
      <c r="K5154" t="n">
        <v>66.90000000000001</v>
      </c>
      <c r="L5154" t="n">
        <v>52</v>
      </c>
      <c r="M5154" t="n">
        <v>85</v>
      </c>
      <c r="N5154" t="n">
        <v>78</v>
      </c>
      <c r="O5154" t="n">
        <v>89.5</v>
      </c>
      <c r="P5154" t="n">
        <v>68</v>
      </c>
      <c r="Q5154" t="n">
        <v>82.7</v>
      </c>
      <c r="R5154" t="n">
        <v>75</v>
      </c>
      <c r="S5154" t="n">
        <v>2400000</v>
      </c>
      <c r="T5154" t="n">
        <v>6107</v>
      </c>
      <c r="U5154" t="n">
        <v>2632</v>
      </c>
      <c r="AH5154" t="inlineStr">
        <is>
          <t>Quelle: Balearic Properties</t>
        </is>
      </c>
    </row>
    <row r="5155">
      <c r="A5155" t="n">
        <v>4968</v>
      </c>
      <c r="B5155" t="inlineStr">
        <is>
          <t>Sea view apartment for sale on Paseo Marítimo in vibrant Palma, Mallorca</t>
        </is>
      </c>
      <c r="C5155" t="inlineStr">
        <is>
          <t>https://www.balearic-properties.com/en/property/id/961452-sea-view-apartment-paseo-maritimo-palma-mallorca-html</t>
        </is>
      </c>
      <c r="E5155" t="n">
        <v>3</v>
      </c>
      <c r="G5155" t="n">
        <v>0</v>
      </c>
      <c r="H5155" t="n">
        <v>130</v>
      </c>
      <c r="J5155" t="inlineStr">
        <is>
          <t>Palma de Mallorca</t>
        </is>
      </c>
      <c r="K5155" t="n">
        <v>9.699999999999999</v>
      </c>
      <c r="L5155" t="n">
        <v>14</v>
      </c>
      <c r="M5155" t="n">
        <v>52.5</v>
      </c>
      <c r="N5155" t="n">
        <v>47</v>
      </c>
      <c r="O5155" t="n">
        <v>32.1</v>
      </c>
      <c r="P5155" t="n">
        <v>36</v>
      </c>
      <c r="Q5155" t="n">
        <v>50.2</v>
      </c>
      <c r="R5155" t="n">
        <v>44</v>
      </c>
      <c r="S5155" t="n">
        <v>1100000</v>
      </c>
      <c r="T5155" t="n">
        <v>8462</v>
      </c>
      <c r="AH5155" t="inlineStr">
        <is>
          <t>Quelle: Balearic Properties</t>
        </is>
      </c>
    </row>
    <row r="5156">
      <c r="A5156" t="n">
        <v>4969</v>
      </c>
      <c r="B5156" t="inlineStr">
        <is>
          <t>Renovated apartment for sale near the beach in Paguera, Southwest Mallorca</t>
        </is>
      </c>
      <c r="C5156" t="inlineStr">
        <is>
          <t>https://www.balearic-properties.com/en/property/id/952992-renovated-apartment-parking-beach-paguera-mallorca-html</t>
        </is>
      </c>
      <c r="E5156" t="n">
        <v>3</v>
      </c>
      <c r="G5156" t="n">
        <v>0</v>
      </c>
      <c r="H5156" t="n">
        <v>243</v>
      </c>
      <c r="J5156" t="inlineStr">
        <is>
          <t>Paguera</t>
        </is>
      </c>
      <c r="K5156" t="n">
        <v>35.3</v>
      </c>
      <c r="L5156" t="n">
        <v>30</v>
      </c>
      <c r="M5156" t="n">
        <v>78</v>
      </c>
      <c r="N5156" t="n">
        <v>63</v>
      </c>
      <c r="O5156" t="n">
        <v>9.1</v>
      </c>
      <c r="P5156" t="n">
        <v>14</v>
      </c>
      <c r="Q5156" t="n">
        <v>75.7</v>
      </c>
      <c r="R5156" t="n">
        <v>60</v>
      </c>
      <c r="S5156" t="n">
        <v>1100000</v>
      </c>
      <c r="T5156" t="n">
        <v>4527</v>
      </c>
      <c r="AH5156" t="inlineStr">
        <is>
          <t>Quelle: Balearic Properties</t>
        </is>
      </c>
    </row>
    <row r="5157">
      <c r="A5157" t="n">
        <v>4970</v>
      </c>
      <c r="B5157" t="inlineStr">
        <is>
          <t>Brand new village house with pool and panoramic views for sale in Llubi, central Mallorca</t>
        </is>
      </c>
      <c r="C5157" t="inlineStr">
        <is>
          <t>https://www.balearic-properties.com/en/property/id/822401-brand-new-village-house-pool-llubi-mallorca-html</t>
        </is>
      </c>
      <c r="E5157" t="n">
        <v>4</v>
      </c>
      <c r="G5157" t="n">
        <v>475</v>
      </c>
      <c r="H5157" t="n">
        <v>315</v>
      </c>
      <c r="J5157" t="inlineStr">
        <is>
          <t>Llubí</t>
        </is>
      </c>
      <c r="K5157" t="n">
        <v>46.1</v>
      </c>
      <c r="L5157" t="n">
        <v>38</v>
      </c>
      <c r="M5157" t="n">
        <v>50.9</v>
      </c>
      <c r="N5157" t="n">
        <v>54</v>
      </c>
      <c r="O5157" t="n">
        <v>68.7</v>
      </c>
      <c r="P5157" t="n">
        <v>54</v>
      </c>
      <c r="Q5157" t="n">
        <v>48.6</v>
      </c>
      <c r="R5157" t="n">
        <v>50</v>
      </c>
      <c r="S5157" t="n">
        <v>1575000</v>
      </c>
      <c r="T5157" t="n">
        <v>5000</v>
      </c>
      <c r="U5157" t="n">
        <v>3316</v>
      </c>
      <c r="AH5157" t="inlineStr">
        <is>
          <t>Quelle: Balearic Properties</t>
        </is>
      </c>
    </row>
    <row r="5158">
      <c r="A5158" t="n">
        <v>4971</v>
      </c>
      <c r="B5158" t="inlineStr">
        <is>
          <t>Penthouse with private terraces and lift for sale in Palma Old Town, Mallorca</t>
        </is>
      </c>
      <c r="C5158" t="inlineStr">
        <is>
          <t>https://www.balearic-properties.com/en/property/id/960633-duplex-penthouse-terraces-lift-palma-mallorca-html</t>
        </is>
      </c>
      <c r="E5158" t="n">
        <v>2</v>
      </c>
      <c r="G5158" t="n">
        <v>0</v>
      </c>
      <c r="H5158" t="n">
        <v>165</v>
      </c>
      <c r="J5158" t="inlineStr">
        <is>
          <t>Palma Casco Antiguo</t>
        </is>
      </c>
      <c r="K5158" t="n">
        <v>9.699999999999999</v>
      </c>
      <c r="L5158" t="n">
        <v>14</v>
      </c>
      <c r="M5158" t="n">
        <v>52.5</v>
      </c>
      <c r="N5158" t="n">
        <v>47</v>
      </c>
      <c r="O5158" t="n">
        <v>32.1</v>
      </c>
      <c r="P5158" t="n">
        <v>36</v>
      </c>
      <c r="Q5158" t="n">
        <v>50.2</v>
      </c>
      <c r="R5158" t="n">
        <v>44</v>
      </c>
      <c r="S5158" t="n">
        <v>2000000</v>
      </c>
      <c r="T5158" t="n">
        <v>12121</v>
      </c>
      <c r="AH5158" t="inlineStr">
        <is>
          <t>Quelle: Balearic Properties</t>
        </is>
      </c>
    </row>
    <row r="5159">
      <c r="A5159" t="n">
        <v>4972</v>
      </c>
      <c r="B5159" t="inlineStr">
        <is>
          <t>Luxury estate with panoramic views and absolute privacy for sale in Porreres, Central Mallorca</t>
        </is>
      </c>
      <c r="C5159" t="inlineStr">
        <is>
          <t>https://www.balearic-properties.com/en/property/id/961412-luxury-estate-panoramic-views-son-mora-negri-porreres-mallorca-html</t>
        </is>
      </c>
      <c r="E5159" t="n">
        <v>5</v>
      </c>
      <c r="G5159" t="n">
        <v>14206</v>
      </c>
      <c r="H5159" t="n">
        <v>1000</v>
      </c>
      <c r="J5159" t="inlineStr">
        <is>
          <t>Porreres</t>
        </is>
      </c>
      <c r="K5159" t="n">
        <v>35.9</v>
      </c>
      <c r="L5159" t="n">
        <v>34</v>
      </c>
      <c r="M5159" t="n">
        <v>27.6</v>
      </c>
      <c r="N5159" t="n">
        <v>32</v>
      </c>
      <c r="O5159" t="n">
        <v>69.3</v>
      </c>
      <c r="P5159" t="n">
        <v>59</v>
      </c>
      <c r="Q5159" t="n">
        <v>25.3</v>
      </c>
      <c r="R5159" t="n">
        <v>29</v>
      </c>
      <c r="S5159" t="n">
        <v>3950000</v>
      </c>
      <c r="T5159" t="n">
        <v>3950</v>
      </c>
      <c r="U5159" t="n">
        <v>278</v>
      </c>
      <c r="AH5159" t="inlineStr">
        <is>
          <t>Quelle: Balearic Properties</t>
        </is>
      </c>
    </row>
    <row r="5160">
      <c r="A5160" t="n">
        <v>4973</v>
      </c>
      <c r="B5160" t="inlineStr">
        <is>
          <t>Stylish townhouse for sale just steps from the beach Puerto Pollensa, North Mallorca</t>
        </is>
      </c>
      <c r="C5160" t="inlineStr">
        <is>
          <t>https://www.balearic-properties.com/en/property/id/957826-luxury-townhouse-pool-beach-puerto-pollensa-mallorca-html</t>
        </is>
      </c>
      <c r="E5160" t="n">
        <v>5</v>
      </c>
      <c r="G5160" t="n">
        <v>0</v>
      </c>
      <c r="H5160" t="n">
        <v>234</v>
      </c>
      <c r="J5160" t="inlineStr">
        <is>
          <t>Port de Pollença</t>
        </is>
      </c>
      <c r="K5160" t="n">
        <v>66.90000000000001</v>
      </c>
      <c r="L5160" t="n">
        <v>52</v>
      </c>
      <c r="M5160" t="n">
        <v>85</v>
      </c>
      <c r="N5160" t="n">
        <v>78</v>
      </c>
      <c r="O5160" t="n">
        <v>89.5</v>
      </c>
      <c r="P5160" t="n">
        <v>68</v>
      </c>
      <c r="Q5160" t="n">
        <v>82.7</v>
      </c>
      <c r="R5160" t="n">
        <v>75</v>
      </c>
      <c r="S5160" t="n">
        <v>1600000</v>
      </c>
      <c r="T5160" t="n">
        <v>6838</v>
      </c>
      <c r="AH5160" t="inlineStr">
        <is>
          <t>Quelle: Balearic Properties</t>
        </is>
      </c>
    </row>
    <row r="5161">
      <c r="A5161" t="n">
        <v>4974</v>
      </c>
      <c r="B5161" t="inlineStr">
        <is>
          <t>Fabulous country home for sale in a picturesque valley near Campanet, Mallorca</t>
        </is>
      </c>
      <c r="C5161" t="inlineStr">
        <is>
          <t>https://www.balearic-properties.com/en/property/id/860891-fabulous-country-home-campanet-mallorca-html</t>
        </is>
      </c>
      <c r="E5161" t="n">
        <v>5</v>
      </c>
      <c r="G5161" t="n">
        <v>200000</v>
      </c>
      <c r="H5161" t="n">
        <v>706</v>
      </c>
      <c r="J5161" t="inlineStr">
        <is>
          <t>Campanet</t>
        </is>
      </c>
      <c r="K5161" t="n">
        <v>46.9</v>
      </c>
      <c r="L5161" t="n">
        <v>38</v>
      </c>
      <c r="M5161" t="n">
        <v>65</v>
      </c>
      <c r="N5161" t="n">
        <v>65</v>
      </c>
      <c r="O5161" t="n">
        <v>69.5</v>
      </c>
      <c r="P5161" t="n">
        <v>54</v>
      </c>
      <c r="Q5161" t="n">
        <v>62.7</v>
      </c>
      <c r="R5161" t="n">
        <v>61</v>
      </c>
      <c r="S5161" t="n">
        <v>7500000</v>
      </c>
      <c r="T5161" t="n">
        <v>10623</v>
      </c>
      <c r="U5161" t="n">
        <v>38</v>
      </c>
      <c r="AH5161" t="inlineStr">
        <is>
          <t>Quelle: Balearic Properties</t>
        </is>
      </c>
    </row>
    <row r="5162">
      <c r="A5162" t="n">
        <v>4975</v>
      </c>
      <c r="B5162" t="inlineStr">
        <is>
          <t>Villa with pool and holiday rental license for sale near Pollensa, North Mallorca</t>
        </is>
      </c>
      <c r="C5162" t="inlineStr">
        <is>
          <t>https://www.balearic-properties.com/en/property/id/919465-villa-pool-rental-license-pollensa-mallorca-html</t>
        </is>
      </c>
      <c r="E5162" t="n">
        <v>4</v>
      </c>
      <c r="G5162" t="n">
        <v>2110</v>
      </c>
      <c r="H5162" t="n">
        <v>250</v>
      </c>
      <c r="J5162" t="inlineStr">
        <is>
          <t>Pollença</t>
        </is>
      </c>
      <c r="K5162" t="n">
        <v>60.6</v>
      </c>
      <c r="L5162" t="n">
        <v>47</v>
      </c>
      <c r="M5162" t="n">
        <v>78.7</v>
      </c>
      <c r="N5162" t="n">
        <v>74</v>
      </c>
      <c r="O5162" t="n">
        <v>83.2</v>
      </c>
      <c r="P5162" t="n">
        <v>63</v>
      </c>
      <c r="Q5162" t="n">
        <v>76.40000000000001</v>
      </c>
      <c r="R5162" t="n">
        <v>70</v>
      </c>
      <c r="S5162" t="n">
        <v>1740000</v>
      </c>
      <c r="T5162" t="n">
        <v>6960</v>
      </c>
      <c r="U5162" t="n">
        <v>825</v>
      </c>
      <c r="AH5162" t="inlineStr">
        <is>
          <t>Quelle: Balearic Properties</t>
        </is>
      </c>
    </row>
    <row r="5163">
      <c r="A5163" t="n">
        <v>4976</v>
      </c>
      <c r="B5163" t="inlineStr">
        <is>
          <t>Unique renovated town house for sale in Alcudia town, North Mallorca</t>
        </is>
      </c>
      <c r="C5163" t="inlineStr">
        <is>
          <t>https://www.balearic-properties.com/en/property/id/961040-renovated-townhouse-alcudia-mallorca-html</t>
        </is>
      </c>
      <c r="E5163" t="n">
        <v>2</v>
      </c>
      <c r="G5163" t="n">
        <v>170</v>
      </c>
      <c r="H5163" t="n">
        <v>125</v>
      </c>
      <c r="J5163" t="inlineStr">
        <is>
          <t>Alcudia Pueblo</t>
        </is>
      </c>
      <c r="S5163" t="n">
        <v>899000</v>
      </c>
      <c r="T5163" t="n">
        <v>7192</v>
      </c>
      <c r="U5163" t="n">
        <v>5288</v>
      </c>
      <c r="AH5163" t="inlineStr">
        <is>
          <t>Quelle: Balearic Properties</t>
        </is>
      </c>
    </row>
    <row r="5164">
      <c r="A5164" t="n">
        <v>4977</v>
      </c>
      <c r="B5164" t="inlineStr">
        <is>
          <t>Exclusive penthouse to renovate for sale in Palma, Mallorca</t>
        </is>
      </c>
      <c r="C5164" t="inlineStr">
        <is>
          <t>https://www.balearic-properties.com/en/property/id/960040-renovation-penthouse-historic-centre-palma-mallorca-html</t>
        </is>
      </c>
      <c r="E5164" t="n">
        <v>5</v>
      </c>
      <c r="G5164" t="n">
        <v>0</v>
      </c>
      <c r="H5164" t="n">
        <v>302</v>
      </c>
      <c r="J5164" t="inlineStr">
        <is>
          <t>Palma Casco Antiguo</t>
        </is>
      </c>
      <c r="K5164" t="n">
        <v>9.699999999999999</v>
      </c>
      <c r="L5164" t="n">
        <v>14</v>
      </c>
      <c r="M5164" t="n">
        <v>52.5</v>
      </c>
      <c r="N5164" t="n">
        <v>47</v>
      </c>
      <c r="O5164" t="n">
        <v>32.1</v>
      </c>
      <c r="P5164" t="n">
        <v>36</v>
      </c>
      <c r="Q5164" t="n">
        <v>50.2</v>
      </c>
      <c r="R5164" t="n">
        <v>44</v>
      </c>
      <c r="S5164" t="n">
        <v>2200000</v>
      </c>
      <c r="T5164" t="n">
        <v>7285</v>
      </c>
      <c r="AH5164" t="inlineStr">
        <is>
          <t>Quelle: Balearic Properties</t>
        </is>
      </c>
    </row>
    <row r="5165">
      <c r="A5165" t="n">
        <v>4978</v>
      </c>
      <c r="B5165" t="inlineStr">
        <is>
          <t>Sea front apartment for sale in Palmanova, Southwest Mallorca</t>
        </is>
      </c>
      <c r="C5165" t="inlineStr">
        <is>
          <t>https://www.balearic-properties.com/en/property/id/911867-sea-front-apartment-for-sale-in-palmanova-mallorca-html</t>
        </is>
      </c>
      <c r="E5165" t="n">
        <v>3</v>
      </c>
      <c r="G5165" t="n">
        <v>0</v>
      </c>
      <c r="H5165" t="n">
        <v>96</v>
      </c>
      <c r="J5165" t="inlineStr">
        <is>
          <t>Palmanova</t>
        </is>
      </c>
      <c r="S5165" t="n">
        <v>895000</v>
      </c>
      <c r="T5165" t="n">
        <v>9323</v>
      </c>
      <c r="AH5165" t="inlineStr">
        <is>
          <t>Quelle: Balearic Properties</t>
        </is>
      </c>
    </row>
    <row r="5166">
      <c r="A5166" t="n">
        <v>4979</v>
      </c>
      <c r="B5166" t="inlineStr">
        <is>
          <t>Villa with views of Palma Bay and the Tramuntana for sale in Sa Fontseca, Bunyola, Mallorca</t>
        </is>
      </c>
      <c r="C5166" t="inlineStr">
        <is>
          <t>https://www.balearic-properties.com/en/property/id/935468-villa-bay-views-sa-fontseca-bunyola-mallorca-html</t>
        </is>
      </c>
      <c r="E5166" t="n">
        <v>4</v>
      </c>
      <c r="G5166" t="n">
        <v>1689</v>
      </c>
      <c r="H5166" t="n">
        <v>650</v>
      </c>
      <c r="J5166" t="inlineStr">
        <is>
          <t>Bunyola</t>
        </is>
      </c>
      <c r="AH5166" t="inlineStr">
        <is>
          <t>Quelle: Balearic Properties</t>
        </is>
      </c>
    </row>
    <row r="5167">
      <c r="A5167" t="n">
        <v>4980</v>
      </c>
      <c r="B5167" t="inlineStr">
        <is>
          <t>Renovated village house with pool for sale in Pollensa, North Mallorca</t>
        </is>
      </c>
      <c r="C5167" t="inlineStr">
        <is>
          <t>https://www.balearic-properties.com/en/property/id/960012-renovated-village-house-with-pool-pollensa-north-of-mallorca</t>
        </is>
      </c>
      <c r="E5167" t="n">
        <v>3</v>
      </c>
      <c r="G5167" t="n">
        <v>148</v>
      </c>
      <c r="H5167" t="n">
        <v>210</v>
      </c>
      <c r="J5167" t="inlineStr">
        <is>
          <t>Pollença</t>
        </is>
      </c>
      <c r="K5167" t="n">
        <v>60.6</v>
      </c>
      <c r="L5167" t="n">
        <v>47</v>
      </c>
      <c r="M5167" t="n">
        <v>78.7</v>
      </c>
      <c r="N5167" t="n">
        <v>74</v>
      </c>
      <c r="O5167" t="n">
        <v>83.2</v>
      </c>
      <c r="P5167" t="n">
        <v>63</v>
      </c>
      <c r="Q5167" t="n">
        <v>76.40000000000001</v>
      </c>
      <c r="R5167" t="n">
        <v>70</v>
      </c>
      <c r="S5167" t="n">
        <v>1595000</v>
      </c>
      <c r="T5167" t="n">
        <v>7595</v>
      </c>
      <c r="U5167" t="n">
        <v>10777</v>
      </c>
      <c r="AH5167" t="inlineStr">
        <is>
          <t>Quelle: Balearic Properties</t>
        </is>
      </c>
    </row>
    <row r="5168">
      <c r="A5168" t="n">
        <v>4981</v>
      </c>
      <c r="B5168" t="inlineStr">
        <is>
          <t>Investment finca with holiday rental license for sale in Campanet, North Mallorca</t>
        </is>
      </c>
      <c r="C5168" t="inlineStr">
        <is>
          <t>https://www.balearic-properties.com/en/property/id/461193-finca-pollensa-campanet-mallorca-html</t>
        </is>
      </c>
      <c r="E5168" t="n">
        <v>6</v>
      </c>
      <c r="G5168" t="n">
        <v>7400</v>
      </c>
      <c r="H5168" t="n">
        <v>230</v>
      </c>
      <c r="J5168" t="inlineStr">
        <is>
          <t>Campanet</t>
        </is>
      </c>
      <c r="K5168" t="n">
        <v>46.9</v>
      </c>
      <c r="L5168" t="n">
        <v>38</v>
      </c>
      <c r="M5168" t="n">
        <v>65</v>
      </c>
      <c r="N5168" t="n">
        <v>65</v>
      </c>
      <c r="O5168" t="n">
        <v>69.5</v>
      </c>
      <c r="P5168" t="n">
        <v>54</v>
      </c>
      <c r="Q5168" t="n">
        <v>62.7</v>
      </c>
      <c r="R5168" t="n">
        <v>61</v>
      </c>
      <c r="AH5168" t="inlineStr">
        <is>
          <t>Quelle: Balearic Properties</t>
        </is>
      </c>
    </row>
    <row r="5169">
      <c r="A5169" t="n">
        <v>4982</v>
      </c>
      <c r="B5169" t="inlineStr">
        <is>
          <t>Renovated town house for sale in charming Campanet, North Mallorca</t>
        </is>
      </c>
      <c r="C5169" t="inlineStr">
        <is>
          <t>https://www.balearic-properties.com/en/property/id/934746-renovated-townhouse-pool-campanet-mallorca-html</t>
        </is>
      </c>
      <c r="E5169" t="n">
        <v>4</v>
      </c>
      <c r="G5169" t="n">
        <v>601</v>
      </c>
      <c r="H5169" t="n">
        <v>508</v>
      </c>
      <c r="J5169" t="inlineStr">
        <is>
          <t>Campanet</t>
        </is>
      </c>
      <c r="K5169" t="n">
        <v>46.9</v>
      </c>
      <c r="L5169" t="n">
        <v>38</v>
      </c>
      <c r="M5169" t="n">
        <v>65</v>
      </c>
      <c r="N5169" t="n">
        <v>65</v>
      </c>
      <c r="O5169" t="n">
        <v>69.5</v>
      </c>
      <c r="P5169" t="n">
        <v>54</v>
      </c>
      <c r="Q5169" t="n">
        <v>62.7</v>
      </c>
      <c r="R5169" t="n">
        <v>61</v>
      </c>
      <c r="S5169" t="n">
        <v>1950000</v>
      </c>
      <c r="T5169" t="n">
        <v>3839</v>
      </c>
      <c r="U5169" t="n">
        <v>3245</v>
      </c>
      <c r="AH5169" t="inlineStr">
        <is>
          <t>Quelle: Balearic Properties</t>
        </is>
      </c>
    </row>
    <row r="5170">
      <c r="A5170" t="n">
        <v>4983</v>
      </c>
      <c r="B5170" t="inlineStr">
        <is>
          <t>Stunning villa with pool for sale in Crestatx, North Mallorca</t>
        </is>
      </c>
      <c r="C5170" t="inlineStr">
        <is>
          <t>https://www.balearic-properties.com/en/property/id/953390-stunning-villa-pool-crestatx-pollensa-mallorca-html</t>
        </is>
      </c>
      <c r="E5170" t="n">
        <v>3</v>
      </c>
      <c r="G5170" t="n">
        <v>1200</v>
      </c>
      <c r="H5170" t="n">
        <v>222</v>
      </c>
      <c r="J5170" t="inlineStr">
        <is>
          <t>Pollença</t>
        </is>
      </c>
      <c r="K5170" t="n">
        <v>60.6</v>
      </c>
      <c r="L5170" t="n">
        <v>47</v>
      </c>
      <c r="M5170" t="n">
        <v>78.7</v>
      </c>
      <c r="N5170" t="n">
        <v>74</v>
      </c>
      <c r="O5170" t="n">
        <v>83.2</v>
      </c>
      <c r="P5170" t="n">
        <v>63</v>
      </c>
      <c r="Q5170" t="n">
        <v>76.40000000000001</v>
      </c>
      <c r="R5170" t="n">
        <v>70</v>
      </c>
      <c r="S5170" t="n">
        <v>1490000</v>
      </c>
      <c r="T5170" t="n">
        <v>6712</v>
      </c>
      <c r="U5170" t="n">
        <v>1242</v>
      </c>
      <c r="AH5170" t="inlineStr">
        <is>
          <t>Quelle: Balearic Properties</t>
        </is>
      </c>
    </row>
    <row r="5171">
      <c r="A5171" t="n">
        <v>4984</v>
      </c>
      <c r="B5171" t="inlineStr">
        <is>
          <t>Quality apartment for sale in prestigious Old Bendinat, Southwest Mallorca</t>
        </is>
      </c>
      <c r="C5171" t="inlineStr">
        <is>
          <t>https://www.balearic-properties.com/en/property/id/800942-apartment-luxurious-pool-bendinat-mallorca-html</t>
        </is>
      </c>
      <c r="E5171" t="n">
        <v>2</v>
      </c>
      <c r="G5171" t="n">
        <v>0</v>
      </c>
      <c r="H5171" t="n">
        <v>130</v>
      </c>
      <c r="J5171" t="inlineStr">
        <is>
          <t>Old Bendinat</t>
        </is>
      </c>
      <c r="K5171" t="n">
        <v>23.1</v>
      </c>
      <c r="L5171" t="n">
        <v>22</v>
      </c>
      <c r="M5171" t="n">
        <v>65.8</v>
      </c>
      <c r="N5171" t="n">
        <v>55</v>
      </c>
      <c r="O5171" t="n">
        <v>23.2</v>
      </c>
      <c r="P5171" t="n">
        <v>23</v>
      </c>
      <c r="Q5171" t="n">
        <v>63.5</v>
      </c>
      <c r="R5171" t="n">
        <v>51</v>
      </c>
      <c r="S5171" t="n">
        <v>1950000</v>
      </c>
      <c r="T5171" t="n">
        <v>15000</v>
      </c>
      <c r="AH5171" t="inlineStr">
        <is>
          <t>Quelle: Balearic Properties</t>
        </is>
      </c>
    </row>
    <row r="5172">
      <c r="A5172" t="n">
        <v>4985</v>
      </c>
      <c r="B5172" t="inlineStr">
        <is>
          <t>Newly built villa with sea views for sale in Sa Torre, Llucmajor, South Mallorca</t>
        </is>
      </c>
      <c r="C5172" t="inlineStr">
        <is>
          <t>https://www.balearic-properties.com/en/property/id/960630-villa-sea-views-sa-torre-llucmajor-mallorca-html</t>
        </is>
      </c>
      <c r="E5172" t="n">
        <v>3</v>
      </c>
      <c r="G5172" t="n">
        <v>1003</v>
      </c>
      <c r="H5172" t="n">
        <v>157</v>
      </c>
      <c r="J5172" t="inlineStr">
        <is>
          <t>Sa Torre</t>
        </is>
      </c>
      <c r="K5172" t="n">
        <v>17</v>
      </c>
      <c r="L5172" t="n">
        <v>19</v>
      </c>
      <c r="M5172" t="n">
        <v>41.9</v>
      </c>
      <c r="N5172" t="n">
        <v>41</v>
      </c>
      <c r="O5172" t="n">
        <v>55.2</v>
      </c>
      <c r="P5172" t="n">
        <v>47</v>
      </c>
      <c r="Q5172" t="n">
        <v>39.6</v>
      </c>
      <c r="R5172" t="n">
        <v>38</v>
      </c>
      <c r="S5172" t="n">
        <v>2690000</v>
      </c>
      <c r="T5172" t="n">
        <v>17134</v>
      </c>
      <c r="U5172" t="n">
        <v>2682</v>
      </c>
      <c r="AH5172" t="inlineStr">
        <is>
          <t>Quelle: Balearic Properties</t>
        </is>
      </c>
    </row>
    <row r="5173">
      <c r="A5173" t="n">
        <v>4986</v>
      </c>
      <c r="B5173" t="inlineStr">
        <is>
          <t>Apartment with panoramic views sea for sale in Bonanova, Palma, Mallorca</t>
        </is>
      </c>
      <c r="C5173" t="inlineStr">
        <is>
          <t>https://www.balearic-properties.com/en/property/id/932483-apartment-panoramic-views-bonanova-palma-mallorca-html</t>
        </is>
      </c>
      <c r="E5173" t="n">
        <v>3</v>
      </c>
      <c r="G5173" t="n">
        <v>0</v>
      </c>
      <c r="H5173" t="n">
        <v>210</v>
      </c>
      <c r="J5173" t="inlineStr">
        <is>
          <t>La Bonanova</t>
        </is>
      </c>
      <c r="K5173" t="n">
        <v>19.2</v>
      </c>
      <c r="L5173" t="n">
        <v>21</v>
      </c>
      <c r="M5173" t="n">
        <v>62</v>
      </c>
      <c r="N5173" t="n">
        <v>54</v>
      </c>
      <c r="O5173" t="n">
        <v>26.6</v>
      </c>
      <c r="P5173" t="n">
        <v>27</v>
      </c>
      <c r="Q5173" t="n">
        <v>59.7</v>
      </c>
      <c r="R5173" t="n">
        <v>51</v>
      </c>
      <c r="S5173" t="n">
        <v>1550000</v>
      </c>
      <c r="T5173" t="n">
        <v>7381</v>
      </c>
      <c r="AH5173" t="inlineStr">
        <is>
          <t>Quelle: Balearic Properties</t>
        </is>
      </c>
    </row>
    <row r="5174">
      <c r="A5174" t="n">
        <v>4987</v>
      </c>
      <c r="B5174" t="inlineStr">
        <is>
          <t>Unique mountainside finca for sale in a private area of Pollensa, Mallorca</t>
        </is>
      </c>
      <c r="C5174" t="inlineStr">
        <is>
          <t>https://www.balearic-properties.com/en/property/id/807954-mountainside-finca-seaviews-mallorca-html</t>
        </is>
      </c>
      <c r="E5174" t="n">
        <v>3</v>
      </c>
      <c r="G5174" t="n">
        <v>48000</v>
      </c>
      <c r="H5174" t="n">
        <v>249</v>
      </c>
      <c r="J5174" t="inlineStr">
        <is>
          <t>Pollença</t>
        </is>
      </c>
      <c r="S5174" t="n">
        <v>995000</v>
      </c>
      <c r="T5174" t="n">
        <v>3996</v>
      </c>
      <c r="U5174" t="n">
        <v>21</v>
      </c>
      <c r="AH5174" t="inlineStr">
        <is>
          <t>Quelle: Balearic Properties</t>
        </is>
      </c>
    </row>
    <row r="5175">
      <c r="A5175" t="n">
        <v>4988</v>
      </c>
      <c r="B5175" t="inlineStr">
        <is>
          <t>Country finca with fantastic views for sale in Pollensa, North Mallorca</t>
        </is>
      </c>
      <c r="C5175" t="inlineStr">
        <is>
          <t>https://www.balearic-properties.com/en/property/id/783342-rustic-finca-pollensa-mallorca-html</t>
        </is>
      </c>
      <c r="E5175" t="n">
        <v>5</v>
      </c>
      <c r="G5175" t="n">
        <v>120000</v>
      </c>
      <c r="H5175" t="n">
        <v>450</v>
      </c>
      <c r="J5175" t="inlineStr">
        <is>
          <t>Pollença</t>
        </is>
      </c>
      <c r="K5175" t="n">
        <v>60.6</v>
      </c>
      <c r="L5175" t="n">
        <v>47</v>
      </c>
      <c r="M5175" t="n">
        <v>78.7</v>
      </c>
      <c r="N5175" t="n">
        <v>74</v>
      </c>
      <c r="O5175" t="n">
        <v>83.2</v>
      </c>
      <c r="P5175" t="n">
        <v>63</v>
      </c>
      <c r="Q5175" t="n">
        <v>76.40000000000001</v>
      </c>
      <c r="R5175" t="n">
        <v>70</v>
      </c>
      <c r="S5175" t="n">
        <v>2995000</v>
      </c>
      <c r="T5175" t="n">
        <v>6656</v>
      </c>
      <c r="U5175" t="n">
        <v>25</v>
      </c>
      <c r="AH5175" t="inlineStr">
        <is>
          <t>Quelle: Balearic Properties</t>
        </is>
      </c>
    </row>
    <row r="5176">
      <c r="A5176" t="n">
        <v>4989</v>
      </c>
      <c r="B5176" t="inlineStr">
        <is>
          <t>Renovated apartment for sale in prestigious Portals Nous, Southwest Mallorca</t>
        </is>
      </c>
      <c r="C5176" t="inlineStr">
        <is>
          <t>https://www.balearic-properties.com/en/property/id/960376-apartment-beach-portals-nous-mallorca-html</t>
        </is>
      </c>
      <c r="E5176" t="n">
        <v>2</v>
      </c>
      <c r="G5176" t="n">
        <v>0</v>
      </c>
      <c r="H5176" t="n">
        <v>57</v>
      </c>
      <c r="J5176" t="inlineStr">
        <is>
          <t>Portals Nous</t>
        </is>
      </c>
      <c r="S5176" t="n">
        <v>550000</v>
      </c>
      <c r="T5176" t="n">
        <v>9649</v>
      </c>
      <c r="AH5176" t="inlineStr">
        <is>
          <t>Quelle: Balearic Properties</t>
        </is>
      </c>
    </row>
    <row r="5177">
      <c r="A5177" t="n">
        <v>4990</v>
      </c>
      <c r="B5177" t="inlineStr">
        <is>
          <t>Newly built townhouse with private pool for sale in Palma, Mallorca</t>
        </is>
      </c>
      <c r="C5177" t="inlineStr">
        <is>
          <t>https://www.balearic-properties.com/en/property/id/959672-newly-built-townhouse-in-son-espanyolet-palma-mallorca</t>
        </is>
      </c>
      <c r="E5177" t="n">
        <v>4</v>
      </c>
      <c r="G5177" t="n">
        <v>0</v>
      </c>
      <c r="H5177" t="n">
        <v>185</v>
      </c>
      <c r="J5177" t="inlineStr">
        <is>
          <t>Son Espanyolet</t>
        </is>
      </c>
      <c r="K5177" t="n">
        <v>15.9</v>
      </c>
      <c r="L5177" t="n">
        <v>18</v>
      </c>
      <c r="M5177" t="n">
        <v>58.7</v>
      </c>
      <c r="N5177" t="n">
        <v>51</v>
      </c>
      <c r="O5177" t="n">
        <v>29.1</v>
      </c>
      <c r="P5177" t="n">
        <v>28</v>
      </c>
      <c r="Q5177" t="n">
        <v>56.4</v>
      </c>
      <c r="R5177" t="n">
        <v>47</v>
      </c>
      <c r="S5177" t="n">
        <v>1500000</v>
      </c>
      <c r="T5177" t="n">
        <v>8108</v>
      </c>
      <c r="AH5177" t="inlineStr">
        <is>
          <t>Quelle: Balearic Properties</t>
        </is>
      </c>
    </row>
    <row r="5178">
      <c r="A5178" t="n">
        <v>4991</v>
      </c>
      <c r="B5178" t="inlineStr">
        <is>
          <t>Frontline Mediterranean style penthouse for sale in Ses Covetes, Es Trenc</t>
        </is>
      </c>
      <c r="C5178" t="inlineStr">
        <is>
          <t>https://www.balearic-properties.com/en/property/id/906617-frontline-mediterranean-style-penthouse-for-sale-in-ses-covetes-es-trenc-html</t>
        </is>
      </c>
      <c r="E5178" t="n">
        <v>3</v>
      </c>
      <c r="G5178" t="n">
        <v>0</v>
      </c>
      <c r="H5178" t="n">
        <v>125</v>
      </c>
      <c r="J5178" t="inlineStr">
        <is>
          <t>Es Trenc</t>
        </is>
      </c>
      <c r="S5178" t="n">
        <v>995000</v>
      </c>
      <c r="T5178" t="n">
        <v>7960</v>
      </c>
      <c r="AH5178" t="inlineStr">
        <is>
          <t>Quelle: Balearic Properties</t>
        </is>
      </c>
    </row>
    <row r="5179">
      <c r="A5179" t="n">
        <v>4992</v>
      </c>
      <c r="B5179" t="inlineStr">
        <is>
          <t>Country villa with holiday license for sale in Caimari, Central Mallorca</t>
        </is>
      </c>
      <c r="C5179" t="inlineStr">
        <is>
          <t>https://www.balearic-properties.com/en/property/id/948538-country-villa-rental-license-caimari-mallorca-html</t>
        </is>
      </c>
      <c r="E5179" t="n">
        <v>6</v>
      </c>
      <c r="G5179" t="n">
        <v>21484</v>
      </c>
      <c r="H5179" t="n">
        <v>1058</v>
      </c>
      <c r="J5179" t="inlineStr">
        <is>
          <t>Caimari</t>
        </is>
      </c>
      <c r="K5179" t="n">
        <v>44.6</v>
      </c>
      <c r="L5179" t="n">
        <v>41</v>
      </c>
      <c r="M5179" t="n">
        <v>62.7</v>
      </c>
      <c r="N5179" t="n">
        <v>68</v>
      </c>
      <c r="O5179" t="n">
        <v>67.2</v>
      </c>
      <c r="P5179" t="n">
        <v>58</v>
      </c>
      <c r="Q5179" t="n">
        <v>60.4</v>
      </c>
      <c r="R5179" t="n">
        <v>64</v>
      </c>
      <c r="S5179" t="n">
        <v>4950000</v>
      </c>
      <c r="T5179" t="n">
        <v>4679</v>
      </c>
      <c r="U5179" t="n">
        <v>230</v>
      </c>
      <c r="AH5179" t="inlineStr">
        <is>
          <t>Quelle: Balearic Properties</t>
        </is>
      </c>
    </row>
    <row r="5180">
      <c r="A5180" t="n">
        <v>4993</v>
      </c>
      <c r="B5180" t="inlineStr">
        <is>
          <t>Fantastic investment finca for sale on the outskirts of Moscari, Mallorca</t>
        </is>
      </c>
      <c r="C5180" t="inlineStr">
        <is>
          <t>https://www.balearic-properties.com/en/property/id/959955-fantastic-investment-finca-for-sale-on-the-outskirts-of-moscari-mallorca</t>
        </is>
      </c>
      <c r="E5180" t="n">
        <v>0</v>
      </c>
      <c r="G5180" t="n">
        <v>21755</v>
      </c>
      <c r="H5180" t="n">
        <v>0</v>
      </c>
      <c r="J5180" t="inlineStr">
        <is>
          <t>Moscari</t>
        </is>
      </c>
      <c r="AH5180" t="inlineStr">
        <is>
          <t>Quelle: Balearic Properties</t>
        </is>
      </c>
    </row>
    <row r="5181">
      <c r="A5181" t="n">
        <v>4994</v>
      </c>
      <c r="B5181" t="inlineStr">
        <is>
          <t>Contemporary sea view villa for sale in Santa Ponsa, southwest Mallorca</t>
        </is>
      </c>
      <c r="C5181" t="inlineStr">
        <is>
          <t>https://www.balearic-properties.com/en/property/id/958119-seaview-villa-santa-ponsa-mallorca-html</t>
        </is>
      </c>
      <c r="E5181" t="n">
        <v>5</v>
      </c>
      <c r="G5181" t="n">
        <v>1490</v>
      </c>
      <c r="H5181" t="n">
        <v>526</v>
      </c>
      <c r="J5181" t="inlineStr">
        <is>
          <t>Nova Santa Ponsa</t>
        </is>
      </c>
      <c r="K5181" t="n">
        <v>31.1</v>
      </c>
      <c r="L5181" t="n">
        <v>28</v>
      </c>
      <c r="M5181" t="n">
        <v>73.90000000000001</v>
      </c>
      <c r="N5181" t="n">
        <v>61</v>
      </c>
      <c r="O5181" t="n">
        <v>15.2</v>
      </c>
      <c r="P5181" t="n">
        <v>19</v>
      </c>
      <c r="Q5181" t="n">
        <v>71.59999999999999</v>
      </c>
      <c r="R5181" t="n">
        <v>57</v>
      </c>
      <c r="S5181" t="n">
        <v>4900000</v>
      </c>
      <c r="T5181" t="n">
        <v>9316</v>
      </c>
      <c r="U5181" t="n">
        <v>3289</v>
      </c>
      <c r="AH5181" t="inlineStr">
        <is>
          <t>Quelle: Balearic Properties</t>
        </is>
      </c>
    </row>
    <row r="5182">
      <c r="A5182" t="n">
        <v>4995</v>
      </c>
      <c r="B5182" t="inlineStr">
        <is>
          <t>Stylish modern semi-detached home with pool in La Vileta, Palma</t>
        </is>
      </c>
      <c r="C5182" t="inlineStr">
        <is>
          <t>https://www.balearic-properties.com/en/property/id/959173-modern-semi-detached-home-la-vileta-palma-mallorca-html</t>
        </is>
      </c>
      <c r="E5182" t="n">
        <v>2</v>
      </c>
      <c r="G5182" t="n">
        <v>350</v>
      </c>
      <c r="H5182" t="n">
        <v>120</v>
      </c>
      <c r="J5182" t="inlineStr">
        <is>
          <t>Palma de Mallorca</t>
        </is>
      </c>
      <c r="S5182" t="n">
        <v>850000</v>
      </c>
      <c r="T5182" t="n">
        <v>7083</v>
      </c>
      <c r="U5182" t="n">
        <v>2429</v>
      </c>
      <c r="AH5182" t="inlineStr">
        <is>
          <t>Quelle: Balearic Properties</t>
        </is>
      </c>
    </row>
    <row r="5183">
      <c r="A5183" t="n">
        <v>4996</v>
      </c>
      <c r="B5183" t="inlineStr">
        <is>
          <t>Large rural plot with villa project for sale near Binissalem, Central Mallorca</t>
        </is>
      </c>
      <c r="C5183" t="inlineStr">
        <is>
          <t>https://www.balearic-properties.com/en/property/id/959673-rural-plot-villa-project-binissalem-mallorca-html</t>
        </is>
      </c>
      <c r="E5183" t="n">
        <v>4</v>
      </c>
      <c r="G5183" t="n">
        <v>120000</v>
      </c>
      <c r="H5183" t="n">
        <v>568</v>
      </c>
      <c r="J5183" t="inlineStr">
        <is>
          <t>Binissalem</t>
        </is>
      </c>
      <c r="K5183" t="n">
        <v>31.5</v>
      </c>
      <c r="L5183" t="n">
        <v>29</v>
      </c>
      <c r="M5183" t="n">
        <v>74.3</v>
      </c>
      <c r="N5183" t="n">
        <v>62</v>
      </c>
      <c r="O5183" t="n">
        <v>54.1</v>
      </c>
      <c r="P5183" t="n">
        <v>45</v>
      </c>
      <c r="Q5183" t="n">
        <v>72</v>
      </c>
      <c r="R5183" t="n">
        <v>58</v>
      </c>
      <c r="S5183" t="n">
        <v>1700000</v>
      </c>
      <c r="T5183" t="n">
        <v>2993</v>
      </c>
      <c r="U5183" t="n">
        <v>14</v>
      </c>
      <c r="AH5183" t="inlineStr">
        <is>
          <t>Quelle: Balearic Properties</t>
        </is>
      </c>
    </row>
    <row r="5184">
      <c r="A5184" t="n">
        <v>4997</v>
      </c>
      <c r="B5184" t="inlineStr">
        <is>
          <t>Move-in-ready luxury town house for sale in Campanet, North Mallorca</t>
        </is>
      </c>
      <c r="C5184" t="inlineStr">
        <is>
          <t>https://www.balearic-properties.com/en/property/id/959669-luxury-townhouse-campanet-mallorca-html</t>
        </is>
      </c>
      <c r="E5184" t="n">
        <v>4</v>
      </c>
      <c r="G5184" t="n">
        <v>151</v>
      </c>
      <c r="H5184" t="n">
        <v>243</v>
      </c>
      <c r="J5184" t="inlineStr">
        <is>
          <t>Campanet</t>
        </is>
      </c>
      <c r="K5184" t="n">
        <v>46.9</v>
      </c>
      <c r="L5184" t="n">
        <v>38</v>
      </c>
      <c r="M5184" t="n">
        <v>65</v>
      </c>
      <c r="N5184" t="n">
        <v>65</v>
      </c>
      <c r="O5184" t="n">
        <v>69.5</v>
      </c>
      <c r="P5184" t="n">
        <v>54</v>
      </c>
      <c r="Q5184" t="n">
        <v>62.7</v>
      </c>
      <c r="R5184" t="n">
        <v>61</v>
      </c>
      <c r="S5184" t="n">
        <v>1795000</v>
      </c>
      <c r="T5184" t="n">
        <v>7387</v>
      </c>
      <c r="U5184" t="n">
        <v>11887</v>
      </c>
      <c r="AH5184" t="inlineStr">
        <is>
          <t>Quelle: Balearic Properties</t>
        </is>
      </c>
    </row>
    <row r="5185">
      <c r="A5185" t="n">
        <v>4998</v>
      </c>
      <c r="B5185" t="inlineStr">
        <is>
          <t>Charming villa with ETV license for sale on the outskirts of Soller village, Mallorca</t>
        </is>
      </c>
      <c r="C5185" t="inlineStr">
        <is>
          <t>https://www.balearic-properties.com/en/property/id/958298-villa-etv-license-soller-mallorca-html</t>
        </is>
      </c>
      <c r="E5185" t="n">
        <v>7</v>
      </c>
      <c r="G5185" t="n">
        <v>1710</v>
      </c>
      <c r="H5185" t="n">
        <v>432</v>
      </c>
      <c r="J5185" t="inlineStr">
        <is>
          <t>Sóller</t>
        </is>
      </c>
      <c r="K5185" t="n">
        <v>32.5</v>
      </c>
      <c r="L5185" t="n">
        <v>38</v>
      </c>
      <c r="M5185" t="n">
        <v>75.2</v>
      </c>
      <c r="N5185" t="n">
        <v>70</v>
      </c>
      <c r="O5185" t="n">
        <v>52.1</v>
      </c>
      <c r="P5185" t="n">
        <v>51</v>
      </c>
      <c r="Q5185" t="n">
        <v>72.90000000000001</v>
      </c>
      <c r="R5185" t="n">
        <v>67</v>
      </c>
      <c r="S5185" t="n">
        <v>2990000</v>
      </c>
      <c r="T5185" t="n">
        <v>6921</v>
      </c>
      <c r="U5185" t="n">
        <v>1749</v>
      </c>
      <c r="AH5185" t="inlineStr">
        <is>
          <t>Quelle: Balearic Properties</t>
        </is>
      </c>
    </row>
    <row r="5186">
      <c r="A5186" t="n">
        <v>4999</v>
      </c>
      <c r="B5186" t="inlineStr">
        <is>
          <t>Exclusive townhouse with stunning views for sale in Marratxí, Mallorca</t>
        </is>
      </c>
      <c r="C5186" t="inlineStr">
        <is>
          <t>https://www.balearic-properties.com/en/property/id/959172-exclusive-townhouse-with-stunning-views-for-sale-in-marratxi-mallorca-html</t>
        </is>
      </c>
      <c r="E5186" t="n">
        <v>3</v>
      </c>
      <c r="G5186" t="n">
        <v>406</v>
      </c>
      <c r="H5186" t="n">
        <v>290</v>
      </c>
      <c r="J5186" t="inlineStr">
        <is>
          <t>Marratxí</t>
        </is>
      </c>
      <c r="S5186" t="n">
        <v>950000</v>
      </c>
      <c r="T5186" t="n">
        <v>3276</v>
      </c>
      <c r="U5186" t="n">
        <v>2340</v>
      </c>
      <c r="AH5186" t="inlineStr">
        <is>
          <t>Quelle: Balearic Properties</t>
        </is>
      </c>
    </row>
    <row r="5187">
      <c r="A5187" t="n">
        <v>5000</v>
      </c>
      <c r="B5187" t="inlineStr">
        <is>
          <t>Country house with holiday rental license for sale in Felanitx, southeast Mallorca</t>
        </is>
      </c>
      <c r="C5187" t="inlineStr">
        <is>
          <t>https://www.balearic-properties.com/en/property/id/958362-country-house-etv-license-felanitx-mallorca-html</t>
        </is>
      </c>
      <c r="E5187" t="n">
        <v>7</v>
      </c>
      <c r="G5187" t="n">
        <v>25000</v>
      </c>
      <c r="H5187" t="n">
        <v>350</v>
      </c>
      <c r="J5187" t="inlineStr">
        <is>
          <t>Felanitx</t>
        </is>
      </c>
      <c r="K5187" t="n">
        <v>45</v>
      </c>
      <c r="L5187" t="n">
        <v>40</v>
      </c>
      <c r="M5187" t="n">
        <v>26.8</v>
      </c>
      <c r="N5187" t="n">
        <v>30</v>
      </c>
      <c r="O5187" t="n">
        <v>83.2</v>
      </c>
      <c r="P5187" t="n">
        <v>68</v>
      </c>
      <c r="Q5187" t="n">
        <v>24.5</v>
      </c>
      <c r="R5187" t="n">
        <v>26</v>
      </c>
      <c r="S5187" t="n">
        <v>3250000</v>
      </c>
      <c r="T5187" t="n">
        <v>9286</v>
      </c>
      <c r="U5187" t="n">
        <v>130</v>
      </c>
      <c r="AH5187" t="inlineStr">
        <is>
          <t>Quelle: Balearic Properties</t>
        </is>
      </c>
    </row>
    <row r="5188">
      <c r="A5188" t="n">
        <v>5001</v>
      </c>
      <c r="B5188" t="inlineStr">
        <is>
          <t>Elegant villa for sale in El Toro, Port Adriano, Southwest Mallorca</t>
        </is>
      </c>
      <c r="C5188" t="inlineStr">
        <is>
          <t>https://www.balearic-properties.com/en/property/id/959174-villa-pool-garden-port-adriano-mallorca-html</t>
        </is>
      </c>
      <c r="E5188" t="n">
        <v>4</v>
      </c>
      <c r="G5188" t="n">
        <v>1000</v>
      </c>
      <c r="H5188" t="n">
        <v>406</v>
      </c>
      <c r="J5188" t="inlineStr">
        <is>
          <t>El Toro - Port Adriano</t>
        </is>
      </c>
      <c r="K5188" t="n">
        <v>34.7</v>
      </c>
      <c r="L5188" t="n">
        <v>32</v>
      </c>
      <c r="M5188" t="n">
        <v>77.40000000000001</v>
      </c>
      <c r="N5188" t="n">
        <v>65</v>
      </c>
      <c r="O5188" t="n">
        <v>18.7</v>
      </c>
      <c r="P5188" t="n">
        <v>23</v>
      </c>
      <c r="Q5188" t="n">
        <v>75.09999999999999</v>
      </c>
      <c r="R5188" t="n">
        <v>61</v>
      </c>
      <c r="S5188" t="n">
        <v>2660000</v>
      </c>
      <c r="T5188" t="n">
        <v>6552</v>
      </c>
      <c r="U5188" t="n">
        <v>2660</v>
      </c>
      <c r="AH5188" t="inlineStr">
        <is>
          <t>Quelle: Balearic Properties</t>
        </is>
      </c>
    </row>
    <row r="5189">
      <c r="A5189" t="n">
        <v>5002</v>
      </c>
      <c r="B5189" t="inlineStr">
        <is>
          <t>Sunny 2 bedroom apartment for sale near Es Trenc, Southeast Mallorca</t>
        </is>
      </c>
      <c r="C5189" t="inlineStr">
        <is>
          <t>https://www.balearic-properties.com/en/property/id/959086-sunny-apartment-es-trenc-mallorca-html</t>
        </is>
      </c>
      <c r="E5189" t="n">
        <v>2</v>
      </c>
      <c r="G5189" t="n">
        <v>0</v>
      </c>
      <c r="H5189" t="n">
        <v>85</v>
      </c>
      <c r="J5189" t="inlineStr">
        <is>
          <t>La Rapita</t>
        </is>
      </c>
      <c r="S5189" t="n">
        <v>465000</v>
      </c>
      <c r="T5189" t="n">
        <v>5471</v>
      </c>
      <c r="AH5189" t="inlineStr">
        <is>
          <t>Quelle: Balearic Properties</t>
        </is>
      </c>
    </row>
    <row r="5190">
      <c r="A5190" t="n">
        <v>5003</v>
      </c>
      <c r="B5190" t="inlineStr">
        <is>
          <t>Ground floor duplex apartment for sale in the heart of Palma Old Town, Mallorca</t>
        </is>
      </c>
      <c r="C5190" t="inlineStr">
        <is>
          <t>https://www.balearic-properties.com/en/property/id/939812-renovated-duplex-apartment-palma-mallorca-html</t>
        </is>
      </c>
      <c r="E5190" t="n">
        <v>2</v>
      </c>
      <c r="G5190" t="n">
        <v>0</v>
      </c>
      <c r="H5190" t="n">
        <v>190</v>
      </c>
      <c r="J5190" t="inlineStr">
        <is>
          <t>Palma Casco Antiguo</t>
        </is>
      </c>
      <c r="K5190" t="n">
        <v>9.699999999999999</v>
      </c>
      <c r="L5190" t="n">
        <v>14</v>
      </c>
      <c r="M5190" t="n">
        <v>52.5</v>
      </c>
      <c r="N5190" t="n">
        <v>47</v>
      </c>
      <c r="O5190" t="n">
        <v>32.1</v>
      </c>
      <c r="P5190" t="n">
        <v>36</v>
      </c>
      <c r="Q5190" t="n">
        <v>50.2</v>
      </c>
      <c r="R5190" t="n">
        <v>44</v>
      </c>
      <c r="S5190" t="n">
        <v>1950000</v>
      </c>
      <c r="T5190" t="n">
        <v>10263</v>
      </c>
      <c r="AH5190" t="inlineStr">
        <is>
          <t>Quelle: Balearic Properties</t>
        </is>
      </c>
    </row>
    <row r="5191">
      <c r="A5191" t="n">
        <v>5004</v>
      </c>
      <c r="B5191" t="inlineStr">
        <is>
          <t>Fully renovated penthouse for sale in the heart of Palma Old Town, Mallorca</t>
        </is>
      </c>
      <c r="C5191" t="inlineStr">
        <is>
          <t>https://www.balearic-properties.com/en/property/id/939547-renovated-penthouse-palma-old-town-mallorca-html</t>
        </is>
      </c>
      <c r="E5191" t="n">
        <v>4</v>
      </c>
      <c r="G5191" t="n">
        <v>0</v>
      </c>
      <c r="H5191" t="n">
        <v>171</v>
      </c>
      <c r="J5191" t="inlineStr">
        <is>
          <t>Palma Casco Antiguo</t>
        </is>
      </c>
      <c r="K5191" t="n">
        <v>9.699999999999999</v>
      </c>
      <c r="L5191" t="n">
        <v>14</v>
      </c>
      <c r="M5191" t="n">
        <v>52.5</v>
      </c>
      <c r="N5191" t="n">
        <v>47</v>
      </c>
      <c r="O5191" t="n">
        <v>32.1</v>
      </c>
      <c r="P5191" t="n">
        <v>36</v>
      </c>
      <c r="Q5191" t="n">
        <v>50.2</v>
      </c>
      <c r="R5191" t="n">
        <v>44</v>
      </c>
      <c r="S5191" t="n">
        <v>2590000</v>
      </c>
      <c r="T5191" t="n">
        <v>15146</v>
      </c>
      <c r="AH5191" t="inlineStr">
        <is>
          <t>Quelle: Balearic Properties</t>
        </is>
      </c>
    </row>
    <row r="5192">
      <c r="A5192" t="n">
        <v>5005</v>
      </c>
      <c r="B5192" t="inlineStr">
        <is>
          <t>Charming village house for sale with large pool and rental license in Pollença, North Mallorca</t>
        </is>
      </c>
      <c r="C5192" t="inlineStr">
        <is>
          <t>https://www.balearic-properties.com/en/property/id/955999-town-house-pool-pollensa-mallorca-html</t>
        </is>
      </c>
      <c r="E5192" t="n">
        <v>3</v>
      </c>
      <c r="G5192" t="n">
        <v>263</v>
      </c>
      <c r="H5192" t="n">
        <v>174</v>
      </c>
      <c r="J5192" t="inlineStr">
        <is>
          <t>Pollença</t>
        </is>
      </c>
      <c r="K5192" t="n">
        <v>60.6</v>
      </c>
      <c r="L5192" t="n">
        <v>47</v>
      </c>
      <c r="M5192" t="n">
        <v>78.7</v>
      </c>
      <c r="N5192" t="n">
        <v>74</v>
      </c>
      <c r="O5192" t="n">
        <v>83.2</v>
      </c>
      <c r="P5192" t="n">
        <v>63</v>
      </c>
      <c r="Q5192" t="n">
        <v>76.40000000000001</v>
      </c>
      <c r="R5192" t="n">
        <v>70</v>
      </c>
      <c r="S5192" t="n">
        <v>1735000</v>
      </c>
      <c r="T5192" t="n">
        <v>9971</v>
      </c>
      <c r="U5192" t="n">
        <v>6597</v>
      </c>
      <c r="AH5192" t="inlineStr">
        <is>
          <t>Quelle: Balearic Properties</t>
        </is>
      </c>
    </row>
    <row r="5193">
      <c r="A5193" t="n">
        <v>5006</v>
      </c>
      <c r="B5193" t="inlineStr">
        <is>
          <t>Incredible sea view house for sale in Puerto Andratx, Southwest Mallorca</t>
        </is>
      </c>
      <c r="C5193" t="inlineStr">
        <is>
          <t>https://www.balearic-properties.com/en/property/id/957823-modern-house-sea-view-puerto-andratx-mallorca-html</t>
        </is>
      </c>
      <c r="E5193" t="n">
        <v>4</v>
      </c>
      <c r="G5193" t="n">
        <v>0</v>
      </c>
      <c r="H5193" t="n">
        <v>186</v>
      </c>
      <c r="J5193" t="inlineStr">
        <is>
          <t>Puerto Andratx</t>
        </is>
      </c>
      <c r="K5193" t="n">
        <v>43.5</v>
      </c>
      <c r="L5193" t="n">
        <v>38</v>
      </c>
      <c r="M5193" t="n">
        <v>86.2</v>
      </c>
      <c r="N5193" t="n">
        <v>71</v>
      </c>
      <c r="O5193" t="n">
        <v>6.3</v>
      </c>
      <c r="P5193" t="n">
        <v>11</v>
      </c>
      <c r="Q5193" t="n">
        <v>83.90000000000001</v>
      </c>
      <c r="R5193" t="n">
        <v>68</v>
      </c>
      <c r="S5193" t="n">
        <v>3850000</v>
      </c>
      <c r="T5193" t="n">
        <v>20699</v>
      </c>
      <c r="AH5193" t="inlineStr">
        <is>
          <t>Quelle: Balearic Properties</t>
        </is>
      </c>
    </row>
    <row r="5194">
      <c r="A5194" t="n">
        <v>5007</v>
      </c>
      <c r="B5194" t="inlineStr">
        <is>
          <t>Renovated rustic finca with guest house for sale in Sencelles, Central Mallorca</t>
        </is>
      </c>
      <c r="C5194" t="inlineStr">
        <is>
          <t>https://www.balearic-properties.com/en/property/id/956594-renovated-finca-guest-house-sencelles-mallorca-html</t>
        </is>
      </c>
      <c r="E5194" t="n">
        <v>4</v>
      </c>
      <c r="G5194" t="n">
        <v>15851</v>
      </c>
      <c r="H5194" t="n">
        <v>320</v>
      </c>
      <c r="J5194" t="inlineStr">
        <is>
          <t>Sencelles</t>
        </is>
      </c>
      <c r="K5194" t="n">
        <v>34.2</v>
      </c>
      <c r="L5194" t="n">
        <v>32</v>
      </c>
      <c r="M5194" t="n">
        <v>46.4</v>
      </c>
      <c r="N5194" t="n">
        <v>50</v>
      </c>
      <c r="O5194" t="n">
        <v>56.8</v>
      </c>
      <c r="P5194" t="n">
        <v>48</v>
      </c>
      <c r="Q5194" t="n">
        <v>44.1</v>
      </c>
      <c r="R5194" t="n">
        <v>46</v>
      </c>
      <c r="S5194" t="n">
        <v>1800000</v>
      </c>
      <c r="T5194" t="n">
        <v>5625</v>
      </c>
      <c r="U5194" t="n">
        <v>114</v>
      </c>
      <c r="AH5194" t="inlineStr">
        <is>
          <t>Quelle: Balearic Properties</t>
        </is>
      </c>
    </row>
    <row r="5195">
      <c r="A5195" t="n">
        <v>5008</v>
      </c>
      <c r="B5195" t="inlineStr">
        <is>
          <t>Family home close to schools in Palma de Mallorca, just 10 minutes from the Old Town</t>
        </is>
      </c>
      <c r="C5195" t="inlineStr">
        <is>
          <t>https://www.balearic-properties.com/en/property/id/940306-house-son-dureta-palma-mallorca-html</t>
        </is>
      </c>
      <c r="E5195" t="n">
        <v>5</v>
      </c>
      <c r="G5195" t="n">
        <v>595</v>
      </c>
      <c r="H5195" t="n">
        <v>467</v>
      </c>
      <c r="J5195" t="inlineStr">
        <is>
          <t>Palma de Mallorca</t>
        </is>
      </c>
      <c r="K5195" t="n">
        <v>9.699999999999999</v>
      </c>
      <c r="L5195" t="n">
        <v>14</v>
      </c>
      <c r="M5195" t="n">
        <v>52.5</v>
      </c>
      <c r="N5195" t="n">
        <v>47</v>
      </c>
      <c r="O5195" t="n">
        <v>32.1</v>
      </c>
      <c r="P5195" t="n">
        <v>36</v>
      </c>
      <c r="Q5195" t="n">
        <v>50.2</v>
      </c>
      <c r="R5195" t="n">
        <v>44</v>
      </c>
      <c r="S5195" t="n">
        <v>1950000</v>
      </c>
      <c r="T5195" t="n">
        <v>4176</v>
      </c>
      <c r="U5195" t="n">
        <v>3277</v>
      </c>
      <c r="AH5195" t="inlineStr">
        <is>
          <t>Quelle: Balearic Properties</t>
        </is>
      </c>
    </row>
    <row r="5196">
      <c r="A5196" t="n">
        <v>5009</v>
      </c>
      <c r="B5196" t="inlineStr">
        <is>
          <t>Elegant sea-view apartment for sale in prestigious Bendinat, Southwest Mallorca</t>
        </is>
      </c>
      <c r="C5196" t="inlineStr">
        <is>
          <t>https://www.balearic-properties.com/en/property/id/957339-sea-view-apartment-bendinat-mallorca-html</t>
        </is>
      </c>
      <c r="E5196" t="n">
        <v>4</v>
      </c>
      <c r="G5196" t="n">
        <v>156</v>
      </c>
      <c r="H5196" t="n">
        <v>129</v>
      </c>
      <c r="J5196" t="inlineStr">
        <is>
          <t>Golf Bendinat</t>
        </is>
      </c>
      <c r="K5196" t="n">
        <v>23.1</v>
      </c>
      <c r="L5196" t="n">
        <v>22</v>
      </c>
      <c r="M5196" t="n">
        <v>65.8</v>
      </c>
      <c r="N5196" t="n">
        <v>55</v>
      </c>
      <c r="O5196" t="n">
        <v>23.2</v>
      </c>
      <c r="P5196" t="n">
        <v>23</v>
      </c>
      <c r="Q5196" t="n">
        <v>63.5</v>
      </c>
      <c r="R5196" t="n">
        <v>51</v>
      </c>
      <c r="S5196" t="n">
        <v>1595000</v>
      </c>
      <c r="T5196" t="n">
        <v>12364</v>
      </c>
      <c r="U5196" t="n">
        <v>10224</v>
      </c>
      <c r="AH5196" t="inlineStr">
        <is>
          <t>Quelle: Balearic Properties</t>
        </is>
      </c>
    </row>
    <row r="5197">
      <c r="A5197" t="n">
        <v>5010</v>
      </c>
      <c r="B5197" t="inlineStr">
        <is>
          <t>Elegant Ibizan-style finca for sale in Sant Llorenc, East Mallorca</t>
        </is>
      </c>
      <c r="C5197" t="inlineStr">
        <is>
          <t>https://www.balearic-properties.com/en/property/id/956600-ibizan-style-finca-manacor-mallorca-html</t>
        </is>
      </c>
      <c r="E5197" t="n">
        <v>5</v>
      </c>
      <c r="G5197" t="n">
        <v>43606</v>
      </c>
      <c r="H5197" t="n">
        <v>979</v>
      </c>
      <c r="J5197" t="inlineStr">
        <is>
          <t>Sant Llorenç des Cardassar</t>
        </is>
      </c>
      <c r="K5197" t="n">
        <v>56.7</v>
      </c>
      <c r="L5197" t="n">
        <v>49</v>
      </c>
      <c r="M5197" t="n">
        <v>52</v>
      </c>
      <c r="N5197" t="n">
        <v>52</v>
      </c>
      <c r="O5197" t="n">
        <v>90.90000000000001</v>
      </c>
      <c r="P5197" t="n">
        <v>73</v>
      </c>
      <c r="Q5197" t="n">
        <v>49.7</v>
      </c>
      <c r="R5197" t="n">
        <v>48</v>
      </c>
      <c r="S5197" t="n">
        <v>7000000</v>
      </c>
      <c r="T5197" t="n">
        <v>7150</v>
      </c>
      <c r="U5197" t="n">
        <v>161</v>
      </c>
      <c r="AH5197" t="inlineStr">
        <is>
          <t>Quelle: Balearic Properties</t>
        </is>
      </c>
    </row>
    <row r="5198">
      <c r="A5198" t="n">
        <v>5011</v>
      </c>
      <c r="B5198" t="inlineStr">
        <is>
          <t>Unique renovated town house for sale in Palma Old Town, Mallorca</t>
        </is>
      </c>
      <c r="C5198" t="inlineStr">
        <is>
          <t>https://www.balearic-properties.com/en/property/id/957970-townhouse-patio-garage-palma-old-town-mallorca-html</t>
        </is>
      </c>
      <c r="E5198" t="n">
        <v>4</v>
      </c>
      <c r="G5198" t="n">
        <v>40</v>
      </c>
      <c r="H5198" t="n">
        <v>286</v>
      </c>
      <c r="J5198" t="inlineStr">
        <is>
          <t>Palma Casco Antiguo</t>
        </is>
      </c>
      <c r="K5198" t="n">
        <v>9.699999999999999</v>
      </c>
      <c r="L5198" t="n">
        <v>14</v>
      </c>
      <c r="M5198" t="n">
        <v>52.5</v>
      </c>
      <c r="N5198" t="n">
        <v>47</v>
      </c>
      <c r="O5198" t="n">
        <v>32.1</v>
      </c>
      <c r="P5198" t="n">
        <v>36</v>
      </c>
      <c r="Q5198" t="n">
        <v>50.2</v>
      </c>
      <c r="R5198" t="n">
        <v>44</v>
      </c>
      <c r="S5198" t="n">
        <v>2480000</v>
      </c>
      <c r="T5198" t="n">
        <v>8671</v>
      </c>
      <c r="U5198" t="n">
        <v>62000</v>
      </c>
      <c r="AH5198" t="inlineStr">
        <is>
          <t>Quelle: Balearic Properties</t>
        </is>
      </c>
    </row>
    <row r="5199">
      <c r="A5199" t="n">
        <v>5012</v>
      </c>
      <c r="B5199" t="inlineStr">
        <is>
          <t>Bright, newly built finca for sale in peaceful Sencelles, Central Mallorca</t>
        </is>
      </c>
      <c r="C5199" t="inlineStr">
        <is>
          <t>https://www.balearic-properties.com/en/property/id/951063-new-finca-peaceful-sencelles-mallorca-html</t>
        </is>
      </c>
      <c r="E5199" t="n">
        <v>5</v>
      </c>
      <c r="G5199" t="n">
        <v>40094</v>
      </c>
      <c r="H5199" t="n">
        <v>694</v>
      </c>
      <c r="J5199" t="inlineStr">
        <is>
          <t>Sencelles</t>
        </is>
      </c>
      <c r="K5199" t="n">
        <v>34.2</v>
      </c>
      <c r="L5199" t="n">
        <v>32</v>
      </c>
      <c r="M5199" t="n">
        <v>46.4</v>
      </c>
      <c r="N5199" t="n">
        <v>50</v>
      </c>
      <c r="O5199" t="n">
        <v>56.8</v>
      </c>
      <c r="P5199" t="n">
        <v>48</v>
      </c>
      <c r="Q5199" t="n">
        <v>44.1</v>
      </c>
      <c r="R5199" t="n">
        <v>46</v>
      </c>
      <c r="S5199" t="n">
        <v>3600000</v>
      </c>
      <c r="T5199" t="n">
        <v>5187</v>
      </c>
      <c r="U5199" t="n">
        <v>90</v>
      </c>
      <c r="AH5199" t="inlineStr">
        <is>
          <t>Quelle: Balearic Properties</t>
        </is>
      </c>
    </row>
    <row r="5200">
      <c r="A5200" t="n">
        <v>5013</v>
      </c>
      <c r="B5200" t="inlineStr">
        <is>
          <t>Exclusive new countryside villa for sale in Sencelles, Central Mallorca</t>
        </is>
      </c>
      <c r="C5200" t="inlineStr">
        <is>
          <t>https://www.balearic-properties.com/en/property/id/955310-new-countryside-villa-sencelles-mallorca-html</t>
        </is>
      </c>
      <c r="E5200" t="n">
        <v>4</v>
      </c>
      <c r="G5200" t="n">
        <v>23000</v>
      </c>
      <c r="H5200" t="n">
        <v>340</v>
      </c>
      <c r="J5200" t="inlineStr">
        <is>
          <t>Sencelles</t>
        </is>
      </c>
      <c r="K5200" t="n">
        <v>34.2</v>
      </c>
      <c r="L5200" t="n">
        <v>32</v>
      </c>
      <c r="M5200" t="n">
        <v>46.4</v>
      </c>
      <c r="N5200" t="n">
        <v>50</v>
      </c>
      <c r="O5200" t="n">
        <v>56.8</v>
      </c>
      <c r="P5200" t="n">
        <v>48</v>
      </c>
      <c r="Q5200" t="n">
        <v>44.1</v>
      </c>
      <c r="R5200" t="n">
        <v>46</v>
      </c>
      <c r="S5200" t="n">
        <v>2300000</v>
      </c>
      <c r="T5200" t="n">
        <v>6765</v>
      </c>
      <c r="U5200" t="n">
        <v>100</v>
      </c>
      <c r="AH5200" t="inlineStr">
        <is>
          <t>Quelle: Balearic Properties</t>
        </is>
      </c>
    </row>
    <row r="5201">
      <c r="A5201" t="n">
        <v>5014</v>
      </c>
      <c r="B5201" t="inlineStr">
        <is>
          <t>Brand new Penthouse development with roof terrace for sale in Es Trenc, Mallorca</t>
        </is>
      </c>
      <c r="C5201" t="inlineStr">
        <is>
          <t>https://www.balearic-properties.com/en/property/id/834621-exclusive-penthouse-development-with-roof-terrace-for-sale-in-es-trenc-mallorca-html</t>
        </is>
      </c>
      <c r="E5201" t="n">
        <v>2</v>
      </c>
      <c r="G5201" t="n">
        <v>0</v>
      </c>
      <c r="H5201" t="n">
        <v>94</v>
      </c>
      <c r="J5201" t="inlineStr">
        <is>
          <t>Es Trenc</t>
        </is>
      </c>
      <c r="S5201" t="n">
        <v>748000</v>
      </c>
      <c r="T5201" t="n">
        <v>7957</v>
      </c>
      <c r="AH5201" t="inlineStr">
        <is>
          <t>Quelle: Balearic Properties</t>
        </is>
      </c>
    </row>
    <row r="5202">
      <c r="A5202" t="n">
        <v>5015</v>
      </c>
      <c r="B5202" t="inlineStr">
        <is>
          <t>Modern duplex with garden for sale in privileged El Toro, Southwest Mallorca</t>
        </is>
      </c>
      <c r="C5202" t="inlineStr">
        <is>
          <t>https://www.balearic-properties.com/en/property/id/955299-duplex-garden-el-toro-adriano-mallorca-html</t>
        </is>
      </c>
      <c r="E5202" t="n">
        <v>2</v>
      </c>
      <c r="G5202" t="n">
        <v>146</v>
      </c>
      <c r="H5202" t="n">
        <v>94</v>
      </c>
      <c r="J5202" t="inlineStr">
        <is>
          <t>El Toro - Port Adriano</t>
        </is>
      </c>
      <c r="S5202" t="n">
        <v>750000</v>
      </c>
      <c r="T5202" t="n">
        <v>7979</v>
      </c>
      <c r="U5202" t="n">
        <v>5137</v>
      </c>
      <c r="AH5202" t="inlineStr">
        <is>
          <t>Quelle: Balearic Properties</t>
        </is>
      </c>
    </row>
    <row r="5203">
      <c r="A5203" t="n">
        <v>5016</v>
      </c>
      <c r="B5203" t="inlineStr">
        <is>
          <t>Charming penthouse for sale near the beach in Son Caliu, Southwest Mallorca</t>
        </is>
      </c>
      <c r="C5203" t="inlineStr">
        <is>
          <t>https://www.balearic-properties.com/en/property/id/956100-charming-penthouse-beach-son-caliu-mallorca-html</t>
        </is>
      </c>
      <c r="E5203" t="n">
        <v>4</v>
      </c>
      <c r="G5203" t="n">
        <v>0</v>
      </c>
      <c r="H5203" t="n">
        <v>164</v>
      </c>
      <c r="J5203" t="inlineStr">
        <is>
          <t>Son Caliu</t>
        </is>
      </c>
      <c r="S5203" t="n">
        <v>895000</v>
      </c>
      <c r="T5203" t="n">
        <v>5457</v>
      </c>
      <c r="AH5203" t="inlineStr">
        <is>
          <t>Quelle: Balearic Properties</t>
        </is>
      </c>
    </row>
    <row r="5204">
      <c r="A5204" t="n">
        <v>5017</v>
      </c>
      <c r="B5204" t="inlineStr">
        <is>
          <t>Stylish modernised villa for sale in Nova Santa Ponsa, Southwest Mallorca</t>
        </is>
      </c>
      <c r="C5204" t="inlineStr">
        <is>
          <t>https://www.balearic-properties.com/en/property/id/957192-modernised-villa-santa-ponsa-mallorca-html</t>
        </is>
      </c>
      <c r="E5204" t="n">
        <v>4</v>
      </c>
      <c r="G5204" t="n">
        <v>1089</v>
      </c>
      <c r="H5204" t="n">
        <v>300</v>
      </c>
      <c r="J5204" t="inlineStr">
        <is>
          <t>Santa Ponsa</t>
        </is>
      </c>
      <c r="K5204" t="n">
        <v>31.1</v>
      </c>
      <c r="L5204" t="n">
        <v>28</v>
      </c>
      <c r="M5204" t="n">
        <v>73.90000000000001</v>
      </c>
      <c r="N5204" t="n">
        <v>61</v>
      </c>
      <c r="O5204" t="n">
        <v>15.2</v>
      </c>
      <c r="P5204" t="n">
        <v>19</v>
      </c>
      <c r="Q5204" t="n">
        <v>71.59999999999999</v>
      </c>
      <c r="R5204" t="n">
        <v>57</v>
      </c>
      <c r="S5204" t="n">
        <v>3250000</v>
      </c>
      <c r="T5204" t="n">
        <v>10833</v>
      </c>
      <c r="U5204" t="n">
        <v>2984</v>
      </c>
      <c r="AH5204" t="inlineStr">
        <is>
          <t>Quelle: Balearic Properties</t>
        </is>
      </c>
    </row>
    <row r="5205">
      <c r="A5205" t="n">
        <v>5018</v>
      </c>
      <c r="B5205" t="inlineStr">
        <is>
          <t>Exclusive modern villa with tourist rental license near Pollensa, North Mallorca</t>
        </is>
      </c>
      <c r="C5205" t="inlineStr">
        <is>
          <t>https://www.balearic-properties.com/en/property/id/588836-luminous-villa-subach-pollensa-mallorca-html</t>
        </is>
      </c>
      <c r="E5205" t="n">
        <v>3</v>
      </c>
      <c r="G5205" t="n">
        <v>1030</v>
      </c>
      <c r="H5205" t="n">
        <v>271</v>
      </c>
      <c r="J5205" t="inlineStr">
        <is>
          <t>Pollença</t>
        </is>
      </c>
      <c r="S5205" t="n">
        <v>950000</v>
      </c>
      <c r="T5205" t="n">
        <v>3506</v>
      </c>
      <c r="U5205" t="n">
        <v>922</v>
      </c>
      <c r="AH5205" t="inlineStr">
        <is>
          <t>Quelle: Balearic Properties</t>
        </is>
      </c>
    </row>
    <row r="5206">
      <c r="A5206" t="n">
        <v>5019</v>
      </c>
      <c r="B5206" t="inlineStr">
        <is>
          <t>Traditional Mediterranean farmhouse retreat for sale in Santanyí, Southeast Mallorca</t>
        </is>
      </c>
      <c r="C5206" t="inlineStr">
        <is>
          <t>https://www.balearic-properties.com/en/property/id/955450-luxury-estate-santanyi-mallorca-html</t>
        </is>
      </c>
      <c r="E5206" t="n">
        <v>10</v>
      </c>
      <c r="G5206" t="n">
        <v>100000</v>
      </c>
      <c r="H5206" t="n">
        <v>3249</v>
      </c>
      <c r="J5206" t="inlineStr">
        <is>
          <t>Santanyí</t>
        </is>
      </c>
      <c r="K5206" t="n">
        <v>45.4</v>
      </c>
      <c r="L5206" t="n">
        <v>39</v>
      </c>
      <c r="M5206" t="n">
        <v>9</v>
      </c>
      <c r="N5206" t="n">
        <v>13</v>
      </c>
      <c r="O5206" t="n">
        <v>83.59999999999999</v>
      </c>
      <c r="P5206" t="n">
        <v>67</v>
      </c>
      <c r="Q5206" t="n">
        <v>9.699999999999999</v>
      </c>
      <c r="R5206" t="n">
        <v>15</v>
      </c>
      <c r="S5206" t="n">
        <v>10000000</v>
      </c>
      <c r="T5206" t="n">
        <v>3078</v>
      </c>
      <c r="U5206" t="n">
        <v>100</v>
      </c>
      <c r="AH5206" t="inlineStr">
        <is>
          <t>Quelle: Balearic Properties</t>
        </is>
      </c>
    </row>
    <row r="5207">
      <c r="A5207" t="n">
        <v>5020</v>
      </c>
      <c r="B5207" t="inlineStr">
        <is>
          <t>Sea-view villa with infinity pool for sale in Puerto Andratx, Southwest Mallorca</t>
        </is>
      </c>
      <c r="C5207" t="inlineStr">
        <is>
          <t>https://www.balearic-properties.com/en/property/id/955893-sea-view-villa-pool-port-andratx-mallorca-html</t>
        </is>
      </c>
      <c r="E5207" t="n">
        <v>3</v>
      </c>
      <c r="G5207" t="n">
        <v>1823</v>
      </c>
      <c r="H5207" t="n">
        <v>573</v>
      </c>
      <c r="J5207" t="inlineStr">
        <is>
          <t>Puerto Andratx</t>
        </is>
      </c>
      <c r="K5207" t="n">
        <v>43.5</v>
      </c>
      <c r="L5207" t="n">
        <v>38</v>
      </c>
      <c r="M5207" t="n">
        <v>86.2</v>
      </c>
      <c r="N5207" t="n">
        <v>71</v>
      </c>
      <c r="O5207" t="n">
        <v>6.3</v>
      </c>
      <c r="P5207" t="n">
        <v>11</v>
      </c>
      <c r="Q5207" t="n">
        <v>83.90000000000001</v>
      </c>
      <c r="R5207" t="n">
        <v>68</v>
      </c>
      <c r="S5207" t="n">
        <v>9950000</v>
      </c>
      <c r="T5207" t="n">
        <v>17365</v>
      </c>
      <c r="U5207" t="n">
        <v>5458</v>
      </c>
      <c r="AH5207" t="inlineStr">
        <is>
          <t>Quelle: Balearic Properties</t>
        </is>
      </c>
    </row>
    <row r="5208">
      <c r="A5208" t="n">
        <v>5021</v>
      </c>
      <c r="B5208" t="inlineStr">
        <is>
          <t>Marina view apartment for sale in Puerto Andratx, Southwest Mallorca</t>
        </is>
      </c>
      <c r="C5208" t="inlineStr">
        <is>
          <t>https://www.balearic-properties.com/en/property/id/957463-apartment-harbour-views-port-andratx-mallorca-html</t>
        </is>
      </c>
      <c r="E5208" t="n">
        <v>3</v>
      </c>
      <c r="G5208" t="n">
        <v>0</v>
      </c>
      <c r="H5208" t="n">
        <v>148</v>
      </c>
      <c r="J5208" t="inlineStr">
        <is>
          <t>Puerto Andratx</t>
        </is>
      </c>
      <c r="K5208" t="n">
        <v>43.5</v>
      </c>
      <c r="L5208" t="n">
        <v>38</v>
      </c>
      <c r="M5208" t="n">
        <v>86.2</v>
      </c>
      <c r="N5208" t="n">
        <v>71</v>
      </c>
      <c r="O5208" t="n">
        <v>6.3</v>
      </c>
      <c r="P5208" t="n">
        <v>11</v>
      </c>
      <c r="Q5208" t="n">
        <v>83.90000000000001</v>
      </c>
      <c r="R5208" t="n">
        <v>68</v>
      </c>
      <c r="S5208" t="n">
        <v>2680000</v>
      </c>
      <c r="T5208" t="n">
        <v>18108</v>
      </c>
      <c r="AH5208" t="inlineStr">
        <is>
          <t>Quelle: Balearic Properties</t>
        </is>
      </c>
    </row>
    <row r="5209">
      <c r="A5209" t="n">
        <v>5022</v>
      </c>
      <c r="B5209" t="inlineStr">
        <is>
          <t>Stunning brand-new villa for Sale in Bonaire, North Mallorca</t>
        </is>
      </c>
      <c r="C5209" t="inlineStr">
        <is>
          <t>https://www.balearic-properties.com/en/property/id/953535-stunning-brand-new-villa-bonaire-mallorca-html</t>
        </is>
      </c>
      <c r="E5209" t="n">
        <v>3</v>
      </c>
      <c r="G5209" t="n">
        <v>558</v>
      </c>
      <c r="H5209" t="n">
        <v>100</v>
      </c>
      <c r="J5209" t="inlineStr">
        <is>
          <t>Bonaire</t>
        </is>
      </c>
      <c r="S5209" t="n">
        <v>950000</v>
      </c>
      <c r="T5209" t="n">
        <v>9500</v>
      </c>
      <c r="U5209" t="n">
        <v>1703</v>
      </c>
      <c r="AH5209" t="inlineStr">
        <is>
          <t>Quelle: Balearic Properties</t>
        </is>
      </c>
    </row>
    <row r="5210">
      <c r="A5210" t="n">
        <v>5023</v>
      </c>
      <c r="B5210" t="inlineStr">
        <is>
          <t>Exceptional rural property for sale in Alcúdia, North Mallorca</t>
        </is>
      </c>
      <c r="C5210" t="inlineStr">
        <is>
          <t>https://www.balearic-properties.com/en/property/id/954081-rural-property-sea-views-alcudia-mallorca-html</t>
        </is>
      </c>
      <c r="E5210" t="n">
        <v>4</v>
      </c>
      <c r="G5210" t="n">
        <v>17000</v>
      </c>
      <c r="H5210" t="n">
        <v>360</v>
      </c>
      <c r="J5210" t="inlineStr">
        <is>
          <t>Alcúdia</t>
        </is>
      </c>
      <c r="K5210" t="n">
        <v>61.6</v>
      </c>
      <c r="L5210" t="n">
        <v>47</v>
      </c>
      <c r="M5210" t="n">
        <v>79.7</v>
      </c>
      <c r="N5210" t="n">
        <v>74</v>
      </c>
      <c r="O5210" t="n">
        <v>84.2</v>
      </c>
      <c r="P5210" t="n">
        <v>63</v>
      </c>
      <c r="Q5210" t="n">
        <v>77.40000000000001</v>
      </c>
      <c r="R5210" t="n">
        <v>70</v>
      </c>
      <c r="S5210" t="n">
        <v>1290000</v>
      </c>
      <c r="T5210" t="n">
        <v>3583</v>
      </c>
      <c r="U5210" t="n">
        <v>76</v>
      </c>
      <c r="AH5210" t="inlineStr">
        <is>
          <t>Quelle: Balearic Properties</t>
        </is>
      </c>
    </row>
    <row r="5211">
      <c r="A5211" t="n">
        <v>5024</v>
      </c>
      <c r="B5211" t="inlineStr">
        <is>
          <t>Attractive family villa with holiday license for sale in Llucmajor, Mallorca</t>
        </is>
      </c>
      <c r="C5211" t="inlineStr">
        <is>
          <t>https://www.balearic-properties.com/en/property/id/833063-villa-holiday-license-sea-views-llucmajor-mallorca-html</t>
        </is>
      </c>
      <c r="E5211" t="n">
        <v>5</v>
      </c>
      <c r="G5211" t="n">
        <v>1807</v>
      </c>
      <c r="H5211" t="n">
        <v>583</v>
      </c>
      <c r="J5211" t="inlineStr">
        <is>
          <t>Sa Torre</t>
        </is>
      </c>
      <c r="K5211" t="n">
        <v>17</v>
      </c>
      <c r="L5211" t="n">
        <v>19</v>
      </c>
      <c r="M5211" t="n">
        <v>41.9</v>
      </c>
      <c r="N5211" t="n">
        <v>41</v>
      </c>
      <c r="O5211" t="n">
        <v>55.2</v>
      </c>
      <c r="P5211" t="n">
        <v>47</v>
      </c>
      <c r="Q5211" t="n">
        <v>39.6</v>
      </c>
      <c r="R5211" t="n">
        <v>38</v>
      </c>
      <c r="S5211" t="n">
        <v>3000000</v>
      </c>
      <c r="T5211" t="n">
        <v>5146</v>
      </c>
      <c r="U5211" t="n">
        <v>1660</v>
      </c>
      <c r="AH5211" t="inlineStr">
        <is>
          <t>Quelle: Balearic Properties</t>
        </is>
      </c>
    </row>
    <row r="5212">
      <c r="A5212" t="n">
        <v>5025</v>
      </c>
      <c r="B5212" t="inlineStr">
        <is>
          <t>Charming townhouse for sale in the heart of Santanyi, Southeast Mallorca</t>
        </is>
      </c>
      <c r="C5212" t="inlineStr">
        <is>
          <t>https://www.balearic-properties.com/en/property/id/956598-townhouse-pool-lift-santanyi-mallorca-html</t>
        </is>
      </c>
      <c r="E5212" t="n">
        <v>4</v>
      </c>
      <c r="G5212" t="n">
        <v>210</v>
      </c>
      <c r="H5212" t="n">
        <v>439</v>
      </c>
      <c r="J5212" t="inlineStr">
        <is>
          <t>Santanyí</t>
        </is>
      </c>
      <c r="K5212" t="n">
        <v>45.4</v>
      </c>
      <c r="L5212" t="n">
        <v>39</v>
      </c>
      <c r="M5212" t="n">
        <v>9</v>
      </c>
      <c r="N5212" t="n">
        <v>13</v>
      </c>
      <c r="O5212" t="n">
        <v>83.59999999999999</v>
      </c>
      <c r="P5212" t="n">
        <v>67</v>
      </c>
      <c r="Q5212" t="n">
        <v>9.699999999999999</v>
      </c>
      <c r="R5212" t="n">
        <v>15</v>
      </c>
      <c r="S5212" t="n">
        <v>2350000</v>
      </c>
      <c r="T5212" t="n">
        <v>5353</v>
      </c>
      <c r="U5212" t="n">
        <v>11190</v>
      </c>
      <c r="AH5212" t="inlineStr">
        <is>
          <t>Quelle: Balearic Properties</t>
        </is>
      </c>
    </row>
    <row r="5213">
      <c r="A5213" t="n">
        <v>5026</v>
      </c>
      <c r="B5213" t="inlineStr">
        <is>
          <t>Luxurious country house for sale close to S´Arracó, Puerto Andratx, Mallorca</t>
        </is>
      </c>
      <c r="C5213" t="inlineStr">
        <is>
          <t>https://www.balearic-properties.com/en/property/id/801104-luxury-country-home-andratx-mallorca-html</t>
        </is>
      </c>
      <c r="E5213" t="n">
        <v>5</v>
      </c>
      <c r="G5213" t="n">
        <v>18191</v>
      </c>
      <c r="H5213" t="n">
        <v>392</v>
      </c>
      <c r="J5213" t="inlineStr">
        <is>
          <t>S´Arraco</t>
        </is>
      </c>
      <c r="K5213" t="n">
        <v>44.2</v>
      </c>
      <c r="L5213" t="n">
        <v>38</v>
      </c>
      <c r="M5213" t="n">
        <v>87</v>
      </c>
      <c r="N5213" t="n">
        <v>71</v>
      </c>
      <c r="O5213" t="n">
        <v>1.4</v>
      </c>
      <c r="P5213" t="n">
        <v>3</v>
      </c>
      <c r="Q5213" t="n">
        <v>84.7</v>
      </c>
      <c r="R5213" t="n">
        <v>68</v>
      </c>
      <c r="S5213" t="n">
        <v>2900000</v>
      </c>
      <c r="T5213" t="n">
        <v>7398</v>
      </c>
      <c r="U5213" t="n">
        <v>159</v>
      </c>
      <c r="AH5213" t="inlineStr">
        <is>
          <t>Quelle: Balearic Properties</t>
        </is>
      </c>
    </row>
    <row r="5214">
      <c r="A5214" t="n">
        <v>5027</v>
      </c>
      <c r="B5214" t="inlineStr">
        <is>
          <t>Unmissable apartment with valuable rental license for sale in Puerto Pollensa, North Mallorca</t>
        </is>
      </c>
      <c r="C5214" t="inlineStr">
        <is>
          <t>https://www.balearic-properties.com/en/property/id/955328-apartment-rental-license-community-pool-puerto-pollensa-mallorca-html</t>
        </is>
      </c>
      <c r="E5214" t="n">
        <v>3</v>
      </c>
      <c r="G5214" t="n">
        <v>0</v>
      </c>
      <c r="H5214" t="n">
        <v>126</v>
      </c>
      <c r="J5214" t="inlineStr">
        <is>
          <t>Port de Pollença</t>
        </is>
      </c>
      <c r="S5214" t="n">
        <v>650000</v>
      </c>
      <c r="T5214" t="n">
        <v>5159</v>
      </c>
      <c r="AH5214" t="inlineStr">
        <is>
          <t>Quelle: Balearic Properties</t>
        </is>
      </c>
    </row>
    <row r="5215">
      <c r="A5215" t="n">
        <v>5028</v>
      </c>
      <c r="B5215" t="inlineStr">
        <is>
          <t>Newly built townhouse with sea views for sale in El Molinar, Palma de Mallorca</t>
        </is>
      </c>
      <c r="C5215" t="inlineStr">
        <is>
          <t>https://www.balearic-properties.com/en/property/id/955096-charming-new-townhouse-sea-views-el-molinar-palma-mallorca-html</t>
        </is>
      </c>
      <c r="E5215" t="n">
        <v>3</v>
      </c>
      <c r="G5215" t="n">
        <v>0</v>
      </c>
      <c r="H5215" t="n">
        <v>218</v>
      </c>
      <c r="J5215" t="inlineStr">
        <is>
          <t>El Molinar</t>
        </is>
      </c>
      <c r="K5215" t="n">
        <v>8.6</v>
      </c>
      <c r="L5215" t="n">
        <v>13</v>
      </c>
      <c r="M5215" t="n">
        <v>51.3</v>
      </c>
      <c r="N5215" t="n">
        <v>46</v>
      </c>
      <c r="O5215" t="n">
        <v>37.5</v>
      </c>
      <c r="P5215" t="n">
        <v>34</v>
      </c>
      <c r="Q5215" t="n">
        <v>49</v>
      </c>
      <c r="R5215" t="n">
        <v>42</v>
      </c>
      <c r="S5215" t="n">
        <v>2200000</v>
      </c>
      <c r="T5215" t="n">
        <v>10092</v>
      </c>
      <c r="AH5215" t="inlineStr">
        <is>
          <t>Quelle: Balearic Properties</t>
        </is>
      </c>
    </row>
    <row r="5216">
      <c r="A5216" t="n">
        <v>5029</v>
      </c>
      <c r="B5216" t="inlineStr">
        <is>
          <t>Immaculate newly built house for sale in the heart of Montuïri, Central Mallorca</t>
        </is>
      </c>
      <c r="C5216" t="inlineStr">
        <is>
          <t>https://www.balearic-properties.com/en/property/id/956008-new-house-montuiri-central-mallorca-html</t>
        </is>
      </c>
      <c r="E5216" t="n">
        <v>4</v>
      </c>
      <c r="G5216" t="n">
        <v>143</v>
      </c>
      <c r="H5216" t="n">
        <v>235</v>
      </c>
      <c r="J5216" t="inlineStr">
        <is>
          <t>Montuïri</t>
        </is>
      </c>
      <c r="K5216" t="n">
        <v>27.9</v>
      </c>
      <c r="L5216" t="n">
        <v>28</v>
      </c>
      <c r="M5216" t="n">
        <v>32.5</v>
      </c>
      <c r="N5216" t="n">
        <v>36</v>
      </c>
      <c r="O5216" t="n">
        <v>62.1</v>
      </c>
      <c r="P5216" t="n">
        <v>52</v>
      </c>
      <c r="Q5216" t="n">
        <v>30.2</v>
      </c>
      <c r="R5216" t="n">
        <v>32</v>
      </c>
      <c r="S5216" t="n">
        <v>1795000</v>
      </c>
      <c r="T5216" t="n">
        <v>7638</v>
      </c>
      <c r="U5216" t="n">
        <v>12552</v>
      </c>
      <c r="AH5216" t="inlineStr">
        <is>
          <t>Quelle: Balearic Properties</t>
        </is>
      </c>
    </row>
    <row r="5217">
      <c r="A5217" t="n">
        <v>5030</v>
      </c>
      <c r="B5217" t="inlineStr">
        <is>
          <t>Modern villa under construction for sale in Nova Santa Ponsa, Southwest Mallorca</t>
        </is>
      </c>
      <c r="C5217" t="inlineStr">
        <is>
          <t>https://www.balearic-properties.com/en/property/id/952443-villa-under-construction-nova-santa-ponsa-mallorca-html</t>
        </is>
      </c>
      <c r="E5217" t="n">
        <v>4</v>
      </c>
      <c r="G5217" t="n">
        <v>1300</v>
      </c>
      <c r="H5217" t="n">
        <v>600</v>
      </c>
      <c r="J5217" t="inlineStr">
        <is>
          <t>Santa Ponsa</t>
        </is>
      </c>
      <c r="K5217" t="n">
        <v>31.1</v>
      </c>
      <c r="L5217" t="n">
        <v>28</v>
      </c>
      <c r="M5217" t="n">
        <v>73.90000000000001</v>
      </c>
      <c r="N5217" t="n">
        <v>61</v>
      </c>
      <c r="O5217" t="n">
        <v>15.2</v>
      </c>
      <c r="P5217" t="n">
        <v>19</v>
      </c>
      <c r="Q5217" t="n">
        <v>71.59999999999999</v>
      </c>
      <c r="R5217" t="n">
        <v>57</v>
      </c>
      <c r="S5217" t="n">
        <v>2990000</v>
      </c>
      <c r="T5217" t="n">
        <v>4983</v>
      </c>
      <c r="U5217" t="n">
        <v>2300</v>
      </c>
      <c r="AH5217" t="inlineStr">
        <is>
          <t>Quelle: Balearic Properties</t>
        </is>
      </c>
    </row>
    <row r="5218">
      <c r="A5218" t="n">
        <v>5031</v>
      </c>
      <c r="B5218" t="inlineStr">
        <is>
          <t>Contemporary villa with sea views in Cala Vinyes, Southwest Mallorca</t>
        </is>
      </c>
      <c r="C5218" t="inlineStr">
        <is>
          <t>https://www.balearic-properties.com/en/property/id/944257-contemporary-villa-with-sea-views-in-cala-vinyes-southwest-mallorca-html</t>
        </is>
      </c>
      <c r="E5218" t="n">
        <v>3</v>
      </c>
      <c r="G5218" t="n">
        <v>1000</v>
      </c>
      <c r="H5218" t="n">
        <v>500</v>
      </c>
      <c r="J5218" t="inlineStr">
        <is>
          <t>Cala Vinyes</t>
        </is>
      </c>
      <c r="K5218" t="n">
        <v>31.5</v>
      </c>
      <c r="L5218" t="n">
        <v>31</v>
      </c>
      <c r="M5218" t="n">
        <v>74.3</v>
      </c>
      <c r="N5218" t="n">
        <v>64</v>
      </c>
      <c r="O5218" t="n">
        <v>20.4</v>
      </c>
      <c r="P5218" t="n">
        <v>25</v>
      </c>
      <c r="Q5218" t="n">
        <v>72</v>
      </c>
      <c r="R5218" t="n">
        <v>60</v>
      </c>
      <c r="S5218" t="n">
        <v>7500000</v>
      </c>
      <c r="T5218" t="n">
        <v>15000</v>
      </c>
      <c r="U5218" t="n">
        <v>7500</v>
      </c>
      <c r="AH5218" t="inlineStr">
        <is>
          <t>Quelle: Balearic Properties</t>
        </is>
      </c>
    </row>
    <row r="5219">
      <c r="A5219" t="n">
        <v>5032</v>
      </c>
      <c r="B5219" t="inlineStr">
        <is>
          <t>Recently constructed sea view villa for sale in Son Serra de Marina, Mallorca</t>
        </is>
      </c>
      <c r="C5219" t="inlineStr">
        <is>
          <t>https://www.balearic-properties.com/en/property/id/925946-modern-villa-beach-son-serra-de-marina-mallorca-html</t>
        </is>
      </c>
      <c r="E5219" t="n">
        <v>4</v>
      </c>
      <c r="G5219" t="n">
        <v>302</v>
      </c>
      <c r="H5219" t="n">
        <v>188</v>
      </c>
      <c r="J5219" t="inlineStr">
        <is>
          <t>Son Serra de Marina</t>
        </is>
      </c>
      <c r="S5219" t="n">
        <v>765000</v>
      </c>
      <c r="T5219" t="n">
        <v>4069</v>
      </c>
      <c r="U5219" t="n">
        <v>2533</v>
      </c>
      <c r="AH5219" t="inlineStr">
        <is>
          <t>Quelle: Balearic Properties</t>
        </is>
      </c>
    </row>
    <row r="5220">
      <c r="A5220" t="n">
        <v>5033</v>
      </c>
      <c r="B5220" t="inlineStr">
        <is>
          <t>Newly built villa for sale close to the beach in Cala Mondrago, Southeast Mallorca</t>
        </is>
      </c>
      <c r="C5220" t="inlineStr">
        <is>
          <t>https://www.balearic-properties.com/en/property/id/955537-new-villa-beach-cala-mondrago-santanyi-mallorca-html</t>
        </is>
      </c>
      <c r="E5220" t="n">
        <v>3</v>
      </c>
      <c r="G5220" t="n">
        <v>486</v>
      </c>
      <c r="H5220" t="n">
        <v>231</v>
      </c>
      <c r="J5220" t="inlineStr">
        <is>
          <t>Cala Mondragó</t>
        </is>
      </c>
      <c r="K5220" t="n">
        <v>51.3</v>
      </c>
      <c r="L5220" t="n">
        <v>50</v>
      </c>
      <c r="M5220" t="n">
        <v>14.8</v>
      </c>
      <c r="N5220" t="n">
        <v>24</v>
      </c>
      <c r="O5220" t="n">
        <v>89.5</v>
      </c>
      <c r="P5220" t="n">
        <v>77</v>
      </c>
      <c r="Q5220" t="n">
        <v>15.5</v>
      </c>
      <c r="R5220" t="n">
        <v>27</v>
      </c>
      <c r="S5220" t="n">
        <v>1620000</v>
      </c>
      <c r="T5220" t="n">
        <v>7013</v>
      </c>
      <c r="U5220" t="n">
        <v>3333</v>
      </c>
      <c r="AH5220" t="inlineStr">
        <is>
          <t>Quelle: Balearic Properties</t>
        </is>
      </c>
    </row>
    <row r="5221">
      <c r="A5221" t="n">
        <v>5034</v>
      </c>
      <c r="B5221" t="inlineStr">
        <is>
          <t>House to rent with garden and communal pools in Puerto Pollensa, Mallorca</t>
        </is>
      </c>
      <c r="C5221" t="inlineStr">
        <is>
          <t>https://www.balearic-properties.com/en/property/id/872589-elegant-house-to-rent-with-garden-and-communal-pools-in-puerto-pollensa-mallorca-html</t>
        </is>
      </c>
      <c r="E5221" t="n">
        <v>4</v>
      </c>
      <c r="G5221" t="n">
        <v>200</v>
      </c>
      <c r="H5221" t="n">
        <v>230</v>
      </c>
      <c r="J5221" t="inlineStr">
        <is>
          <t>Port de Pollença</t>
        </is>
      </c>
      <c r="K5221" t="n">
        <v>66.90000000000001</v>
      </c>
      <c r="L5221" t="n">
        <v>52</v>
      </c>
      <c r="M5221" t="n">
        <v>85</v>
      </c>
      <c r="N5221" t="n">
        <v>78</v>
      </c>
      <c r="O5221" t="n">
        <v>89.5</v>
      </c>
      <c r="P5221" t="n">
        <v>68</v>
      </c>
      <c r="Q5221" t="n">
        <v>82.7</v>
      </c>
      <c r="R5221" t="n">
        <v>75</v>
      </c>
      <c r="S5221" t="n">
        <v>1800000</v>
      </c>
      <c r="T5221" t="n">
        <v>7826</v>
      </c>
      <c r="U5221" t="n">
        <v>9000</v>
      </c>
      <c r="AH5221" t="inlineStr">
        <is>
          <t>Quelle: Balearic Properties</t>
        </is>
      </c>
    </row>
    <row r="5222">
      <c r="A5222" t="n">
        <v>5035</v>
      </c>
      <c r="B5222" t="inlineStr">
        <is>
          <t>Elegantly renovated village house with pool for sale in Pollensa, North Mallorca</t>
        </is>
      </c>
      <c r="C5222" t="inlineStr">
        <is>
          <t>https://www.balearic-properties.com/en/property/id/954518-renovated-townhouse-pool-pollensa-mallorca-html</t>
        </is>
      </c>
      <c r="E5222" t="n">
        <v>4</v>
      </c>
      <c r="G5222" t="n">
        <v>173</v>
      </c>
      <c r="H5222" t="n">
        <v>232</v>
      </c>
      <c r="J5222" t="inlineStr">
        <is>
          <t>Pollença</t>
        </is>
      </c>
      <c r="K5222" t="n">
        <v>60.6</v>
      </c>
      <c r="L5222" t="n">
        <v>47</v>
      </c>
      <c r="M5222" t="n">
        <v>78.7</v>
      </c>
      <c r="N5222" t="n">
        <v>74</v>
      </c>
      <c r="O5222" t="n">
        <v>83.2</v>
      </c>
      <c r="P5222" t="n">
        <v>63</v>
      </c>
      <c r="Q5222" t="n">
        <v>76.40000000000001</v>
      </c>
      <c r="R5222" t="n">
        <v>70</v>
      </c>
      <c r="S5222" t="n">
        <v>1750000</v>
      </c>
      <c r="T5222" t="n">
        <v>7543</v>
      </c>
      <c r="U5222" t="n">
        <v>10116</v>
      </c>
      <c r="AH5222" t="inlineStr">
        <is>
          <t>Quelle: Balearic Properties</t>
        </is>
      </c>
    </row>
    <row r="5223">
      <c r="A5223" t="n">
        <v>5036</v>
      </c>
      <c r="B5223" t="inlineStr">
        <is>
          <t>Newly built semi-detached houses for sale with private garden and pool near Llucmajor, Mallorca</t>
        </is>
      </c>
      <c r="C5223" t="inlineStr">
        <is>
          <t>https://www.balearic-properties.com/en/property/id/955759-newly-built-semi-detached-houses-for-sale-with-private-garden-and-pool-near-llucmajor-mallorca</t>
        </is>
      </c>
      <c r="E5223" t="n">
        <v>4</v>
      </c>
      <c r="G5223" t="n">
        <v>300</v>
      </c>
      <c r="H5223" t="n">
        <v>174</v>
      </c>
      <c r="J5223" t="inlineStr">
        <is>
          <t>Puig de Ros</t>
        </is>
      </c>
      <c r="K5223" t="n">
        <v>15.6</v>
      </c>
      <c r="L5223" t="n">
        <v>17</v>
      </c>
      <c r="M5223" t="n">
        <v>42.2</v>
      </c>
      <c r="N5223" t="n">
        <v>40</v>
      </c>
      <c r="O5223" t="n">
        <v>53.8</v>
      </c>
      <c r="P5223" t="n">
        <v>44</v>
      </c>
      <c r="Q5223" t="n">
        <v>39.9</v>
      </c>
      <c r="R5223" t="n">
        <v>37</v>
      </c>
      <c r="S5223" t="n">
        <v>1020000</v>
      </c>
      <c r="T5223" t="n">
        <v>5862</v>
      </c>
      <c r="U5223" t="n">
        <v>3400</v>
      </c>
      <c r="AH5223" t="inlineStr">
        <is>
          <t>Quelle: Balearic Properties</t>
        </is>
      </c>
    </row>
    <row r="5224">
      <c r="A5224" t="n">
        <v>5037</v>
      </c>
      <c r="B5224" t="inlineStr">
        <is>
          <t>Fully Renovated Villa with Pool and Sea Views in Bonaire</t>
        </is>
      </c>
      <c r="C5224" t="inlineStr">
        <is>
          <t>https://www.balearic-properties.com/en/property/id/953537-fully-renovated-villa-with-pool-and-sea-views-in-bonaire-html</t>
        </is>
      </c>
      <c r="E5224" t="n">
        <v>4</v>
      </c>
      <c r="G5224" t="n">
        <v>597</v>
      </c>
      <c r="H5224" t="n">
        <v>355</v>
      </c>
      <c r="J5224" t="inlineStr">
        <is>
          <t>Bonaire</t>
        </is>
      </c>
      <c r="K5224" t="n">
        <v>64.40000000000001</v>
      </c>
      <c r="L5224" t="n">
        <v>54</v>
      </c>
      <c r="M5224" t="n">
        <v>82.5</v>
      </c>
      <c r="N5224" t="n">
        <v>80</v>
      </c>
      <c r="O5224" t="n">
        <v>87</v>
      </c>
      <c r="P5224" t="n">
        <v>70</v>
      </c>
      <c r="Q5224" t="n">
        <v>80.2</v>
      </c>
      <c r="R5224" t="n">
        <v>77</v>
      </c>
      <c r="S5224" t="n">
        <v>1750000</v>
      </c>
      <c r="T5224" t="n">
        <v>4930</v>
      </c>
      <c r="U5224" t="n">
        <v>2931</v>
      </c>
      <c r="AH5224" t="inlineStr">
        <is>
          <t>Quelle: Balearic Properties</t>
        </is>
      </c>
    </row>
    <row r="5225">
      <c r="A5225" t="n">
        <v>5038</v>
      </c>
      <c r="B5225" t="inlineStr">
        <is>
          <t>Contemporary country villa for sale in Santa Maria del Camí, Central Mallorca</t>
        </is>
      </c>
      <c r="C5225" t="inlineStr">
        <is>
          <t>https://www.balearic-properties.com/en/property/id/883674-country-villa-santa-maria-del-cami-mallorca-html</t>
        </is>
      </c>
      <c r="E5225" t="n">
        <v>4</v>
      </c>
      <c r="G5225" t="n">
        <v>14173</v>
      </c>
      <c r="H5225" t="n">
        <v>580</v>
      </c>
      <c r="J5225" t="inlineStr">
        <is>
          <t>Santa Maria del Camí</t>
        </is>
      </c>
      <c r="K5225" t="n">
        <v>23.5</v>
      </c>
      <c r="L5225" t="n">
        <v>21</v>
      </c>
      <c r="M5225" t="n">
        <v>66.3</v>
      </c>
      <c r="N5225" t="n">
        <v>54</v>
      </c>
      <c r="O5225" t="n">
        <v>46.1</v>
      </c>
      <c r="P5225" t="n">
        <v>37</v>
      </c>
      <c r="Q5225" t="n">
        <v>64</v>
      </c>
      <c r="R5225" t="n">
        <v>51</v>
      </c>
      <c r="S5225" t="n">
        <v>5500000</v>
      </c>
      <c r="T5225" t="n">
        <v>9483</v>
      </c>
      <c r="U5225" t="n">
        <v>388</v>
      </c>
      <c r="AH5225" t="inlineStr">
        <is>
          <t>Quelle: Balearic Properties</t>
        </is>
      </c>
    </row>
    <row r="5226">
      <c r="A5226" t="n">
        <v>5039</v>
      </c>
      <c r="B5226" t="inlineStr">
        <is>
          <t>Renovated country estate with amazing gardens for sale in Pollensa, North Mallorca</t>
        </is>
      </c>
      <c r="C5226" t="inlineStr">
        <is>
          <t>https://www.balearic-properties.com/en/property/id/953387-charming-renovated-country-estate-pollensa-mallorca-html</t>
        </is>
      </c>
      <c r="E5226" t="n">
        <v>5</v>
      </c>
      <c r="G5226" t="n">
        <v>16423</v>
      </c>
      <c r="H5226" t="n">
        <v>623</v>
      </c>
      <c r="J5226" t="inlineStr">
        <is>
          <t>Pollença</t>
        </is>
      </c>
      <c r="K5226" t="n">
        <v>60.6</v>
      </c>
      <c r="L5226" t="n">
        <v>47</v>
      </c>
      <c r="M5226" t="n">
        <v>78.7</v>
      </c>
      <c r="N5226" t="n">
        <v>74</v>
      </c>
      <c r="O5226" t="n">
        <v>83.2</v>
      </c>
      <c r="P5226" t="n">
        <v>63</v>
      </c>
      <c r="Q5226" t="n">
        <v>76.40000000000001</v>
      </c>
      <c r="R5226" t="n">
        <v>70</v>
      </c>
      <c r="S5226" t="n">
        <v>4500000</v>
      </c>
      <c r="T5226" t="n">
        <v>7223</v>
      </c>
      <c r="U5226" t="n">
        <v>274</v>
      </c>
      <c r="AH5226" t="inlineStr">
        <is>
          <t>Quelle: Balearic Properties</t>
        </is>
      </c>
    </row>
    <row r="5227">
      <c r="A5227" t="n">
        <v>5040</v>
      </c>
      <c r="B5227" t="inlineStr">
        <is>
          <t>Elegant modern villa with pool and sustainable energy for sale in Marratxí, Mallorca</t>
        </is>
      </c>
      <c r="C5227" t="inlineStr">
        <is>
          <t>https://www.balearic-properties.com/en/property/id/952374-modern-villa-pool-marratxi-palma-mallorca-html</t>
        </is>
      </c>
      <c r="E5227" t="n">
        <v>4</v>
      </c>
      <c r="G5227" t="n">
        <v>620</v>
      </c>
      <c r="H5227" t="n">
        <v>241</v>
      </c>
      <c r="J5227" t="inlineStr">
        <is>
          <t>Marratxí</t>
        </is>
      </c>
      <c r="K5227" t="n">
        <v>13</v>
      </c>
      <c r="L5227" t="n">
        <v>17</v>
      </c>
      <c r="M5227" t="n">
        <v>56.3</v>
      </c>
      <c r="N5227" t="n">
        <v>50</v>
      </c>
      <c r="O5227" t="n">
        <v>40.6</v>
      </c>
      <c r="P5227" t="n">
        <v>34</v>
      </c>
      <c r="Q5227" t="n">
        <v>54</v>
      </c>
      <c r="R5227" t="n">
        <v>46</v>
      </c>
      <c r="S5227" t="n">
        <v>1580000</v>
      </c>
      <c r="T5227" t="n">
        <v>6556</v>
      </c>
      <c r="U5227" t="n">
        <v>2548</v>
      </c>
      <c r="AH5227" t="inlineStr">
        <is>
          <t>Quelle: Balearic Properties</t>
        </is>
      </c>
    </row>
    <row r="5228">
      <c r="A5228" t="n">
        <v>5041</v>
      </c>
      <c r="B5228" t="inlineStr">
        <is>
          <t>Designer villa with sea views for sale in Portals Nous, Southwest Mallorca</t>
        </is>
      </c>
      <c r="C5228" t="inlineStr">
        <is>
          <t>https://www.balearic-properties.com/en/property/id/834315-designer-villa-sea-views-portals-nous-mallorca-html</t>
        </is>
      </c>
      <c r="E5228" t="n">
        <v>6</v>
      </c>
      <c r="G5228" t="n">
        <v>1328</v>
      </c>
      <c r="H5228" t="n">
        <v>540</v>
      </c>
      <c r="J5228" t="inlineStr">
        <is>
          <t>Portals Nous</t>
        </is>
      </c>
      <c r="K5228" t="n">
        <v>23.8</v>
      </c>
      <c r="L5228" t="n">
        <v>23</v>
      </c>
      <c r="M5228" t="n">
        <v>66.59999999999999</v>
      </c>
      <c r="N5228" t="n">
        <v>56</v>
      </c>
      <c r="O5228" t="n">
        <v>21.8</v>
      </c>
      <c r="P5228" t="n">
        <v>22</v>
      </c>
      <c r="Q5228" t="n">
        <v>64.3</v>
      </c>
      <c r="R5228" t="n">
        <v>52</v>
      </c>
      <c r="S5228" t="n">
        <v>11400000</v>
      </c>
      <c r="T5228" t="n">
        <v>21111</v>
      </c>
      <c r="U5228" t="n">
        <v>8584</v>
      </c>
      <c r="AH5228" t="inlineStr">
        <is>
          <t>Quelle: Balearic Properties</t>
        </is>
      </c>
    </row>
    <row r="5229">
      <c r="A5229" t="n">
        <v>5042</v>
      </c>
      <c r="B5229" t="inlineStr">
        <is>
          <t>Elegant village home for sale in Calvià, Southwest Mallorca</t>
        </is>
      </c>
      <c r="C5229" t="inlineStr">
        <is>
          <t>https://www.balearic-properties.com/en/property/id/950029-elegant-village-home-calvia-mallorca-html</t>
        </is>
      </c>
      <c r="E5229" t="n">
        <v>4</v>
      </c>
      <c r="G5229" t="n">
        <v>467</v>
      </c>
      <c r="H5229" t="n">
        <v>322</v>
      </c>
      <c r="J5229" t="inlineStr">
        <is>
          <t>Calvià Village</t>
        </is>
      </c>
      <c r="K5229" t="n">
        <v>31.1</v>
      </c>
      <c r="L5229" t="n">
        <v>28</v>
      </c>
      <c r="M5229" t="n">
        <v>73.90000000000001</v>
      </c>
      <c r="N5229" t="n">
        <v>61</v>
      </c>
      <c r="O5229" t="n">
        <v>19.4</v>
      </c>
      <c r="P5229" t="n">
        <v>22</v>
      </c>
      <c r="Q5229" t="n">
        <v>71.59999999999999</v>
      </c>
      <c r="R5229" t="n">
        <v>58</v>
      </c>
      <c r="S5229" t="n">
        <v>1980000</v>
      </c>
      <c r="T5229" t="n">
        <v>6149</v>
      </c>
      <c r="U5229" t="n">
        <v>4240</v>
      </c>
      <c r="AH5229" t="inlineStr">
        <is>
          <t>Quelle: Balearic Properties</t>
        </is>
      </c>
    </row>
    <row r="5230">
      <c r="A5230" t="n">
        <v>5043</v>
      </c>
      <c r="B5230" t="inlineStr">
        <is>
          <t>Single storey house with pool for sale in Nova Santa Ponsa, Southwest Mallorca</t>
        </is>
      </c>
      <c r="C5230" t="inlineStr">
        <is>
          <t>https://www.balearic-properties.com/en/property/id/951321-villa-pool-garden-nova-santa-ponsa-mallorca-html</t>
        </is>
      </c>
      <c r="E5230" t="n">
        <v>4</v>
      </c>
      <c r="G5230" t="n">
        <v>1065</v>
      </c>
      <c r="H5230" t="n">
        <v>333</v>
      </c>
      <c r="J5230" t="inlineStr">
        <is>
          <t>Nova Santa Ponsa</t>
        </is>
      </c>
      <c r="K5230" t="n">
        <v>31.1</v>
      </c>
      <c r="L5230" t="n">
        <v>28</v>
      </c>
      <c r="M5230" t="n">
        <v>73.90000000000001</v>
      </c>
      <c r="N5230" t="n">
        <v>61</v>
      </c>
      <c r="O5230" t="n">
        <v>15.2</v>
      </c>
      <c r="P5230" t="n">
        <v>19</v>
      </c>
      <c r="Q5230" t="n">
        <v>71.59999999999999</v>
      </c>
      <c r="R5230" t="n">
        <v>57</v>
      </c>
      <c r="S5230" t="n">
        <v>2250000</v>
      </c>
      <c r="T5230" t="n">
        <v>6757</v>
      </c>
      <c r="U5230" t="n">
        <v>2113</v>
      </c>
      <c r="AH5230" t="inlineStr">
        <is>
          <t>Quelle: Balearic Properties</t>
        </is>
      </c>
    </row>
    <row r="5231">
      <c r="A5231" t="n">
        <v>5044</v>
      </c>
      <c r="B5231" t="inlineStr">
        <is>
          <t>Semi-detached villa for sale overlooking the marina Bonaire, North Mallorca</t>
        </is>
      </c>
      <c r="C5231" t="inlineStr">
        <is>
          <t>https://www.balearic-properties.com/en/property/id/953228-semi-detached-villa-overlooking-marina-bonaire-mallorca-html</t>
        </is>
      </c>
      <c r="E5231" t="n">
        <v>4</v>
      </c>
      <c r="G5231" t="n">
        <v>772</v>
      </c>
      <c r="H5231" t="n">
        <v>294</v>
      </c>
      <c r="J5231" t="inlineStr">
        <is>
          <t>Bonaire</t>
        </is>
      </c>
      <c r="K5231" t="n">
        <v>64.40000000000001</v>
      </c>
      <c r="L5231" t="n">
        <v>54</v>
      </c>
      <c r="M5231" t="n">
        <v>82.5</v>
      </c>
      <c r="N5231" t="n">
        <v>80</v>
      </c>
      <c r="O5231" t="n">
        <v>87</v>
      </c>
      <c r="P5231" t="n">
        <v>70</v>
      </c>
      <c r="Q5231" t="n">
        <v>80.2</v>
      </c>
      <c r="R5231" t="n">
        <v>77</v>
      </c>
      <c r="S5231" t="n">
        <v>2950000</v>
      </c>
      <c r="T5231" t="n">
        <v>10034</v>
      </c>
      <c r="U5231" t="n">
        <v>3821</v>
      </c>
      <c r="AH5231" t="inlineStr">
        <is>
          <t>Quelle: Balearic Properties</t>
        </is>
      </c>
    </row>
    <row r="5232">
      <c r="A5232" t="n">
        <v>5045</v>
      </c>
      <c r="B5232" t="inlineStr">
        <is>
          <t>Captivating modern sea view villa for sale in Andratx, Southwest Mallorca</t>
        </is>
      </c>
      <c r="C5232" t="inlineStr">
        <is>
          <t>https://www.balearic-properties.com/en/property/id/954967-captivating-sea-view-villa-andratx-mallorca-html</t>
        </is>
      </c>
      <c r="E5232" t="n">
        <v>4</v>
      </c>
      <c r="G5232" t="n">
        <v>1240</v>
      </c>
      <c r="H5232" t="n">
        <v>532</v>
      </c>
      <c r="J5232" t="inlineStr">
        <is>
          <t>Cala Llamp</t>
        </is>
      </c>
      <c r="K5232" t="n">
        <v>45.2</v>
      </c>
      <c r="L5232" t="n">
        <v>41</v>
      </c>
      <c r="M5232" t="n">
        <v>87.90000000000001</v>
      </c>
      <c r="N5232" t="n">
        <v>73</v>
      </c>
      <c r="O5232" t="n">
        <v>8</v>
      </c>
      <c r="P5232" t="n">
        <v>13</v>
      </c>
      <c r="Q5232" t="n">
        <v>85.59999999999999</v>
      </c>
      <c r="R5232" t="n">
        <v>70</v>
      </c>
      <c r="S5232" t="n">
        <v>11900000</v>
      </c>
      <c r="T5232" t="n">
        <v>22368</v>
      </c>
      <c r="U5232" t="n">
        <v>9597</v>
      </c>
      <c r="AH5232" t="inlineStr">
        <is>
          <t>Quelle: Balearic Properties</t>
        </is>
      </c>
    </row>
    <row r="5233">
      <c r="A5233" t="n">
        <v>5046</v>
      </c>
      <c r="B5233" t="inlineStr">
        <is>
          <t>Beautifully renovated town house for sale in Andratx, Southwest Mallorca</t>
        </is>
      </c>
      <c r="C5233" t="inlineStr">
        <is>
          <t>https://www.balearic-properties.com/en/property/id/954534-beautifully-renovated-townhouse-andratx-mallorca-html</t>
        </is>
      </c>
      <c r="E5233" t="n">
        <v>2</v>
      </c>
      <c r="G5233" t="n">
        <v>59</v>
      </c>
      <c r="H5233" t="n">
        <v>127</v>
      </c>
      <c r="J5233" t="inlineStr">
        <is>
          <t>Andratx Village</t>
        </is>
      </c>
      <c r="S5233" t="n">
        <v>430000</v>
      </c>
      <c r="T5233" t="n">
        <v>3386</v>
      </c>
      <c r="U5233" t="n">
        <v>7288</v>
      </c>
      <c r="AH5233" t="inlineStr">
        <is>
          <t>Quelle: Balearic Properties</t>
        </is>
      </c>
    </row>
    <row r="5234">
      <c r="A5234" t="n">
        <v>5047</v>
      </c>
      <c r="B5234" t="inlineStr">
        <is>
          <t>Stunning seafront villa for sale in Alcanada, Northeast Mallorca</t>
        </is>
      </c>
      <c r="C5234" t="inlineStr">
        <is>
          <t>https://www.balearic-properties.com/en/property/id/954332-seafront-villa-alcanada-mallorca-html</t>
        </is>
      </c>
      <c r="E5234" t="n">
        <v>6</v>
      </c>
      <c r="G5234" t="n">
        <v>1257</v>
      </c>
      <c r="H5234" t="n">
        <v>361</v>
      </c>
      <c r="J5234" t="inlineStr">
        <is>
          <t>Alcanada</t>
        </is>
      </c>
      <c r="K5234" t="n">
        <v>64.2</v>
      </c>
      <c r="L5234" t="n">
        <v>48</v>
      </c>
      <c r="M5234" t="n">
        <v>82.3</v>
      </c>
      <c r="N5234" t="n">
        <v>75</v>
      </c>
      <c r="O5234" t="n">
        <v>86.8</v>
      </c>
      <c r="P5234" t="n">
        <v>64</v>
      </c>
      <c r="Q5234" t="n">
        <v>80</v>
      </c>
      <c r="R5234" t="n">
        <v>71</v>
      </c>
      <c r="S5234" t="n">
        <v>4300000</v>
      </c>
      <c r="T5234" t="n">
        <v>11911</v>
      </c>
      <c r="U5234" t="n">
        <v>3421</v>
      </c>
      <c r="AH5234" t="inlineStr">
        <is>
          <t>Quelle: Balearic Properties</t>
        </is>
      </c>
    </row>
    <row r="5235">
      <c r="A5235" t="n">
        <v>5048</v>
      </c>
      <c r="B5235" t="inlineStr">
        <is>
          <t>Move-in-ready duplex apartment for sale in Palma Old Town, Mallorca</t>
        </is>
      </c>
      <c r="C5235" t="inlineStr">
        <is>
          <t>https://www.balearic-properties.com/en/property/id/954963-apartment-duplex-old-town-palma-mallorca-html</t>
        </is>
      </c>
      <c r="E5235" t="n">
        <v>3</v>
      </c>
      <c r="G5235" t="n">
        <v>0</v>
      </c>
      <c r="H5235" t="n">
        <v>239</v>
      </c>
      <c r="J5235" t="inlineStr">
        <is>
          <t>Palma Casco Antiguo</t>
        </is>
      </c>
      <c r="K5235" t="n">
        <v>9.699999999999999</v>
      </c>
      <c r="L5235" t="n">
        <v>14</v>
      </c>
      <c r="M5235" t="n">
        <v>52.5</v>
      </c>
      <c r="N5235" t="n">
        <v>47</v>
      </c>
      <c r="O5235" t="n">
        <v>32.1</v>
      </c>
      <c r="P5235" t="n">
        <v>36</v>
      </c>
      <c r="Q5235" t="n">
        <v>50.2</v>
      </c>
      <c r="R5235" t="n">
        <v>44</v>
      </c>
      <c r="S5235" t="n">
        <v>1495000</v>
      </c>
      <c r="T5235" t="n">
        <v>6255</v>
      </c>
      <c r="AH5235" t="inlineStr">
        <is>
          <t>Quelle: Balearic Properties</t>
        </is>
      </c>
    </row>
    <row r="5236">
      <c r="A5236" t="n">
        <v>5049</v>
      </c>
      <c r="B5236" t="inlineStr">
        <is>
          <t>Charming and unique finca for sale in Esporles, West Mallorca</t>
        </is>
      </c>
      <c r="C5236" t="inlineStr">
        <is>
          <t>https://www.balearic-properties.com/en/property/id/954222-unique-finca-esporles-mallorca-html</t>
        </is>
      </c>
      <c r="E5236" t="n">
        <v>5</v>
      </c>
      <c r="G5236" t="n">
        <v>6990</v>
      </c>
      <c r="H5236" t="n">
        <v>485</v>
      </c>
      <c r="J5236" t="inlineStr">
        <is>
          <t>Esporles</t>
        </is>
      </c>
      <c r="K5236" t="n">
        <v>24.9</v>
      </c>
      <c r="L5236" t="n">
        <v>27</v>
      </c>
      <c r="M5236" t="n">
        <v>67.59999999999999</v>
      </c>
      <c r="N5236" t="n">
        <v>60</v>
      </c>
      <c r="O5236" t="n">
        <v>43.2</v>
      </c>
      <c r="P5236" t="n">
        <v>40</v>
      </c>
      <c r="Q5236" t="n">
        <v>65.3</v>
      </c>
      <c r="R5236" t="n">
        <v>57</v>
      </c>
      <c r="S5236" t="n">
        <v>1985000</v>
      </c>
      <c r="T5236" t="n">
        <v>4093</v>
      </c>
      <c r="U5236" t="n">
        <v>284</v>
      </c>
      <c r="AH5236" t="inlineStr">
        <is>
          <t>Quelle: Balearic Properties</t>
        </is>
      </c>
    </row>
    <row r="5237">
      <c r="A5237" t="n">
        <v>5050</v>
      </c>
      <c r="B5237" t="inlineStr">
        <is>
          <t>Incredible harbour view villa for sale in Puerto Andratx, Southwest Mallorca</t>
        </is>
      </c>
      <c r="C5237" t="inlineStr">
        <is>
          <t>https://www.balearic-properties.com/en/property/id/954113-villa-sea-views-puerto-andratx-mallorca-html</t>
        </is>
      </c>
      <c r="E5237" t="n">
        <v>5</v>
      </c>
      <c r="G5237" t="n">
        <v>1055</v>
      </c>
      <c r="H5237" t="n">
        <v>754</v>
      </c>
      <c r="J5237" t="inlineStr">
        <is>
          <t>Puerto Andratx</t>
        </is>
      </c>
      <c r="K5237" t="n">
        <v>43.5</v>
      </c>
      <c r="L5237" t="n">
        <v>38</v>
      </c>
      <c r="M5237" t="n">
        <v>86.2</v>
      </c>
      <c r="N5237" t="n">
        <v>71</v>
      </c>
      <c r="O5237" t="n">
        <v>6.3</v>
      </c>
      <c r="P5237" t="n">
        <v>11</v>
      </c>
      <c r="Q5237" t="n">
        <v>83.90000000000001</v>
      </c>
      <c r="R5237" t="n">
        <v>68</v>
      </c>
      <c r="S5237" t="n">
        <v>6950000</v>
      </c>
      <c r="T5237" t="n">
        <v>9218</v>
      </c>
      <c r="U5237" t="n">
        <v>6588</v>
      </c>
      <c r="AH5237" t="inlineStr">
        <is>
          <t>Quelle: Balearic Properties</t>
        </is>
      </c>
    </row>
    <row r="5238">
      <c r="A5238" t="n">
        <v>5051</v>
      </c>
      <c r="B5238" t="inlineStr">
        <is>
          <t>Exclusive villa with sea views and pool for sale in Bonaire, North Mallorca</t>
        </is>
      </c>
      <c r="C5238" t="inlineStr">
        <is>
          <t>https://www.balearic-properties.com/en/property/id/948919-exclusive-villa-sea-views-bonaire-mallorca-html</t>
        </is>
      </c>
      <c r="E5238" t="n">
        <v>4</v>
      </c>
      <c r="G5238" t="n">
        <v>1054</v>
      </c>
      <c r="H5238" t="n">
        <v>495</v>
      </c>
      <c r="J5238" t="inlineStr">
        <is>
          <t>Bonaire</t>
        </is>
      </c>
      <c r="K5238" t="n">
        <v>64.40000000000001</v>
      </c>
      <c r="L5238" t="n">
        <v>54</v>
      </c>
      <c r="M5238" t="n">
        <v>82.5</v>
      </c>
      <c r="N5238" t="n">
        <v>80</v>
      </c>
      <c r="O5238" t="n">
        <v>87</v>
      </c>
      <c r="P5238" t="n">
        <v>70</v>
      </c>
      <c r="Q5238" t="n">
        <v>80.2</v>
      </c>
      <c r="R5238" t="n">
        <v>77</v>
      </c>
      <c r="S5238" t="n">
        <v>3985000</v>
      </c>
      <c r="T5238" t="n">
        <v>8051</v>
      </c>
      <c r="U5238" t="n">
        <v>3781</v>
      </c>
      <c r="AH5238" t="inlineStr">
        <is>
          <t>Quelle: Balearic Properties</t>
        </is>
      </c>
    </row>
    <row r="5239">
      <c r="A5239" t="n">
        <v>5052</v>
      </c>
      <c r="B5239" t="inlineStr">
        <is>
          <t>Private retreat with excellent facilies for sale in Llucmajor, South Mallorca</t>
        </is>
      </c>
      <c r="C5239" t="inlineStr">
        <is>
          <t>https://www.balearic-properties.com/en/property/id/954221-private-retreat-with-excellent-facilies-for-sale-in-llucmajor-south-mallorca</t>
        </is>
      </c>
      <c r="E5239" t="n">
        <v>5</v>
      </c>
      <c r="G5239" t="n">
        <v>17000</v>
      </c>
      <c r="H5239" t="n">
        <v>460</v>
      </c>
      <c r="J5239" t="inlineStr">
        <is>
          <t>Llucmajor</t>
        </is>
      </c>
      <c r="K5239" t="n">
        <v>22</v>
      </c>
      <c r="L5239" t="n">
        <v>21</v>
      </c>
      <c r="M5239" t="n">
        <v>28.2</v>
      </c>
      <c r="N5239" t="n">
        <v>33</v>
      </c>
      <c r="O5239" t="n">
        <v>60.2</v>
      </c>
      <c r="P5239" t="n">
        <v>48</v>
      </c>
      <c r="Q5239" t="n">
        <v>25.9</v>
      </c>
      <c r="R5239" t="n">
        <v>29</v>
      </c>
      <c r="S5239" t="n">
        <v>4450000</v>
      </c>
      <c r="T5239" t="n">
        <v>9674</v>
      </c>
      <c r="U5239" t="n">
        <v>262</v>
      </c>
      <c r="AH5239" t="inlineStr">
        <is>
          <t>Quelle: Balearic Properties</t>
        </is>
      </c>
    </row>
    <row r="5240">
      <c r="A5240" t="n">
        <v>5053</v>
      </c>
      <c r="B5240" t="inlineStr">
        <is>
          <t>Lovely countryside villa with holiday rental license for sale in Pollensa, Mallorca</t>
        </is>
      </c>
      <c r="C5240" t="inlineStr">
        <is>
          <t>https://www.balearic-properties.com/en/property/id/842404-countryside-villa-rental-license-pollensa-mallorca-html</t>
        </is>
      </c>
      <c r="E5240" t="n">
        <v>4</v>
      </c>
      <c r="G5240" t="n">
        <v>14000</v>
      </c>
      <c r="H5240" t="n">
        <v>368</v>
      </c>
      <c r="J5240" t="inlineStr">
        <is>
          <t>Pollença</t>
        </is>
      </c>
      <c r="K5240" t="n">
        <v>60.6</v>
      </c>
      <c r="L5240" t="n">
        <v>47</v>
      </c>
      <c r="M5240" t="n">
        <v>78.7</v>
      </c>
      <c r="N5240" t="n">
        <v>74</v>
      </c>
      <c r="O5240" t="n">
        <v>83.2</v>
      </c>
      <c r="P5240" t="n">
        <v>63</v>
      </c>
      <c r="Q5240" t="n">
        <v>76.40000000000001</v>
      </c>
      <c r="R5240" t="n">
        <v>70</v>
      </c>
      <c r="S5240" t="n">
        <v>2150000</v>
      </c>
      <c r="T5240" t="n">
        <v>5842</v>
      </c>
      <c r="U5240" t="n">
        <v>154</v>
      </c>
      <c r="AH5240" t="inlineStr">
        <is>
          <t>Quelle: Balearic Properties</t>
        </is>
      </c>
    </row>
    <row r="5241">
      <c r="A5241" t="n">
        <v>5054</v>
      </c>
      <c r="B5241" t="inlineStr">
        <is>
          <t>Peaceful countryside villa retreat for sale in Montuïri, Central Mallorca</t>
        </is>
      </c>
      <c r="C5241" t="inlineStr">
        <is>
          <t>https://www.balearic-properties.com/en/property/id/949576-peaceful-countryside-villa-montuiri-mallorca-html</t>
        </is>
      </c>
      <c r="E5241" t="n">
        <v>6</v>
      </c>
      <c r="G5241" t="n">
        <v>10000</v>
      </c>
      <c r="H5241" t="n">
        <v>1294</v>
      </c>
      <c r="J5241" t="inlineStr">
        <is>
          <t>Montuïri</t>
        </is>
      </c>
      <c r="K5241" t="n">
        <v>27.9</v>
      </c>
      <c r="L5241" t="n">
        <v>28</v>
      </c>
      <c r="M5241" t="n">
        <v>32.5</v>
      </c>
      <c r="N5241" t="n">
        <v>36</v>
      </c>
      <c r="O5241" t="n">
        <v>62.1</v>
      </c>
      <c r="P5241" t="n">
        <v>52</v>
      </c>
      <c r="Q5241" t="n">
        <v>30.2</v>
      </c>
      <c r="R5241" t="n">
        <v>32</v>
      </c>
      <c r="S5241" t="n">
        <v>2450000</v>
      </c>
      <c r="T5241" t="n">
        <v>1893</v>
      </c>
      <c r="U5241" t="n">
        <v>245</v>
      </c>
      <c r="AH5241" t="inlineStr">
        <is>
          <t>Quelle: Balearic Properties</t>
        </is>
      </c>
    </row>
    <row r="5242">
      <c r="A5242" t="n">
        <v>5055</v>
      </c>
      <c r="B5242" t="inlineStr">
        <is>
          <t>Renovated village retreat with holiday license for sale in Caimari, Central Mallorca</t>
        </is>
      </c>
      <c r="C5242" t="inlineStr">
        <is>
          <t>https://www.balearic-properties.com/en/property/id/913167-renovated-townhouse-license-caimari-mallorca-html</t>
        </is>
      </c>
      <c r="E5242" t="n">
        <v>3</v>
      </c>
      <c r="G5242" t="n">
        <v>172</v>
      </c>
      <c r="H5242" t="n">
        <v>201</v>
      </c>
      <c r="J5242" t="inlineStr">
        <is>
          <t>Caimari</t>
        </is>
      </c>
      <c r="K5242" t="n">
        <v>44.6</v>
      </c>
      <c r="L5242" t="n">
        <v>41</v>
      </c>
      <c r="M5242" t="n">
        <v>62.7</v>
      </c>
      <c r="N5242" t="n">
        <v>68</v>
      </c>
      <c r="O5242" t="n">
        <v>67.2</v>
      </c>
      <c r="P5242" t="n">
        <v>58</v>
      </c>
      <c r="Q5242" t="n">
        <v>60.4</v>
      </c>
      <c r="R5242" t="n">
        <v>64</v>
      </c>
      <c r="S5242" t="n">
        <v>1175000</v>
      </c>
      <c r="T5242" t="n">
        <v>5846</v>
      </c>
      <c r="U5242" t="n">
        <v>6831</v>
      </c>
      <c r="AH5242" t="inlineStr">
        <is>
          <t>Quelle: Balearic Properties</t>
        </is>
      </c>
    </row>
    <row r="5243">
      <c r="A5243" t="n">
        <v>5056</v>
      </c>
      <c r="B5243" t="inlineStr">
        <is>
          <t>Charming retreat with panoramic views for sale in Alcudia, North Mallorca</t>
        </is>
      </c>
      <c r="C5243" t="inlineStr">
        <is>
          <t>https://www.balearic-properties.com/en/property/id/651648-finca-alcudia-mallorca-html</t>
        </is>
      </c>
      <c r="E5243" t="n">
        <v>4</v>
      </c>
      <c r="G5243" t="n">
        <v>15200</v>
      </c>
      <c r="H5243" t="n">
        <v>150</v>
      </c>
      <c r="J5243" t="inlineStr">
        <is>
          <t>Alcúdia</t>
        </is>
      </c>
      <c r="K5243" t="n">
        <v>61.6</v>
      </c>
      <c r="L5243" t="n">
        <v>47</v>
      </c>
      <c r="M5243" t="n">
        <v>79.7</v>
      </c>
      <c r="N5243" t="n">
        <v>74</v>
      </c>
      <c r="O5243" t="n">
        <v>84.2</v>
      </c>
      <c r="P5243" t="n">
        <v>63</v>
      </c>
      <c r="Q5243" t="n">
        <v>77.40000000000001</v>
      </c>
      <c r="R5243" t="n">
        <v>70</v>
      </c>
      <c r="S5243" t="n">
        <v>2250000</v>
      </c>
      <c r="T5243" t="n">
        <v>15000</v>
      </c>
      <c r="U5243" t="n">
        <v>148</v>
      </c>
      <c r="AH5243" t="inlineStr">
        <is>
          <t>Quelle: Balearic Properties</t>
        </is>
      </c>
    </row>
    <row r="5244">
      <c r="A5244" t="n">
        <v>5057</v>
      </c>
      <c r="B5244" t="inlineStr">
        <is>
          <t>Outstanding hilltop finca for sale in Santa Maria del Camí, Central Mallorca</t>
        </is>
      </c>
      <c r="C5244" t="inlineStr">
        <is>
          <t>https://www.balearic-properties.com/en/property/id/953656-finca-panoramic-views-santa-maria-cami-malloca-html</t>
        </is>
      </c>
      <c r="E5244" t="n">
        <v>5</v>
      </c>
      <c r="G5244" t="n">
        <v>16753</v>
      </c>
      <c r="H5244" t="n">
        <v>626</v>
      </c>
      <c r="J5244" t="inlineStr">
        <is>
          <t>Santa Maria del Camí</t>
        </is>
      </c>
      <c r="K5244" t="n">
        <v>23.5</v>
      </c>
      <c r="L5244" t="n">
        <v>21</v>
      </c>
      <c r="M5244" t="n">
        <v>66.3</v>
      </c>
      <c r="N5244" t="n">
        <v>54</v>
      </c>
      <c r="O5244" t="n">
        <v>46.1</v>
      </c>
      <c r="P5244" t="n">
        <v>37</v>
      </c>
      <c r="Q5244" t="n">
        <v>64</v>
      </c>
      <c r="R5244" t="n">
        <v>51</v>
      </c>
      <c r="S5244" t="n">
        <v>11500000</v>
      </c>
      <c r="T5244" t="n">
        <v>18371</v>
      </c>
      <c r="U5244" t="n">
        <v>686</v>
      </c>
      <c r="AH5244" t="inlineStr">
        <is>
          <t>Quelle: Balearic Properties</t>
        </is>
      </c>
    </row>
    <row r="5245">
      <c r="A5245" t="n">
        <v>5058</v>
      </c>
      <c r="B5245" t="inlineStr">
        <is>
          <t>Townhouse for sale beside the golf course in Camp de Mar, Southwest Mallorca</t>
        </is>
      </c>
      <c r="C5245" t="inlineStr">
        <is>
          <t>https://www.balearic-properties.com/en/property/id/953244-townhouse-first-line-golf-camp-de-mar-mallorca-html</t>
        </is>
      </c>
      <c r="E5245" t="n">
        <v>4</v>
      </c>
      <c r="G5245" t="n">
        <v>0</v>
      </c>
      <c r="H5245" t="n">
        <v>173</v>
      </c>
      <c r="J5245" t="inlineStr">
        <is>
          <t>Camp de Mar</t>
        </is>
      </c>
      <c r="S5245" t="n">
        <v>899000</v>
      </c>
      <c r="T5245" t="n">
        <v>5197</v>
      </c>
      <c r="AH5245" t="inlineStr">
        <is>
          <t>Quelle: Balearic Properties</t>
        </is>
      </c>
    </row>
    <row r="5246">
      <c r="A5246" t="n">
        <v>5059</v>
      </c>
      <c r="B5246" t="inlineStr">
        <is>
          <t>Detached villa with tourist rental license for sale in Son Gual, Palma de Mallorca</t>
        </is>
      </c>
      <c r="C5246" t="inlineStr">
        <is>
          <t>https://www.balearic-properties.com/en/property/id/953380-villa-tourist-license-son-gual-palma-mallorca-html</t>
        </is>
      </c>
      <c r="E5246" t="n">
        <v>4</v>
      </c>
      <c r="G5246" t="n">
        <v>2017</v>
      </c>
      <c r="H5246" t="n">
        <v>240</v>
      </c>
      <c r="J5246" t="inlineStr">
        <is>
          <t>Son Gual</t>
        </is>
      </c>
      <c r="K5246" t="n">
        <v>15.4</v>
      </c>
      <c r="L5246" t="n">
        <v>18</v>
      </c>
      <c r="M5246" t="n">
        <v>45.2</v>
      </c>
      <c r="N5246" t="n">
        <v>43</v>
      </c>
      <c r="O5246" t="n">
        <v>49.6</v>
      </c>
      <c r="P5246" t="n">
        <v>43</v>
      </c>
      <c r="Q5246" t="n">
        <v>42.9</v>
      </c>
      <c r="R5246" t="n">
        <v>39</v>
      </c>
      <c r="S5246" t="n">
        <v>1100000</v>
      </c>
      <c r="T5246" t="n">
        <v>4583</v>
      </c>
      <c r="U5246" t="n">
        <v>545</v>
      </c>
      <c r="AH5246" t="inlineStr">
        <is>
          <t>Quelle: Balearic Properties</t>
        </is>
      </c>
    </row>
    <row r="5247">
      <c r="A5247" t="n">
        <v>5060</v>
      </c>
      <c r="B5247" t="inlineStr">
        <is>
          <t>Single-storey villa with open views for sale in Son Gual, Palma de Mallorca</t>
        </is>
      </c>
      <c r="C5247" t="inlineStr">
        <is>
          <t>https://www.balearic-properties.com/en/property/id/953670-villa-open-views-son-gual-palma-mallorca-html</t>
        </is>
      </c>
      <c r="E5247" t="n">
        <v>4</v>
      </c>
      <c r="G5247" t="n">
        <v>7508</v>
      </c>
      <c r="H5247" t="n">
        <v>564</v>
      </c>
      <c r="J5247" t="inlineStr">
        <is>
          <t>Son Gual</t>
        </is>
      </c>
      <c r="K5247" t="n">
        <v>15.4</v>
      </c>
      <c r="L5247" t="n">
        <v>18</v>
      </c>
      <c r="M5247" t="n">
        <v>45.2</v>
      </c>
      <c r="N5247" t="n">
        <v>43</v>
      </c>
      <c r="O5247" t="n">
        <v>49.6</v>
      </c>
      <c r="P5247" t="n">
        <v>43</v>
      </c>
      <c r="Q5247" t="n">
        <v>42.9</v>
      </c>
      <c r="R5247" t="n">
        <v>39</v>
      </c>
      <c r="S5247" t="n">
        <v>3800000</v>
      </c>
      <c r="T5247" t="n">
        <v>6738</v>
      </c>
      <c r="U5247" t="n">
        <v>506</v>
      </c>
      <c r="AH5247" t="inlineStr">
        <is>
          <t>Quelle: Balearic Properties</t>
        </is>
      </c>
    </row>
    <row r="5248">
      <c r="A5248" t="n">
        <v>5061</v>
      </c>
      <c r="B5248" t="inlineStr">
        <is>
          <t>Sophisticated state-of-the-art villa for sale in Palmanyola - Bunyola, Mallorca</t>
        </is>
      </c>
      <c r="C5248" t="inlineStr">
        <is>
          <t>https://www.balearic-properties.com/en/property/id/950032-luxury-villa-palmanyola-bunyola-mallorca-html</t>
        </is>
      </c>
      <c r="E5248" t="n">
        <v>5</v>
      </c>
      <c r="G5248" t="n">
        <v>2500</v>
      </c>
      <c r="H5248" t="n">
        <v>450</v>
      </c>
      <c r="J5248" t="inlineStr">
        <is>
          <t>Palmanyola</t>
        </is>
      </c>
      <c r="K5248" t="n">
        <v>19.1</v>
      </c>
      <c r="L5248" t="n">
        <v>22</v>
      </c>
      <c r="M5248" t="n">
        <v>61.8</v>
      </c>
      <c r="N5248" t="n">
        <v>55</v>
      </c>
      <c r="O5248" t="n">
        <v>38.7</v>
      </c>
      <c r="P5248" t="n">
        <v>35</v>
      </c>
      <c r="Q5248" t="n">
        <v>59.5</v>
      </c>
      <c r="R5248" t="n">
        <v>51</v>
      </c>
      <c r="S5248" t="n">
        <v>5600000</v>
      </c>
      <c r="T5248" t="n">
        <v>12444</v>
      </c>
      <c r="U5248" t="n">
        <v>2240</v>
      </c>
      <c r="AH5248" t="inlineStr">
        <is>
          <t>Quelle: Balearic Properties</t>
        </is>
      </c>
    </row>
    <row r="5249">
      <c r="A5249" t="n">
        <v>5062</v>
      </c>
      <c r="B5249" t="inlineStr">
        <is>
          <t>Luxury garden suite in exclusive Palma complex with premium facilities</t>
        </is>
      </c>
      <c r="C5249" t="inlineStr">
        <is>
          <t>https://www.balearic-properties.com/en/property/id/953542-apartment-sea-views-sant-agusti-palma-mallorca-html</t>
        </is>
      </c>
      <c r="E5249" t="n">
        <v>3</v>
      </c>
      <c r="G5249" t="n">
        <v>0</v>
      </c>
      <c r="H5249" t="n">
        <v>392</v>
      </c>
      <c r="J5249" t="inlineStr">
        <is>
          <t>Palma de Mallorca</t>
        </is>
      </c>
      <c r="K5249" t="n">
        <v>9.699999999999999</v>
      </c>
      <c r="L5249" t="n">
        <v>14</v>
      </c>
      <c r="M5249" t="n">
        <v>52.5</v>
      </c>
      <c r="N5249" t="n">
        <v>47</v>
      </c>
      <c r="O5249" t="n">
        <v>32.1</v>
      </c>
      <c r="P5249" t="n">
        <v>36</v>
      </c>
      <c r="Q5249" t="n">
        <v>50.2</v>
      </c>
      <c r="R5249" t="n">
        <v>44</v>
      </c>
      <c r="S5249" t="n">
        <v>2225000</v>
      </c>
      <c r="T5249" t="n">
        <v>5676</v>
      </c>
      <c r="AH5249" t="inlineStr">
        <is>
          <t>Quelle: Balearic Properties</t>
        </is>
      </c>
    </row>
    <row r="5250">
      <c r="A5250" t="n">
        <v>5063</v>
      </c>
      <c r="B5250" t="inlineStr">
        <is>
          <t>High-end garden apartment on an exclusive new complex in Palma, Mallorca</t>
        </is>
      </c>
      <c r="C5250" t="inlineStr">
        <is>
          <t>https://www.balearic-properties.com/en/property/id/953635-apartment-sea-views-sant-agusti-palma-mallorca-html</t>
        </is>
      </c>
      <c r="E5250" t="n">
        <v>3</v>
      </c>
      <c r="G5250" t="n">
        <v>0</v>
      </c>
      <c r="H5250" t="n">
        <v>393</v>
      </c>
      <c r="J5250" t="inlineStr">
        <is>
          <t>Palma de Mallorca</t>
        </is>
      </c>
      <c r="K5250" t="n">
        <v>9.699999999999999</v>
      </c>
      <c r="L5250" t="n">
        <v>14</v>
      </c>
      <c r="M5250" t="n">
        <v>52.5</v>
      </c>
      <c r="N5250" t="n">
        <v>47</v>
      </c>
      <c r="O5250" t="n">
        <v>32.1</v>
      </c>
      <c r="P5250" t="n">
        <v>36</v>
      </c>
      <c r="Q5250" t="n">
        <v>50.2</v>
      </c>
      <c r="R5250" t="n">
        <v>44</v>
      </c>
      <c r="S5250" t="n">
        <v>2125000</v>
      </c>
      <c r="T5250" t="n">
        <v>5407</v>
      </c>
      <c r="AH5250" t="inlineStr">
        <is>
          <t>Quelle: Balearic Properties</t>
        </is>
      </c>
    </row>
    <row r="5251">
      <c r="A5251" t="n">
        <v>5064</v>
      </c>
      <c r="B5251" t="inlineStr">
        <is>
          <t>Luxury penthouse with panoramic sea views for sale in a new Palma development</t>
        </is>
      </c>
      <c r="C5251" t="inlineStr">
        <is>
          <t>https://www.balearic-properties.com/en/property/id/924990-penthouse-sea-views-sant-agusti-palma-mallorca-html</t>
        </is>
      </c>
      <c r="E5251" t="n">
        <v>3</v>
      </c>
      <c r="G5251" t="n">
        <v>0</v>
      </c>
      <c r="H5251" t="n">
        <v>329</v>
      </c>
      <c r="J5251" t="inlineStr">
        <is>
          <t>Palma de Mallorca</t>
        </is>
      </c>
      <c r="K5251" t="n">
        <v>9.699999999999999</v>
      </c>
      <c r="L5251" t="n">
        <v>14</v>
      </c>
      <c r="M5251" t="n">
        <v>52.5</v>
      </c>
      <c r="N5251" t="n">
        <v>47</v>
      </c>
      <c r="O5251" t="n">
        <v>32.1</v>
      </c>
      <c r="P5251" t="n">
        <v>36</v>
      </c>
      <c r="Q5251" t="n">
        <v>50.2</v>
      </c>
      <c r="R5251" t="n">
        <v>44</v>
      </c>
      <c r="S5251" t="n">
        <v>3485000</v>
      </c>
      <c r="T5251" t="n">
        <v>10593</v>
      </c>
      <c r="AH5251" t="inlineStr">
        <is>
          <t>Quelle: Balearic Properties</t>
        </is>
      </c>
    </row>
    <row r="5252">
      <c r="A5252" t="n">
        <v>5065</v>
      </c>
      <c r="B5252" t="inlineStr">
        <is>
          <t>Exclusive penthouse with roof terrace for sale in Palma, Southwest-Mallorca</t>
        </is>
      </c>
      <c r="C5252" t="inlineStr">
        <is>
          <t>https://www.balearic-properties.com/en/property/id/953538-penthouse-sea-views-sant-agusti-palma-mallorca-html</t>
        </is>
      </c>
      <c r="E5252" t="n">
        <v>3</v>
      </c>
      <c r="G5252" t="n">
        <v>0</v>
      </c>
      <c r="H5252" t="n">
        <v>271</v>
      </c>
      <c r="J5252" t="inlineStr">
        <is>
          <t>Palma de Mallorca</t>
        </is>
      </c>
      <c r="K5252" t="n">
        <v>9.699999999999999</v>
      </c>
      <c r="L5252" t="n">
        <v>14</v>
      </c>
      <c r="M5252" t="n">
        <v>52.5</v>
      </c>
      <c r="N5252" t="n">
        <v>47</v>
      </c>
      <c r="O5252" t="n">
        <v>32.1</v>
      </c>
      <c r="P5252" t="n">
        <v>36</v>
      </c>
      <c r="Q5252" t="n">
        <v>50.2</v>
      </c>
      <c r="R5252" t="n">
        <v>44</v>
      </c>
      <c r="S5252" t="n">
        <v>3980000</v>
      </c>
      <c r="T5252" t="n">
        <v>14686</v>
      </c>
      <c r="AH5252" t="inlineStr">
        <is>
          <t>Quelle: Balearic Properties</t>
        </is>
      </c>
    </row>
    <row r="5253">
      <c r="A5253" t="n">
        <v>5066</v>
      </c>
      <c r="B5253" t="inlineStr">
        <is>
          <t>New sea view penthouse with private roof terrace in Palma Southwest-Mallorca</t>
        </is>
      </c>
      <c r="C5253" t="inlineStr">
        <is>
          <t>https://www.balearic-properties.com/en/property/id/953541-penthouse-sea-views-sant-agusti-palma-mallorca-html</t>
        </is>
      </c>
      <c r="E5253" t="n">
        <v>3</v>
      </c>
      <c r="G5253" t="n">
        <v>0</v>
      </c>
      <c r="H5253" t="n">
        <v>359</v>
      </c>
      <c r="J5253" t="inlineStr">
        <is>
          <t>Palma de Mallorca</t>
        </is>
      </c>
      <c r="K5253" t="n">
        <v>9.699999999999999</v>
      </c>
      <c r="L5253" t="n">
        <v>14</v>
      </c>
      <c r="M5253" t="n">
        <v>52.5</v>
      </c>
      <c r="N5253" t="n">
        <v>47</v>
      </c>
      <c r="O5253" t="n">
        <v>32.1</v>
      </c>
      <c r="P5253" t="n">
        <v>36</v>
      </c>
      <c r="Q5253" t="n">
        <v>50.2</v>
      </c>
      <c r="R5253" t="n">
        <v>44</v>
      </c>
      <c r="S5253" t="n">
        <v>4250000</v>
      </c>
      <c r="T5253" t="n">
        <v>11838</v>
      </c>
      <c r="AH5253" t="inlineStr">
        <is>
          <t>Quelle: Balearic Properties</t>
        </is>
      </c>
    </row>
    <row r="5254">
      <c r="A5254" t="n">
        <v>5067</v>
      </c>
      <c r="B5254" t="inlineStr">
        <is>
          <t>Modern sea view apartment for sale in Puerto Portals, Southwest Mallorca</t>
        </is>
      </c>
      <c r="C5254" t="inlineStr">
        <is>
          <t>https://www.balearic-properties.com/en/property/id/953256-modern-apartment-sea-views-puerto-portals-mallorca-html</t>
        </is>
      </c>
      <c r="E5254" t="n">
        <v>2</v>
      </c>
      <c r="G5254" t="n">
        <v>0</v>
      </c>
      <c r="H5254" t="n">
        <v>80</v>
      </c>
      <c r="J5254" t="inlineStr">
        <is>
          <t>Puerto Portals</t>
        </is>
      </c>
      <c r="S5254" t="n">
        <v>900000</v>
      </c>
      <c r="T5254" t="n">
        <v>11250</v>
      </c>
      <c r="AH5254" t="inlineStr">
        <is>
          <t>Quelle: Balearic Properties</t>
        </is>
      </c>
    </row>
    <row r="5255">
      <c r="A5255" t="n">
        <v>5068</v>
      </c>
      <c r="B5255" t="inlineStr">
        <is>
          <t>Country home with mountain views for sale in S’Arracó, Andratx, Southwest Mallorca</t>
        </is>
      </c>
      <c r="C5255" t="inlineStr">
        <is>
          <t>https://www.balearic-properties.com/en/property/id/952084-country-home-mountain-views-sarraco-andratx-mallorca-html</t>
        </is>
      </c>
      <c r="E5255" t="n">
        <v>2</v>
      </c>
      <c r="G5255" t="n">
        <v>3700</v>
      </c>
      <c r="H5255" t="n">
        <v>150</v>
      </c>
      <c r="J5255" t="inlineStr">
        <is>
          <t>S´Arraco</t>
        </is>
      </c>
      <c r="S5255" t="n">
        <v>850000</v>
      </c>
      <c r="T5255" t="n">
        <v>5667</v>
      </c>
      <c r="U5255" t="n">
        <v>230</v>
      </c>
      <c r="AH5255" t="inlineStr">
        <is>
          <t>Quelle: Balearic Properties</t>
        </is>
      </c>
    </row>
    <row r="5256">
      <c r="A5256" t="n">
        <v>5069</v>
      </c>
      <c r="B5256" t="inlineStr">
        <is>
          <t>Contemporary country villa for sale in Maria de la Salut, Central Mallorca</t>
        </is>
      </c>
      <c r="C5256" t="inlineStr">
        <is>
          <t>https://www.balearic-properties.com/en/property/id/952878-contemporary-country-villa-maria-de-la-salut-mallorca-html</t>
        </is>
      </c>
      <c r="E5256" t="n">
        <v>4</v>
      </c>
      <c r="G5256" t="n">
        <v>15095</v>
      </c>
      <c r="H5256" t="n">
        <v>381</v>
      </c>
      <c r="J5256" t="inlineStr">
        <is>
          <t>María de la Salut</t>
        </is>
      </c>
      <c r="K5256" t="n">
        <v>42</v>
      </c>
      <c r="L5256" t="n">
        <v>45</v>
      </c>
      <c r="M5256" t="n">
        <v>49.4</v>
      </c>
      <c r="N5256" t="n">
        <v>52</v>
      </c>
      <c r="O5256" t="n">
        <v>77.3</v>
      </c>
      <c r="P5256" t="n">
        <v>62</v>
      </c>
      <c r="Q5256" t="n">
        <v>47.1</v>
      </c>
      <c r="R5256" t="n">
        <v>49</v>
      </c>
      <c r="S5256" t="n">
        <v>1990000</v>
      </c>
      <c r="T5256" t="n">
        <v>5223</v>
      </c>
      <c r="U5256" t="n">
        <v>132</v>
      </c>
      <c r="AH5256" t="inlineStr">
        <is>
          <t>Quelle: Balearic Properties</t>
        </is>
      </c>
    </row>
    <row r="5257">
      <c r="A5257" t="n">
        <v>5070</v>
      </c>
      <c r="B5257" t="inlineStr">
        <is>
          <t>Contemporary coastal penthouse for sale in Paguera, Mallorca Southwest</t>
        </is>
      </c>
      <c r="C5257" t="inlineStr">
        <is>
          <t>https://www.balearic-properties.com/en/property/id/951515-coastal-penthouse-paguera-mallorca-html</t>
        </is>
      </c>
      <c r="E5257" t="n">
        <v>3</v>
      </c>
      <c r="G5257" t="n">
        <v>0</v>
      </c>
      <c r="H5257" t="n">
        <v>356</v>
      </c>
      <c r="J5257" t="inlineStr">
        <is>
          <t>Paguera</t>
        </is>
      </c>
      <c r="K5257" t="n">
        <v>35.3</v>
      </c>
      <c r="L5257" t="n">
        <v>30</v>
      </c>
      <c r="M5257" t="n">
        <v>78</v>
      </c>
      <c r="N5257" t="n">
        <v>63</v>
      </c>
      <c r="O5257" t="n">
        <v>9.1</v>
      </c>
      <c r="P5257" t="n">
        <v>14</v>
      </c>
      <c r="Q5257" t="n">
        <v>75.7</v>
      </c>
      <c r="R5257" t="n">
        <v>60</v>
      </c>
      <c r="S5257" t="n">
        <v>2750000</v>
      </c>
      <c r="T5257" t="n">
        <v>7725</v>
      </c>
      <c r="AH5257" t="inlineStr">
        <is>
          <t>Quelle: Balearic Properties</t>
        </is>
      </c>
    </row>
    <row r="5258">
      <c r="A5258" t="n">
        <v>5071</v>
      </c>
      <c r="B5258" t="inlineStr">
        <is>
          <t>Modern villa with stunning sea views for sale in Bonaire, North Mallorca</t>
        </is>
      </c>
      <c r="C5258" t="inlineStr">
        <is>
          <t>https://www.balearic-properties.com/en/property/id/948920-modern-villa-sea-views-bonaire-north-mallorca-html</t>
        </is>
      </c>
      <c r="E5258" t="n">
        <v>4</v>
      </c>
      <c r="G5258" t="n">
        <v>978</v>
      </c>
      <c r="H5258" t="n">
        <v>527</v>
      </c>
      <c r="J5258" t="inlineStr">
        <is>
          <t>Bonaire</t>
        </is>
      </c>
      <c r="K5258" t="n">
        <v>64.40000000000001</v>
      </c>
      <c r="L5258" t="n">
        <v>54</v>
      </c>
      <c r="M5258" t="n">
        <v>82.5</v>
      </c>
      <c r="N5258" t="n">
        <v>80</v>
      </c>
      <c r="O5258" t="n">
        <v>87</v>
      </c>
      <c r="P5258" t="n">
        <v>70</v>
      </c>
      <c r="Q5258" t="n">
        <v>80.2</v>
      </c>
      <c r="R5258" t="n">
        <v>77</v>
      </c>
      <c r="S5258" t="n">
        <v>3985000</v>
      </c>
      <c r="T5258" t="n">
        <v>7562</v>
      </c>
      <c r="U5258" t="n">
        <v>4075</v>
      </c>
      <c r="AH5258" t="inlineStr">
        <is>
          <t>Quelle: Balearic Properties</t>
        </is>
      </c>
    </row>
    <row r="5259">
      <c r="A5259" t="n">
        <v>5072</v>
      </c>
      <c r="B5259" t="inlineStr">
        <is>
          <t>Delightful single-level villa for sale in Crestatx, North Mallorca</t>
        </is>
      </c>
      <c r="C5259" t="inlineStr">
        <is>
          <t>https://www.balearic-properties.com/en/property/id/952078-delightful-single-level-villa-crestatx-pollensa-mallorca-html</t>
        </is>
      </c>
      <c r="E5259" t="n">
        <v>3</v>
      </c>
      <c r="G5259" t="n">
        <v>1000</v>
      </c>
      <c r="H5259" t="n">
        <v>207</v>
      </c>
      <c r="J5259" t="inlineStr">
        <is>
          <t>Pollença</t>
        </is>
      </c>
      <c r="K5259" t="n">
        <v>60.6</v>
      </c>
      <c r="L5259" t="n">
        <v>47</v>
      </c>
      <c r="M5259" t="n">
        <v>78.7</v>
      </c>
      <c r="N5259" t="n">
        <v>74</v>
      </c>
      <c r="O5259" t="n">
        <v>83.2</v>
      </c>
      <c r="P5259" t="n">
        <v>63</v>
      </c>
      <c r="Q5259" t="n">
        <v>76.40000000000001</v>
      </c>
      <c r="R5259" t="n">
        <v>70</v>
      </c>
      <c r="S5259" t="n">
        <v>1100000</v>
      </c>
      <c r="T5259" t="n">
        <v>5314</v>
      </c>
      <c r="U5259" t="n">
        <v>1100</v>
      </c>
      <c r="AH5259" t="inlineStr">
        <is>
          <t>Quelle: Balearic Properties</t>
        </is>
      </c>
    </row>
    <row r="5260">
      <c r="A5260" t="n">
        <v>5073</v>
      </c>
      <c r="B5260" t="inlineStr">
        <is>
          <t>Stylish sea view apartment for sale in El Toro, Southwest Mallorca</t>
        </is>
      </c>
      <c r="C5260" t="inlineStr">
        <is>
          <t>https://www.balearic-properties.com/en/property/id/952568-exclusive-apartment-with-sea-views-in-el-toro</t>
        </is>
      </c>
      <c r="E5260" t="n">
        <v>2</v>
      </c>
      <c r="G5260" t="n">
        <v>0</v>
      </c>
      <c r="H5260" t="n">
        <v>70</v>
      </c>
      <c r="J5260" t="inlineStr">
        <is>
          <t>El Toro - Port Adriano</t>
        </is>
      </c>
      <c r="S5260" t="n">
        <v>525000</v>
      </c>
      <c r="T5260" t="n">
        <v>7500</v>
      </c>
      <c r="AH5260" t="inlineStr">
        <is>
          <t>Quelle: Balearic Properties</t>
        </is>
      </c>
    </row>
    <row r="5261">
      <c r="A5261" t="n">
        <v>5074</v>
      </c>
      <c r="B5261" t="inlineStr">
        <is>
          <t>Completely refurbished sea view villa for sale in Costa d'en Blanes, Mallorca</t>
        </is>
      </c>
      <c r="C5261" t="inlineStr">
        <is>
          <t>https://www.balearic-properties.com/en/property/id/929677-refurbished-seaview-villa-costa-den-blanes-mallorca-html</t>
        </is>
      </c>
      <c r="E5261" t="n">
        <v>4</v>
      </c>
      <c r="G5261" t="n">
        <v>932</v>
      </c>
      <c r="H5261" t="n">
        <v>390</v>
      </c>
      <c r="J5261" t="inlineStr">
        <is>
          <t>Costa D´en Blanes</t>
        </is>
      </c>
      <c r="K5261" t="n">
        <v>23.3</v>
      </c>
      <c r="L5261" t="n">
        <v>21</v>
      </c>
      <c r="M5261" t="n">
        <v>66.09999999999999</v>
      </c>
      <c r="N5261" t="n">
        <v>54</v>
      </c>
      <c r="O5261" t="n">
        <v>21</v>
      </c>
      <c r="P5261" t="n">
        <v>21</v>
      </c>
      <c r="Q5261" t="n">
        <v>63.8</v>
      </c>
      <c r="R5261" t="n">
        <v>51</v>
      </c>
      <c r="S5261" t="n">
        <v>3900000</v>
      </c>
      <c r="T5261" t="n">
        <v>10000</v>
      </c>
      <c r="U5261" t="n">
        <v>4185</v>
      </c>
      <c r="AH5261" t="inlineStr">
        <is>
          <t>Quelle: Balearic Properties</t>
        </is>
      </c>
    </row>
    <row r="5262">
      <c r="A5262" t="n">
        <v>5075</v>
      </c>
      <c r="B5262" t="inlineStr">
        <is>
          <t>Exclusive luxury villa with sea views for sale in Pollensa, North Mallorca</t>
        </is>
      </c>
      <c r="C5262" t="inlineStr">
        <is>
          <t>https://www.balearic-properties.com/en/property/id/951750-luxury-villa-seaviews-golf-pollensa-mallorca-html</t>
        </is>
      </c>
      <c r="E5262" t="n">
        <v>6</v>
      </c>
      <c r="G5262" t="n">
        <v>2122</v>
      </c>
      <c r="H5262" t="n">
        <v>697</v>
      </c>
      <c r="J5262" t="inlineStr">
        <is>
          <t>Pollença</t>
        </is>
      </c>
      <c r="K5262" t="n">
        <v>60.6</v>
      </c>
      <c r="L5262" t="n">
        <v>47</v>
      </c>
      <c r="M5262" t="n">
        <v>78.7</v>
      </c>
      <c r="N5262" t="n">
        <v>74</v>
      </c>
      <c r="O5262" t="n">
        <v>83.2</v>
      </c>
      <c r="P5262" t="n">
        <v>63</v>
      </c>
      <c r="Q5262" t="n">
        <v>76.40000000000001</v>
      </c>
      <c r="R5262" t="n">
        <v>70</v>
      </c>
      <c r="S5262" t="n">
        <v>4975000</v>
      </c>
      <c r="T5262" t="n">
        <v>7138</v>
      </c>
      <c r="U5262" t="n">
        <v>2344</v>
      </c>
      <c r="AH5262" t="inlineStr">
        <is>
          <t>Quelle: Balearic Properties</t>
        </is>
      </c>
    </row>
    <row r="5263">
      <c r="A5263" t="n">
        <v>5076</v>
      </c>
      <c r="B5263" t="inlineStr">
        <is>
          <t>Townhouse for sale with great views on the Calvario in Pollensa, Mallorca</t>
        </is>
      </c>
      <c r="C5263" t="inlineStr">
        <is>
          <t>https://www.balearic-properties.com/en/property/id/251593-mallorca-townhouse-pollensa-html</t>
        </is>
      </c>
      <c r="E5263" t="n">
        <v>3</v>
      </c>
      <c r="G5263" t="n">
        <v>0</v>
      </c>
      <c r="H5263" t="n">
        <v>148</v>
      </c>
      <c r="J5263" t="inlineStr">
        <is>
          <t>Pollença</t>
        </is>
      </c>
      <c r="K5263" t="n">
        <v>60.6</v>
      </c>
      <c r="L5263" t="n">
        <v>47</v>
      </c>
      <c r="M5263" t="n">
        <v>78.7</v>
      </c>
      <c r="N5263" t="n">
        <v>74</v>
      </c>
      <c r="O5263" t="n">
        <v>83.2</v>
      </c>
      <c r="P5263" t="n">
        <v>63</v>
      </c>
      <c r="Q5263" t="n">
        <v>76.40000000000001</v>
      </c>
      <c r="R5263" t="n">
        <v>70</v>
      </c>
      <c r="S5263" t="n">
        <v>1600000</v>
      </c>
      <c r="T5263" t="n">
        <v>10811</v>
      </c>
      <c r="AH5263" t="inlineStr">
        <is>
          <t>Quelle: Balearic Properties</t>
        </is>
      </c>
    </row>
    <row r="5264">
      <c r="A5264" t="n">
        <v>5077</v>
      </c>
      <c r="B5264" t="inlineStr">
        <is>
          <t>Exclusive sea view penthouse to refurbish for sale in Illetes, Southwest Mallorca</t>
        </is>
      </c>
      <c r="C5264" t="inlineStr">
        <is>
          <t>https://www.balearic-properties.com/en/property/id/952361-duplex-penthouse-seaviews-illetes-mallorca-html</t>
        </is>
      </c>
      <c r="E5264" t="n">
        <v>3</v>
      </c>
      <c r="G5264" t="n">
        <v>0</v>
      </c>
      <c r="H5264" t="n">
        <v>402</v>
      </c>
      <c r="J5264" t="inlineStr">
        <is>
          <t>Illetes</t>
        </is>
      </c>
      <c r="K5264" t="n">
        <v>20</v>
      </c>
      <c r="L5264" t="n">
        <v>22</v>
      </c>
      <c r="M5264" t="n">
        <v>62.8</v>
      </c>
      <c r="N5264" t="n">
        <v>55</v>
      </c>
      <c r="O5264" t="n">
        <v>23.7</v>
      </c>
      <c r="P5264" t="n">
        <v>23</v>
      </c>
      <c r="Q5264" t="n">
        <v>60.5</v>
      </c>
      <c r="R5264" t="n">
        <v>51</v>
      </c>
      <c r="S5264" t="n">
        <v>1985000</v>
      </c>
      <c r="T5264" t="n">
        <v>4938</v>
      </c>
      <c r="AH5264" t="inlineStr">
        <is>
          <t>Quelle: Balearic Properties</t>
        </is>
      </c>
    </row>
    <row r="5265">
      <c r="A5265" t="n">
        <v>5078</v>
      </c>
      <c r="B5265" t="inlineStr">
        <is>
          <t>Traditional country house with private pool and ETV for sale in Pollensa, Mallorca</t>
        </is>
      </c>
      <c r="C5265" t="inlineStr">
        <is>
          <t>https://www.balearic-properties.com/en/property/id/911352-traditional-country-house-pool-pollensa-mallorca-html</t>
        </is>
      </c>
      <c r="E5265" t="n">
        <v>4</v>
      </c>
      <c r="G5265" t="n">
        <v>7660</v>
      </c>
      <c r="H5265" t="n">
        <v>288</v>
      </c>
      <c r="J5265" t="inlineStr">
        <is>
          <t>Pollença</t>
        </is>
      </c>
      <c r="K5265" t="n">
        <v>60.6</v>
      </c>
      <c r="L5265" t="n">
        <v>47</v>
      </c>
      <c r="M5265" t="n">
        <v>78.7</v>
      </c>
      <c r="N5265" t="n">
        <v>74</v>
      </c>
      <c r="O5265" t="n">
        <v>83.2</v>
      </c>
      <c r="P5265" t="n">
        <v>63</v>
      </c>
      <c r="Q5265" t="n">
        <v>76.40000000000001</v>
      </c>
      <c r="R5265" t="n">
        <v>70</v>
      </c>
      <c r="S5265" t="n">
        <v>1780000</v>
      </c>
      <c r="T5265" t="n">
        <v>6181</v>
      </c>
      <c r="U5265" t="n">
        <v>232</v>
      </c>
      <c r="AH5265" t="inlineStr">
        <is>
          <t>Quelle: Balearic Properties</t>
        </is>
      </c>
    </row>
    <row r="5266">
      <c r="A5266" t="n">
        <v>5079</v>
      </c>
      <c r="B5266" t="inlineStr">
        <is>
          <t>Charming villa for sale in Alcanada, Northeast Mallorca</t>
        </is>
      </c>
      <c r="C5266" t="inlineStr">
        <is>
          <t>https://www.balearic-properties.com/en/property/id/948923-charming-villa-alcanada-mallorca-html</t>
        </is>
      </c>
      <c r="E5266" t="n">
        <v>4</v>
      </c>
      <c r="G5266" t="n">
        <v>789</v>
      </c>
      <c r="H5266" t="n">
        <v>321</v>
      </c>
      <c r="J5266" t="inlineStr">
        <is>
          <t>Alcanada</t>
        </is>
      </c>
      <c r="K5266" t="n">
        <v>64.2</v>
      </c>
      <c r="L5266" t="n">
        <v>48</v>
      </c>
      <c r="M5266" t="n">
        <v>82.3</v>
      </c>
      <c r="N5266" t="n">
        <v>75</v>
      </c>
      <c r="O5266" t="n">
        <v>86.8</v>
      </c>
      <c r="P5266" t="n">
        <v>64</v>
      </c>
      <c r="Q5266" t="n">
        <v>80</v>
      </c>
      <c r="R5266" t="n">
        <v>71</v>
      </c>
      <c r="S5266" t="n">
        <v>2195000</v>
      </c>
      <c r="T5266" t="n">
        <v>6838</v>
      </c>
      <c r="U5266" t="n">
        <v>2782</v>
      </c>
      <c r="AH5266" t="inlineStr">
        <is>
          <t>Quelle: Balearic Properties</t>
        </is>
      </c>
    </row>
    <row r="5267">
      <c r="A5267" t="n">
        <v>5080</v>
      </c>
      <c r="B5267" t="inlineStr">
        <is>
          <t>Charming finca with complete privacy for sale in Ses Salines, Southeast Mallorca</t>
        </is>
      </c>
      <c r="C5267" t="inlineStr">
        <is>
          <t>https://www.balearic-properties.com/en/property/id/952081-single-storey-finca-privacy-ses-salines-mallorca-html</t>
        </is>
      </c>
      <c r="E5267" t="n">
        <v>6</v>
      </c>
      <c r="G5267" t="n">
        <v>23801</v>
      </c>
      <c r="H5267" t="n">
        <v>380</v>
      </c>
      <c r="J5267" t="inlineStr">
        <is>
          <t>Ses Salines</t>
        </is>
      </c>
      <c r="K5267" t="n">
        <v>44.5</v>
      </c>
      <c r="L5267" t="n">
        <v>39</v>
      </c>
      <c r="M5267" t="n">
        <v>2.4</v>
      </c>
      <c r="N5267" t="n">
        <v>5</v>
      </c>
      <c r="O5267" t="n">
        <v>82.7</v>
      </c>
      <c r="P5267" t="n">
        <v>67</v>
      </c>
      <c r="Q5267" t="n">
        <v>2</v>
      </c>
      <c r="R5267" t="n">
        <v>5</v>
      </c>
      <c r="S5267" t="n">
        <v>5450000</v>
      </c>
      <c r="T5267" t="n">
        <v>14342</v>
      </c>
      <c r="U5267" t="n">
        <v>229</v>
      </c>
      <c r="AH5267" t="inlineStr">
        <is>
          <t>Quelle: Balearic Properties</t>
        </is>
      </c>
    </row>
    <row r="5268">
      <c r="A5268" t="n">
        <v>5081</v>
      </c>
      <c r="B5268" t="inlineStr">
        <is>
          <t>Exclusive gem with harbour views for sale in Puerto Andratx, Southwest Mallorca</t>
        </is>
      </c>
      <c r="C5268" t="inlineStr">
        <is>
          <t>https://www.balearic-properties.com/en/property/id/945118-exclusive-villa-views-port-andratx-mallorca-html</t>
        </is>
      </c>
      <c r="E5268" t="n">
        <v>6</v>
      </c>
      <c r="G5268" t="n">
        <v>1481</v>
      </c>
      <c r="H5268" t="n">
        <v>534</v>
      </c>
      <c r="J5268" t="inlineStr">
        <is>
          <t>Puerto Andratx</t>
        </is>
      </c>
      <c r="K5268" t="n">
        <v>43.5</v>
      </c>
      <c r="L5268" t="n">
        <v>38</v>
      </c>
      <c r="M5268" t="n">
        <v>86.2</v>
      </c>
      <c r="N5268" t="n">
        <v>71</v>
      </c>
      <c r="O5268" t="n">
        <v>6.3</v>
      </c>
      <c r="P5268" t="n">
        <v>11</v>
      </c>
      <c r="Q5268" t="n">
        <v>83.90000000000001</v>
      </c>
      <c r="R5268" t="n">
        <v>68</v>
      </c>
      <c r="S5268" t="n">
        <v>9750000</v>
      </c>
      <c r="T5268" t="n">
        <v>18258</v>
      </c>
      <c r="U5268" t="n">
        <v>6583</v>
      </c>
      <c r="AH5268" t="inlineStr">
        <is>
          <t>Quelle: Balearic Properties</t>
        </is>
      </c>
    </row>
    <row r="5269">
      <c r="A5269" t="n">
        <v>5082</v>
      </c>
      <c r="B5269" t="inlineStr">
        <is>
          <t>Luxury penthouse for sale in Puerto Pollensa, North Mallorca</t>
        </is>
      </c>
      <c r="C5269" t="inlineStr">
        <is>
          <t>https://www.balearic-properties.com/en/property/id/952206-luxury-penthouse-pool-puerto-pollensa-mallorca-html</t>
        </is>
      </c>
      <c r="E5269" t="n">
        <v>4</v>
      </c>
      <c r="G5269" t="n">
        <v>0</v>
      </c>
      <c r="H5269" t="n">
        <v>180</v>
      </c>
      <c r="J5269" t="inlineStr">
        <is>
          <t>Port de Pollença</t>
        </is>
      </c>
      <c r="K5269" t="n">
        <v>66.90000000000001</v>
      </c>
      <c r="L5269" t="n">
        <v>52</v>
      </c>
      <c r="M5269" t="n">
        <v>85</v>
      </c>
      <c r="N5269" t="n">
        <v>78</v>
      </c>
      <c r="O5269" t="n">
        <v>89.5</v>
      </c>
      <c r="P5269" t="n">
        <v>68</v>
      </c>
      <c r="Q5269" t="n">
        <v>82.7</v>
      </c>
      <c r="R5269" t="n">
        <v>75</v>
      </c>
      <c r="S5269" t="n">
        <v>2300000</v>
      </c>
      <c r="T5269" t="n">
        <v>12778</v>
      </c>
      <c r="AH5269" t="inlineStr">
        <is>
          <t>Quelle: Balearic Properties</t>
        </is>
      </c>
    </row>
    <row r="5270">
      <c r="A5270" t="n">
        <v>5083</v>
      </c>
      <c r="B5270" t="inlineStr">
        <is>
          <t>Luxury apartment for sale in Puerto Portals, Southwest Mallorca</t>
        </is>
      </c>
      <c r="C5270" t="inlineStr">
        <is>
          <t>https://www.balearic-properties.com/en/property/id/951551-luxury-apartment-puerto-portals-mallorca-html</t>
        </is>
      </c>
      <c r="E5270" t="n">
        <v>3</v>
      </c>
      <c r="G5270" t="n">
        <v>0</v>
      </c>
      <c r="H5270" t="n">
        <v>284</v>
      </c>
      <c r="J5270" t="inlineStr">
        <is>
          <t>Puerto Portals</t>
        </is>
      </c>
      <c r="K5270" t="n">
        <v>23.5</v>
      </c>
      <c r="L5270" t="n">
        <v>24</v>
      </c>
      <c r="M5270" t="n">
        <v>66.2</v>
      </c>
      <c r="N5270" t="n">
        <v>56</v>
      </c>
      <c r="O5270" t="n">
        <v>21.4</v>
      </c>
      <c r="P5270" t="n">
        <v>23</v>
      </c>
      <c r="Q5270" t="n">
        <v>63.9</v>
      </c>
      <c r="R5270" t="n">
        <v>53</v>
      </c>
      <c r="S5270" t="n">
        <v>5200000</v>
      </c>
      <c r="T5270" t="n">
        <v>18310</v>
      </c>
      <c r="AH5270" t="inlineStr">
        <is>
          <t>Quelle: Balearic Properties</t>
        </is>
      </c>
    </row>
    <row r="5271">
      <c r="A5271" t="n">
        <v>5084</v>
      </c>
      <c r="B5271" t="inlineStr">
        <is>
          <t>Impeccably renovated town house with pool for sale in the old town of Pollensa, Mallorca</t>
        </is>
      </c>
      <c r="C5271" t="inlineStr">
        <is>
          <t>https://www.balearic-properties.com/en/property/id/796858-townhouse-pool-pollensa-mallorca-html</t>
        </is>
      </c>
      <c r="E5271" t="n">
        <v>4</v>
      </c>
      <c r="G5271" t="n">
        <v>82</v>
      </c>
      <c r="H5271" t="n">
        <v>188</v>
      </c>
      <c r="J5271" t="inlineStr">
        <is>
          <t>Pollença Pueblo</t>
        </is>
      </c>
      <c r="K5271" t="n">
        <v>60.6</v>
      </c>
      <c r="L5271" t="n">
        <v>47</v>
      </c>
      <c r="M5271" t="n">
        <v>78.7</v>
      </c>
      <c r="N5271" t="n">
        <v>74</v>
      </c>
      <c r="O5271" t="n">
        <v>83.2</v>
      </c>
      <c r="P5271" t="n">
        <v>63</v>
      </c>
      <c r="Q5271" t="n">
        <v>76.40000000000001</v>
      </c>
      <c r="R5271" t="n">
        <v>70</v>
      </c>
      <c r="S5271" t="n">
        <v>1295000</v>
      </c>
      <c r="T5271" t="n">
        <v>6888</v>
      </c>
      <c r="U5271" t="n">
        <v>15793</v>
      </c>
      <c r="AH5271" t="inlineStr">
        <is>
          <t>Quelle: Balearic Properties</t>
        </is>
      </c>
    </row>
    <row r="5272">
      <c r="A5272" t="n">
        <v>5085</v>
      </c>
      <c r="B5272" t="inlineStr">
        <is>
          <t>Sea view countryside villa for sale in Valldemossa, Mallorca</t>
        </is>
      </c>
      <c r="C5272" t="inlineStr">
        <is>
          <t>https://www.balearic-properties.com/en/property/id/887285-sea-view-countryside-villa-valldemossa-mallorca-html</t>
        </is>
      </c>
      <c r="E5272" t="n">
        <v>6</v>
      </c>
      <c r="G5272" t="n">
        <v>36192</v>
      </c>
      <c r="H5272" t="n">
        <v>378</v>
      </c>
      <c r="J5272" t="inlineStr">
        <is>
          <t>Valldemossa</t>
        </is>
      </c>
      <c r="K5272" t="n">
        <v>27.2</v>
      </c>
      <c r="L5272" t="n">
        <v>32</v>
      </c>
      <c r="M5272" t="n">
        <v>69.90000000000001</v>
      </c>
      <c r="N5272" t="n">
        <v>64</v>
      </c>
      <c r="O5272" t="n">
        <v>45.5</v>
      </c>
      <c r="P5272" t="n">
        <v>44</v>
      </c>
      <c r="Q5272" t="n">
        <v>67.59999999999999</v>
      </c>
      <c r="R5272" t="n">
        <v>61</v>
      </c>
      <c r="S5272" t="n">
        <v>1600000</v>
      </c>
      <c r="T5272" t="n">
        <v>4233</v>
      </c>
      <c r="U5272" t="n">
        <v>44</v>
      </c>
      <c r="AH5272" t="inlineStr">
        <is>
          <t>Quelle: Balearic Properties</t>
        </is>
      </c>
    </row>
    <row r="5273">
      <c r="A5273" t="n">
        <v>5086</v>
      </c>
      <c r="B5273" t="inlineStr">
        <is>
          <t>Charming and spacious finca with privacy for sale in Santanyi, Southeast Mallorca</t>
        </is>
      </c>
      <c r="C5273" t="inlineStr">
        <is>
          <t>https://www.balearic-properties.com/en/property/id/951422-spacious-finca-santanyi-mallorca-html</t>
        </is>
      </c>
      <c r="E5273" t="n">
        <v>8</v>
      </c>
      <c r="G5273" t="n">
        <v>66129</v>
      </c>
      <c r="H5273" t="n">
        <v>585</v>
      </c>
      <c r="J5273" t="inlineStr">
        <is>
          <t>Santanyí</t>
        </is>
      </c>
      <c r="K5273" t="n">
        <v>45.4</v>
      </c>
      <c r="L5273" t="n">
        <v>39</v>
      </c>
      <c r="M5273" t="n">
        <v>9</v>
      </c>
      <c r="N5273" t="n">
        <v>13</v>
      </c>
      <c r="O5273" t="n">
        <v>83.59999999999999</v>
      </c>
      <c r="P5273" t="n">
        <v>67</v>
      </c>
      <c r="Q5273" t="n">
        <v>9.699999999999999</v>
      </c>
      <c r="R5273" t="n">
        <v>15</v>
      </c>
      <c r="S5273" t="n">
        <v>5500000</v>
      </c>
      <c r="T5273" t="n">
        <v>9402</v>
      </c>
      <c r="U5273" t="n">
        <v>83</v>
      </c>
      <c r="AH5273" t="inlineStr">
        <is>
          <t>Quelle: Balearic Properties</t>
        </is>
      </c>
    </row>
    <row r="5274">
      <c r="A5274" t="n">
        <v>5087</v>
      </c>
      <c r="B5274" t="inlineStr">
        <is>
          <t>Elegant rural retreat for sale near Selva, North Mallorca</t>
        </is>
      </c>
      <c r="C5274" t="inlineStr">
        <is>
          <t>https://www.balearic-properties.com/en/property/id/940075-rural-retreat-selva-mallorca-html</t>
        </is>
      </c>
      <c r="E5274" t="n">
        <v>4</v>
      </c>
      <c r="G5274" t="n">
        <v>15321</v>
      </c>
      <c r="H5274" t="n">
        <v>497</v>
      </c>
      <c r="J5274" t="inlineStr">
        <is>
          <t>Selva</t>
        </is>
      </c>
      <c r="K5274" t="n">
        <v>44.5</v>
      </c>
      <c r="L5274" t="n">
        <v>41</v>
      </c>
      <c r="M5274" t="n">
        <v>62.6</v>
      </c>
      <c r="N5274" t="n">
        <v>67</v>
      </c>
      <c r="O5274" t="n">
        <v>67.09999999999999</v>
      </c>
      <c r="P5274" t="n">
        <v>57</v>
      </c>
      <c r="Q5274" t="n">
        <v>60.3</v>
      </c>
      <c r="R5274" t="n">
        <v>64</v>
      </c>
      <c r="S5274" t="n">
        <v>3700000</v>
      </c>
      <c r="T5274" t="n">
        <v>7445</v>
      </c>
      <c r="U5274" t="n">
        <v>241</v>
      </c>
      <c r="AH5274" t="inlineStr">
        <is>
          <t>Quelle: Balearic Properties</t>
        </is>
      </c>
    </row>
    <row r="5275">
      <c r="A5275" t="n">
        <v>5088</v>
      </c>
      <c r="B5275" t="inlineStr">
        <is>
          <t>Country home with holiday license for sale in Caimari, Central Mallorca</t>
        </is>
      </c>
      <c r="C5275" t="inlineStr">
        <is>
          <t>https://www.balearic-properties.com/en/property/id/950553-country-home-holiday-license-caimari-selva-mallorca-html</t>
        </is>
      </c>
      <c r="E5275" t="n">
        <v>5</v>
      </c>
      <c r="G5275" t="n">
        <v>33782</v>
      </c>
      <c r="H5275" t="n">
        <v>405</v>
      </c>
      <c r="J5275" t="inlineStr">
        <is>
          <t>Caimari</t>
        </is>
      </c>
      <c r="K5275" t="n">
        <v>44.6</v>
      </c>
      <c r="L5275" t="n">
        <v>41</v>
      </c>
      <c r="M5275" t="n">
        <v>62.7</v>
      </c>
      <c r="N5275" t="n">
        <v>68</v>
      </c>
      <c r="O5275" t="n">
        <v>67.2</v>
      </c>
      <c r="P5275" t="n">
        <v>58</v>
      </c>
      <c r="Q5275" t="n">
        <v>60.4</v>
      </c>
      <c r="R5275" t="n">
        <v>64</v>
      </c>
      <c r="S5275" t="n">
        <v>2250000</v>
      </c>
      <c r="T5275" t="n">
        <v>5556</v>
      </c>
      <c r="U5275" t="n">
        <v>67</v>
      </c>
      <c r="AH5275" t="inlineStr">
        <is>
          <t>Quelle: Balearic Properties</t>
        </is>
      </c>
    </row>
    <row r="5276">
      <c r="A5276" t="n">
        <v>5089</v>
      </c>
      <c r="B5276" t="inlineStr">
        <is>
          <t>Lovely village house with large terrace for sale in the centre of Pollensa, Mallorca</t>
        </is>
      </c>
      <c r="C5276" t="inlineStr">
        <is>
          <t>https://www.balearic-properties.com/en/property/id/852157-townhouse-terraces-views-pollensa-mallorca-html</t>
        </is>
      </c>
      <c r="E5276" t="n">
        <v>4</v>
      </c>
      <c r="G5276" t="n">
        <v>164</v>
      </c>
      <c r="H5276" t="n">
        <v>449</v>
      </c>
      <c r="J5276" t="inlineStr">
        <is>
          <t>Pollença Pueblo</t>
        </is>
      </c>
      <c r="S5276" t="n">
        <v>850000</v>
      </c>
      <c r="T5276" t="n">
        <v>1893</v>
      </c>
      <c r="U5276" t="n">
        <v>5183</v>
      </c>
      <c r="AH5276" t="inlineStr">
        <is>
          <t>Quelle: Balearic Properties</t>
        </is>
      </c>
    </row>
    <row r="5277">
      <c r="A5277" t="n">
        <v>5090</v>
      </c>
      <c r="B5277" t="inlineStr">
        <is>
          <t>Unique modern villa for sale near the sea in Santanyi, Southeast Malloca</t>
        </is>
      </c>
      <c r="C5277" t="inlineStr">
        <is>
          <t>https://www.balearic-properties.com/en/property/id/951530-modern-house-sea-santanyi-malloca-html</t>
        </is>
      </c>
      <c r="E5277" t="n">
        <v>4</v>
      </c>
      <c r="G5277" t="n">
        <v>678</v>
      </c>
      <c r="H5277" t="n">
        <v>271</v>
      </c>
      <c r="J5277" t="inlineStr">
        <is>
          <t>Santanyí</t>
        </is>
      </c>
      <c r="K5277" t="n">
        <v>45.4</v>
      </c>
      <c r="L5277" t="n">
        <v>39</v>
      </c>
      <c r="M5277" t="n">
        <v>9</v>
      </c>
      <c r="N5277" t="n">
        <v>13</v>
      </c>
      <c r="O5277" t="n">
        <v>83.59999999999999</v>
      </c>
      <c r="P5277" t="n">
        <v>67</v>
      </c>
      <c r="Q5277" t="n">
        <v>9.699999999999999</v>
      </c>
      <c r="R5277" t="n">
        <v>15</v>
      </c>
      <c r="S5277" t="n">
        <v>1950000</v>
      </c>
      <c r="T5277" t="n">
        <v>7196</v>
      </c>
      <c r="U5277" t="n">
        <v>2876</v>
      </c>
      <c r="AH5277" t="inlineStr">
        <is>
          <t>Quelle: Balearic Properties</t>
        </is>
      </c>
    </row>
    <row r="5278">
      <c r="A5278" t="n">
        <v>5091</v>
      </c>
      <c r="B5278" t="inlineStr">
        <is>
          <t>Renaissance palace noble floor residence for sale in Palma Old Town, Mallorca</t>
        </is>
      </c>
      <c r="C5278" t="inlineStr">
        <is>
          <t>https://www.balearic-properties.com/en/property/id/949680-apartment-historic-building-palma-old-town-mallorca-html</t>
        </is>
      </c>
      <c r="E5278" t="n">
        <v>5</v>
      </c>
      <c r="G5278" t="n">
        <v>0</v>
      </c>
      <c r="H5278" t="n">
        <v>652</v>
      </c>
      <c r="J5278" t="inlineStr">
        <is>
          <t>Palma Casco Antiguo</t>
        </is>
      </c>
      <c r="K5278" t="n">
        <v>9.699999999999999</v>
      </c>
      <c r="L5278" t="n">
        <v>14</v>
      </c>
      <c r="M5278" t="n">
        <v>52.5</v>
      </c>
      <c r="N5278" t="n">
        <v>47</v>
      </c>
      <c r="O5278" t="n">
        <v>32.1</v>
      </c>
      <c r="P5278" t="n">
        <v>36</v>
      </c>
      <c r="Q5278" t="n">
        <v>50.2</v>
      </c>
      <c r="R5278" t="n">
        <v>44</v>
      </c>
      <c r="S5278" t="n">
        <v>6100000</v>
      </c>
      <c r="T5278" t="n">
        <v>9356</v>
      </c>
      <c r="AH5278" t="inlineStr">
        <is>
          <t>Quelle: Balearic Properties</t>
        </is>
      </c>
    </row>
    <row r="5279">
      <c r="A5279" t="n">
        <v>5092</v>
      </c>
      <c r="B5279" t="inlineStr">
        <is>
          <t>Charming town house for sale in Campos, Southeast Mallorca</t>
        </is>
      </c>
      <c r="C5279" t="inlineStr">
        <is>
          <t>https://www.balearic-properties.com/en/property/id/951532-charming-townhouse-campos-mallorca-html</t>
        </is>
      </c>
      <c r="E5279" t="n">
        <v>4</v>
      </c>
      <c r="G5279" t="n">
        <v>200</v>
      </c>
      <c r="H5279" t="n">
        <v>280</v>
      </c>
      <c r="J5279" t="inlineStr">
        <is>
          <t>Campos</t>
        </is>
      </c>
      <c r="K5279" t="n">
        <v>32.9</v>
      </c>
      <c r="L5279" t="n">
        <v>28</v>
      </c>
      <c r="M5279" t="n">
        <v>14.6</v>
      </c>
      <c r="N5279" t="n">
        <v>18</v>
      </c>
      <c r="O5279" t="n">
        <v>71.09999999999999</v>
      </c>
      <c r="P5279" t="n">
        <v>56</v>
      </c>
      <c r="Q5279" t="n">
        <v>12.3</v>
      </c>
      <c r="R5279" t="n">
        <v>14</v>
      </c>
      <c r="S5279" t="n">
        <v>1590000</v>
      </c>
      <c r="T5279" t="n">
        <v>5679</v>
      </c>
      <c r="U5279" t="n">
        <v>7950</v>
      </c>
      <c r="AH5279" t="inlineStr">
        <is>
          <t>Quelle: Balearic Properties</t>
        </is>
      </c>
    </row>
    <row r="5280">
      <c r="A5280" t="n">
        <v>5093</v>
      </c>
      <c r="B5280" t="inlineStr">
        <is>
          <t>Luxurious and superlative penthouse with roof terrace for sale in Palma, Mallorca</t>
        </is>
      </c>
      <c r="C5280" t="inlineStr">
        <is>
          <t>https://www.balearic-properties.com/en/property/id/827424-deluxe-seaview-penthouse-palma-mallorca-html</t>
        </is>
      </c>
      <c r="E5280" t="n">
        <v>3</v>
      </c>
      <c r="G5280" t="n">
        <v>0</v>
      </c>
      <c r="H5280" t="n">
        <v>121</v>
      </c>
      <c r="J5280" t="inlineStr">
        <is>
          <t>Palma de Mallorca</t>
        </is>
      </c>
      <c r="K5280" t="n">
        <v>9.699999999999999</v>
      </c>
      <c r="L5280" t="n">
        <v>14</v>
      </c>
      <c r="M5280" t="n">
        <v>52.5</v>
      </c>
      <c r="N5280" t="n">
        <v>47</v>
      </c>
      <c r="O5280" t="n">
        <v>32.1</v>
      </c>
      <c r="P5280" t="n">
        <v>36</v>
      </c>
      <c r="Q5280" t="n">
        <v>50.2</v>
      </c>
      <c r="R5280" t="n">
        <v>44</v>
      </c>
      <c r="S5280" t="n">
        <v>1340000</v>
      </c>
      <c r="T5280" t="n">
        <v>11074</v>
      </c>
      <c r="AH5280" t="inlineStr">
        <is>
          <t>Quelle: Balearic Properties</t>
        </is>
      </c>
    </row>
    <row r="5281">
      <c r="A5281" t="n">
        <v>5094</v>
      </c>
      <c r="B5281" t="inlineStr">
        <is>
          <t>Spacious villa with private pool for sale at the golf course in Pollensa, Mallorca</t>
        </is>
      </c>
      <c r="C5281" t="inlineStr">
        <is>
          <t>https://www.balearic-properties.com/en/property/id/832894-spacious-villa-pool-golf-pollensa-mallorca-html</t>
        </is>
      </c>
      <c r="E5281" t="n">
        <v>4</v>
      </c>
      <c r="G5281" t="n">
        <v>1430</v>
      </c>
      <c r="H5281" t="n">
        <v>331</v>
      </c>
      <c r="J5281" t="inlineStr">
        <is>
          <t>Pollença</t>
        </is>
      </c>
      <c r="K5281" t="n">
        <v>60.6</v>
      </c>
      <c r="L5281" t="n">
        <v>47</v>
      </c>
      <c r="M5281" t="n">
        <v>78.7</v>
      </c>
      <c r="N5281" t="n">
        <v>74</v>
      </c>
      <c r="O5281" t="n">
        <v>83.2</v>
      </c>
      <c r="P5281" t="n">
        <v>63</v>
      </c>
      <c r="Q5281" t="n">
        <v>76.40000000000001</v>
      </c>
      <c r="R5281" t="n">
        <v>70</v>
      </c>
      <c r="S5281" t="n">
        <v>2950000</v>
      </c>
      <c r="T5281" t="n">
        <v>8912</v>
      </c>
      <c r="U5281" t="n">
        <v>2063</v>
      </c>
      <c r="AH5281" t="inlineStr">
        <is>
          <t>Quelle: Balearic Properties</t>
        </is>
      </c>
    </row>
    <row r="5282">
      <c r="A5282" t="n">
        <v>5095</v>
      </c>
      <c r="B5282" t="inlineStr">
        <is>
          <t>Luxurious country house for sale close to Sant Elm, Andratx</t>
        </is>
      </c>
      <c r="C5282" t="inlineStr">
        <is>
          <t>https://www.balearic-properties.com/en/property/id/951314-luxury-country-home-andratx-mallorca-html</t>
        </is>
      </c>
      <c r="E5282" t="n">
        <v>5</v>
      </c>
      <c r="G5282" t="n">
        <v>18191</v>
      </c>
      <c r="H5282" t="n">
        <v>392</v>
      </c>
      <c r="J5282" t="inlineStr">
        <is>
          <t>Sant Elm</t>
        </is>
      </c>
      <c r="K5282" t="n">
        <v>48.4</v>
      </c>
      <c r="L5282" t="n">
        <v>47</v>
      </c>
      <c r="M5282" t="n">
        <v>91.2</v>
      </c>
      <c r="N5282" t="n">
        <v>79</v>
      </c>
      <c r="O5282" t="n">
        <v>6.4</v>
      </c>
      <c r="P5282" t="n">
        <v>14</v>
      </c>
      <c r="Q5282" t="n">
        <v>88.90000000000001</v>
      </c>
      <c r="R5282" t="n">
        <v>76</v>
      </c>
      <c r="S5282" t="n">
        <v>2900000</v>
      </c>
      <c r="T5282" t="n">
        <v>7398</v>
      </c>
      <c r="U5282" t="n">
        <v>159</v>
      </c>
      <c r="AH5282" t="inlineStr">
        <is>
          <t>Quelle: Balearic Properties</t>
        </is>
      </c>
    </row>
    <row r="5283">
      <c r="A5283" t="n">
        <v>5096</v>
      </c>
      <c r="B5283" t="inlineStr">
        <is>
          <t>State-of-the-art village house for sale in Valldemossa, West Mallorca</t>
        </is>
      </c>
      <c r="C5283" t="inlineStr">
        <is>
          <t>https://www.balearic-properties.com/en/property/id/951057-new-house-indoor-pool-valldemossa-mallorca-html</t>
        </is>
      </c>
      <c r="E5283" t="n">
        <v>3</v>
      </c>
      <c r="G5283" t="n">
        <v>12</v>
      </c>
      <c r="H5283" t="n">
        <v>165</v>
      </c>
      <c r="J5283" t="inlineStr">
        <is>
          <t>Valldemossa</t>
        </is>
      </c>
      <c r="S5283" t="n">
        <v>960000</v>
      </c>
      <c r="T5283" t="n">
        <v>5818</v>
      </c>
      <c r="U5283" t="n">
        <v>80000</v>
      </c>
      <c r="AH5283" t="inlineStr">
        <is>
          <t>Quelle: Balearic Properties</t>
        </is>
      </c>
    </row>
    <row r="5284">
      <c r="A5284" t="n">
        <v>5097</v>
      </c>
      <c r="B5284" t="inlineStr">
        <is>
          <t>Village house with pool for sale in the centre of Valldemossa, West Mallorca</t>
        </is>
      </c>
      <c r="C5284" t="inlineStr">
        <is>
          <t>https://www.balearic-properties.com/en/property/id/951055-village-house-indoor-pool-valldemossa-mallorca-html</t>
        </is>
      </c>
      <c r="E5284" t="n">
        <v>3</v>
      </c>
      <c r="G5284" t="n">
        <v>12</v>
      </c>
      <c r="H5284" t="n">
        <v>165</v>
      </c>
      <c r="J5284" t="inlineStr">
        <is>
          <t>Valldemossa</t>
        </is>
      </c>
      <c r="S5284" t="n">
        <v>935000</v>
      </c>
      <c r="T5284" t="n">
        <v>5667</v>
      </c>
      <c r="U5284" t="n">
        <v>77917</v>
      </c>
      <c r="AH5284" t="inlineStr">
        <is>
          <t>Quelle: Balearic Properties</t>
        </is>
      </c>
    </row>
    <row r="5285">
      <c r="A5285" t="n">
        <v>5098</v>
      </c>
      <c r="B5285" t="inlineStr">
        <is>
          <t>Brand new house with indoor pool for sale in Valldemossa, West Mallorca</t>
        </is>
      </c>
      <c r="C5285" t="inlineStr">
        <is>
          <t>https://www.balearic-properties.com/en/property/id/944846-new-house-indoor-pool-valldemossa-mallorca-html</t>
        </is>
      </c>
      <c r="E5285" t="n">
        <v>3</v>
      </c>
      <c r="G5285" t="n">
        <v>12</v>
      </c>
      <c r="H5285" t="n">
        <v>165</v>
      </c>
      <c r="J5285" t="inlineStr">
        <is>
          <t>Valldemossa</t>
        </is>
      </c>
      <c r="S5285" t="n">
        <v>900000</v>
      </c>
      <c r="T5285" t="n">
        <v>5455</v>
      </c>
      <c r="U5285" t="n">
        <v>75000</v>
      </c>
      <c r="AH5285" t="inlineStr">
        <is>
          <t>Quelle: Balearic Properties</t>
        </is>
      </c>
    </row>
    <row r="5286">
      <c r="A5286" t="n">
        <v>5099</v>
      </c>
      <c r="B5286" t="inlineStr">
        <is>
          <t>Stylish villa for sale close to the beach in Cala Vinyes, Southwest Mallorca</t>
        </is>
      </c>
      <c r="C5286" t="inlineStr">
        <is>
          <t>https://www.balearic-properties.com/en/property/id/948423-villa-beach-cala-vinyes-mallorca-html</t>
        </is>
      </c>
      <c r="E5286" t="n">
        <v>3</v>
      </c>
      <c r="G5286" t="n">
        <v>1470</v>
      </c>
      <c r="H5286" t="n">
        <v>372</v>
      </c>
      <c r="J5286" t="inlineStr">
        <is>
          <t>Cala Vinyes</t>
        </is>
      </c>
      <c r="K5286" t="n">
        <v>31.5</v>
      </c>
      <c r="L5286" t="n">
        <v>31</v>
      </c>
      <c r="M5286" t="n">
        <v>74.3</v>
      </c>
      <c r="N5286" t="n">
        <v>64</v>
      </c>
      <c r="O5286" t="n">
        <v>20.4</v>
      </c>
      <c r="P5286" t="n">
        <v>25</v>
      </c>
      <c r="Q5286" t="n">
        <v>72</v>
      </c>
      <c r="R5286" t="n">
        <v>60</v>
      </c>
      <c r="S5286" t="n">
        <v>3175000</v>
      </c>
      <c r="T5286" t="n">
        <v>8535</v>
      </c>
      <c r="U5286" t="n">
        <v>2160</v>
      </c>
      <c r="AH5286" t="inlineStr">
        <is>
          <t>Quelle: Balearic Properties</t>
        </is>
      </c>
    </row>
    <row r="5287">
      <c r="A5287" t="n">
        <v>5100</v>
      </c>
      <c r="B5287" t="inlineStr">
        <is>
          <t>Expansive villa with rental license for sale near Pollensa, North Mallorca</t>
        </is>
      </c>
      <c r="C5287" t="inlineStr">
        <is>
          <t>https://www.balearic-properties.com/en/property/id/950027-investment-villa-rental-license-pollensa-mallorca-html</t>
        </is>
      </c>
      <c r="E5287" t="n">
        <v>5</v>
      </c>
      <c r="G5287" t="n">
        <v>2058</v>
      </c>
      <c r="H5287" t="n">
        <v>465</v>
      </c>
      <c r="J5287" t="inlineStr">
        <is>
          <t>Pollença</t>
        </is>
      </c>
      <c r="K5287" t="n">
        <v>60.6</v>
      </c>
      <c r="L5287" t="n">
        <v>47</v>
      </c>
      <c r="M5287" t="n">
        <v>78.7</v>
      </c>
      <c r="N5287" t="n">
        <v>74</v>
      </c>
      <c r="O5287" t="n">
        <v>83.2</v>
      </c>
      <c r="P5287" t="n">
        <v>63</v>
      </c>
      <c r="Q5287" t="n">
        <v>76.40000000000001</v>
      </c>
      <c r="R5287" t="n">
        <v>70</v>
      </c>
      <c r="S5287" t="n">
        <v>1650000</v>
      </c>
      <c r="T5287" t="n">
        <v>3548</v>
      </c>
      <c r="U5287" t="n">
        <v>802</v>
      </c>
      <c r="AH5287" t="inlineStr">
        <is>
          <t>Quelle: Balearic Properties</t>
        </is>
      </c>
    </row>
    <row r="5288">
      <c r="A5288" t="n">
        <v>5101</v>
      </c>
      <c r="B5288" t="inlineStr">
        <is>
          <t>Mallorcan estate with olive grove for sale in Campos, South Mallorca</t>
        </is>
      </c>
      <c r="C5288" t="inlineStr">
        <is>
          <t>https://www.balearic-properties.com/en/property/id/948341-mallorcan-estate-olive-grove-campos-mallorca-html</t>
        </is>
      </c>
      <c r="E5288" t="n">
        <v>5</v>
      </c>
      <c r="G5288" t="n">
        <v>8870</v>
      </c>
      <c r="H5288" t="n">
        <v>389</v>
      </c>
      <c r="J5288" t="inlineStr">
        <is>
          <t>Campos</t>
        </is>
      </c>
      <c r="K5288" t="n">
        <v>32.9</v>
      </c>
      <c r="L5288" t="n">
        <v>28</v>
      </c>
      <c r="M5288" t="n">
        <v>14.6</v>
      </c>
      <c r="N5288" t="n">
        <v>18</v>
      </c>
      <c r="O5288" t="n">
        <v>71.09999999999999</v>
      </c>
      <c r="P5288" t="n">
        <v>56</v>
      </c>
      <c r="Q5288" t="n">
        <v>12.3</v>
      </c>
      <c r="R5288" t="n">
        <v>14</v>
      </c>
      <c r="S5288" t="n">
        <v>2350000</v>
      </c>
      <c r="T5288" t="n">
        <v>6041</v>
      </c>
      <c r="U5288" t="n">
        <v>265</v>
      </c>
      <c r="AH5288" t="inlineStr">
        <is>
          <t>Quelle: Balearic Properties</t>
        </is>
      </c>
    </row>
    <row r="5289">
      <c r="A5289" t="n">
        <v>5102</v>
      </c>
      <c r="B5289" t="inlineStr">
        <is>
          <t>Elegant seafront villa with amazing views for sale in Alcudia, North Mallorca</t>
        </is>
      </c>
      <c r="C5289" t="inlineStr">
        <is>
          <t>https://www.balearic-properties.com/en/property/id/950917-seafront-villa-amazing-views-alcudia-mallorca-html</t>
        </is>
      </c>
      <c r="E5289" t="n">
        <v>5</v>
      </c>
      <c r="G5289" t="n">
        <v>662</v>
      </c>
      <c r="H5289" t="n">
        <v>331</v>
      </c>
      <c r="J5289" t="inlineStr">
        <is>
          <t>Barcarés</t>
        </is>
      </c>
      <c r="K5289" t="n">
        <v>47.4</v>
      </c>
      <c r="L5289" t="n">
        <v>40</v>
      </c>
      <c r="M5289" t="n">
        <v>51.8</v>
      </c>
      <c r="N5289" t="n">
        <v>55</v>
      </c>
      <c r="O5289" t="n">
        <v>70</v>
      </c>
      <c r="P5289" t="n">
        <v>56</v>
      </c>
      <c r="Q5289" t="n">
        <v>49.5</v>
      </c>
      <c r="R5289" t="n">
        <v>51</v>
      </c>
      <c r="S5289" t="n">
        <v>5900000</v>
      </c>
      <c r="T5289" t="n">
        <v>17825</v>
      </c>
      <c r="U5289" t="n">
        <v>8912</v>
      </c>
      <c r="AH5289" t="inlineStr">
        <is>
          <t>Quelle: Balearic Properties</t>
        </is>
      </c>
    </row>
    <row r="5290">
      <c r="A5290" t="n">
        <v>5103</v>
      </c>
      <c r="B5290" t="inlineStr">
        <is>
          <t>Penthouse with harbour views for sale in Puerto Andratx, Southwest Mallorca</t>
        </is>
      </c>
      <c r="C5290" t="inlineStr">
        <is>
          <t>https://www.balearic-properties.com/en/property/id/950117-penthouse-sea-views-roof-terrace-puerto-andratx-html</t>
        </is>
      </c>
      <c r="E5290" t="n">
        <v>3</v>
      </c>
      <c r="G5290" t="n">
        <v>0</v>
      </c>
      <c r="H5290" t="n">
        <v>265</v>
      </c>
      <c r="J5290" t="inlineStr">
        <is>
          <t>Puerto Andratx</t>
        </is>
      </c>
      <c r="K5290" t="n">
        <v>43.5</v>
      </c>
      <c r="L5290" t="n">
        <v>38</v>
      </c>
      <c r="M5290" t="n">
        <v>86.2</v>
      </c>
      <c r="N5290" t="n">
        <v>71</v>
      </c>
      <c r="O5290" t="n">
        <v>6.3</v>
      </c>
      <c r="P5290" t="n">
        <v>11</v>
      </c>
      <c r="Q5290" t="n">
        <v>83.90000000000001</v>
      </c>
      <c r="R5290" t="n">
        <v>68</v>
      </c>
      <c r="S5290" t="n">
        <v>3880000</v>
      </c>
      <c r="T5290" t="n">
        <v>14642</v>
      </c>
      <c r="AH5290" t="inlineStr">
        <is>
          <t>Quelle: Balearic Properties</t>
        </is>
      </c>
    </row>
    <row r="5291">
      <c r="A5291" t="n">
        <v>5104</v>
      </c>
      <c r="B5291" t="inlineStr">
        <is>
          <t>Charming Mediterranean finca for sale near S’Arracó, Southwest Mallorca</t>
        </is>
      </c>
      <c r="C5291" t="inlineStr">
        <is>
          <t>https://www.balearic-properties.com/en/property/id/949558-finca-lush-garden-sarraco-mallorca-html</t>
        </is>
      </c>
      <c r="E5291" t="n">
        <v>4</v>
      </c>
      <c r="G5291" t="n">
        <v>12581</v>
      </c>
      <c r="H5291" t="n">
        <v>207</v>
      </c>
      <c r="J5291" t="inlineStr">
        <is>
          <t>S´Arraco</t>
        </is>
      </c>
      <c r="K5291" t="n">
        <v>44.2</v>
      </c>
      <c r="L5291" t="n">
        <v>38</v>
      </c>
      <c r="M5291" t="n">
        <v>87</v>
      </c>
      <c r="N5291" t="n">
        <v>71</v>
      </c>
      <c r="O5291" t="n">
        <v>1.4</v>
      </c>
      <c r="P5291" t="n">
        <v>3</v>
      </c>
      <c r="Q5291" t="n">
        <v>84.7</v>
      </c>
      <c r="R5291" t="n">
        <v>68</v>
      </c>
      <c r="S5291" t="n">
        <v>3500000</v>
      </c>
      <c r="T5291" t="n">
        <v>16908</v>
      </c>
      <c r="U5291" t="n">
        <v>278</v>
      </c>
      <c r="AH5291" t="inlineStr">
        <is>
          <t>Quelle: Balearic Properties</t>
        </is>
      </c>
    </row>
    <row r="5292">
      <c r="A5292" t="n">
        <v>5105</v>
      </c>
      <c r="B5292" t="inlineStr">
        <is>
          <t>Harbour view apartment for sale in Puerto Portals, Southwest Mallorca</t>
        </is>
      </c>
      <c r="C5292" t="inlineStr">
        <is>
          <t>https://www.balearic-properties.com/en/property/id/944645-harbour-view-apartment-puerto-portals-mallorca-html</t>
        </is>
      </c>
      <c r="E5292" t="n">
        <v>3</v>
      </c>
      <c r="G5292" t="n">
        <v>0</v>
      </c>
      <c r="H5292" t="n">
        <v>179</v>
      </c>
      <c r="J5292" t="inlineStr">
        <is>
          <t>Puerto Portals</t>
        </is>
      </c>
      <c r="K5292" t="n">
        <v>23.5</v>
      </c>
      <c r="L5292" t="n">
        <v>24</v>
      </c>
      <c r="M5292" t="n">
        <v>66.2</v>
      </c>
      <c r="N5292" t="n">
        <v>56</v>
      </c>
      <c r="O5292" t="n">
        <v>21.4</v>
      </c>
      <c r="P5292" t="n">
        <v>23</v>
      </c>
      <c r="Q5292" t="n">
        <v>63.9</v>
      </c>
      <c r="R5292" t="n">
        <v>53</v>
      </c>
      <c r="S5292" t="n">
        <v>2550000</v>
      </c>
      <c r="T5292" t="n">
        <v>14246</v>
      </c>
      <c r="AH5292" t="inlineStr">
        <is>
          <t>Quelle: Balearic Properties</t>
        </is>
      </c>
    </row>
    <row r="5293">
      <c r="A5293" t="n">
        <v>5106</v>
      </c>
      <c r="B5293" t="inlineStr">
        <is>
          <t>Extraordinary country home with tennis court for sale in Pollensa, North Mallorca</t>
        </is>
      </c>
      <c r="C5293" t="inlineStr">
        <is>
          <t>https://www.balearic-properties.com/en/property/id/950028-beautiful-finca-pollensa-mallorca-html</t>
        </is>
      </c>
      <c r="E5293" t="n">
        <v>4</v>
      </c>
      <c r="G5293" t="n">
        <v>18140</v>
      </c>
      <c r="H5293" t="n">
        <v>1225</v>
      </c>
      <c r="J5293" t="inlineStr">
        <is>
          <t>La Font</t>
        </is>
      </c>
      <c r="K5293" t="n">
        <v>62.7</v>
      </c>
      <c r="L5293" t="n">
        <v>49</v>
      </c>
      <c r="M5293" t="n">
        <v>80.8</v>
      </c>
      <c r="N5293" t="n">
        <v>76</v>
      </c>
      <c r="O5293" t="n">
        <v>85.3</v>
      </c>
      <c r="P5293" t="n">
        <v>65</v>
      </c>
      <c r="Q5293" t="n">
        <v>78.5</v>
      </c>
      <c r="R5293" t="n">
        <v>72</v>
      </c>
      <c r="S5293" t="n">
        <v>4750000</v>
      </c>
      <c r="T5293" t="n">
        <v>3878</v>
      </c>
      <c r="U5293" t="n">
        <v>262</v>
      </c>
      <c r="AH5293" t="inlineStr">
        <is>
          <t>Quelle: Balearic Properties</t>
        </is>
      </c>
    </row>
    <row r="5294">
      <c r="A5294" t="n">
        <v>5107</v>
      </c>
      <c r="B5294" t="inlineStr">
        <is>
          <t>Village house needing full renovation for sale in Pollensa, North Mallorca</t>
        </is>
      </c>
      <c r="C5294" t="inlineStr">
        <is>
          <t>https://www.balearic-properties.com/en/property/id/947304-townhouse-refurbish-pollensa-mallorca-html</t>
        </is>
      </c>
      <c r="E5294" t="n">
        <v>3</v>
      </c>
      <c r="G5294" t="n">
        <v>450</v>
      </c>
      <c r="H5294" t="n">
        <v>273</v>
      </c>
      <c r="J5294" t="inlineStr">
        <is>
          <t>Pollença Pueblo</t>
        </is>
      </c>
      <c r="K5294" t="n">
        <v>60.6</v>
      </c>
      <c r="L5294" t="n">
        <v>47</v>
      </c>
      <c r="M5294" t="n">
        <v>78.7</v>
      </c>
      <c r="N5294" t="n">
        <v>74</v>
      </c>
      <c r="O5294" t="n">
        <v>83.2</v>
      </c>
      <c r="P5294" t="n">
        <v>63</v>
      </c>
      <c r="Q5294" t="n">
        <v>76.40000000000001</v>
      </c>
      <c r="R5294" t="n">
        <v>70</v>
      </c>
      <c r="S5294" t="n">
        <v>1070000</v>
      </c>
      <c r="T5294" t="n">
        <v>3919</v>
      </c>
      <c r="U5294" t="n">
        <v>2378</v>
      </c>
      <c r="AH5294" t="inlineStr">
        <is>
          <t>Quelle: Balearic Properties</t>
        </is>
      </c>
    </row>
    <row r="5295">
      <c r="A5295" t="n">
        <v>5108</v>
      </c>
      <c r="B5295" t="inlineStr">
        <is>
          <t>Stylish contemporary villa with sea views for sale in Costa d´en Blanes, Mallorca</t>
        </is>
      </c>
      <c r="C5295" t="inlineStr">
        <is>
          <t>https://www.balearic-properties.com/en/property/id/822889-stylish-luxury-villa-palma-html</t>
        </is>
      </c>
      <c r="E5295" t="n">
        <v>5</v>
      </c>
      <c r="G5295" t="n">
        <v>1050</v>
      </c>
      <c r="H5295" t="n">
        <v>416</v>
      </c>
      <c r="J5295" t="inlineStr">
        <is>
          <t>Costa D´en Blanes</t>
        </is>
      </c>
      <c r="K5295" t="n">
        <v>23.3</v>
      </c>
      <c r="L5295" t="n">
        <v>21</v>
      </c>
      <c r="M5295" t="n">
        <v>66.09999999999999</v>
      </c>
      <c r="N5295" t="n">
        <v>54</v>
      </c>
      <c r="O5295" t="n">
        <v>21</v>
      </c>
      <c r="P5295" t="n">
        <v>21</v>
      </c>
      <c r="Q5295" t="n">
        <v>63.8</v>
      </c>
      <c r="R5295" t="n">
        <v>51</v>
      </c>
      <c r="S5295" t="n">
        <v>4450000</v>
      </c>
      <c r="T5295" t="n">
        <v>10697</v>
      </c>
      <c r="U5295" t="n">
        <v>4238</v>
      </c>
      <c r="AH5295" t="inlineStr">
        <is>
          <t>Quelle: Balearic Properties</t>
        </is>
      </c>
    </row>
    <row r="5296">
      <c r="A5296" t="n">
        <v>5109</v>
      </c>
      <c r="B5296" t="inlineStr">
        <is>
          <t>Stylish villa for sale close to the beach in Cala Llombards, Southeast Mallorca</t>
        </is>
      </c>
      <c r="C5296" t="inlineStr">
        <is>
          <t>https://www.balearic-properties.com/en/property/id/947390-villa-beach-cala-llombards-mallorca-html</t>
        </is>
      </c>
      <c r="E5296" t="n">
        <v>3</v>
      </c>
      <c r="G5296" t="n">
        <v>440</v>
      </c>
      <c r="H5296" t="n">
        <v>210</v>
      </c>
      <c r="J5296" t="inlineStr">
        <is>
          <t>Cala Llombards</t>
        </is>
      </c>
      <c r="K5296" t="n">
        <v>51.7</v>
      </c>
      <c r="L5296" t="n">
        <v>48</v>
      </c>
      <c r="M5296" t="n">
        <v>10.5</v>
      </c>
      <c r="N5296" t="n">
        <v>17</v>
      </c>
      <c r="O5296" t="n">
        <v>89.90000000000001</v>
      </c>
      <c r="P5296" t="n">
        <v>76</v>
      </c>
      <c r="Q5296" t="n">
        <v>11.1</v>
      </c>
      <c r="R5296" t="n">
        <v>19</v>
      </c>
      <c r="S5296" t="n">
        <v>1850000</v>
      </c>
      <c r="T5296" t="n">
        <v>8810</v>
      </c>
      <c r="U5296" t="n">
        <v>4205</v>
      </c>
      <c r="AH5296" t="inlineStr">
        <is>
          <t>Quelle: Balearic Properties</t>
        </is>
      </c>
    </row>
    <row r="5297">
      <c r="A5297" t="n">
        <v>5110</v>
      </c>
      <c r="B5297" t="inlineStr">
        <is>
          <t>Stylish town house with pool for sale in the centre of Pollensa, Mallorca</t>
        </is>
      </c>
      <c r="C5297" t="inlineStr">
        <is>
          <t>https://www.balearic-properties.com/en/property/id/949143-house-pollensa-pool-mallorca-html</t>
        </is>
      </c>
      <c r="E5297" t="n">
        <v>4</v>
      </c>
      <c r="G5297" t="n">
        <v>106</v>
      </c>
      <c r="H5297" t="n">
        <v>218</v>
      </c>
      <c r="J5297" t="inlineStr">
        <is>
          <t>Pollença</t>
        </is>
      </c>
      <c r="K5297" t="n">
        <v>60.6</v>
      </c>
      <c r="L5297" t="n">
        <v>47</v>
      </c>
      <c r="M5297" t="n">
        <v>78.7</v>
      </c>
      <c r="N5297" t="n">
        <v>74</v>
      </c>
      <c r="O5297" t="n">
        <v>83.2</v>
      </c>
      <c r="P5297" t="n">
        <v>63</v>
      </c>
      <c r="Q5297" t="n">
        <v>76.40000000000001</v>
      </c>
      <c r="R5297" t="n">
        <v>70</v>
      </c>
      <c r="S5297" t="n">
        <v>1200000</v>
      </c>
      <c r="T5297" t="n">
        <v>5505</v>
      </c>
      <c r="U5297" t="n">
        <v>11321</v>
      </c>
      <c r="AH5297" t="inlineStr">
        <is>
          <t>Quelle: Balearic Properties</t>
        </is>
      </c>
    </row>
    <row r="5298">
      <c r="A5298" t="n">
        <v>5111</v>
      </c>
      <c r="B5298" t="inlineStr">
        <is>
          <t>Luxury villa with panoramic views for sale in Camp de Mar, Southwest Mallorca</t>
        </is>
      </c>
      <c r="C5298" t="inlineStr">
        <is>
          <t>https://www.balearic-properties.com/en/property/id/949708-villa-sea-views-camp-de-mar-andratx-mallorca-html</t>
        </is>
      </c>
      <c r="E5298" t="n">
        <v>4</v>
      </c>
      <c r="G5298" t="n">
        <v>1136</v>
      </c>
      <c r="H5298" t="n">
        <v>546</v>
      </c>
      <c r="J5298" t="inlineStr">
        <is>
          <t>Camp de Mar</t>
        </is>
      </c>
      <c r="K5298" t="n">
        <v>38.7</v>
      </c>
      <c r="L5298" t="n">
        <v>32</v>
      </c>
      <c r="M5298" t="n">
        <v>81.40000000000001</v>
      </c>
      <c r="N5298" t="n">
        <v>65</v>
      </c>
      <c r="O5298" t="n">
        <v>6.7</v>
      </c>
      <c r="P5298" t="n">
        <v>10</v>
      </c>
      <c r="Q5298" t="n">
        <v>79.09999999999999</v>
      </c>
      <c r="R5298" t="n">
        <v>62</v>
      </c>
      <c r="S5298" t="n">
        <v>8600000</v>
      </c>
      <c r="T5298" t="n">
        <v>15751</v>
      </c>
      <c r="U5298" t="n">
        <v>7570</v>
      </c>
      <c r="AH5298" t="inlineStr">
        <is>
          <t>Quelle: Balearic Properties</t>
        </is>
      </c>
    </row>
    <row r="5299">
      <c r="A5299" t="n">
        <v>5112</v>
      </c>
      <c r="B5299" t="inlineStr">
        <is>
          <t>Historic house with approved project for sale in Campos, southeast Mallorca</t>
        </is>
      </c>
      <c r="C5299" t="inlineStr">
        <is>
          <t>https://www.balearic-properties.com/en/property/id/944851-historic-house-building-permit-campos-mallorca-html</t>
        </is>
      </c>
      <c r="E5299" t="n">
        <v>5</v>
      </c>
      <c r="G5299" t="n">
        <v>496</v>
      </c>
      <c r="H5299" t="n">
        <v>630</v>
      </c>
      <c r="J5299" t="inlineStr">
        <is>
          <t>Campos</t>
        </is>
      </c>
      <c r="K5299" t="n">
        <v>32.9</v>
      </c>
      <c r="L5299" t="n">
        <v>28</v>
      </c>
      <c r="M5299" t="n">
        <v>14.6</v>
      </c>
      <c r="N5299" t="n">
        <v>18</v>
      </c>
      <c r="O5299" t="n">
        <v>71.09999999999999</v>
      </c>
      <c r="P5299" t="n">
        <v>56</v>
      </c>
      <c r="Q5299" t="n">
        <v>12.3</v>
      </c>
      <c r="R5299" t="n">
        <v>14</v>
      </c>
      <c r="S5299" t="n">
        <v>1295000</v>
      </c>
      <c r="T5299" t="n">
        <v>2056</v>
      </c>
      <c r="U5299" t="n">
        <v>2611</v>
      </c>
      <c r="AH5299" t="inlineStr">
        <is>
          <t>Quelle: Balearic Properties</t>
        </is>
      </c>
    </row>
    <row r="5300">
      <c r="A5300" t="n">
        <v>5113</v>
      </c>
      <c r="B5300" t="inlineStr">
        <is>
          <t>Ultra-modern sea view home for sale in Camp de Mar, Southwest Mallorca</t>
        </is>
      </c>
      <c r="C5300" t="inlineStr">
        <is>
          <t>https://www.balearic-properties.com/en/property/id/949706-new-modern-home-sea-views-camp-de-mar-mallorca-html</t>
        </is>
      </c>
      <c r="E5300" t="n">
        <v>4</v>
      </c>
      <c r="G5300" t="n">
        <v>1117</v>
      </c>
      <c r="H5300" t="n">
        <v>558</v>
      </c>
      <c r="J5300" t="inlineStr">
        <is>
          <t>Camp de Mar</t>
        </is>
      </c>
      <c r="K5300" t="n">
        <v>38.7</v>
      </c>
      <c r="L5300" t="n">
        <v>32</v>
      </c>
      <c r="M5300" t="n">
        <v>81.40000000000001</v>
      </c>
      <c r="N5300" t="n">
        <v>65</v>
      </c>
      <c r="O5300" t="n">
        <v>6.7</v>
      </c>
      <c r="P5300" t="n">
        <v>10</v>
      </c>
      <c r="Q5300" t="n">
        <v>79.09999999999999</v>
      </c>
      <c r="R5300" t="n">
        <v>62</v>
      </c>
      <c r="S5300" t="n">
        <v>8600000</v>
      </c>
      <c r="T5300" t="n">
        <v>15412</v>
      </c>
      <c r="U5300" t="n">
        <v>7699</v>
      </c>
      <c r="AH5300" t="inlineStr">
        <is>
          <t>Quelle: Balearic Properties</t>
        </is>
      </c>
    </row>
    <row r="5301">
      <c r="A5301" t="n">
        <v>5114</v>
      </c>
      <c r="B5301" t="inlineStr">
        <is>
          <t>Peaceful mountain view finca for sale in Esporles, Southwest Mallorca</t>
        </is>
      </c>
      <c r="C5301" t="inlineStr">
        <is>
          <t>https://www.balearic-properties.com/en/property/id/949472-finca-panoramic-mountain-views-esporles-mallorca-html</t>
        </is>
      </c>
      <c r="E5301" t="n">
        <v>4</v>
      </c>
      <c r="G5301" t="n">
        <v>18000</v>
      </c>
      <c r="H5301" t="n">
        <v>250</v>
      </c>
      <c r="J5301" t="inlineStr">
        <is>
          <t>Esporles</t>
        </is>
      </c>
      <c r="K5301" t="n">
        <v>24.9</v>
      </c>
      <c r="L5301" t="n">
        <v>27</v>
      </c>
      <c r="M5301" t="n">
        <v>67.59999999999999</v>
      </c>
      <c r="N5301" t="n">
        <v>60</v>
      </c>
      <c r="O5301" t="n">
        <v>43.2</v>
      </c>
      <c r="P5301" t="n">
        <v>40</v>
      </c>
      <c r="Q5301" t="n">
        <v>65.3</v>
      </c>
      <c r="R5301" t="n">
        <v>57</v>
      </c>
      <c r="S5301" t="n">
        <v>1490000</v>
      </c>
      <c r="T5301" t="n">
        <v>5960</v>
      </c>
      <c r="U5301" t="n">
        <v>83</v>
      </c>
      <c r="AH5301" t="inlineStr">
        <is>
          <t>Quelle: Balearic Properties</t>
        </is>
      </c>
    </row>
    <row r="5302">
      <c r="A5302" t="n">
        <v>5115</v>
      </c>
      <c r="B5302" t="inlineStr">
        <is>
          <t>Modern finca with state-of-the-art design for sale in Porreres, South Mallorca</t>
        </is>
      </c>
      <c r="C5302" t="inlineStr">
        <is>
          <t>https://www.balearic-properties.com/en/property/id/949478-modern-finca-pool-views-porreres-mallorca-html</t>
        </is>
      </c>
      <c r="E5302" t="n">
        <v>4</v>
      </c>
      <c r="G5302" t="n">
        <v>15116</v>
      </c>
      <c r="H5302" t="n">
        <v>358</v>
      </c>
      <c r="J5302" t="inlineStr">
        <is>
          <t>Porreres</t>
        </is>
      </c>
      <c r="K5302" t="n">
        <v>35.9</v>
      </c>
      <c r="L5302" t="n">
        <v>34</v>
      </c>
      <c r="M5302" t="n">
        <v>27.6</v>
      </c>
      <c r="N5302" t="n">
        <v>32</v>
      </c>
      <c r="O5302" t="n">
        <v>69.3</v>
      </c>
      <c r="P5302" t="n">
        <v>59</v>
      </c>
      <c r="Q5302" t="n">
        <v>25.3</v>
      </c>
      <c r="R5302" t="n">
        <v>29</v>
      </c>
      <c r="S5302" t="n">
        <v>3150000</v>
      </c>
      <c r="T5302" t="n">
        <v>8799</v>
      </c>
      <c r="U5302" t="n">
        <v>208</v>
      </c>
      <c r="AH5302" t="inlineStr">
        <is>
          <t>Quelle: Balearic Properties</t>
        </is>
      </c>
    </row>
    <row r="5303">
      <c r="A5303" t="n">
        <v>5116</v>
      </c>
      <c r="B5303" t="inlineStr">
        <is>
          <t>Modern home with sea views for sale in Camp de Mar, Southwest Mallorca</t>
        </is>
      </c>
      <c r="C5303" t="inlineStr">
        <is>
          <t>https://www.balearic-properties.com/en/property/id/949702-villa-sea-views-camp-mar-mallorca-html</t>
        </is>
      </c>
      <c r="E5303" t="n">
        <v>4</v>
      </c>
      <c r="G5303" t="n">
        <v>1138</v>
      </c>
      <c r="H5303" t="n">
        <v>547</v>
      </c>
      <c r="J5303" t="inlineStr">
        <is>
          <t>Camp de Mar</t>
        </is>
      </c>
      <c r="K5303" t="n">
        <v>38.7</v>
      </c>
      <c r="L5303" t="n">
        <v>32</v>
      </c>
      <c r="M5303" t="n">
        <v>81.40000000000001</v>
      </c>
      <c r="N5303" t="n">
        <v>65</v>
      </c>
      <c r="O5303" t="n">
        <v>6.7</v>
      </c>
      <c r="P5303" t="n">
        <v>10</v>
      </c>
      <c r="Q5303" t="n">
        <v>79.09999999999999</v>
      </c>
      <c r="R5303" t="n">
        <v>62</v>
      </c>
      <c r="S5303" t="n">
        <v>9150000</v>
      </c>
      <c r="T5303" t="n">
        <v>16728</v>
      </c>
      <c r="U5303" t="n">
        <v>8040</v>
      </c>
      <c r="AH5303" t="inlineStr">
        <is>
          <t>Quelle: Balearic Properties</t>
        </is>
      </c>
    </row>
    <row r="5304">
      <c r="A5304" t="n">
        <v>5117</v>
      </c>
      <c r="B5304" t="inlineStr">
        <is>
          <t>Outstanding country home with rental license for sale in Pollensa, north Mallorca</t>
        </is>
      </c>
      <c r="C5304" t="inlineStr">
        <is>
          <t>https://www.balearic-properties.com/en/property/id/627347-country-property-license-pollensa-mallorca-html</t>
        </is>
      </c>
      <c r="E5304" t="n">
        <v>4</v>
      </c>
      <c r="G5304" t="n">
        <v>4053</v>
      </c>
      <c r="H5304" t="n">
        <v>398</v>
      </c>
      <c r="J5304" t="inlineStr">
        <is>
          <t>Pollença</t>
        </is>
      </c>
      <c r="K5304" t="n">
        <v>60.6</v>
      </c>
      <c r="L5304" t="n">
        <v>47</v>
      </c>
      <c r="M5304" t="n">
        <v>78.7</v>
      </c>
      <c r="N5304" t="n">
        <v>74</v>
      </c>
      <c r="O5304" t="n">
        <v>83.2</v>
      </c>
      <c r="P5304" t="n">
        <v>63</v>
      </c>
      <c r="Q5304" t="n">
        <v>76.40000000000001</v>
      </c>
      <c r="R5304" t="n">
        <v>70</v>
      </c>
      <c r="S5304" t="n">
        <v>3250000</v>
      </c>
      <c r="T5304" t="n">
        <v>8166</v>
      </c>
      <c r="U5304" t="n">
        <v>802</v>
      </c>
      <c r="AH5304" t="inlineStr">
        <is>
          <t>Quelle: Balearic Properties</t>
        </is>
      </c>
    </row>
    <row r="5305">
      <c r="A5305" t="n">
        <v>5118</v>
      </c>
      <c r="B5305" t="inlineStr">
        <is>
          <t>Town house with character and potential for sale in central Pollensa, North Mallorca</t>
        </is>
      </c>
      <c r="C5305" t="inlineStr">
        <is>
          <t>https://www.balearic-properties.com/en/property/id/940682-townhouse-reformation-potential-pollensa-mallorca-html</t>
        </is>
      </c>
      <c r="E5305" t="n">
        <v>3</v>
      </c>
      <c r="G5305" t="n">
        <v>100</v>
      </c>
      <c r="H5305" t="n">
        <v>186</v>
      </c>
      <c r="J5305" t="inlineStr">
        <is>
          <t>Pollença</t>
        </is>
      </c>
      <c r="S5305" t="n">
        <v>495000</v>
      </c>
      <c r="T5305" t="n">
        <v>2661</v>
      </c>
      <c r="U5305" t="n">
        <v>4950</v>
      </c>
      <c r="AH5305" t="inlineStr">
        <is>
          <t>Quelle: Balearic Properties</t>
        </is>
      </c>
    </row>
    <row r="5306">
      <c r="A5306" t="n">
        <v>5119</v>
      </c>
      <c r="B5306" t="inlineStr">
        <is>
          <t>Charming Mediterranean villa for sale close to the sea in Cala Blava, South Mallorca</t>
        </is>
      </c>
      <c r="C5306" t="inlineStr">
        <is>
          <t>https://www.balearic-properties.com/en/property/id/949152-mediterranean-villa-cala-blava-mallorca-html</t>
        </is>
      </c>
      <c r="E5306" t="n">
        <v>3</v>
      </c>
      <c r="G5306" t="n">
        <v>1213</v>
      </c>
      <c r="H5306" t="n">
        <v>248</v>
      </c>
      <c r="J5306" t="inlineStr">
        <is>
          <t>Cala Blava</t>
        </is>
      </c>
      <c r="K5306" t="n">
        <v>12</v>
      </c>
      <c r="L5306" t="n">
        <v>15</v>
      </c>
      <c r="M5306" t="n">
        <v>42.2</v>
      </c>
      <c r="N5306" t="n">
        <v>40</v>
      </c>
      <c r="O5306" t="n">
        <v>50.2</v>
      </c>
      <c r="P5306" t="n">
        <v>42</v>
      </c>
      <c r="Q5306" t="n">
        <v>39.9</v>
      </c>
      <c r="R5306" t="n">
        <v>37</v>
      </c>
      <c r="S5306" t="n">
        <v>1325000</v>
      </c>
      <c r="T5306" t="n">
        <v>5343</v>
      </c>
      <c r="U5306" t="n">
        <v>1092</v>
      </c>
      <c r="AH5306" t="inlineStr">
        <is>
          <t>Quelle: Balearic Properties</t>
        </is>
      </c>
    </row>
    <row r="5307">
      <c r="A5307" t="n">
        <v>5120</v>
      </c>
      <c r="B5307" t="inlineStr">
        <is>
          <t>Beautifully renovated seafront studio for sale in Puerto de Alcudia, North Mallorca</t>
        </is>
      </c>
      <c r="C5307" t="inlineStr">
        <is>
          <t>https://www.balearic-properties.com/en/property/id/948827-seafront-studio-puerto-alcudia-mallorca-html</t>
        </is>
      </c>
      <c r="E5307" t="n">
        <v>1</v>
      </c>
      <c r="G5307" t="n">
        <v>0</v>
      </c>
      <c r="H5307" t="n">
        <v>32</v>
      </c>
      <c r="J5307" t="inlineStr">
        <is>
          <t>Puerto de Alcúdia</t>
        </is>
      </c>
      <c r="S5307" t="n">
        <v>299000</v>
      </c>
      <c r="T5307" t="n">
        <v>9344</v>
      </c>
      <c r="AH5307" t="inlineStr">
        <is>
          <t>Quelle: Balearic Properties</t>
        </is>
      </c>
    </row>
    <row r="5308">
      <c r="A5308" t="n">
        <v>5121</v>
      </c>
      <c r="B5308" t="inlineStr">
        <is>
          <t>Building plot with villa project and panoramic views for sale in Campos, Mallorca</t>
        </is>
      </c>
      <c r="C5308" t="inlineStr">
        <is>
          <t>https://www.balearic-properties.com/en/property/id/943781-modern-villa-project-es-trenc-campos-mallorca-html</t>
        </is>
      </c>
      <c r="E5308" t="n">
        <v>4</v>
      </c>
      <c r="G5308" t="n">
        <v>19530</v>
      </c>
      <c r="H5308" t="n">
        <v>0</v>
      </c>
      <c r="J5308" t="inlineStr">
        <is>
          <t>Campos</t>
        </is>
      </c>
      <c r="S5308" t="n">
        <v>495000</v>
      </c>
      <c r="U5308" t="n">
        <v>25</v>
      </c>
      <c r="AH5308" t="inlineStr">
        <is>
          <t>Quelle: Balearic Properties</t>
        </is>
      </c>
    </row>
    <row r="5309">
      <c r="A5309" t="n">
        <v>5122</v>
      </c>
      <c r="B5309" t="inlineStr">
        <is>
          <t>Traditional country house for sale near Es Trenc, South Mallorca</t>
        </is>
      </c>
      <c r="C5309" t="inlineStr">
        <is>
          <t>https://www.balearic-properties.com/en/property/id/948253-traditional-country-house-es-trenc-mallorca-html</t>
        </is>
      </c>
      <c r="E5309" t="n">
        <v>6</v>
      </c>
      <c r="G5309" t="n">
        <v>24900</v>
      </c>
      <c r="H5309" t="n">
        <v>464</v>
      </c>
      <c r="J5309" t="inlineStr">
        <is>
          <t>Ses Salines</t>
        </is>
      </c>
      <c r="K5309" t="n">
        <v>44.5</v>
      </c>
      <c r="L5309" t="n">
        <v>39</v>
      </c>
      <c r="M5309" t="n">
        <v>2.4</v>
      </c>
      <c r="N5309" t="n">
        <v>5</v>
      </c>
      <c r="O5309" t="n">
        <v>82.7</v>
      </c>
      <c r="P5309" t="n">
        <v>67</v>
      </c>
      <c r="Q5309" t="n">
        <v>2</v>
      </c>
      <c r="R5309" t="n">
        <v>5</v>
      </c>
      <c r="S5309" t="n">
        <v>1850000</v>
      </c>
      <c r="T5309" t="n">
        <v>3987</v>
      </c>
      <c r="U5309" t="n">
        <v>74</v>
      </c>
      <c r="AH5309" t="inlineStr">
        <is>
          <t>Quelle: Balearic Properties</t>
        </is>
      </c>
    </row>
    <row r="5310">
      <c r="A5310" t="n">
        <v>5123</v>
      </c>
      <c r="B5310" t="inlineStr">
        <is>
          <t>Mediterranean estate with sea views for sale in Andratx, Southwest Mallorca</t>
        </is>
      </c>
      <c r="C5310" t="inlineStr">
        <is>
          <t>https://www.balearic-properties.com/en/property/id/949169-estate-sea-views-camp-mar-mallorca-html</t>
        </is>
      </c>
      <c r="E5310" t="n">
        <v>6</v>
      </c>
      <c r="G5310" t="n">
        <v>2200</v>
      </c>
      <c r="H5310" t="n">
        <v>619</v>
      </c>
      <c r="J5310" t="inlineStr">
        <is>
          <t>Camp de Mar</t>
        </is>
      </c>
      <c r="K5310" t="n">
        <v>38.7</v>
      </c>
      <c r="L5310" t="n">
        <v>32</v>
      </c>
      <c r="M5310" t="n">
        <v>81.40000000000001</v>
      </c>
      <c r="N5310" t="n">
        <v>65</v>
      </c>
      <c r="O5310" t="n">
        <v>6.7</v>
      </c>
      <c r="P5310" t="n">
        <v>10</v>
      </c>
      <c r="Q5310" t="n">
        <v>79.09999999999999</v>
      </c>
      <c r="R5310" t="n">
        <v>62</v>
      </c>
      <c r="S5310" t="n">
        <v>6480000</v>
      </c>
      <c r="T5310" t="n">
        <v>10468</v>
      </c>
      <c r="U5310" t="n">
        <v>2945</v>
      </c>
      <c r="AH5310" t="inlineStr">
        <is>
          <t>Quelle: Balearic Properties</t>
        </is>
      </c>
    </row>
    <row r="5311">
      <c r="A5311" t="n">
        <v>5124</v>
      </c>
      <c r="B5311" t="inlineStr">
        <is>
          <t>Modern luxury villa for sale in a residential area near Palma, Mallorca</t>
        </is>
      </c>
      <c r="C5311" t="inlineStr">
        <is>
          <t>https://www.balearic-properties.com/en/property/id/948836-exclusive-newly-built-villa-palma-mallorca-html</t>
        </is>
      </c>
      <c r="E5311" t="n">
        <v>5</v>
      </c>
      <c r="G5311" t="n">
        <v>482</v>
      </c>
      <c r="H5311" t="n">
        <v>277</v>
      </c>
      <c r="J5311" t="inlineStr">
        <is>
          <t>Marratxí</t>
        </is>
      </c>
      <c r="K5311" t="n">
        <v>13</v>
      </c>
      <c r="L5311" t="n">
        <v>17</v>
      </c>
      <c r="M5311" t="n">
        <v>56.3</v>
      </c>
      <c r="N5311" t="n">
        <v>50</v>
      </c>
      <c r="O5311" t="n">
        <v>40.6</v>
      </c>
      <c r="P5311" t="n">
        <v>34</v>
      </c>
      <c r="Q5311" t="n">
        <v>54</v>
      </c>
      <c r="R5311" t="n">
        <v>46</v>
      </c>
      <c r="S5311" t="n">
        <v>1870000</v>
      </c>
      <c r="T5311" t="n">
        <v>6751</v>
      </c>
      <c r="U5311" t="n">
        <v>3880</v>
      </c>
      <c r="AH5311" t="inlineStr">
        <is>
          <t>Quelle: Balearic Properties</t>
        </is>
      </c>
    </row>
    <row r="5312">
      <c r="A5312" t="n">
        <v>5125</v>
      </c>
      <c r="B5312" t="inlineStr">
        <is>
          <t>Captivating sea-view villa for sale in Puerto Sóller, Northwest Mallorca</t>
        </is>
      </c>
      <c r="C5312" t="inlineStr">
        <is>
          <t>https://www.balearic-properties.com/en/property/id/941290-villa-pool-sea-views-soller-mallorca-html</t>
        </is>
      </c>
      <c r="E5312" t="n">
        <v>4</v>
      </c>
      <c r="G5312" t="n">
        <v>412</v>
      </c>
      <c r="H5312" t="n">
        <v>222</v>
      </c>
      <c r="J5312" t="inlineStr">
        <is>
          <t>Port de Sóller</t>
        </is>
      </c>
      <c r="K5312" t="n">
        <v>36.3</v>
      </c>
      <c r="L5312" t="n">
        <v>42</v>
      </c>
      <c r="M5312" t="n">
        <v>79.09999999999999</v>
      </c>
      <c r="N5312" t="n">
        <v>75</v>
      </c>
      <c r="O5312" t="n">
        <v>56</v>
      </c>
      <c r="P5312" t="n">
        <v>55</v>
      </c>
      <c r="Q5312" t="n">
        <v>76.8</v>
      </c>
      <c r="R5312" t="n">
        <v>71</v>
      </c>
      <c r="S5312" t="n">
        <v>1950000</v>
      </c>
      <c r="T5312" t="n">
        <v>8784</v>
      </c>
      <c r="U5312" t="n">
        <v>4733</v>
      </c>
      <c r="AH5312" t="inlineStr">
        <is>
          <t>Quelle: Balearic Properties</t>
        </is>
      </c>
    </row>
    <row r="5313">
      <c r="A5313" t="n">
        <v>5126</v>
      </c>
      <c r="B5313" t="inlineStr">
        <is>
          <t>Brand new villa for sale in Sa Torre, South Mallorca</t>
        </is>
      </c>
      <c r="C5313" t="inlineStr">
        <is>
          <t>https://www.balearic-properties.com/en/property/id/943518-brand-new-villa-sa-torre-mallorca-html</t>
        </is>
      </c>
      <c r="E5313" t="n">
        <v>4</v>
      </c>
      <c r="G5313" t="n">
        <v>1079</v>
      </c>
      <c r="H5313" t="n">
        <v>443</v>
      </c>
      <c r="J5313" t="inlineStr">
        <is>
          <t>Sa Torre</t>
        </is>
      </c>
      <c r="K5313" t="n">
        <v>17</v>
      </c>
      <c r="L5313" t="n">
        <v>19</v>
      </c>
      <c r="M5313" t="n">
        <v>41.9</v>
      </c>
      <c r="N5313" t="n">
        <v>41</v>
      </c>
      <c r="O5313" t="n">
        <v>55.2</v>
      </c>
      <c r="P5313" t="n">
        <v>47</v>
      </c>
      <c r="Q5313" t="n">
        <v>39.6</v>
      </c>
      <c r="R5313" t="n">
        <v>38</v>
      </c>
      <c r="S5313" t="n">
        <v>2300000</v>
      </c>
      <c r="T5313" t="n">
        <v>5192</v>
      </c>
      <c r="U5313" t="n">
        <v>2132</v>
      </c>
      <c r="AH5313" t="inlineStr">
        <is>
          <t>Quelle: Balearic Properties</t>
        </is>
      </c>
    </row>
    <row r="5314">
      <c r="A5314" t="n">
        <v>5127</v>
      </c>
      <c r="B5314" t="inlineStr">
        <is>
          <t>Bright, modern apartments and townhouses for sale in Capdepera, Northeast Mallorca</t>
        </is>
      </c>
      <c r="C5314" t="inlineStr">
        <is>
          <t>https://www.balearic-properties.com/en/property/id/948833-new-apartments-townhouses-capdepera-mallorca-html</t>
        </is>
      </c>
      <c r="E5314" t="n">
        <v>2</v>
      </c>
      <c r="G5314" t="n">
        <v>0</v>
      </c>
      <c r="H5314" t="n">
        <v>89</v>
      </c>
      <c r="J5314" t="inlineStr">
        <is>
          <t>Capdepera</t>
        </is>
      </c>
      <c r="S5314" t="n">
        <v>585000</v>
      </c>
      <c r="T5314" t="n">
        <v>6573</v>
      </c>
      <c r="AH5314" t="inlineStr">
        <is>
          <t>Quelle: Balearic Properties</t>
        </is>
      </c>
    </row>
    <row r="5315">
      <c r="A5315" t="n">
        <v>5128</v>
      </c>
      <c r="B5315" t="inlineStr">
        <is>
          <t>Modern homes with a pool &amp; great Location for sale in Capdepera, Northeast Mallorca</t>
        </is>
      </c>
      <c r="C5315" t="inlineStr">
        <is>
          <t>https://www.balearic-properties.com/en/property/id/948835-new-apartments-townhouses-capdepera-mallorca-html</t>
        </is>
      </c>
      <c r="E5315" t="n">
        <v>2</v>
      </c>
      <c r="G5315" t="n">
        <v>0</v>
      </c>
      <c r="H5315" t="n">
        <v>89</v>
      </c>
      <c r="J5315" t="inlineStr">
        <is>
          <t>Capdepera</t>
        </is>
      </c>
      <c r="S5315" t="n">
        <v>585000</v>
      </c>
      <c r="T5315" t="n">
        <v>6573</v>
      </c>
      <c r="AH5315" t="inlineStr">
        <is>
          <t>Quelle: Balearic Properties</t>
        </is>
      </c>
    </row>
    <row r="5316">
      <c r="A5316" t="n">
        <v>5129</v>
      </c>
      <c r="B5316" t="inlineStr">
        <is>
          <t>Mediterranean homes with modern comforts for sale in Capdepera, Northeast Mallorca</t>
        </is>
      </c>
      <c r="C5316" t="inlineStr">
        <is>
          <t>https://www.balearic-properties.com/en/property/id/948830-new-apartments-townhouses-capdepera-mallorca-html</t>
        </is>
      </c>
      <c r="E5316" t="n">
        <v>2</v>
      </c>
      <c r="G5316" t="n">
        <v>0</v>
      </c>
      <c r="H5316" t="n">
        <v>89</v>
      </c>
      <c r="J5316" t="inlineStr">
        <is>
          <t>Capdepera</t>
        </is>
      </c>
      <c r="S5316" t="n">
        <v>645000</v>
      </c>
      <c r="T5316" t="n">
        <v>7247</v>
      </c>
      <c r="AH5316" t="inlineStr">
        <is>
          <t>Quelle: Balearic Properties</t>
        </is>
      </c>
    </row>
    <row r="5317">
      <c r="A5317" t="n">
        <v>5130</v>
      </c>
      <c r="B5317" t="inlineStr">
        <is>
          <t>New development in Capdepera - Homes with pool &amp; facilities, Northeast Mallorca</t>
        </is>
      </c>
      <c r="C5317" t="inlineStr">
        <is>
          <t>https://www.balearic-properties.com/en/property/id/948828-new-apartments-townhouses-capdepera-mallorca-html</t>
        </is>
      </c>
      <c r="E5317" t="n">
        <v>2</v>
      </c>
      <c r="G5317" t="n">
        <v>0</v>
      </c>
      <c r="H5317" t="n">
        <v>89</v>
      </c>
      <c r="J5317" t="inlineStr">
        <is>
          <t>Capdepera</t>
        </is>
      </c>
      <c r="S5317" t="n">
        <v>510000</v>
      </c>
      <c r="T5317" t="n">
        <v>5730</v>
      </c>
      <c r="AH5317" t="inlineStr">
        <is>
          <t>Quelle: Balearic Properties</t>
        </is>
      </c>
    </row>
    <row r="5318">
      <c r="A5318" t="n">
        <v>5131</v>
      </c>
      <c r="B5318" t="inlineStr">
        <is>
          <t>Stylish New Apartments &amp; Townhouses for Sale in Capdepera, Northeast Mallorca</t>
        </is>
      </c>
      <c r="C5318" t="inlineStr">
        <is>
          <t>https://www.balearic-properties.com/en/property/id/948819-new-apartments-townhouses-capdepera-mallorca-html</t>
        </is>
      </c>
      <c r="E5318" t="n">
        <v>2</v>
      </c>
      <c r="G5318" t="n">
        <v>0</v>
      </c>
      <c r="H5318" t="n">
        <v>97</v>
      </c>
      <c r="J5318" t="inlineStr">
        <is>
          <t>Capdepera</t>
        </is>
      </c>
      <c r="S5318" t="n">
        <v>520000</v>
      </c>
      <c r="T5318" t="n">
        <v>5361</v>
      </c>
      <c r="AH5318" t="inlineStr">
        <is>
          <t>Quelle: Balearic Properties</t>
        </is>
      </c>
    </row>
    <row r="5319">
      <c r="A5319" t="n">
        <v>5132</v>
      </c>
      <c r="B5319" t="inlineStr">
        <is>
          <t>New modern homes with community pool for sale in Capdepera, Northeast Mallorca</t>
        </is>
      </c>
      <c r="C5319" t="inlineStr">
        <is>
          <t>https://www.balearic-properties.com/en/property/id/948818-new-apartments-townhouses-capdepera-mallorca-html</t>
        </is>
      </c>
      <c r="E5319" t="n">
        <v>2</v>
      </c>
      <c r="G5319" t="n">
        <v>0</v>
      </c>
      <c r="H5319" t="n">
        <v>89</v>
      </c>
      <c r="J5319" t="inlineStr">
        <is>
          <t>Capdepera</t>
        </is>
      </c>
      <c r="S5319" t="n">
        <v>475000</v>
      </c>
      <c r="T5319" t="n">
        <v>5337</v>
      </c>
      <c r="AH5319" t="inlineStr">
        <is>
          <t>Quelle: Balearic Properties</t>
        </is>
      </c>
    </row>
    <row r="5320">
      <c r="A5320" t="n">
        <v>5133</v>
      </c>
      <c r="B5320" t="inlineStr">
        <is>
          <t>Under construction: New apartments available in Capdepera, Northeast Mallorca</t>
        </is>
      </c>
      <c r="C5320" t="inlineStr">
        <is>
          <t>https://www.balearic-properties.com/en/property/id/948814-new-apartments-townhouses-capdepera-mallorca-html</t>
        </is>
      </c>
      <c r="E5320" t="n">
        <v>2</v>
      </c>
      <c r="G5320" t="n">
        <v>0</v>
      </c>
      <c r="H5320" t="n">
        <v>89</v>
      </c>
      <c r="J5320" t="inlineStr">
        <is>
          <t>Capdepera</t>
        </is>
      </c>
      <c r="S5320" t="n">
        <v>480000</v>
      </c>
      <c r="T5320" t="n">
        <v>5393</v>
      </c>
      <c r="AH5320" t="inlineStr">
        <is>
          <t>Quelle: Balearic Properties</t>
        </is>
      </c>
    </row>
    <row r="5321">
      <c r="A5321" t="n">
        <v>5134</v>
      </c>
      <c r="B5321" t="inlineStr">
        <is>
          <t>Attractive new development of homes for sale in Capdepera, northeast Mallorca</t>
        </is>
      </c>
      <c r="C5321" t="inlineStr">
        <is>
          <t>https://www.balearic-properties.com/en/property/id/948805-new-apartments-townhouses-capdepera-mallorca-html</t>
        </is>
      </c>
      <c r="E5321" t="n">
        <v>2</v>
      </c>
      <c r="G5321" t="n">
        <v>0</v>
      </c>
      <c r="H5321" t="n">
        <v>98</v>
      </c>
      <c r="J5321" t="inlineStr">
        <is>
          <t>Capdepera</t>
        </is>
      </c>
      <c r="S5321" t="n">
        <v>680000</v>
      </c>
      <c r="T5321" t="n">
        <v>6939</v>
      </c>
      <c r="AH5321" t="inlineStr">
        <is>
          <t>Quelle: Balearic Properties</t>
        </is>
      </c>
    </row>
    <row r="5322">
      <c r="A5322" t="n">
        <v>5135</v>
      </c>
      <c r="B5322" t="inlineStr">
        <is>
          <t>Contemporary style houses and apartments in Capdepera, Northeast Mallorca</t>
        </is>
      </c>
      <c r="C5322" t="inlineStr">
        <is>
          <t>https://www.balearic-properties.com/en/property/id/948810-new-apartments-townhouses-capdepera-mallorca-html</t>
        </is>
      </c>
      <c r="E5322" t="n">
        <v>2</v>
      </c>
      <c r="G5322" t="n">
        <v>0</v>
      </c>
      <c r="H5322" t="n">
        <v>98</v>
      </c>
      <c r="J5322" t="inlineStr">
        <is>
          <t>Capdepera</t>
        </is>
      </c>
      <c r="S5322" t="n">
        <v>655000</v>
      </c>
      <c r="T5322" t="n">
        <v>6684</v>
      </c>
      <c r="AH5322" t="inlineStr">
        <is>
          <t>Quelle: Balearic Properties</t>
        </is>
      </c>
    </row>
    <row r="5323">
      <c r="A5323" t="n">
        <v>5136</v>
      </c>
      <c r="B5323" t="inlineStr">
        <is>
          <t>Development of new homes near the coast in Capdepera, Northeast Mallorca</t>
        </is>
      </c>
      <c r="C5323" t="inlineStr">
        <is>
          <t>https://www.balearic-properties.com/en/property/id/948807-new-apartments-townhouses-capdepera-mallorca-html</t>
        </is>
      </c>
      <c r="E5323" t="n">
        <v>2</v>
      </c>
      <c r="G5323" t="n">
        <v>0</v>
      </c>
      <c r="H5323" t="n">
        <v>98</v>
      </c>
      <c r="J5323" t="inlineStr">
        <is>
          <t>Capdepera</t>
        </is>
      </c>
      <c r="S5323" t="n">
        <v>655000</v>
      </c>
      <c r="T5323" t="n">
        <v>6684</v>
      </c>
      <c r="AH5323" t="inlineStr">
        <is>
          <t>Quelle: Balearic Properties</t>
        </is>
      </c>
    </row>
    <row r="5324">
      <c r="A5324" t="n">
        <v>5137</v>
      </c>
      <c r="B5324" t="inlineStr">
        <is>
          <t>New townhouses and apartments for sale in Capdepera, northeast Mallorca</t>
        </is>
      </c>
      <c r="C5324" t="inlineStr">
        <is>
          <t>https://www.balearic-properties.com/en/property/id/948802-new-apartments-townhouses-capdepera-mallorca-html</t>
        </is>
      </c>
      <c r="E5324" t="n">
        <v>2</v>
      </c>
      <c r="G5324" t="n">
        <v>0</v>
      </c>
      <c r="H5324" t="n">
        <v>99</v>
      </c>
      <c r="J5324" t="inlineStr">
        <is>
          <t>Capdepera</t>
        </is>
      </c>
      <c r="S5324" t="n">
        <v>685000</v>
      </c>
      <c r="T5324" t="n">
        <v>6919</v>
      </c>
      <c r="AH5324" t="inlineStr">
        <is>
          <t>Quelle: Balearic Properties</t>
        </is>
      </c>
    </row>
    <row r="5325">
      <c r="A5325" t="n">
        <v>5138</v>
      </c>
      <c r="B5325" t="inlineStr">
        <is>
          <t>New residential development of townhouses for sale in Capdepera, northeast Mallorca</t>
        </is>
      </c>
      <c r="C5325" t="inlineStr">
        <is>
          <t>https://www.balearic-properties.com/en/property/id/948153-new-apartments-townhouses-capdepera-mallorca-html</t>
        </is>
      </c>
      <c r="E5325" t="n">
        <v>2</v>
      </c>
      <c r="G5325" t="n">
        <v>0</v>
      </c>
      <c r="H5325" t="n">
        <v>101</v>
      </c>
      <c r="J5325" t="inlineStr">
        <is>
          <t>Capdepera</t>
        </is>
      </c>
      <c r="S5325" t="n">
        <v>625000</v>
      </c>
      <c r="T5325" t="n">
        <v>6188</v>
      </c>
      <c r="AH5325" t="inlineStr">
        <is>
          <t>Quelle: Balearic Properties</t>
        </is>
      </c>
    </row>
    <row r="5326">
      <c r="A5326" t="n">
        <v>5139</v>
      </c>
      <c r="B5326" t="inlineStr">
        <is>
          <t>Don´t miss these fantastic apartments for sale in Capdepera, northeast Mallorca</t>
        </is>
      </c>
      <c r="C5326" t="inlineStr">
        <is>
          <t>https://www.balearic-properties.com/en/property/id/948712-new-apartments-townhouses-capdepera-mallorca-html</t>
        </is>
      </c>
      <c r="E5326" t="n">
        <v>2</v>
      </c>
      <c r="G5326" t="n">
        <v>0</v>
      </c>
      <c r="H5326" t="n">
        <v>113</v>
      </c>
      <c r="J5326" t="inlineStr">
        <is>
          <t>Capdepera</t>
        </is>
      </c>
      <c r="S5326" t="n">
        <v>495000</v>
      </c>
      <c r="T5326" t="n">
        <v>4381</v>
      </c>
      <c r="AH5326" t="inlineStr">
        <is>
          <t>Quelle: Balearic Properties</t>
        </is>
      </c>
    </row>
    <row r="5327">
      <c r="A5327" t="n">
        <v>5140</v>
      </c>
      <c r="B5327" t="inlineStr">
        <is>
          <t>Country estate with guest cottage for sale in Santa Maria del Cami, Mallorca</t>
        </is>
      </c>
      <c r="C5327" t="inlineStr">
        <is>
          <t>https://www.balearic-properties.com/en/property/id/753938-finca-guest-cottage-santa-maria-mallorca-html</t>
        </is>
      </c>
      <c r="E5327" t="n">
        <v>6</v>
      </c>
      <c r="G5327" t="n">
        <v>16698</v>
      </c>
      <c r="H5327" t="n">
        <v>498</v>
      </c>
      <c r="J5327" t="inlineStr">
        <is>
          <t>Santa Maria del Camí</t>
        </is>
      </c>
      <c r="K5327" t="n">
        <v>23.5</v>
      </c>
      <c r="L5327" t="n">
        <v>21</v>
      </c>
      <c r="M5327" t="n">
        <v>66.3</v>
      </c>
      <c r="N5327" t="n">
        <v>54</v>
      </c>
      <c r="O5327" t="n">
        <v>46.1</v>
      </c>
      <c r="P5327" t="n">
        <v>37</v>
      </c>
      <c r="Q5327" t="n">
        <v>64</v>
      </c>
      <c r="R5327" t="n">
        <v>51</v>
      </c>
      <c r="S5327" t="n">
        <v>6950000</v>
      </c>
      <c r="T5327" t="n">
        <v>13956</v>
      </c>
      <c r="U5327" t="n">
        <v>416</v>
      </c>
      <c r="AH5327" t="inlineStr">
        <is>
          <t>Quelle: Balearic Properties</t>
        </is>
      </c>
    </row>
    <row r="5328">
      <c r="A5328" t="n">
        <v>5141</v>
      </c>
      <c r="B5328" t="inlineStr">
        <is>
          <t>Wonderful new apartments for sale in Capdepera, northeast Mallorca</t>
        </is>
      </c>
      <c r="C5328" t="inlineStr">
        <is>
          <t>https://www.balearic-properties.com/en/property/id/948521-new-apartments-townhouses-capdepera-mallorca-html</t>
        </is>
      </c>
      <c r="E5328" t="n">
        <v>2</v>
      </c>
      <c r="G5328" t="n">
        <v>0</v>
      </c>
      <c r="H5328" t="n">
        <v>89</v>
      </c>
      <c r="J5328" t="inlineStr">
        <is>
          <t>Capdepera</t>
        </is>
      </c>
      <c r="S5328" t="n">
        <v>510000</v>
      </c>
      <c r="T5328" t="n">
        <v>5730</v>
      </c>
      <c r="AH5328" t="inlineStr">
        <is>
          <t>Quelle: Balearic Properties</t>
        </is>
      </c>
    </row>
    <row r="5329">
      <c r="A5329" t="n">
        <v>5142</v>
      </c>
      <c r="B5329" t="inlineStr">
        <is>
          <t>Spacious house and excellent investment for sale in Alcudia, North Mallorca</t>
        </is>
      </c>
      <c r="C5329" t="inlineStr">
        <is>
          <t>https://www.balearic-properties.com/en/property/id/943285-spacious-house-investment-alcudia-mallorca-html</t>
        </is>
      </c>
      <c r="E5329" t="n">
        <v>7</v>
      </c>
      <c r="G5329" t="n">
        <v>167</v>
      </c>
      <c r="H5329" t="n">
        <v>400</v>
      </c>
      <c r="J5329" t="inlineStr">
        <is>
          <t>Alcúdia</t>
        </is>
      </c>
      <c r="K5329" t="n">
        <v>61.6</v>
      </c>
      <c r="L5329" t="n">
        <v>47</v>
      </c>
      <c r="M5329" t="n">
        <v>79.7</v>
      </c>
      <c r="N5329" t="n">
        <v>74</v>
      </c>
      <c r="O5329" t="n">
        <v>84.2</v>
      </c>
      <c r="P5329" t="n">
        <v>63</v>
      </c>
      <c r="Q5329" t="n">
        <v>77.40000000000001</v>
      </c>
      <c r="R5329" t="n">
        <v>70</v>
      </c>
      <c r="S5329" t="n">
        <v>1276200</v>
      </c>
      <c r="T5329" t="n">
        <v>3190</v>
      </c>
      <c r="U5329" t="n">
        <v>7642</v>
      </c>
      <c r="AH5329" t="inlineStr">
        <is>
          <t>Quelle: Balearic Properties</t>
        </is>
      </c>
    </row>
    <row r="5330">
      <c r="A5330" t="n">
        <v>5143</v>
      </c>
      <c r="B5330" t="inlineStr">
        <is>
          <t>Semi-detached finca within walking distance to Soller for sale, Northwest Mallorca</t>
        </is>
      </c>
      <c r="C5330" t="inlineStr">
        <is>
          <t>https://www.balearic-properties.com/en/property/id/920627-semi-detached-finca-soller-mallorca-html</t>
        </is>
      </c>
      <c r="E5330" t="n">
        <v>4</v>
      </c>
      <c r="G5330" t="n">
        <v>440</v>
      </c>
      <c r="H5330" t="n">
        <v>197</v>
      </c>
      <c r="J5330" t="inlineStr">
        <is>
          <t>Sóller</t>
        </is>
      </c>
      <c r="S5330" t="n">
        <v>900000</v>
      </c>
      <c r="T5330" t="n">
        <v>4569</v>
      </c>
      <c r="U5330" t="n">
        <v>2045</v>
      </c>
      <c r="AH5330" t="inlineStr">
        <is>
          <t>Quelle: Balearic Properties</t>
        </is>
      </c>
    </row>
    <row r="5331">
      <c r="A5331" t="n">
        <v>5144</v>
      </c>
      <c r="B5331" t="inlineStr">
        <is>
          <t>Sustainable designer home for sale in the heart of Pollença, north Mallorca</t>
        </is>
      </c>
      <c r="C5331" t="inlineStr">
        <is>
          <t>https://www.balearic-properties.com/en/property/id/947776-sustainable-home-pollensa-mallorca-html</t>
        </is>
      </c>
      <c r="E5331" t="n">
        <v>3</v>
      </c>
      <c r="G5331" t="n">
        <v>107</v>
      </c>
      <c r="H5331" t="n">
        <v>278</v>
      </c>
      <c r="J5331" t="inlineStr">
        <is>
          <t>Pollença Pueblo</t>
        </is>
      </c>
      <c r="K5331" t="n">
        <v>60.6</v>
      </c>
      <c r="L5331" t="n">
        <v>47</v>
      </c>
      <c r="M5331" t="n">
        <v>78.7</v>
      </c>
      <c r="N5331" t="n">
        <v>74</v>
      </c>
      <c r="O5331" t="n">
        <v>83.2</v>
      </c>
      <c r="P5331" t="n">
        <v>63</v>
      </c>
      <c r="Q5331" t="n">
        <v>76.40000000000001</v>
      </c>
      <c r="R5331" t="n">
        <v>70</v>
      </c>
      <c r="S5331" t="n">
        <v>1595000</v>
      </c>
      <c r="T5331" t="n">
        <v>5737</v>
      </c>
      <c r="U5331" t="n">
        <v>14907</v>
      </c>
      <c r="AH5331" t="inlineStr">
        <is>
          <t>Quelle: Balearic Properties</t>
        </is>
      </c>
    </row>
    <row r="5332">
      <c r="A5332" t="n">
        <v>5145</v>
      </c>
      <c r="B5332" t="inlineStr">
        <is>
          <t>Beautifully reformed traditional town house for sale in Pollensa, Mallorca</t>
        </is>
      </c>
      <c r="C5332" t="inlineStr">
        <is>
          <t>https://www.balearic-properties.com/en/property/id/856331-traditional-townhouse-pollenca-mallorca-html</t>
        </is>
      </c>
      <c r="E5332" t="n">
        <v>4</v>
      </c>
      <c r="G5332" t="n">
        <v>77</v>
      </c>
      <c r="H5332" t="n">
        <v>200</v>
      </c>
      <c r="J5332" t="inlineStr">
        <is>
          <t>Pollença Pueblo</t>
        </is>
      </c>
      <c r="S5332" t="n">
        <v>735000</v>
      </c>
      <c r="T5332" t="n">
        <v>3675</v>
      </c>
      <c r="U5332" t="n">
        <v>9545</v>
      </c>
      <c r="AH5332" t="inlineStr">
        <is>
          <t>Quelle: Balearic Properties</t>
        </is>
      </c>
    </row>
    <row r="5333">
      <c r="A5333" t="n">
        <v>5146</v>
      </c>
      <c r="B5333" t="inlineStr">
        <is>
          <t>Renovated ground floor apartment close to the marina for sale in Santa Ponsa, Mallorca</t>
        </is>
      </c>
      <c r="C5333" t="inlineStr">
        <is>
          <t>https://www.balearic-properties.com/en/property/id/928886-ground-floor-apartment-marina-santa-ponsa-mallorca-html</t>
        </is>
      </c>
      <c r="E5333" t="n">
        <v>1</v>
      </c>
      <c r="G5333" t="n">
        <v>0</v>
      </c>
      <c r="H5333" t="n">
        <v>50</v>
      </c>
      <c r="J5333" t="inlineStr">
        <is>
          <t>Santa Ponsa</t>
        </is>
      </c>
      <c r="S5333" t="n">
        <v>335000</v>
      </c>
      <c r="T5333" t="n">
        <v>6700</v>
      </c>
      <c r="AH5333" t="inlineStr">
        <is>
          <t>Quelle: Balearic Properties</t>
        </is>
      </c>
    </row>
    <row r="5334">
      <c r="A5334" t="n">
        <v>5147</v>
      </c>
      <c r="B5334" t="inlineStr">
        <is>
          <t>Ground floor apartment for sale with private pool in Puerto Pollensa, north Mallorca</t>
        </is>
      </c>
      <c r="C5334" t="inlineStr">
        <is>
          <t>https://www.balearic-properties.com/en/property/id/945117-ground-floor-apartment-pool-puerto-pollensa-mallorca-html</t>
        </is>
      </c>
      <c r="E5334" t="n">
        <v>3</v>
      </c>
      <c r="G5334" t="n">
        <v>0</v>
      </c>
      <c r="H5334" t="n">
        <v>169</v>
      </c>
      <c r="J5334" t="inlineStr">
        <is>
          <t>Port de Pollença</t>
        </is>
      </c>
      <c r="S5334" t="n">
        <v>725000</v>
      </c>
      <c r="T5334" t="n">
        <v>4290</v>
      </c>
      <c r="AH5334" t="inlineStr">
        <is>
          <t>Quelle: Balearic Properties</t>
        </is>
      </c>
    </row>
    <row r="5335">
      <c r="A5335" t="n">
        <v>5148</v>
      </c>
      <c r="B5335" t="inlineStr">
        <is>
          <t>Delightful house for sale within the historic walls of Alcudia town, north Mallorca</t>
        </is>
      </c>
      <c r="C5335" t="inlineStr">
        <is>
          <t>https://www.balearic-properties.com/en/property/id/945014-delightful-town-house-alcudia-mallorca-html</t>
        </is>
      </c>
      <c r="E5335" t="n">
        <v>4</v>
      </c>
      <c r="G5335" t="n">
        <v>182</v>
      </c>
      <c r="H5335" t="n">
        <v>230</v>
      </c>
      <c r="J5335" t="inlineStr">
        <is>
          <t>Alcudia Pueblo</t>
        </is>
      </c>
      <c r="S5335" t="n">
        <v>950000</v>
      </c>
      <c r="T5335" t="n">
        <v>4130</v>
      </c>
      <c r="U5335" t="n">
        <v>5220</v>
      </c>
      <c r="AH5335" t="inlineStr">
        <is>
          <t>Quelle: Balearic Properties</t>
        </is>
      </c>
    </row>
    <row r="5336">
      <c r="A5336" t="n">
        <v>5149</v>
      </c>
      <c r="B5336" t="inlineStr">
        <is>
          <t>New stylish villa with state-of-the-art features for sale near Bunyola, west Mallorca</t>
        </is>
      </c>
      <c r="C5336" t="inlineStr">
        <is>
          <t>https://www.balearic-properties.com/en/property/id/946799-new-villa-bunyola-west-mallorca-html</t>
        </is>
      </c>
      <c r="E5336" t="n">
        <v>4</v>
      </c>
      <c r="G5336" t="n">
        <v>1003</v>
      </c>
      <c r="H5336" t="n">
        <v>315</v>
      </c>
      <c r="J5336" t="inlineStr">
        <is>
          <t>Palmanyola</t>
        </is>
      </c>
      <c r="K5336" t="n">
        <v>19.1</v>
      </c>
      <c r="L5336" t="n">
        <v>22</v>
      </c>
      <c r="M5336" t="n">
        <v>61.8</v>
      </c>
      <c r="N5336" t="n">
        <v>55</v>
      </c>
      <c r="O5336" t="n">
        <v>38.7</v>
      </c>
      <c r="P5336" t="n">
        <v>35</v>
      </c>
      <c r="Q5336" t="n">
        <v>59.5</v>
      </c>
      <c r="R5336" t="n">
        <v>51</v>
      </c>
      <c r="S5336" t="n">
        <v>3400000</v>
      </c>
      <c r="T5336" t="n">
        <v>10794</v>
      </c>
      <c r="U5336" t="n">
        <v>3390</v>
      </c>
      <c r="AH5336" t="inlineStr">
        <is>
          <t>Quelle: Balearic Properties</t>
        </is>
      </c>
    </row>
    <row r="5337">
      <c r="A5337" t="n">
        <v>5150</v>
      </c>
      <c r="B5337" t="inlineStr">
        <is>
          <t>Newly built finca with vineyard for sale near Binissalem, Central Mallorca</t>
        </is>
      </c>
      <c r="C5337" t="inlineStr">
        <is>
          <t>https://www.balearic-properties.com/en/property/id/943779-new-finca-vineyard-sencelles-mallorca-html</t>
        </is>
      </c>
      <c r="E5337" t="n">
        <v>4</v>
      </c>
      <c r="G5337" t="n">
        <v>14206</v>
      </c>
      <c r="H5337" t="n">
        <v>450</v>
      </c>
      <c r="J5337" t="inlineStr">
        <is>
          <t>Santa Maria del Camí</t>
        </is>
      </c>
      <c r="K5337" t="n">
        <v>23.5</v>
      </c>
      <c r="L5337" t="n">
        <v>21</v>
      </c>
      <c r="M5337" t="n">
        <v>66.3</v>
      </c>
      <c r="N5337" t="n">
        <v>54</v>
      </c>
      <c r="O5337" t="n">
        <v>46.1</v>
      </c>
      <c r="P5337" t="n">
        <v>37</v>
      </c>
      <c r="Q5337" t="n">
        <v>64</v>
      </c>
      <c r="R5337" t="n">
        <v>51</v>
      </c>
      <c r="S5337" t="n">
        <v>3550000</v>
      </c>
      <c r="T5337" t="n">
        <v>7889</v>
      </c>
      <c r="U5337" t="n">
        <v>250</v>
      </c>
      <c r="AH5337" t="inlineStr">
        <is>
          <t>Quelle: Balearic Properties</t>
        </is>
      </c>
    </row>
    <row r="5338">
      <c r="A5338" t="n">
        <v>5151</v>
      </c>
      <c r="B5338" t="inlineStr">
        <is>
          <t>Sea view apartment for sale in popular Puerto Alcudia, north Mallorca</t>
        </is>
      </c>
      <c r="C5338" t="inlineStr">
        <is>
          <t>https://www.balearic-properties.com/en/property/id/944418-penthouse-seaviews-apartment-alcudia-mallorca-html</t>
        </is>
      </c>
      <c r="E5338" t="n">
        <v>3</v>
      </c>
      <c r="G5338" t="n">
        <v>0</v>
      </c>
      <c r="H5338" t="n">
        <v>126</v>
      </c>
      <c r="J5338" t="inlineStr">
        <is>
          <t>Puerto de Alcúdia</t>
        </is>
      </c>
      <c r="S5338" t="n">
        <v>795000</v>
      </c>
      <c r="T5338" t="n">
        <v>6310</v>
      </c>
      <c r="AH5338" t="inlineStr">
        <is>
          <t>Quelle: Balearic Properties</t>
        </is>
      </c>
    </row>
    <row r="5339">
      <c r="A5339" t="n">
        <v>5152</v>
      </c>
      <c r="B5339" t="inlineStr">
        <is>
          <t>Centrally located apartments for sale in Cala Ratjada, Northeast Mallorca</t>
        </is>
      </c>
      <c r="C5339" t="inlineStr">
        <is>
          <t>https://www.balearic-properties.com/en/property/id/944650-apartment-cala-ratjada-northeast-mallorca-html</t>
        </is>
      </c>
      <c r="E5339" t="n">
        <v>2</v>
      </c>
      <c r="G5339" t="n">
        <v>2790</v>
      </c>
      <c r="H5339" t="n">
        <v>109</v>
      </c>
      <c r="J5339" t="inlineStr">
        <is>
          <t>Cala Ratjada</t>
        </is>
      </c>
      <c r="S5339" t="n">
        <v>390000</v>
      </c>
      <c r="T5339" t="n">
        <v>3578</v>
      </c>
      <c r="U5339" t="n">
        <v>140</v>
      </c>
      <c r="AH5339" t="inlineStr">
        <is>
          <t>Quelle: Balearic Properties</t>
        </is>
      </c>
    </row>
    <row r="5340">
      <c r="A5340" t="n">
        <v>5153</v>
      </c>
      <c r="B5340" t="inlineStr">
        <is>
          <t>Exceptional penthouse with stunning sea views to rent in Palma, Mallorca</t>
        </is>
      </c>
      <c r="C5340" t="inlineStr">
        <is>
          <t>https://www.balearic-properties.com/en/property/id/944031-penthouse-sea-views-bonanova-palma-mallorca-html</t>
        </is>
      </c>
      <c r="E5340" t="n">
        <v>2</v>
      </c>
      <c r="G5340" t="n">
        <v>0</v>
      </c>
      <c r="H5340" t="n">
        <v>142</v>
      </c>
      <c r="J5340" t="inlineStr">
        <is>
          <t>Palma de Mallorca</t>
        </is>
      </c>
      <c r="K5340" t="n">
        <v>9.699999999999999</v>
      </c>
      <c r="L5340" t="n">
        <v>14</v>
      </c>
      <c r="M5340" t="n">
        <v>52.5</v>
      </c>
      <c r="N5340" t="n">
        <v>47</v>
      </c>
      <c r="O5340" t="n">
        <v>32.1</v>
      </c>
      <c r="P5340" t="n">
        <v>36</v>
      </c>
      <c r="Q5340" t="n">
        <v>50.2</v>
      </c>
      <c r="R5340" t="n">
        <v>44</v>
      </c>
      <c r="S5340" t="n">
        <v>1950000</v>
      </c>
      <c r="T5340" t="n">
        <v>13732</v>
      </c>
      <c r="AH5340" t="inlineStr">
        <is>
          <t>Quelle: Balearic Properties</t>
        </is>
      </c>
    </row>
    <row r="5341">
      <c r="A5341" t="n">
        <v>5154</v>
      </c>
      <c r="B5341" t="inlineStr">
        <is>
          <t>Ultra-modern villa project for sale in Cala Vinyes, Mallorca</t>
        </is>
      </c>
      <c r="C5341" t="inlineStr">
        <is>
          <t>https://www.balearic-properties.com/en/property/id/806555-project-new-villa-pool-and-cala-vinyes-html</t>
        </is>
      </c>
      <c r="E5341" t="n">
        <v>5</v>
      </c>
      <c r="G5341" t="n">
        <v>1287</v>
      </c>
      <c r="H5341" t="n">
        <v>450</v>
      </c>
      <c r="J5341" t="inlineStr">
        <is>
          <t>Cala Vinyes</t>
        </is>
      </c>
      <c r="K5341" t="n">
        <v>31.5</v>
      </c>
      <c r="L5341" t="n">
        <v>31</v>
      </c>
      <c r="M5341" t="n">
        <v>74.3</v>
      </c>
      <c r="N5341" t="n">
        <v>64</v>
      </c>
      <c r="O5341" t="n">
        <v>20.4</v>
      </c>
      <c r="P5341" t="n">
        <v>25</v>
      </c>
      <c r="Q5341" t="n">
        <v>72</v>
      </c>
      <c r="R5341" t="n">
        <v>60</v>
      </c>
      <c r="S5341" t="n">
        <v>3250000</v>
      </c>
      <c r="T5341" t="n">
        <v>7222</v>
      </c>
      <c r="U5341" t="n">
        <v>2525</v>
      </c>
      <c r="AH5341" t="inlineStr">
        <is>
          <t>Quelle: Balearic Properties</t>
        </is>
      </c>
    </row>
    <row r="5342">
      <c r="A5342" t="n">
        <v>5155</v>
      </c>
      <c r="B5342" t="inlineStr">
        <is>
          <t>Newly built apartments for sale in Cala Ratjada, Northeast Mallorca</t>
        </is>
      </c>
      <c r="C5342" t="inlineStr">
        <is>
          <t>https://www.balearic-properties.com/en/property/id/944628-apartment-cala-ratjada-northeast-mallorca-html</t>
        </is>
      </c>
      <c r="E5342" t="n">
        <v>2</v>
      </c>
      <c r="G5342" t="n">
        <v>2790</v>
      </c>
      <c r="H5342" t="n">
        <v>109</v>
      </c>
      <c r="J5342" t="inlineStr">
        <is>
          <t>Cala Ratjada</t>
        </is>
      </c>
      <c r="S5342" t="n">
        <v>415000</v>
      </c>
      <c r="T5342" t="n">
        <v>3807</v>
      </c>
      <c r="U5342" t="n">
        <v>149</v>
      </c>
      <c r="AH5342" t="inlineStr">
        <is>
          <t>Quelle: Balearic Properties</t>
        </is>
      </c>
    </row>
    <row r="5343">
      <c r="A5343" t="n">
        <v>5156</v>
      </c>
      <c r="B5343" t="inlineStr">
        <is>
          <t>Modern apartments for sale in Cala Ratjada, Northeast Mallorca</t>
        </is>
      </c>
      <c r="C5343" t="inlineStr">
        <is>
          <t>https://www.balearic-properties.com/en/property/id/944255-new-apartments-cala-ratjada-northeast-mallorca-html</t>
        </is>
      </c>
      <c r="E5343" t="n">
        <v>2</v>
      </c>
      <c r="G5343" t="n">
        <v>2790</v>
      </c>
      <c r="H5343" t="n">
        <v>98</v>
      </c>
      <c r="J5343" t="inlineStr">
        <is>
          <t>Cala Ratjada</t>
        </is>
      </c>
      <c r="S5343" t="n">
        <v>395000</v>
      </c>
      <c r="T5343" t="n">
        <v>4031</v>
      </c>
      <c r="U5343" t="n">
        <v>142</v>
      </c>
      <c r="AH5343" t="inlineStr">
        <is>
          <t>Quelle: Balearic Properties</t>
        </is>
      </c>
    </row>
    <row r="5344">
      <c r="A5344" t="n">
        <v>5157</v>
      </c>
      <c r="B5344" t="inlineStr">
        <is>
          <t>Unmissable townhouse with garden for sale in Puerto Pollensa, Mallorca</t>
        </is>
      </c>
      <c r="C5344" t="inlineStr">
        <is>
          <t>https://www.balearic-properties.com/en/property/id/917033-townhouse-garden-puerto-pollensa-mallorca-html</t>
        </is>
      </c>
      <c r="E5344" t="n">
        <v>3</v>
      </c>
      <c r="G5344" t="n">
        <v>0</v>
      </c>
      <c r="H5344" t="n">
        <v>137</v>
      </c>
      <c r="J5344" t="inlineStr">
        <is>
          <t>Gotmar</t>
        </is>
      </c>
      <c r="S5344" t="n">
        <v>545000</v>
      </c>
      <c r="T5344" t="n">
        <v>3978</v>
      </c>
      <c r="AH5344" t="inlineStr">
        <is>
          <t>Quelle: Balearic Properties</t>
        </is>
      </c>
    </row>
    <row r="5345">
      <c r="A5345" t="n">
        <v>5158</v>
      </c>
      <c r="B5345" t="inlineStr">
        <is>
          <t>Impressive sea view finca for sale in a peaceful area of Felanitx, southeast Mallorca</t>
        </is>
      </c>
      <c r="C5345" t="inlineStr">
        <is>
          <t>https://www.balearic-properties.com/en/property/id/939664-seaview-finca-pool-felanitx-mallorca-html</t>
        </is>
      </c>
      <c r="E5345" t="n">
        <v>4</v>
      </c>
      <c r="G5345" t="n">
        <v>15105</v>
      </c>
      <c r="H5345" t="n">
        <v>434</v>
      </c>
      <c r="J5345" t="inlineStr">
        <is>
          <t>Santanyí</t>
        </is>
      </c>
      <c r="K5345" t="n">
        <v>45.4</v>
      </c>
      <c r="L5345" t="n">
        <v>39</v>
      </c>
      <c r="M5345" t="n">
        <v>9</v>
      </c>
      <c r="N5345" t="n">
        <v>13</v>
      </c>
      <c r="O5345" t="n">
        <v>83.59999999999999</v>
      </c>
      <c r="P5345" t="n">
        <v>67</v>
      </c>
      <c r="Q5345" t="n">
        <v>9.699999999999999</v>
      </c>
      <c r="R5345" t="n">
        <v>15</v>
      </c>
      <c r="S5345" t="n">
        <v>3200000</v>
      </c>
      <c r="T5345" t="n">
        <v>7373</v>
      </c>
      <c r="U5345" t="n">
        <v>212</v>
      </c>
      <c r="AH5345" t="inlineStr">
        <is>
          <t>Quelle: Balearic Properties</t>
        </is>
      </c>
    </row>
    <row r="5346">
      <c r="A5346" t="n">
        <v>5159</v>
      </c>
      <c r="B5346" t="inlineStr">
        <is>
          <t>Rustic finca on a large countryside plot for sale in Selva, central Mallorca</t>
        </is>
      </c>
      <c r="C5346" t="inlineStr">
        <is>
          <t>https://www.balearic-properties.com/en/property/id/944150-rustic-finca-plot-selva-central-mallorca-html</t>
        </is>
      </c>
      <c r="E5346" t="n">
        <v>2</v>
      </c>
      <c r="G5346" t="n">
        <v>42000</v>
      </c>
      <c r="H5346" t="n">
        <v>109</v>
      </c>
      <c r="J5346" t="inlineStr">
        <is>
          <t>Selva</t>
        </is>
      </c>
      <c r="K5346" t="n">
        <v>44.5</v>
      </c>
      <c r="L5346" t="n">
        <v>41</v>
      </c>
      <c r="M5346" t="n">
        <v>62.6</v>
      </c>
      <c r="N5346" t="n">
        <v>67</v>
      </c>
      <c r="O5346" t="n">
        <v>67.09999999999999</v>
      </c>
      <c r="P5346" t="n">
        <v>57</v>
      </c>
      <c r="Q5346" t="n">
        <v>60.3</v>
      </c>
      <c r="R5346" t="n">
        <v>64</v>
      </c>
      <c r="S5346" t="n">
        <v>2000000</v>
      </c>
      <c r="T5346" t="n">
        <v>18349</v>
      </c>
      <c r="U5346" t="n">
        <v>48</v>
      </c>
      <c r="AH5346" t="inlineStr">
        <is>
          <t>Quelle: Balearic Properties</t>
        </is>
      </c>
    </row>
    <row r="5347">
      <c r="A5347" t="n">
        <v>5160</v>
      </c>
      <c r="B5347" t="inlineStr">
        <is>
          <t>Impeccable village house with pool for sale in Pollensa, north Mallorca</t>
        </is>
      </c>
      <c r="C5347" t="inlineStr">
        <is>
          <t>https://www.balearic-properties.com/en/property/id/940734-impeccable-village-house-pool-pollensa-mallorca-html</t>
        </is>
      </c>
      <c r="E5347" t="n">
        <v>6</v>
      </c>
      <c r="G5347" t="n">
        <v>279</v>
      </c>
      <c r="H5347" t="n">
        <v>448</v>
      </c>
      <c r="J5347" t="inlineStr">
        <is>
          <t>Pollença Pueblo</t>
        </is>
      </c>
      <c r="K5347" t="n">
        <v>60.6</v>
      </c>
      <c r="L5347" t="n">
        <v>47</v>
      </c>
      <c r="M5347" t="n">
        <v>78.7</v>
      </c>
      <c r="N5347" t="n">
        <v>74</v>
      </c>
      <c r="O5347" t="n">
        <v>83.2</v>
      </c>
      <c r="P5347" t="n">
        <v>63</v>
      </c>
      <c r="Q5347" t="n">
        <v>76.40000000000001</v>
      </c>
      <c r="R5347" t="n">
        <v>70</v>
      </c>
      <c r="S5347" t="n">
        <v>3200000</v>
      </c>
      <c r="T5347" t="n">
        <v>7143</v>
      </c>
      <c r="U5347" t="n">
        <v>11470</v>
      </c>
      <c r="AH5347" t="inlineStr">
        <is>
          <t>Quelle: Balearic Properties</t>
        </is>
      </c>
    </row>
    <row r="5348">
      <c r="A5348" t="n">
        <v>5161</v>
      </c>
      <c r="B5348" t="inlineStr">
        <is>
          <t>Chic development of new homes for sale in Cala Ratjada, Northeast Mallorca</t>
        </is>
      </c>
      <c r="C5348" t="inlineStr">
        <is>
          <t>https://www.balearic-properties.com/en/property/id/933702-chic-development-of-new-homes-for-sale-in-cala-ratjada-northeast-mallorca</t>
        </is>
      </c>
      <c r="E5348" t="n">
        <v>2</v>
      </c>
      <c r="G5348" t="n">
        <v>73</v>
      </c>
      <c r="H5348" t="n">
        <v>99</v>
      </c>
      <c r="J5348" t="inlineStr">
        <is>
          <t>Cala Ratjada</t>
        </is>
      </c>
      <c r="S5348" t="n">
        <v>650000</v>
      </c>
      <c r="T5348" t="n">
        <v>6566</v>
      </c>
      <c r="U5348" t="n">
        <v>8904</v>
      </c>
      <c r="AH5348" t="inlineStr">
        <is>
          <t>Quelle: Balearic Properties</t>
        </is>
      </c>
    </row>
    <row r="5349">
      <c r="A5349" t="n">
        <v>5162</v>
      </c>
      <c r="B5349" t="inlineStr">
        <is>
          <t>Fantastic development of villas for sale in Cala Ratjada, Northeast Mallorca</t>
        </is>
      </c>
      <c r="C5349" t="inlineStr">
        <is>
          <t>https://www.balearic-properties.com/en/property/id/940815-development-of-villas-cala-ratjada-northeast-mallorca-html</t>
        </is>
      </c>
      <c r="E5349" t="n">
        <v>3</v>
      </c>
      <c r="G5349" t="n">
        <v>0</v>
      </c>
      <c r="H5349" t="n">
        <v>333</v>
      </c>
      <c r="J5349" t="inlineStr">
        <is>
          <t>Cala Ratjada</t>
        </is>
      </c>
      <c r="K5349" t="n">
        <v>77.7</v>
      </c>
      <c r="L5349" t="n">
        <v>66</v>
      </c>
      <c r="M5349" t="n">
        <v>73</v>
      </c>
      <c r="N5349" t="n">
        <v>69</v>
      </c>
      <c r="O5349" t="n">
        <v>111.9</v>
      </c>
      <c r="P5349" t="n">
        <v>91</v>
      </c>
      <c r="Q5349" t="n">
        <v>70.7</v>
      </c>
      <c r="R5349" t="n">
        <v>66</v>
      </c>
      <c r="S5349" t="n">
        <v>1233000</v>
      </c>
      <c r="T5349" t="n">
        <v>3703</v>
      </c>
      <c r="AH5349" t="inlineStr">
        <is>
          <t>Quelle: Balearic Properties</t>
        </is>
      </c>
    </row>
    <row r="5350">
      <c r="A5350" t="n">
        <v>5163</v>
      </c>
      <c r="B5350" t="inlineStr">
        <is>
          <t>Fantastic development of villas for sale in Cala Ratjada, Northeast Mallorca</t>
        </is>
      </c>
      <c r="C5350" t="inlineStr">
        <is>
          <t>https://www.balearic-properties.com/en/property/id/940812-development-of-villas-cala-ratjada-northeast-mallorca-html</t>
        </is>
      </c>
      <c r="E5350" t="n">
        <v>3</v>
      </c>
      <c r="G5350" t="n">
        <v>0</v>
      </c>
      <c r="H5350" t="n">
        <v>232</v>
      </c>
      <c r="J5350" t="inlineStr">
        <is>
          <t>Cala Ratjada</t>
        </is>
      </c>
      <c r="S5350" t="n">
        <v>927100</v>
      </c>
      <c r="T5350" t="n">
        <v>3996</v>
      </c>
      <c r="AH5350" t="inlineStr">
        <is>
          <t>Quelle: Balearic Properties</t>
        </is>
      </c>
    </row>
    <row r="5351">
      <c r="A5351" t="n">
        <v>5164</v>
      </c>
      <c r="B5351" t="inlineStr">
        <is>
          <t>Exclusive, light-filled new villa for sale near the coast in Llucmajor, south Mallorca</t>
        </is>
      </c>
      <c r="C5351" t="inlineStr">
        <is>
          <t>https://www.balearic-properties.com/en/property/id/943861-new-villa-llucmajor-mallorca-html</t>
        </is>
      </c>
      <c r="E5351" t="n">
        <v>3</v>
      </c>
      <c r="G5351" t="n">
        <v>800</v>
      </c>
      <c r="H5351" t="n">
        <v>238</v>
      </c>
      <c r="J5351" t="inlineStr">
        <is>
          <t>Bahia Grande</t>
        </is>
      </c>
      <c r="K5351" t="n">
        <v>18.8</v>
      </c>
      <c r="L5351" t="n">
        <v>20</v>
      </c>
      <c r="M5351" t="n">
        <v>40</v>
      </c>
      <c r="N5351" t="n">
        <v>39</v>
      </c>
      <c r="O5351" t="n">
        <v>57</v>
      </c>
      <c r="P5351" t="n">
        <v>48</v>
      </c>
      <c r="Q5351" t="n">
        <v>37.6</v>
      </c>
      <c r="R5351" t="n">
        <v>36</v>
      </c>
      <c r="S5351" t="n">
        <v>1645000</v>
      </c>
      <c r="T5351" t="n">
        <v>6912</v>
      </c>
      <c r="U5351" t="n">
        <v>2056</v>
      </c>
      <c r="AH5351" t="inlineStr">
        <is>
          <t>Quelle: Balearic Properties</t>
        </is>
      </c>
    </row>
    <row r="5352">
      <c r="A5352" t="n">
        <v>5165</v>
      </c>
      <c r="B5352" t="inlineStr">
        <is>
          <t>Immaculate finca with open views for sale in Palma, Mallorca</t>
        </is>
      </c>
      <c r="C5352" t="inlineStr">
        <is>
          <t>https://www.balearic-properties.com/en/property/id/943398-new-finca-open-views-palma-mallorca-html</t>
        </is>
      </c>
      <c r="E5352" t="n">
        <v>5</v>
      </c>
      <c r="G5352" t="n">
        <v>15241</v>
      </c>
      <c r="H5352" t="n">
        <v>623</v>
      </c>
      <c r="J5352" t="inlineStr">
        <is>
          <t>Palma de Mallorca</t>
        </is>
      </c>
      <c r="K5352" t="n">
        <v>9.699999999999999</v>
      </c>
      <c r="L5352" t="n">
        <v>14</v>
      </c>
      <c r="M5352" t="n">
        <v>52.5</v>
      </c>
      <c r="N5352" t="n">
        <v>47</v>
      </c>
      <c r="O5352" t="n">
        <v>32.1</v>
      </c>
      <c r="P5352" t="n">
        <v>36</v>
      </c>
      <c r="Q5352" t="n">
        <v>50.2</v>
      </c>
      <c r="R5352" t="n">
        <v>44</v>
      </c>
      <c r="S5352" t="n">
        <v>5250000</v>
      </c>
      <c r="T5352" t="n">
        <v>8427</v>
      </c>
      <c r="U5352" t="n">
        <v>344</v>
      </c>
      <c r="AH5352" t="inlineStr">
        <is>
          <t>Quelle: Balearic Properties</t>
        </is>
      </c>
    </row>
    <row r="5353">
      <c r="A5353" t="n">
        <v>5166</v>
      </c>
      <c r="B5353" t="inlineStr">
        <is>
          <t>New residential development of apartments for sale in Capdepera, northeast Mallorca</t>
        </is>
      </c>
      <c r="C5353" t="inlineStr">
        <is>
          <t>https://www.balearic-properties.com/en/property/id/941838-new-apartments-townhouses-capdepera-mallorca-html</t>
        </is>
      </c>
      <c r="E5353" t="n">
        <v>2</v>
      </c>
      <c r="G5353" t="n">
        <v>0</v>
      </c>
      <c r="H5353" t="n">
        <v>81</v>
      </c>
      <c r="J5353" t="inlineStr">
        <is>
          <t>Capdepera</t>
        </is>
      </c>
      <c r="S5353" t="n">
        <v>425000</v>
      </c>
      <c r="T5353" t="n">
        <v>5247</v>
      </c>
      <c r="AH5353" t="inlineStr">
        <is>
          <t>Quelle: Balearic Properties</t>
        </is>
      </c>
    </row>
    <row r="5354">
      <c r="A5354" t="n">
        <v>5167</v>
      </c>
      <c r="B5354" t="inlineStr">
        <is>
          <t>Renovated sea view finca for sale between Pollensa and Alcudia, north Mallorca</t>
        </is>
      </c>
      <c r="C5354" t="inlineStr">
        <is>
          <t>https://www.balearic-properties.com/en/property/id/824509-incredible-mountain-view-finca-alcudia-mallorca-html</t>
        </is>
      </c>
      <c r="E5354" t="n">
        <v>5</v>
      </c>
      <c r="G5354" t="n">
        <v>12277</v>
      </c>
      <c r="H5354" t="n">
        <v>465</v>
      </c>
      <c r="J5354" t="inlineStr">
        <is>
          <t>Alcúdia</t>
        </is>
      </c>
      <c r="K5354" t="n">
        <v>61.6</v>
      </c>
      <c r="L5354" t="n">
        <v>47</v>
      </c>
      <c r="M5354" t="n">
        <v>79.7</v>
      </c>
      <c r="N5354" t="n">
        <v>74</v>
      </c>
      <c r="O5354" t="n">
        <v>84.2</v>
      </c>
      <c r="P5354" t="n">
        <v>63</v>
      </c>
      <c r="Q5354" t="n">
        <v>77.40000000000001</v>
      </c>
      <c r="R5354" t="n">
        <v>70</v>
      </c>
      <c r="S5354" t="n">
        <v>3750000</v>
      </c>
      <c r="T5354" t="n">
        <v>8065</v>
      </c>
      <c r="U5354" t="n">
        <v>305</v>
      </c>
      <c r="AH5354" t="inlineStr">
        <is>
          <t>Quelle: Balearic Properties</t>
        </is>
      </c>
    </row>
    <row r="5355">
      <c r="A5355" t="n">
        <v>5168</v>
      </c>
      <c r="B5355" t="inlineStr">
        <is>
          <t>Beautiful detached villa with pool for sale in La Font, Pollensa, north Mallorca</t>
        </is>
      </c>
      <c r="C5355" t="inlineStr">
        <is>
          <t>https://www.balearic-properties.com/en/property/id/781505-renovated-villa-pollensa-mallorca-html</t>
        </is>
      </c>
      <c r="E5355" t="n">
        <v>3</v>
      </c>
      <c r="G5355" t="n">
        <v>3568</v>
      </c>
      <c r="H5355" t="n">
        <v>218</v>
      </c>
      <c r="J5355" t="inlineStr">
        <is>
          <t>Pollença</t>
        </is>
      </c>
      <c r="K5355" t="n">
        <v>60.6</v>
      </c>
      <c r="L5355" t="n">
        <v>47</v>
      </c>
      <c r="M5355" t="n">
        <v>78.7</v>
      </c>
      <c r="N5355" t="n">
        <v>74</v>
      </c>
      <c r="O5355" t="n">
        <v>83.2</v>
      </c>
      <c r="P5355" t="n">
        <v>63</v>
      </c>
      <c r="Q5355" t="n">
        <v>76.40000000000001</v>
      </c>
      <c r="R5355" t="n">
        <v>70</v>
      </c>
      <c r="S5355" t="n">
        <v>1300000</v>
      </c>
      <c r="T5355" t="n">
        <v>5963</v>
      </c>
      <c r="U5355" t="n">
        <v>364</v>
      </c>
      <c r="AH5355" t="inlineStr">
        <is>
          <t>Quelle: Balearic Properties</t>
        </is>
      </c>
    </row>
    <row r="5356">
      <c r="A5356" t="n">
        <v>5169</v>
      </c>
      <c r="B5356" t="inlineStr">
        <is>
          <t>Refurbished town house with stunning views for sale in Muro, northeast Mallorca</t>
        </is>
      </c>
      <c r="C5356" t="inlineStr">
        <is>
          <t>https://www.balearic-properties.com/en/property/id/942163-refurbished-townhouse-stunning-views-muro-mallorca-html</t>
        </is>
      </c>
      <c r="E5356" t="n">
        <v>4</v>
      </c>
      <c r="G5356" t="n">
        <v>243</v>
      </c>
      <c r="H5356" t="n">
        <v>222</v>
      </c>
      <c r="J5356" t="inlineStr">
        <is>
          <t>Muro</t>
        </is>
      </c>
      <c r="K5356" t="n">
        <v>58.2</v>
      </c>
      <c r="L5356" t="n">
        <v>46</v>
      </c>
      <c r="M5356" t="n">
        <v>60.2</v>
      </c>
      <c r="N5356" t="n">
        <v>64</v>
      </c>
      <c r="O5356" t="n">
        <v>80.8</v>
      </c>
      <c r="P5356" t="n">
        <v>62</v>
      </c>
      <c r="Q5356" t="n">
        <v>57.9</v>
      </c>
      <c r="R5356" t="n">
        <v>61</v>
      </c>
      <c r="S5356" t="n">
        <v>1550000</v>
      </c>
      <c r="T5356" t="n">
        <v>6982</v>
      </c>
      <c r="U5356" t="n">
        <v>6379</v>
      </c>
      <c r="AH5356" t="inlineStr">
        <is>
          <t>Quelle: Balearic Properties</t>
        </is>
      </c>
    </row>
    <row r="5357">
      <c r="A5357" t="n">
        <v>5170</v>
      </c>
      <c r="B5357" t="inlineStr">
        <is>
          <t>Incredible penthouse with private pool, for sale in Palma, Mallorca</t>
        </is>
      </c>
      <c r="C5357" t="inlineStr">
        <is>
          <t>https://www.balearic-properties.com/en/property/id/806476-incredible-penthouse-with-private-pool-for-sale-in-palma-mallorca-html</t>
        </is>
      </c>
      <c r="E5357" t="n">
        <v>3</v>
      </c>
      <c r="G5357" t="n">
        <v>0</v>
      </c>
      <c r="H5357" t="n">
        <v>364</v>
      </c>
      <c r="J5357" t="inlineStr">
        <is>
          <t>Palma de Mallorca</t>
        </is>
      </c>
      <c r="K5357" t="n">
        <v>9.699999999999999</v>
      </c>
      <c r="L5357" t="n">
        <v>14</v>
      </c>
      <c r="M5357" t="n">
        <v>52.5</v>
      </c>
      <c r="N5357" t="n">
        <v>47</v>
      </c>
      <c r="O5357" t="n">
        <v>32.1</v>
      </c>
      <c r="P5357" t="n">
        <v>36</v>
      </c>
      <c r="Q5357" t="n">
        <v>50.2</v>
      </c>
      <c r="R5357" t="n">
        <v>44</v>
      </c>
      <c r="S5357" t="n">
        <v>2600000</v>
      </c>
      <c r="T5357" t="n">
        <v>7143</v>
      </c>
      <c r="AH5357" t="inlineStr">
        <is>
          <t>Quelle: Balearic Properties</t>
        </is>
      </c>
    </row>
    <row r="5358">
      <c r="A5358" t="n">
        <v>5171</v>
      </c>
      <c r="B5358" t="inlineStr">
        <is>
          <t>Newly built semi-detached houses for sale with private garden and pool near Llucmajor, Mallorca</t>
        </is>
      </c>
      <c r="C5358" t="inlineStr">
        <is>
          <t>https://www.balearic-properties.com/en/property/id/807181-new-house-pool-energy-mallorca-html</t>
        </is>
      </c>
      <c r="E5358" t="n">
        <v>4</v>
      </c>
      <c r="G5358" t="n">
        <v>300</v>
      </c>
      <c r="H5358" t="n">
        <v>158</v>
      </c>
      <c r="J5358" t="inlineStr">
        <is>
          <t>Puig de Ros</t>
        </is>
      </c>
      <c r="S5358" t="n">
        <v>850000</v>
      </c>
      <c r="T5358" t="n">
        <v>5380</v>
      </c>
      <c r="U5358" t="n">
        <v>2833</v>
      </c>
      <c r="AH5358" t="inlineStr">
        <is>
          <t>Quelle: Balearic Properties</t>
        </is>
      </c>
    </row>
    <row r="5359">
      <c r="A5359" t="n">
        <v>5172</v>
      </c>
      <c r="B5359" t="inlineStr">
        <is>
          <t>Exceptional country estate with guest houses for sale near Pollensa, Mallorca</t>
        </is>
      </c>
      <c r="C5359" t="inlineStr">
        <is>
          <t>https://www.balearic-properties.com/en/property/id/757188-finca-estate-valley-pollensa-mallorca-html</t>
        </is>
      </c>
      <c r="E5359" t="n">
        <v>7</v>
      </c>
      <c r="G5359" t="n">
        <v>50000</v>
      </c>
      <c r="H5359" t="n">
        <v>1082</v>
      </c>
      <c r="J5359" t="inlineStr">
        <is>
          <t>Pollença</t>
        </is>
      </c>
      <c r="K5359" t="n">
        <v>60.6</v>
      </c>
      <c r="L5359" t="n">
        <v>47</v>
      </c>
      <c r="M5359" t="n">
        <v>78.7</v>
      </c>
      <c r="N5359" t="n">
        <v>74</v>
      </c>
      <c r="O5359" t="n">
        <v>83.2</v>
      </c>
      <c r="P5359" t="n">
        <v>63</v>
      </c>
      <c r="Q5359" t="n">
        <v>76.40000000000001</v>
      </c>
      <c r="R5359" t="n">
        <v>70</v>
      </c>
      <c r="AH5359" t="inlineStr">
        <is>
          <t>Quelle: Balearic Properties</t>
        </is>
      </c>
    </row>
    <row r="5360">
      <c r="A5360" t="n">
        <v>5173</v>
      </c>
      <c r="B5360" t="inlineStr">
        <is>
          <t>House for sale with garden and communal pools in Puerto Pollensa, north Mallorca</t>
        </is>
      </c>
      <c r="C5360" t="inlineStr">
        <is>
          <t>https://www.balearic-properties.com/en/property/id/943242-elegant-house-communal-pools-puerto-pollensa-mallorca-html</t>
        </is>
      </c>
      <c r="E5360" t="n">
        <v>4</v>
      </c>
      <c r="G5360" t="n">
        <v>200</v>
      </c>
      <c r="H5360" t="n">
        <v>230</v>
      </c>
      <c r="J5360" t="inlineStr">
        <is>
          <t>Port de Pollença</t>
        </is>
      </c>
      <c r="K5360" t="n">
        <v>66.90000000000001</v>
      </c>
      <c r="L5360" t="n">
        <v>52</v>
      </c>
      <c r="M5360" t="n">
        <v>85</v>
      </c>
      <c r="N5360" t="n">
        <v>78</v>
      </c>
      <c r="O5360" t="n">
        <v>89.5</v>
      </c>
      <c r="P5360" t="n">
        <v>68</v>
      </c>
      <c r="Q5360" t="n">
        <v>82.7</v>
      </c>
      <c r="R5360" t="n">
        <v>75</v>
      </c>
      <c r="S5360" t="n">
        <v>1800000</v>
      </c>
      <c r="T5360" t="n">
        <v>7826</v>
      </c>
      <c r="U5360" t="n">
        <v>9000</v>
      </c>
      <c r="AH5360" t="inlineStr">
        <is>
          <t>Quelle: Balearic Properties</t>
        </is>
      </c>
    </row>
    <row r="5361">
      <c r="A5361" t="n">
        <v>5174</v>
      </c>
      <c r="B5361" t="inlineStr">
        <is>
          <t>Fully renovated historic townhouse in Es Jonquet for sale in Palma, Mallorca</t>
        </is>
      </c>
      <c r="C5361" t="inlineStr">
        <is>
          <t>https://www.balearic-properties.com/en/property/id/942804-renovated-townhouse-es-jonquet-palma-mallorca-html</t>
        </is>
      </c>
      <c r="E5361" t="n">
        <v>2</v>
      </c>
      <c r="G5361" t="n">
        <v>11</v>
      </c>
      <c r="H5361" t="n">
        <v>160</v>
      </c>
      <c r="J5361" t="inlineStr">
        <is>
          <t>Es Jonquet</t>
        </is>
      </c>
      <c r="K5361" t="n">
        <v>46.8</v>
      </c>
      <c r="L5361" t="n">
        <v>42</v>
      </c>
      <c r="M5361" t="n">
        <v>8.5</v>
      </c>
      <c r="N5361" t="n">
        <v>13</v>
      </c>
      <c r="O5361" t="n">
        <v>85</v>
      </c>
      <c r="P5361" t="n">
        <v>70</v>
      </c>
      <c r="Q5361" t="n">
        <v>7.7</v>
      </c>
      <c r="R5361" t="n">
        <v>12</v>
      </c>
      <c r="S5361" t="n">
        <v>2590000</v>
      </c>
      <c r="T5361" t="n">
        <v>16188</v>
      </c>
      <c r="U5361" t="n">
        <v>235455</v>
      </c>
      <c r="AH5361" t="inlineStr">
        <is>
          <t>Quelle: Balearic Properties</t>
        </is>
      </c>
    </row>
    <row r="5362">
      <c r="A5362" t="n">
        <v>5175</v>
      </c>
      <c r="B5362" t="inlineStr">
        <is>
          <t>Stunning brand new villa for sale in Santa Ponsa, southwest Mallorca</t>
        </is>
      </c>
      <c r="C5362" t="inlineStr">
        <is>
          <t>https://www.balearic-properties.com/en/property/id/938850-new-luxury-villa-santa-ponsa-mallorca-html</t>
        </is>
      </c>
      <c r="E5362" t="n">
        <v>4</v>
      </c>
      <c r="G5362" t="n">
        <v>1117</v>
      </c>
      <c r="H5362" t="n">
        <v>613</v>
      </c>
      <c r="J5362" t="inlineStr">
        <is>
          <t>Santa Ponsa</t>
        </is>
      </c>
      <c r="K5362" t="n">
        <v>31.1</v>
      </c>
      <c r="L5362" t="n">
        <v>28</v>
      </c>
      <c r="M5362" t="n">
        <v>73.90000000000001</v>
      </c>
      <c r="N5362" t="n">
        <v>61</v>
      </c>
      <c r="O5362" t="n">
        <v>15.2</v>
      </c>
      <c r="P5362" t="n">
        <v>19</v>
      </c>
      <c r="Q5362" t="n">
        <v>71.59999999999999</v>
      </c>
      <c r="R5362" t="n">
        <v>57</v>
      </c>
      <c r="S5362" t="n">
        <v>5500000</v>
      </c>
      <c r="T5362" t="n">
        <v>8972</v>
      </c>
      <c r="U5362" t="n">
        <v>4924</v>
      </c>
      <c r="AH5362" t="inlineStr">
        <is>
          <t>Quelle: Balearic Properties</t>
        </is>
      </c>
    </row>
    <row r="5363">
      <c r="A5363" t="n">
        <v>5176</v>
      </c>
      <c r="B5363" t="inlineStr">
        <is>
          <t>Impressive Mediterranean style villa for sale in Bendinat, southwest Mallorca</t>
        </is>
      </c>
      <c r="C5363" t="inlineStr">
        <is>
          <t>https://www.balearic-properties.com/en/property/id/870363-spacious-seaview-villa-bendinat-mallorca-html</t>
        </is>
      </c>
      <c r="E5363" t="n">
        <v>5</v>
      </c>
      <c r="G5363" t="n">
        <v>1082</v>
      </c>
      <c r="H5363" t="n">
        <v>497</v>
      </c>
      <c r="J5363" t="inlineStr">
        <is>
          <t>Bendinat</t>
        </is>
      </c>
      <c r="K5363" t="n">
        <v>23.1</v>
      </c>
      <c r="L5363" t="n">
        <v>22</v>
      </c>
      <c r="M5363" t="n">
        <v>65.8</v>
      </c>
      <c r="N5363" t="n">
        <v>55</v>
      </c>
      <c r="O5363" t="n">
        <v>23.2</v>
      </c>
      <c r="P5363" t="n">
        <v>23</v>
      </c>
      <c r="Q5363" t="n">
        <v>63.5</v>
      </c>
      <c r="R5363" t="n">
        <v>51</v>
      </c>
      <c r="S5363" t="n">
        <v>3950000</v>
      </c>
      <c r="T5363" t="n">
        <v>7948</v>
      </c>
      <c r="U5363" t="n">
        <v>3651</v>
      </c>
      <c r="AH5363" t="inlineStr">
        <is>
          <t>Quelle: Balearic Properties</t>
        </is>
      </c>
    </row>
    <row r="5364">
      <c r="A5364" t="n">
        <v>5177</v>
      </c>
      <c r="B5364" t="inlineStr">
        <is>
          <t>Charming town house for sale in the heart of Pollensa, North Mallorca</t>
        </is>
      </c>
      <c r="C5364" t="inlineStr">
        <is>
          <t>https://www.balearic-properties.com/en/property/id/925438-charming-townhouse-pollensa-mallorca-html</t>
        </is>
      </c>
      <c r="E5364" t="n">
        <v>3</v>
      </c>
      <c r="G5364" t="n">
        <v>57</v>
      </c>
      <c r="H5364" t="n">
        <v>122</v>
      </c>
      <c r="J5364" t="inlineStr">
        <is>
          <t>Pollença Pueblo</t>
        </is>
      </c>
      <c r="AH5364" t="inlineStr">
        <is>
          <t>Quelle: Balearic Properties</t>
        </is>
      </c>
    </row>
    <row r="5365">
      <c r="A5365" t="n">
        <v>5178</v>
      </c>
      <c r="B5365" t="inlineStr">
        <is>
          <t>New Penthouse for sale in Cala Ratjada, Northeast Mallorca</t>
        </is>
      </c>
      <c r="C5365" t="inlineStr">
        <is>
          <t>https://www.balearic-properties.com/en/property/id/942388-new-penthouse-for-sale-in-cala-ratjada-northeast-mallorca-html</t>
        </is>
      </c>
      <c r="E5365" t="n">
        <v>2</v>
      </c>
      <c r="G5365" t="n">
        <v>2790</v>
      </c>
      <c r="H5365" t="n">
        <v>109</v>
      </c>
      <c r="J5365" t="inlineStr">
        <is>
          <t>Cala Ratjada</t>
        </is>
      </c>
      <c r="S5365" t="n">
        <v>495000</v>
      </c>
      <c r="T5365" t="n">
        <v>4541</v>
      </c>
      <c r="U5365" t="n">
        <v>177</v>
      </c>
      <c r="AH5365" t="inlineStr">
        <is>
          <t>Quelle: Balearic Properties</t>
        </is>
      </c>
    </row>
    <row r="5366">
      <c r="A5366" t="n">
        <v>5179</v>
      </c>
      <c r="B5366" t="inlineStr">
        <is>
          <t>Charming town house with patio oasis for sale in Pollensa, north Mallorca</t>
        </is>
      </c>
      <c r="C5366" t="inlineStr">
        <is>
          <t>https://www.balearic-properties.com/en/property/id/943124-mallorca-townhouse-pollensa-html</t>
        </is>
      </c>
      <c r="E5366" t="n">
        <v>3</v>
      </c>
      <c r="G5366" t="n">
        <v>118</v>
      </c>
      <c r="H5366" t="n">
        <v>158</v>
      </c>
      <c r="J5366" t="inlineStr">
        <is>
          <t>Pollença</t>
        </is>
      </c>
      <c r="S5366" t="n">
        <v>835000</v>
      </c>
      <c r="T5366" t="n">
        <v>5285</v>
      </c>
      <c r="U5366" t="n">
        <v>7076</v>
      </c>
      <c r="AH5366" t="inlineStr">
        <is>
          <t>Quelle: Balearic Properties</t>
        </is>
      </c>
    </row>
    <row r="5367">
      <c r="A5367" t="n">
        <v>5180</v>
      </c>
      <c r="B5367" t="inlineStr">
        <is>
          <t>Newly built village house with pool for sale in Ariany, Central Mallorca</t>
        </is>
      </c>
      <c r="C5367" t="inlineStr">
        <is>
          <t>https://www.balearic-properties.com/en/property/id/941281-new-house-pool-ariany-mallorca-html</t>
        </is>
      </c>
      <c r="E5367" t="n">
        <v>3</v>
      </c>
      <c r="G5367" t="n">
        <v>0</v>
      </c>
      <c r="H5367" t="n">
        <v>0</v>
      </c>
      <c r="J5367" t="inlineStr">
        <is>
          <t>Ariany</t>
        </is>
      </c>
      <c r="S5367" t="n">
        <v>950000</v>
      </c>
      <c r="AH5367" t="inlineStr">
        <is>
          <t>Quelle: Balearic Properties</t>
        </is>
      </c>
    </row>
    <row r="5368">
      <c r="A5368" t="n">
        <v>5181</v>
      </c>
      <c r="B5368" t="inlineStr">
        <is>
          <t>Modern house featuring the latest amenities for sale in Ariany, Central Mallorca</t>
        </is>
      </c>
      <c r="C5368" t="inlineStr">
        <is>
          <t>https://www.balearic-properties.com/en/property/id/941282-modern-house-latest-amenities-ariany-mallorca-html</t>
        </is>
      </c>
      <c r="E5368" t="n">
        <v>3</v>
      </c>
      <c r="G5368" t="n">
        <v>129</v>
      </c>
      <c r="H5368" t="n">
        <v>152</v>
      </c>
      <c r="J5368" t="inlineStr">
        <is>
          <t>Ariany</t>
        </is>
      </c>
      <c r="S5368" t="n">
        <v>950000</v>
      </c>
      <c r="T5368" t="n">
        <v>6250</v>
      </c>
      <c r="U5368" t="n">
        <v>7364</v>
      </c>
      <c r="AH5368" t="inlineStr">
        <is>
          <t>Quelle: Balearic Properties</t>
        </is>
      </c>
    </row>
    <row r="5369">
      <c r="A5369" t="n">
        <v>5182</v>
      </c>
      <c r="B5369" t="inlineStr">
        <is>
          <t>Villa renovation project in prime location for sale in Cala San Vicente, North Mallorca</t>
        </is>
      </c>
      <c r="C5369" t="inlineStr">
        <is>
          <t>https://www.balearic-properties.com/en/property/id/941948-villa-renovation-cala-sant-vicent-mallorca-html</t>
        </is>
      </c>
      <c r="E5369" t="n">
        <v>6</v>
      </c>
      <c r="G5369" t="n">
        <v>551</v>
      </c>
      <c r="H5369" t="n">
        <v>426</v>
      </c>
      <c r="J5369" t="inlineStr">
        <is>
          <t>Cala Sant Vicenç</t>
        </is>
      </c>
      <c r="K5369" t="n">
        <v>66.5</v>
      </c>
      <c r="L5369" t="n">
        <v>52</v>
      </c>
      <c r="M5369" t="n">
        <v>84.59999999999999</v>
      </c>
      <c r="N5369" t="n">
        <v>79</v>
      </c>
      <c r="O5369" t="n">
        <v>89.09999999999999</v>
      </c>
      <c r="P5369" t="n">
        <v>68</v>
      </c>
      <c r="Q5369" t="n">
        <v>82.3</v>
      </c>
      <c r="R5369" t="n">
        <v>75</v>
      </c>
      <c r="S5369" t="n">
        <v>745000</v>
      </c>
      <c r="T5369" t="n">
        <v>1749</v>
      </c>
      <c r="U5369" t="n">
        <v>1352</v>
      </c>
      <c r="AH5369" t="inlineStr">
        <is>
          <t>Quelle: Balearic Properties</t>
        </is>
      </c>
    </row>
    <row r="5370">
      <c r="A5370" t="n">
        <v>5183</v>
      </c>
      <c r="B5370" t="inlineStr">
        <is>
          <t>Stunning town house with rooftop pool and garage for sale in Pollensa, north Mallorca</t>
        </is>
      </c>
      <c r="C5370" t="inlineStr">
        <is>
          <t>https://www.balearic-properties.com/en/property/id/772253-townhouse-pool-etv-pollensa-mallorca-html</t>
        </is>
      </c>
      <c r="E5370" t="n">
        <v>6</v>
      </c>
      <c r="G5370" t="n">
        <v>0</v>
      </c>
      <c r="H5370" t="n">
        <v>446</v>
      </c>
      <c r="J5370" t="inlineStr">
        <is>
          <t>Pollença Pueblo</t>
        </is>
      </c>
      <c r="K5370" t="n">
        <v>60.6</v>
      </c>
      <c r="L5370" t="n">
        <v>47</v>
      </c>
      <c r="M5370" t="n">
        <v>78.7</v>
      </c>
      <c r="N5370" t="n">
        <v>74</v>
      </c>
      <c r="O5370" t="n">
        <v>83.2</v>
      </c>
      <c r="P5370" t="n">
        <v>63</v>
      </c>
      <c r="Q5370" t="n">
        <v>76.40000000000001</v>
      </c>
      <c r="R5370" t="n">
        <v>70</v>
      </c>
      <c r="S5370" t="n">
        <v>1675000</v>
      </c>
      <c r="T5370" t="n">
        <v>3756</v>
      </c>
      <c r="AH5370" t="inlineStr">
        <is>
          <t>Quelle: Balearic Properties</t>
        </is>
      </c>
    </row>
    <row r="5371">
      <c r="A5371" t="n">
        <v>5184</v>
      </c>
      <c r="B5371" t="inlineStr">
        <is>
          <t>Charming finca for sale in Puerto Andratx, Southwest Mallorca</t>
        </is>
      </c>
      <c r="C5371" t="inlineStr">
        <is>
          <t>https://www.balearic-properties.com/en/property/id/942069-charming-finca-puerto-andratx-mallorca-html</t>
        </is>
      </c>
      <c r="E5371" t="n">
        <v>4</v>
      </c>
      <c r="G5371" t="n">
        <v>2698</v>
      </c>
      <c r="H5371" t="n">
        <v>119</v>
      </c>
      <c r="J5371" t="inlineStr">
        <is>
          <t>Puerto Andratx</t>
        </is>
      </c>
      <c r="K5371" t="n">
        <v>43.5</v>
      </c>
      <c r="L5371" t="n">
        <v>38</v>
      </c>
      <c r="M5371" t="n">
        <v>86.2</v>
      </c>
      <c r="N5371" t="n">
        <v>71</v>
      </c>
      <c r="O5371" t="n">
        <v>6.3</v>
      </c>
      <c r="P5371" t="n">
        <v>11</v>
      </c>
      <c r="Q5371" t="n">
        <v>83.90000000000001</v>
      </c>
      <c r="R5371" t="n">
        <v>68</v>
      </c>
      <c r="S5371" t="n">
        <v>2000000</v>
      </c>
      <c r="T5371" t="n">
        <v>16807</v>
      </c>
      <c r="U5371" t="n">
        <v>741</v>
      </c>
      <c r="AH5371" t="inlineStr">
        <is>
          <t>Quelle: Balearic Properties</t>
        </is>
      </c>
    </row>
    <row r="5372">
      <c r="A5372" t="n">
        <v>5185</v>
      </c>
      <c r="B5372" t="inlineStr">
        <is>
          <t>Frontline beach villa with sea views for sale in Cala d'Or, Southeast Mallorca</t>
        </is>
      </c>
      <c r="C5372" t="inlineStr">
        <is>
          <t>https://www.balearic-properties.com/en/property/id/941424-frontline-beach-villa-seaviews-cala-dor-mallorca-html</t>
        </is>
      </c>
      <c r="E5372" t="n">
        <v>5</v>
      </c>
      <c r="G5372" t="n">
        <v>1111</v>
      </c>
      <c r="H5372" t="n">
        <v>437</v>
      </c>
      <c r="J5372" t="inlineStr">
        <is>
          <t>Cala d´Or</t>
        </is>
      </c>
      <c r="K5372" t="n">
        <v>58.4</v>
      </c>
      <c r="L5372" t="n">
        <v>56</v>
      </c>
      <c r="M5372" t="n">
        <v>21.9</v>
      </c>
      <c r="N5372" t="n">
        <v>32</v>
      </c>
      <c r="O5372" t="n">
        <v>96.59999999999999</v>
      </c>
      <c r="P5372" t="n">
        <v>84</v>
      </c>
      <c r="Q5372" t="n">
        <v>23.3</v>
      </c>
      <c r="R5372" t="n">
        <v>34</v>
      </c>
      <c r="S5372" t="n">
        <v>3750000</v>
      </c>
      <c r="T5372" t="n">
        <v>8581</v>
      </c>
      <c r="U5372" t="n">
        <v>3375</v>
      </c>
      <c r="AH5372" t="inlineStr">
        <is>
          <t>Quelle: Balearic Properties</t>
        </is>
      </c>
    </row>
    <row r="5373">
      <c r="A5373" t="n">
        <v>5186</v>
      </c>
      <c r="B5373" t="inlineStr">
        <is>
          <t>Rustic villa with holiday license for sale in Pollensa, North Mallorca</t>
        </is>
      </c>
      <c r="C5373" t="inlineStr">
        <is>
          <t>https://www.balearic-properties.com/en/property/id/703211-finca-golf-pollensa-mallorca-html</t>
        </is>
      </c>
      <c r="E5373" t="n">
        <v>3</v>
      </c>
      <c r="G5373" t="n">
        <v>1985</v>
      </c>
      <c r="H5373" t="n">
        <v>142</v>
      </c>
      <c r="J5373" t="inlineStr">
        <is>
          <t>Pollença</t>
        </is>
      </c>
      <c r="K5373" t="n">
        <v>60.6</v>
      </c>
      <c r="L5373" t="n">
        <v>47</v>
      </c>
      <c r="M5373" t="n">
        <v>78.7</v>
      </c>
      <c r="N5373" t="n">
        <v>74</v>
      </c>
      <c r="O5373" t="n">
        <v>83.2</v>
      </c>
      <c r="P5373" t="n">
        <v>63</v>
      </c>
      <c r="Q5373" t="n">
        <v>76.40000000000001</v>
      </c>
      <c r="R5373" t="n">
        <v>70</v>
      </c>
      <c r="S5373" t="n">
        <v>1350000</v>
      </c>
      <c r="T5373" t="n">
        <v>9507</v>
      </c>
      <c r="U5373" t="n">
        <v>680</v>
      </c>
      <c r="AH5373" t="inlineStr">
        <is>
          <t>Quelle: Balearic Properties</t>
        </is>
      </c>
    </row>
    <row r="5374">
      <c r="A5374" t="n">
        <v>5187</v>
      </c>
      <c r="B5374" t="inlineStr">
        <is>
          <t>Newly built sea view villa for sale in exclusive Old Bendinat, southwest Mallorca</t>
        </is>
      </c>
      <c r="C5374" t="inlineStr">
        <is>
          <t>https://www.balearic-properties.com/en/property/id/881429-luxurious-seafront-villa-bendinat-mallorca-html</t>
        </is>
      </c>
      <c r="E5374" t="n">
        <v>5</v>
      </c>
      <c r="G5374" t="n">
        <v>2363</v>
      </c>
      <c r="H5374" t="n">
        <v>832</v>
      </c>
      <c r="J5374" t="inlineStr">
        <is>
          <t>Bendinat</t>
        </is>
      </c>
      <c r="K5374" t="n">
        <v>23.1</v>
      </c>
      <c r="L5374" t="n">
        <v>22</v>
      </c>
      <c r="M5374" t="n">
        <v>65.8</v>
      </c>
      <c r="N5374" t="n">
        <v>55</v>
      </c>
      <c r="O5374" t="n">
        <v>23.2</v>
      </c>
      <c r="P5374" t="n">
        <v>23</v>
      </c>
      <c r="Q5374" t="n">
        <v>63.5</v>
      </c>
      <c r="R5374" t="n">
        <v>51</v>
      </c>
      <c r="AH5374" t="inlineStr">
        <is>
          <t>Quelle: Balearic Properties</t>
        </is>
      </c>
    </row>
    <row r="5375">
      <c r="A5375" t="n">
        <v>5188</v>
      </c>
      <c r="B5375" t="inlineStr">
        <is>
          <t>Luxury sea view penthouse for sale in Palma, Southwest Mallorca</t>
        </is>
      </c>
      <c r="C5375" t="inlineStr">
        <is>
          <t>https://www.balearic-properties.com/en/property/id/761810-luxury-seaview-penthouse-palma-mallorca-html</t>
        </is>
      </c>
      <c r="E5375" t="n">
        <v>3</v>
      </c>
      <c r="G5375" t="n">
        <v>0</v>
      </c>
      <c r="H5375" t="n">
        <v>224</v>
      </c>
      <c r="J5375" t="inlineStr">
        <is>
          <t>Palma de Mallorca</t>
        </is>
      </c>
      <c r="K5375" t="n">
        <v>9.699999999999999</v>
      </c>
      <c r="L5375" t="n">
        <v>14</v>
      </c>
      <c r="M5375" t="n">
        <v>52.5</v>
      </c>
      <c r="N5375" t="n">
        <v>47</v>
      </c>
      <c r="O5375" t="n">
        <v>32.1</v>
      </c>
      <c r="P5375" t="n">
        <v>36</v>
      </c>
      <c r="Q5375" t="n">
        <v>50.2</v>
      </c>
      <c r="R5375" t="n">
        <v>44</v>
      </c>
      <c r="S5375" t="n">
        <v>5100000</v>
      </c>
      <c r="T5375" t="n">
        <v>22768</v>
      </c>
      <c r="AH5375" t="inlineStr">
        <is>
          <t>Quelle: Balearic Properties</t>
        </is>
      </c>
    </row>
    <row r="5376">
      <c r="A5376" t="n">
        <v>5189</v>
      </c>
      <c r="B5376" t="inlineStr">
        <is>
          <t>Chic town house with private pool and garden for sale in Santa Catalina, Palma de Mallorca</t>
        </is>
      </c>
      <c r="C5376" t="inlineStr">
        <is>
          <t>https://www.balearic-properties.com/en/property/id/847983-townhouse-pool-garden-santa-catalina-palma-mallorca-html</t>
        </is>
      </c>
      <c r="E5376" t="n">
        <v>3</v>
      </c>
      <c r="G5376" t="n">
        <v>80</v>
      </c>
      <c r="H5376" t="n">
        <v>140</v>
      </c>
      <c r="J5376" t="inlineStr">
        <is>
          <t>Santa Catalina</t>
        </is>
      </c>
      <c r="K5376" t="n">
        <v>11.2</v>
      </c>
      <c r="L5376" t="n">
        <v>19</v>
      </c>
      <c r="M5376" t="n">
        <v>54</v>
      </c>
      <c r="N5376" t="n">
        <v>51</v>
      </c>
      <c r="O5376" t="n">
        <v>29.1</v>
      </c>
      <c r="P5376" t="n">
        <v>31</v>
      </c>
      <c r="Q5376" t="n">
        <v>51.7</v>
      </c>
      <c r="R5376" t="n">
        <v>48</v>
      </c>
      <c r="S5376" t="n">
        <v>2400000</v>
      </c>
      <c r="T5376" t="n">
        <v>17143</v>
      </c>
      <c r="U5376" t="n">
        <v>30000</v>
      </c>
      <c r="AH5376" t="inlineStr">
        <is>
          <t>Quelle: Balearic Properties</t>
        </is>
      </c>
    </row>
    <row r="5377">
      <c r="A5377" t="n">
        <v>5190</v>
      </c>
      <c r="B5377" t="inlineStr">
        <is>
          <t>Magnificent, renovated villa with incredible sea views for sale in Pollensa, North Mallorca</t>
        </is>
      </c>
      <c r="C5377" t="inlineStr">
        <is>
          <t>https://www.balearic-properties.com/en/property/id/353730-villa-seaviews-pollensa-mallorca-html</t>
        </is>
      </c>
      <c r="E5377" t="n">
        <v>5</v>
      </c>
      <c r="G5377" t="n">
        <v>2014</v>
      </c>
      <c r="H5377" t="n">
        <v>800</v>
      </c>
      <c r="J5377" t="inlineStr">
        <is>
          <t>La Font</t>
        </is>
      </c>
      <c r="K5377" t="n">
        <v>62.7</v>
      </c>
      <c r="L5377" t="n">
        <v>49</v>
      </c>
      <c r="M5377" t="n">
        <v>80.8</v>
      </c>
      <c r="N5377" t="n">
        <v>76</v>
      </c>
      <c r="O5377" t="n">
        <v>85.3</v>
      </c>
      <c r="P5377" t="n">
        <v>65</v>
      </c>
      <c r="Q5377" t="n">
        <v>78.5</v>
      </c>
      <c r="R5377" t="n">
        <v>72</v>
      </c>
      <c r="S5377" t="n">
        <v>4950000</v>
      </c>
      <c r="T5377" t="n">
        <v>6188</v>
      </c>
      <c r="U5377" t="n">
        <v>2458</v>
      </c>
      <c r="AH5377" t="inlineStr">
        <is>
          <t>Quelle: Balearic Properties</t>
        </is>
      </c>
    </row>
    <row r="5378">
      <c r="A5378" t="n">
        <v>5191</v>
      </c>
      <c r="B5378" t="inlineStr">
        <is>
          <t>Villa with open views for sale in Costa de la Calma, southwest Mallorca</t>
        </is>
      </c>
      <c r="C5378" t="inlineStr">
        <is>
          <t>https://www.balearic-properties.com/en/property/id/941656-villa-open-views-costa-calma-mallorca-html</t>
        </is>
      </c>
      <c r="E5378" t="n">
        <v>4</v>
      </c>
      <c r="G5378" t="n">
        <v>665</v>
      </c>
      <c r="H5378" t="n">
        <v>222</v>
      </c>
      <c r="J5378" t="inlineStr">
        <is>
          <t>Costa de la Calma</t>
        </is>
      </c>
      <c r="K5378" t="n">
        <v>32.6</v>
      </c>
      <c r="L5378" t="n">
        <v>29</v>
      </c>
      <c r="M5378" t="n">
        <v>75.40000000000001</v>
      </c>
      <c r="N5378" t="n">
        <v>62</v>
      </c>
      <c r="O5378" t="n">
        <v>13.7</v>
      </c>
      <c r="P5378" t="n">
        <v>18</v>
      </c>
      <c r="Q5378" t="n">
        <v>73.09999999999999</v>
      </c>
      <c r="R5378" t="n">
        <v>58</v>
      </c>
      <c r="S5378" t="n">
        <v>1350000</v>
      </c>
      <c r="T5378" t="n">
        <v>6081</v>
      </c>
      <c r="U5378" t="n">
        <v>2030</v>
      </c>
      <c r="AH5378" t="inlineStr">
        <is>
          <t>Quelle: Balearic Properties</t>
        </is>
      </c>
    </row>
    <row r="5379">
      <c r="A5379" t="n">
        <v>5192</v>
      </c>
      <c r="B5379" t="inlineStr">
        <is>
          <t>Villa project with sea access for sale in Costa de la Calma, Southwest Mallorca</t>
        </is>
      </c>
      <c r="C5379" t="inlineStr">
        <is>
          <t>https://www.balearic-properties.com/en/property/id/823328-villa-project-sea-access-costa-de-la-calma-mallorca-html</t>
        </is>
      </c>
      <c r="E5379" t="n">
        <v>3</v>
      </c>
      <c r="G5379" t="n">
        <v>850</v>
      </c>
      <c r="H5379" t="n">
        <v>310</v>
      </c>
      <c r="J5379" t="inlineStr">
        <is>
          <t>Costa de la Calma</t>
        </is>
      </c>
      <c r="K5379" t="n">
        <v>32.6</v>
      </c>
      <c r="L5379" t="n">
        <v>29</v>
      </c>
      <c r="M5379" t="n">
        <v>75.40000000000001</v>
      </c>
      <c r="N5379" t="n">
        <v>62</v>
      </c>
      <c r="O5379" t="n">
        <v>13.7</v>
      </c>
      <c r="P5379" t="n">
        <v>18</v>
      </c>
      <c r="Q5379" t="n">
        <v>73.09999999999999</v>
      </c>
      <c r="R5379" t="n">
        <v>58</v>
      </c>
      <c r="S5379" t="n">
        <v>3300000</v>
      </c>
      <c r="T5379" t="n">
        <v>10645</v>
      </c>
      <c r="U5379" t="n">
        <v>3882</v>
      </c>
      <c r="AH5379" t="inlineStr">
        <is>
          <t>Quelle: Balearic Properties</t>
        </is>
      </c>
    </row>
    <row r="5380">
      <c r="A5380" t="n">
        <v>5193</v>
      </c>
      <c r="B5380" t="inlineStr">
        <is>
          <t>Authentic town house with outdoor living for sale in Pollensa, North Mallorca</t>
        </is>
      </c>
      <c r="C5380" t="inlineStr">
        <is>
          <t>https://www.balearic-properties.com/en/property/id/941621-townhouse-patio-views-pollensa-mallorca-html</t>
        </is>
      </c>
      <c r="E5380" t="n">
        <v>3</v>
      </c>
      <c r="G5380" t="n">
        <v>91</v>
      </c>
      <c r="H5380" t="n">
        <v>144</v>
      </c>
      <c r="J5380" t="inlineStr">
        <is>
          <t>Pollença Pueblo</t>
        </is>
      </c>
      <c r="S5380" t="n">
        <v>689000</v>
      </c>
      <c r="T5380" t="n">
        <v>4785</v>
      </c>
      <c r="U5380" t="n">
        <v>7571</v>
      </c>
      <c r="AH5380" t="inlineStr">
        <is>
          <t>Quelle: Balearic Properties</t>
        </is>
      </c>
    </row>
    <row r="5381">
      <c r="A5381" t="n">
        <v>5194</v>
      </c>
      <c r="B5381" t="inlineStr">
        <is>
          <t>Newly built country estate for sale in Sencelles, Central Mallorca</t>
        </is>
      </c>
      <c r="C5381" t="inlineStr">
        <is>
          <t>https://www.balearic-properties.com/en/property/id/930932-finca-guest-house-sencelles-mallorca-html</t>
        </is>
      </c>
      <c r="E5381" t="n">
        <v>5</v>
      </c>
      <c r="G5381" t="n">
        <v>21856</v>
      </c>
      <c r="H5381" t="n">
        <v>889</v>
      </c>
      <c r="J5381" t="inlineStr">
        <is>
          <t>Sencelles</t>
        </is>
      </c>
      <c r="K5381" t="n">
        <v>34.2</v>
      </c>
      <c r="L5381" t="n">
        <v>32</v>
      </c>
      <c r="M5381" t="n">
        <v>46.4</v>
      </c>
      <c r="N5381" t="n">
        <v>50</v>
      </c>
      <c r="O5381" t="n">
        <v>56.8</v>
      </c>
      <c r="P5381" t="n">
        <v>48</v>
      </c>
      <c r="Q5381" t="n">
        <v>44.1</v>
      </c>
      <c r="R5381" t="n">
        <v>46</v>
      </c>
      <c r="S5381" t="n">
        <v>7600000</v>
      </c>
      <c r="T5381" t="n">
        <v>8549</v>
      </c>
      <c r="U5381" t="n">
        <v>348</v>
      </c>
      <c r="AH5381" t="inlineStr">
        <is>
          <t>Quelle: Balearic Properties</t>
        </is>
      </c>
    </row>
    <row r="5382">
      <c r="A5382" t="n">
        <v>5195</v>
      </c>
      <c r="B5382" t="inlineStr">
        <is>
          <t>Modern villa for sale in Sa Rapita, South Mallorca</t>
        </is>
      </c>
      <c r="C5382" t="inlineStr">
        <is>
          <t>https://www.balearic-properties.com/en/property/id/940850-villa-sea-views-sa-rapita-mallorca-html</t>
        </is>
      </c>
      <c r="E5382" t="n">
        <v>6</v>
      </c>
      <c r="G5382" t="n">
        <v>980</v>
      </c>
      <c r="H5382" t="n">
        <v>470</v>
      </c>
      <c r="J5382" t="inlineStr">
        <is>
          <t>Campos</t>
        </is>
      </c>
      <c r="K5382" t="n">
        <v>32.9</v>
      </c>
      <c r="L5382" t="n">
        <v>28</v>
      </c>
      <c r="M5382" t="n">
        <v>14.6</v>
      </c>
      <c r="N5382" t="n">
        <v>18</v>
      </c>
      <c r="O5382" t="n">
        <v>71.09999999999999</v>
      </c>
      <c r="P5382" t="n">
        <v>56</v>
      </c>
      <c r="Q5382" t="n">
        <v>12.3</v>
      </c>
      <c r="R5382" t="n">
        <v>14</v>
      </c>
      <c r="S5382" t="n">
        <v>2490000</v>
      </c>
      <c r="T5382" t="n">
        <v>5298</v>
      </c>
      <c r="U5382" t="n">
        <v>2541</v>
      </c>
      <c r="AH5382" t="inlineStr">
        <is>
          <t>Quelle: Balearic Properties</t>
        </is>
      </c>
    </row>
    <row r="5383">
      <c r="A5383" t="n">
        <v>5196</v>
      </c>
      <c r="B5383" t="inlineStr">
        <is>
          <t>Impeccable seafront villa for sale in Port Verd, Mallorca</t>
        </is>
      </c>
      <c r="C5383" t="inlineStr">
        <is>
          <t>https://www.balearic-properties.com/en/property/id/872592-outstanding-seafront-villa-port-verd-mallorca-html</t>
        </is>
      </c>
      <c r="E5383" t="n">
        <v>4</v>
      </c>
      <c r="G5383" t="n">
        <v>1235</v>
      </c>
      <c r="H5383" t="n">
        <v>744</v>
      </c>
      <c r="J5383" t="inlineStr">
        <is>
          <t>Port Verd</t>
        </is>
      </c>
      <c r="K5383" t="n">
        <v>69.2</v>
      </c>
      <c r="L5383" t="n">
        <v>59</v>
      </c>
      <c r="M5383" t="n">
        <v>64.5</v>
      </c>
      <c r="N5383" t="n">
        <v>63</v>
      </c>
      <c r="O5383" t="n">
        <v>103.4</v>
      </c>
      <c r="P5383" t="n">
        <v>84</v>
      </c>
      <c r="Q5383" t="n">
        <v>62.2</v>
      </c>
      <c r="R5383" t="n">
        <v>59</v>
      </c>
      <c r="S5383" t="n">
        <v>6250000</v>
      </c>
      <c r="T5383" t="n">
        <v>8401</v>
      </c>
      <c r="U5383" t="n">
        <v>5061</v>
      </c>
      <c r="AH5383" t="inlineStr">
        <is>
          <t>Quelle: Balearic Properties</t>
        </is>
      </c>
    </row>
    <row r="5384">
      <c r="A5384" t="n">
        <v>5197</v>
      </c>
      <c r="B5384" t="inlineStr">
        <is>
          <t>Brand new duplex penthouse with sea views for sale in Portixol, Palma de Mallorca</t>
        </is>
      </c>
      <c r="C5384" t="inlineStr">
        <is>
          <t>https://www.balearic-properties.com/en/property/id/940934-new-penthouse-duplex-sea-views-portixol-palma-mallorca-html</t>
        </is>
      </c>
      <c r="E5384" t="n">
        <v>2</v>
      </c>
      <c r="G5384" t="n">
        <v>0</v>
      </c>
      <c r="H5384" t="n">
        <v>188</v>
      </c>
      <c r="J5384" t="inlineStr">
        <is>
          <t>Portixol</t>
        </is>
      </c>
      <c r="K5384" t="n">
        <v>8.5</v>
      </c>
      <c r="L5384" t="n">
        <v>13</v>
      </c>
      <c r="M5384" t="n">
        <v>51.2</v>
      </c>
      <c r="N5384" t="n">
        <v>46</v>
      </c>
      <c r="O5384" t="n">
        <v>37.4</v>
      </c>
      <c r="P5384" t="n">
        <v>34</v>
      </c>
      <c r="Q5384" t="n">
        <v>48.9</v>
      </c>
      <c r="R5384" t="n">
        <v>42</v>
      </c>
      <c r="S5384" t="n">
        <v>1190000</v>
      </c>
      <c r="T5384" t="n">
        <v>6330</v>
      </c>
      <c r="AH5384" t="inlineStr">
        <is>
          <t>Quelle: Balearic Properties</t>
        </is>
      </c>
    </row>
    <row r="5385">
      <c r="A5385" t="n">
        <v>5198</v>
      </c>
      <c r="B5385" t="inlineStr">
        <is>
          <t>New sea view apartments for sale in Sant Elm, Andratx, Southwest Mallorca</t>
        </is>
      </c>
      <c r="C5385" t="inlineStr">
        <is>
          <t>https://www.balearic-properties.com/en/property/id/928285-new-penthouse-seaviews-sant-elm-mallorca-html</t>
        </is>
      </c>
      <c r="E5385" t="n">
        <v>3</v>
      </c>
      <c r="G5385" t="n">
        <v>0</v>
      </c>
      <c r="H5385" t="n">
        <v>95</v>
      </c>
      <c r="J5385" t="inlineStr">
        <is>
          <t>Sant Elm</t>
        </is>
      </c>
      <c r="S5385" t="n">
        <v>880000</v>
      </c>
      <c r="T5385" t="n">
        <v>9263</v>
      </c>
      <c r="AH5385" t="inlineStr">
        <is>
          <t>Quelle: Balearic Properties</t>
        </is>
      </c>
    </row>
    <row r="5386">
      <c r="A5386" t="n">
        <v>5199</v>
      </c>
      <c r="B5386" t="inlineStr">
        <is>
          <t>Apartment - Dúplex for sale in Canyamel, Mallorca</t>
        </is>
      </c>
      <c r="C5386" t="inlineStr">
        <is>
          <t>https://www.balearic-properties.com/en/property/id/938592-apartment-duplex-for-sale-in-canyamel-mallorca-html</t>
        </is>
      </c>
      <c r="E5386" t="n">
        <v>3</v>
      </c>
      <c r="G5386" t="n">
        <v>7035</v>
      </c>
      <c r="H5386" t="n">
        <v>132</v>
      </c>
      <c r="J5386" t="inlineStr">
        <is>
          <t>Canyamel</t>
        </is>
      </c>
      <c r="S5386" t="n">
        <v>850000</v>
      </c>
      <c r="T5386" t="n">
        <v>6439</v>
      </c>
      <c r="U5386" t="n">
        <v>121</v>
      </c>
      <c r="AH5386" t="inlineStr">
        <is>
          <t>Quelle: Balearic Properties</t>
        </is>
      </c>
    </row>
    <row r="5387">
      <c r="A5387" t="n">
        <v>5200</v>
      </c>
      <c r="B5387" t="inlineStr">
        <is>
          <t>Apartment for sale in Canyamel, Mallorca</t>
        </is>
      </c>
      <c r="C5387" t="inlineStr">
        <is>
          <t>https://www.balearic-properties.com/en/property/id/938593-apartment-for-sale-in-canyamel-mallorca-html</t>
        </is>
      </c>
      <c r="E5387" t="n">
        <v>3</v>
      </c>
      <c r="G5387" t="n">
        <v>7035</v>
      </c>
      <c r="H5387" t="n">
        <v>132</v>
      </c>
      <c r="J5387" t="inlineStr">
        <is>
          <t>Canyamel</t>
        </is>
      </c>
      <c r="S5387" t="n">
        <v>850000</v>
      </c>
      <c r="T5387" t="n">
        <v>6439</v>
      </c>
      <c r="U5387" t="n">
        <v>121</v>
      </c>
      <c r="AH5387" t="inlineStr">
        <is>
          <t>Quelle: Balearic Properties</t>
        </is>
      </c>
    </row>
    <row r="5388">
      <c r="A5388" t="n">
        <v>5201</v>
      </c>
      <c r="B5388" t="inlineStr">
        <is>
          <t>Sea view apartment for sale in Canyamel, Mallorca</t>
        </is>
      </c>
      <c r="C5388" t="inlineStr">
        <is>
          <t>https://www.balearic-properties.com/en/property/id/938594-sea-view-apartment-for-sale-in-canyamel-mallorca-html</t>
        </is>
      </c>
      <c r="E5388" t="n">
        <v>2</v>
      </c>
      <c r="G5388" t="n">
        <v>7035</v>
      </c>
      <c r="H5388" t="n">
        <v>110</v>
      </c>
      <c r="J5388" t="inlineStr">
        <is>
          <t>Canyamel</t>
        </is>
      </c>
      <c r="S5388" t="n">
        <v>850000</v>
      </c>
      <c r="T5388" t="n">
        <v>7727</v>
      </c>
      <c r="U5388" t="n">
        <v>121</v>
      </c>
      <c r="AH5388" t="inlineStr">
        <is>
          <t>Quelle: Balearic Properties</t>
        </is>
      </c>
    </row>
    <row r="5389">
      <c r="A5389" t="n">
        <v>5202</v>
      </c>
      <c r="B5389" t="inlineStr">
        <is>
          <t>Panoramic view villa for sale in Canyamel, Mallorca east</t>
        </is>
      </c>
      <c r="C5389" t="inlineStr">
        <is>
          <t>https://www.balearic-properties.com/en/property/id/938591-panoramic-seaview-villa-canyamel-mallorca-html</t>
        </is>
      </c>
      <c r="E5389" t="n">
        <v>3</v>
      </c>
      <c r="G5389" t="n">
        <v>658</v>
      </c>
      <c r="H5389" t="n">
        <v>274</v>
      </c>
      <c r="J5389" t="inlineStr">
        <is>
          <t>Canyamel</t>
        </is>
      </c>
      <c r="K5389" t="n">
        <v>74.7</v>
      </c>
      <c r="L5389" t="n">
        <v>65</v>
      </c>
      <c r="M5389" t="n">
        <v>70.09999999999999</v>
      </c>
      <c r="N5389" t="n">
        <v>68</v>
      </c>
      <c r="O5389" t="n">
        <v>108.9</v>
      </c>
      <c r="P5389" t="n">
        <v>90</v>
      </c>
      <c r="Q5389" t="n">
        <v>67.8</v>
      </c>
      <c r="R5389" t="n">
        <v>65</v>
      </c>
      <c r="S5389" t="n">
        <v>5000000</v>
      </c>
      <c r="T5389" t="n">
        <v>18248</v>
      </c>
      <c r="U5389" t="n">
        <v>7599</v>
      </c>
      <c r="AH5389" t="inlineStr">
        <is>
          <t>Quelle: Balearic Properties</t>
        </is>
      </c>
    </row>
    <row r="5390">
      <c r="A5390" t="n">
        <v>5203</v>
      </c>
      <c r="B5390" t="inlineStr">
        <is>
          <t>Luxury villa for sale in Pollensa with rental license – High Income Investment Opportunity</t>
        </is>
      </c>
      <c r="C5390" t="inlineStr">
        <is>
          <t>https://www.balearic-properties.com/en/property/id/941085-luxury-villa-rental-license-pollensa-mallorca-html</t>
        </is>
      </c>
      <c r="E5390" t="n">
        <v>5</v>
      </c>
      <c r="G5390" t="n">
        <v>1810</v>
      </c>
      <c r="H5390" t="n">
        <v>390</v>
      </c>
      <c r="J5390" t="inlineStr">
        <is>
          <t>La Font</t>
        </is>
      </c>
      <c r="K5390" t="n">
        <v>62.7</v>
      </c>
      <c r="L5390" t="n">
        <v>49</v>
      </c>
      <c r="M5390" t="n">
        <v>80.8</v>
      </c>
      <c r="N5390" t="n">
        <v>76</v>
      </c>
      <c r="O5390" t="n">
        <v>85.3</v>
      </c>
      <c r="P5390" t="n">
        <v>65</v>
      </c>
      <c r="Q5390" t="n">
        <v>78.5</v>
      </c>
      <c r="R5390" t="n">
        <v>72</v>
      </c>
      <c r="S5390" t="n">
        <v>2925000</v>
      </c>
      <c r="T5390" t="n">
        <v>7500</v>
      </c>
      <c r="U5390" t="n">
        <v>1616</v>
      </c>
      <c r="AH5390" t="inlineStr">
        <is>
          <t>Quelle: Balearic Properties</t>
        </is>
      </c>
    </row>
    <row r="5391">
      <c r="A5391" t="n">
        <v>5204</v>
      </c>
      <c r="B5391" t="inlineStr">
        <is>
          <t>Timeless country estate for sale just 5 minutes from Pollensa, North Mallorca</t>
        </is>
      </c>
      <c r="C5391" t="inlineStr">
        <is>
          <t>https://www.balearic-properties.com/en/property/id/935991-country-estate-rental-license-pollensa-north-mallorca-html</t>
        </is>
      </c>
      <c r="E5391" t="n">
        <v>5</v>
      </c>
      <c r="G5391" t="n">
        <v>120455</v>
      </c>
      <c r="H5391" t="n">
        <v>815</v>
      </c>
      <c r="J5391" t="inlineStr">
        <is>
          <t>Pollença</t>
        </is>
      </c>
      <c r="K5391" t="n">
        <v>60.6</v>
      </c>
      <c r="L5391" t="n">
        <v>47</v>
      </c>
      <c r="M5391" t="n">
        <v>78.7</v>
      </c>
      <c r="N5391" t="n">
        <v>74</v>
      </c>
      <c r="O5391" t="n">
        <v>83.2</v>
      </c>
      <c r="P5391" t="n">
        <v>63</v>
      </c>
      <c r="Q5391" t="n">
        <v>76.40000000000001</v>
      </c>
      <c r="R5391" t="n">
        <v>70</v>
      </c>
      <c r="S5391" t="n">
        <v>6995000</v>
      </c>
      <c r="T5391" t="n">
        <v>8583</v>
      </c>
      <c r="U5391" t="n">
        <v>58</v>
      </c>
      <c r="AH5391" t="inlineStr">
        <is>
          <t>Quelle: Balearic Properties</t>
        </is>
      </c>
    </row>
    <row r="5392">
      <c r="A5392" t="n">
        <v>5205</v>
      </c>
      <c r="B5392" t="inlineStr">
        <is>
          <t>Chic garden apartment with sea views for sale in Puerto Andratx, Mallorca</t>
        </is>
      </c>
      <c r="C5392" t="inlineStr">
        <is>
          <t>https://www.balearic-properties.com/en/property/id/851261-garden-apartment-sea-views-puerto-andratx-mallorca-html</t>
        </is>
      </c>
      <c r="E5392" t="n">
        <v>3</v>
      </c>
      <c r="G5392" t="n">
        <v>0</v>
      </c>
      <c r="H5392" t="n">
        <v>204</v>
      </c>
      <c r="J5392" t="inlineStr">
        <is>
          <t>Puerto Andratx</t>
        </is>
      </c>
      <c r="K5392" t="n">
        <v>43.5</v>
      </c>
      <c r="L5392" t="n">
        <v>38</v>
      </c>
      <c r="M5392" t="n">
        <v>86.2</v>
      </c>
      <c r="N5392" t="n">
        <v>71</v>
      </c>
      <c r="O5392" t="n">
        <v>6.3</v>
      </c>
      <c r="P5392" t="n">
        <v>11</v>
      </c>
      <c r="Q5392" t="n">
        <v>83.90000000000001</v>
      </c>
      <c r="R5392" t="n">
        <v>68</v>
      </c>
      <c r="S5392" t="n">
        <v>1875000</v>
      </c>
      <c r="T5392" t="n">
        <v>9191</v>
      </c>
      <c r="AH5392" t="inlineStr">
        <is>
          <t>Quelle: Balearic Properties</t>
        </is>
      </c>
    </row>
    <row r="5393">
      <c r="A5393" t="n">
        <v>5206</v>
      </c>
      <c r="B5393" t="inlineStr">
        <is>
          <t>Beautiful duplex apartment for sale in Santa Ponsa, Southwest Mallorca</t>
        </is>
      </c>
      <c r="C5393" t="inlineStr">
        <is>
          <t>https://www.balearic-properties.com/en/property/id/940230-beautiful-duplex-apartment-for-sale-in-santa-ponsa-southwest-mallorca-html</t>
        </is>
      </c>
      <c r="E5393" t="n">
        <v>2</v>
      </c>
      <c r="G5393" t="n">
        <v>0</v>
      </c>
      <c r="H5393" t="n">
        <v>153</v>
      </c>
      <c r="J5393" t="inlineStr">
        <is>
          <t>Santa Ponsa</t>
        </is>
      </c>
      <c r="S5393" t="n">
        <v>975000</v>
      </c>
      <c r="T5393" t="n">
        <v>6373</v>
      </c>
      <c r="AH5393" t="inlineStr">
        <is>
          <t>Quelle: Balearic Properties</t>
        </is>
      </c>
    </row>
    <row r="5394">
      <c r="A5394" t="n">
        <v>5207</v>
      </c>
      <c r="B5394" t="inlineStr">
        <is>
          <t>Beautiful country home with generous plot for sale in Sencelles, Central Mallorca</t>
        </is>
      </c>
      <c r="C5394" t="inlineStr">
        <is>
          <t>https://www.balearic-properties.com/en/property/id/805268-country-home-pool-sencelles-mallorca-html</t>
        </is>
      </c>
      <c r="E5394" t="n">
        <v>4</v>
      </c>
      <c r="G5394" t="n">
        <v>7103</v>
      </c>
      <c r="H5394" t="n">
        <v>405</v>
      </c>
      <c r="J5394" t="inlineStr">
        <is>
          <t>Sencelles</t>
        </is>
      </c>
      <c r="K5394" t="n">
        <v>34.2</v>
      </c>
      <c r="L5394" t="n">
        <v>32</v>
      </c>
      <c r="M5394" t="n">
        <v>46.4</v>
      </c>
      <c r="N5394" t="n">
        <v>50</v>
      </c>
      <c r="O5394" t="n">
        <v>56.8</v>
      </c>
      <c r="P5394" t="n">
        <v>48</v>
      </c>
      <c r="Q5394" t="n">
        <v>44.1</v>
      </c>
      <c r="R5394" t="n">
        <v>46</v>
      </c>
      <c r="S5394" t="n">
        <v>1750000</v>
      </c>
      <c r="T5394" t="n">
        <v>4321</v>
      </c>
      <c r="U5394" t="n">
        <v>246</v>
      </c>
      <c r="AH5394" t="inlineStr">
        <is>
          <t>Quelle: Balearic Properties</t>
        </is>
      </c>
    </row>
    <row r="5395">
      <c r="A5395" t="n">
        <v>5208</v>
      </c>
      <c r="B5395" t="inlineStr">
        <is>
          <t>Spacious town house under construction for sale Ses Salines, south Mallorca</t>
        </is>
      </c>
      <c r="C5395" t="inlineStr">
        <is>
          <t>https://www.balearic-properties.com/en/property/id/939949-townhouse-guest-house-ses-salines-mallorca-html</t>
        </is>
      </c>
      <c r="E5395" t="n">
        <v>5</v>
      </c>
      <c r="G5395" t="n">
        <v>510</v>
      </c>
      <c r="H5395" t="n">
        <v>475</v>
      </c>
      <c r="J5395" t="inlineStr">
        <is>
          <t>Ses Salines</t>
        </is>
      </c>
      <c r="K5395" t="n">
        <v>44.5</v>
      </c>
      <c r="L5395" t="n">
        <v>39</v>
      </c>
      <c r="M5395" t="n">
        <v>2.4</v>
      </c>
      <c r="N5395" t="n">
        <v>5</v>
      </c>
      <c r="O5395" t="n">
        <v>82.7</v>
      </c>
      <c r="P5395" t="n">
        <v>67</v>
      </c>
      <c r="Q5395" t="n">
        <v>2</v>
      </c>
      <c r="R5395" t="n">
        <v>5</v>
      </c>
      <c r="S5395" t="n">
        <v>3600000</v>
      </c>
      <c r="T5395" t="n">
        <v>7579</v>
      </c>
      <c r="U5395" t="n">
        <v>7059</v>
      </c>
      <c r="AH5395" t="inlineStr">
        <is>
          <t>Quelle: Balearic Properties</t>
        </is>
      </c>
    </row>
    <row r="5396">
      <c r="A5396" t="n">
        <v>5209</v>
      </c>
      <c r="B5396" t="inlineStr">
        <is>
          <t>Charming rural home for sale in Valldemossa, northwest Mallorca</t>
        </is>
      </c>
      <c r="C5396" t="inlineStr">
        <is>
          <t>https://www.balearic-properties.com/en/property/id/940343-detached-house-valldemossa-mallorca-html</t>
        </is>
      </c>
      <c r="E5396" t="n">
        <v>4</v>
      </c>
      <c r="G5396" t="n">
        <v>840</v>
      </c>
      <c r="H5396" t="n">
        <v>400</v>
      </c>
      <c r="J5396" t="inlineStr">
        <is>
          <t>Valldemossa</t>
        </is>
      </c>
      <c r="K5396" t="n">
        <v>27.2</v>
      </c>
      <c r="L5396" t="n">
        <v>32</v>
      </c>
      <c r="M5396" t="n">
        <v>69.90000000000001</v>
      </c>
      <c r="N5396" t="n">
        <v>64</v>
      </c>
      <c r="O5396" t="n">
        <v>45.5</v>
      </c>
      <c r="P5396" t="n">
        <v>44</v>
      </c>
      <c r="Q5396" t="n">
        <v>67.59999999999999</v>
      </c>
      <c r="R5396" t="n">
        <v>61</v>
      </c>
      <c r="S5396" t="n">
        <v>2175000</v>
      </c>
      <c r="T5396" t="n">
        <v>5438</v>
      </c>
      <c r="U5396" t="n">
        <v>2589</v>
      </c>
      <c r="AH5396" t="inlineStr">
        <is>
          <t>Quelle: Balearic Properties</t>
        </is>
      </c>
    </row>
    <row r="5397">
      <c r="A5397" t="n">
        <v>5210</v>
      </c>
      <c r="B5397" t="inlineStr">
        <is>
          <t>Renovated village house with pool for sale in Campanet, North Mallorca</t>
        </is>
      </c>
      <c r="C5397" t="inlineStr">
        <is>
          <t>https://www.balearic-properties.com/en/property/id/856601-renovated-house-campanet-mallorca-html</t>
        </is>
      </c>
      <c r="E5397" t="n">
        <v>3</v>
      </c>
      <c r="G5397" t="n">
        <v>202</v>
      </c>
      <c r="H5397" t="n">
        <v>174</v>
      </c>
      <c r="J5397" t="inlineStr">
        <is>
          <t>Campanet</t>
        </is>
      </c>
      <c r="S5397" t="n">
        <v>795000</v>
      </c>
      <c r="T5397" t="n">
        <v>4569</v>
      </c>
      <c r="U5397" t="n">
        <v>3936</v>
      </c>
      <c r="AH5397" t="inlineStr">
        <is>
          <t>Quelle: Balearic Properties</t>
        </is>
      </c>
    </row>
    <row r="5398">
      <c r="A5398" t="n">
        <v>5211</v>
      </c>
      <c r="B5398" t="inlineStr">
        <is>
          <t>Charming new apartments for sale close to the coastline in Cala Ratjada, Northeast Mallorca</t>
        </is>
      </c>
      <c r="C5398" t="inlineStr">
        <is>
          <t>https://www.balearic-properties.com/en/property/id/940922-new-apartments-cala-ratjada-northeast-mallorca-html</t>
        </is>
      </c>
      <c r="E5398" t="n">
        <v>3</v>
      </c>
      <c r="G5398" t="n">
        <v>0</v>
      </c>
      <c r="H5398" t="n">
        <v>165</v>
      </c>
      <c r="J5398" t="inlineStr">
        <is>
          <t>Cala Ratjada</t>
        </is>
      </c>
      <c r="S5398" t="n">
        <v>785400</v>
      </c>
      <c r="T5398" t="n">
        <v>4760</v>
      </c>
      <c r="AH5398" t="inlineStr">
        <is>
          <t>Quelle: Balearic Properties</t>
        </is>
      </c>
    </row>
    <row r="5399">
      <c r="A5399" t="n">
        <v>5212</v>
      </c>
      <c r="B5399" t="inlineStr">
        <is>
          <t>Luxury new build villa project for sale in sought after southwest area Cap Falco, Sol de Mallorca</t>
        </is>
      </c>
      <c r="C5399" t="inlineStr">
        <is>
          <t>https://www.balearic-properties.com/en/property/id/769741-villa-cala-vinyes-calvia-mallorca-html</t>
        </is>
      </c>
      <c r="E5399" t="n">
        <v>4</v>
      </c>
      <c r="G5399" t="n">
        <v>1480</v>
      </c>
      <c r="H5399" t="n">
        <v>482</v>
      </c>
      <c r="J5399" t="inlineStr">
        <is>
          <t>Cala Vinyes</t>
        </is>
      </c>
      <c r="K5399" t="n">
        <v>31.5</v>
      </c>
      <c r="L5399" t="n">
        <v>31</v>
      </c>
      <c r="M5399" t="n">
        <v>74.3</v>
      </c>
      <c r="N5399" t="n">
        <v>64</v>
      </c>
      <c r="O5399" t="n">
        <v>20.4</v>
      </c>
      <c r="P5399" t="n">
        <v>25</v>
      </c>
      <c r="Q5399" t="n">
        <v>72</v>
      </c>
      <c r="R5399" t="n">
        <v>60</v>
      </c>
      <c r="S5399" t="n">
        <v>6250000</v>
      </c>
      <c r="T5399" t="n">
        <v>12967</v>
      </c>
      <c r="U5399" t="n">
        <v>4223</v>
      </c>
      <c r="AH5399" t="inlineStr">
        <is>
          <t>Quelle: Balearic Properties</t>
        </is>
      </c>
    </row>
    <row r="5400">
      <c r="A5400" t="n">
        <v>5213</v>
      </c>
      <c r="B5400" t="inlineStr">
        <is>
          <t>Newly built villas for sale in Cala Ratjada, Northeast Mallorca</t>
        </is>
      </c>
      <c r="C5400" t="inlineStr">
        <is>
          <t>https://www.balearic-properties.com/en/property/id/940830-development-of-villas-cala-ratjada-northeast-mallorca-html</t>
        </is>
      </c>
      <c r="E5400" t="n">
        <v>3</v>
      </c>
      <c r="G5400" t="n">
        <v>0</v>
      </c>
      <c r="H5400" t="n">
        <v>333</v>
      </c>
      <c r="J5400" t="inlineStr">
        <is>
          <t>Cala Ratjada</t>
        </is>
      </c>
      <c r="K5400" t="n">
        <v>77.7</v>
      </c>
      <c r="L5400" t="n">
        <v>66</v>
      </c>
      <c r="M5400" t="n">
        <v>73</v>
      </c>
      <c r="N5400" t="n">
        <v>69</v>
      </c>
      <c r="O5400" t="n">
        <v>111.9</v>
      </c>
      <c r="P5400" t="n">
        <v>91</v>
      </c>
      <c r="Q5400" t="n">
        <v>70.7</v>
      </c>
      <c r="R5400" t="n">
        <v>66</v>
      </c>
      <c r="S5400" t="n">
        <v>1183100</v>
      </c>
      <c r="T5400" t="n">
        <v>3553</v>
      </c>
      <c r="AH5400" t="inlineStr">
        <is>
          <t>Quelle: Balearic Properties</t>
        </is>
      </c>
    </row>
    <row r="5401">
      <c r="A5401" t="n">
        <v>5214</v>
      </c>
      <c r="B5401" t="inlineStr">
        <is>
          <t>Amazing development of villas for sale in Cala Ratjada, Northeast Mallorca</t>
        </is>
      </c>
      <c r="C5401" t="inlineStr">
        <is>
          <t>https://www.balearic-properties.com/en/property/id/940833-development-of-villas-cala-ratjada-northeast-mallorca-html</t>
        </is>
      </c>
      <c r="E5401" t="n">
        <v>3</v>
      </c>
      <c r="G5401" t="n">
        <v>0</v>
      </c>
      <c r="H5401" t="n">
        <v>335</v>
      </c>
      <c r="J5401" t="inlineStr">
        <is>
          <t>Cala Ratjada</t>
        </is>
      </c>
      <c r="K5401" t="n">
        <v>77.7</v>
      </c>
      <c r="L5401" t="n">
        <v>66</v>
      </c>
      <c r="M5401" t="n">
        <v>73</v>
      </c>
      <c r="N5401" t="n">
        <v>69</v>
      </c>
      <c r="O5401" t="n">
        <v>111.9</v>
      </c>
      <c r="P5401" t="n">
        <v>91</v>
      </c>
      <c r="Q5401" t="n">
        <v>70.7</v>
      </c>
      <c r="R5401" t="n">
        <v>66</v>
      </c>
      <c r="S5401" t="n">
        <v>1023000</v>
      </c>
      <c r="T5401" t="n">
        <v>3054</v>
      </c>
      <c r="AH5401" t="inlineStr">
        <is>
          <t>Quelle: Balearic Properties</t>
        </is>
      </c>
    </row>
    <row r="5402">
      <c r="A5402" t="n">
        <v>5215</v>
      </c>
      <c r="B5402" t="inlineStr">
        <is>
          <t>Building project with apartment for Sale in Colonia de Sant Jordi, Southeast Mallorca</t>
        </is>
      </c>
      <c r="C5402" t="inlineStr">
        <is>
          <t>https://www.balearic-properties.com/en/property/id/940818-new-apartments-colonia-de-sant-jordi-southeast-mallorca-html</t>
        </is>
      </c>
      <c r="E5402" t="n">
        <v>2</v>
      </c>
      <c r="G5402" t="n">
        <v>0</v>
      </c>
      <c r="H5402" t="n">
        <v>191</v>
      </c>
      <c r="J5402" t="inlineStr">
        <is>
          <t>Colònia de Sant Jordi</t>
        </is>
      </c>
      <c r="S5402" t="n">
        <v>740800</v>
      </c>
      <c r="T5402" t="n">
        <v>3879</v>
      </c>
      <c r="AH5402" t="inlineStr">
        <is>
          <t>Quelle: Balearic Properties</t>
        </is>
      </c>
    </row>
    <row r="5403">
      <c r="A5403" t="n">
        <v>5216</v>
      </c>
      <c r="B5403" t="inlineStr">
        <is>
          <t>New development offering apartments for sale in Colonia de Sant Jordi, Southeast Mallorca</t>
        </is>
      </c>
      <c r="C5403" t="inlineStr">
        <is>
          <t>https://www.balearic-properties.com/en/property/id/940823-new-apartments-colonia-de-sant-jordi-southeast-mallorca-html</t>
        </is>
      </c>
      <c r="E5403" t="n">
        <v>2</v>
      </c>
      <c r="G5403" t="n">
        <v>0</v>
      </c>
      <c r="H5403" t="n">
        <v>118</v>
      </c>
      <c r="J5403" t="inlineStr">
        <is>
          <t>Colònia de Sant Jordi</t>
        </is>
      </c>
      <c r="S5403" t="n">
        <v>640800</v>
      </c>
      <c r="T5403" t="n">
        <v>5431</v>
      </c>
      <c r="AH5403" t="inlineStr">
        <is>
          <t>Quelle: Balearic Properties</t>
        </is>
      </c>
    </row>
    <row r="5404">
      <c r="A5404" t="n">
        <v>5217</v>
      </c>
      <c r="B5404" t="inlineStr">
        <is>
          <t>Brand new duplex for Sale in Colonia de Sant Jordi, Southeast Mallorca</t>
        </is>
      </c>
      <c r="C5404" t="inlineStr">
        <is>
          <t>https://www.balearic-properties.com/en/property/id/940811-new-apartments-colonia-de-sant-jordi-southeast-mallorca-html</t>
        </is>
      </c>
      <c r="E5404" t="n">
        <v>3</v>
      </c>
      <c r="G5404" t="n">
        <v>0</v>
      </c>
      <c r="H5404" t="n">
        <v>284</v>
      </c>
      <c r="J5404" t="inlineStr">
        <is>
          <t>Colònia de Sant Jordi</t>
        </is>
      </c>
      <c r="S5404" t="n">
        <v>986500</v>
      </c>
      <c r="T5404" t="n">
        <v>3474</v>
      </c>
      <c r="AH5404" t="inlineStr">
        <is>
          <t>Quelle: Balearic Properties</t>
        </is>
      </c>
    </row>
    <row r="5405">
      <c r="A5405" t="n">
        <v>5218</v>
      </c>
      <c r="B5405" t="inlineStr">
        <is>
          <t>Detached villa in a frontline golf community, Nova Santa Ponsa, Mallorca southwest</t>
        </is>
      </c>
      <c r="C5405" t="inlineStr">
        <is>
          <t>https://www.balearic-properties.com/en/property/id/940332-detached-villa-golf-nova-santa-ponsa-mallorca-html</t>
        </is>
      </c>
      <c r="E5405" t="n">
        <v>3</v>
      </c>
      <c r="G5405" t="n">
        <v>406</v>
      </c>
      <c r="H5405" t="n">
        <v>265</v>
      </c>
      <c r="J5405" t="inlineStr">
        <is>
          <t>Santa Ponsa</t>
        </is>
      </c>
      <c r="K5405" t="n">
        <v>31.1</v>
      </c>
      <c r="L5405" t="n">
        <v>28</v>
      </c>
      <c r="M5405" t="n">
        <v>73.90000000000001</v>
      </c>
      <c r="N5405" t="n">
        <v>61</v>
      </c>
      <c r="O5405" t="n">
        <v>15.2</v>
      </c>
      <c r="P5405" t="n">
        <v>19</v>
      </c>
      <c r="Q5405" t="n">
        <v>71.59999999999999</v>
      </c>
      <c r="R5405" t="n">
        <v>57</v>
      </c>
      <c r="S5405" t="n">
        <v>1750000</v>
      </c>
      <c r="T5405" t="n">
        <v>6604</v>
      </c>
      <c r="U5405" t="n">
        <v>4310</v>
      </c>
      <c r="AH5405" t="inlineStr">
        <is>
          <t>Quelle: Balearic Properties</t>
        </is>
      </c>
    </row>
    <row r="5406">
      <c r="A5406" t="n">
        <v>5219</v>
      </c>
      <c r="B5406" t="inlineStr">
        <is>
          <t>Idyllic country home with pool for sale in Llubi, central Mallorca</t>
        </is>
      </c>
      <c r="C5406" t="inlineStr">
        <is>
          <t>https://www.balearic-properties.com/en/property/id/932664-idyllic-country-home-privacy-llubi-mallorca-html</t>
        </is>
      </c>
      <c r="E5406" t="n">
        <v>4</v>
      </c>
      <c r="G5406" t="n">
        <v>78755</v>
      </c>
      <c r="H5406" t="n">
        <v>300</v>
      </c>
      <c r="J5406" t="inlineStr">
        <is>
          <t>Llubí</t>
        </is>
      </c>
      <c r="K5406" t="n">
        <v>46.1</v>
      </c>
      <c r="L5406" t="n">
        <v>38</v>
      </c>
      <c r="M5406" t="n">
        <v>50.9</v>
      </c>
      <c r="N5406" t="n">
        <v>54</v>
      </c>
      <c r="O5406" t="n">
        <v>68.7</v>
      </c>
      <c r="P5406" t="n">
        <v>54</v>
      </c>
      <c r="Q5406" t="n">
        <v>48.6</v>
      </c>
      <c r="R5406" t="n">
        <v>50</v>
      </c>
      <c r="S5406" t="n">
        <v>2150000</v>
      </c>
      <c r="T5406" t="n">
        <v>7167</v>
      </c>
      <c r="U5406" t="n">
        <v>27</v>
      </c>
      <c r="AH5406" t="inlineStr">
        <is>
          <t>Quelle: Balearic Properties</t>
        </is>
      </c>
    </row>
    <row r="5407">
      <c r="A5407" t="n">
        <v>5220</v>
      </c>
      <c r="B5407" t="inlineStr">
        <is>
          <t>Elegant Apartment for Sale in Prime Central Palma, Mallorca</t>
        </is>
      </c>
      <c r="C5407" t="inlineStr">
        <is>
          <t>https://www.balearic-properties.com/en/property/id/876438-elegant-apartment-centre-palma-mallorca-html</t>
        </is>
      </c>
      <c r="E5407" t="n">
        <v>4</v>
      </c>
      <c r="G5407" t="n">
        <v>0</v>
      </c>
      <c r="H5407" t="n">
        <v>175</v>
      </c>
      <c r="J5407" t="inlineStr">
        <is>
          <t>Palma de Mallorca</t>
        </is>
      </c>
      <c r="K5407" t="n">
        <v>9.699999999999999</v>
      </c>
      <c r="L5407" t="n">
        <v>14</v>
      </c>
      <c r="M5407" t="n">
        <v>52.5</v>
      </c>
      <c r="N5407" t="n">
        <v>47</v>
      </c>
      <c r="O5407" t="n">
        <v>32.1</v>
      </c>
      <c r="P5407" t="n">
        <v>36</v>
      </c>
      <c r="Q5407" t="n">
        <v>50.2</v>
      </c>
      <c r="R5407" t="n">
        <v>44</v>
      </c>
      <c r="S5407" t="n">
        <v>1400000</v>
      </c>
      <c r="T5407" t="n">
        <v>8000</v>
      </c>
      <c r="AH5407" t="inlineStr">
        <is>
          <t>Quelle: Balearic Properties</t>
        </is>
      </c>
    </row>
    <row r="5408">
      <c r="A5408" t="n">
        <v>5221</v>
      </c>
      <c r="B5408" t="inlineStr">
        <is>
          <t>Elegant villa project for sale, close to the beach in Costa de la Calma, Mallorca</t>
        </is>
      </c>
      <c r="C5408" t="inlineStr">
        <is>
          <t>https://www.balearic-properties.com/en/property/id/822551-impressive-modern-villa-project-for-sale-in-costa-de-la-calma-mallorca-html</t>
        </is>
      </c>
      <c r="E5408" t="n">
        <v>3</v>
      </c>
      <c r="G5408" t="n">
        <v>850</v>
      </c>
      <c r="H5408" t="n">
        <v>310</v>
      </c>
      <c r="J5408" t="inlineStr">
        <is>
          <t>Costa de la Calma</t>
        </is>
      </c>
      <c r="K5408" t="n">
        <v>32.6</v>
      </c>
      <c r="L5408" t="n">
        <v>29</v>
      </c>
      <c r="M5408" t="n">
        <v>75.40000000000001</v>
      </c>
      <c r="N5408" t="n">
        <v>62</v>
      </c>
      <c r="O5408" t="n">
        <v>13.7</v>
      </c>
      <c r="P5408" t="n">
        <v>18</v>
      </c>
      <c r="Q5408" t="n">
        <v>73.09999999999999</v>
      </c>
      <c r="R5408" t="n">
        <v>58</v>
      </c>
      <c r="S5408" t="n">
        <v>3300000</v>
      </c>
      <c r="T5408" t="n">
        <v>10645</v>
      </c>
      <c r="U5408" t="n">
        <v>3882</v>
      </c>
      <c r="AH5408" t="inlineStr">
        <is>
          <t>Quelle: Balearic Properties</t>
        </is>
      </c>
    </row>
    <row r="5409">
      <c r="A5409" t="n">
        <v>5222</v>
      </c>
      <c r="B5409" t="inlineStr">
        <is>
          <t>Modern villa for sale in Palmanova, southwest of Mallorca</t>
        </is>
      </c>
      <c r="C5409" t="inlineStr">
        <is>
          <t>https://www.balearic-properties.com/en/property/id/939805-modern-villa-for-sale-in-palmanova-southwest-of-mallorca-html</t>
        </is>
      </c>
      <c r="E5409" t="n">
        <v>4</v>
      </c>
      <c r="G5409" t="n">
        <v>1195</v>
      </c>
      <c r="H5409" t="n">
        <v>537</v>
      </c>
      <c r="J5409" t="inlineStr">
        <is>
          <t>Palmanova</t>
        </is>
      </c>
      <c r="K5409" t="n">
        <v>25.9</v>
      </c>
      <c r="L5409" t="n">
        <v>24</v>
      </c>
      <c r="M5409" t="n">
        <v>68.59999999999999</v>
      </c>
      <c r="N5409" t="n">
        <v>57</v>
      </c>
      <c r="O5409" t="n">
        <v>18.5</v>
      </c>
      <c r="P5409" t="n">
        <v>21</v>
      </c>
      <c r="Q5409" t="n">
        <v>66.3</v>
      </c>
      <c r="R5409" t="n">
        <v>54</v>
      </c>
      <c r="S5409" t="n">
        <v>3995000</v>
      </c>
      <c r="T5409" t="n">
        <v>7439</v>
      </c>
      <c r="U5409" t="n">
        <v>3343</v>
      </c>
      <c r="AH5409" t="inlineStr">
        <is>
          <t>Quelle: Balearic Properties</t>
        </is>
      </c>
    </row>
    <row r="5410">
      <c r="A5410" t="n">
        <v>5223</v>
      </c>
      <c r="B5410" t="inlineStr">
        <is>
          <t>Beautiful rustic finca for sale in Petra, Central Mallorca</t>
        </is>
      </c>
      <c r="C5410" t="inlineStr">
        <is>
          <t>https://www.balearic-properties.com/en/property/id/936687-beautiful-rustic-finca-petra-mallorca-html</t>
        </is>
      </c>
      <c r="E5410" t="n">
        <v>11</v>
      </c>
      <c r="G5410" t="n">
        <v>14032</v>
      </c>
      <c r="H5410" t="n">
        <v>931</v>
      </c>
      <c r="J5410" t="inlineStr">
        <is>
          <t>Petra</t>
        </is>
      </c>
      <c r="K5410" t="n">
        <v>45.9</v>
      </c>
      <c r="L5410" t="n">
        <v>42</v>
      </c>
      <c r="M5410" t="n">
        <v>41.3</v>
      </c>
      <c r="N5410" t="n">
        <v>45</v>
      </c>
      <c r="O5410" t="n">
        <v>84</v>
      </c>
      <c r="P5410" t="n">
        <v>66</v>
      </c>
      <c r="Q5410" t="n">
        <v>39</v>
      </c>
      <c r="R5410" t="n">
        <v>41</v>
      </c>
      <c r="S5410" t="n">
        <v>2900000</v>
      </c>
      <c r="T5410" t="n">
        <v>3115</v>
      </c>
      <c r="U5410" t="n">
        <v>207</v>
      </c>
      <c r="AH5410" t="inlineStr">
        <is>
          <t>Quelle: Balearic Properties</t>
        </is>
      </c>
    </row>
    <row r="5411">
      <c r="A5411" t="n">
        <v>5224</v>
      </c>
      <c r="B5411" t="inlineStr">
        <is>
          <t>Elegant sea view penthouse for sale in Pollensa, North Mallorca</t>
        </is>
      </c>
      <c r="C5411" t="inlineStr">
        <is>
          <t>https://www.balearic-properties.com/en/property/id/940345-charming-penthouse-pollensa-mallorca-html</t>
        </is>
      </c>
      <c r="E5411" t="n">
        <v>2</v>
      </c>
      <c r="G5411" t="n">
        <v>0</v>
      </c>
      <c r="H5411" t="n">
        <v>181</v>
      </c>
      <c r="J5411" t="inlineStr">
        <is>
          <t>Pollença</t>
        </is>
      </c>
      <c r="S5411" t="n">
        <v>670000</v>
      </c>
      <c r="T5411" t="n">
        <v>3702</v>
      </c>
      <c r="AH5411" t="inlineStr">
        <is>
          <t>Quelle: Balearic Properties</t>
        </is>
      </c>
    </row>
    <row r="5412">
      <c r="A5412" t="n">
        <v>5225</v>
      </c>
      <c r="B5412" t="inlineStr">
        <is>
          <t>Spacious penthouse with amazing sea views for sale in Port Andratx, Mallorca</t>
        </is>
      </c>
      <c r="C5412" t="inlineStr">
        <is>
          <t>https://www.balearic-properties.com/en/property/id/939938-spacious-penthouse-sea-views-port-andratx-mallorca-html</t>
        </is>
      </c>
      <c r="E5412" t="n">
        <v>3</v>
      </c>
      <c r="G5412" t="n">
        <v>0</v>
      </c>
      <c r="H5412" t="n">
        <v>242</v>
      </c>
      <c r="J5412" t="inlineStr">
        <is>
          <t>Puerto Andratx</t>
        </is>
      </c>
      <c r="K5412" t="n">
        <v>43.5</v>
      </c>
      <c r="L5412" t="n">
        <v>38</v>
      </c>
      <c r="M5412" t="n">
        <v>86.2</v>
      </c>
      <c r="N5412" t="n">
        <v>71</v>
      </c>
      <c r="O5412" t="n">
        <v>6.3</v>
      </c>
      <c r="P5412" t="n">
        <v>11</v>
      </c>
      <c r="Q5412" t="n">
        <v>83.90000000000001</v>
      </c>
      <c r="R5412" t="n">
        <v>68</v>
      </c>
      <c r="S5412" t="n">
        <v>1980000</v>
      </c>
      <c r="T5412" t="n">
        <v>8182</v>
      </c>
      <c r="AH5412" t="inlineStr">
        <is>
          <t>Quelle: Balearic Properties</t>
        </is>
      </c>
    </row>
    <row r="5413">
      <c r="A5413" t="n">
        <v>5226</v>
      </c>
      <c r="B5413" t="inlineStr">
        <is>
          <t>Elegant townhouse for sale in Bunyola, Northwest Mallorca</t>
        </is>
      </c>
      <c r="C5413" t="inlineStr">
        <is>
          <t>https://www.balearic-properties.com/en/property/id/940088-charming-townhouse-for-sale-in-bunyola-northwest-mallorca-html</t>
        </is>
      </c>
      <c r="E5413" t="n">
        <v>3</v>
      </c>
      <c r="G5413" t="n">
        <v>116</v>
      </c>
      <c r="H5413" t="n">
        <v>220</v>
      </c>
      <c r="J5413" t="inlineStr">
        <is>
          <t>Bunyola</t>
        </is>
      </c>
      <c r="K5413" t="n">
        <v>26.3</v>
      </c>
      <c r="L5413" t="n">
        <v>25</v>
      </c>
      <c r="M5413" t="n">
        <v>69.09999999999999</v>
      </c>
      <c r="N5413" t="n">
        <v>58</v>
      </c>
      <c r="O5413" t="n">
        <v>48.9</v>
      </c>
      <c r="P5413" t="n">
        <v>41</v>
      </c>
      <c r="Q5413" t="n">
        <v>66.8</v>
      </c>
      <c r="R5413" t="n">
        <v>54</v>
      </c>
      <c r="S5413" t="n">
        <v>2200000</v>
      </c>
      <c r="T5413" t="n">
        <v>10000</v>
      </c>
      <c r="U5413" t="n">
        <v>18966</v>
      </c>
      <c r="AH5413" t="inlineStr">
        <is>
          <t>Quelle: Balearic Properties</t>
        </is>
      </c>
    </row>
    <row r="5414">
      <c r="A5414" t="n">
        <v>5227</v>
      </c>
      <c r="B5414" t="inlineStr">
        <is>
          <t>Spectacular villa with direct sea access for sale in Cala Vinyes, Southwest Mallorca</t>
        </is>
      </c>
      <c r="C5414" t="inlineStr">
        <is>
          <t>https://www.balearic-properties.com/en/property/id/781825-spectacular-villa-sea-access-cala-vinyes-mallorca-html</t>
        </is>
      </c>
      <c r="E5414" t="n">
        <v>9</v>
      </c>
      <c r="G5414" t="n">
        <v>1382</v>
      </c>
      <c r="H5414" t="n">
        <v>1228</v>
      </c>
      <c r="J5414" t="inlineStr">
        <is>
          <t>Cala Vinyes</t>
        </is>
      </c>
      <c r="K5414" t="n">
        <v>31.5</v>
      </c>
      <c r="L5414" t="n">
        <v>31</v>
      </c>
      <c r="M5414" t="n">
        <v>74.3</v>
      </c>
      <c r="N5414" t="n">
        <v>64</v>
      </c>
      <c r="O5414" t="n">
        <v>20.4</v>
      </c>
      <c r="P5414" t="n">
        <v>25</v>
      </c>
      <c r="Q5414" t="n">
        <v>72</v>
      </c>
      <c r="R5414" t="n">
        <v>60</v>
      </c>
      <c r="S5414" t="n">
        <v>9900000</v>
      </c>
      <c r="T5414" t="n">
        <v>8062</v>
      </c>
      <c r="U5414" t="n">
        <v>7164</v>
      </c>
      <c r="AH5414" t="inlineStr">
        <is>
          <t>Quelle: Balearic Properties</t>
        </is>
      </c>
    </row>
    <row r="5415">
      <c r="A5415" t="n">
        <v>5228</v>
      </c>
      <c r="B5415" t="inlineStr">
        <is>
          <t>Chic penthouse apartment with community pool in Bendinat for sale, Southwest Mallorca</t>
        </is>
      </c>
      <c r="C5415" t="inlineStr">
        <is>
          <t>https://www.balearic-properties.com/en/property/id/937335-luxurious-penthouse-in-the-exclusive-bendinat-mallorca-html</t>
        </is>
      </c>
      <c r="E5415" t="n">
        <v>2</v>
      </c>
      <c r="G5415" t="n">
        <v>0</v>
      </c>
      <c r="H5415" t="n">
        <v>210</v>
      </c>
      <c r="J5415" t="inlineStr">
        <is>
          <t>Bendinat</t>
        </is>
      </c>
      <c r="K5415" t="n">
        <v>23.1</v>
      </c>
      <c r="L5415" t="n">
        <v>22</v>
      </c>
      <c r="M5415" t="n">
        <v>65.8</v>
      </c>
      <c r="N5415" t="n">
        <v>55</v>
      </c>
      <c r="O5415" t="n">
        <v>23.2</v>
      </c>
      <c r="P5415" t="n">
        <v>23</v>
      </c>
      <c r="Q5415" t="n">
        <v>63.5</v>
      </c>
      <c r="R5415" t="n">
        <v>51</v>
      </c>
      <c r="S5415" t="n">
        <v>2995000</v>
      </c>
      <c r="T5415" t="n">
        <v>14262</v>
      </c>
      <c r="AH5415" t="inlineStr">
        <is>
          <t>Quelle: Balearic Properties</t>
        </is>
      </c>
    </row>
    <row r="5416">
      <c r="A5416" t="n">
        <v>5229</v>
      </c>
      <c r="B5416" t="inlineStr">
        <is>
          <t>Renovated, spacious duplex apartment with sea views for sale in Cas Catala, Mallorca</t>
        </is>
      </c>
      <c r="C5416" t="inlineStr">
        <is>
          <t>https://www.balearic-properties.com/en/property/id/925322-renovated-duplex-sea-views-cas-catala-mallorca-html</t>
        </is>
      </c>
      <c r="E5416" t="n">
        <v>4</v>
      </c>
      <c r="G5416" t="n">
        <v>0</v>
      </c>
      <c r="H5416" t="n">
        <v>170</v>
      </c>
      <c r="J5416" t="inlineStr">
        <is>
          <t>Cas Català</t>
        </is>
      </c>
      <c r="K5416" t="n">
        <v>20</v>
      </c>
      <c r="L5416" t="n">
        <v>22</v>
      </c>
      <c r="M5416" t="n">
        <v>62.8</v>
      </c>
      <c r="N5416" t="n">
        <v>55</v>
      </c>
      <c r="O5416" t="n">
        <v>23.7</v>
      </c>
      <c r="P5416" t="n">
        <v>23</v>
      </c>
      <c r="Q5416" t="n">
        <v>60.5</v>
      </c>
      <c r="R5416" t="n">
        <v>51</v>
      </c>
      <c r="S5416" t="n">
        <v>1590000</v>
      </c>
      <c r="T5416" t="n">
        <v>9353</v>
      </c>
      <c r="AH5416" t="inlineStr">
        <is>
          <t>Quelle: Balearic Properties</t>
        </is>
      </c>
    </row>
    <row r="5417">
      <c r="A5417" t="n">
        <v>5230</v>
      </c>
      <c r="B5417" t="inlineStr">
        <is>
          <t>Mediterranean villa with holiday license for sale in Ses Salines, Southeast Mallorca</t>
        </is>
      </c>
      <c r="C5417" t="inlineStr">
        <is>
          <t>https://www.balearic-properties.com/en/property/id/937200-villa-holiday-license-ses-salines-southeast-mallorca-html</t>
        </is>
      </c>
      <c r="E5417" t="n">
        <v>5</v>
      </c>
      <c r="G5417" t="n">
        <v>3902</v>
      </c>
      <c r="H5417" t="n">
        <v>614</v>
      </c>
      <c r="J5417" t="inlineStr">
        <is>
          <t>Ses Salines</t>
        </is>
      </c>
      <c r="K5417" t="n">
        <v>44.5</v>
      </c>
      <c r="L5417" t="n">
        <v>39</v>
      </c>
      <c r="M5417" t="n">
        <v>2.4</v>
      </c>
      <c r="N5417" t="n">
        <v>5</v>
      </c>
      <c r="O5417" t="n">
        <v>82.7</v>
      </c>
      <c r="P5417" t="n">
        <v>67</v>
      </c>
      <c r="Q5417" t="n">
        <v>2</v>
      </c>
      <c r="R5417" t="n">
        <v>5</v>
      </c>
      <c r="S5417" t="n">
        <v>1900000</v>
      </c>
      <c r="T5417" t="n">
        <v>3094</v>
      </c>
      <c r="U5417" t="n">
        <v>487</v>
      </c>
      <c r="AH5417" t="inlineStr">
        <is>
          <t>Quelle: Balearic Properties</t>
        </is>
      </c>
    </row>
    <row r="5418">
      <c r="A5418" t="n">
        <v>5231</v>
      </c>
      <c r="B5418" t="inlineStr">
        <is>
          <t>Elegantly designed finca with guest house for sale near the beach Es Trenc, Mallorca</t>
        </is>
      </c>
      <c r="C5418" t="inlineStr">
        <is>
          <t>https://www.balearic-properties.com/en/property/id/931876-elegant-finca-guest-house-es-trenc-mallorca-html</t>
        </is>
      </c>
      <c r="E5418" t="n">
        <v>5</v>
      </c>
      <c r="G5418" t="n">
        <v>31600</v>
      </c>
      <c r="H5418" t="n">
        <v>820</v>
      </c>
      <c r="J5418" t="inlineStr">
        <is>
          <t>Campos</t>
        </is>
      </c>
      <c r="K5418" t="n">
        <v>32.9</v>
      </c>
      <c r="L5418" t="n">
        <v>28</v>
      </c>
      <c r="M5418" t="n">
        <v>14.6</v>
      </c>
      <c r="N5418" t="n">
        <v>18</v>
      </c>
      <c r="O5418" t="n">
        <v>71.09999999999999</v>
      </c>
      <c r="P5418" t="n">
        <v>56</v>
      </c>
      <c r="Q5418" t="n">
        <v>12.3</v>
      </c>
      <c r="R5418" t="n">
        <v>14</v>
      </c>
      <c r="S5418" t="n">
        <v>3950000</v>
      </c>
      <c r="T5418" t="n">
        <v>4817</v>
      </c>
      <c r="U5418" t="n">
        <v>125</v>
      </c>
      <c r="AH5418" t="inlineStr">
        <is>
          <t>Quelle: Balearic Properties</t>
        </is>
      </c>
    </row>
    <row r="5419">
      <c r="A5419" t="n">
        <v>5232</v>
      </c>
      <c r="B5419" t="inlineStr">
        <is>
          <t>Country villa in peaceful surroundings for sale in Esporles, West Mallorca</t>
        </is>
      </c>
      <c r="C5419" t="inlineStr">
        <is>
          <t>https://www.balearic-properties.com/en/property/id/939788-experience-tranquil-country-living-esporles-mallorca-html</t>
        </is>
      </c>
      <c r="E5419" t="n">
        <v>4</v>
      </c>
      <c r="G5419" t="n">
        <v>3037</v>
      </c>
      <c r="H5419" t="n">
        <v>450</v>
      </c>
      <c r="J5419" t="inlineStr">
        <is>
          <t>Esporles</t>
        </is>
      </c>
      <c r="K5419" t="n">
        <v>24.9</v>
      </c>
      <c r="L5419" t="n">
        <v>27</v>
      </c>
      <c r="M5419" t="n">
        <v>67.59999999999999</v>
      </c>
      <c r="N5419" t="n">
        <v>60</v>
      </c>
      <c r="O5419" t="n">
        <v>43.2</v>
      </c>
      <c r="P5419" t="n">
        <v>40</v>
      </c>
      <c r="Q5419" t="n">
        <v>65.3</v>
      </c>
      <c r="R5419" t="n">
        <v>57</v>
      </c>
      <c r="S5419" t="n">
        <v>3195000</v>
      </c>
      <c r="T5419" t="n">
        <v>7100</v>
      </c>
      <c r="U5419" t="n">
        <v>1052</v>
      </c>
      <c r="AH5419" t="inlineStr">
        <is>
          <t>Quelle: Balearic Properties</t>
        </is>
      </c>
    </row>
    <row r="5420">
      <c r="A5420" t="n">
        <v>5233</v>
      </c>
      <c r="B5420" t="inlineStr">
        <is>
          <t>Renovated apartment for sale in Illetes, Calvia, Southwest Mallorca</t>
        </is>
      </c>
      <c r="C5420" t="inlineStr">
        <is>
          <t>https://www.balearic-properties.com/en/property/id/936723-renovated-apartment-illetes-calvia-mallorca-html</t>
        </is>
      </c>
      <c r="E5420" t="n">
        <v>2</v>
      </c>
      <c r="G5420" t="n">
        <v>0</v>
      </c>
      <c r="H5420" t="n">
        <v>68</v>
      </c>
      <c r="J5420" t="inlineStr">
        <is>
          <t>Illetes</t>
        </is>
      </c>
      <c r="S5420" t="n">
        <v>375000</v>
      </c>
      <c r="T5420" t="n">
        <v>5515</v>
      </c>
      <c r="AH5420" t="inlineStr">
        <is>
          <t>Quelle: Balearic Properties</t>
        </is>
      </c>
    </row>
    <row r="5421">
      <c r="A5421" t="n">
        <v>5234</v>
      </c>
      <c r="B5421" t="inlineStr">
        <is>
          <t>Stylish apartment for sale in Cas Catala, southwest Mallorca</t>
        </is>
      </c>
      <c r="C5421" t="inlineStr">
        <is>
          <t>https://www.balearic-properties.com/en/property/id/937284-stylish-apartment-beach-cas-catala-mallorca-html</t>
        </is>
      </c>
      <c r="E5421" t="n">
        <v>3</v>
      </c>
      <c r="G5421" t="n">
        <v>0</v>
      </c>
      <c r="H5421" t="n">
        <v>213</v>
      </c>
      <c r="J5421" t="inlineStr">
        <is>
          <t>Cas Català</t>
        </is>
      </c>
      <c r="K5421" t="n">
        <v>20</v>
      </c>
      <c r="L5421" t="n">
        <v>22</v>
      </c>
      <c r="M5421" t="n">
        <v>62.8</v>
      </c>
      <c r="N5421" t="n">
        <v>55</v>
      </c>
      <c r="O5421" t="n">
        <v>23.7</v>
      </c>
      <c r="P5421" t="n">
        <v>23</v>
      </c>
      <c r="Q5421" t="n">
        <v>60.5</v>
      </c>
      <c r="R5421" t="n">
        <v>51</v>
      </c>
      <c r="S5421" t="n">
        <v>1490000</v>
      </c>
      <c r="T5421" t="n">
        <v>6995</v>
      </c>
      <c r="AH5421" t="inlineStr">
        <is>
          <t>Quelle: Balearic Properties</t>
        </is>
      </c>
    </row>
    <row r="5422">
      <c r="A5422" t="n">
        <v>5235</v>
      </c>
      <c r="B5422" t="inlineStr">
        <is>
          <t>Elegant sea view country villa for sale, northeast Mallorca</t>
        </is>
      </c>
      <c r="C5422" t="inlineStr">
        <is>
          <t>https://www.balearic-properties.com/en/property/id/937230-country-villa-bay-views-arta-mallorca-html</t>
        </is>
      </c>
      <c r="E5422" t="n">
        <v>4</v>
      </c>
      <c r="G5422" t="n">
        <v>20000</v>
      </c>
      <c r="H5422" t="n">
        <v>422</v>
      </c>
      <c r="J5422" t="inlineStr">
        <is>
          <t>Artà</t>
        </is>
      </c>
      <c r="K5422" t="n">
        <v>68.3</v>
      </c>
      <c r="L5422" t="n">
        <v>61</v>
      </c>
      <c r="M5422" t="n">
        <v>63.7</v>
      </c>
      <c r="N5422" t="n">
        <v>64</v>
      </c>
      <c r="O5422" t="n">
        <v>102.5</v>
      </c>
      <c r="P5422" t="n">
        <v>86</v>
      </c>
      <c r="Q5422" t="n">
        <v>61.4</v>
      </c>
      <c r="R5422" t="n">
        <v>61</v>
      </c>
      <c r="S5422" t="n">
        <v>3950000</v>
      </c>
      <c r="T5422" t="n">
        <v>9360</v>
      </c>
      <c r="U5422" t="n">
        <v>198</v>
      </c>
      <c r="AH5422" t="inlineStr">
        <is>
          <t>Quelle: Balearic Properties</t>
        </is>
      </c>
    </row>
    <row r="5423">
      <c r="A5423" t="n">
        <v>5236</v>
      </c>
      <c r="B5423" t="inlineStr">
        <is>
          <t>Exclusive New-Build Villa in Prime Location near Pollensa - Best buy! AAA Location!</t>
        </is>
      </c>
      <c r="C5423" t="inlineStr">
        <is>
          <t>https://www.balearic-properties.com/en/property/id/754539-building-plots-villa-pollensa-mallorca-html</t>
        </is>
      </c>
      <c r="E5423" t="n">
        <v>4</v>
      </c>
      <c r="G5423" t="n">
        <v>1080</v>
      </c>
      <c r="H5423" t="n">
        <v>284</v>
      </c>
      <c r="J5423" t="inlineStr">
        <is>
          <t>Pollença</t>
        </is>
      </c>
      <c r="K5423" t="n">
        <v>60.6</v>
      </c>
      <c r="L5423" t="n">
        <v>47</v>
      </c>
      <c r="M5423" t="n">
        <v>78.7</v>
      </c>
      <c r="N5423" t="n">
        <v>74</v>
      </c>
      <c r="O5423" t="n">
        <v>83.2</v>
      </c>
      <c r="P5423" t="n">
        <v>63</v>
      </c>
      <c r="Q5423" t="n">
        <v>76.40000000000001</v>
      </c>
      <c r="R5423" t="n">
        <v>70</v>
      </c>
      <c r="S5423" t="n">
        <v>1650000</v>
      </c>
      <c r="T5423" t="n">
        <v>5810</v>
      </c>
      <c r="U5423" t="n">
        <v>1528</v>
      </c>
      <c r="AH5423" t="inlineStr">
        <is>
          <t>Quelle: Balearic Properties</t>
        </is>
      </c>
    </row>
    <row r="5424">
      <c r="A5424" t="n">
        <v>5237</v>
      </c>
      <c r="B5424" t="inlineStr">
        <is>
          <t>Newly constructed modern villa for sale in Bonaire, North Mallorca</t>
        </is>
      </c>
      <c r="C5424" t="inlineStr">
        <is>
          <t>https://www.balearic-properties.com/en/property/id/937017-modern-villa-bonaire-alcudia-mallorca-html</t>
        </is>
      </c>
      <c r="E5424" t="n">
        <v>4</v>
      </c>
      <c r="G5424" t="n">
        <v>1153</v>
      </c>
      <c r="H5424" t="n">
        <v>531</v>
      </c>
      <c r="J5424" t="inlineStr">
        <is>
          <t>Bonaire</t>
        </is>
      </c>
      <c r="K5424" t="n">
        <v>64.40000000000001</v>
      </c>
      <c r="L5424" t="n">
        <v>54</v>
      </c>
      <c r="M5424" t="n">
        <v>82.5</v>
      </c>
      <c r="N5424" t="n">
        <v>80</v>
      </c>
      <c r="O5424" t="n">
        <v>87</v>
      </c>
      <c r="P5424" t="n">
        <v>70</v>
      </c>
      <c r="Q5424" t="n">
        <v>80.2</v>
      </c>
      <c r="R5424" t="n">
        <v>77</v>
      </c>
      <c r="S5424" t="n">
        <v>3950000</v>
      </c>
      <c r="T5424" t="n">
        <v>7439</v>
      </c>
      <c r="U5424" t="n">
        <v>3426</v>
      </c>
      <c r="AH5424" t="inlineStr">
        <is>
          <t>Quelle: Balearic Properties</t>
        </is>
      </c>
    </row>
    <row r="5425">
      <c r="A5425" t="n">
        <v>5238</v>
      </c>
      <c r="B5425" t="inlineStr">
        <is>
          <t>Garden apartment sale in Colonia de Sant Jordi, Southeast Mallorca</t>
        </is>
      </c>
      <c r="C5425" t="inlineStr">
        <is>
          <t>https://www.balearic-properties.com/en/property/id/938585-garden-apartment-colonia-de-sant-jordi-southeast-mallorca-html</t>
        </is>
      </c>
      <c r="E5425" t="n">
        <v>3</v>
      </c>
      <c r="G5425" t="n">
        <v>0</v>
      </c>
      <c r="H5425" t="n">
        <v>169</v>
      </c>
      <c r="J5425" t="inlineStr">
        <is>
          <t>Colònia de Sant Jordi</t>
        </is>
      </c>
      <c r="S5425" t="n">
        <v>911900</v>
      </c>
      <c r="T5425" t="n">
        <v>5396</v>
      </c>
      <c r="AH5425" t="inlineStr">
        <is>
          <t>Quelle: Balearic Properties</t>
        </is>
      </c>
    </row>
    <row r="5426">
      <c r="A5426" t="n">
        <v>5239</v>
      </c>
      <c r="B5426" t="inlineStr">
        <is>
          <t>Impressive frontline penthouse for sale in Puerto Pollensa, North Mallorca</t>
        </is>
      </c>
      <c r="C5426" t="inlineStr">
        <is>
          <t>https://www.balearic-properties.com/en/property/id/939791-penthouse-apartment-puerto-pollensa-north-mallorca-html</t>
        </is>
      </c>
      <c r="E5426" t="n">
        <v>3</v>
      </c>
      <c r="G5426" t="n">
        <v>450</v>
      </c>
      <c r="H5426" t="n">
        <v>145</v>
      </c>
      <c r="J5426" t="inlineStr">
        <is>
          <t>Port de Pollença</t>
        </is>
      </c>
      <c r="K5426" t="n">
        <v>66.90000000000001</v>
      </c>
      <c r="L5426" t="n">
        <v>52</v>
      </c>
      <c r="M5426" t="n">
        <v>85</v>
      </c>
      <c r="N5426" t="n">
        <v>78</v>
      </c>
      <c r="O5426" t="n">
        <v>89.5</v>
      </c>
      <c r="P5426" t="n">
        <v>68</v>
      </c>
      <c r="Q5426" t="n">
        <v>82.7</v>
      </c>
      <c r="R5426" t="n">
        <v>75</v>
      </c>
      <c r="S5426" t="n">
        <v>2600000</v>
      </c>
      <c r="T5426" t="n">
        <v>17931</v>
      </c>
      <c r="U5426" t="n">
        <v>5778</v>
      </c>
      <c r="AH5426" t="inlineStr">
        <is>
          <t>Quelle: Balearic Properties</t>
        </is>
      </c>
    </row>
    <row r="5427">
      <c r="A5427" t="n">
        <v>5240</v>
      </c>
      <c r="B5427" t="inlineStr">
        <is>
          <t>Front line, first floor apartment for sale in Puerto Pollensa, North Mallorca</t>
        </is>
      </c>
      <c r="C5427" t="inlineStr">
        <is>
          <t>https://www.balearic-properties.com/en/property/id/939790-lavish-front-line-apartment-for-sale-in-puerto-pollensa-north-mallorca-html</t>
        </is>
      </c>
      <c r="E5427" t="n">
        <v>3</v>
      </c>
      <c r="G5427" t="n">
        <v>450</v>
      </c>
      <c r="H5427" t="n">
        <v>145</v>
      </c>
      <c r="J5427" t="inlineStr">
        <is>
          <t>Port de Pollença</t>
        </is>
      </c>
      <c r="K5427" t="n">
        <v>66.90000000000001</v>
      </c>
      <c r="L5427" t="n">
        <v>52</v>
      </c>
      <c r="M5427" t="n">
        <v>85</v>
      </c>
      <c r="N5427" t="n">
        <v>78</v>
      </c>
      <c r="O5427" t="n">
        <v>89.5</v>
      </c>
      <c r="P5427" t="n">
        <v>68</v>
      </c>
      <c r="Q5427" t="n">
        <v>82.7</v>
      </c>
      <c r="R5427" t="n">
        <v>75</v>
      </c>
      <c r="S5427" t="n">
        <v>1800000</v>
      </c>
      <c r="T5427" t="n">
        <v>12414</v>
      </c>
      <c r="U5427" t="n">
        <v>4000</v>
      </c>
      <c r="AH5427" t="inlineStr">
        <is>
          <t>Quelle: Balearic Properties</t>
        </is>
      </c>
    </row>
    <row r="5428">
      <c r="A5428" t="n">
        <v>5241</v>
      </c>
      <c r="B5428" t="inlineStr">
        <is>
          <t>Lavish front line garden apartment for sale in Puerto Pollensa, North Mallorca</t>
        </is>
      </c>
      <c r="C5428" t="inlineStr">
        <is>
          <t>https://www.balearic-properties.com/en/property/id/939772-lavish-front-line-garden-apartment-for-sale-in-puerto-pollensa-north-mallorca</t>
        </is>
      </c>
      <c r="E5428" t="n">
        <v>3</v>
      </c>
      <c r="G5428" t="n">
        <v>450</v>
      </c>
      <c r="H5428" t="n">
        <v>145</v>
      </c>
      <c r="J5428" t="inlineStr">
        <is>
          <t>Port de Pollença</t>
        </is>
      </c>
      <c r="K5428" t="n">
        <v>66.90000000000001</v>
      </c>
      <c r="L5428" t="n">
        <v>52</v>
      </c>
      <c r="M5428" t="n">
        <v>85</v>
      </c>
      <c r="N5428" t="n">
        <v>78</v>
      </c>
      <c r="O5428" t="n">
        <v>89.5</v>
      </c>
      <c r="P5428" t="n">
        <v>68</v>
      </c>
      <c r="Q5428" t="n">
        <v>82.7</v>
      </c>
      <c r="R5428" t="n">
        <v>75</v>
      </c>
      <c r="S5428" t="n">
        <v>2200000</v>
      </c>
      <c r="T5428" t="n">
        <v>15172</v>
      </c>
      <c r="U5428" t="n">
        <v>4889</v>
      </c>
      <c r="AH5428" t="inlineStr">
        <is>
          <t>Quelle: Balearic Properties</t>
        </is>
      </c>
    </row>
    <row r="5429">
      <c r="A5429" t="n">
        <v>5242</v>
      </c>
      <c r="B5429" t="inlineStr">
        <is>
          <t>Fantastic development of villas for sale in Cala Ratjada, Northeast Mallorca</t>
        </is>
      </c>
      <c r="C5429" t="inlineStr">
        <is>
          <t>https://www.balearic-properties.com/en/property/id/933700-development-of-villas-cala-ratjada-northeast-mallorca-html</t>
        </is>
      </c>
      <c r="E5429" t="n">
        <v>3</v>
      </c>
      <c r="G5429" t="n">
        <v>0</v>
      </c>
      <c r="H5429" t="n">
        <v>250</v>
      </c>
      <c r="J5429" t="inlineStr">
        <is>
          <t>Cala Ratjada</t>
        </is>
      </c>
      <c r="K5429" t="n">
        <v>77.7</v>
      </c>
      <c r="L5429" t="n">
        <v>66</v>
      </c>
      <c r="M5429" t="n">
        <v>73</v>
      </c>
      <c r="N5429" t="n">
        <v>69</v>
      </c>
      <c r="O5429" t="n">
        <v>111.9</v>
      </c>
      <c r="P5429" t="n">
        <v>91</v>
      </c>
      <c r="Q5429" t="n">
        <v>70.7</v>
      </c>
      <c r="R5429" t="n">
        <v>66</v>
      </c>
      <c r="S5429" t="n">
        <v>1125100</v>
      </c>
      <c r="T5429" t="n">
        <v>4500</v>
      </c>
      <c r="AH5429" t="inlineStr">
        <is>
          <t>Quelle: Balearic Properties</t>
        </is>
      </c>
    </row>
    <row r="5430">
      <c r="A5430" t="n">
        <v>5243</v>
      </c>
      <c r="B5430" t="inlineStr">
        <is>
          <t>Exceptional villa for sale in Crestatx, near Pollensa, North Mallorca</t>
        </is>
      </c>
      <c r="C5430" t="inlineStr">
        <is>
          <t>https://www.balearic-properties.com/en/property/id/938381-contemporary-villa-crestatx-pollensa-mallorca-html</t>
        </is>
      </c>
      <c r="E5430" t="n">
        <v>4</v>
      </c>
      <c r="G5430" t="n">
        <v>1053</v>
      </c>
      <c r="H5430" t="n">
        <v>591</v>
      </c>
      <c r="J5430" t="inlineStr">
        <is>
          <t>Pollença</t>
        </is>
      </c>
      <c r="K5430" t="n">
        <v>60.6</v>
      </c>
      <c r="L5430" t="n">
        <v>47</v>
      </c>
      <c r="M5430" t="n">
        <v>78.7</v>
      </c>
      <c r="N5430" t="n">
        <v>74</v>
      </c>
      <c r="O5430" t="n">
        <v>83.2</v>
      </c>
      <c r="P5430" t="n">
        <v>63</v>
      </c>
      <c r="Q5430" t="n">
        <v>76.40000000000001</v>
      </c>
      <c r="R5430" t="n">
        <v>70</v>
      </c>
      <c r="S5430" t="n">
        <v>2400000</v>
      </c>
      <c r="T5430" t="n">
        <v>4061</v>
      </c>
      <c r="U5430" t="n">
        <v>2279</v>
      </c>
      <c r="AH5430" t="inlineStr">
        <is>
          <t>Quelle: Balearic Properties</t>
        </is>
      </c>
    </row>
    <row r="5431">
      <c r="A5431" t="n">
        <v>5244</v>
      </c>
      <c r="B5431" t="inlineStr">
        <is>
          <t>Attractive modern villa with sea views for sale in Alcanada, Mallorca northeast</t>
        </is>
      </c>
      <c r="C5431" t="inlineStr">
        <is>
          <t>https://www.balearic-properties.com/en/property/id/936927-villa-sea-views-alcanada-mallorca-html</t>
        </is>
      </c>
      <c r="E5431" t="n">
        <v>3</v>
      </c>
      <c r="G5431" t="n">
        <v>389</v>
      </c>
      <c r="H5431" t="n">
        <v>271</v>
      </c>
      <c r="J5431" t="inlineStr">
        <is>
          <t>Alcanada</t>
        </is>
      </c>
      <c r="K5431" t="n">
        <v>64.2</v>
      </c>
      <c r="L5431" t="n">
        <v>48</v>
      </c>
      <c r="M5431" t="n">
        <v>82.3</v>
      </c>
      <c r="N5431" t="n">
        <v>75</v>
      </c>
      <c r="O5431" t="n">
        <v>86.8</v>
      </c>
      <c r="P5431" t="n">
        <v>64</v>
      </c>
      <c r="Q5431" t="n">
        <v>80</v>
      </c>
      <c r="R5431" t="n">
        <v>71</v>
      </c>
      <c r="S5431" t="n">
        <v>1900000</v>
      </c>
      <c r="T5431" t="n">
        <v>7011</v>
      </c>
      <c r="U5431" t="n">
        <v>4884</v>
      </c>
      <c r="AH5431" t="inlineStr">
        <is>
          <t>Quelle: Balearic Properties</t>
        </is>
      </c>
    </row>
    <row r="5432">
      <c r="A5432" t="n">
        <v>5245</v>
      </c>
      <c r="B5432" t="inlineStr">
        <is>
          <t>Mountain view town house for sale in Deia, Mallorca west coast</t>
        </is>
      </c>
      <c r="C5432" t="inlineStr">
        <is>
          <t>https://www.balearic-properties.com/en/property/id/936910-charming-townhouse-mountain-views-deia-mallorca-html</t>
        </is>
      </c>
      <c r="E5432" t="n">
        <v>2</v>
      </c>
      <c r="G5432" t="n">
        <v>71</v>
      </c>
      <c r="H5432" t="n">
        <v>150</v>
      </c>
      <c r="J5432" t="inlineStr">
        <is>
          <t>Deià</t>
        </is>
      </c>
      <c r="S5432" t="n">
        <v>780000</v>
      </c>
      <c r="T5432" t="n">
        <v>5200</v>
      </c>
      <c r="U5432" t="n">
        <v>10986</v>
      </c>
      <c r="AH5432" t="inlineStr">
        <is>
          <t>Quelle: Balearic Properties</t>
        </is>
      </c>
    </row>
    <row r="5433">
      <c r="A5433" t="n">
        <v>5246</v>
      </c>
      <c r="B5433" t="inlineStr">
        <is>
          <t>Stylish penthouse apartment for sale in Bendinat, southwest Mallorca</t>
        </is>
      </c>
      <c r="C5433" t="inlineStr">
        <is>
          <t>https://www.balearic-properties.com/en/property/id/937367-stylish-penthouse-bendinat-mallorca-html</t>
        </is>
      </c>
      <c r="E5433" t="n">
        <v>3</v>
      </c>
      <c r="G5433" t="n">
        <v>0</v>
      </c>
      <c r="H5433" t="n">
        <v>167</v>
      </c>
      <c r="J5433" t="inlineStr">
        <is>
          <t>Bendinat</t>
        </is>
      </c>
      <c r="K5433" t="n">
        <v>23.1</v>
      </c>
      <c r="L5433" t="n">
        <v>22</v>
      </c>
      <c r="M5433" t="n">
        <v>65.8</v>
      </c>
      <c r="N5433" t="n">
        <v>55</v>
      </c>
      <c r="O5433" t="n">
        <v>23.2</v>
      </c>
      <c r="P5433" t="n">
        <v>23</v>
      </c>
      <c r="Q5433" t="n">
        <v>63.5</v>
      </c>
      <c r="R5433" t="n">
        <v>51</v>
      </c>
      <c r="S5433" t="n">
        <v>2250000</v>
      </c>
      <c r="T5433" t="n">
        <v>13473</v>
      </c>
      <c r="AH5433" t="inlineStr">
        <is>
          <t>Quelle: Balearic Properties</t>
        </is>
      </c>
    </row>
    <row r="5434">
      <c r="A5434" t="n">
        <v>5247</v>
      </c>
      <c r="B5434" t="inlineStr">
        <is>
          <t>Luxury villa for sale in Santa Ponsa, Mallorca southwest</t>
        </is>
      </c>
      <c r="C5434" t="inlineStr">
        <is>
          <t>https://www.balearic-properties.com/en/property/id/938426-luxury-villa-santa-ponsa-mallorca-html</t>
        </is>
      </c>
      <c r="E5434" t="n">
        <v>5</v>
      </c>
      <c r="G5434" t="n">
        <v>1389</v>
      </c>
      <c r="H5434" t="n">
        <v>751</v>
      </c>
      <c r="J5434" t="inlineStr">
        <is>
          <t>Santa Ponsa</t>
        </is>
      </c>
      <c r="K5434" t="n">
        <v>31.1</v>
      </c>
      <c r="L5434" t="n">
        <v>28</v>
      </c>
      <c r="M5434" t="n">
        <v>73.90000000000001</v>
      </c>
      <c r="N5434" t="n">
        <v>61</v>
      </c>
      <c r="O5434" t="n">
        <v>15.2</v>
      </c>
      <c r="P5434" t="n">
        <v>19</v>
      </c>
      <c r="Q5434" t="n">
        <v>71.59999999999999</v>
      </c>
      <c r="R5434" t="n">
        <v>57</v>
      </c>
      <c r="AH5434" t="inlineStr">
        <is>
          <t>Quelle: Balearic Properties</t>
        </is>
      </c>
    </row>
    <row r="5435">
      <c r="A5435" t="n">
        <v>5248</v>
      </c>
      <c r="B5435" t="inlineStr">
        <is>
          <t>Stylish and luxurious villa for sale in Old Bendinat, southwest Mallorca</t>
        </is>
      </c>
      <c r="C5435" t="inlineStr">
        <is>
          <t>https://www.balearic-properties.com/en/property/id/919228-seaview-luxury-villa-old-bendinat-mallorca-html</t>
        </is>
      </c>
      <c r="E5435" t="n">
        <v>4</v>
      </c>
      <c r="G5435" t="n">
        <v>750</v>
      </c>
      <c r="H5435" t="n">
        <v>491</v>
      </c>
      <c r="J5435" t="inlineStr">
        <is>
          <t>Bendinat</t>
        </is>
      </c>
      <c r="K5435" t="n">
        <v>23.1</v>
      </c>
      <c r="L5435" t="n">
        <v>22</v>
      </c>
      <c r="M5435" t="n">
        <v>65.8</v>
      </c>
      <c r="N5435" t="n">
        <v>55</v>
      </c>
      <c r="O5435" t="n">
        <v>23.2</v>
      </c>
      <c r="P5435" t="n">
        <v>23</v>
      </c>
      <c r="Q5435" t="n">
        <v>63.5</v>
      </c>
      <c r="R5435" t="n">
        <v>51</v>
      </c>
      <c r="S5435" t="n">
        <v>7800000</v>
      </c>
      <c r="T5435" t="n">
        <v>15886</v>
      </c>
      <c r="U5435" t="n">
        <v>10400</v>
      </c>
      <c r="AH5435" t="inlineStr">
        <is>
          <t>Quelle: Balearic Properties</t>
        </is>
      </c>
    </row>
    <row r="5436">
      <c r="A5436" t="n">
        <v>5249</v>
      </c>
      <c r="B5436" t="inlineStr">
        <is>
          <t>State of the art new build villa with sea views for sale in Portals Nous, Southwest Mallorca</t>
        </is>
      </c>
      <c r="C5436" t="inlineStr">
        <is>
          <t>https://www.balearic-properties.com/en/property/id/938598-new-villa-sea-views-portals-nous-mallorca-html</t>
        </is>
      </c>
      <c r="E5436" t="n">
        <v>4</v>
      </c>
      <c r="G5436" t="n">
        <v>853</v>
      </c>
      <c r="H5436" t="n">
        <v>523</v>
      </c>
      <c r="J5436" t="inlineStr">
        <is>
          <t>Portals Nous</t>
        </is>
      </c>
      <c r="K5436" t="n">
        <v>23.8</v>
      </c>
      <c r="L5436" t="n">
        <v>23</v>
      </c>
      <c r="M5436" t="n">
        <v>66.59999999999999</v>
      </c>
      <c r="N5436" t="n">
        <v>56</v>
      </c>
      <c r="O5436" t="n">
        <v>21.8</v>
      </c>
      <c r="P5436" t="n">
        <v>22</v>
      </c>
      <c r="Q5436" t="n">
        <v>64.3</v>
      </c>
      <c r="R5436" t="n">
        <v>52</v>
      </c>
      <c r="S5436" t="n">
        <v>8950000</v>
      </c>
      <c r="T5436" t="n">
        <v>17113</v>
      </c>
      <c r="U5436" t="n">
        <v>10492</v>
      </c>
      <c r="AH5436" t="inlineStr">
        <is>
          <t>Quelle: Balearic Properties</t>
        </is>
      </c>
    </row>
    <row r="5437">
      <c r="A5437" t="n">
        <v>5250</v>
      </c>
      <c r="B5437" t="inlineStr">
        <is>
          <t>New Apartments for Sale in Colonia de Sant Jordi, Southeast Mallorca</t>
        </is>
      </c>
      <c r="C5437" t="inlineStr">
        <is>
          <t>https://www.balearic-properties.com/en/property/id/933699-new-apartments-colonia-de-sant-jordi-southeast-mallorca-html</t>
        </is>
      </c>
      <c r="E5437" t="n">
        <v>3</v>
      </c>
      <c r="G5437" t="n">
        <v>0</v>
      </c>
      <c r="H5437" t="n">
        <v>408</v>
      </c>
      <c r="J5437" t="inlineStr">
        <is>
          <t>Colònia de Sant Jordi</t>
        </is>
      </c>
      <c r="K5437" t="n">
        <v>46.5</v>
      </c>
      <c r="L5437" t="n">
        <v>41</v>
      </c>
      <c r="M5437" t="n">
        <v>8.199999999999999</v>
      </c>
      <c r="N5437" t="n">
        <v>12</v>
      </c>
      <c r="O5437" t="n">
        <v>84.7</v>
      </c>
      <c r="P5437" t="n">
        <v>68</v>
      </c>
      <c r="Q5437" t="n">
        <v>7.4</v>
      </c>
      <c r="R5437" t="n">
        <v>10</v>
      </c>
      <c r="S5437" t="n">
        <v>1056500</v>
      </c>
      <c r="T5437" t="n">
        <v>2589</v>
      </c>
      <c r="AH5437" t="inlineStr">
        <is>
          <t>Quelle: Balearic Properties</t>
        </is>
      </c>
    </row>
    <row r="5438">
      <c r="A5438" t="n">
        <v>5251</v>
      </c>
      <c r="B5438" t="inlineStr">
        <is>
          <t>Garden apartment with community pool for sale in Sa Coma, Northeast Mallorca</t>
        </is>
      </c>
      <c r="C5438" t="inlineStr">
        <is>
          <t>https://www.balearic-properties.com/en/property/id/938577-garden-apartment-community-pool-sa-coma-northeast-mallorca-html</t>
        </is>
      </c>
      <c r="E5438" t="n">
        <v>3</v>
      </c>
      <c r="G5438" t="n">
        <v>0</v>
      </c>
      <c r="H5438" t="n">
        <v>238</v>
      </c>
      <c r="J5438" t="inlineStr">
        <is>
          <t>Sa Coma</t>
        </is>
      </c>
      <c r="S5438" t="n">
        <v>630000</v>
      </c>
      <c r="T5438" t="n">
        <v>2647</v>
      </c>
      <c r="AH5438" t="inlineStr">
        <is>
          <t>Quelle: Balearic Properties</t>
        </is>
      </c>
    </row>
    <row r="5439">
      <c r="A5439" t="n">
        <v>5252</v>
      </c>
      <c r="B5439" t="inlineStr">
        <is>
          <t>Development of new villas for sale in Colonia de Sant Pere, Northeast Mallorca</t>
        </is>
      </c>
      <c r="C5439" t="inlineStr">
        <is>
          <t>https://www.balearic-properties.com/en/property/id/938584-development-villas-colonia-de-sant-pere-northeast-mallorca-html</t>
        </is>
      </c>
      <c r="E5439" t="n">
        <v>3</v>
      </c>
      <c r="G5439" t="n">
        <v>0</v>
      </c>
      <c r="H5439" t="n">
        <v>369</v>
      </c>
      <c r="J5439" t="inlineStr">
        <is>
          <t>Colònia de Sant Pere</t>
        </is>
      </c>
      <c r="K5439" t="n">
        <v>70</v>
      </c>
      <c r="L5439" t="n">
        <v>60</v>
      </c>
      <c r="M5439" t="n">
        <v>65.40000000000001</v>
      </c>
      <c r="N5439" t="n">
        <v>63</v>
      </c>
      <c r="O5439" t="n">
        <v>105.9</v>
      </c>
      <c r="P5439" t="n">
        <v>84</v>
      </c>
      <c r="Q5439" t="n">
        <v>63.1</v>
      </c>
      <c r="R5439" t="n">
        <v>60</v>
      </c>
      <c r="S5439" t="n">
        <v>1270000</v>
      </c>
      <c r="T5439" t="n">
        <v>3442</v>
      </c>
      <c r="AH5439" t="inlineStr">
        <is>
          <t>Quelle: Balearic Properties</t>
        </is>
      </c>
    </row>
    <row r="5440">
      <c r="A5440" t="n">
        <v>5253</v>
      </c>
      <c r="B5440" t="inlineStr">
        <is>
          <t>Exceptional Private Estate for sale in Llucmajor, South Mallorca</t>
        </is>
      </c>
      <c r="C5440" t="inlineStr">
        <is>
          <t>https://www.balearic-properties.com/en/property/id/938328-exceptional-private-estate-for-sale-in-llucmajor-south-mallorca-html</t>
        </is>
      </c>
      <c r="E5440" t="n">
        <v>22</v>
      </c>
      <c r="G5440" t="n">
        <v>307970</v>
      </c>
      <c r="H5440" t="n">
        <v>2576</v>
      </c>
      <c r="J5440" t="inlineStr">
        <is>
          <t>Llucmajor</t>
        </is>
      </c>
      <c r="K5440" t="n">
        <v>22</v>
      </c>
      <c r="L5440" t="n">
        <v>21</v>
      </c>
      <c r="M5440" t="n">
        <v>28.2</v>
      </c>
      <c r="N5440" t="n">
        <v>33</v>
      </c>
      <c r="O5440" t="n">
        <v>60.2</v>
      </c>
      <c r="P5440" t="n">
        <v>48</v>
      </c>
      <c r="Q5440" t="n">
        <v>25.9</v>
      </c>
      <c r="R5440" t="n">
        <v>29</v>
      </c>
      <c r="S5440" t="n">
        <v>25000000</v>
      </c>
      <c r="T5440" t="n">
        <v>9705</v>
      </c>
      <c r="U5440" t="n">
        <v>81</v>
      </c>
      <c r="AH5440" t="inlineStr">
        <is>
          <t>Quelle: Balearic Properties</t>
        </is>
      </c>
    </row>
    <row r="5441">
      <c r="A5441" t="n">
        <v>5254</v>
      </c>
      <c r="B5441" t="inlineStr">
        <is>
          <t>Elegant villa with fabulous views for sale in Galilea, Mallorca West</t>
        </is>
      </c>
      <c r="C5441" t="inlineStr">
        <is>
          <t>https://www.balearic-properties.com/en/property/id/932806-elegant-villa-rental-license-galilea-mallorca-html</t>
        </is>
      </c>
      <c r="E5441" t="n">
        <v>4</v>
      </c>
      <c r="G5441" t="n">
        <v>1031</v>
      </c>
      <c r="H5441" t="n">
        <v>333</v>
      </c>
      <c r="J5441" t="inlineStr">
        <is>
          <t>Galilea</t>
        </is>
      </c>
      <c r="K5441" t="n">
        <v>30.4</v>
      </c>
      <c r="L5441" t="n">
        <v>38</v>
      </c>
      <c r="M5441" t="n">
        <v>73.2</v>
      </c>
      <c r="N5441" t="n">
        <v>71</v>
      </c>
      <c r="O5441" t="n">
        <v>21.4</v>
      </c>
      <c r="P5441" t="n">
        <v>34</v>
      </c>
      <c r="Q5441" t="n">
        <v>70.90000000000001</v>
      </c>
      <c r="R5441" t="n">
        <v>67</v>
      </c>
      <c r="S5441" t="n">
        <v>1990000</v>
      </c>
      <c r="T5441" t="n">
        <v>5976</v>
      </c>
      <c r="U5441" t="n">
        <v>1930</v>
      </c>
      <c r="AH5441" t="inlineStr">
        <is>
          <t>Quelle: Balearic Properties</t>
        </is>
      </c>
    </row>
    <row r="5442">
      <c r="A5442" t="n">
        <v>5255</v>
      </c>
      <c r="B5442" t="inlineStr">
        <is>
          <t>Exclusive new estate project with guest house for sale in Llucmajor, South Mallorca</t>
        </is>
      </c>
      <c r="C5442" t="inlineStr">
        <is>
          <t>https://www.balearic-properties.com/en/property/id/937433-exclusive-new-estate-project-with-guest-house-for-sale-in-llucmajor-south-mallorca-html</t>
        </is>
      </c>
      <c r="E5442" t="n">
        <v>6</v>
      </c>
      <c r="G5442" t="n">
        <v>14200</v>
      </c>
      <c r="H5442" t="n">
        <v>794</v>
      </c>
      <c r="J5442" t="inlineStr">
        <is>
          <t>Llucmajor</t>
        </is>
      </c>
      <c r="K5442" t="n">
        <v>22</v>
      </c>
      <c r="L5442" t="n">
        <v>21</v>
      </c>
      <c r="M5442" t="n">
        <v>28.2</v>
      </c>
      <c r="N5442" t="n">
        <v>33</v>
      </c>
      <c r="O5442" t="n">
        <v>60.2</v>
      </c>
      <c r="P5442" t="n">
        <v>48</v>
      </c>
      <c r="Q5442" t="n">
        <v>25.9</v>
      </c>
      <c r="R5442" t="n">
        <v>29</v>
      </c>
      <c r="S5442" t="n">
        <v>3750000</v>
      </c>
      <c r="T5442" t="n">
        <v>4723</v>
      </c>
      <c r="U5442" t="n">
        <v>264</v>
      </c>
      <c r="AH5442" t="inlineStr">
        <is>
          <t>Quelle: Balearic Properties</t>
        </is>
      </c>
    </row>
    <row r="5443">
      <c r="A5443" t="n">
        <v>5256</v>
      </c>
      <c r="B5443" t="inlineStr">
        <is>
          <t>Luxurious mansion for sale in top location in Cala Llamp, Andratx, southwest Mallorca</t>
        </is>
      </c>
      <c r="C5443" t="inlineStr">
        <is>
          <t>https://www.balearic-properties.com/en/property/id/871451-villa-cala-llamp-puerto-andratx-html</t>
        </is>
      </c>
      <c r="E5443" t="n">
        <v>6</v>
      </c>
      <c r="G5443" t="n">
        <v>1038</v>
      </c>
      <c r="H5443" t="n">
        <v>691</v>
      </c>
      <c r="J5443" t="inlineStr">
        <is>
          <t>Puerto Andratx</t>
        </is>
      </c>
      <c r="K5443" t="n">
        <v>43.5</v>
      </c>
      <c r="L5443" t="n">
        <v>38</v>
      </c>
      <c r="M5443" t="n">
        <v>86.2</v>
      </c>
      <c r="N5443" t="n">
        <v>71</v>
      </c>
      <c r="O5443" t="n">
        <v>6.3</v>
      </c>
      <c r="P5443" t="n">
        <v>11</v>
      </c>
      <c r="Q5443" t="n">
        <v>83.90000000000001</v>
      </c>
      <c r="R5443" t="n">
        <v>68</v>
      </c>
      <c r="S5443" t="n">
        <v>10500000</v>
      </c>
      <c r="T5443" t="n">
        <v>15195</v>
      </c>
      <c r="U5443" t="n">
        <v>10116</v>
      </c>
      <c r="AH5443" t="inlineStr">
        <is>
          <t>Quelle: Balearic Properties</t>
        </is>
      </c>
    </row>
    <row r="5444">
      <c r="A5444" t="n">
        <v>5257</v>
      </c>
      <c r="B5444" t="inlineStr">
        <is>
          <t>Eco friendly private villa with holiday license for sale in Santa Maria, Mallorca</t>
        </is>
      </c>
      <c r="C5444" t="inlineStr">
        <is>
          <t>https://www.balearic-properties.com/en/property/id/869647-eco-friendly-private-villa-with-holiday-license-for-sale-in-santa-maria-mallorca-html</t>
        </is>
      </c>
      <c r="E5444" t="n">
        <v>6</v>
      </c>
      <c r="G5444" t="n">
        <v>31000</v>
      </c>
      <c r="H5444" t="n">
        <v>520</v>
      </c>
      <c r="J5444" t="inlineStr">
        <is>
          <t>Santa Maria del Camí</t>
        </is>
      </c>
      <c r="K5444" t="n">
        <v>23.5</v>
      </c>
      <c r="L5444" t="n">
        <v>21</v>
      </c>
      <c r="M5444" t="n">
        <v>66.3</v>
      </c>
      <c r="N5444" t="n">
        <v>54</v>
      </c>
      <c r="O5444" t="n">
        <v>46.1</v>
      </c>
      <c r="P5444" t="n">
        <v>37</v>
      </c>
      <c r="Q5444" t="n">
        <v>64</v>
      </c>
      <c r="R5444" t="n">
        <v>51</v>
      </c>
      <c r="S5444" t="n">
        <v>6500000</v>
      </c>
      <c r="T5444" t="n">
        <v>12500</v>
      </c>
      <c r="U5444" t="n">
        <v>210</v>
      </c>
      <c r="AH5444" t="inlineStr">
        <is>
          <t>Quelle: Balearic Properties</t>
        </is>
      </c>
    </row>
    <row r="5445">
      <c r="A5445" t="n">
        <v>5258</v>
      </c>
      <c r="B5445" t="inlineStr">
        <is>
          <t>Luxurious natural stone corner villa for sale near Pollensa, North Mallorca</t>
        </is>
      </c>
      <c r="C5445" t="inlineStr">
        <is>
          <t>https://www.balearic-properties.com/en/property/id/938364-luxurious-natural-stone-villa-pollensa-mallorca-html</t>
        </is>
      </c>
      <c r="E5445" t="n">
        <v>5</v>
      </c>
      <c r="G5445" t="n">
        <v>850</v>
      </c>
      <c r="H5445" t="n">
        <v>404</v>
      </c>
      <c r="J5445" t="inlineStr">
        <is>
          <t>Pollença</t>
        </is>
      </c>
      <c r="K5445" t="n">
        <v>60.6</v>
      </c>
      <c r="L5445" t="n">
        <v>47</v>
      </c>
      <c r="M5445" t="n">
        <v>78.7</v>
      </c>
      <c r="N5445" t="n">
        <v>74</v>
      </c>
      <c r="O5445" t="n">
        <v>83.2</v>
      </c>
      <c r="P5445" t="n">
        <v>63</v>
      </c>
      <c r="Q5445" t="n">
        <v>76.40000000000001</v>
      </c>
      <c r="R5445" t="n">
        <v>70</v>
      </c>
      <c r="S5445" t="n">
        <v>1350000</v>
      </c>
      <c r="T5445" t="n">
        <v>3342</v>
      </c>
      <c r="U5445" t="n">
        <v>1588</v>
      </c>
      <c r="AH5445" t="inlineStr">
        <is>
          <t>Quelle: Balearic Properties</t>
        </is>
      </c>
    </row>
    <row r="5446">
      <c r="A5446" t="n">
        <v>5259</v>
      </c>
      <c r="B5446" t="inlineStr">
        <is>
          <t>Villa with direct sea access and holiday license for sale in Camp de Mar, southwest Mallorca</t>
        </is>
      </c>
      <c r="C5446" t="inlineStr">
        <is>
          <t>https://www.balearic-properties.com/en/property/id/937406-luxury-villa-camp-de-mar-andratx-mallorca-html</t>
        </is>
      </c>
      <c r="E5446" t="n">
        <v>4</v>
      </c>
      <c r="G5446" t="n">
        <v>1426</v>
      </c>
      <c r="H5446" t="n">
        <v>780</v>
      </c>
      <c r="J5446" t="inlineStr">
        <is>
          <t>Camp de Mar</t>
        </is>
      </c>
      <c r="K5446" t="n">
        <v>38.7</v>
      </c>
      <c r="L5446" t="n">
        <v>32</v>
      </c>
      <c r="M5446" t="n">
        <v>81.40000000000001</v>
      </c>
      <c r="N5446" t="n">
        <v>65</v>
      </c>
      <c r="O5446" t="n">
        <v>6.7</v>
      </c>
      <c r="P5446" t="n">
        <v>10</v>
      </c>
      <c r="Q5446" t="n">
        <v>79.09999999999999</v>
      </c>
      <c r="R5446" t="n">
        <v>62</v>
      </c>
      <c r="S5446" t="n">
        <v>11500000</v>
      </c>
      <c r="T5446" t="n">
        <v>14744</v>
      </c>
      <c r="U5446" t="n">
        <v>8065</v>
      </c>
      <c r="AH5446" t="inlineStr">
        <is>
          <t>Quelle: Balearic Properties</t>
        </is>
      </c>
    </row>
    <row r="5447">
      <c r="A5447" t="n">
        <v>5260</v>
      </c>
      <c r="B5447" t="inlineStr">
        <is>
          <t>Traditional townhouse with lovely views for sale in the centre of Pollensa, Mallorca</t>
        </is>
      </c>
      <c r="C5447" t="inlineStr">
        <is>
          <t>https://www.balearic-properties.com/en/property/id/874712-townhouse-centre-pollensa-mallorca-html</t>
        </is>
      </c>
      <c r="E5447" t="n">
        <v>3</v>
      </c>
      <c r="G5447" t="n">
        <v>41</v>
      </c>
      <c r="H5447" t="n">
        <v>100</v>
      </c>
      <c r="J5447" t="inlineStr">
        <is>
          <t>Pollença Pueblo</t>
        </is>
      </c>
      <c r="S5447" t="n">
        <v>385000</v>
      </c>
      <c r="T5447" t="n">
        <v>3850</v>
      </c>
      <c r="U5447" t="n">
        <v>9390</v>
      </c>
      <c r="AH5447" t="inlineStr">
        <is>
          <t>Quelle: Balearic Properties</t>
        </is>
      </c>
    </row>
    <row r="5448">
      <c r="A5448" t="n">
        <v>5261</v>
      </c>
      <c r="B5448" t="inlineStr">
        <is>
          <t>Sophisticated turnkey villa for sale near Pollensa, North Mallorca</t>
        </is>
      </c>
      <c r="C5448" t="inlineStr">
        <is>
          <t>https://www.balearic-properties.com/en/property/id/938053-modern-villa-pollensa-mallorca-html</t>
        </is>
      </c>
      <c r="E5448" t="n">
        <v>4</v>
      </c>
      <c r="G5448" t="n">
        <v>917</v>
      </c>
      <c r="H5448" t="n">
        <v>258</v>
      </c>
      <c r="J5448" t="inlineStr">
        <is>
          <t>Pollença</t>
        </is>
      </c>
      <c r="K5448" t="n">
        <v>60.6</v>
      </c>
      <c r="L5448" t="n">
        <v>47</v>
      </c>
      <c r="M5448" t="n">
        <v>78.7</v>
      </c>
      <c r="N5448" t="n">
        <v>74</v>
      </c>
      <c r="O5448" t="n">
        <v>83.2</v>
      </c>
      <c r="P5448" t="n">
        <v>63</v>
      </c>
      <c r="Q5448" t="n">
        <v>76.40000000000001</v>
      </c>
      <c r="R5448" t="n">
        <v>70</v>
      </c>
      <c r="S5448" t="n">
        <v>2000000</v>
      </c>
      <c r="T5448" t="n">
        <v>7752</v>
      </c>
      <c r="U5448" t="n">
        <v>2181</v>
      </c>
      <c r="AH5448" t="inlineStr">
        <is>
          <t>Quelle: Balearic Properties</t>
        </is>
      </c>
    </row>
    <row r="5449">
      <c r="A5449" t="n">
        <v>5262</v>
      </c>
      <c r="B5449" t="inlineStr">
        <is>
          <t>Impressive country estate for sale in Santanyí, southeast Mallorca</t>
        </is>
      </c>
      <c r="C5449" t="inlineStr">
        <is>
          <t>https://www.balearic-properties.com/en/property/id/937029-country-estate-santanyi-mallorca-html</t>
        </is>
      </c>
      <c r="E5449" t="n">
        <v>5</v>
      </c>
      <c r="G5449" t="n">
        <v>18379</v>
      </c>
      <c r="H5449" t="n">
        <v>529</v>
      </c>
      <c r="J5449" t="inlineStr">
        <is>
          <t>Santanyí</t>
        </is>
      </c>
      <c r="K5449" t="n">
        <v>45.4</v>
      </c>
      <c r="L5449" t="n">
        <v>39</v>
      </c>
      <c r="M5449" t="n">
        <v>9</v>
      </c>
      <c r="N5449" t="n">
        <v>13</v>
      </c>
      <c r="O5449" t="n">
        <v>83.59999999999999</v>
      </c>
      <c r="P5449" t="n">
        <v>67</v>
      </c>
      <c r="Q5449" t="n">
        <v>9.699999999999999</v>
      </c>
      <c r="R5449" t="n">
        <v>15</v>
      </c>
      <c r="S5449" t="n">
        <v>5400000</v>
      </c>
      <c r="T5449" t="n">
        <v>10208</v>
      </c>
      <c r="U5449" t="n">
        <v>294</v>
      </c>
      <c r="AH5449" t="inlineStr">
        <is>
          <t>Quelle: Balearic Properties</t>
        </is>
      </c>
    </row>
    <row r="5450">
      <c r="A5450" t="n">
        <v>5263</v>
      </c>
      <c r="B5450" t="inlineStr">
        <is>
          <t>Modern villa with sea views for sale in Génova, Palma de Mallorca</t>
        </is>
      </c>
      <c r="C5450" t="inlineStr">
        <is>
          <t>https://www.balearic-properties.com/en/property/id/937125-modern-villa-sea-views-genova-palma-mallorca-html</t>
        </is>
      </c>
      <c r="E5450" t="n">
        <v>4</v>
      </c>
      <c r="G5450" t="n">
        <v>1119</v>
      </c>
      <c r="H5450" t="n">
        <v>515</v>
      </c>
      <c r="J5450" t="inlineStr">
        <is>
          <t>Génova</t>
        </is>
      </c>
      <c r="K5450" t="n">
        <v>18</v>
      </c>
      <c r="L5450" t="n">
        <v>20</v>
      </c>
      <c r="M5450" t="n">
        <v>60.7</v>
      </c>
      <c r="N5450" t="n">
        <v>53</v>
      </c>
      <c r="O5450" t="n">
        <v>25.4</v>
      </c>
      <c r="P5450" t="n">
        <v>26</v>
      </c>
      <c r="Q5450" t="n">
        <v>58.4</v>
      </c>
      <c r="R5450" t="n">
        <v>49</v>
      </c>
      <c r="S5450" t="n">
        <v>4150000</v>
      </c>
      <c r="T5450" t="n">
        <v>8058</v>
      </c>
      <c r="U5450" t="n">
        <v>3709</v>
      </c>
      <c r="AH5450" t="inlineStr">
        <is>
          <t>Quelle: Balearic Properties</t>
        </is>
      </c>
    </row>
    <row r="5451">
      <c r="A5451" t="n">
        <v>5264</v>
      </c>
      <c r="B5451" t="inlineStr">
        <is>
          <t>Duplex penthouse for sale in Palma, southwest Mallorca</t>
        </is>
      </c>
      <c r="C5451" t="inlineStr">
        <is>
          <t>https://www.balearic-properties.com/en/property/id/937121-duplex-penthouse-views-palma-mallorca-html</t>
        </is>
      </c>
      <c r="E5451" t="n">
        <v>3</v>
      </c>
      <c r="G5451" t="n">
        <v>76</v>
      </c>
      <c r="H5451" t="n">
        <v>243</v>
      </c>
      <c r="J5451" t="inlineStr">
        <is>
          <t>Palma Casco Antiguo</t>
        </is>
      </c>
      <c r="K5451" t="n">
        <v>9.699999999999999</v>
      </c>
      <c r="L5451" t="n">
        <v>14</v>
      </c>
      <c r="M5451" t="n">
        <v>52.5</v>
      </c>
      <c r="N5451" t="n">
        <v>47</v>
      </c>
      <c r="O5451" t="n">
        <v>32.1</v>
      </c>
      <c r="P5451" t="n">
        <v>36</v>
      </c>
      <c r="Q5451" t="n">
        <v>50.2</v>
      </c>
      <c r="R5451" t="n">
        <v>44</v>
      </c>
      <c r="S5451" t="n">
        <v>3450000</v>
      </c>
      <c r="T5451" t="n">
        <v>14198</v>
      </c>
      <c r="U5451" t="n">
        <v>45395</v>
      </c>
      <c r="AH5451" t="inlineStr">
        <is>
          <t>Quelle: Balearic Properties</t>
        </is>
      </c>
    </row>
    <row r="5452">
      <c r="A5452" t="n">
        <v>5265</v>
      </c>
      <c r="B5452" t="inlineStr">
        <is>
          <t>New development country home for sale in Sineu, Central Mallorca</t>
        </is>
      </c>
      <c r="C5452" t="inlineStr">
        <is>
          <t>https://www.balearic-properties.com/en/property/id/933707-development-country-home-sineu-mallorca-html</t>
        </is>
      </c>
      <c r="E5452" t="n">
        <v>5</v>
      </c>
      <c r="G5452" t="n">
        <v>16651</v>
      </c>
      <c r="H5452" t="n">
        <v>466</v>
      </c>
      <c r="J5452" t="inlineStr">
        <is>
          <t>Sineu</t>
        </is>
      </c>
      <c r="K5452" t="n">
        <v>34.8</v>
      </c>
      <c r="L5452" t="n">
        <v>35</v>
      </c>
      <c r="M5452" t="n">
        <v>42.6</v>
      </c>
      <c r="N5452" t="n">
        <v>44</v>
      </c>
      <c r="O5452" t="n">
        <v>66.59999999999999</v>
      </c>
      <c r="P5452" t="n">
        <v>56</v>
      </c>
      <c r="Q5452" t="n">
        <v>40.3</v>
      </c>
      <c r="R5452" t="n">
        <v>40</v>
      </c>
      <c r="S5452" t="n">
        <v>3800000</v>
      </c>
      <c r="T5452" t="n">
        <v>8155</v>
      </c>
      <c r="U5452" t="n">
        <v>228</v>
      </c>
      <c r="AH5452" t="inlineStr">
        <is>
          <t>Quelle: Balearic Properties</t>
        </is>
      </c>
    </row>
    <row r="5453">
      <c r="A5453" t="n">
        <v>5266</v>
      </c>
      <c r="B5453" t="inlineStr">
        <is>
          <t>Stunning property with panoramic views for sale in Santa Margalida, northeast Mallorca</t>
        </is>
      </c>
      <c r="C5453" t="inlineStr">
        <is>
          <t>https://www.balearic-properties.com/en/property/id/933711-finca-panoramic-views-santa-margalida-mallorca-html</t>
        </is>
      </c>
      <c r="E5453" t="n">
        <v>4</v>
      </c>
      <c r="G5453" t="n">
        <v>14274</v>
      </c>
      <c r="H5453" t="n">
        <v>459</v>
      </c>
      <c r="J5453" t="inlineStr">
        <is>
          <t>Santa Margalida</t>
        </is>
      </c>
      <c r="K5453" t="n">
        <v>56.3</v>
      </c>
      <c r="L5453" t="n">
        <v>47</v>
      </c>
      <c r="M5453" t="n">
        <v>52.4</v>
      </c>
      <c r="N5453" t="n">
        <v>55</v>
      </c>
      <c r="O5453" t="n">
        <v>78.90000000000001</v>
      </c>
      <c r="P5453" t="n">
        <v>63</v>
      </c>
      <c r="Q5453" t="n">
        <v>50.1</v>
      </c>
      <c r="R5453" t="n">
        <v>51</v>
      </c>
      <c r="S5453" t="n">
        <v>3200000</v>
      </c>
      <c r="T5453" t="n">
        <v>6972</v>
      </c>
      <c r="U5453" t="n">
        <v>224</v>
      </c>
      <c r="AH5453" t="inlineStr">
        <is>
          <t>Quelle: Balearic Properties</t>
        </is>
      </c>
    </row>
    <row r="5454">
      <c r="A5454" t="n">
        <v>5267</v>
      </c>
      <c r="B5454" t="inlineStr">
        <is>
          <t>Villa with stunning views for sale in Cala Ratjada, Northeast Mallorca</t>
        </is>
      </c>
      <c r="C5454" t="inlineStr">
        <is>
          <t>https://www.balearic-properties.com/en/property/id/933687-villa-views-pool-cala-ratjada-northeast-mallorca-html</t>
        </is>
      </c>
      <c r="E5454" t="n">
        <v>5</v>
      </c>
      <c r="G5454" t="n">
        <v>1804</v>
      </c>
      <c r="H5454" t="n">
        <v>677</v>
      </c>
      <c r="J5454" t="inlineStr">
        <is>
          <t>Cala Ratjada</t>
        </is>
      </c>
      <c r="K5454" t="n">
        <v>77.7</v>
      </c>
      <c r="L5454" t="n">
        <v>66</v>
      </c>
      <c r="M5454" t="n">
        <v>73</v>
      </c>
      <c r="N5454" t="n">
        <v>69</v>
      </c>
      <c r="O5454" t="n">
        <v>111.9</v>
      </c>
      <c r="P5454" t="n">
        <v>91</v>
      </c>
      <c r="Q5454" t="n">
        <v>70.7</v>
      </c>
      <c r="R5454" t="n">
        <v>66</v>
      </c>
      <c r="S5454" t="n">
        <v>2600000</v>
      </c>
      <c r="T5454" t="n">
        <v>3840</v>
      </c>
      <c r="U5454" t="n">
        <v>1441</v>
      </c>
      <c r="AH5454" t="inlineStr">
        <is>
          <t>Quelle: Balearic Properties</t>
        </is>
      </c>
    </row>
    <row r="5455">
      <c r="A5455" t="n">
        <v>5268</v>
      </c>
      <c r="B5455" t="inlineStr">
        <is>
          <t>Country finca for sale on a large plot in Moscari, Mallorca</t>
        </is>
      </c>
      <c r="C5455" t="inlineStr">
        <is>
          <t>https://www.balearic-properties.com/en/property/id/831587-country-finca-guest-apartment-moscari-mallorca-html</t>
        </is>
      </c>
      <c r="E5455" t="n">
        <v>4</v>
      </c>
      <c r="G5455" t="n">
        <v>8000</v>
      </c>
      <c r="H5455" t="n">
        <v>360</v>
      </c>
      <c r="J5455" t="inlineStr">
        <is>
          <t>Moscari</t>
        </is>
      </c>
      <c r="K5455" t="n">
        <v>48.8</v>
      </c>
      <c r="L5455" t="n">
        <v>40</v>
      </c>
      <c r="M5455" t="n">
        <v>66.90000000000001</v>
      </c>
      <c r="N5455" t="n">
        <v>67</v>
      </c>
      <c r="O5455" t="n">
        <v>71.40000000000001</v>
      </c>
      <c r="P5455" t="n">
        <v>56</v>
      </c>
      <c r="Q5455" t="n">
        <v>64.59999999999999</v>
      </c>
      <c r="R5455" t="n">
        <v>63</v>
      </c>
      <c r="S5455" t="n">
        <v>1675000</v>
      </c>
      <c r="T5455" t="n">
        <v>4653</v>
      </c>
      <c r="U5455" t="n">
        <v>209</v>
      </c>
      <c r="AH5455" t="inlineStr">
        <is>
          <t>Quelle: Balearic Properties</t>
        </is>
      </c>
    </row>
    <row r="5456">
      <c r="A5456" t="n">
        <v>5269</v>
      </c>
      <c r="B5456" t="inlineStr">
        <is>
          <t>Ultra-modern luxury villa for sale in Bendinat, Mallorca</t>
        </is>
      </c>
      <c r="C5456" t="inlineStr">
        <is>
          <t>https://www.balearic-properties.com/en/property/id/804275-designer-villa-near-the-beach-html</t>
        </is>
      </c>
      <c r="E5456" t="n">
        <v>6</v>
      </c>
      <c r="G5456" t="n">
        <v>824</v>
      </c>
      <c r="H5456" t="n">
        <v>480</v>
      </c>
      <c r="J5456" t="inlineStr">
        <is>
          <t>Bendinat</t>
        </is>
      </c>
      <c r="K5456" t="n">
        <v>23.1</v>
      </c>
      <c r="L5456" t="n">
        <v>22</v>
      </c>
      <c r="M5456" t="n">
        <v>65.8</v>
      </c>
      <c r="N5456" t="n">
        <v>55</v>
      </c>
      <c r="O5456" t="n">
        <v>23.2</v>
      </c>
      <c r="P5456" t="n">
        <v>23</v>
      </c>
      <c r="Q5456" t="n">
        <v>63.5</v>
      </c>
      <c r="R5456" t="n">
        <v>51</v>
      </c>
      <c r="S5456" t="n">
        <v>7475000</v>
      </c>
      <c r="T5456" t="n">
        <v>15573</v>
      </c>
      <c r="U5456" t="n">
        <v>9072</v>
      </c>
      <c r="AH5456" t="inlineStr">
        <is>
          <t>Quelle: Balearic Properties</t>
        </is>
      </c>
    </row>
    <row r="5457">
      <c r="A5457" t="n">
        <v>5270</v>
      </c>
      <c r="B5457" t="inlineStr">
        <is>
          <t>Brand new penthouse for sale in Cala d'Or, southeast Mallorca</t>
        </is>
      </c>
      <c r="C5457" t="inlineStr">
        <is>
          <t>https://www.balearic-properties.com/en/property/id/937019-new-apartments-penthouse-cala-dor-mallorca-html</t>
        </is>
      </c>
      <c r="E5457" t="n">
        <v>2</v>
      </c>
      <c r="G5457" t="n">
        <v>0</v>
      </c>
      <c r="H5457" t="n">
        <v>61</v>
      </c>
      <c r="J5457" t="inlineStr">
        <is>
          <t>Cala d´Or</t>
        </is>
      </c>
      <c r="S5457" t="n">
        <v>430000</v>
      </c>
      <c r="T5457" t="n">
        <v>7049</v>
      </c>
      <c r="AH5457" t="inlineStr">
        <is>
          <t>Quelle: Balearic Properties</t>
        </is>
      </c>
    </row>
    <row r="5458">
      <c r="A5458" t="n">
        <v>5271</v>
      </c>
      <c r="B5458" t="inlineStr">
        <is>
          <t>Elegantly renovated corner house for sale in Pòrtol, near Palma de Mallorca</t>
        </is>
      </c>
      <c r="C5458" t="inlineStr">
        <is>
          <t>https://www.balearic-properties.com/en/property/id/934610-renovated-house-pool-garden-portol-palma-mallorca-html</t>
        </is>
      </c>
      <c r="E5458" t="n">
        <v>5</v>
      </c>
      <c r="G5458" t="n">
        <v>420</v>
      </c>
      <c r="H5458" t="n">
        <v>314</v>
      </c>
      <c r="J5458" t="inlineStr">
        <is>
          <t>Portol</t>
        </is>
      </c>
      <c r="K5458" t="n">
        <v>26.8</v>
      </c>
      <c r="L5458" t="n">
        <v>26</v>
      </c>
      <c r="M5458" t="n">
        <v>69.59999999999999</v>
      </c>
      <c r="N5458" t="n">
        <v>59</v>
      </c>
      <c r="O5458" t="n">
        <v>49.4</v>
      </c>
      <c r="P5458" t="n">
        <v>42</v>
      </c>
      <c r="Q5458" t="n">
        <v>67.3</v>
      </c>
      <c r="R5458" t="n">
        <v>55</v>
      </c>
      <c r="S5458" t="n">
        <v>1420000</v>
      </c>
      <c r="T5458" t="n">
        <v>4522</v>
      </c>
      <c r="U5458" t="n">
        <v>3381</v>
      </c>
      <c r="AH5458" t="inlineStr">
        <is>
          <t>Quelle: Balearic Properties</t>
        </is>
      </c>
    </row>
    <row r="5459">
      <c r="A5459" t="n">
        <v>5272</v>
      </c>
      <c r="B5459" t="inlineStr">
        <is>
          <t>Exclusive newly built villa with pool for sale in Nova Santa Ponsa, Southwest Mallorca</t>
        </is>
      </c>
      <c r="C5459" t="inlineStr">
        <is>
          <t>https://www.balearic-properties.com/en/property/id/936825-new-villa-pool-nova-santa-ponsa-mallorca-html</t>
        </is>
      </c>
      <c r="E5459" t="n">
        <v>7</v>
      </c>
      <c r="G5459" t="n">
        <v>0</v>
      </c>
      <c r="H5459" t="n">
        <v>968</v>
      </c>
      <c r="J5459" t="inlineStr">
        <is>
          <t>Santa Ponsa</t>
        </is>
      </c>
      <c r="K5459" t="n">
        <v>31.1</v>
      </c>
      <c r="L5459" t="n">
        <v>28</v>
      </c>
      <c r="M5459" t="n">
        <v>73.90000000000001</v>
      </c>
      <c r="N5459" t="n">
        <v>61</v>
      </c>
      <c r="O5459" t="n">
        <v>15.2</v>
      </c>
      <c r="P5459" t="n">
        <v>19</v>
      </c>
      <c r="Q5459" t="n">
        <v>71.59999999999999</v>
      </c>
      <c r="R5459" t="n">
        <v>57</v>
      </c>
      <c r="S5459" t="n">
        <v>6550000</v>
      </c>
      <c r="T5459" t="n">
        <v>6767</v>
      </c>
      <c r="AH5459" t="inlineStr">
        <is>
          <t>Quelle: Balearic Properties</t>
        </is>
      </c>
    </row>
    <row r="5460">
      <c r="A5460" t="n">
        <v>5273</v>
      </c>
      <c r="B5460" t="inlineStr">
        <is>
          <t>Finca under construction with panoramic mountain views for sale in Inca, Central Mallorca</t>
        </is>
      </c>
      <c r="C5460" t="inlineStr">
        <is>
          <t>https://www.balearic-properties.com/en/property/id/935195-modern-finca-mountain-views-inca-mallorca-html</t>
        </is>
      </c>
      <c r="E5460" t="n">
        <v>7</v>
      </c>
      <c r="G5460" t="n">
        <v>19347</v>
      </c>
      <c r="H5460" t="n">
        <v>794</v>
      </c>
      <c r="J5460" t="inlineStr">
        <is>
          <t>Inca</t>
        </is>
      </c>
      <c r="K5460" t="n">
        <v>37.5</v>
      </c>
      <c r="L5460" t="n">
        <v>29</v>
      </c>
      <c r="M5460" t="n">
        <v>55.6</v>
      </c>
      <c r="N5460" t="n">
        <v>55</v>
      </c>
      <c r="O5460" t="n">
        <v>60.1</v>
      </c>
      <c r="P5460" t="n">
        <v>45</v>
      </c>
      <c r="Q5460" t="n">
        <v>53.3</v>
      </c>
      <c r="R5460" t="n">
        <v>51</v>
      </c>
      <c r="S5460" t="n">
        <v>4300000</v>
      </c>
      <c r="T5460" t="n">
        <v>5416</v>
      </c>
      <c r="U5460" t="n">
        <v>222</v>
      </c>
      <c r="AH5460" t="inlineStr">
        <is>
          <t>Quelle: Balearic Properties</t>
        </is>
      </c>
    </row>
    <row r="5461">
      <c r="A5461" t="n">
        <v>5274</v>
      </c>
      <c r="B5461" t="inlineStr">
        <is>
          <t>Village house for sale with loads of potential in central Pollensa, north Mallorca</t>
        </is>
      </c>
      <c r="C5461" t="inlineStr">
        <is>
          <t>https://www.balearic-properties.com/en/property/id/935487-village-house-pollensa-mallorca-html</t>
        </is>
      </c>
      <c r="E5461" t="n">
        <v>5</v>
      </c>
      <c r="G5461" t="n">
        <v>0</v>
      </c>
      <c r="H5461" t="n">
        <v>236</v>
      </c>
      <c r="J5461" t="inlineStr">
        <is>
          <t>Pollença Pueblo</t>
        </is>
      </c>
      <c r="K5461" t="n">
        <v>60.6</v>
      </c>
      <c r="L5461" t="n">
        <v>47</v>
      </c>
      <c r="M5461" t="n">
        <v>78.7</v>
      </c>
      <c r="N5461" t="n">
        <v>74</v>
      </c>
      <c r="O5461" t="n">
        <v>83.2</v>
      </c>
      <c r="P5461" t="n">
        <v>63</v>
      </c>
      <c r="Q5461" t="n">
        <v>76.40000000000001</v>
      </c>
      <c r="R5461" t="n">
        <v>70</v>
      </c>
      <c r="S5461" t="n">
        <v>670000</v>
      </c>
      <c r="T5461" t="n">
        <v>2839</v>
      </c>
      <c r="AH5461" t="inlineStr">
        <is>
          <t>Quelle: Balearic Properties</t>
        </is>
      </c>
    </row>
    <row r="5462">
      <c r="A5462" t="n">
        <v>5275</v>
      </c>
      <c r="B5462" t="inlineStr">
        <is>
          <t>Charming villa with beautiful views for sale in Esporles, northwest Mallorca</t>
        </is>
      </c>
      <c r="C5462" t="inlineStr">
        <is>
          <t>https://www.balearic-properties.com/en/property/id/936675-villa-views-mountains-esporles-mallorca-html</t>
        </is>
      </c>
      <c r="E5462" t="n">
        <v>3</v>
      </c>
      <c r="G5462" t="n">
        <v>674</v>
      </c>
      <c r="H5462" t="n">
        <v>249</v>
      </c>
      <c r="J5462" t="inlineStr">
        <is>
          <t>Esporles</t>
        </is>
      </c>
      <c r="K5462" t="n">
        <v>24.9</v>
      </c>
      <c r="L5462" t="n">
        <v>27</v>
      </c>
      <c r="M5462" t="n">
        <v>67.59999999999999</v>
      </c>
      <c r="N5462" t="n">
        <v>60</v>
      </c>
      <c r="O5462" t="n">
        <v>43.2</v>
      </c>
      <c r="P5462" t="n">
        <v>40</v>
      </c>
      <c r="Q5462" t="n">
        <v>65.3</v>
      </c>
      <c r="R5462" t="n">
        <v>57</v>
      </c>
      <c r="S5462" t="n">
        <v>2450000</v>
      </c>
      <c r="T5462" t="n">
        <v>9839</v>
      </c>
      <c r="U5462" t="n">
        <v>3635</v>
      </c>
      <c r="AH5462" t="inlineStr">
        <is>
          <t>Quelle: Balearic Properties</t>
        </is>
      </c>
    </row>
    <row r="5463">
      <c r="A5463" t="n">
        <v>5276</v>
      </c>
      <c r="B5463" t="inlineStr">
        <is>
          <t>Impressive luxury house with expansive views for sale in Buger, Mallorca</t>
        </is>
      </c>
      <c r="C5463" t="inlineStr">
        <is>
          <t>https://www.balearic-properties.com/en/property/id/773215-mallorca-villa-buger-html</t>
        </is>
      </c>
      <c r="E5463" t="n">
        <v>5</v>
      </c>
      <c r="G5463" t="n">
        <v>382</v>
      </c>
      <c r="H5463" t="n">
        <v>425</v>
      </c>
      <c r="J5463" t="inlineStr">
        <is>
          <t>Búger</t>
        </is>
      </c>
      <c r="K5463" t="n">
        <v>46.1</v>
      </c>
      <c r="L5463" t="n">
        <v>35</v>
      </c>
      <c r="M5463" t="n">
        <v>64.2</v>
      </c>
      <c r="N5463" t="n">
        <v>62</v>
      </c>
      <c r="O5463" t="n">
        <v>68.7</v>
      </c>
      <c r="P5463" t="n">
        <v>51</v>
      </c>
      <c r="Q5463" t="n">
        <v>61.9</v>
      </c>
      <c r="R5463" t="n">
        <v>58</v>
      </c>
      <c r="S5463" t="n">
        <v>3100000</v>
      </c>
      <c r="T5463" t="n">
        <v>7294</v>
      </c>
      <c r="U5463" t="n">
        <v>8115</v>
      </c>
      <c r="AH5463" t="inlineStr">
        <is>
          <t>Quelle: Balearic Properties</t>
        </is>
      </c>
    </row>
    <row r="5464">
      <c r="A5464" t="n">
        <v>5277</v>
      </c>
      <c r="B5464" t="inlineStr">
        <is>
          <t>Elegant finca with mountain views for sale in Alaró, northwest Mallorca</t>
        </is>
      </c>
      <c r="C5464" t="inlineStr">
        <is>
          <t>https://www.balearic-properties.com/en/property/id/935892-finca-mountain-views-alaro-mallorca-html</t>
        </is>
      </c>
      <c r="E5464" t="n">
        <v>4</v>
      </c>
      <c r="G5464" t="n">
        <v>16451</v>
      </c>
      <c r="H5464" t="n">
        <v>413</v>
      </c>
      <c r="J5464" t="inlineStr">
        <is>
          <t>Alaró</t>
        </is>
      </c>
      <c r="K5464" t="n">
        <v>33.4</v>
      </c>
      <c r="L5464" t="n">
        <v>33</v>
      </c>
      <c r="M5464" t="n">
        <v>76.09999999999999</v>
      </c>
      <c r="N5464" t="n">
        <v>66</v>
      </c>
      <c r="O5464" t="n">
        <v>55.9</v>
      </c>
      <c r="P5464" t="n">
        <v>49</v>
      </c>
      <c r="Q5464" t="n">
        <v>73.8</v>
      </c>
      <c r="R5464" t="n">
        <v>62</v>
      </c>
      <c r="S5464" t="n">
        <v>3200000</v>
      </c>
      <c r="T5464" t="n">
        <v>7748</v>
      </c>
      <c r="U5464" t="n">
        <v>195</v>
      </c>
      <c r="AH5464" t="inlineStr">
        <is>
          <t>Quelle: Balearic Properties</t>
        </is>
      </c>
    </row>
    <row r="5465">
      <c r="A5465" t="n">
        <v>5278</v>
      </c>
      <c r="B5465" t="inlineStr">
        <is>
          <t>Beautifully renovated village house with plunge pool for sale in Pollensa, Mallorca North</t>
        </is>
      </c>
      <c r="C5465" t="inlineStr">
        <is>
          <t>https://www.balearic-properties.com/en/property/id/936631-townhouse-pool-roof-terrace-pollensa-mallorca-html</t>
        </is>
      </c>
      <c r="E5465" t="n">
        <v>3</v>
      </c>
      <c r="G5465" t="n">
        <v>69</v>
      </c>
      <c r="H5465" t="n">
        <v>216</v>
      </c>
      <c r="J5465" t="inlineStr">
        <is>
          <t>Pollença Pueblo</t>
        </is>
      </c>
      <c r="K5465" t="n">
        <v>60.6</v>
      </c>
      <c r="L5465" t="n">
        <v>47</v>
      </c>
      <c r="M5465" t="n">
        <v>78.7</v>
      </c>
      <c r="N5465" t="n">
        <v>74</v>
      </c>
      <c r="O5465" t="n">
        <v>83.2</v>
      </c>
      <c r="P5465" t="n">
        <v>63</v>
      </c>
      <c r="Q5465" t="n">
        <v>76.40000000000001</v>
      </c>
      <c r="R5465" t="n">
        <v>70</v>
      </c>
      <c r="S5465" t="n">
        <v>1100000</v>
      </c>
      <c r="T5465" t="n">
        <v>5093</v>
      </c>
      <c r="U5465" t="n">
        <v>15942</v>
      </c>
      <c r="AH5465" t="inlineStr">
        <is>
          <t>Quelle: Balearic Properties</t>
        </is>
      </c>
    </row>
    <row r="5466">
      <c r="A5466" t="n">
        <v>5279</v>
      </c>
      <c r="B5466" t="inlineStr">
        <is>
          <t>Brand new villa with harbour and mountains views for sale in Port de Soller, northwest Mallorca</t>
        </is>
      </c>
      <c r="C5466" t="inlineStr">
        <is>
          <t>https://www.balearic-properties.com/en/property/id/936257-new-villa-harbour-mountains-views-port-soller-mallorca-html</t>
        </is>
      </c>
      <c r="E5466" t="n">
        <v>3</v>
      </c>
      <c r="G5466" t="n">
        <v>487</v>
      </c>
      <c r="H5466" t="n">
        <v>290</v>
      </c>
      <c r="J5466" t="inlineStr">
        <is>
          <t>Port de Sóller</t>
        </is>
      </c>
      <c r="K5466" t="n">
        <v>36.3</v>
      </c>
      <c r="L5466" t="n">
        <v>42</v>
      </c>
      <c r="M5466" t="n">
        <v>79.09999999999999</v>
      </c>
      <c r="N5466" t="n">
        <v>75</v>
      </c>
      <c r="O5466" t="n">
        <v>56</v>
      </c>
      <c r="P5466" t="n">
        <v>55</v>
      </c>
      <c r="Q5466" t="n">
        <v>76.8</v>
      </c>
      <c r="R5466" t="n">
        <v>71</v>
      </c>
      <c r="S5466" t="n">
        <v>2700000</v>
      </c>
      <c r="T5466" t="n">
        <v>9310</v>
      </c>
      <c r="U5466" t="n">
        <v>5544</v>
      </c>
      <c r="AH5466" t="inlineStr">
        <is>
          <t>Quelle: Balearic Properties</t>
        </is>
      </c>
    </row>
    <row r="5467">
      <c r="A5467" t="n">
        <v>5280</v>
      </c>
      <c r="B5467" t="inlineStr">
        <is>
          <t>Spacious house with large garden and pool for sale in Establiments, Palma de Mallorca</t>
        </is>
      </c>
      <c r="C5467" t="inlineStr">
        <is>
          <t>https://www.balearic-properties.com/en/property/id/934436-house-garden-pool-establiments-palma-mallorca-html</t>
        </is>
      </c>
      <c r="E5467" t="n">
        <v>3</v>
      </c>
      <c r="G5467" t="n">
        <v>3400</v>
      </c>
      <c r="H5467" t="n">
        <v>226</v>
      </c>
      <c r="J5467" t="inlineStr">
        <is>
          <t>Establiments</t>
        </is>
      </c>
      <c r="K5467" t="n">
        <v>19</v>
      </c>
      <c r="L5467" t="n">
        <v>25</v>
      </c>
      <c r="M5467" t="n">
        <v>61.8</v>
      </c>
      <c r="N5467" t="n">
        <v>58</v>
      </c>
      <c r="O5467" t="n">
        <v>35.7</v>
      </c>
      <c r="P5467" t="n">
        <v>39</v>
      </c>
      <c r="Q5467" t="n">
        <v>59.5</v>
      </c>
      <c r="R5467" t="n">
        <v>55</v>
      </c>
      <c r="S5467" t="n">
        <v>1650000</v>
      </c>
      <c r="T5467" t="n">
        <v>7301</v>
      </c>
      <c r="U5467" t="n">
        <v>485</v>
      </c>
      <c r="AH5467" t="inlineStr">
        <is>
          <t>Quelle: Balearic Properties</t>
        </is>
      </c>
    </row>
    <row r="5468">
      <c r="A5468" t="n">
        <v>5281</v>
      </c>
      <c r="B5468" t="inlineStr">
        <is>
          <t>Stunning renovated town house for sale in the heart of Alaró, northwest Mallorca</t>
        </is>
      </c>
      <c r="C5468" t="inlineStr">
        <is>
          <t>https://www.balearic-properties.com/en/property/id/934698-renovated-townhouse-alaro-northwest-mallorca-html</t>
        </is>
      </c>
      <c r="E5468" t="n">
        <v>5</v>
      </c>
      <c r="G5468" t="n">
        <v>205</v>
      </c>
      <c r="H5468" t="n">
        <v>251</v>
      </c>
      <c r="J5468" t="inlineStr">
        <is>
          <t>Alaró</t>
        </is>
      </c>
      <c r="K5468" t="n">
        <v>33.4</v>
      </c>
      <c r="L5468" t="n">
        <v>33</v>
      </c>
      <c r="M5468" t="n">
        <v>76.09999999999999</v>
      </c>
      <c r="N5468" t="n">
        <v>66</v>
      </c>
      <c r="O5468" t="n">
        <v>55.9</v>
      </c>
      <c r="P5468" t="n">
        <v>49</v>
      </c>
      <c r="Q5468" t="n">
        <v>73.8</v>
      </c>
      <c r="R5468" t="n">
        <v>62</v>
      </c>
      <c r="S5468" t="n">
        <v>1425000</v>
      </c>
      <c r="T5468" t="n">
        <v>5677</v>
      </c>
      <c r="U5468" t="n">
        <v>6951</v>
      </c>
      <c r="AH5468" t="inlineStr">
        <is>
          <t>Quelle: Balearic Properties</t>
        </is>
      </c>
    </row>
    <row r="5469">
      <c r="A5469" t="n">
        <v>5282</v>
      </c>
      <c r="B5469" t="inlineStr">
        <is>
          <t>Beautiful new villa for sale near the golf course in Son Gual, Palma de Mallorca</t>
        </is>
      </c>
      <c r="C5469" t="inlineStr">
        <is>
          <t>https://www.balearic-properties.com/en/property/id/936009-new-villa-golf-son-gual-palma-mallorca-html</t>
        </is>
      </c>
      <c r="E5469" t="n">
        <v>5</v>
      </c>
      <c r="G5469" t="n">
        <v>2006</v>
      </c>
      <c r="H5469" t="n">
        <v>595</v>
      </c>
      <c r="J5469" t="inlineStr">
        <is>
          <t>Son Gual</t>
        </is>
      </c>
      <c r="K5469" t="n">
        <v>15.4</v>
      </c>
      <c r="L5469" t="n">
        <v>18</v>
      </c>
      <c r="M5469" t="n">
        <v>45.2</v>
      </c>
      <c r="N5469" t="n">
        <v>43</v>
      </c>
      <c r="O5469" t="n">
        <v>49.6</v>
      </c>
      <c r="P5469" t="n">
        <v>43</v>
      </c>
      <c r="Q5469" t="n">
        <v>42.9</v>
      </c>
      <c r="R5469" t="n">
        <v>39</v>
      </c>
      <c r="S5469" t="n">
        <v>2640000</v>
      </c>
      <c r="T5469" t="n">
        <v>4437</v>
      </c>
      <c r="U5469" t="n">
        <v>1316</v>
      </c>
      <c r="AH5469" t="inlineStr">
        <is>
          <t>Quelle: Balearic Properties</t>
        </is>
      </c>
    </row>
    <row r="5470">
      <c r="A5470" t="n">
        <v>5283</v>
      </c>
      <c r="B5470" t="inlineStr">
        <is>
          <t>Sea view villa with heated pool for sale in Costa de la Calma, Southwest Mallorca</t>
        </is>
      </c>
      <c r="C5470" t="inlineStr">
        <is>
          <t>https://www.balearic-properties.com/en/property/id/935182-villa-partial-sea-views-costa-calma-mallorca-html</t>
        </is>
      </c>
      <c r="E5470" t="n">
        <v>5</v>
      </c>
      <c r="G5470" t="n">
        <v>1365</v>
      </c>
      <c r="H5470" t="n">
        <v>464</v>
      </c>
      <c r="J5470" t="inlineStr">
        <is>
          <t>Costa de la Calma</t>
        </is>
      </c>
      <c r="K5470" t="n">
        <v>32.6</v>
      </c>
      <c r="L5470" t="n">
        <v>29</v>
      </c>
      <c r="M5470" t="n">
        <v>75.40000000000001</v>
      </c>
      <c r="N5470" t="n">
        <v>62</v>
      </c>
      <c r="O5470" t="n">
        <v>13.7</v>
      </c>
      <c r="P5470" t="n">
        <v>18</v>
      </c>
      <c r="Q5470" t="n">
        <v>73.09999999999999</v>
      </c>
      <c r="R5470" t="n">
        <v>58</v>
      </c>
      <c r="S5470" t="n">
        <v>2550000</v>
      </c>
      <c r="T5470" t="n">
        <v>5496</v>
      </c>
      <c r="U5470" t="n">
        <v>1868</v>
      </c>
      <c r="AH5470" t="inlineStr">
        <is>
          <t>Quelle: Balearic Properties</t>
        </is>
      </c>
    </row>
    <row r="5471">
      <c r="A5471" t="n">
        <v>5284</v>
      </c>
      <c r="B5471" t="inlineStr">
        <is>
          <t>Brand new finca for sale in the countryside of Santa Maria del Cami, Mallorca</t>
        </is>
      </c>
      <c r="C5471" t="inlineStr">
        <is>
          <t>https://www.balearic-properties.com/en/property/id/931049-brand-new-finca-mountains-views-santa-maria-del-cami-mallorca-html</t>
        </is>
      </c>
      <c r="E5471" t="n">
        <v>5</v>
      </c>
      <c r="G5471" t="n">
        <v>15845</v>
      </c>
      <c r="H5471" t="n">
        <v>818</v>
      </c>
      <c r="J5471" t="inlineStr">
        <is>
          <t>Santa Maria del Camí</t>
        </is>
      </c>
      <c r="K5471" t="n">
        <v>23.5</v>
      </c>
      <c r="L5471" t="n">
        <v>21</v>
      </c>
      <c r="M5471" t="n">
        <v>66.3</v>
      </c>
      <c r="N5471" t="n">
        <v>54</v>
      </c>
      <c r="O5471" t="n">
        <v>46.1</v>
      </c>
      <c r="P5471" t="n">
        <v>37</v>
      </c>
      <c r="Q5471" t="n">
        <v>64</v>
      </c>
      <c r="R5471" t="n">
        <v>51</v>
      </c>
      <c r="S5471" t="n">
        <v>8750000</v>
      </c>
      <c r="T5471" t="n">
        <v>10697</v>
      </c>
      <c r="U5471" t="n">
        <v>552</v>
      </c>
      <c r="AH5471" t="inlineStr">
        <is>
          <t>Quelle: Balearic Properties</t>
        </is>
      </c>
    </row>
    <row r="5472">
      <c r="A5472" t="n">
        <v>5285</v>
      </c>
      <c r="B5472" t="inlineStr">
        <is>
          <t>Finca to refurbish with sea views for sale in near Puerto Andratx, Southwest Mallorca</t>
        </is>
      </c>
      <c r="C5472" t="inlineStr">
        <is>
          <t>https://www.balearic-properties.com/en/property/id/933733-hillside-finca-renovation-puerto-andratx-mallorca-html</t>
        </is>
      </c>
      <c r="E5472" t="n">
        <v>3</v>
      </c>
      <c r="G5472" t="n">
        <v>20748</v>
      </c>
      <c r="H5472" t="n">
        <v>237</v>
      </c>
      <c r="J5472" t="inlineStr">
        <is>
          <t>Puerto Andratx</t>
        </is>
      </c>
      <c r="K5472" t="n">
        <v>43.5</v>
      </c>
      <c r="L5472" t="n">
        <v>38</v>
      </c>
      <c r="M5472" t="n">
        <v>86.2</v>
      </c>
      <c r="N5472" t="n">
        <v>71</v>
      </c>
      <c r="O5472" t="n">
        <v>6.3</v>
      </c>
      <c r="P5472" t="n">
        <v>11</v>
      </c>
      <c r="Q5472" t="n">
        <v>83.90000000000001</v>
      </c>
      <c r="R5472" t="n">
        <v>68</v>
      </c>
      <c r="S5472" t="n">
        <v>2000000</v>
      </c>
      <c r="T5472" t="n">
        <v>8439</v>
      </c>
      <c r="U5472" t="n">
        <v>96</v>
      </c>
      <c r="AH5472" t="inlineStr">
        <is>
          <t>Quelle: Balearic Properties</t>
        </is>
      </c>
    </row>
    <row r="5473">
      <c r="A5473" t="n">
        <v>5286</v>
      </c>
      <c r="B5473" t="inlineStr">
        <is>
          <t>Versatile family villa for sale close to the beach in Bonaire, North Mallorca</t>
        </is>
      </c>
      <c r="C5473" t="inlineStr">
        <is>
          <t>https://www.balearic-properties.com/en/property/id/924759-family-villa-beach-bonaire-alcudia-mallorca-html</t>
        </is>
      </c>
      <c r="E5473" t="n">
        <v>4</v>
      </c>
      <c r="G5473" t="n">
        <v>612</v>
      </c>
      <c r="H5473" t="n">
        <v>318</v>
      </c>
      <c r="J5473" t="inlineStr">
        <is>
          <t>Bonaire</t>
        </is>
      </c>
      <c r="S5473" t="n">
        <v>950000</v>
      </c>
      <c r="T5473" t="n">
        <v>2987</v>
      </c>
      <c r="U5473" t="n">
        <v>1552</v>
      </c>
      <c r="AH5473" t="inlineStr">
        <is>
          <t>Quelle: Balearic Properties</t>
        </is>
      </c>
    </row>
    <row r="5474">
      <c r="A5474" t="n">
        <v>5287</v>
      </c>
      <c r="B5474" t="inlineStr">
        <is>
          <t>Charming stone built finca for sale near the secluded heart of Sineu, Central Mallorca</t>
        </is>
      </c>
      <c r="C5474" t="inlineStr">
        <is>
          <t>https://www.balearic-properties.com/en/property/id/932490-charming-stone-built-finca-sineu-mallorca-html</t>
        </is>
      </c>
      <c r="E5474" t="n">
        <v>6</v>
      </c>
      <c r="G5474" t="n">
        <v>22400</v>
      </c>
      <c r="H5474" t="n">
        <v>508</v>
      </c>
      <c r="J5474" t="inlineStr">
        <is>
          <t>Sineu</t>
        </is>
      </c>
      <c r="K5474" t="n">
        <v>34.8</v>
      </c>
      <c r="L5474" t="n">
        <v>35</v>
      </c>
      <c r="M5474" t="n">
        <v>42.6</v>
      </c>
      <c r="N5474" t="n">
        <v>44</v>
      </c>
      <c r="O5474" t="n">
        <v>66.59999999999999</v>
      </c>
      <c r="P5474" t="n">
        <v>56</v>
      </c>
      <c r="Q5474" t="n">
        <v>40.3</v>
      </c>
      <c r="R5474" t="n">
        <v>40</v>
      </c>
      <c r="S5474" t="n">
        <v>2500000</v>
      </c>
      <c r="T5474" t="n">
        <v>4921</v>
      </c>
      <c r="U5474" t="n">
        <v>112</v>
      </c>
      <c r="AH5474" t="inlineStr">
        <is>
          <t>Quelle: Balearic Properties</t>
        </is>
      </c>
    </row>
    <row r="5475">
      <c r="A5475" t="n">
        <v>5288</v>
      </c>
      <c r="B5475" t="inlineStr">
        <is>
          <t>Exclusive country villa with pool and mountain views for sale in Pollensa, Mallorca North</t>
        </is>
      </c>
      <c r="C5475" t="inlineStr">
        <is>
          <t>https://www.balearic-properties.com/en/property/id/934087-renovated-country-house-rental-license-pollensa-mallorca-html</t>
        </is>
      </c>
      <c r="E5475" t="n">
        <v>5</v>
      </c>
      <c r="G5475" t="n">
        <v>3424</v>
      </c>
      <c r="H5475" t="n">
        <v>305</v>
      </c>
      <c r="J5475" t="inlineStr">
        <is>
          <t>Pollença</t>
        </is>
      </c>
      <c r="K5475" t="n">
        <v>60.6</v>
      </c>
      <c r="L5475" t="n">
        <v>47</v>
      </c>
      <c r="M5475" t="n">
        <v>78.7</v>
      </c>
      <c r="N5475" t="n">
        <v>74</v>
      </c>
      <c r="O5475" t="n">
        <v>83.2</v>
      </c>
      <c r="P5475" t="n">
        <v>63</v>
      </c>
      <c r="Q5475" t="n">
        <v>76.40000000000001</v>
      </c>
      <c r="R5475" t="n">
        <v>70</v>
      </c>
      <c r="S5475" t="n">
        <v>1975000</v>
      </c>
      <c r="T5475" t="n">
        <v>6475</v>
      </c>
      <c r="U5475" t="n">
        <v>577</v>
      </c>
      <c r="AH5475" t="inlineStr">
        <is>
          <t>Quelle: Balearic Properties</t>
        </is>
      </c>
    </row>
    <row r="5476">
      <c r="A5476" t="n">
        <v>5289</v>
      </c>
      <c r="B5476" t="inlineStr">
        <is>
          <t>Brand new apartment for sale in the center of Palma de Mallorca</t>
        </is>
      </c>
      <c r="C5476" t="inlineStr">
        <is>
          <t>https://www.balearic-properties.com/en/property/id/773455-brand-new-apartment-for-sale-in-the-center-of-palma-de-mallorca-html</t>
        </is>
      </c>
      <c r="E5476" t="n">
        <v>2</v>
      </c>
      <c r="G5476" t="n">
        <v>0</v>
      </c>
      <c r="H5476" t="n">
        <v>100</v>
      </c>
      <c r="J5476" t="inlineStr">
        <is>
          <t>Palma de Mallorca</t>
        </is>
      </c>
      <c r="S5476" t="n">
        <v>749000</v>
      </c>
      <c r="T5476" t="n">
        <v>7490</v>
      </c>
      <c r="AH5476" t="inlineStr">
        <is>
          <t>Quelle: Balearic Properties</t>
        </is>
      </c>
    </row>
    <row r="5477">
      <c r="A5477" t="n">
        <v>5290</v>
      </c>
      <c r="B5477" t="inlineStr">
        <is>
          <t>Sea view villa for sale in Puerto Andratx, Mallorca Southwest</t>
        </is>
      </c>
      <c r="C5477" t="inlineStr">
        <is>
          <t>https://www.balearic-properties.com/en/property/id/796765-sea-view-villa-puerto-andratx-mallorca-html</t>
        </is>
      </c>
      <c r="E5477" t="n">
        <v>6</v>
      </c>
      <c r="G5477" t="n">
        <v>6411</v>
      </c>
      <c r="H5477" t="n">
        <v>694</v>
      </c>
      <c r="J5477" t="inlineStr">
        <is>
          <t>Puerto Andratx</t>
        </is>
      </c>
      <c r="K5477" t="n">
        <v>43.5</v>
      </c>
      <c r="L5477" t="n">
        <v>38</v>
      </c>
      <c r="M5477" t="n">
        <v>86.2</v>
      </c>
      <c r="N5477" t="n">
        <v>71</v>
      </c>
      <c r="O5477" t="n">
        <v>6.3</v>
      </c>
      <c r="P5477" t="n">
        <v>11</v>
      </c>
      <c r="Q5477" t="n">
        <v>83.90000000000001</v>
      </c>
      <c r="R5477" t="n">
        <v>68</v>
      </c>
      <c r="S5477" t="n">
        <v>4500000</v>
      </c>
      <c r="T5477" t="n">
        <v>6484</v>
      </c>
      <c r="U5477" t="n">
        <v>702</v>
      </c>
      <c r="AH5477" t="inlineStr">
        <is>
          <t>Quelle: Balearic Properties</t>
        </is>
      </c>
    </row>
    <row r="5478">
      <c r="A5478" t="n">
        <v>5291</v>
      </c>
      <c r="B5478" t="inlineStr">
        <is>
          <t>Brand new finca with sea views in Cala Llombards, Santanyi, Mallorca</t>
        </is>
      </c>
      <c r="C5478" t="inlineStr">
        <is>
          <t>https://www.balearic-properties.com/en/property/id/932687-new-finca-seaviews-cala-llombards-santanyi-mallorca-html</t>
        </is>
      </c>
      <c r="E5478" t="n">
        <v>5</v>
      </c>
      <c r="G5478" t="n">
        <v>14330</v>
      </c>
      <c r="H5478" t="n">
        <v>744</v>
      </c>
      <c r="J5478" t="inlineStr">
        <is>
          <t>Santanyí</t>
        </is>
      </c>
      <c r="K5478" t="n">
        <v>45.4</v>
      </c>
      <c r="L5478" t="n">
        <v>39</v>
      </c>
      <c r="M5478" t="n">
        <v>9</v>
      </c>
      <c r="N5478" t="n">
        <v>13</v>
      </c>
      <c r="O5478" t="n">
        <v>83.59999999999999</v>
      </c>
      <c r="P5478" t="n">
        <v>67</v>
      </c>
      <c r="Q5478" t="n">
        <v>9.699999999999999</v>
      </c>
      <c r="R5478" t="n">
        <v>15</v>
      </c>
      <c r="S5478" t="n">
        <v>4900000</v>
      </c>
      <c r="T5478" t="n">
        <v>6586</v>
      </c>
      <c r="U5478" t="n">
        <v>342</v>
      </c>
      <c r="AH5478" t="inlineStr">
        <is>
          <t>Quelle: Balearic Properties</t>
        </is>
      </c>
    </row>
    <row r="5479">
      <c r="A5479" t="n">
        <v>5292</v>
      </c>
      <c r="B5479" t="inlineStr">
        <is>
          <t>Chic modern townhouse under construction, for sale in Sa Cabaneta, Mallorca</t>
        </is>
      </c>
      <c r="C5479" t="inlineStr">
        <is>
          <t>https://www.balearic-properties.com/en/property/id/933516-townhouse-stunning-sa-cabaneta-mallorca-html</t>
        </is>
      </c>
      <c r="E5479" t="n">
        <v>4</v>
      </c>
      <c r="G5479" t="n">
        <v>461</v>
      </c>
      <c r="H5479" t="n">
        <v>324</v>
      </c>
      <c r="J5479" t="inlineStr">
        <is>
          <t>Marratxí</t>
        </is>
      </c>
      <c r="K5479" t="n">
        <v>13</v>
      </c>
      <c r="L5479" t="n">
        <v>17</v>
      </c>
      <c r="M5479" t="n">
        <v>56.3</v>
      </c>
      <c r="N5479" t="n">
        <v>50</v>
      </c>
      <c r="O5479" t="n">
        <v>40.6</v>
      </c>
      <c r="P5479" t="n">
        <v>34</v>
      </c>
      <c r="Q5479" t="n">
        <v>54</v>
      </c>
      <c r="R5479" t="n">
        <v>46</v>
      </c>
      <c r="S5479" t="n">
        <v>4900000</v>
      </c>
      <c r="T5479" t="n">
        <v>15123</v>
      </c>
      <c r="U5479" t="n">
        <v>10629</v>
      </c>
      <c r="AH5479" t="inlineStr">
        <is>
          <t>Quelle: Balearic Properties</t>
        </is>
      </c>
    </row>
    <row r="5480">
      <c r="A5480" t="n">
        <v>5293</v>
      </c>
      <c r="B5480" t="inlineStr">
        <is>
          <t>Superb offer: Luxury sea view villa with rental license for sale in Puerto Pollensa, Mallorca</t>
        </is>
      </c>
      <c r="C5480" t="inlineStr">
        <is>
          <t>https://www.balearic-properties.com/en/property/id/742201-villa-puerto-pollensa-html</t>
        </is>
      </c>
      <c r="E5480" t="n">
        <v>5</v>
      </c>
      <c r="G5480" t="n">
        <v>1927</v>
      </c>
      <c r="H5480" t="n">
        <v>783</v>
      </c>
      <c r="J5480" t="inlineStr">
        <is>
          <t>Port de Pollença</t>
        </is>
      </c>
      <c r="K5480" t="n">
        <v>66.90000000000001</v>
      </c>
      <c r="L5480" t="n">
        <v>52</v>
      </c>
      <c r="M5480" t="n">
        <v>85</v>
      </c>
      <c r="N5480" t="n">
        <v>78</v>
      </c>
      <c r="O5480" t="n">
        <v>89.5</v>
      </c>
      <c r="P5480" t="n">
        <v>68</v>
      </c>
      <c r="Q5480" t="n">
        <v>82.7</v>
      </c>
      <c r="R5480" t="n">
        <v>75</v>
      </c>
      <c r="S5480" t="n">
        <v>3500000</v>
      </c>
      <c r="T5480" t="n">
        <v>4470</v>
      </c>
      <c r="U5480" t="n">
        <v>1816</v>
      </c>
      <c r="AH5480" t="inlineStr">
        <is>
          <t>Quelle: Balearic Properties</t>
        </is>
      </c>
    </row>
    <row r="5481">
      <c r="A5481" t="n">
        <v>5294</v>
      </c>
      <c r="B5481" t="inlineStr">
        <is>
          <t>Spacious apartment for sale near the Golf course in Son Quint, Palma de Mallorca</t>
        </is>
      </c>
      <c r="C5481" t="inlineStr">
        <is>
          <t>https://www.balearic-properties.com/en/property/id/930451-spacious-apartment-golf-son-quint-palma-mallorca-html</t>
        </is>
      </c>
      <c r="E5481" t="n">
        <v>4</v>
      </c>
      <c r="G5481" t="n">
        <v>0</v>
      </c>
      <c r="H5481" t="n">
        <v>128</v>
      </c>
      <c r="J5481" t="inlineStr">
        <is>
          <t>Son Quint</t>
        </is>
      </c>
      <c r="K5481" t="n">
        <v>18.2</v>
      </c>
      <c r="L5481" t="n">
        <v>21</v>
      </c>
      <c r="M5481" t="n">
        <v>60.9</v>
      </c>
      <c r="N5481" t="n">
        <v>54</v>
      </c>
      <c r="O5481" t="n">
        <v>30</v>
      </c>
      <c r="P5481" t="n">
        <v>30</v>
      </c>
      <c r="Q5481" t="n">
        <v>58.6</v>
      </c>
      <c r="R5481" t="n">
        <v>51</v>
      </c>
      <c r="S5481" t="n">
        <v>1300000</v>
      </c>
      <c r="T5481" t="n">
        <v>10156</v>
      </c>
      <c r="AH5481" t="inlineStr">
        <is>
          <t>Quelle: Balearic Properties</t>
        </is>
      </c>
    </row>
    <row r="5482">
      <c r="A5482" t="n">
        <v>5295</v>
      </c>
      <c r="B5482" t="inlineStr">
        <is>
          <t>Spectacular new villa with unobstructed sea views for sale in Alcudia, Mallorca</t>
        </is>
      </c>
      <c r="C5482" t="inlineStr">
        <is>
          <t>https://www.balearic-properties.com/en/property/id/818475-new-villa-seaviews-alcudia-mallorca-html</t>
        </is>
      </c>
      <c r="E5482" t="n">
        <v>4</v>
      </c>
      <c r="G5482" t="n">
        <v>456</v>
      </c>
      <c r="H5482" t="n">
        <v>265</v>
      </c>
      <c r="J5482" t="inlineStr">
        <is>
          <t>Alcanada</t>
        </is>
      </c>
      <c r="K5482" t="n">
        <v>64.2</v>
      </c>
      <c r="L5482" t="n">
        <v>48</v>
      </c>
      <c r="M5482" t="n">
        <v>82.3</v>
      </c>
      <c r="N5482" t="n">
        <v>75</v>
      </c>
      <c r="O5482" t="n">
        <v>86.8</v>
      </c>
      <c r="P5482" t="n">
        <v>64</v>
      </c>
      <c r="Q5482" t="n">
        <v>80</v>
      </c>
      <c r="R5482" t="n">
        <v>71</v>
      </c>
      <c r="S5482" t="n">
        <v>2650000</v>
      </c>
      <c r="T5482" t="n">
        <v>10000</v>
      </c>
      <c r="U5482" t="n">
        <v>5811</v>
      </c>
      <c r="AH5482" t="inlineStr">
        <is>
          <t>Quelle: Balearic Properties</t>
        </is>
      </c>
    </row>
    <row r="5483">
      <c r="A5483" t="n">
        <v>5296</v>
      </c>
      <c r="B5483" t="inlineStr">
        <is>
          <t>Brand-new villa for sale with panoramic views in Son Gual, Palma de Mallorca</t>
        </is>
      </c>
      <c r="C5483" t="inlineStr">
        <is>
          <t>https://www.balearic-properties.com/en/property/id/929054-new-villa-panoramic-bay-views-palma-mallorca-html</t>
        </is>
      </c>
      <c r="E5483" t="n">
        <v>4</v>
      </c>
      <c r="G5483" t="n">
        <v>2007</v>
      </c>
      <c r="H5483" t="n">
        <v>400</v>
      </c>
      <c r="J5483" t="inlineStr">
        <is>
          <t>Son Gual</t>
        </is>
      </c>
      <c r="K5483" t="n">
        <v>15.4</v>
      </c>
      <c r="L5483" t="n">
        <v>18</v>
      </c>
      <c r="M5483" t="n">
        <v>45.2</v>
      </c>
      <c r="N5483" t="n">
        <v>43</v>
      </c>
      <c r="O5483" t="n">
        <v>49.6</v>
      </c>
      <c r="P5483" t="n">
        <v>43</v>
      </c>
      <c r="Q5483" t="n">
        <v>42.9</v>
      </c>
      <c r="R5483" t="n">
        <v>39</v>
      </c>
      <c r="S5483" t="n">
        <v>2790000</v>
      </c>
      <c r="T5483" t="n">
        <v>6975</v>
      </c>
      <c r="U5483" t="n">
        <v>1390</v>
      </c>
      <c r="AH5483" t="inlineStr">
        <is>
          <t>Quelle: Balearic Properties</t>
        </is>
      </c>
    </row>
    <row r="5484">
      <c r="A5484" t="n">
        <v>5297</v>
      </c>
      <c r="B5484" t="inlineStr">
        <is>
          <t>Magnificent country estate for sale on a huge plot in Puigpunyent, Mallorca</t>
        </is>
      </c>
      <c r="C5484" t="inlineStr">
        <is>
          <t>https://www.balearic-properties.com/en/property/id/822956-magnificent-country-estate-puigpunyent-mallorca-html</t>
        </is>
      </c>
      <c r="E5484" t="n">
        <v>10</v>
      </c>
      <c r="G5484" t="n">
        <v>630000</v>
      </c>
      <c r="H5484" t="n">
        <v>2640</v>
      </c>
      <c r="J5484" t="inlineStr">
        <is>
          <t>Puigpunyent</t>
        </is>
      </c>
      <c r="K5484" t="n">
        <v>26.5</v>
      </c>
      <c r="L5484" t="n">
        <v>32</v>
      </c>
      <c r="M5484" t="n">
        <v>69.3</v>
      </c>
      <c r="N5484" t="n">
        <v>65</v>
      </c>
      <c r="O5484" t="n">
        <v>42.1</v>
      </c>
      <c r="P5484" t="n">
        <v>43</v>
      </c>
      <c r="Q5484" t="n">
        <v>67</v>
      </c>
      <c r="R5484" t="n">
        <v>61</v>
      </c>
      <c r="S5484" t="n">
        <v>24000000</v>
      </c>
      <c r="T5484" t="n">
        <v>9091</v>
      </c>
      <c r="U5484" t="n">
        <v>38</v>
      </c>
      <c r="AH5484" t="inlineStr">
        <is>
          <t>Quelle: Balearic Properties</t>
        </is>
      </c>
    </row>
    <row r="5485">
      <c r="A5485" t="n">
        <v>5298</v>
      </c>
      <c r="B5485" t="inlineStr">
        <is>
          <t>New town house with mountain views for sale in Sa Cabaneta, Mallorca</t>
        </is>
      </c>
      <c r="C5485" t="inlineStr">
        <is>
          <t>https://www.balearic-properties.com/en/property/id/933514-townhouse-mountain-views-sa-cabaneta-mallorca-html</t>
        </is>
      </c>
      <c r="E5485" t="n">
        <v>3</v>
      </c>
      <c r="G5485" t="n">
        <v>533</v>
      </c>
      <c r="H5485" t="n">
        <v>167</v>
      </c>
      <c r="J5485" t="inlineStr">
        <is>
          <t>Marratxí</t>
        </is>
      </c>
      <c r="K5485" t="n">
        <v>13</v>
      </c>
      <c r="L5485" t="n">
        <v>17</v>
      </c>
      <c r="M5485" t="n">
        <v>56.3</v>
      </c>
      <c r="N5485" t="n">
        <v>50</v>
      </c>
      <c r="O5485" t="n">
        <v>40.6</v>
      </c>
      <c r="P5485" t="n">
        <v>34</v>
      </c>
      <c r="Q5485" t="n">
        <v>54</v>
      </c>
      <c r="R5485" t="n">
        <v>46</v>
      </c>
      <c r="S5485" t="n">
        <v>1300000</v>
      </c>
      <c r="T5485" t="n">
        <v>7784</v>
      </c>
      <c r="U5485" t="n">
        <v>2439</v>
      </c>
      <c r="AH5485" t="inlineStr">
        <is>
          <t>Quelle: Balearic Properties</t>
        </is>
      </c>
    </row>
    <row r="5486">
      <c r="A5486" t="n">
        <v>5299</v>
      </c>
      <c r="B5486" t="inlineStr">
        <is>
          <t>Exclusive new estate with guest house for sale in Marratxi, Palma de Mallorca</t>
        </is>
      </c>
      <c r="C5486" t="inlineStr">
        <is>
          <t>https://www.balearic-properties.com/en/property/id/933500-new-country-estate-marratxi-mallorca-html</t>
        </is>
      </c>
      <c r="E5486" t="n">
        <v>6</v>
      </c>
      <c r="G5486" t="n">
        <v>14200</v>
      </c>
      <c r="H5486" t="n">
        <v>794</v>
      </c>
      <c r="J5486" t="inlineStr">
        <is>
          <t>Marratxí</t>
        </is>
      </c>
      <c r="K5486" t="n">
        <v>13</v>
      </c>
      <c r="L5486" t="n">
        <v>17</v>
      </c>
      <c r="M5486" t="n">
        <v>56.3</v>
      </c>
      <c r="N5486" t="n">
        <v>50</v>
      </c>
      <c r="O5486" t="n">
        <v>40.6</v>
      </c>
      <c r="P5486" t="n">
        <v>34</v>
      </c>
      <c r="Q5486" t="n">
        <v>54</v>
      </c>
      <c r="R5486" t="n">
        <v>46</v>
      </c>
      <c r="S5486" t="n">
        <v>4950000</v>
      </c>
      <c r="T5486" t="n">
        <v>6234</v>
      </c>
      <c r="U5486" t="n">
        <v>349</v>
      </c>
      <c r="AH5486" t="inlineStr">
        <is>
          <t>Quelle: Balearic Properties</t>
        </is>
      </c>
    </row>
    <row r="5487">
      <c r="A5487" t="n">
        <v>5300</v>
      </c>
      <c r="B5487" t="inlineStr">
        <is>
          <t>Bright apartment and hidden gem for sale in the heart of Palma old town, Mallorca</t>
        </is>
      </c>
      <c r="C5487" t="inlineStr">
        <is>
          <t>https://www.balearic-properties.com/en/property/id/932240-duplex-apartment-centre-palma-old-town-mallorca-html</t>
        </is>
      </c>
      <c r="E5487" t="n">
        <v>2</v>
      </c>
      <c r="G5487" t="n">
        <v>110</v>
      </c>
      <c r="H5487" t="n">
        <v>110</v>
      </c>
      <c r="J5487" t="inlineStr">
        <is>
          <t>Palma Casco Antiguo</t>
        </is>
      </c>
      <c r="K5487" t="n">
        <v>9.699999999999999</v>
      </c>
      <c r="L5487" t="n">
        <v>14</v>
      </c>
      <c r="M5487" t="n">
        <v>52.5</v>
      </c>
      <c r="N5487" t="n">
        <v>47</v>
      </c>
      <c r="O5487" t="n">
        <v>32.1</v>
      </c>
      <c r="P5487" t="n">
        <v>36</v>
      </c>
      <c r="Q5487" t="n">
        <v>50.2</v>
      </c>
      <c r="R5487" t="n">
        <v>44</v>
      </c>
      <c r="S5487" t="n">
        <v>1200000</v>
      </c>
      <c r="T5487" t="n">
        <v>10909</v>
      </c>
      <c r="U5487" t="n">
        <v>10909</v>
      </c>
      <c r="AH5487" t="inlineStr">
        <is>
          <t>Quelle: Balearic Properties</t>
        </is>
      </c>
    </row>
    <row r="5488">
      <c r="A5488" t="n">
        <v>5301</v>
      </c>
      <c r="B5488" t="inlineStr">
        <is>
          <t>Beautifully designed modern houses for sale in El Terreno, Palma, Mallorca</t>
        </is>
      </c>
      <c r="C5488" t="inlineStr">
        <is>
          <t>https://www.balearic-properties.com/en/property/id/933487-townhouse-sea-views-el-terreno-palma-mallorca-html</t>
        </is>
      </c>
      <c r="E5488" t="n">
        <v>3</v>
      </c>
      <c r="G5488" t="n">
        <v>0</v>
      </c>
      <c r="H5488" t="n">
        <v>191</v>
      </c>
      <c r="J5488" t="inlineStr">
        <is>
          <t>El Terreno</t>
        </is>
      </c>
      <c r="S5488" t="n">
        <v>995000</v>
      </c>
      <c r="T5488" t="n">
        <v>5209</v>
      </c>
      <c r="AH5488" t="inlineStr">
        <is>
          <t>Quelle: Balearic Properties</t>
        </is>
      </c>
    </row>
    <row r="5489">
      <c r="A5489" t="n">
        <v>5302</v>
      </c>
      <c r="B5489" t="inlineStr">
        <is>
          <t>Development of new townhouses for sale in El Terreno, Palma, Mallorca</t>
        </is>
      </c>
      <c r="C5489" t="inlineStr">
        <is>
          <t>https://www.balearic-properties.com/en/property/id/933495-townhouse-sea-views-el-terreno-palma-mallorca-html</t>
        </is>
      </c>
      <c r="E5489" t="n">
        <v>3</v>
      </c>
      <c r="G5489" t="n">
        <v>0</v>
      </c>
      <c r="H5489" t="n">
        <v>196</v>
      </c>
      <c r="J5489" t="inlineStr">
        <is>
          <t>El Terreno</t>
        </is>
      </c>
      <c r="S5489" t="n">
        <v>995000</v>
      </c>
      <c r="T5489" t="n">
        <v>5077</v>
      </c>
      <c r="AH5489" t="inlineStr">
        <is>
          <t>Quelle: Balearic Properties</t>
        </is>
      </c>
    </row>
    <row r="5490">
      <c r="A5490" t="n">
        <v>5303</v>
      </c>
      <c r="B5490" t="inlineStr">
        <is>
          <t>Modern townhouses with pools for sale in El Terreno, Palma, Mallorca</t>
        </is>
      </c>
      <c r="C5490" t="inlineStr">
        <is>
          <t>https://www.balearic-properties.com/en/property/id/933497-townhouse-sea-views-el-terreno-palma-mallorca-html</t>
        </is>
      </c>
      <c r="E5490" t="n">
        <v>3</v>
      </c>
      <c r="G5490" t="n">
        <v>0</v>
      </c>
      <c r="H5490" t="n">
        <v>195</v>
      </c>
      <c r="J5490" t="inlineStr">
        <is>
          <t>El Terreno</t>
        </is>
      </c>
      <c r="S5490" t="n">
        <v>950000</v>
      </c>
      <c r="T5490" t="n">
        <v>4872</v>
      </c>
      <c r="AH5490" t="inlineStr">
        <is>
          <t>Quelle: Balearic Properties</t>
        </is>
      </c>
    </row>
    <row r="5491">
      <c r="A5491" t="n">
        <v>5304</v>
      </c>
      <c r="B5491" t="inlineStr">
        <is>
          <t>New development of apartments for sale in Cala Major, Palma, Mallorca</t>
        </is>
      </c>
      <c r="C5491" t="inlineStr">
        <is>
          <t>https://www.balearic-properties.com/en/property/id/933328-apartment-community-pool-cala-major-palma-mallorca-html</t>
        </is>
      </c>
      <c r="E5491" t="n">
        <v>2</v>
      </c>
      <c r="G5491" t="n">
        <v>0</v>
      </c>
      <c r="H5491" t="n">
        <v>94</v>
      </c>
      <c r="J5491" t="inlineStr">
        <is>
          <t>Cala Major</t>
        </is>
      </c>
      <c r="S5491" t="n">
        <v>745000</v>
      </c>
      <c r="T5491" t="n">
        <v>7926</v>
      </c>
      <c r="AH5491" t="inlineStr">
        <is>
          <t>Quelle: Balearic Properties</t>
        </is>
      </c>
    </row>
    <row r="5492">
      <c r="A5492" t="n">
        <v>5305</v>
      </c>
      <c r="B5492" t="inlineStr">
        <is>
          <t>Third floor apartment for sale in Cala Major, Palma, Mallorca</t>
        </is>
      </c>
      <c r="C5492" t="inlineStr">
        <is>
          <t>https://www.balearic-properties.com/en/property/id/933330-apartment-community-pool-cala-major-palma-mallorca-html</t>
        </is>
      </c>
      <c r="E5492" t="n">
        <v>1</v>
      </c>
      <c r="G5492" t="n">
        <v>0</v>
      </c>
      <c r="H5492" t="n">
        <v>81</v>
      </c>
      <c r="J5492" t="inlineStr">
        <is>
          <t>Cala Major</t>
        </is>
      </c>
      <c r="S5492" t="n">
        <v>850000</v>
      </c>
      <c r="T5492" t="n">
        <v>10494</v>
      </c>
      <c r="AH5492" t="inlineStr">
        <is>
          <t>Quelle: Balearic Properties</t>
        </is>
      </c>
    </row>
    <row r="5493">
      <c r="A5493" t="n">
        <v>5306</v>
      </c>
      <c r="B5493" t="inlineStr">
        <is>
          <t>Ready to move in villa with holiday rental license for sale in Cala Figuera, Mallorca</t>
        </is>
      </c>
      <c r="C5493" t="inlineStr">
        <is>
          <t>https://www.balearic-properties.com/en/property/id/932854-villa-holiday-rental-license-cala-figuera-mallorca-html</t>
        </is>
      </c>
      <c r="E5493" t="n">
        <v>5</v>
      </c>
      <c r="G5493" t="n">
        <v>699</v>
      </c>
      <c r="H5493" t="n">
        <v>281</v>
      </c>
      <c r="J5493" t="inlineStr">
        <is>
          <t>Cala Figuera</t>
        </is>
      </c>
      <c r="K5493" t="n">
        <v>51.2</v>
      </c>
      <c r="L5493" t="n">
        <v>46</v>
      </c>
      <c r="M5493" t="n">
        <v>13.7</v>
      </c>
      <c r="N5493" t="n">
        <v>18</v>
      </c>
      <c r="O5493" t="n">
        <v>89.40000000000001</v>
      </c>
      <c r="P5493" t="n">
        <v>74</v>
      </c>
      <c r="Q5493" t="n">
        <v>14.4</v>
      </c>
      <c r="R5493" t="n">
        <v>21</v>
      </c>
      <c r="S5493" t="n">
        <v>1180000</v>
      </c>
      <c r="T5493" t="n">
        <v>4199</v>
      </c>
      <c r="U5493" t="n">
        <v>1688</v>
      </c>
      <c r="AH5493" t="inlineStr">
        <is>
          <t>Quelle: Balearic Properties</t>
        </is>
      </c>
    </row>
    <row r="5494">
      <c r="A5494" t="n">
        <v>5307</v>
      </c>
      <c r="B5494" t="inlineStr">
        <is>
          <t>Terraced house close to the sea for sale in Ciudad Jardin, Palma, Mallorca</t>
        </is>
      </c>
      <c r="C5494" t="inlineStr">
        <is>
          <t>https://www.balearic-properties.com/en/property/id/931629-terraced-house-sea-ciudad-jardin-palma-mallorca-html</t>
        </is>
      </c>
      <c r="E5494" t="n">
        <v>5</v>
      </c>
      <c r="G5494" t="n">
        <v>360</v>
      </c>
      <c r="H5494" t="n">
        <v>456</v>
      </c>
      <c r="J5494" t="inlineStr">
        <is>
          <t>Ciudad Jardín</t>
        </is>
      </c>
      <c r="K5494" t="n">
        <v>5.6</v>
      </c>
      <c r="L5494" t="n">
        <v>12</v>
      </c>
      <c r="M5494" t="n">
        <v>48.3</v>
      </c>
      <c r="N5494" t="n">
        <v>45</v>
      </c>
      <c r="O5494" t="n">
        <v>37.9</v>
      </c>
      <c r="P5494" t="n">
        <v>34</v>
      </c>
      <c r="Q5494" t="n">
        <v>46</v>
      </c>
      <c r="R5494" t="n">
        <v>41</v>
      </c>
      <c r="S5494" t="n">
        <v>3450000</v>
      </c>
      <c r="T5494" t="n">
        <v>7566</v>
      </c>
      <c r="U5494" t="n">
        <v>9583</v>
      </c>
      <c r="AH5494" t="inlineStr">
        <is>
          <t>Quelle: Balearic Properties</t>
        </is>
      </c>
    </row>
    <row r="5495">
      <c r="A5495" t="n">
        <v>5308</v>
      </c>
      <c r="B5495" t="inlineStr">
        <is>
          <t>Great value town house with holiday license for sale in Montuiri, Mallorca</t>
        </is>
      </c>
      <c r="C5495" t="inlineStr">
        <is>
          <t>https://www.balearic-properties.com/en/property/id/931508-town-house-holiday-license-montuiri-mallorca-html</t>
        </is>
      </c>
      <c r="E5495" t="n">
        <v>5</v>
      </c>
      <c r="G5495" t="n">
        <v>220</v>
      </c>
      <c r="H5495" t="n">
        <v>322</v>
      </c>
      <c r="J5495" t="inlineStr">
        <is>
          <t>Montuïri</t>
        </is>
      </c>
      <c r="K5495" t="n">
        <v>27.9</v>
      </c>
      <c r="L5495" t="n">
        <v>28</v>
      </c>
      <c r="M5495" t="n">
        <v>32.5</v>
      </c>
      <c r="N5495" t="n">
        <v>36</v>
      </c>
      <c r="O5495" t="n">
        <v>62.1</v>
      </c>
      <c r="P5495" t="n">
        <v>52</v>
      </c>
      <c r="Q5495" t="n">
        <v>30.2</v>
      </c>
      <c r="R5495" t="n">
        <v>32</v>
      </c>
      <c r="S5495" t="n">
        <v>790000</v>
      </c>
      <c r="T5495" t="n">
        <v>2453</v>
      </c>
      <c r="U5495" t="n">
        <v>3591</v>
      </c>
      <c r="AH5495" t="inlineStr">
        <is>
          <t>Quelle: Balearic Properties</t>
        </is>
      </c>
    </row>
    <row r="5496">
      <c r="A5496" t="n">
        <v>5309</v>
      </c>
      <c r="B5496" t="inlineStr">
        <is>
          <t>Renovated villa with holiday license, walking distance to Pollensa old town centre, Mallorca</t>
        </is>
      </c>
      <c r="C5496" t="inlineStr">
        <is>
          <t>https://www.balearic-properties.com/en/property/id/932196-renovated-villa-rental-license-pollensa-mallorca-html</t>
        </is>
      </c>
      <c r="E5496" t="n">
        <v>3</v>
      </c>
      <c r="G5496" t="n">
        <v>4382</v>
      </c>
      <c r="H5496" t="n">
        <v>387</v>
      </c>
      <c r="J5496" t="inlineStr">
        <is>
          <t>Pollença</t>
        </is>
      </c>
      <c r="K5496" t="n">
        <v>60.6</v>
      </c>
      <c r="L5496" t="n">
        <v>47</v>
      </c>
      <c r="M5496" t="n">
        <v>78.7</v>
      </c>
      <c r="N5496" t="n">
        <v>74</v>
      </c>
      <c r="O5496" t="n">
        <v>83.2</v>
      </c>
      <c r="P5496" t="n">
        <v>63</v>
      </c>
      <c r="Q5496" t="n">
        <v>76.40000000000001</v>
      </c>
      <c r="R5496" t="n">
        <v>70</v>
      </c>
      <c r="S5496" t="n">
        <v>1500000</v>
      </c>
      <c r="T5496" t="n">
        <v>3876</v>
      </c>
      <c r="U5496" t="n">
        <v>342</v>
      </c>
      <c r="AH5496" t="inlineStr">
        <is>
          <t>Quelle: Balearic Properties</t>
        </is>
      </c>
    </row>
    <row r="5497">
      <c r="A5497" t="n">
        <v>5310</v>
      </c>
      <c r="B5497" t="inlineStr">
        <is>
          <t>Stunning BRAND NEW country home for sale in Pollensa, North Mallorca</t>
        </is>
      </c>
      <c r="C5497" t="inlineStr">
        <is>
          <t>https://www.balearic-properties.com/en/property/id/873957-finca-bay-pollensa-mallorca-html</t>
        </is>
      </c>
      <c r="E5497" t="n">
        <v>5</v>
      </c>
      <c r="G5497" t="n">
        <v>26000</v>
      </c>
      <c r="H5497" t="n">
        <v>600</v>
      </c>
      <c r="J5497" t="inlineStr">
        <is>
          <t>Pollença</t>
        </is>
      </c>
      <c r="K5497" t="n">
        <v>60.6</v>
      </c>
      <c r="L5497" t="n">
        <v>47</v>
      </c>
      <c r="M5497" t="n">
        <v>78.7</v>
      </c>
      <c r="N5497" t="n">
        <v>74</v>
      </c>
      <c r="O5497" t="n">
        <v>83.2</v>
      </c>
      <c r="P5497" t="n">
        <v>63</v>
      </c>
      <c r="Q5497" t="n">
        <v>76.40000000000001</v>
      </c>
      <c r="R5497" t="n">
        <v>70</v>
      </c>
      <c r="S5497" t="n">
        <v>5500000</v>
      </c>
      <c r="T5497" t="n">
        <v>9167</v>
      </c>
      <c r="U5497" t="n">
        <v>212</v>
      </c>
      <c r="AH5497" t="inlineStr">
        <is>
          <t>Quelle: Balearic Properties</t>
        </is>
      </c>
    </row>
    <row r="5498">
      <c r="A5498" t="n">
        <v>5311</v>
      </c>
      <c r="B5498" t="inlineStr">
        <is>
          <t>Outstanding hillside villa with panoramic views for sale on the Calvari in Pollensa, Mallorca</t>
        </is>
      </c>
      <c r="C5498" t="inlineStr">
        <is>
          <t>https://www.balearic-properties.com/en/property/id/930686-villa-panoramic-views-calvario-pollensa-mallorca-html</t>
        </is>
      </c>
      <c r="E5498" t="n">
        <v>4</v>
      </c>
      <c r="G5498" t="n">
        <v>1080</v>
      </c>
      <c r="H5498" t="n">
        <v>358</v>
      </c>
      <c r="J5498" t="inlineStr">
        <is>
          <t>Pollença Pueblo</t>
        </is>
      </c>
      <c r="K5498" t="n">
        <v>60.6</v>
      </c>
      <c r="L5498" t="n">
        <v>47</v>
      </c>
      <c r="M5498" t="n">
        <v>78.7</v>
      </c>
      <c r="N5498" t="n">
        <v>74</v>
      </c>
      <c r="O5498" t="n">
        <v>83.2</v>
      </c>
      <c r="P5498" t="n">
        <v>63</v>
      </c>
      <c r="Q5498" t="n">
        <v>76.40000000000001</v>
      </c>
      <c r="R5498" t="n">
        <v>70</v>
      </c>
      <c r="S5498" t="n">
        <v>3850000</v>
      </c>
      <c r="T5498" t="n">
        <v>10754</v>
      </c>
      <c r="U5498" t="n">
        <v>3565</v>
      </c>
      <c r="AH5498" t="inlineStr">
        <is>
          <t>Quelle: Balearic Properties</t>
        </is>
      </c>
    </row>
    <row r="5499">
      <c r="A5499" t="n">
        <v>5312</v>
      </c>
      <c r="B5499" t="inlineStr">
        <is>
          <t>Attractive village house with pool and garden for sale in Sencelles, central Mallorca</t>
        </is>
      </c>
      <c r="C5499" t="inlineStr">
        <is>
          <t>https://www.balearic-properties.com/en/property/id/931974-townhouse-pool-sencelles-mallorca-html</t>
        </is>
      </c>
      <c r="E5499" t="n">
        <v>3</v>
      </c>
      <c r="G5499" t="n">
        <v>127</v>
      </c>
      <c r="H5499" t="n">
        <v>134</v>
      </c>
      <c r="J5499" t="inlineStr">
        <is>
          <t>Sencelles</t>
        </is>
      </c>
      <c r="AH5499" t="inlineStr">
        <is>
          <t>Quelle: Balearic Properties</t>
        </is>
      </c>
    </row>
    <row r="5500">
      <c r="A5500" t="n">
        <v>5313</v>
      </c>
      <c r="B5500" t="inlineStr">
        <is>
          <t>Chic townhouse with private pool for sale in Sencelles, Mallorca</t>
        </is>
      </c>
      <c r="C5500" t="inlineStr">
        <is>
          <t>https://www.balearic-properties.com/en/property/id/930699-townhouse-pool-sencelles-mallorca-html</t>
        </is>
      </c>
      <c r="E5500" t="n">
        <v>3</v>
      </c>
      <c r="G5500" t="n">
        <v>127</v>
      </c>
      <c r="H5500" t="n">
        <v>134</v>
      </c>
      <c r="J5500" t="inlineStr">
        <is>
          <t>Biniali</t>
        </is>
      </c>
      <c r="S5500" t="n">
        <v>617000</v>
      </c>
      <c r="T5500" t="n">
        <v>4604</v>
      </c>
      <c r="U5500" t="n">
        <v>4858</v>
      </c>
      <c r="AH5500" t="inlineStr">
        <is>
          <t>Quelle: Balearic Properties</t>
        </is>
      </c>
    </row>
    <row r="5501">
      <c r="A5501" t="n">
        <v>5314</v>
      </c>
      <c r="B5501" t="inlineStr">
        <is>
          <t>Charming finca in need of restoration for sale in Selva, Mallorca</t>
        </is>
      </c>
      <c r="C5501" t="inlineStr">
        <is>
          <t>https://www.balearic-properties.com/en/property/id/926565-finca-restoration-selva-mallorca-html</t>
        </is>
      </c>
      <c r="E5501" t="n">
        <v>4</v>
      </c>
      <c r="G5501" t="n">
        <v>8340</v>
      </c>
      <c r="H5501" t="n">
        <v>305</v>
      </c>
      <c r="J5501" t="inlineStr">
        <is>
          <t>Selva</t>
        </is>
      </c>
      <c r="S5501" t="n">
        <v>495000</v>
      </c>
      <c r="T5501" t="n">
        <v>1623</v>
      </c>
      <c r="U5501" t="n">
        <v>59</v>
      </c>
      <c r="AH5501" t="inlineStr">
        <is>
          <t>Quelle: Balearic Properties</t>
        </is>
      </c>
    </row>
    <row r="5502">
      <c r="A5502" t="n">
        <v>5315</v>
      </c>
      <c r="B5502" t="inlineStr">
        <is>
          <t>Historic manor house to renovate for sale in the centre of Sóller, Mallorca</t>
        </is>
      </c>
      <c r="C5502" t="inlineStr">
        <is>
          <t>https://www.balearic-properties.com/en/property/id/925403-historic-house-restoration-soller-mallorca-html</t>
        </is>
      </c>
      <c r="E5502" t="n">
        <v>8</v>
      </c>
      <c r="G5502" t="n">
        <v>708</v>
      </c>
      <c r="H5502" t="n">
        <v>825</v>
      </c>
      <c r="J5502" t="inlineStr">
        <is>
          <t>Sóller</t>
        </is>
      </c>
      <c r="K5502" t="n">
        <v>32.5</v>
      </c>
      <c r="L5502" t="n">
        <v>38</v>
      </c>
      <c r="M5502" t="n">
        <v>75.2</v>
      </c>
      <c r="N5502" t="n">
        <v>70</v>
      </c>
      <c r="O5502" t="n">
        <v>52.1</v>
      </c>
      <c r="P5502" t="n">
        <v>51</v>
      </c>
      <c r="Q5502" t="n">
        <v>72.90000000000001</v>
      </c>
      <c r="R5502" t="n">
        <v>67</v>
      </c>
      <c r="S5502" t="n">
        <v>3300000</v>
      </c>
      <c r="T5502" t="n">
        <v>4000</v>
      </c>
      <c r="U5502" t="n">
        <v>4661</v>
      </c>
      <c r="AH5502" t="inlineStr">
        <is>
          <t>Quelle: Balearic Properties</t>
        </is>
      </c>
    </row>
    <row r="5503">
      <c r="A5503" t="n">
        <v>5316</v>
      </c>
      <c r="B5503" t="inlineStr">
        <is>
          <t>Majestic villa with holiday rental license for sale near Pollensa, Mallorca</t>
        </is>
      </c>
      <c r="C5503" t="inlineStr">
        <is>
          <t>https://www.balearic-properties.com/en/property/id/930790-majestic-villa-rental-license-pollensa-mallorca-html</t>
        </is>
      </c>
      <c r="E5503" t="n">
        <v>10</v>
      </c>
      <c r="G5503" t="n">
        <v>2041</v>
      </c>
      <c r="H5503" t="n">
        <v>458</v>
      </c>
      <c r="J5503" t="inlineStr">
        <is>
          <t>Pollença</t>
        </is>
      </c>
      <c r="K5503" t="n">
        <v>60.6</v>
      </c>
      <c r="L5503" t="n">
        <v>47</v>
      </c>
      <c r="M5503" t="n">
        <v>78.7</v>
      </c>
      <c r="N5503" t="n">
        <v>74</v>
      </c>
      <c r="O5503" t="n">
        <v>83.2</v>
      </c>
      <c r="P5503" t="n">
        <v>63</v>
      </c>
      <c r="Q5503" t="n">
        <v>76.40000000000001</v>
      </c>
      <c r="R5503" t="n">
        <v>70</v>
      </c>
      <c r="S5503" t="n">
        <v>2500000</v>
      </c>
      <c r="T5503" t="n">
        <v>5459</v>
      </c>
      <c r="U5503" t="n">
        <v>1225</v>
      </c>
      <c r="AH5503" t="inlineStr">
        <is>
          <t>Quelle: Balearic Properties</t>
        </is>
      </c>
    </row>
    <row r="5504">
      <c r="A5504" t="n">
        <v>5317</v>
      </c>
      <c r="B5504" t="inlineStr">
        <is>
          <t>Ground floor apartment with garden for sale in Puerto Andratx, Mallorca</t>
        </is>
      </c>
      <c r="C5504" t="inlineStr">
        <is>
          <t>https://www.balearic-properties.com/en/property/id/930064-ground-floor-apartment-private-garden-puerto-andratx-mallorca-html</t>
        </is>
      </c>
      <c r="E5504" t="n">
        <v>2</v>
      </c>
      <c r="G5504" t="n">
        <v>90</v>
      </c>
      <c r="H5504" t="n">
        <v>150</v>
      </c>
      <c r="J5504" t="inlineStr">
        <is>
          <t>Puerto Andratx</t>
        </is>
      </c>
      <c r="S5504" t="n">
        <v>795000</v>
      </c>
      <c r="T5504" t="n">
        <v>5300</v>
      </c>
      <c r="U5504" t="n">
        <v>8833</v>
      </c>
      <c r="AH5504" t="inlineStr">
        <is>
          <t>Quelle: Balearic Properties</t>
        </is>
      </c>
    </row>
    <row r="5505">
      <c r="A5505" t="n">
        <v>5318</v>
      </c>
      <c r="B5505" t="inlineStr">
        <is>
          <t>Beautiful town house with garden for sale in the historic centre of Pollensa, Mallorca</t>
        </is>
      </c>
      <c r="C5505" t="inlineStr">
        <is>
          <t>https://www.balearic-properties.com/en/property/id/852861-townhouse-garden-historic-centre-pollensa-html</t>
        </is>
      </c>
      <c r="E5505" t="n">
        <v>5</v>
      </c>
      <c r="G5505" t="n">
        <v>116</v>
      </c>
      <c r="H5505" t="n">
        <v>220</v>
      </c>
      <c r="J5505" t="inlineStr">
        <is>
          <t>Pollença Pueblo</t>
        </is>
      </c>
      <c r="K5505" t="n">
        <v>60.6</v>
      </c>
      <c r="L5505" t="n">
        <v>47</v>
      </c>
      <c r="M5505" t="n">
        <v>78.7</v>
      </c>
      <c r="N5505" t="n">
        <v>74</v>
      </c>
      <c r="O5505" t="n">
        <v>83.2</v>
      </c>
      <c r="P5505" t="n">
        <v>63</v>
      </c>
      <c r="Q5505" t="n">
        <v>76.40000000000001</v>
      </c>
      <c r="R5505" t="n">
        <v>70</v>
      </c>
      <c r="S5505" t="n">
        <v>995000</v>
      </c>
      <c r="T5505" t="n">
        <v>4523</v>
      </c>
      <c r="U5505" t="n">
        <v>8578</v>
      </c>
      <c r="AH5505" t="inlineStr">
        <is>
          <t>Quelle: Balearic Properties</t>
        </is>
      </c>
    </row>
    <row r="5506">
      <c r="A5506" t="n">
        <v>5319</v>
      </c>
      <c r="B5506" t="inlineStr">
        <is>
          <t>Stylish luxury townhouse with pool and lift for sale in Santanyi, Mallorca</t>
        </is>
      </c>
      <c r="C5506" t="inlineStr">
        <is>
          <t>https://www.balearic-properties.com/en/property/id/931157-townhouse-pool-garden-santanyi-mallorca-html</t>
        </is>
      </c>
      <c r="E5506" t="n">
        <v>5</v>
      </c>
      <c r="G5506" t="n">
        <v>303</v>
      </c>
      <c r="H5506" t="n">
        <v>557</v>
      </c>
      <c r="J5506" t="inlineStr">
        <is>
          <t>Santanyí</t>
        </is>
      </c>
      <c r="K5506" t="n">
        <v>45.4</v>
      </c>
      <c r="L5506" t="n">
        <v>39</v>
      </c>
      <c r="M5506" t="n">
        <v>9</v>
      </c>
      <c r="N5506" t="n">
        <v>13</v>
      </c>
      <c r="O5506" t="n">
        <v>83.59999999999999</v>
      </c>
      <c r="P5506" t="n">
        <v>67</v>
      </c>
      <c r="Q5506" t="n">
        <v>9.699999999999999</v>
      </c>
      <c r="R5506" t="n">
        <v>15</v>
      </c>
      <c r="S5506" t="n">
        <v>3400000</v>
      </c>
      <c r="T5506" t="n">
        <v>6104</v>
      </c>
      <c r="U5506" t="n">
        <v>11221</v>
      </c>
      <c r="AH5506" t="inlineStr">
        <is>
          <t>Quelle: Balearic Properties</t>
        </is>
      </c>
    </row>
    <row r="5507">
      <c r="A5507" t="n">
        <v>5320</v>
      </c>
      <c r="B5507" t="inlineStr">
        <is>
          <t>Unmissable townhouse with excellent facilities for sale in Santanyi, Mallorca</t>
        </is>
      </c>
      <c r="C5507" t="inlineStr">
        <is>
          <t>https://www.balearic-properties.com/en/property/id/931159-townhouse-pool-garden-santanyi-mallorca-html</t>
        </is>
      </c>
      <c r="E5507" t="n">
        <v>4</v>
      </c>
      <c r="G5507" t="n">
        <v>303</v>
      </c>
      <c r="H5507" t="n">
        <v>550</v>
      </c>
      <c r="J5507" t="inlineStr">
        <is>
          <t>Santanyí</t>
        </is>
      </c>
      <c r="K5507" t="n">
        <v>45.4</v>
      </c>
      <c r="L5507" t="n">
        <v>39</v>
      </c>
      <c r="M5507" t="n">
        <v>9</v>
      </c>
      <c r="N5507" t="n">
        <v>13</v>
      </c>
      <c r="O5507" t="n">
        <v>83.59999999999999</v>
      </c>
      <c r="P5507" t="n">
        <v>67</v>
      </c>
      <c r="Q5507" t="n">
        <v>9.699999999999999</v>
      </c>
      <c r="R5507" t="n">
        <v>15</v>
      </c>
      <c r="S5507" t="n">
        <v>2900000</v>
      </c>
      <c r="T5507" t="n">
        <v>5273</v>
      </c>
      <c r="U5507" t="n">
        <v>9571</v>
      </c>
      <c r="AH5507" t="inlineStr">
        <is>
          <t>Quelle: Balearic Properties</t>
        </is>
      </c>
    </row>
    <row r="5508">
      <c r="A5508" t="n">
        <v>5321</v>
      </c>
      <c r="B5508" t="inlineStr">
        <is>
          <t>Charming luxury finca of the highest standard for sale in Bunyola, Mallorca</t>
        </is>
      </c>
      <c r="C5508" t="inlineStr">
        <is>
          <t>https://www.balearic-properties.com/en/property/id/931045-charming-finca-mountain-views-bunyola-mallorca-html</t>
        </is>
      </c>
      <c r="E5508" t="n">
        <v>4</v>
      </c>
      <c r="G5508" t="n">
        <v>23000</v>
      </c>
      <c r="H5508" t="n">
        <v>362</v>
      </c>
      <c r="J5508" t="inlineStr">
        <is>
          <t>Bunyola</t>
        </is>
      </c>
      <c r="K5508" t="n">
        <v>26.3</v>
      </c>
      <c r="L5508" t="n">
        <v>25</v>
      </c>
      <c r="M5508" t="n">
        <v>69.09999999999999</v>
      </c>
      <c r="N5508" t="n">
        <v>58</v>
      </c>
      <c r="O5508" t="n">
        <v>48.9</v>
      </c>
      <c r="P5508" t="n">
        <v>41</v>
      </c>
      <c r="Q5508" t="n">
        <v>66.8</v>
      </c>
      <c r="R5508" t="n">
        <v>54</v>
      </c>
      <c r="S5508" t="n">
        <v>5750000</v>
      </c>
      <c r="T5508" t="n">
        <v>15884</v>
      </c>
      <c r="U5508" t="n">
        <v>250</v>
      </c>
      <c r="AH5508" t="inlineStr">
        <is>
          <t>Quelle: Balearic Properties</t>
        </is>
      </c>
    </row>
    <row r="5509">
      <c r="A5509" t="n">
        <v>5322</v>
      </c>
      <c r="B5509" t="inlineStr">
        <is>
          <t>Newly built finca with panoramic mountain views for sale in Alaró, Mallorca</t>
        </is>
      </c>
      <c r="C5509" t="inlineStr">
        <is>
          <t>https://www.balearic-properties.com/en/property/id/931050-new-finca-mountain-views-alaro-mallorca-html</t>
        </is>
      </c>
      <c r="E5509" t="n">
        <v>5</v>
      </c>
      <c r="G5509" t="n">
        <v>15191</v>
      </c>
      <c r="H5509" t="n">
        <v>678</v>
      </c>
      <c r="J5509" t="inlineStr">
        <is>
          <t>Alaró</t>
        </is>
      </c>
      <c r="K5509" t="n">
        <v>33.4</v>
      </c>
      <c r="L5509" t="n">
        <v>33</v>
      </c>
      <c r="M5509" t="n">
        <v>76.09999999999999</v>
      </c>
      <c r="N5509" t="n">
        <v>66</v>
      </c>
      <c r="O5509" t="n">
        <v>55.9</v>
      </c>
      <c r="P5509" t="n">
        <v>49</v>
      </c>
      <c r="Q5509" t="n">
        <v>73.8</v>
      </c>
      <c r="R5509" t="n">
        <v>62</v>
      </c>
      <c r="S5509" t="n">
        <v>8495000</v>
      </c>
      <c r="T5509" t="n">
        <v>12529</v>
      </c>
      <c r="U5509" t="n">
        <v>559</v>
      </c>
      <c r="AH5509" t="inlineStr">
        <is>
          <t>Quelle: Balearic Properties</t>
        </is>
      </c>
    </row>
    <row r="5510">
      <c r="A5510" t="n">
        <v>5323</v>
      </c>
      <c r="B5510" t="inlineStr">
        <is>
          <t>Bright renovated apartment with sea views for sale in Palma, Mallorca</t>
        </is>
      </c>
      <c r="C5510" t="inlineStr">
        <is>
          <t>https://www.balearic-properties.com/en/property/id/930709-renovated-apartment-sea-views-palma-mallorca-html</t>
        </is>
      </c>
      <c r="E5510" t="n">
        <v>3</v>
      </c>
      <c r="G5510" t="n">
        <v>0</v>
      </c>
      <c r="H5510" t="n">
        <v>190</v>
      </c>
      <c r="J5510" t="inlineStr">
        <is>
          <t>Palma de Mallorca</t>
        </is>
      </c>
      <c r="K5510" t="n">
        <v>9.699999999999999</v>
      </c>
      <c r="L5510" t="n">
        <v>14</v>
      </c>
      <c r="M5510" t="n">
        <v>52.5</v>
      </c>
      <c r="N5510" t="n">
        <v>47</v>
      </c>
      <c r="O5510" t="n">
        <v>32.1</v>
      </c>
      <c r="P5510" t="n">
        <v>36</v>
      </c>
      <c r="Q5510" t="n">
        <v>50.2</v>
      </c>
      <c r="R5510" t="n">
        <v>44</v>
      </c>
      <c r="S5510" t="n">
        <v>1550000</v>
      </c>
      <c r="T5510" t="n">
        <v>8158</v>
      </c>
      <c r="AH5510" t="inlineStr">
        <is>
          <t>Quelle: Balearic Properties</t>
        </is>
      </c>
    </row>
    <row r="5511">
      <c r="A5511" t="n">
        <v>5324</v>
      </c>
      <c r="B5511" t="inlineStr">
        <is>
          <t>Authentic rustic estate for sale on a large plot in Ariany, Mallorca</t>
        </is>
      </c>
      <c r="C5511" t="inlineStr">
        <is>
          <t>https://www.balearic-properties.com/en/property/id/929651-authentic-rustic-estate-ariany-mallorca-html</t>
        </is>
      </c>
      <c r="E5511" t="n">
        <v>5</v>
      </c>
      <c r="G5511" t="n">
        <v>70083</v>
      </c>
      <c r="H5511" t="n">
        <v>866</v>
      </c>
      <c r="J5511" t="inlineStr">
        <is>
          <t>Ariany</t>
        </is>
      </c>
      <c r="K5511" t="n">
        <v>45.1</v>
      </c>
      <c r="L5511" t="n">
        <v>46</v>
      </c>
      <c r="M5511" t="n">
        <v>46.2</v>
      </c>
      <c r="N5511" t="n">
        <v>51</v>
      </c>
      <c r="O5511" t="n">
        <v>80.40000000000001</v>
      </c>
      <c r="P5511" t="n">
        <v>63</v>
      </c>
      <c r="Q5511" t="n">
        <v>43.9</v>
      </c>
      <c r="R5511" t="n">
        <v>47</v>
      </c>
      <c r="S5511" t="n">
        <v>1900000</v>
      </c>
      <c r="T5511" t="n">
        <v>2194</v>
      </c>
      <c r="U5511" t="n">
        <v>27</v>
      </c>
      <c r="AH5511" t="inlineStr">
        <is>
          <t>Quelle: Balearic Properties</t>
        </is>
      </c>
    </row>
    <row r="5512">
      <c r="A5512" t="n">
        <v>5325</v>
      </c>
      <c r="B5512" t="inlineStr">
        <is>
          <t>New luxury finca with panoramic views for sale in the countryside near Santanyí, Mallorca</t>
        </is>
      </c>
      <c r="C5512" t="inlineStr">
        <is>
          <t>https://www.balearic-properties.com/en/property/id/851284-luxury-finca-panoramic-views-santanyi-mallorca-html</t>
        </is>
      </c>
      <c r="E5512" t="n">
        <v>5</v>
      </c>
      <c r="G5512" t="n">
        <v>17758</v>
      </c>
      <c r="H5512" t="n">
        <v>430</v>
      </c>
      <c r="J5512" t="inlineStr">
        <is>
          <t>Santanyí</t>
        </is>
      </c>
      <c r="K5512" t="n">
        <v>45.4</v>
      </c>
      <c r="L5512" t="n">
        <v>39</v>
      </c>
      <c r="M5512" t="n">
        <v>9</v>
      </c>
      <c r="N5512" t="n">
        <v>13</v>
      </c>
      <c r="O5512" t="n">
        <v>83.59999999999999</v>
      </c>
      <c r="P5512" t="n">
        <v>67</v>
      </c>
      <c r="Q5512" t="n">
        <v>9.699999999999999</v>
      </c>
      <c r="R5512" t="n">
        <v>15</v>
      </c>
      <c r="S5512" t="n">
        <v>3200000</v>
      </c>
      <c r="T5512" t="n">
        <v>7442</v>
      </c>
      <c r="U5512" t="n">
        <v>180</v>
      </c>
      <c r="AH5512" t="inlineStr">
        <is>
          <t>Quelle: Balearic Properties</t>
        </is>
      </c>
    </row>
    <row r="5513">
      <c r="A5513" t="n">
        <v>5326</v>
      </c>
      <c r="B5513" t="inlineStr">
        <is>
          <t>Exciting house renovation project for sale in Sóller, Mallorca</t>
        </is>
      </c>
      <c r="C5513" t="inlineStr">
        <is>
          <t>https://www.balearic-properties.com/en/property/id/929309-house-renovation-project-soller-mallorca-html</t>
        </is>
      </c>
      <c r="E5513" t="n">
        <v>5</v>
      </c>
      <c r="G5513" t="n">
        <v>3345</v>
      </c>
      <c r="H5513" t="n">
        <v>641</v>
      </c>
      <c r="J5513" t="inlineStr">
        <is>
          <t>Sóller</t>
        </is>
      </c>
      <c r="K5513" t="n">
        <v>32.5</v>
      </c>
      <c r="L5513" t="n">
        <v>38</v>
      </c>
      <c r="M5513" t="n">
        <v>75.2</v>
      </c>
      <c r="N5513" t="n">
        <v>70</v>
      </c>
      <c r="O5513" t="n">
        <v>52.1</v>
      </c>
      <c r="P5513" t="n">
        <v>51</v>
      </c>
      <c r="Q5513" t="n">
        <v>72.90000000000001</v>
      </c>
      <c r="R5513" t="n">
        <v>67</v>
      </c>
      <c r="S5513" t="n">
        <v>1255000</v>
      </c>
      <c r="T5513" t="n">
        <v>1958</v>
      </c>
      <c r="U5513" t="n">
        <v>375</v>
      </c>
      <c r="AH5513" t="inlineStr">
        <is>
          <t>Quelle: Balearic Properties</t>
        </is>
      </c>
    </row>
    <row r="5514">
      <c r="A5514" t="n">
        <v>5327</v>
      </c>
      <c r="B5514" t="inlineStr">
        <is>
          <t>Spectacular designer hilltop property for sale in Santanyi, Mallorca</t>
        </is>
      </c>
      <c r="C5514" t="inlineStr">
        <is>
          <t>https://www.balearic-properties.com/en/property/id/928730-spectacular-hilltop-finca-santanyi-mallorca-html</t>
        </is>
      </c>
      <c r="E5514" t="n">
        <v>4</v>
      </c>
      <c r="G5514" t="n">
        <v>59235</v>
      </c>
      <c r="H5514" t="n">
        <v>539</v>
      </c>
      <c r="J5514" t="inlineStr">
        <is>
          <t>Santanyí</t>
        </is>
      </c>
      <c r="K5514" t="n">
        <v>45.4</v>
      </c>
      <c r="L5514" t="n">
        <v>39</v>
      </c>
      <c r="M5514" t="n">
        <v>9</v>
      </c>
      <c r="N5514" t="n">
        <v>13</v>
      </c>
      <c r="O5514" t="n">
        <v>83.59999999999999</v>
      </c>
      <c r="P5514" t="n">
        <v>67</v>
      </c>
      <c r="Q5514" t="n">
        <v>9.699999999999999</v>
      </c>
      <c r="R5514" t="n">
        <v>15</v>
      </c>
      <c r="S5514" t="n">
        <v>5800000</v>
      </c>
      <c r="T5514" t="n">
        <v>10761</v>
      </c>
      <c r="U5514" t="n">
        <v>98</v>
      </c>
      <c r="AH5514" t="inlineStr">
        <is>
          <t>Quelle: Balearic Properties</t>
        </is>
      </c>
    </row>
    <row r="5515">
      <c r="A5515" t="n">
        <v>5328</v>
      </c>
      <c r="B5515" t="inlineStr">
        <is>
          <t>New chic apartment for sale in Palma Old Town, Mallorca</t>
        </is>
      </c>
      <c r="C5515" t="inlineStr">
        <is>
          <t>https://www.balearic-properties.com/en/property/id/930432-new-chic-apartment-for-sale-in-palma-old-town-mallorca</t>
        </is>
      </c>
      <c r="E5515" t="n">
        <v>2</v>
      </c>
      <c r="G5515" t="n">
        <v>0</v>
      </c>
      <c r="H5515" t="n">
        <v>165</v>
      </c>
      <c r="J5515" t="inlineStr">
        <is>
          <t>Palma Casco Antiguo</t>
        </is>
      </c>
      <c r="K5515" t="n">
        <v>9.699999999999999</v>
      </c>
      <c r="L5515" t="n">
        <v>14</v>
      </c>
      <c r="M5515" t="n">
        <v>52.5</v>
      </c>
      <c r="N5515" t="n">
        <v>47</v>
      </c>
      <c r="O5515" t="n">
        <v>32.1</v>
      </c>
      <c r="P5515" t="n">
        <v>36</v>
      </c>
      <c r="Q5515" t="n">
        <v>50.2</v>
      </c>
      <c r="R5515" t="n">
        <v>44</v>
      </c>
      <c r="S5515" t="n">
        <v>1400000</v>
      </c>
      <c r="T5515" t="n">
        <v>8485</v>
      </c>
      <c r="AH5515" t="inlineStr">
        <is>
          <t>Quelle: Balearic Properties</t>
        </is>
      </c>
    </row>
    <row r="5516">
      <c r="A5516" t="n">
        <v>5329</v>
      </c>
      <c r="B5516" t="inlineStr">
        <is>
          <t>Newly built penthouse duplex for sale in Palma Old Town, Mallorca</t>
        </is>
      </c>
      <c r="C5516" t="inlineStr">
        <is>
          <t>https://www.balearic-properties.com/en/property/id/928613-duplex-penthouse-palma-mallorca-html</t>
        </is>
      </c>
      <c r="E5516" t="n">
        <v>2</v>
      </c>
      <c r="G5516" t="n">
        <v>0</v>
      </c>
      <c r="H5516" t="n">
        <v>235</v>
      </c>
      <c r="J5516" t="inlineStr">
        <is>
          <t>Palma Casco Antiguo</t>
        </is>
      </c>
      <c r="K5516" t="n">
        <v>9.699999999999999</v>
      </c>
      <c r="L5516" t="n">
        <v>14</v>
      </c>
      <c r="M5516" t="n">
        <v>52.5</v>
      </c>
      <c r="N5516" t="n">
        <v>47</v>
      </c>
      <c r="O5516" t="n">
        <v>32.1</v>
      </c>
      <c r="P5516" t="n">
        <v>36</v>
      </c>
      <c r="Q5516" t="n">
        <v>50.2</v>
      </c>
      <c r="R5516" t="n">
        <v>44</v>
      </c>
      <c r="S5516" t="n">
        <v>2950000</v>
      </c>
      <c r="T5516" t="n">
        <v>12553</v>
      </c>
      <c r="AH5516" t="inlineStr">
        <is>
          <t>Quelle: Balearic Properties</t>
        </is>
      </c>
    </row>
    <row r="5517">
      <c r="A5517" t="n">
        <v>5330</v>
      </c>
      <c r="B5517" t="inlineStr">
        <is>
          <t>Luxury townhouses with pools and gardens for sale in Can Picafort, Mallorca</t>
        </is>
      </c>
      <c r="C5517" t="inlineStr">
        <is>
          <t>https://www.balearic-properties.com/en/property/id/930550-new-modern-houses-can-picafort-mallorca-html</t>
        </is>
      </c>
      <c r="E5517" t="n">
        <v>3</v>
      </c>
      <c r="G5517" t="n">
        <v>305</v>
      </c>
      <c r="H5517" t="n">
        <v>275</v>
      </c>
      <c r="J5517" t="inlineStr">
        <is>
          <t>Can Picafort</t>
        </is>
      </c>
      <c r="K5517" t="n">
        <v>64.8</v>
      </c>
      <c r="L5517" t="n">
        <v>54</v>
      </c>
      <c r="M5517" t="n">
        <v>61.4</v>
      </c>
      <c r="N5517" t="n">
        <v>65</v>
      </c>
      <c r="O5517" t="n">
        <v>87.40000000000001</v>
      </c>
      <c r="P5517" t="n">
        <v>70</v>
      </c>
      <c r="Q5517" t="n">
        <v>59.1</v>
      </c>
      <c r="R5517" t="n">
        <v>61</v>
      </c>
      <c r="S5517" t="n">
        <v>1150000</v>
      </c>
      <c r="T5517" t="n">
        <v>4182</v>
      </c>
      <c r="U5517" t="n">
        <v>3770</v>
      </c>
      <c r="AH5517" t="inlineStr">
        <is>
          <t>Quelle: Balearic Properties</t>
        </is>
      </c>
    </row>
    <row r="5518">
      <c r="A5518" t="n">
        <v>5331</v>
      </c>
      <c r="B5518" t="inlineStr">
        <is>
          <t>New modern houses for sale near the beaches in Can Picafort, Mallorca</t>
        </is>
      </c>
      <c r="C5518" t="inlineStr">
        <is>
          <t>https://www.balearic-properties.com/en/property/id/925938-new-modern-houses-can-picafort-mallorca-html</t>
        </is>
      </c>
      <c r="E5518" t="n">
        <v>3</v>
      </c>
      <c r="G5518" t="n">
        <v>305</v>
      </c>
      <c r="H5518" t="n">
        <v>275</v>
      </c>
      <c r="J5518" t="inlineStr">
        <is>
          <t>Can Picafort</t>
        </is>
      </c>
      <c r="K5518" t="n">
        <v>64.8</v>
      </c>
      <c r="L5518" t="n">
        <v>54</v>
      </c>
      <c r="M5518" t="n">
        <v>61.4</v>
      </c>
      <c r="N5518" t="n">
        <v>65</v>
      </c>
      <c r="O5518" t="n">
        <v>87.40000000000001</v>
      </c>
      <c r="P5518" t="n">
        <v>70</v>
      </c>
      <c r="Q5518" t="n">
        <v>59.1</v>
      </c>
      <c r="R5518" t="n">
        <v>61</v>
      </c>
      <c r="S5518" t="n">
        <v>1200000</v>
      </c>
      <c r="T5518" t="n">
        <v>4364</v>
      </c>
      <c r="U5518" t="n">
        <v>3934</v>
      </c>
      <c r="AH5518" t="inlineStr">
        <is>
          <t>Quelle: Balearic Properties</t>
        </is>
      </c>
    </row>
    <row r="5519">
      <c r="A5519" t="n">
        <v>5332</v>
      </c>
      <c r="B5519" t="inlineStr">
        <is>
          <t>Spectacular minimalist country house with lots of light and tranquility for sale in Santanyi, Mallorca</t>
        </is>
      </c>
      <c r="C5519" t="inlineStr">
        <is>
          <t>https://www.balearic-properties.com/en/property/id/928729-spectacular-minimalist-finca-santanyi-mallorca-html</t>
        </is>
      </c>
      <c r="E5519" t="n">
        <v>4</v>
      </c>
      <c r="G5519" t="n">
        <v>1500</v>
      </c>
      <c r="H5519" t="n">
        <v>880</v>
      </c>
      <c r="J5519" t="inlineStr">
        <is>
          <t>Santanyí</t>
        </is>
      </c>
      <c r="AH5519" t="inlineStr">
        <is>
          <t>Quelle: Balearic Properties</t>
        </is>
      </c>
    </row>
    <row r="5520">
      <c r="A5520" t="n">
        <v>5333</v>
      </c>
      <c r="B5520" t="inlineStr">
        <is>
          <t>Project of modern villa with views for sale in Son Gual, Mallorca</t>
        </is>
      </c>
      <c r="C5520" t="inlineStr">
        <is>
          <t>https://www.balearic-properties.com/en/property/id/930454-new-villa-views-bay-son-gual-mallorca-html</t>
        </is>
      </c>
      <c r="E5520" t="n">
        <v>4</v>
      </c>
      <c r="G5520" t="n">
        <v>2004</v>
      </c>
      <c r="H5520" t="n">
        <v>350</v>
      </c>
      <c r="J5520" t="inlineStr">
        <is>
          <t>Son Gual</t>
        </is>
      </c>
      <c r="S5520" t="n">
        <v>815000</v>
      </c>
      <c r="T5520" t="n">
        <v>2329</v>
      </c>
      <c r="U5520" t="n">
        <v>407</v>
      </c>
      <c r="AH5520" t="inlineStr">
        <is>
          <t>Quelle: Balearic Properties</t>
        </is>
      </c>
    </row>
    <row r="5521">
      <c r="A5521" t="n">
        <v>5334</v>
      </c>
      <c r="B5521" t="inlineStr">
        <is>
          <t>Beautifully presented town house with amazing views for sale in the heart of Pollensa, Mallorca</t>
        </is>
      </c>
      <c r="C5521" t="inlineStr">
        <is>
          <t>https://www.balearic-properties.com/en/property/id/872193-townhouse-calvari-pollensa-mallorca-html</t>
        </is>
      </c>
      <c r="E5521" t="n">
        <v>4</v>
      </c>
      <c r="G5521" t="n">
        <v>0</v>
      </c>
      <c r="H5521" t="n">
        <v>220</v>
      </c>
      <c r="J5521" t="inlineStr">
        <is>
          <t>Pollença Pueblo</t>
        </is>
      </c>
      <c r="K5521" t="n">
        <v>60.6</v>
      </c>
      <c r="L5521" t="n">
        <v>47</v>
      </c>
      <c r="M5521" t="n">
        <v>78.7</v>
      </c>
      <c r="N5521" t="n">
        <v>74</v>
      </c>
      <c r="O5521" t="n">
        <v>83.2</v>
      </c>
      <c r="P5521" t="n">
        <v>63</v>
      </c>
      <c r="Q5521" t="n">
        <v>76.40000000000001</v>
      </c>
      <c r="R5521" t="n">
        <v>70</v>
      </c>
      <c r="S5521" t="n">
        <v>1450000</v>
      </c>
      <c r="T5521" t="n">
        <v>6591</v>
      </c>
      <c r="AH5521" t="inlineStr">
        <is>
          <t>Quelle: Balearic Properties</t>
        </is>
      </c>
    </row>
    <row r="5522">
      <c r="A5522" t="n">
        <v>5335</v>
      </c>
      <c r="B5522" t="inlineStr">
        <is>
          <t>Historic mill surrounded by a paradise garden with views of the countryside and the sea for sale near Es Carritxo, Mallorca</t>
        </is>
      </c>
      <c r="C5522" t="inlineStr">
        <is>
          <t>https://www.balearic-properties.com/en/property/id/930147-finca-guest-house-escarritxo-mallorca-html</t>
        </is>
      </c>
      <c r="E5522" t="n">
        <v>3</v>
      </c>
      <c r="G5522" t="n">
        <v>7111</v>
      </c>
      <c r="H5522" t="n">
        <v>377</v>
      </c>
      <c r="J5522" t="inlineStr">
        <is>
          <t>Es Carritxó</t>
        </is>
      </c>
      <c r="K5522" t="n">
        <v>49.4</v>
      </c>
      <c r="L5522" t="n">
        <v>44</v>
      </c>
      <c r="M5522" t="n">
        <v>17.8</v>
      </c>
      <c r="N5522" t="n">
        <v>25</v>
      </c>
      <c r="O5522" t="n">
        <v>87.59999999999999</v>
      </c>
      <c r="P5522" t="n">
        <v>71</v>
      </c>
      <c r="Q5522" t="n">
        <v>19.1</v>
      </c>
      <c r="R5522" t="n">
        <v>29</v>
      </c>
      <c r="S5522" t="n">
        <v>2850000</v>
      </c>
      <c r="T5522" t="n">
        <v>7560</v>
      </c>
      <c r="U5522" t="n">
        <v>401</v>
      </c>
      <c r="AH5522" t="inlineStr">
        <is>
          <t>Quelle: Balearic Properties</t>
        </is>
      </c>
    </row>
    <row r="5523">
      <c r="A5523" t="n">
        <v>5336</v>
      </c>
      <c r="B5523" t="inlineStr">
        <is>
          <t>Stylish villa for sale close to the beaches in Palmanova, Mallorca</t>
        </is>
      </c>
      <c r="C5523" t="inlineStr">
        <is>
          <t>https://www.balearic-properties.com/en/property/id/929657-large-villa-near-beach-palmanova-mallorca-html</t>
        </is>
      </c>
      <c r="E5523" t="n">
        <v>6</v>
      </c>
      <c r="G5523" t="n">
        <v>1942</v>
      </c>
      <c r="H5523" t="n">
        <v>751</v>
      </c>
      <c r="J5523" t="inlineStr">
        <is>
          <t>Palmanova</t>
        </is>
      </c>
      <c r="K5523" t="n">
        <v>25.9</v>
      </c>
      <c r="L5523" t="n">
        <v>24</v>
      </c>
      <c r="M5523" t="n">
        <v>68.59999999999999</v>
      </c>
      <c r="N5523" t="n">
        <v>57</v>
      </c>
      <c r="O5523" t="n">
        <v>18.5</v>
      </c>
      <c r="P5523" t="n">
        <v>21</v>
      </c>
      <c r="Q5523" t="n">
        <v>66.3</v>
      </c>
      <c r="R5523" t="n">
        <v>54</v>
      </c>
      <c r="S5523" t="n">
        <v>4750000</v>
      </c>
      <c r="T5523" t="n">
        <v>6325</v>
      </c>
      <c r="U5523" t="n">
        <v>2446</v>
      </c>
      <c r="AH5523" t="inlineStr">
        <is>
          <t>Quelle: Balearic Properties</t>
        </is>
      </c>
    </row>
    <row r="5524">
      <c r="A5524" t="n">
        <v>5337</v>
      </c>
      <c r="B5524" t="inlineStr">
        <is>
          <t>Newly built modern villa with sea views for sale in Santa Ponsa, Mallorca</t>
        </is>
      </c>
      <c r="C5524" t="inlineStr">
        <is>
          <t>https://www.balearic-properties.com/en/property/id/929966-new-villa-seaviews-santa-ponsa-mallorca-html</t>
        </is>
      </c>
      <c r="E5524" t="n">
        <v>6</v>
      </c>
      <c r="G5524" t="n">
        <v>1000</v>
      </c>
      <c r="H5524" t="n">
        <v>431</v>
      </c>
      <c r="J5524" t="inlineStr">
        <is>
          <t>Santa Ponsa</t>
        </is>
      </c>
      <c r="K5524" t="n">
        <v>31.1</v>
      </c>
      <c r="L5524" t="n">
        <v>28</v>
      </c>
      <c r="M5524" t="n">
        <v>73.90000000000001</v>
      </c>
      <c r="N5524" t="n">
        <v>61</v>
      </c>
      <c r="O5524" t="n">
        <v>15.2</v>
      </c>
      <c r="P5524" t="n">
        <v>19</v>
      </c>
      <c r="Q5524" t="n">
        <v>71.59999999999999</v>
      </c>
      <c r="R5524" t="n">
        <v>57</v>
      </c>
      <c r="S5524" t="n">
        <v>6950000</v>
      </c>
      <c r="T5524" t="n">
        <v>16125</v>
      </c>
      <c r="U5524" t="n">
        <v>6950</v>
      </c>
      <c r="AH5524" t="inlineStr">
        <is>
          <t>Quelle: Balearic Properties</t>
        </is>
      </c>
    </row>
    <row r="5525">
      <c r="A5525" t="n">
        <v>5338</v>
      </c>
      <c r="B5525" t="inlineStr">
        <is>
          <t>Fabulous finca under construction for sale between Algaida and Llucmajor, Mallorca</t>
        </is>
      </c>
      <c r="C5525" t="inlineStr">
        <is>
          <t>https://www.balearic-properties.com/en/property/id/831127-finca-under-construction-algaida-llucmajor-mallorca-html</t>
        </is>
      </c>
      <c r="E5525" t="n">
        <v>4</v>
      </c>
      <c r="G5525" t="n">
        <v>17500</v>
      </c>
      <c r="H5525" t="n">
        <v>475</v>
      </c>
      <c r="J5525" t="inlineStr">
        <is>
          <t>Algaida</t>
        </is>
      </c>
      <c r="K5525" t="n">
        <v>20.1</v>
      </c>
      <c r="L5525" t="n">
        <v>21</v>
      </c>
      <c r="M5525" t="n">
        <v>39.8</v>
      </c>
      <c r="N5525" t="n">
        <v>41</v>
      </c>
      <c r="O5525" t="n">
        <v>54.4</v>
      </c>
      <c r="P5525" t="n">
        <v>46</v>
      </c>
      <c r="Q5525" t="n">
        <v>37.5</v>
      </c>
      <c r="R5525" t="n">
        <v>37</v>
      </c>
      <c r="S5525" t="n">
        <v>4300000</v>
      </c>
      <c r="T5525" t="n">
        <v>9053</v>
      </c>
      <c r="U5525" t="n">
        <v>246</v>
      </c>
      <c r="AH5525" t="inlineStr">
        <is>
          <t>Quelle: Balearic Properties</t>
        </is>
      </c>
    </row>
    <row r="5526">
      <c r="A5526" t="n">
        <v>5339</v>
      </c>
      <c r="B5526" t="inlineStr">
        <is>
          <t>Sea view apartment with large terrace for sale in Puerto Portals, Mallorca</t>
        </is>
      </c>
      <c r="C5526" t="inlineStr">
        <is>
          <t>https://www.balearic-properties.com/en/property/id/928289-seaview-apartment-direct-access-puerto-portals-mallorca-html</t>
        </is>
      </c>
      <c r="E5526" t="n">
        <v>5</v>
      </c>
      <c r="G5526" t="n">
        <v>0</v>
      </c>
      <c r="H5526" t="n">
        <v>222</v>
      </c>
      <c r="J5526" t="inlineStr">
        <is>
          <t>Portals Nous</t>
        </is>
      </c>
      <c r="K5526" t="n">
        <v>23.8</v>
      </c>
      <c r="L5526" t="n">
        <v>23</v>
      </c>
      <c r="M5526" t="n">
        <v>66.59999999999999</v>
      </c>
      <c r="N5526" t="n">
        <v>56</v>
      </c>
      <c r="O5526" t="n">
        <v>21.8</v>
      </c>
      <c r="P5526" t="n">
        <v>22</v>
      </c>
      <c r="Q5526" t="n">
        <v>64.3</v>
      </c>
      <c r="R5526" t="n">
        <v>52</v>
      </c>
      <c r="S5526" t="n">
        <v>2000000</v>
      </c>
      <c r="T5526" t="n">
        <v>9009</v>
      </c>
      <c r="AH5526" t="inlineStr">
        <is>
          <t>Quelle: Balearic Properties</t>
        </is>
      </c>
    </row>
    <row r="5527">
      <c r="A5527" t="n">
        <v>5340</v>
      </c>
      <c r="B5527" t="inlineStr">
        <is>
          <t>Spacious townhouse with own pool and garden for sale in Santanyi, Mallorca</t>
        </is>
      </c>
      <c r="C5527" t="inlineStr">
        <is>
          <t>https://www.balearic-properties.com/en/property/id/929185-townhouse-pool-garden-santanyi-mallorca-html</t>
        </is>
      </c>
      <c r="E5527" t="n">
        <v>5</v>
      </c>
      <c r="G5527" t="n">
        <v>303</v>
      </c>
      <c r="H5527" t="n">
        <v>557</v>
      </c>
      <c r="J5527" t="inlineStr">
        <is>
          <t>Santanyí</t>
        </is>
      </c>
      <c r="K5527" t="n">
        <v>45.4</v>
      </c>
      <c r="L5527" t="n">
        <v>39</v>
      </c>
      <c r="M5527" t="n">
        <v>9</v>
      </c>
      <c r="N5527" t="n">
        <v>13</v>
      </c>
      <c r="O5527" t="n">
        <v>83.59999999999999</v>
      </c>
      <c r="P5527" t="n">
        <v>67</v>
      </c>
      <c r="Q5527" t="n">
        <v>9.699999999999999</v>
      </c>
      <c r="R5527" t="n">
        <v>15</v>
      </c>
      <c r="S5527" t="n">
        <v>3500000</v>
      </c>
      <c r="T5527" t="n">
        <v>6284</v>
      </c>
      <c r="U5527" t="n">
        <v>11551</v>
      </c>
      <c r="AH5527" t="inlineStr">
        <is>
          <t>Quelle: Balearic Properties</t>
        </is>
      </c>
    </row>
    <row r="5528">
      <c r="A5528" t="n">
        <v>5341</v>
      </c>
      <c r="B5528" t="inlineStr">
        <is>
          <t>Newly built modern villa with views for sale in Son Gual, Mallorca</t>
        </is>
      </c>
      <c r="C5528" t="inlineStr">
        <is>
          <t>https://www.balearic-properties.com/en/property/id/929339-new-villa-views-bay-son-gual-mallorca-html</t>
        </is>
      </c>
      <c r="E5528" t="n">
        <v>4</v>
      </c>
      <c r="G5528" t="n">
        <v>2004</v>
      </c>
      <c r="H5528" t="n">
        <v>350</v>
      </c>
      <c r="J5528" t="inlineStr">
        <is>
          <t>Son Gual</t>
        </is>
      </c>
      <c r="K5528" t="n">
        <v>15.4</v>
      </c>
      <c r="L5528" t="n">
        <v>18</v>
      </c>
      <c r="M5528" t="n">
        <v>45.2</v>
      </c>
      <c r="N5528" t="n">
        <v>43</v>
      </c>
      <c r="O5528" t="n">
        <v>49.6</v>
      </c>
      <c r="P5528" t="n">
        <v>43</v>
      </c>
      <c r="Q5528" t="n">
        <v>42.9</v>
      </c>
      <c r="R5528" t="n">
        <v>39</v>
      </c>
      <c r="S5528" t="n">
        <v>2450000</v>
      </c>
      <c r="T5528" t="n">
        <v>7000</v>
      </c>
      <c r="U5528" t="n">
        <v>1223</v>
      </c>
      <c r="AH5528" t="inlineStr">
        <is>
          <t>Quelle: Balearic Properties</t>
        </is>
      </c>
    </row>
    <row r="5529">
      <c r="A5529" t="n">
        <v>5342</v>
      </c>
      <c r="B5529" t="inlineStr">
        <is>
          <t>Detached villa with holiday rental license for sale in Can Picafort, Mallorca</t>
        </is>
      </c>
      <c r="C5529" t="inlineStr">
        <is>
          <t>https://www.balearic-properties.com/en/property/id/925935-detached-villa-rental-license-can-picafort-mallorca-html</t>
        </is>
      </c>
      <c r="E5529" t="n">
        <v>4</v>
      </c>
      <c r="G5529" t="n">
        <v>562</v>
      </c>
      <c r="H5529" t="n">
        <v>397</v>
      </c>
      <c r="J5529" t="inlineStr">
        <is>
          <t>Can Picafort</t>
        </is>
      </c>
      <c r="K5529" t="n">
        <v>64.8</v>
      </c>
      <c r="L5529" t="n">
        <v>54</v>
      </c>
      <c r="M5529" t="n">
        <v>61.4</v>
      </c>
      <c r="N5529" t="n">
        <v>65</v>
      </c>
      <c r="O5529" t="n">
        <v>87.40000000000001</v>
      </c>
      <c r="P5529" t="n">
        <v>70</v>
      </c>
      <c r="Q5529" t="n">
        <v>59.1</v>
      </c>
      <c r="R5529" t="n">
        <v>61</v>
      </c>
      <c r="S5529" t="n">
        <v>1600000</v>
      </c>
      <c r="T5529" t="n">
        <v>4030</v>
      </c>
      <c r="U5529" t="n">
        <v>2847</v>
      </c>
      <c r="AH5529" t="inlineStr">
        <is>
          <t>Quelle: Balearic Properties</t>
        </is>
      </c>
    </row>
    <row r="5530">
      <c r="A5530" t="n">
        <v>5343</v>
      </c>
      <c r="B5530" t="inlineStr">
        <is>
          <t>Authentic village house with casita for sale in Selva, Mallorca</t>
        </is>
      </c>
      <c r="C5530" t="inlineStr">
        <is>
          <t>https://www.balearic-properties.com/en/property/id/926564-authentic-village-house-selva-mallorca-html</t>
        </is>
      </c>
      <c r="E5530" t="n">
        <v>4</v>
      </c>
      <c r="G5530" t="n">
        <v>302</v>
      </c>
      <c r="H5530" t="n">
        <v>270</v>
      </c>
      <c r="J5530" t="inlineStr">
        <is>
          <t>Selva</t>
        </is>
      </c>
      <c r="S5530" t="n">
        <v>595000</v>
      </c>
      <c r="T5530" t="n">
        <v>2204</v>
      </c>
      <c r="U5530" t="n">
        <v>1970</v>
      </c>
      <c r="AH5530" t="inlineStr">
        <is>
          <t>Quelle: Balearic Properties</t>
        </is>
      </c>
    </row>
    <row r="5531">
      <c r="A5531" t="n">
        <v>5344</v>
      </c>
      <c r="B5531" t="inlineStr">
        <is>
          <t>Designer town house for sale just metres from the sea in Puerto Alcudia, Mallorca</t>
        </is>
      </c>
      <c r="C5531" t="inlineStr">
        <is>
          <t>https://www.balearic-properties.com/en/property/id/927123-designer-townhouse-puerto-alcudia-mallorca-html</t>
        </is>
      </c>
      <c r="E5531" t="n">
        <v>2</v>
      </c>
      <c r="G5531" t="n">
        <v>31</v>
      </c>
      <c r="H5531" t="n">
        <v>144</v>
      </c>
      <c r="J5531" t="inlineStr">
        <is>
          <t>Puerto de Alcúdia</t>
        </is>
      </c>
      <c r="S5531" t="n">
        <v>890000</v>
      </c>
      <c r="T5531" t="n">
        <v>6181</v>
      </c>
      <c r="U5531" t="n">
        <v>28710</v>
      </c>
      <c r="AH5531" t="inlineStr">
        <is>
          <t>Quelle: Balearic Properties</t>
        </is>
      </c>
    </row>
    <row r="5532">
      <c r="A5532" t="n">
        <v>5345</v>
      </c>
      <c r="B5532" t="inlineStr">
        <is>
          <t>Modern style house with pool for sale in Colonia Sant Jordi, Mallorca</t>
        </is>
      </c>
      <c r="C5532" t="inlineStr">
        <is>
          <t>https://www.balearic-properties.com/en/property/id/929448-new-house-private-pool-colonia-sant-jordi-mallorca-html</t>
        </is>
      </c>
      <c r="E5532" t="n">
        <v>3</v>
      </c>
      <c r="G5532" t="n">
        <v>0</v>
      </c>
      <c r="H5532" t="n">
        <v>110</v>
      </c>
      <c r="J5532" t="inlineStr">
        <is>
          <t>Colònia de Sant Jordi</t>
        </is>
      </c>
      <c r="S5532" t="n">
        <v>660000</v>
      </c>
      <c r="T5532" t="n">
        <v>6000</v>
      </c>
      <c r="AH5532" t="inlineStr">
        <is>
          <t>Quelle: Balearic Properties</t>
        </is>
      </c>
    </row>
    <row r="5533">
      <c r="A5533" t="n">
        <v>5346</v>
      </c>
      <c r="B5533" t="inlineStr">
        <is>
          <t>New house with private pool for sale in Colonia Sant Jordi, Mallorca</t>
        </is>
      </c>
      <c r="C5533" t="inlineStr">
        <is>
          <t>https://www.balearic-properties.com/en/property/id/928440-new-house-private-pool-colonia-sant-jordi-mallorca-html</t>
        </is>
      </c>
      <c r="E5533" t="n">
        <v>3</v>
      </c>
      <c r="G5533" t="n">
        <v>0</v>
      </c>
      <c r="H5533" t="n">
        <v>130</v>
      </c>
      <c r="J5533" t="inlineStr">
        <is>
          <t>Colònia de Sant Jordi</t>
        </is>
      </c>
      <c r="S5533" t="n">
        <v>640000</v>
      </c>
      <c r="T5533" t="n">
        <v>4923</v>
      </c>
      <c r="AH5533" t="inlineStr">
        <is>
          <t>Quelle: Balearic Properties</t>
        </is>
      </c>
    </row>
    <row r="5534">
      <c r="A5534" t="n">
        <v>5347</v>
      </c>
      <c r="B5534" t="inlineStr">
        <is>
          <t>Family home for sale in Nova Santa Ponsa, Mallorca</t>
        </is>
      </c>
      <c r="C5534" t="inlineStr">
        <is>
          <t>https://www.balearic-properties.com/en/property/id/927276-villa-parcial-seaviews-nova-santa-ponsa-mallorca-html</t>
        </is>
      </c>
      <c r="E5534" t="n">
        <v>6</v>
      </c>
      <c r="G5534" t="n">
        <v>1100</v>
      </c>
      <c r="H5534" t="n">
        <v>357</v>
      </c>
      <c r="J5534" t="inlineStr">
        <is>
          <t>Nova Santa Ponsa</t>
        </is>
      </c>
      <c r="K5534" t="n">
        <v>31.1</v>
      </c>
      <c r="L5534" t="n">
        <v>28</v>
      </c>
      <c r="M5534" t="n">
        <v>73.90000000000001</v>
      </c>
      <c r="N5534" t="n">
        <v>61</v>
      </c>
      <c r="O5534" t="n">
        <v>15.2</v>
      </c>
      <c r="P5534" t="n">
        <v>19</v>
      </c>
      <c r="Q5534" t="n">
        <v>71.59999999999999</v>
      </c>
      <c r="R5534" t="n">
        <v>57</v>
      </c>
      <c r="S5534" t="n">
        <v>2750000</v>
      </c>
      <c r="T5534" t="n">
        <v>7703</v>
      </c>
      <c r="U5534" t="n">
        <v>2500</v>
      </c>
      <c r="AH5534" t="inlineStr">
        <is>
          <t>Quelle: Balearic Properties</t>
        </is>
      </c>
    </row>
    <row r="5535">
      <c r="A5535" t="n">
        <v>5348</v>
      </c>
      <c r="B5535" t="inlineStr">
        <is>
          <t>Bright apartment for sale in a fantastic area of ​​Palma, Mallorca</t>
        </is>
      </c>
      <c r="C5535" t="inlineStr">
        <is>
          <t>https://www.balearic-properties.com/en/property/id/927142-bright-apartment-palma-mallorca-html</t>
        </is>
      </c>
      <c r="E5535" t="n">
        <v>2</v>
      </c>
      <c r="G5535" t="n">
        <v>0</v>
      </c>
      <c r="H5535" t="n">
        <v>166</v>
      </c>
      <c r="J5535" t="inlineStr">
        <is>
          <t>Porto Pi</t>
        </is>
      </c>
      <c r="S5535" t="n">
        <v>650000</v>
      </c>
      <c r="T5535" t="n">
        <v>3916</v>
      </c>
      <c r="AH5535" t="inlineStr">
        <is>
          <t>Quelle: Balearic Properties</t>
        </is>
      </c>
    </row>
    <row r="5536">
      <c r="A5536" t="n">
        <v>5349</v>
      </c>
      <c r="B5536" t="inlineStr">
        <is>
          <t>Brand new villa with views of Palma Bay for sale in Son Gual, Palma, Mallorca</t>
        </is>
      </c>
      <c r="C5536" t="inlineStr">
        <is>
          <t>https://www.balearic-properties.com/en/property/id/929040-new-villa-views-bay-son-gual-palma-mallorca-html</t>
        </is>
      </c>
      <c r="E5536" t="n">
        <v>6</v>
      </c>
      <c r="G5536" t="n">
        <v>2001</v>
      </c>
      <c r="H5536" t="n">
        <v>517</v>
      </c>
      <c r="J5536" t="inlineStr">
        <is>
          <t>Son Gual</t>
        </is>
      </c>
      <c r="K5536" t="n">
        <v>15.4</v>
      </c>
      <c r="L5536" t="n">
        <v>18</v>
      </c>
      <c r="M5536" t="n">
        <v>45.2</v>
      </c>
      <c r="N5536" t="n">
        <v>43</v>
      </c>
      <c r="O5536" t="n">
        <v>49.6</v>
      </c>
      <c r="P5536" t="n">
        <v>43</v>
      </c>
      <c r="Q5536" t="n">
        <v>42.9</v>
      </c>
      <c r="R5536" t="n">
        <v>39</v>
      </c>
      <c r="S5536" t="n">
        <v>2640000</v>
      </c>
      <c r="T5536" t="n">
        <v>5106</v>
      </c>
      <c r="U5536" t="n">
        <v>1319</v>
      </c>
      <c r="AH5536" t="inlineStr">
        <is>
          <t>Quelle: Balearic Properties</t>
        </is>
      </c>
    </row>
    <row r="5537">
      <c r="A5537" t="n">
        <v>5350</v>
      </c>
      <c r="B5537" t="inlineStr">
        <is>
          <t>Contemporary style houses for sale close to the sea in Cala Millor, Mallorca</t>
        </is>
      </c>
      <c r="C5537" t="inlineStr">
        <is>
          <t>https://www.balearic-properties.com/en/property/id/929140-new-houses-and-apartments-cala-millor-mallorca-html</t>
        </is>
      </c>
      <c r="E5537" t="n">
        <v>4</v>
      </c>
      <c r="G5537" t="n">
        <v>102</v>
      </c>
      <c r="H5537" t="n">
        <v>97</v>
      </c>
      <c r="J5537" t="inlineStr">
        <is>
          <t>Cala Millor</t>
        </is>
      </c>
      <c r="S5537" t="n">
        <v>650000</v>
      </c>
      <c r="T5537" t="n">
        <v>6701</v>
      </c>
      <c r="U5537" t="n">
        <v>6373</v>
      </c>
      <c r="AH5537" t="inlineStr">
        <is>
          <t>Quelle: Balearic Properties</t>
        </is>
      </c>
    </row>
    <row r="5538">
      <c r="A5538" t="n">
        <v>5351</v>
      </c>
      <c r="B5538" t="inlineStr">
        <is>
          <t>Charming countryside house with fruit trees for sale near Alaró, Mallorca</t>
        </is>
      </c>
      <c r="C5538" t="inlineStr">
        <is>
          <t>https://www.balearic-properties.com/en/property/id/843907-charming-finca-alaro-mallorca-html</t>
        </is>
      </c>
      <c r="E5538" t="n">
        <v>4</v>
      </c>
      <c r="G5538" t="n">
        <v>14706</v>
      </c>
      <c r="H5538" t="n">
        <v>170</v>
      </c>
      <c r="J5538" t="inlineStr">
        <is>
          <t>Alaró</t>
        </is>
      </c>
      <c r="K5538" t="n">
        <v>33.4</v>
      </c>
      <c r="L5538" t="n">
        <v>33</v>
      </c>
      <c r="M5538" t="n">
        <v>76.09999999999999</v>
      </c>
      <c r="N5538" t="n">
        <v>66</v>
      </c>
      <c r="O5538" t="n">
        <v>55.9</v>
      </c>
      <c r="P5538" t="n">
        <v>49</v>
      </c>
      <c r="Q5538" t="n">
        <v>73.8</v>
      </c>
      <c r="R5538" t="n">
        <v>62</v>
      </c>
      <c r="S5538" t="n">
        <v>2500000</v>
      </c>
      <c r="T5538" t="n">
        <v>14706</v>
      </c>
      <c r="U5538" t="n">
        <v>170</v>
      </c>
      <c r="AH5538" t="inlineStr">
        <is>
          <t>Quelle: Balearic Properties</t>
        </is>
      </c>
    </row>
    <row r="5539">
      <c r="A5539" t="n">
        <v>5352</v>
      </c>
      <c r="B5539" t="inlineStr">
        <is>
          <t>Spacious village house for sale in Calvia, Mallorca</t>
        </is>
      </c>
      <c r="C5539" t="inlineStr">
        <is>
          <t>https://www.balearic-properties.com/en/property/id/926603-village-house-mountain-views-calvia-mallorca-html</t>
        </is>
      </c>
      <c r="E5539" t="n">
        <v>4</v>
      </c>
      <c r="G5539" t="n">
        <v>193</v>
      </c>
      <c r="H5539" t="n">
        <v>329</v>
      </c>
      <c r="J5539" t="inlineStr">
        <is>
          <t>Calvià Village</t>
        </is>
      </c>
      <c r="K5539" t="n">
        <v>31.1</v>
      </c>
      <c r="L5539" t="n">
        <v>28</v>
      </c>
      <c r="M5539" t="n">
        <v>73.90000000000001</v>
      </c>
      <c r="N5539" t="n">
        <v>61</v>
      </c>
      <c r="O5539" t="n">
        <v>19.4</v>
      </c>
      <c r="P5539" t="n">
        <v>22</v>
      </c>
      <c r="Q5539" t="n">
        <v>71.59999999999999</v>
      </c>
      <c r="R5539" t="n">
        <v>58</v>
      </c>
      <c r="S5539" t="n">
        <v>1795000</v>
      </c>
      <c r="T5539" t="n">
        <v>5456</v>
      </c>
      <c r="U5539" t="n">
        <v>9301</v>
      </c>
      <c r="AH5539" t="inlineStr">
        <is>
          <t>Quelle: Balearic Properties</t>
        </is>
      </c>
    </row>
    <row r="5540">
      <c r="A5540" t="n">
        <v>5353</v>
      </c>
      <c r="B5540" t="inlineStr">
        <is>
          <t>Three-storey town house under construction for sale in Santanyi, east Mallorca</t>
        </is>
      </c>
      <c r="C5540" t="inlineStr">
        <is>
          <t>https://www.balearic-properties.com/en/property/id/918276-village-house-santanyi-mallorca-html</t>
        </is>
      </c>
      <c r="E5540" t="n">
        <v>4</v>
      </c>
      <c r="G5540" t="n">
        <v>428</v>
      </c>
      <c r="H5540" t="n">
        <v>470</v>
      </c>
      <c r="J5540" t="inlineStr">
        <is>
          <t>Santanyí</t>
        </is>
      </c>
      <c r="K5540" t="n">
        <v>45.4</v>
      </c>
      <c r="L5540" t="n">
        <v>39</v>
      </c>
      <c r="M5540" t="n">
        <v>9</v>
      </c>
      <c r="N5540" t="n">
        <v>13</v>
      </c>
      <c r="O5540" t="n">
        <v>83.59999999999999</v>
      </c>
      <c r="P5540" t="n">
        <v>67</v>
      </c>
      <c r="Q5540" t="n">
        <v>9.699999999999999</v>
      </c>
      <c r="R5540" t="n">
        <v>15</v>
      </c>
      <c r="S5540" t="n">
        <v>4300000</v>
      </c>
      <c r="T5540" t="n">
        <v>9149</v>
      </c>
      <c r="U5540" t="n">
        <v>10047</v>
      </c>
      <c r="AH5540" t="inlineStr">
        <is>
          <t>Quelle: Balearic Properties</t>
        </is>
      </c>
    </row>
    <row r="5541">
      <c r="A5541" t="n">
        <v>5354</v>
      </c>
      <c r="B5541" t="inlineStr">
        <is>
          <t>New modern villa with private pool for sale next to the golf course in Pollensa, Mallorca</t>
        </is>
      </c>
      <c r="C5541" t="inlineStr">
        <is>
          <t>https://www.balearic-properties.com/en/property/id/916253-new-villa-golf-course-pollensa-mallorca-html</t>
        </is>
      </c>
      <c r="E5541" t="n">
        <v>4</v>
      </c>
      <c r="G5541" t="n">
        <v>1430</v>
      </c>
      <c r="H5541" t="n">
        <v>530</v>
      </c>
      <c r="J5541" t="inlineStr">
        <is>
          <t>Pollença</t>
        </is>
      </c>
      <c r="K5541" t="n">
        <v>60.6</v>
      </c>
      <c r="L5541" t="n">
        <v>47</v>
      </c>
      <c r="M5541" t="n">
        <v>78.7</v>
      </c>
      <c r="N5541" t="n">
        <v>74</v>
      </c>
      <c r="O5541" t="n">
        <v>83.2</v>
      </c>
      <c r="P5541" t="n">
        <v>63</v>
      </c>
      <c r="Q5541" t="n">
        <v>76.40000000000001</v>
      </c>
      <c r="R5541" t="n">
        <v>70</v>
      </c>
      <c r="S5541" t="n">
        <v>4900000</v>
      </c>
      <c r="T5541" t="n">
        <v>9245</v>
      </c>
      <c r="U5541" t="n">
        <v>3427</v>
      </c>
      <c r="AH5541" t="inlineStr">
        <is>
          <t>Quelle: Balearic Properties</t>
        </is>
      </c>
    </row>
    <row r="5542">
      <c r="A5542" t="n">
        <v>5355</v>
      </c>
      <c r="B5542" t="inlineStr">
        <is>
          <t>Incredible new finca for sale between Santa Maria and Alaró, Mallorca</t>
        </is>
      </c>
      <c r="C5542" t="inlineStr">
        <is>
          <t>https://www.balearic-properties.com/en/property/id/827403-incredible-new-finca-for-sale-between-santa-maria-and-alaro-mallorca-html</t>
        </is>
      </c>
      <c r="E5542" t="n">
        <v>4</v>
      </c>
      <c r="G5542" t="n">
        <v>15975</v>
      </c>
      <c r="H5542" t="n">
        <v>480</v>
      </c>
      <c r="J5542" t="inlineStr">
        <is>
          <t>Alaró</t>
        </is>
      </c>
      <c r="K5542" t="n">
        <v>33.4</v>
      </c>
      <c r="L5542" t="n">
        <v>33</v>
      </c>
      <c r="M5542" t="n">
        <v>76.09999999999999</v>
      </c>
      <c r="N5542" t="n">
        <v>66</v>
      </c>
      <c r="O5542" t="n">
        <v>55.9</v>
      </c>
      <c r="P5542" t="n">
        <v>49</v>
      </c>
      <c r="Q5542" t="n">
        <v>73.8</v>
      </c>
      <c r="R5542" t="n">
        <v>62</v>
      </c>
      <c r="S5542" t="n">
        <v>6995000</v>
      </c>
      <c r="T5542" t="n">
        <v>14573</v>
      </c>
      <c r="U5542" t="n">
        <v>438</v>
      </c>
      <c r="AH5542" t="inlineStr">
        <is>
          <t>Quelle: Balearic Properties</t>
        </is>
      </c>
    </row>
    <row r="5543">
      <c r="A5543" t="n">
        <v>5356</v>
      </c>
      <c r="B5543" t="inlineStr">
        <is>
          <t>Semi-detached house with large garden for sale in Puerto Alcudia, Mallorca</t>
        </is>
      </c>
      <c r="C5543" t="inlineStr">
        <is>
          <t>https://www.balearic-properties.com/en/property/id/928603-house-garden-pool-puerto-alcudia-mallorca-html</t>
        </is>
      </c>
      <c r="E5543" t="n">
        <v>3</v>
      </c>
      <c r="G5543" t="n">
        <v>110</v>
      </c>
      <c r="H5543" t="n">
        <v>150</v>
      </c>
      <c r="J5543" t="inlineStr">
        <is>
          <t>Puerto de Alcúdia</t>
        </is>
      </c>
      <c r="S5543" t="n">
        <v>990000</v>
      </c>
      <c r="T5543" t="n">
        <v>6600</v>
      </c>
      <c r="U5543" t="n">
        <v>9000</v>
      </c>
      <c r="AH5543" t="inlineStr">
        <is>
          <t>Quelle: Balearic Properties</t>
        </is>
      </c>
    </row>
    <row r="5544">
      <c r="A5544" t="n">
        <v>5357</v>
      </c>
      <c r="B5544" t="inlineStr">
        <is>
          <t>End of terrace houses for sale near the beach in Puerto Alcudia, Mallorca</t>
        </is>
      </c>
      <c r="C5544" t="inlineStr">
        <is>
          <t>https://www.balearic-properties.com/en/property/id/928599-house-garden-pool-puerto-alcudia-mallorca-html</t>
        </is>
      </c>
      <c r="E5544" t="n">
        <v>3</v>
      </c>
      <c r="G5544" t="n">
        <v>110</v>
      </c>
      <c r="H5544" t="n">
        <v>150</v>
      </c>
      <c r="J5544" t="inlineStr">
        <is>
          <t>Puerto de Alcúdia</t>
        </is>
      </c>
      <c r="S5544" t="n">
        <v>890000</v>
      </c>
      <c r="T5544" t="n">
        <v>5933</v>
      </c>
      <c r="U5544" t="n">
        <v>8091</v>
      </c>
      <c r="AH5544" t="inlineStr">
        <is>
          <t>Quelle: Balearic Properties</t>
        </is>
      </c>
    </row>
    <row r="5545">
      <c r="A5545" t="n">
        <v>5358</v>
      </c>
      <c r="B5545" t="inlineStr">
        <is>
          <t>Mid terrace houses for sale near the beach in Puerto Alcudia, Mallorca</t>
        </is>
      </c>
      <c r="C5545" t="inlineStr">
        <is>
          <t>https://www.balearic-properties.com/en/property/id/906465-house-garden-pool-puerto-alcudia-mallorca-html</t>
        </is>
      </c>
      <c r="E5545" t="n">
        <v>3</v>
      </c>
      <c r="G5545" t="n">
        <v>110</v>
      </c>
      <c r="H5545" t="n">
        <v>150</v>
      </c>
      <c r="J5545" t="inlineStr">
        <is>
          <t>Puerto de Alcúdia</t>
        </is>
      </c>
      <c r="S5545" t="n">
        <v>840000</v>
      </c>
      <c r="T5545" t="n">
        <v>5600</v>
      </c>
      <c r="U5545" t="n">
        <v>7636</v>
      </c>
      <c r="AH5545" t="inlineStr">
        <is>
          <t>Quelle: Balearic Properties</t>
        </is>
      </c>
    </row>
    <row r="5546">
      <c r="A5546" t="n">
        <v>5359</v>
      </c>
      <c r="B5546" t="inlineStr">
        <is>
          <t>Luxury apartment with terrace for sale in Palma, Mallorca</t>
        </is>
      </c>
      <c r="C5546" t="inlineStr">
        <is>
          <t>https://www.balearic-properties.com/en/property/id/928416-bright-penthouse-rooftop-terrasse-palma-mallorca-html</t>
        </is>
      </c>
      <c r="E5546" t="n">
        <v>1</v>
      </c>
      <c r="G5546" t="n">
        <v>0</v>
      </c>
      <c r="H5546" t="n">
        <v>50</v>
      </c>
      <c r="J5546" t="inlineStr">
        <is>
          <t>Palma de Mallorca</t>
        </is>
      </c>
      <c r="S5546" t="n">
        <v>499000</v>
      </c>
      <c r="T5546" t="n">
        <v>9980</v>
      </c>
      <c r="AH5546" t="inlineStr">
        <is>
          <t>Quelle: Balearic Properties</t>
        </is>
      </c>
    </row>
    <row r="5547">
      <c r="A5547" t="n">
        <v>5360</v>
      </c>
      <c r="B5547" t="inlineStr">
        <is>
          <t>Elegant new apartments for sale in the centre of Palma, Mallorca</t>
        </is>
      </c>
      <c r="C5547" t="inlineStr">
        <is>
          <t>https://www.balearic-properties.com/en/property/id/928420-bright-penthouse-rooftop-terrasse-palma-mallorca-html</t>
        </is>
      </c>
      <c r="E5547" t="n">
        <v>1</v>
      </c>
      <c r="G5547" t="n">
        <v>0</v>
      </c>
      <c r="H5547" t="n">
        <v>56</v>
      </c>
      <c r="J5547" t="inlineStr">
        <is>
          <t>Palma de Mallorca</t>
        </is>
      </c>
      <c r="S5547" t="n">
        <v>549000</v>
      </c>
      <c r="T5547" t="n">
        <v>9804</v>
      </c>
      <c r="AH5547" t="inlineStr">
        <is>
          <t>Quelle: Balearic Properties</t>
        </is>
      </c>
    </row>
    <row r="5548">
      <c r="A5548" t="n">
        <v>5361</v>
      </c>
      <c r="B5548" t="inlineStr">
        <is>
          <t>Exclusive apartments for sale in the centre of Palma, Mallorca</t>
        </is>
      </c>
      <c r="C5548" t="inlineStr">
        <is>
          <t>https://www.balearic-properties.com/en/property/id/928441-bright-penthouse-rooftop-terrasse-palma-mallorca-html</t>
        </is>
      </c>
      <c r="E5548" t="n">
        <v>1</v>
      </c>
      <c r="G5548" t="n">
        <v>0</v>
      </c>
      <c r="H5548" t="n">
        <v>56</v>
      </c>
      <c r="J5548" t="inlineStr">
        <is>
          <t>Palma de Mallorca</t>
        </is>
      </c>
      <c r="S5548" t="n">
        <v>599000</v>
      </c>
      <c r="T5548" t="n">
        <v>10696</v>
      </c>
      <c r="AH5548" t="inlineStr">
        <is>
          <t>Quelle: Balearic Properties</t>
        </is>
      </c>
    </row>
    <row r="5549">
      <c r="A5549" t="n">
        <v>5362</v>
      </c>
      <c r="B5549" t="inlineStr">
        <is>
          <t>Properties for sale in a new apartment development in Palma, Mallorca</t>
        </is>
      </c>
      <c r="C5549" t="inlineStr">
        <is>
          <t>https://www.balearic-properties.com/en/property/id/928444-bright-penthouse-rooftop-terrasse-palma-mallorca-html</t>
        </is>
      </c>
      <c r="E5549" t="n">
        <v>1</v>
      </c>
      <c r="G5549" t="n">
        <v>0</v>
      </c>
      <c r="H5549" t="n">
        <v>50</v>
      </c>
      <c r="J5549" t="inlineStr">
        <is>
          <t>Palma de Mallorca</t>
        </is>
      </c>
      <c r="S5549" t="n">
        <v>599000</v>
      </c>
      <c r="T5549" t="n">
        <v>11980</v>
      </c>
      <c r="AH5549" t="inlineStr">
        <is>
          <t>Quelle: Balearic Properties</t>
        </is>
      </c>
    </row>
    <row r="5550">
      <c r="A5550" t="n">
        <v>5363</v>
      </c>
      <c r="B5550" t="inlineStr">
        <is>
          <t>Fabulous apartments and penthouses for sale in Palma, Mallorca</t>
        </is>
      </c>
      <c r="C5550" t="inlineStr">
        <is>
          <t>https://www.balearic-properties.com/en/property/id/928445-bright-penthouse-rooftop-terrasse-palma-mallorca-html</t>
        </is>
      </c>
      <c r="E5550" t="n">
        <v>1</v>
      </c>
      <c r="G5550" t="n">
        <v>0</v>
      </c>
      <c r="H5550" t="n">
        <v>50</v>
      </c>
      <c r="J5550" t="inlineStr">
        <is>
          <t>Palma de Mallorca</t>
        </is>
      </c>
      <c r="S5550" t="n">
        <v>599000</v>
      </c>
      <c r="T5550" t="n">
        <v>11980</v>
      </c>
      <c r="AH5550" t="inlineStr">
        <is>
          <t>Quelle: Balearic Properties</t>
        </is>
      </c>
    </row>
    <row r="5551">
      <c r="A5551" t="n">
        <v>5364</v>
      </c>
      <c r="B5551" t="inlineStr">
        <is>
          <t>Contemporary new development with apartments for sale in Palma, Mallorca</t>
        </is>
      </c>
      <c r="C5551" t="inlineStr">
        <is>
          <t>https://www.balearic-properties.com/en/property/id/928422-bright-penthouse-rooftop-terrasse-palma-mallorca-html</t>
        </is>
      </c>
      <c r="E5551" t="n">
        <v>1</v>
      </c>
      <c r="G5551" t="n">
        <v>0</v>
      </c>
      <c r="H5551" t="n">
        <v>72</v>
      </c>
      <c r="J5551" t="inlineStr">
        <is>
          <t>Palma de Mallorca</t>
        </is>
      </c>
      <c r="S5551" t="n">
        <v>699000</v>
      </c>
      <c r="T5551" t="n">
        <v>9708</v>
      </c>
      <c r="AH5551" t="inlineStr">
        <is>
          <t>Quelle: Balearic Properties</t>
        </is>
      </c>
    </row>
    <row r="5552">
      <c r="A5552" t="n">
        <v>5365</v>
      </c>
      <c r="B5552" t="inlineStr">
        <is>
          <t>Apartment with community pool and gym for sale in Palma, Mallorca</t>
        </is>
      </c>
      <c r="C5552" t="inlineStr">
        <is>
          <t>https://www.balearic-properties.com/en/property/id/928439-bright-penthouse-rooftop-terrasse-palma-mallorca-html</t>
        </is>
      </c>
      <c r="E5552" t="n">
        <v>1</v>
      </c>
      <c r="G5552" t="n">
        <v>0</v>
      </c>
      <c r="H5552" t="n">
        <v>57</v>
      </c>
      <c r="J5552" t="inlineStr">
        <is>
          <t>Palma de Mallorca</t>
        </is>
      </c>
      <c r="S5552" t="n">
        <v>599000</v>
      </c>
      <c r="T5552" t="n">
        <v>10509</v>
      </c>
      <c r="AH5552" t="inlineStr">
        <is>
          <t>Quelle: Balearic Properties</t>
        </is>
      </c>
    </row>
    <row r="5553">
      <c r="A5553" t="n">
        <v>5366</v>
      </c>
      <c r="B5553" t="inlineStr">
        <is>
          <t>High-end apartments and penthouses for sale in Palma, Mallorca</t>
        </is>
      </c>
      <c r="C5553" t="inlineStr">
        <is>
          <t>https://www.balearic-properties.com/en/property/id/928448-bright-penthouse-rooftop-terrasse-palma-mallorca-html</t>
        </is>
      </c>
      <c r="E5553" t="n">
        <v>2</v>
      </c>
      <c r="G5553" t="n">
        <v>0</v>
      </c>
      <c r="H5553" t="n">
        <v>76</v>
      </c>
      <c r="J5553" t="inlineStr">
        <is>
          <t>Palma de Mallorca</t>
        </is>
      </c>
      <c r="S5553" t="n">
        <v>999000</v>
      </c>
      <c r="T5553" t="n">
        <v>13145</v>
      </c>
      <c r="AH5553" t="inlineStr">
        <is>
          <t>Quelle: Balearic Properties</t>
        </is>
      </c>
    </row>
    <row r="5554">
      <c r="A5554" t="n">
        <v>5367</v>
      </c>
      <c r="B5554" t="inlineStr">
        <is>
          <t>Premium apartments with luxury facilities for sale in Palma, Mallorca</t>
        </is>
      </c>
      <c r="C5554" t="inlineStr">
        <is>
          <t>https://www.balearic-properties.com/en/property/id/928450-bright-penthouse-rooftop-terrasse-palma-mallorca-html</t>
        </is>
      </c>
      <c r="E5554" t="n">
        <v>2</v>
      </c>
      <c r="G5554" t="n">
        <v>0</v>
      </c>
      <c r="H5554" t="n">
        <v>75</v>
      </c>
      <c r="J5554" t="inlineStr">
        <is>
          <t>Palma de Mallorca</t>
        </is>
      </c>
      <c r="S5554" t="n">
        <v>989000</v>
      </c>
      <c r="T5554" t="n">
        <v>13187</v>
      </c>
      <c r="AH5554" t="inlineStr">
        <is>
          <t>Quelle: Balearic Properties</t>
        </is>
      </c>
    </row>
    <row r="5555">
      <c r="A5555" t="n">
        <v>5368</v>
      </c>
      <c r="B5555" t="inlineStr">
        <is>
          <t>Attractive investment apartments for sale in a privileged area of Palma</t>
        </is>
      </c>
      <c r="C5555" t="inlineStr">
        <is>
          <t>https://www.balearic-properties.com/en/property/id/928452-bright-penthouse-rooftop-terrasse-palma-mallorca-html</t>
        </is>
      </c>
      <c r="E5555" t="n">
        <v>3</v>
      </c>
      <c r="G5555" t="n">
        <v>0</v>
      </c>
      <c r="H5555" t="n">
        <v>106</v>
      </c>
      <c r="J5555" t="inlineStr">
        <is>
          <t>Palma de Mallorca</t>
        </is>
      </c>
      <c r="K5555" t="n">
        <v>9.699999999999999</v>
      </c>
      <c r="L5555" t="n">
        <v>14</v>
      </c>
      <c r="M5555" t="n">
        <v>52.5</v>
      </c>
      <c r="N5555" t="n">
        <v>47</v>
      </c>
      <c r="O5555" t="n">
        <v>32.1</v>
      </c>
      <c r="P5555" t="n">
        <v>36</v>
      </c>
      <c r="Q5555" t="n">
        <v>50.2</v>
      </c>
      <c r="R5555" t="n">
        <v>44</v>
      </c>
      <c r="S5555" t="n">
        <v>1399000</v>
      </c>
      <c r="T5555" t="n">
        <v>13198</v>
      </c>
      <c r="AH5555" t="inlineStr">
        <is>
          <t>Quelle: Balearic Properties</t>
        </is>
      </c>
    </row>
    <row r="5556">
      <c r="A5556" t="n">
        <v>5369</v>
      </c>
      <c r="B5556" t="inlineStr">
        <is>
          <t>Stunning penthouse in a new development in Palma, Mallorca</t>
        </is>
      </c>
      <c r="C5556" t="inlineStr">
        <is>
          <t>https://www.balearic-properties.com/en/property/id/928455-bright-penthouse-rooftop-terrasse-palma-mallorca-html</t>
        </is>
      </c>
      <c r="E5556" t="n">
        <v>2</v>
      </c>
      <c r="G5556" t="n">
        <v>0</v>
      </c>
      <c r="H5556" t="n">
        <v>186</v>
      </c>
      <c r="J5556" t="inlineStr">
        <is>
          <t>Palma de Mallorca</t>
        </is>
      </c>
      <c r="K5556" t="n">
        <v>9.699999999999999</v>
      </c>
      <c r="L5556" t="n">
        <v>14</v>
      </c>
      <c r="M5556" t="n">
        <v>52.5</v>
      </c>
      <c r="N5556" t="n">
        <v>47</v>
      </c>
      <c r="O5556" t="n">
        <v>32.1</v>
      </c>
      <c r="P5556" t="n">
        <v>36</v>
      </c>
      <c r="Q5556" t="n">
        <v>50.2</v>
      </c>
      <c r="R5556" t="n">
        <v>44</v>
      </c>
      <c r="S5556" t="n">
        <v>2399000</v>
      </c>
      <c r="T5556" t="n">
        <v>12898</v>
      </c>
      <c r="AH5556" t="inlineStr">
        <is>
          <t>Quelle: Balearic Properties</t>
        </is>
      </c>
    </row>
    <row r="5557">
      <c r="A5557" t="n">
        <v>5370</v>
      </c>
      <c r="B5557" t="inlineStr">
        <is>
          <t>Glamourous Villa under construction for sale in Andratx, Mallorca</t>
        </is>
      </c>
      <c r="C5557" t="inlineStr">
        <is>
          <t>https://www.balearic-properties.com/en/property/id/917826-glamourous-villa-under-construction-for-sale-in-andratx-mallorca</t>
        </is>
      </c>
      <c r="E5557" t="n">
        <v>4</v>
      </c>
      <c r="G5557" t="n">
        <v>2408</v>
      </c>
      <c r="H5557" t="n">
        <v>420</v>
      </c>
      <c r="J5557" t="inlineStr">
        <is>
          <t>Andratx</t>
        </is>
      </c>
      <c r="K5557" t="n">
        <v>40.3</v>
      </c>
      <c r="L5557" t="n">
        <v>36</v>
      </c>
      <c r="M5557" t="n">
        <v>83</v>
      </c>
      <c r="N5557" t="n">
        <v>68</v>
      </c>
      <c r="O5557" t="n">
        <v>2.7</v>
      </c>
      <c r="P5557" t="n">
        <v>7</v>
      </c>
      <c r="Q5557" t="n">
        <v>80.7</v>
      </c>
      <c r="R5557" t="n">
        <v>65</v>
      </c>
      <c r="S5557" t="n">
        <v>3950000</v>
      </c>
      <c r="T5557" t="n">
        <v>9405</v>
      </c>
      <c r="U5557" t="n">
        <v>1640</v>
      </c>
      <c r="AH5557" t="inlineStr">
        <is>
          <t>Quelle: Balearic Properties</t>
        </is>
      </c>
    </row>
    <row r="5558">
      <c r="A5558" t="n">
        <v>5371</v>
      </c>
      <c r="B5558" t="inlineStr">
        <is>
          <t>Charming finca with tennis court for sale in Santa Margalida, Mallorca</t>
        </is>
      </c>
      <c r="C5558" t="inlineStr">
        <is>
          <t>https://www.balearic-properties.com/en/property/id/925936-charming-finca-tennis-court-santa-margalida-mallorca-html</t>
        </is>
      </c>
      <c r="E5558" t="n">
        <v>4</v>
      </c>
      <c r="G5558" t="n">
        <v>8970</v>
      </c>
      <c r="H5558" t="n">
        <v>1074</v>
      </c>
      <c r="J5558" t="inlineStr">
        <is>
          <t>Santa Margalida</t>
        </is>
      </c>
      <c r="K5558" t="n">
        <v>56.3</v>
      </c>
      <c r="L5558" t="n">
        <v>47</v>
      </c>
      <c r="M5558" t="n">
        <v>52.4</v>
      </c>
      <c r="N5558" t="n">
        <v>55</v>
      </c>
      <c r="O5558" t="n">
        <v>78.90000000000001</v>
      </c>
      <c r="P5558" t="n">
        <v>63</v>
      </c>
      <c r="Q5558" t="n">
        <v>50.1</v>
      </c>
      <c r="R5558" t="n">
        <v>51</v>
      </c>
      <c r="S5558" t="n">
        <v>1999000</v>
      </c>
      <c r="T5558" t="n">
        <v>1861</v>
      </c>
      <c r="U5558" t="n">
        <v>223</v>
      </c>
      <c r="AH5558" t="inlineStr">
        <is>
          <t>Quelle: Balearic Properties</t>
        </is>
      </c>
    </row>
    <row r="5559">
      <c r="A5559" t="n">
        <v>5372</v>
      </c>
      <c r="B5559" t="inlineStr">
        <is>
          <t>Bright penthouse for sale with a rooftop terrace in Palma, Mallorca</t>
        </is>
      </c>
      <c r="C5559" t="inlineStr">
        <is>
          <t>https://www.balearic-properties.com/en/property/id/927793-bright-penthouse-rooftop-terrasse-palma-mallorca-html</t>
        </is>
      </c>
      <c r="E5559" t="n">
        <v>3</v>
      </c>
      <c r="G5559" t="n">
        <v>0</v>
      </c>
      <c r="H5559" t="n">
        <v>206</v>
      </c>
      <c r="J5559" t="inlineStr">
        <is>
          <t>Palma de Mallorca</t>
        </is>
      </c>
      <c r="K5559" t="n">
        <v>9.699999999999999</v>
      </c>
      <c r="L5559" t="n">
        <v>14</v>
      </c>
      <c r="M5559" t="n">
        <v>52.5</v>
      </c>
      <c r="N5559" t="n">
        <v>47</v>
      </c>
      <c r="O5559" t="n">
        <v>32.1</v>
      </c>
      <c r="P5559" t="n">
        <v>36</v>
      </c>
      <c r="Q5559" t="n">
        <v>50.2</v>
      </c>
      <c r="R5559" t="n">
        <v>44</v>
      </c>
      <c r="S5559" t="n">
        <v>2599000</v>
      </c>
      <c r="T5559" t="n">
        <v>12617</v>
      </c>
      <c r="AH5559" t="inlineStr">
        <is>
          <t>Quelle: Balearic Properties</t>
        </is>
      </c>
    </row>
    <row r="5560">
      <c r="A5560" t="n">
        <v>5373</v>
      </c>
      <c r="B5560" t="inlineStr">
        <is>
          <t>Detached house with pool for sale near Palma in Sa Cabaneta, Mallorca</t>
        </is>
      </c>
      <c r="C5560" t="inlineStr">
        <is>
          <t>https://www.balearic-properties.com/en/property/id/927643-detached-house-pool-sa-cabaneta-mallorca-html</t>
        </is>
      </c>
      <c r="E5560" t="n">
        <v>4</v>
      </c>
      <c r="G5560" t="n">
        <v>461</v>
      </c>
      <c r="H5560" t="n">
        <v>265</v>
      </c>
      <c r="J5560" t="inlineStr">
        <is>
          <t>Marratxí</t>
        </is>
      </c>
      <c r="K5560" t="n">
        <v>13</v>
      </c>
      <c r="L5560" t="n">
        <v>17</v>
      </c>
      <c r="M5560" t="n">
        <v>56.3</v>
      </c>
      <c r="N5560" t="n">
        <v>50</v>
      </c>
      <c r="O5560" t="n">
        <v>40.6</v>
      </c>
      <c r="P5560" t="n">
        <v>34</v>
      </c>
      <c r="Q5560" t="n">
        <v>54</v>
      </c>
      <c r="R5560" t="n">
        <v>46</v>
      </c>
      <c r="S5560" t="n">
        <v>1150000</v>
      </c>
      <c r="T5560" t="n">
        <v>4340</v>
      </c>
      <c r="U5560" t="n">
        <v>2495</v>
      </c>
      <c r="AH5560" t="inlineStr">
        <is>
          <t>Quelle: Balearic Properties</t>
        </is>
      </c>
    </row>
    <row r="5561">
      <c r="A5561" t="n">
        <v>5374</v>
      </c>
      <c r="B5561" t="inlineStr">
        <is>
          <t>Sea view villa ready to move into for sale in Puerto Andratx, Mallorca</t>
        </is>
      </c>
      <c r="C5561" t="inlineStr">
        <is>
          <t>https://www.balearic-properties.com/en/property/id/927518-modern-villa-sea-views-puerto-ardratx-mallorca-html</t>
        </is>
      </c>
      <c r="E5561" t="n">
        <v>5</v>
      </c>
      <c r="G5561" t="n">
        <v>1066</v>
      </c>
      <c r="H5561" t="n">
        <v>648</v>
      </c>
      <c r="J5561" t="inlineStr">
        <is>
          <t>Puerto Andratx</t>
        </is>
      </c>
      <c r="K5561" t="n">
        <v>43.5</v>
      </c>
      <c r="L5561" t="n">
        <v>38</v>
      </c>
      <c r="M5561" t="n">
        <v>86.2</v>
      </c>
      <c r="N5561" t="n">
        <v>71</v>
      </c>
      <c r="O5561" t="n">
        <v>6.3</v>
      </c>
      <c r="P5561" t="n">
        <v>11</v>
      </c>
      <c r="Q5561" t="n">
        <v>83.90000000000001</v>
      </c>
      <c r="R5561" t="n">
        <v>68</v>
      </c>
      <c r="S5561" t="n">
        <v>7850000</v>
      </c>
      <c r="T5561" t="n">
        <v>12114</v>
      </c>
      <c r="U5561" t="n">
        <v>7364</v>
      </c>
      <c r="AH5561" t="inlineStr">
        <is>
          <t>Quelle: Balearic Properties</t>
        </is>
      </c>
    </row>
    <row r="5562">
      <c r="A5562" t="n">
        <v>5375</v>
      </c>
      <c r="B5562" t="inlineStr">
        <is>
          <t>New modern luxury villa for sale close to the sea in Camp de Mar, Mallorca</t>
        </is>
      </c>
      <c r="C5562" t="inlineStr">
        <is>
          <t>https://www.balearic-properties.com/en/property/id/927514-new-villa-close-sea-camp-de-mar-mallorca-html</t>
        </is>
      </c>
      <c r="E5562" t="n">
        <v>4</v>
      </c>
      <c r="G5562" t="n">
        <v>1640</v>
      </c>
      <c r="H5562" t="n">
        <v>718</v>
      </c>
      <c r="J5562" t="inlineStr">
        <is>
          <t>Camp de Mar</t>
        </is>
      </c>
      <c r="K5562" t="n">
        <v>38.7</v>
      </c>
      <c r="L5562" t="n">
        <v>32</v>
      </c>
      <c r="M5562" t="n">
        <v>81.40000000000001</v>
      </c>
      <c r="N5562" t="n">
        <v>65</v>
      </c>
      <c r="O5562" t="n">
        <v>6.7</v>
      </c>
      <c r="P5562" t="n">
        <v>10</v>
      </c>
      <c r="Q5562" t="n">
        <v>79.09999999999999</v>
      </c>
      <c r="R5562" t="n">
        <v>62</v>
      </c>
      <c r="S5562" t="n">
        <v>5500000</v>
      </c>
      <c r="T5562" t="n">
        <v>7660</v>
      </c>
      <c r="U5562" t="n">
        <v>3354</v>
      </c>
      <c r="AH5562" t="inlineStr">
        <is>
          <t>Quelle: Balearic Properties</t>
        </is>
      </c>
    </row>
    <row r="5563">
      <c r="A5563" t="n">
        <v>5376</v>
      </c>
      <c r="B5563" t="inlineStr">
        <is>
          <t>Luxurious new beachfront villa for sale in Puerto Pollensa, Mallorca</t>
        </is>
      </c>
      <c r="C5563" t="inlineStr">
        <is>
          <t>https://www.balearic-properties.com/en/property/id/920023-beachfront-villa-puerto-pollensa-mallorca-html</t>
        </is>
      </c>
      <c r="E5563" t="n">
        <v>4</v>
      </c>
      <c r="G5563" t="n">
        <v>657</v>
      </c>
      <c r="H5563" t="n">
        <v>408</v>
      </c>
      <c r="J5563" t="inlineStr">
        <is>
          <t>Port de Pollença</t>
        </is>
      </c>
      <c r="K5563" t="n">
        <v>66.90000000000001</v>
      </c>
      <c r="L5563" t="n">
        <v>52</v>
      </c>
      <c r="M5563" t="n">
        <v>85</v>
      </c>
      <c r="N5563" t="n">
        <v>78</v>
      </c>
      <c r="O5563" t="n">
        <v>89.5</v>
      </c>
      <c r="P5563" t="n">
        <v>68</v>
      </c>
      <c r="Q5563" t="n">
        <v>82.7</v>
      </c>
      <c r="R5563" t="n">
        <v>75</v>
      </c>
      <c r="S5563" t="n">
        <v>4950000</v>
      </c>
      <c r="T5563" t="n">
        <v>12132</v>
      </c>
      <c r="U5563" t="n">
        <v>7534</v>
      </c>
      <c r="AH5563" t="inlineStr">
        <is>
          <t>Quelle: Balearic Properties</t>
        </is>
      </c>
    </row>
    <row r="5564">
      <c r="A5564" t="n">
        <v>5377</v>
      </c>
      <c r="B5564" t="inlineStr">
        <is>
          <t>New Balinese style villa for sale close to a golf course in Santa Ponsa, Mallorca</t>
        </is>
      </c>
      <c r="C5564" t="inlineStr">
        <is>
          <t>https://www.balearic-properties.com/en/property/id/926885-new-villa-golf-course-santa-ponsa-mallorca-html</t>
        </is>
      </c>
      <c r="E5564" t="n">
        <v>4</v>
      </c>
      <c r="G5564" t="n">
        <v>3984</v>
      </c>
      <c r="H5564" t="n">
        <v>887</v>
      </c>
      <c r="J5564" t="inlineStr">
        <is>
          <t>Santa Ponsa</t>
        </is>
      </c>
      <c r="K5564" t="n">
        <v>31.1</v>
      </c>
      <c r="L5564" t="n">
        <v>28</v>
      </c>
      <c r="M5564" t="n">
        <v>73.90000000000001</v>
      </c>
      <c r="N5564" t="n">
        <v>61</v>
      </c>
      <c r="O5564" t="n">
        <v>15.2</v>
      </c>
      <c r="P5564" t="n">
        <v>19</v>
      </c>
      <c r="Q5564" t="n">
        <v>71.59999999999999</v>
      </c>
      <c r="R5564" t="n">
        <v>57</v>
      </c>
      <c r="S5564" t="n">
        <v>8450000</v>
      </c>
      <c r="T5564" t="n">
        <v>9526</v>
      </c>
      <c r="U5564" t="n">
        <v>2121</v>
      </c>
      <c r="AH5564" t="inlineStr">
        <is>
          <t>Quelle: Balearic Properties</t>
        </is>
      </c>
    </row>
    <row r="5565">
      <c r="A5565" t="n">
        <v>5378</v>
      </c>
      <c r="B5565" t="inlineStr">
        <is>
          <t>Stylish apartment frontline to the beach just steps from Puerto Portals for sale, Mallorca</t>
        </is>
      </c>
      <c r="C5565" t="inlineStr">
        <is>
          <t>https://www.balearic-properties.com/en/property/id/926336-stylish-apartment-frontline-to-the-beach-just-steps-from-puerto-portals-for-sale-mallorca</t>
        </is>
      </c>
      <c r="E5565" t="n">
        <v>4</v>
      </c>
      <c r="G5565" t="n">
        <v>0</v>
      </c>
      <c r="H5565" t="n">
        <v>120</v>
      </c>
      <c r="J5565" t="inlineStr">
        <is>
          <t>Portals Nous</t>
        </is>
      </c>
      <c r="K5565" t="n">
        <v>23.8</v>
      </c>
      <c r="L5565" t="n">
        <v>23</v>
      </c>
      <c r="M5565" t="n">
        <v>66.59999999999999</v>
      </c>
      <c r="N5565" t="n">
        <v>56</v>
      </c>
      <c r="O5565" t="n">
        <v>21.8</v>
      </c>
      <c r="P5565" t="n">
        <v>22</v>
      </c>
      <c r="Q5565" t="n">
        <v>64.3</v>
      </c>
      <c r="R5565" t="n">
        <v>52</v>
      </c>
      <c r="S5565" t="n">
        <v>1300000</v>
      </c>
      <c r="T5565" t="n">
        <v>10833</v>
      </c>
      <c r="AH5565" t="inlineStr">
        <is>
          <t>Quelle: Balearic Properties</t>
        </is>
      </c>
    </row>
    <row r="5566">
      <c r="A5566" t="n">
        <v>5379</v>
      </c>
      <c r="B5566" t="inlineStr">
        <is>
          <t>Charming finca with mountain views for sale in Moscari, North Mallorca</t>
        </is>
      </c>
      <c r="C5566" t="inlineStr">
        <is>
          <t>https://www.balearic-properties.com/en/property/id/925401-finca-mountain-views-moscari-mallorca-html</t>
        </is>
      </c>
      <c r="E5566" t="n">
        <v>4</v>
      </c>
      <c r="G5566" t="n">
        <v>28000</v>
      </c>
      <c r="H5566" t="n">
        <v>426</v>
      </c>
      <c r="J5566" t="inlineStr">
        <is>
          <t>Campanet</t>
        </is>
      </c>
      <c r="K5566" t="n">
        <v>46.9</v>
      </c>
      <c r="L5566" t="n">
        <v>38</v>
      </c>
      <c r="M5566" t="n">
        <v>65</v>
      </c>
      <c r="N5566" t="n">
        <v>65</v>
      </c>
      <c r="O5566" t="n">
        <v>69.5</v>
      </c>
      <c r="P5566" t="n">
        <v>54</v>
      </c>
      <c r="Q5566" t="n">
        <v>62.7</v>
      </c>
      <c r="R5566" t="n">
        <v>61</v>
      </c>
      <c r="S5566" t="n">
        <v>2300000</v>
      </c>
      <c r="T5566" t="n">
        <v>5399</v>
      </c>
      <c r="U5566" t="n">
        <v>82</v>
      </c>
      <c r="AH5566" t="inlineStr">
        <is>
          <t>Quelle: Balearic Properties</t>
        </is>
      </c>
    </row>
    <row r="5567">
      <c r="A5567" t="n">
        <v>5380</v>
      </c>
      <c r="B5567" t="inlineStr">
        <is>
          <t>Extraordinary finca with rental license for sale in Ses Salines, Mallorca</t>
        </is>
      </c>
      <c r="C5567" t="inlineStr">
        <is>
          <t>https://www.balearic-properties.com/en/property/id/927099-finca-rental-license-ses-salines-mallorca-html</t>
        </is>
      </c>
      <c r="E5567" t="n">
        <v>7</v>
      </c>
      <c r="G5567" t="n">
        <v>25174</v>
      </c>
      <c r="H5567" t="n">
        <v>616</v>
      </c>
      <c r="J5567" t="inlineStr">
        <is>
          <t>Ses Salines</t>
        </is>
      </c>
      <c r="K5567" t="n">
        <v>44.5</v>
      </c>
      <c r="L5567" t="n">
        <v>39</v>
      </c>
      <c r="M5567" t="n">
        <v>2.4</v>
      </c>
      <c r="N5567" t="n">
        <v>5</v>
      </c>
      <c r="O5567" t="n">
        <v>82.7</v>
      </c>
      <c r="P5567" t="n">
        <v>67</v>
      </c>
      <c r="Q5567" t="n">
        <v>2</v>
      </c>
      <c r="R5567" t="n">
        <v>5</v>
      </c>
      <c r="AH5567" t="inlineStr">
        <is>
          <t>Quelle: Balearic Properties</t>
        </is>
      </c>
    </row>
    <row r="5568">
      <c r="A5568" t="n">
        <v>5381</v>
      </c>
      <c r="B5568" t="inlineStr">
        <is>
          <t>Elegantly presented town house with pool for sale in the centre of historic Artà, northeast Mallorca</t>
        </is>
      </c>
      <c r="C5568" t="inlineStr">
        <is>
          <t>https://www.balearic-properties.com/en/property/id/926297-townhouse-pool-centre-arta-mallorca-html</t>
        </is>
      </c>
      <c r="E5568" t="n">
        <v>4</v>
      </c>
      <c r="G5568" t="n">
        <v>113</v>
      </c>
      <c r="H5568" t="n">
        <v>430</v>
      </c>
      <c r="J5568" t="inlineStr">
        <is>
          <t>Artà</t>
        </is>
      </c>
      <c r="K5568" t="n">
        <v>68.3</v>
      </c>
      <c r="L5568" t="n">
        <v>61</v>
      </c>
      <c r="M5568" t="n">
        <v>63.7</v>
      </c>
      <c r="N5568" t="n">
        <v>64</v>
      </c>
      <c r="O5568" t="n">
        <v>102.5</v>
      </c>
      <c r="P5568" t="n">
        <v>86</v>
      </c>
      <c r="Q5568" t="n">
        <v>61.4</v>
      </c>
      <c r="R5568" t="n">
        <v>61</v>
      </c>
      <c r="S5568" t="n">
        <v>1800000</v>
      </c>
      <c r="T5568" t="n">
        <v>4186</v>
      </c>
      <c r="U5568" t="n">
        <v>15929</v>
      </c>
      <c r="AH5568" t="inlineStr">
        <is>
          <t>Quelle: Balearic Properties</t>
        </is>
      </c>
    </row>
    <row r="5569">
      <c r="A5569" t="n">
        <v>5382</v>
      </c>
      <c r="B5569" t="inlineStr">
        <is>
          <t>Completely renovated town house for sale in Arta, Mallorca</t>
        </is>
      </c>
      <c r="C5569" t="inlineStr">
        <is>
          <t>https://www.balearic-properties.com/en/property/id/926296-completely-renovated-town-house-arta-mallorca-html</t>
        </is>
      </c>
      <c r="E5569" t="n">
        <v>3</v>
      </c>
      <c r="G5569" t="n">
        <v>81</v>
      </c>
      <c r="H5569" t="n">
        <v>150</v>
      </c>
      <c r="J5569" t="inlineStr">
        <is>
          <t>Artà</t>
        </is>
      </c>
      <c r="K5569" t="n">
        <v>68.3</v>
      </c>
      <c r="L5569" t="n">
        <v>61</v>
      </c>
      <c r="M5569" t="n">
        <v>63.7</v>
      </c>
      <c r="N5569" t="n">
        <v>64</v>
      </c>
      <c r="O5569" t="n">
        <v>102.5</v>
      </c>
      <c r="P5569" t="n">
        <v>86</v>
      </c>
      <c r="Q5569" t="n">
        <v>61.4</v>
      </c>
      <c r="R5569" t="n">
        <v>61</v>
      </c>
      <c r="S5569" t="n">
        <v>1250000</v>
      </c>
      <c r="T5569" t="n">
        <v>8333</v>
      </c>
      <c r="U5569" t="n">
        <v>15432</v>
      </c>
      <c r="AH5569" t="inlineStr">
        <is>
          <t>Quelle: Balearic Properties</t>
        </is>
      </c>
    </row>
    <row r="5570">
      <c r="A5570" t="n">
        <v>5383</v>
      </c>
      <c r="B5570" t="inlineStr">
        <is>
          <t>Stunning modern villa for sale near the golf courses in Son Servera, Mallorca</t>
        </is>
      </c>
      <c r="C5570" t="inlineStr">
        <is>
          <t>https://www.balearic-properties.com/en/property/id/926294-modern-villa-golf-son-servera-mallorca-html</t>
        </is>
      </c>
      <c r="E5570" t="n">
        <v>7</v>
      </c>
      <c r="G5570" t="n">
        <v>11254</v>
      </c>
      <c r="H5570" t="n">
        <v>550</v>
      </c>
      <c r="J5570" t="inlineStr">
        <is>
          <t>Son Servera</t>
        </is>
      </c>
      <c r="K5570" t="n">
        <v>65.3</v>
      </c>
      <c r="L5570" t="n">
        <v>57</v>
      </c>
      <c r="M5570" t="n">
        <v>60.7</v>
      </c>
      <c r="N5570" t="n">
        <v>60</v>
      </c>
      <c r="O5570" t="n">
        <v>99.5</v>
      </c>
      <c r="P5570" t="n">
        <v>82</v>
      </c>
      <c r="Q5570" t="n">
        <v>58.4</v>
      </c>
      <c r="R5570" t="n">
        <v>57</v>
      </c>
      <c r="S5570" t="n">
        <v>3100000</v>
      </c>
      <c r="T5570" t="n">
        <v>5636</v>
      </c>
      <c r="U5570" t="n">
        <v>275</v>
      </c>
      <c r="AH5570" t="inlineStr">
        <is>
          <t>Quelle: Balearic Properties</t>
        </is>
      </c>
    </row>
    <row r="5571">
      <c r="A5571" t="n">
        <v>5384</v>
      </c>
      <c r="B5571" t="inlineStr">
        <is>
          <t>Manor house to be renovated with holiday license for sale in the heart of Palma old town, Mallorca</t>
        </is>
      </c>
      <c r="C5571" t="inlineStr">
        <is>
          <t>https://www.balearic-properties.com/en/property/id/926556-manor-house-to-be-renovted-with-holiday-license-for-sale-in-the-heart-of-palma-old-town-mallorca</t>
        </is>
      </c>
      <c r="E5571" t="n">
        <v>5</v>
      </c>
      <c r="G5571" t="n">
        <v>132</v>
      </c>
      <c r="H5571" t="n">
        <v>457</v>
      </c>
      <c r="J5571" t="inlineStr">
        <is>
          <t>Palma Casco Antiguo</t>
        </is>
      </c>
      <c r="K5571" t="n">
        <v>9.699999999999999</v>
      </c>
      <c r="L5571" t="n">
        <v>14</v>
      </c>
      <c r="M5571" t="n">
        <v>52.5</v>
      </c>
      <c r="N5571" t="n">
        <v>47</v>
      </c>
      <c r="O5571" t="n">
        <v>32.1</v>
      </c>
      <c r="P5571" t="n">
        <v>36</v>
      </c>
      <c r="Q5571" t="n">
        <v>50.2</v>
      </c>
      <c r="R5571" t="n">
        <v>44</v>
      </c>
      <c r="AH5571" t="inlineStr">
        <is>
          <t>Quelle: Balearic Properties</t>
        </is>
      </c>
    </row>
    <row r="5572">
      <c r="A5572" t="n">
        <v>5385</v>
      </c>
      <c r="B5572" t="inlineStr">
        <is>
          <t>Stunning, modern villa with sea views for sale in Puerto Andratx, Mallorca</t>
        </is>
      </c>
      <c r="C5572" t="inlineStr">
        <is>
          <t>https://www.balearic-properties.com/en/property/id/825378-new-seaview-villa-rooftop-pool-puerto-andratx-html</t>
        </is>
      </c>
      <c r="E5572" t="n">
        <v>4</v>
      </c>
      <c r="G5572" t="n">
        <v>1289</v>
      </c>
      <c r="H5572" t="n">
        <v>613</v>
      </c>
      <c r="J5572" t="inlineStr">
        <is>
          <t>Puerto Andratx</t>
        </is>
      </c>
      <c r="K5572" t="n">
        <v>43.5</v>
      </c>
      <c r="L5572" t="n">
        <v>38</v>
      </c>
      <c r="M5572" t="n">
        <v>86.2</v>
      </c>
      <c r="N5572" t="n">
        <v>71</v>
      </c>
      <c r="O5572" t="n">
        <v>6.3</v>
      </c>
      <c r="P5572" t="n">
        <v>11</v>
      </c>
      <c r="Q5572" t="n">
        <v>83.90000000000001</v>
      </c>
      <c r="R5572" t="n">
        <v>68</v>
      </c>
      <c r="S5572" t="n">
        <v>8150000</v>
      </c>
      <c r="T5572" t="n">
        <v>13295</v>
      </c>
      <c r="U5572" t="n">
        <v>6323</v>
      </c>
      <c r="AH5572" t="inlineStr">
        <is>
          <t>Quelle: Balearic Properties</t>
        </is>
      </c>
    </row>
    <row r="5573">
      <c r="A5573" t="n">
        <v>5386</v>
      </c>
      <c r="B5573" t="inlineStr">
        <is>
          <t>Penthouse  with open views for sale near Son Vida, Mallorca</t>
        </is>
      </c>
      <c r="C5573" t="inlineStr">
        <is>
          <t>https://www.balearic-properties.com/en/property/id/926291-penthouse-with-open-views-for-sale-near-son-vida-mallorca</t>
        </is>
      </c>
      <c r="E5573" t="n">
        <v>4</v>
      </c>
      <c r="G5573" t="n">
        <v>0</v>
      </c>
      <c r="H5573" t="n">
        <v>233</v>
      </c>
      <c r="J5573" t="inlineStr">
        <is>
          <t>Palma de Mallorca</t>
        </is>
      </c>
      <c r="K5573" t="n">
        <v>9.699999999999999</v>
      </c>
      <c r="L5573" t="n">
        <v>14</v>
      </c>
      <c r="M5573" t="n">
        <v>52.5</v>
      </c>
      <c r="N5573" t="n">
        <v>47</v>
      </c>
      <c r="O5573" t="n">
        <v>32.1</v>
      </c>
      <c r="P5573" t="n">
        <v>36</v>
      </c>
      <c r="Q5573" t="n">
        <v>50.2</v>
      </c>
      <c r="R5573" t="n">
        <v>44</v>
      </c>
      <c r="S5573" t="n">
        <v>2100000</v>
      </c>
      <c r="T5573" t="n">
        <v>9013</v>
      </c>
      <c r="AH5573" t="inlineStr">
        <is>
          <t>Quelle: Balearic Properties</t>
        </is>
      </c>
    </row>
    <row r="5574">
      <c r="A5574" t="n">
        <v>5387</v>
      </c>
      <c r="B5574" t="inlineStr">
        <is>
          <t>A traditional villa for sale on a large residential plot near Pollensa, Mallorca</t>
        </is>
      </c>
      <c r="C5574" t="inlineStr">
        <is>
          <t>https://www.balearic-properties.com/en/property/id/926106-villa-large-residential-plot-pollensa-mallorca-html</t>
        </is>
      </c>
      <c r="E5574" t="n">
        <v>5</v>
      </c>
      <c r="G5574" t="n">
        <v>3425</v>
      </c>
      <c r="H5574" t="n">
        <v>427</v>
      </c>
      <c r="J5574" t="inlineStr">
        <is>
          <t>Pollença</t>
        </is>
      </c>
      <c r="K5574" t="n">
        <v>60.6</v>
      </c>
      <c r="L5574" t="n">
        <v>47</v>
      </c>
      <c r="M5574" t="n">
        <v>78.7</v>
      </c>
      <c r="N5574" t="n">
        <v>74</v>
      </c>
      <c r="O5574" t="n">
        <v>83.2</v>
      </c>
      <c r="P5574" t="n">
        <v>63</v>
      </c>
      <c r="Q5574" t="n">
        <v>76.40000000000001</v>
      </c>
      <c r="R5574" t="n">
        <v>70</v>
      </c>
      <c r="S5574" t="n">
        <v>1425000</v>
      </c>
      <c r="T5574" t="n">
        <v>3337</v>
      </c>
      <c r="U5574" t="n">
        <v>416</v>
      </c>
      <c r="AH5574" t="inlineStr">
        <is>
          <t>Quelle: Balearic Properties</t>
        </is>
      </c>
    </row>
    <row r="5575">
      <c r="A5575" t="n">
        <v>5388</v>
      </c>
      <c r="B5575" t="inlineStr">
        <is>
          <t>Renovated country house with holiday rental license for sale in Pollensa, Mallorca</t>
        </is>
      </c>
      <c r="C5575" t="inlineStr">
        <is>
          <t>https://www.balearic-properties.com/en/property/id/922556-rustic-villa-rental-license-pollensa-mallorca-html</t>
        </is>
      </c>
      <c r="E5575" t="n">
        <v>3</v>
      </c>
      <c r="G5575" t="n">
        <v>2804</v>
      </c>
      <c r="H5575" t="n">
        <v>262</v>
      </c>
      <c r="J5575" t="inlineStr">
        <is>
          <t>Pollença</t>
        </is>
      </c>
      <c r="K5575" t="n">
        <v>60.6</v>
      </c>
      <c r="L5575" t="n">
        <v>47</v>
      </c>
      <c r="M5575" t="n">
        <v>78.7</v>
      </c>
      <c r="N5575" t="n">
        <v>74</v>
      </c>
      <c r="O5575" t="n">
        <v>83.2</v>
      </c>
      <c r="P5575" t="n">
        <v>63</v>
      </c>
      <c r="Q5575" t="n">
        <v>76.40000000000001</v>
      </c>
      <c r="R5575" t="n">
        <v>70</v>
      </c>
      <c r="S5575" t="n">
        <v>1950000</v>
      </c>
      <c r="T5575" t="n">
        <v>7443</v>
      </c>
      <c r="U5575" t="n">
        <v>695</v>
      </c>
      <c r="AH5575" t="inlineStr">
        <is>
          <t>Quelle: Balearic Properties</t>
        </is>
      </c>
    </row>
    <row r="5576">
      <c r="A5576" t="n">
        <v>5389</v>
      </c>
      <c r="B5576" t="inlineStr">
        <is>
          <t>Off plan villas near Pollensa due to start construction in 2025, Mallorca</t>
        </is>
      </c>
      <c r="C5576" t="inlineStr">
        <is>
          <t>https://www.balearic-properties.com/en/property/id/926019-new-villa-pool-pollensa-mallorca-html</t>
        </is>
      </c>
      <c r="E5576" t="n">
        <v>4</v>
      </c>
      <c r="G5576" t="n">
        <v>1835</v>
      </c>
      <c r="H5576" t="n">
        <v>208</v>
      </c>
      <c r="J5576" t="inlineStr">
        <is>
          <t>Pollença</t>
        </is>
      </c>
      <c r="K5576" t="n">
        <v>60.6</v>
      </c>
      <c r="L5576" t="n">
        <v>47</v>
      </c>
      <c r="M5576" t="n">
        <v>78.7</v>
      </c>
      <c r="N5576" t="n">
        <v>74</v>
      </c>
      <c r="O5576" t="n">
        <v>83.2</v>
      </c>
      <c r="P5576" t="n">
        <v>63</v>
      </c>
      <c r="Q5576" t="n">
        <v>76.40000000000001</v>
      </c>
      <c r="R5576" t="n">
        <v>70</v>
      </c>
      <c r="S5576" t="n">
        <v>1200000</v>
      </c>
      <c r="T5576" t="n">
        <v>5769</v>
      </c>
      <c r="U5576" t="n">
        <v>654</v>
      </c>
      <c r="AH5576" t="inlineStr">
        <is>
          <t>Quelle: Balearic Properties</t>
        </is>
      </c>
    </row>
    <row r="5577">
      <c r="A5577" t="n">
        <v>5390</v>
      </c>
      <c r="B5577" t="inlineStr">
        <is>
          <t>New villa for sale in a sought-after residential area near Pollensa, Mallorca</t>
        </is>
      </c>
      <c r="C5577" t="inlineStr">
        <is>
          <t>https://www.balearic-properties.com/en/property/id/926008-new-villa-pool-pollensa-mallorca-html</t>
        </is>
      </c>
      <c r="E5577" t="n">
        <v>4</v>
      </c>
      <c r="G5577" t="n">
        <v>1967</v>
      </c>
      <c r="H5577" t="n">
        <v>204</v>
      </c>
      <c r="J5577" t="inlineStr">
        <is>
          <t>Pollença</t>
        </is>
      </c>
      <c r="K5577" t="n">
        <v>60.6</v>
      </c>
      <c r="L5577" t="n">
        <v>47</v>
      </c>
      <c r="M5577" t="n">
        <v>78.7</v>
      </c>
      <c r="N5577" t="n">
        <v>74</v>
      </c>
      <c r="O5577" t="n">
        <v>83.2</v>
      </c>
      <c r="P5577" t="n">
        <v>63</v>
      </c>
      <c r="Q5577" t="n">
        <v>76.40000000000001</v>
      </c>
      <c r="R5577" t="n">
        <v>70</v>
      </c>
      <c r="S5577" t="n">
        <v>1000000</v>
      </c>
      <c r="T5577" t="n">
        <v>4902</v>
      </c>
      <c r="U5577" t="n">
        <v>508</v>
      </c>
      <c r="AH5577" t="inlineStr">
        <is>
          <t>Quelle: Balearic Properties</t>
        </is>
      </c>
    </row>
    <row r="5578">
      <c r="A5578" t="n">
        <v>5391</v>
      </c>
      <c r="B5578" t="inlineStr">
        <is>
          <t>Charming fully renovated historic town house with pool for sale in Alaro, Mallorca</t>
        </is>
      </c>
      <c r="C5578" t="inlineStr">
        <is>
          <t>https://www.balearic-properties.com/en/property/id/924697-renovated-historic-townhouse-alaro-mallorca-html</t>
        </is>
      </c>
      <c r="E5578" t="n">
        <v>3</v>
      </c>
      <c r="G5578" t="n">
        <v>103</v>
      </c>
      <c r="H5578" t="n">
        <v>206</v>
      </c>
      <c r="J5578" t="inlineStr">
        <is>
          <t>Alaró</t>
        </is>
      </c>
      <c r="S5578" t="n">
        <v>750000</v>
      </c>
      <c r="T5578" t="n">
        <v>3641</v>
      </c>
      <c r="U5578" t="n">
        <v>7282</v>
      </c>
      <c r="AH5578" t="inlineStr">
        <is>
          <t>Quelle: Balearic Properties</t>
        </is>
      </c>
    </row>
    <row r="5579">
      <c r="A5579" t="n">
        <v>5392</v>
      </c>
      <c r="B5579" t="inlineStr">
        <is>
          <t>Magnificent apartment with communal pool for sale in Puerto Pollença, Mallorca</t>
        </is>
      </c>
      <c r="C5579" t="inlineStr">
        <is>
          <t>https://www.balearic-properties.com/en/property/id/925215-apartment-communal-pool-puerto-pollensa-mallorca-html</t>
        </is>
      </c>
      <c r="E5579" t="n">
        <v>3</v>
      </c>
      <c r="G5579" t="n">
        <v>0</v>
      </c>
      <c r="H5579" t="n">
        <v>137</v>
      </c>
      <c r="J5579" t="inlineStr">
        <is>
          <t>Port de Pollença</t>
        </is>
      </c>
      <c r="S5579" t="n">
        <v>690000</v>
      </c>
      <c r="T5579" t="n">
        <v>5036</v>
      </c>
      <c r="AH5579" t="inlineStr">
        <is>
          <t>Quelle: Balearic Properties</t>
        </is>
      </c>
    </row>
    <row r="5580">
      <c r="A5580" t="n">
        <v>5393</v>
      </c>
      <c r="B5580" t="inlineStr">
        <is>
          <t>Stunning new home with beautiful views for sale in Maria de la Salut, Mallorca</t>
        </is>
      </c>
      <c r="C5580" t="inlineStr">
        <is>
          <t>https://www.balearic-properties.com/en/property/id/925373-new-home-beautiful-views-maria-de-la-salut-mallorca-html</t>
        </is>
      </c>
      <c r="E5580" t="n">
        <v>4</v>
      </c>
      <c r="G5580" t="n">
        <v>14300</v>
      </c>
      <c r="H5580" t="n">
        <v>322</v>
      </c>
      <c r="J5580" t="inlineStr">
        <is>
          <t>María de la Salut</t>
        </is>
      </c>
      <c r="K5580" t="n">
        <v>42</v>
      </c>
      <c r="L5580" t="n">
        <v>45</v>
      </c>
      <c r="M5580" t="n">
        <v>49.4</v>
      </c>
      <c r="N5580" t="n">
        <v>52</v>
      </c>
      <c r="O5580" t="n">
        <v>77.3</v>
      </c>
      <c r="P5580" t="n">
        <v>62</v>
      </c>
      <c r="Q5580" t="n">
        <v>47.1</v>
      </c>
      <c r="R5580" t="n">
        <v>49</v>
      </c>
      <c r="S5580" t="n">
        <v>3500000</v>
      </c>
      <c r="T5580" t="n">
        <v>10870</v>
      </c>
      <c r="U5580" t="n">
        <v>245</v>
      </c>
      <c r="AH5580" t="inlineStr">
        <is>
          <t>Quelle: Balearic Properties</t>
        </is>
      </c>
    </row>
    <row r="5581">
      <c r="A5581" t="n">
        <v>5394</v>
      </c>
      <c r="B5581" t="inlineStr">
        <is>
          <t>Bright apartment with private parking for sale in Palmanova, Mallorca</t>
        </is>
      </c>
      <c r="C5581" t="inlineStr">
        <is>
          <t>https://www.balearic-properties.com/en/property/id/924506-apartment-with-private-parking-in-palmanova-mallorca-html</t>
        </is>
      </c>
      <c r="E5581" t="n">
        <v>4</v>
      </c>
      <c r="G5581" t="n">
        <v>0</v>
      </c>
      <c r="H5581" t="n">
        <v>123</v>
      </c>
      <c r="J5581" t="inlineStr">
        <is>
          <t>Palmanova</t>
        </is>
      </c>
      <c r="S5581" t="n">
        <v>845000</v>
      </c>
      <c r="T5581" t="n">
        <v>6870</v>
      </c>
      <c r="AH5581" t="inlineStr">
        <is>
          <t>Quelle: Balearic Properties</t>
        </is>
      </c>
    </row>
    <row r="5582">
      <c r="A5582" t="n">
        <v>5395</v>
      </c>
      <c r="B5582" t="inlineStr">
        <is>
          <t>New villa for sale, second line to the sea in Alcudia, Mallorca</t>
        </is>
      </c>
      <c r="C5582" t="inlineStr">
        <is>
          <t>https://www.balearic-properties.com/en/property/id/924982-new-villa-alcudia-mallorca-html</t>
        </is>
      </c>
      <c r="E5582" t="n">
        <v>4</v>
      </c>
      <c r="G5582" t="n">
        <v>1480</v>
      </c>
      <c r="H5582" t="n">
        <v>432</v>
      </c>
      <c r="J5582" t="inlineStr">
        <is>
          <t>Alcanada</t>
        </is>
      </c>
      <c r="K5582" t="n">
        <v>64.2</v>
      </c>
      <c r="L5582" t="n">
        <v>48</v>
      </c>
      <c r="M5582" t="n">
        <v>82.3</v>
      </c>
      <c r="N5582" t="n">
        <v>75</v>
      </c>
      <c r="O5582" t="n">
        <v>86.8</v>
      </c>
      <c r="P5582" t="n">
        <v>64</v>
      </c>
      <c r="Q5582" t="n">
        <v>80</v>
      </c>
      <c r="R5582" t="n">
        <v>71</v>
      </c>
      <c r="S5582" t="n">
        <v>5500000</v>
      </c>
      <c r="T5582" t="n">
        <v>12731</v>
      </c>
      <c r="U5582" t="n">
        <v>3716</v>
      </c>
      <c r="AH5582" t="inlineStr">
        <is>
          <t>Quelle: Balearic Properties</t>
        </is>
      </c>
    </row>
    <row r="5583">
      <c r="A5583" t="n">
        <v>5396</v>
      </c>
      <c r="B5583" t="inlineStr">
        <is>
          <t>Spacious sea view villa for sale in Costa d'en Blanes, Mallorca</t>
        </is>
      </c>
      <c r="C5583" t="inlineStr">
        <is>
          <t>https://www.balearic-properties.com/en/property/id/922152-villa-sea-views-costa-den-blanes-mallorca-html</t>
        </is>
      </c>
      <c r="E5583" t="n">
        <v>5</v>
      </c>
      <c r="G5583" t="n">
        <v>1000</v>
      </c>
      <c r="H5583" t="n">
        <v>480</v>
      </c>
      <c r="J5583" t="inlineStr">
        <is>
          <t>Costa D´en Blanes</t>
        </is>
      </c>
      <c r="K5583" t="n">
        <v>23.3</v>
      </c>
      <c r="L5583" t="n">
        <v>21</v>
      </c>
      <c r="M5583" t="n">
        <v>66.09999999999999</v>
      </c>
      <c r="N5583" t="n">
        <v>54</v>
      </c>
      <c r="O5583" t="n">
        <v>21</v>
      </c>
      <c r="P5583" t="n">
        <v>21</v>
      </c>
      <c r="Q5583" t="n">
        <v>63.8</v>
      </c>
      <c r="R5583" t="n">
        <v>51</v>
      </c>
      <c r="S5583" t="n">
        <v>2150000</v>
      </c>
      <c r="T5583" t="n">
        <v>4479</v>
      </c>
      <c r="U5583" t="n">
        <v>2150</v>
      </c>
      <c r="AH5583" t="inlineStr">
        <is>
          <t>Quelle: Balearic Properties</t>
        </is>
      </c>
    </row>
    <row r="5584">
      <c r="A5584" t="n">
        <v>5397</v>
      </c>
      <c r="B5584" t="inlineStr">
        <is>
          <t>Sophisticated and modern seafront villa for sale in Sa Torre, Mallorca</t>
        </is>
      </c>
      <c r="C5584" t="inlineStr">
        <is>
          <t>https://www.balearic-properties.com/en/property/id/924980-seafront-sofisticated-and-modern-villa-in-sa-torre-mallorca-html</t>
        </is>
      </c>
      <c r="E5584" t="n">
        <v>5</v>
      </c>
      <c r="G5584" t="n">
        <v>1253</v>
      </c>
      <c r="H5584" t="n">
        <v>750</v>
      </c>
      <c r="J5584" t="inlineStr">
        <is>
          <t>Sa Torre</t>
        </is>
      </c>
      <c r="K5584" t="n">
        <v>17</v>
      </c>
      <c r="L5584" t="n">
        <v>19</v>
      </c>
      <c r="M5584" t="n">
        <v>41.9</v>
      </c>
      <c r="N5584" t="n">
        <v>41</v>
      </c>
      <c r="O5584" t="n">
        <v>55.2</v>
      </c>
      <c r="P5584" t="n">
        <v>47</v>
      </c>
      <c r="Q5584" t="n">
        <v>39.6</v>
      </c>
      <c r="R5584" t="n">
        <v>38</v>
      </c>
      <c r="S5584" t="n">
        <v>8250000</v>
      </c>
      <c r="T5584" t="n">
        <v>11000</v>
      </c>
      <c r="U5584" t="n">
        <v>6584</v>
      </c>
      <c r="AH5584" t="inlineStr">
        <is>
          <t>Quelle: Balearic Properties</t>
        </is>
      </c>
    </row>
    <row r="5585">
      <c r="A5585" t="n">
        <v>5398</v>
      </c>
      <c r="B5585" t="inlineStr">
        <is>
          <t>Unique and exceptionally large town house for sale in Fornalutx, Mallorca</t>
        </is>
      </c>
      <c r="C5585" t="inlineStr">
        <is>
          <t>https://www.balearic-properties.com/en/property/id/808469-large-townhouse-hotel-fornalutx-mallorca-html</t>
        </is>
      </c>
      <c r="E5585" t="n">
        <v>8</v>
      </c>
      <c r="G5585" t="n">
        <v>938</v>
      </c>
      <c r="H5585" t="n">
        <v>1562</v>
      </c>
      <c r="J5585" t="inlineStr">
        <is>
          <t>Fornalutx</t>
        </is>
      </c>
      <c r="K5585" t="n">
        <v>38.9</v>
      </c>
      <c r="L5585" t="n">
        <v>46</v>
      </c>
      <c r="M5585" t="n">
        <v>81.59999999999999</v>
      </c>
      <c r="N5585" t="n">
        <v>79</v>
      </c>
      <c r="O5585" t="n">
        <v>58.5</v>
      </c>
      <c r="P5585" t="n">
        <v>60</v>
      </c>
      <c r="Q5585" t="n">
        <v>79.3</v>
      </c>
      <c r="R5585" t="n">
        <v>76</v>
      </c>
      <c r="S5585" t="n">
        <v>2700000</v>
      </c>
      <c r="T5585" t="n">
        <v>1729</v>
      </c>
      <c r="U5585" t="n">
        <v>2878</v>
      </c>
      <c r="AH5585" t="inlineStr">
        <is>
          <t>Quelle: Balearic Properties</t>
        </is>
      </c>
    </row>
    <row r="5586">
      <c r="A5586" t="n">
        <v>5399</v>
      </c>
      <c r="B5586" t="inlineStr">
        <is>
          <t>Beachfront apartment to be renovated with direct access to the sea in Palmanova for sale, Mallorca</t>
        </is>
      </c>
      <c r="C5586" t="inlineStr">
        <is>
          <t>https://www.balearic-properties.com/en/property/id/923837-beachfront-apartment-to-be-renovated-with-direct-access-to-the-sea-in-palmanova-for-sale-mallorca</t>
        </is>
      </c>
      <c r="E5586" t="n">
        <v>4</v>
      </c>
      <c r="G5586" t="n">
        <v>0</v>
      </c>
      <c r="H5586" t="n">
        <v>224</v>
      </c>
      <c r="J5586" t="inlineStr">
        <is>
          <t>Palmanova</t>
        </is>
      </c>
      <c r="K5586" t="n">
        <v>25.9</v>
      </c>
      <c r="L5586" t="n">
        <v>24</v>
      </c>
      <c r="M5586" t="n">
        <v>68.59999999999999</v>
      </c>
      <c r="N5586" t="n">
        <v>57</v>
      </c>
      <c r="O5586" t="n">
        <v>18.5</v>
      </c>
      <c r="P5586" t="n">
        <v>21</v>
      </c>
      <c r="Q5586" t="n">
        <v>66.3</v>
      </c>
      <c r="R5586" t="n">
        <v>54</v>
      </c>
      <c r="S5586" t="n">
        <v>1167000</v>
      </c>
      <c r="T5586" t="n">
        <v>5210</v>
      </c>
      <c r="AH5586" t="inlineStr">
        <is>
          <t>Quelle: Balearic Properties</t>
        </is>
      </c>
    </row>
    <row r="5587">
      <c r="A5587" t="n">
        <v>5400</v>
      </c>
      <c r="B5587" t="inlineStr">
        <is>
          <t>Newly built finca with full privacy for sale in Llucmajor, Mallorca southeast</t>
        </is>
      </c>
      <c r="C5587" t="inlineStr">
        <is>
          <t>https://www.balearic-properties.com/en/property/id/924698-new-finca-privacy-llucmajor-mallorca-html</t>
        </is>
      </c>
      <c r="E5587" t="n">
        <v>6</v>
      </c>
      <c r="G5587" t="n">
        <v>21100</v>
      </c>
      <c r="H5587" t="n">
        <v>402</v>
      </c>
      <c r="J5587" t="inlineStr">
        <is>
          <t>Llucmajor interior</t>
        </is>
      </c>
      <c r="K5587" t="n">
        <v>22</v>
      </c>
      <c r="L5587" t="n">
        <v>21</v>
      </c>
      <c r="M5587" t="n">
        <v>28.2</v>
      </c>
      <c r="N5587" t="n">
        <v>33</v>
      </c>
      <c r="O5587" t="n">
        <v>60.2</v>
      </c>
      <c r="P5587" t="n">
        <v>48</v>
      </c>
      <c r="Q5587" t="n">
        <v>25.9</v>
      </c>
      <c r="R5587" t="n">
        <v>29</v>
      </c>
      <c r="S5587" t="n">
        <v>4200000</v>
      </c>
      <c r="T5587" t="n">
        <v>10448</v>
      </c>
      <c r="U5587" t="n">
        <v>199</v>
      </c>
      <c r="AH5587" t="inlineStr">
        <is>
          <t>Quelle: Balearic Properties</t>
        </is>
      </c>
    </row>
    <row r="5588">
      <c r="A5588" t="n">
        <v>5401</v>
      </c>
      <c r="B5588" t="inlineStr">
        <is>
          <t>Stylish modern villa for sale in the picturesque area of Calas de Mallorca</t>
        </is>
      </c>
      <c r="C5588" t="inlineStr">
        <is>
          <t>https://www.balearic-properties.com/en/property/id/924570-stylish-modern-villa-calas-de-mallorca-html</t>
        </is>
      </c>
      <c r="E5588" t="n">
        <v>4</v>
      </c>
      <c r="G5588" t="n">
        <v>1111</v>
      </c>
      <c r="H5588" t="n">
        <v>266</v>
      </c>
      <c r="J5588" t="inlineStr">
        <is>
          <t>Calas de Mallorca</t>
        </is>
      </c>
      <c r="K5588" t="n">
        <v>60.4</v>
      </c>
      <c r="L5588" t="n">
        <v>56</v>
      </c>
      <c r="M5588" t="n">
        <v>30.4</v>
      </c>
      <c r="N5588" t="n">
        <v>40</v>
      </c>
      <c r="O5588" t="n">
        <v>98.59999999999999</v>
      </c>
      <c r="P5588" t="n">
        <v>83</v>
      </c>
      <c r="Q5588" t="n">
        <v>39.8</v>
      </c>
      <c r="R5588" t="n">
        <v>42</v>
      </c>
      <c r="S5588" t="n">
        <v>1995000</v>
      </c>
      <c r="T5588" t="n">
        <v>7500</v>
      </c>
      <c r="U5588" t="n">
        <v>1796</v>
      </c>
      <c r="AH5588" t="inlineStr">
        <is>
          <t>Quelle: Balearic Properties</t>
        </is>
      </c>
    </row>
    <row r="5589">
      <c r="A5589" t="n">
        <v>5402</v>
      </c>
      <c r="B5589" t="inlineStr">
        <is>
          <t>Semi-detached villa with community pool for sale in Puerto Pollensa, Mallorca</t>
        </is>
      </c>
      <c r="C5589" t="inlineStr">
        <is>
          <t>https://www.balearic-properties.com/en/property/id/924563-semidetached-villa-community-pool-puerto-pollensa-mallorca-html</t>
        </is>
      </c>
      <c r="E5589" t="n">
        <v>3</v>
      </c>
      <c r="G5589" t="n">
        <v>3422</v>
      </c>
      <c r="H5589" t="n">
        <v>154</v>
      </c>
      <c r="J5589" t="inlineStr">
        <is>
          <t>Port de Pollença</t>
        </is>
      </c>
      <c r="K5589" t="n">
        <v>66.90000000000001</v>
      </c>
      <c r="L5589" t="n">
        <v>52</v>
      </c>
      <c r="M5589" t="n">
        <v>85</v>
      </c>
      <c r="N5589" t="n">
        <v>78</v>
      </c>
      <c r="O5589" t="n">
        <v>89.5</v>
      </c>
      <c r="P5589" t="n">
        <v>68</v>
      </c>
      <c r="Q5589" t="n">
        <v>82.7</v>
      </c>
      <c r="R5589" t="n">
        <v>75</v>
      </c>
      <c r="S5589" t="n">
        <v>1485000</v>
      </c>
      <c r="T5589" t="n">
        <v>9643</v>
      </c>
      <c r="U5589" t="n">
        <v>434</v>
      </c>
      <c r="AH5589" t="inlineStr">
        <is>
          <t>Quelle: Balearic Properties</t>
        </is>
      </c>
    </row>
    <row r="5590">
      <c r="A5590" t="n">
        <v>5403</v>
      </c>
      <c r="B5590" t="inlineStr">
        <is>
          <t>Modern renovated villa for sale in Santa Ponsa, Mallorca</t>
        </is>
      </c>
      <c r="C5590" t="inlineStr">
        <is>
          <t>https://www.balearic-properties.com/en/property/id/924103-villa-beach-santa-ponsa-mallorca-html</t>
        </is>
      </c>
      <c r="E5590" t="n">
        <v>3</v>
      </c>
      <c r="G5590" t="n">
        <v>952</v>
      </c>
      <c r="H5590" t="n">
        <v>254</v>
      </c>
      <c r="J5590" t="inlineStr">
        <is>
          <t>Santa Ponsa</t>
        </is>
      </c>
      <c r="K5590" t="n">
        <v>31.1</v>
      </c>
      <c r="L5590" t="n">
        <v>28</v>
      </c>
      <c r="M5590" t="n">
        <v>73.90000000000001</v>
      </c>
      <c r="N5590" t="n">
        <v>61</v>
      </c>
      <c r="O5590" t="n">
        <v>15.2</v>
      </c>
      <c r="P5590" t="n">
        <v>19</v>
      </c>
      <c r="Q5590" t="n">
        <v>71.59999999999999</v>
      </c>
      <c r="R5590" t="n">
        <v>57</v>
      </c>
      <c r="S5590" t="n">
        <v>2980000</v>
      </c>
      <c r="T5590" t="n">
        <v>11732</v>
      </c>
      <c r="U5590" t="n">
        <v>3130</v>
      </c>
      <c r="AH5590" t="inlineStr">
        <is>
          <t>Quelle: Balearic Properties</t>
        </is>
      </c>
    </row>
    <row r="5591">
      <c r="A5591" t="n">
        <v>5404</v>
      </c>
      <c r="B5591" t="inlineStr">
        <is>
          <t>Newly built finca close to the sea in Ses Salines for sale, Mallorca</t>
        </is>
      </c>
      <c r="C5591" t="inlineStr">
        <is>
          <t>https://www.balearic-properties.com/en/property/id/924699-newly-built-finca-close-to-the-sea-in-ses-salines-for-sale-mallorca</t>
        </is>
      </c>
      <c r="E5591" t="n">
        <v>6</v>
      </c>
      <c r="G5591" t="n">
        <v>14799</v>
      </c>
      <c r="H5591" t="n">
        <v>251</v>
      </c>
      <c r="J5591" t="inlineStr">
        <is>
          <t>Ses Salines</t>
        </is>
      </c>
      <c r="K5591" t="n">
        <v>44.5</v>
      </c>
      <c r="L5591" t="n">
        <v>39</v>
      </c>
      <c r="M5591" t="n">
        <v>2.4</v>
      </c>
      <c r="N5591" t="n">
        <v>5</v>
      </c>
      <c r="O5591" t="n">
        <v>82.7</v>
      </c>
      <c r="P5591" t="n">
        <v>67</v>
      </c>
      <c r="Q5591" t="n">
        <v>2</v>
      </c>
      <c r="R5591" t="n">
        <v>5</v>
      </c>
      <c r="S5591" t="n">
        <v>3500000</v>
      </c>
      <c r="T5591" t="n">
        <v>13944</v>
      </c>
      <c r="U5591" t="n">
        <v>237</v>
      </c>
      <c r="AH5591" t="inlineStr">
        <is>
          <t>Quelle: Balearic Properties</t>
        </is>
      </c>
    </row>
    <row r="5592">
      <c r="A5592" t="n">
        <v>5405</v>
      </c>
      <c r="B5592" t="inlineStr">
        <is>
          <t>Immaculate country villa for sale between Alcudia and Pollensa, Mallorca</t>
        </is>
      </c>
      <c r="C5592" t="inlineStr">
        <is>
          <t>https://www.balearic-properties.com/en/property/id/916255-country-villa-alcudia-pollensa-mallorca-html</t>
        </is>
      </c>
      <c r="E5592" t="n">
        <v>4</v>
      </c>
      <c r="G5592" t="n">
        <v>16717</v>
      </c>
      <c r="H5592" t="n">
        <v>434</v>
      </c>
      <c r="J5592" t="inlineStr">
        <is>
          <t>Alcúdia</t>
        </is>
      </c>
      <c r="K5592" t="n">
        <v>61.6</v>
      </c>
      <c r="L5592" t="n">
        <v>47</v>
      </c>
      <c r="M5592" t="n">
        <v>79.7</v>
      </c>
      <c r="N5592" t="n">
        <v>74</v>
      </c>
      <c r="O5592" t="n">
        <v>84.2</v>
      </c>
      <c r="P5592" t="n">
        <v>63</v>
      </c>
      <c r="Q5592" t="n">
        <v>77.40000000000001</v>
      </c>
      <c r="R5592" t="n">
        <v>70</v>
      </c>
      <c r="S5592" t="n">
        <v>3500000</v>
      </c>
      <c r="T5592" t="n">
        <v>8065</v>
      </c>
      <c r="U5592" t="n">
        <v>209</v>
      </c>
      <c r="AH5592" t="inlineStr">
        <is>
          <t>Quelle: Balearic Properties</t>
        </is>
      </c>
    </row>
    <row r="5593">
      <c r="A5593" t="n">
        <v>5406</v>
      </c>
      <c r="B5593" t="inlineStr">
        <is>
          <t>Luxury villa for sale with views of the sea and golf course in Son Vida, Mallorca</t>
        </is>
      </c>
      <c r="C5593" t="inlineStr">
        <is>
          <t>https://www.balearic-properties.com/en/property/id/924373-luxury-villa-sea-views-son-vida-mallorca-html</t>
        </is>
      </c>
      <c r="E5593" t="n">
        <v>5</v>
      </c>
      <c r="G5593" t="n">
        <v>1854</v>
      </c>
      <c r="H5593" t="n">
        <v>537</v>
      </c>
      <c r="J5593" t="inlineStr">
        <is>
          <t>Son Vida</t>
        </is>
      </c>
      <c r="K5593" t="n">
        <v>19.2</v>
      </c>
      <c r="L5593" t="n">
        <v>22</v>
      </c>
      <c r="M5593" t="n">
        <v>61.9</v>
      </c>
      <c r="N5593" t="n">
        <v>55</v>
      </c>
      <c r="O5593" t="n">
        <v>31</v>
      </c>
      <c r="P5593" t="n">
        <v>31</v>
      </c>
      <c r="Q5593" t="n">
        <v>59.6</v>
      </c>
      <c r="R5593" t="n">
        <v>51</v>
      </c>
      <c r="S5593" t="n">
        <v>3970000</v>
      </c>
      <c r="T5593" t="n">
        <v>7393</v>
      </c>
      <c r="U5593" t="n">
        <v>2141</v>
      </c>
      <c r="AH5593" t="inlineStr">
        <is>
          <t>Quelle: Balearic Properties</t>
        </is>
      </c>
    </row>
    <row r="5594">
      <c r="A5594" t="n">
        <v>5407</v>
      </c>
      <c r="B5594" t="inlineStr">
        <is>
          <t>Unique Spanish villa for sale in Bonaire, Alcudia, north Mallorca</t>
        </is>
      </c>
      <c r="C5594" t="inlineStr">
        <is>
          <t>https://www.balearic-properties.com/en/property/id/901703-charming-spanish-villa-bonaire-html</t>
        </is>
      </c>
      <c r="E5594" t="n">
        <v>3</v>
      </c>
      <c r="G5594" t="n">
        <v>1672</v>
      </c>
      <c r="H5594" t="n">
        <v>400</v>
      </c>
      <c r="J5594" t="inlineStr">
        <is>
          <t>Bonaire</t>
        </is>
      </c>
      <c r="K5594" t="n">
        <v>64.40000000000001</v>
      </c>
      <c r="L5594" t="n">
        <v>54</v>
      </c>
      <c r="M5594" t="n">
        <v>82.5</v>
      </c>
      <c r="N5594" t="n">
        <v>80</v>
      </c>
      <c r="O5594" t="n">
        <v>87</v>
      </c>
      <c r="P5594" t="n">
        <v>70</v>
      </c>
      <c r="Q5594" t="n">
        <v>80.2</v>
      </c>
      <c r="R5594" t="n">
        <v>77</v>
      </c>
      <c r="S5594" t="n">
        <v>1950000</v>
      </c>
      <c r="T5594" t="n">
        <v>4875</v>
      </c>
      <c r="U5594" t="n">
        <v>1166</v>
      </c>
      <c r="AH5594" t="inlineStr">
        <is>
          <t>Quelle: Balearic Properties</t>
        </is>
      </c>
    </row>
    <row r="5595">
      <c r="A5595" t="n">
        <v>5408</v>
      </c>
      <c r="B5595" t="inlineStr">
        <is>
          <t>Chic newly built finca for sale with open views in Sa Ràpita, Mallorca</t>
        </is>
      </c>
      <c r="C5595" t="inlineStr">
        <is>
          <t>https://www.balearic-properties.com/en/property/id/923936-new-finca-mountain-views-sa-rapita-mallorca-html</t>
        </is>
      </c>
      <c r="E5595" t="n">
        <v>4</v>
      </c>
      <c r="G5595" t="n">
        <v>17753</v>
      </c>
      <c r="H5595" t="n">
        <v>345</v>
      </c>
      <c r="J5595" t="inlineStr">
        <is>
          <t>La Rapita</t>
        </is>
      </c>
      <c r="K5595" t="n">
        <v>37.4</v>
      </c>
      <c r="L5595" t="n">
        <v>34</v>
      </c>
      <c r="M5595" t="n">
        <v>17.3</v>
      </c>
      <c r="N5595" t="n">
        <v>22</v>
      </c>
      <c r="O5595" t="n">
        <v>75.59999999999999</v>
      </c>
      <c r="P5595" t="n">
        <v>61</v>
      </c>
      <c r="Q5595" t="n">
        <v>15</v>
      </c>
      <c r="R5595" t="n">
        <v>19</v>
      </c>
      <c r="S5595" t="n">
        <v>2900000</v>
      </c>
      <c r="T5595" t="n">
        <v>8406</v>
      </c>
      <c r="U5595" t="n">
        <v>163</v>
      </c>
      <c r="AH5595" t="inlineStr">
        <is>
          <t>Quelle: Balearic Properties</t>
        </is>
      </c>
    </row>
    <row r="5596">
      <c r="A5596" t="n">
        <v>5409</v>
      </c>
      <c r="B5596" t="inlineStr">
        <is>
          <t>Newly built finca with mountain views for sale in Sa Ràpita, Mallorca</t>
        </is>
      </c>
      <c r="C5596" t="inlineStr">
        <is>
          <t>https://www.balearic-properties.com/en/property/id/923933-new-finca-mountain-views-sa-rapita-mallorca-html</t>
        </is>
      </c>
      <c r="E5596" t="n">
        <v>3</v>
      </c>
      <c r="G5596" t="n">
        <v>16358</v>
      </c>
      <c r="H5596" t="n">
        <v>266</v>
      </c>
      <c r="J5596" t="inlineStr">
        <is>
          <t>La Rapita</t>
        </is>
      </c>
      <c r="K5596" t="n">
        <v>37.4</v>
      </c>
      <c r="L5596" t="n">
        <v>34</v>
      </c>
      <c r="M5596" t="n">
        <v>17.3</v>
      </c>
      <c r="N5596" t="n">
        <v>22</v>
      </c>
      <c r="O5596" t="n">
        <v>75.59999999999999</v>
      </c>
      <c r="P5596" t="n">
        <v>61</v>
      </c>
      <c r="Q5596" t="n">
        <v>15</v>
      </c>
      <c r="R5596" t="n">
        <v>19</v>
      </c>
      <c r="S5596" t="n">
        <v>2700000</v>
      </c>
      <c r="T5596" t="n">
        <v>10150</v>
      </c>
      <c r="U5596" t="n">
        <v>165</v>
      </c>
      <c r="AH5596" t="inlineStr">
        <is>
          <t>Quelle: Balearic Properties</t>
        </is>
      </c>
    </row>
    <row r="5597">
      <c r="A5597" t="n">
        <v>5410</v>
      </c>
      <c r="B5597" t="inlineStr">
        <is>
          <t>Investment villa with pool for sale near Pollensa, North Mallorca</t>
        </is>
      </c>
      <c r="C5597" t="inlineStr">
        <is>
          <t>https://www.balearic-properties.com/en/property/id/922552-investment-villa-pool-pollensa-mallorca-html</t>
        </is>
      </c>
      <c r="E5597" t="n">
        <v>3</v>
      </c>
      <c r="G5597" t="n">
        <v>1925</v>
      </c>
      <c r="H5597" t="n">
        <v>163</v>
      </c>
      <c r="J5597" t="inlineStr">
        <is>
          <t>Pollença</t>
        </is>
      </c>
      <c r="S5597" t="n">
        <v>750000</v>
      </c>
      <c r="T5597" t="n">
        <v>4601</v>
      </c>
      <c r="U5597" t="n">
        <v>390</v>
      </c>
      <c r="AH5597" t="inlineStr">
        <is>
          <t>Quelle: Balearic Properties</t>
        </is>
      </c>
    </row>
    <row r="5598">
      <c r="A5598" t="n">
        <v>5411</v>
      </c>
      <c r="B5598" t="inlineStr">
        <is>
          <t>New build Mediterranean finca for sale near Es Llombards, Santanyi, southeast Mallorca</t>
        </is>
      </c>
      <c r="C5598" t="inlineStr">
        <is>
          <t>https://www.balearic-properties.com/en/property/id/921180-new-finca-santanyi-llombards-mallorca-html</t>
        </is>
      </c>
      <c r="E5598" t="n">
        <v>4</v>
      </c>
      <c r="G5598" t="n">
        <v>17757</v>
      </c>
      <c r="H5598" t="n">
        <v>432</v>
      </c>
      <c r="J5598" t="inlineStr">
        <is>
          <t>Santanyí</t>
        </is>
      </c>
      <c r="K5598" t="n">
        <v>45.4</v>
      </c>
      <c r="L5598" t="n">
        <v>39</v>
      </c>
      <c r="M5598" t="n">
        <v>9</v>
      </c>
      <c r="N5598" t="n">
        <v>13</v>
      </c>
      <c r="O5598" t="n">
        <v>83.59999999999999</v>
      </c>
      <c r="P5598" t="n">
        <v>67</v>
      </c>
      <c r="Q5598" t="n">
        <v>9.699999999999999</v>
      </c>
      <c r="R5598" t="n">
        <v>15</v>
      </c>
      <c r="S5598" t="n">
        <v>7500000</v>
      </c>
      <c r="T5598" t="n">
        <v>17361</v>
      </c>
      <c r="U5598" t="n">
        <v>422</v>
      </c>
      <c r="AH5598" t="inlineStr">
        <is>
          <t>Quelle: Balearic Properties</t>
        </is>
      </c>
    </row>
    <row r="5599">
      <c r="A5599" t="n">
        <v>5412</v>
      </c>
      <c r="B5599" t="inlineStr">
        <is>
          <t>Elegant seafront villa for sale in Valldemossa, Mallorca</t>
        </is>
      </c>
      <c r="C5599" t="inlineStr">
        <is>
          <t>https://www.balearic-properties.com/en/property/id/923476-elegant-seafront-villa-valldemossa-mallorca-html</t>
        </is>
      </c>
      <c r="E5599" t="n">
        <v>6</v>
      </c>
      <c r="G5599" t="n">
        <v>2700</v>
      </c>
      <c r="H5599" t="n">
        <v>1000</v>
      </c>
      <c r="J5599" t="inlineStr">
        <is>
          <t>Valldemossa</t>
        </is>
      </c>
      <c r="K5599" t="n">
        <v>27.2</v>
      </c>
      <c r="L5599" t="n">
        <v>32</v>
      </c>
      <c r="M5599" t="n">
        <v>69.90000000000001</v>
      </c>
      <c r="N5599" t="n">
        <v>64</v>
      </c>
      <c r="O5599" t="n">
        <v>45.5</v>
      </c>
      <c r="P5599" t="n">
        <v>44</v>
      </c>
      <c r="Q5599" t="n">
        <v>67.59999999999999</v>
      </c>
      <c r="R5599" t="n">
        <v>61</v>
      </c>
      <c r="S5599" t="n">
        <v>9000000</v>
      </c>
      <c r="T5599" t="n">
        <v>9000</v>
      </c>
      <c r="U5599" t="n">
        <v>3333</v>
      </c>
      <c r="AH5599" t="inlineStr">
        <is>
          <t>Quelle: Balearic Properties</t>
        </is>
      </c>
    </row>
    <row r="5600">
      <c r="A5600" t="n">
        <v>5413</v>
      </c>
      <c r="B5600" t="inlineStr">
        <is>
          <t>Investment opportunity of a spacious apartment for sale in the heart of Palma, Mallorca</t>
        </is>
      </c>
      <c r="C5600" t="inlineStr">
        <is>
          <t>https://www.balearic-properties.com/en/property/id/922438-investment-spacious-apartment-centre-palma-mallorca-html</t>
        </is>
      </c>
      <c r="E5600" t="n">
        <v>4</v>
      </c>
      <c r="G5600" t="n">
        <v>140</v>
      </c>
      <c r="H5600" t="n">
        <v>140</v>
      </c>
      <c r="J5600" t="inlineStr">
        <is>
          <t>Palma City Centre</t>
        </is>
      </c>
      <c r="K5600" t="n">
        <v>11.6</v>
      </c>
      <c r="L5600" t="n">
        <v>20</v>
      </c>
      <c r="M5600" t="n">
        <v>54.3</v>
      </c>
      <c r="N5600" t="n">
        <v>53</v>
      </c>
      <c r="O5600" t="n">
        <v>29.5</v>
      </c>
      <c r="P5600" t="n">
        <v>29</v>
      </c>
      <c r="Q5600" t="n">
        <v>52</v>
      </c>
      <c r="R5600" t="n">
        <v>49</v>
      </c>
      <c r="S5600" t="n">
        <v>1060000</v>
      </c>
      <c r="T5600" t="n">
        <v>7571</v>
      </c>
      <c r="U5600" t="n">
        <v>7571</v>
      </c>
      <c r="AH5600" t="inlineStr">
        <is>
          <t>Quelle: Balearic Properties</t>
        </is>
      </c>
    </row>
    <row r="5601">
      <c r="A5601" t="n">
        <v>5414</v>
      </c>
      <c r="B5601" t="inlineStr">
        <is>
          <t>Finca to be restored with panoramic mountain views for sale in Soller, Mallorca</t>
        </is>
      </c>
      <c r="C5601" t="inlineStr">
        <is>
          <t>https://www.balearic-properties.com/en/property/id/921563-finca-restoration-mountain-views-soller-mallorca-html</t>
        </is>
      </c>
      <c r="E5601" t="n">
        <v>4</v>
      </c>
      <c r="G5601" t="n">
        <v>1000</v>
      </c>
      <c r="H5601" t="n">
        <v>190</v>
      </c>
      <c r="J5601" t="inlineStr">
        <is>
          <t>Sóller</t>
        </is>
      </c>
      <c r="K5601" t="n">
        <v>32.5</v>
      </c>
      <c r="L5601" t="n">
        <v>38</v>
      </c>
      <c r="M5601" t="n">
        <v>75.2</v>
      </c>
      <c r="N5601" t="n">
        <v>70</v>
      </c>
      <c r="O5601" t="n">
        <v>52.1</v>
      </c>
      <c r="P5601" t="n">
        <v>51</v>
      </c>
      <c r="Q5601" t="n">
        <v>72.90000000000001</v>
      </c>
      <c r="R5601" t="n">
        <v>67</v>
      </c>
      <c r="S5601" t="n">
        <v>1250000</v>
      </c>
      <c r="T5601" t="n">
        <v>6579</v>
      </c>
      <c r="U5601" t="n">
        <v>1250</v>
      </c>
      <c r="AH5601" t="inlineStr">
        <is>
          <t>Quelle: Balearic Properties</t>
        </is>
      </c>
    </row>
    <row r="5602">
      <c r="A5602" t="n">
        <v>5415</v>
      </c>
      <c r="B5602" t="inlineStr">
        <is>
          <t>Two fincas with holiday rental licence in Biniaraix for sale, Mallorca</t>
        </is>
      </c>
      <c r="C5602" t="inlineStr">
        <is>
          <t>https://www.balearic-properties.com/en/property/id/920753-two-fincas-with-holiday-rental-licence-in-biniaraix-for-sale-mallorca</t>
        </is>
      </c>
      <c r="E5602" t="n">
        <v>10</v>
      </c>
      <c r="G5602" t="n">
        <v>21000</v>
      </c>
      <c r="H5602" t="n">
        <v>965</v>
      </c>
      <c r="J5602" t="inlineStr">
        <is>
          <t>Biniaraix</t>
        </is>
      </c>
      <c r="K5602" t="n">
        <v>37.8</v>
      </c>
      <c r="L5602" t="n">
        <v>48</v>
      </c>
      <c r="M5602" t="n">
        <v>80.5</v>
      </c>
      <c r="N5602" t="n">
        <v>81</v>
      </c>
      <c r="O5602" t="n">
        <v>57.4</v>
      </c>
      <c r="P5602" t="n">
        <v>61</v>
      </c>
      <c r="Q5602" t="n">
        <v>78.2</v>
      </c>
      <c r="R5602" t="n">
        <v>77</v>
      </c>
      <c r="S5602" t="n">
        <v>5000000</v>
      </c>
      <c r="T5602" t="n">
        <v>5181</v>
      </c>
      <c r="U5602" t="n">
        <v>238</v>
      </c>
      <c r="AH5602" t="inlineStr">
        <is>
          <t>Quelle: Balearic Properties</t>
        </is>
      </c>
    </row>
    <row r="5603">
      <c r="A5603" t="n">
        <v>5416</v>
      </c>
      <c r="B5603" t="inlineStr">
        <is>
          <t>Finca with holiday rental license for sale in Biniaraix, Mallorca</t>
        </is>
      </c>
      <c r="C5603" t="inlineStr">
        <is>
          <t>https://www.balearic-properties.com/en/property/id/921518-finca-holiday-rental-license-biniaraix-mallorca-html</t>
        </is>
      </c>
      <c r="E5603" t="n">
        <v>3</v>
      </c>
      <c r="G5603" t="n">
        <v>7934</v>
      </c>
      <c r="H5603" t="n">
        <v>492</v>
      </c>
      <c r="J5603" t="inlineStr">
        <is>
          <t>Biniaraix</t>
        </is>
      </c>
      <c r="K5603" t="n">
        <v>37.8</v>
      </c>
      <c r="L5603" t="n">
        <v>48</v>
      </c>
      <c r="M5603" t="n">
        <v>80.5</v>
      </c>
      <c r="N5603" t="n">
        <v>81</v>
      </c>
      <c r="O5603" t="n">
        <v>57.4</v>
      </c>
      <c r="P5603" t="n">
        <v>61</v>
      </c>
      <c r="Q5603" t="n">
        <v>78.2</v>
      </c>
      <c r="R5603" t="n">
        <v>77</v>
      </c>
      <c r="S5603" t="n">
        <v>2300000</v>
      </c>
      <c r="T5603" t="n">
        <v>4675</v>
      </c>
      <c r="U5603" t="n">
        <v>290</v>
      </c>
      <c r="AH5603" t="inlineStr">
        <is>
          <t>Quelle: Balearic Properties</t>
        </is>
      </c>
    </row>
    <row r="5604">
      <c r="A5604" t="n">
        <v>5417</v>
      </c>
      <c r="B5604" t="inlineStr">
        <is>
          <t>State-of-the-art villa for sale in picturesque Puntiró, Mallorca</t>
        </is>
      </c>
      <c r="C5604" t="inlineStr">
        <is>
          <t>https://www.balearic-properties.com/en/property/id/920054-luxury-villa-seaviews-puntiro-mallorca-html</t>
        </is>
      </c>
      <c r="E5604" t="n">
        <v>6</v>
      </c>
      <c r="G5604" t="n">
        <v>7751</v>
      </c>
      <c r="H5604" t="n">
        <v>768</v>
      </c>
      <c r="J5604" t="inlineStr">
        <is>
          <t>Puntiró</t>
        </is>
      </c>
      <c r="K5604" t="n">
        <v>16.7</v>
      </c>
      <c r="L5604" t="n">
        <v>21</v>
      </c>
      <c r="M5604" t="n">
        <v>53.4</v>
      </c>
      <c r="N5604" t="n">
        <v>52</v>
      </c>
      <c r="O5604" t="n">
        <v>47</v>
      </c>
      <c r="P5604" t="n">
        <v>43</v>
      </c>
      <c r="Q5604" t="n">
        <v>51.1</v>
      </c>
      <c r="R5604" t="n">
        <v>48</v>
      </c>
      <c r="S5604" t="n">
        <v>5900000</v>
      </c>
      <c r="T5604" t="n">
        <v>7682</v>
      </c>
      <c r="U5604" t="n">
        <v>761</v>
      </c>
      <c r="AH5604" t="inlineStr">
        <is>
          <t>Quelle: Balearic Properties</t>
        </is>
      </c>
    </row>
    <row r="5605">
      <c r="A5605" t="n">
        <v>5418</v>
      </c>
      <c r="B5605" t="inlineStr">
        <is>
          <t>Beautiful villa with rental license for sale in Moscari, Mallorca North</t>
        </is>
      </c>
      <c r="C5605" t="inlineStr">
        <is>
          <t>https://www.balearic-properties.com/en/property/id/917948-villa-rental-license-moscari-mallorca-html</t>
        </is>
      </c>
      <c r="E5605" t="n">
        <v>4</v>
      </c>
      <c r="G5605" t="n">
        <v>14635</v>
      </c>
      <c r="H5605" t="n">
        <v>381</v>
      </c>
      <c r="J5605" t="inlineStr">
        <is>
          <t>Moscari</t>
        </is>
      </c>
      <c r="K5605" t="n">
        <v>48.8</v>
      </c>
      <c r="L5605" t="n">
        <v>40</v>
      </c>
      <c r="M5605" t="n">
        <v>66.90000000000001</v>
      </c>
      <c r="N5605" t="n">
        <v>67</v>
      </c>
      <c r="O5605" t="n">
        <v>71.40000000000001</v>
      </c>
      <c r="P5605" t="n">
        <v>56</v>
      </c>
      <c r="Q5605" t="n">
        <v>64.59999999999999</v>
      </c>
      <c r="R5605" t="n">
        <v>63</v>
      </c>
      <c r="S5605" t="n">
        <v>2250000</v>
      </c>
      <c r="T5605" t="n">
        <v>5906</v>
      </c>
      <c r="U5605" t="n">
        <v>154</v>
      </c>
      <c r="AH5605" t="inlineStr">
        <is>
          <t>Quelle: Balearic Properties</t>
        </is>
      </c>
    </row>
    <row r="5606">
      <c r="A5606" t="n">
        <v>5419</v>
      </c>
      <c r="B5606" t="inlineStr">
        <is>
          <t>Exceptional front line golf villa for sale in Pollensa, Mallorca</t>
        </is>
      </c>
      <c r="C5606" t="inlineStr">
        <is>
          <t>https://www.balearic-properties.com/en/property/id/920277-exceptional-front-line-golf-villa-pollensa-mallorca-html</t>
        </is>
      </c>
      <c r="E5606" t="n">
        <v>7</v>
      </c>
      <c r="G5606" t="n">
        <v>2450</v>
      </c>
      <c r="H5606" t="n">
        <v>861</v>
      </c>
      <c r="J5606" t="inlineStr">
        <is>
          <t>Pollença</t>
        </is>
      </c>
      <c r="K5606" t="n">
        <v>60.6</v>
      </c>
      <c r="L5606" t="n">
        <v>47</v>
      </c>
      <c r="M5606" t="n">
        <v>78.7</v>
      </c>
      <c r="N5606" t="n">
        <v>74</v>
      </c>
      <c r="O5606" t="n">
        <v>83.2</v>
      </c>
      <c r="P5606" t="n">
        <v>63</v>
      </c>
      <c r="Q5606" t="n">
        <v>76.40000000000001</v>
      </c>
      <c r="R5606" t="n">
        <v>70</v>
      </c>
      <c r="S5606" t="n">
        <v>9700000</v>
      </c>
      <c r="T5606" t="n">
        <v>11266</v>
      </c>
      <c r="U5606" t="n">
        <v>3959</v>
      </c>
      <c r="AH5606" t="inlineStr">
        <is>
          <t>Quelle: Balearic Properties</t>
        </is>
      </c>
    </row>
    <row r="5607">
      <c r="A5607" t="n">
        <v>5420</v>
      </c>
      <c r="B5607" t="inlineStr">
        <is>
          <t>Front line penthouse with roof terrace for sale in Puerto Pollensa, Mallorca</t>
        </is>
      </c>
      <c r="C5607" t="inlineStr">
        <is>
          <t>https://www.balearic-properties.com/en/property/id/920634-frontline-penthouse-roof-terrace-puerto-pollensa-mallorca-html</t>
        </is>
      </c>
      <c r="E5607" t="n">
        <v>3</v>
      </c>
      <c r="G5607" t="n">
        <v>0</v>
      </c>
      <c r="H5607" t="n">
        <v>300</v>
      </c>
      <c r="J5607" t="inlineStr">
        <is>
          <t>Port de Pollença</t>
        </is>
      </c>
      <c r="K5607" t="n">
        <v>66.90000000000001</v>
      </c>
      <c r="L5607" t="n">
        <v>52</v>
      </c>
      <c r="M5607" t="n">
        <v>85</v>
      </c>
      <c r="N5607" t="n">
        <v>78</v>
      </c>
      <c r="O5607" t="n">
        <v>89.5</v>
      </c>
      <c r="P5607" t="n">
        <v>68</v>
      </c>
      <c r="Q5607" t="n">
        <v>82.7</v>
      </c>
      <c r="R5607" t="n">
        <v>75</v>
      </c>
      <c r="S5607" t="n">
        <v>2390000</v>
      </c>
      <c r="T5607" t="n">
        <v>7967</v>
      </c>
      <c r="AH5607" t="inlineStr">
        <is>
          <t>Quelle: Balearic Properties</t>
        </is>
      </c>
    </row>
    <row r="5608">
      <c r="A5608" t="n">
        <v>5421</v>
      </c>
      <c r="B5608" t="inlineStr">
        <is>
          <t>Charming country home with magnificent pool and guest house for sale in Calvia, Mallorca</t>
        </is>
      </c>
      <c r="C5608" t="inlineStr">
        <is>
          <t>https://www.balearic-properties.com/en/property/id/921555-country-home-guest-house-calvia-mallorca-html</t>
        </is>
      </c>
      <c r="E5608" t="n">
        <v>4</v>
      </c>
      <c r="G5608" t="n">
        <v>2670</v>
      </c>
      <c r="H5608" t="n">
        <v>219</v>
      </c>
      <c r="J5608" t="inlineStr">
        <is>
          <t>Calvià Village</t>
        </is>
      </c>
      <c r="K5608" t="n">
        <v>31.1</v>
      </c>
      <c r="L5608" t="n">
        <v>28</v>
      </c>
      <c r="M5608" t="n">
        <v>73.90000000000001</v>
      </c>
      <c r="N5608" t="n">
        <v>61</v>
      </c>
      <c r="O5608" t="n">
        <v>19.4</v>
      </c>
      <c r="P5608" t="n">
        <v>22</v>
      </c>
      <c r="Q5608" t="n">
        <v>71.59999999999999</v>
      </c>
      <c r="R5608" t="n">
        <v>58</v>
      </c>
      <c r="S5608" t="n">
        <v>1995000</v>
      </c>
      <c r="T5608" t="n">
        <v>9110</v>
      </c>
      <c r="U5608" t="n">
        <v>747</v>
      </c>
      <c r="AH5608" t="inlineStr">
        <is>
          <t>Quelle: Balearic Properties</t>
        </is>
      </c>
    </row>
    <row r="5609">
      <c r="A5609" t="n">
        <v>5422</v>
      </c>
      <c r="B5609" t="inlineStr">
        <is>
          <t>Incredible seafront finca with boathouse for sale in Banyalbufar, Mallorca</t>
        </is>
      </c>
      <c r="C5609" t="inlineStr">
        <is>
          <t>https://www.balearic-properties.com/en/property/id/886272-impressive-villa-sea-views-access-banyalbulfar-mallorca-html</t>
        </is>
      </c>
      <c r="E5609" t="n">
        <v>6</v>
      </c>
      <c r="G5609" t="n">
        <v>8193</v>
      </c>
      <c r="H5609" t="n">
        <v>680</v>
      </c>
      <c r="J5609" t="inlineStr">
        <is>
          <t>Banyalbufar</t>
        </is>
      </c>
      <c r="K5609" t="n">
        <v>35.3</v>
      </c>
      <c r="L5609" t="n">
        <v>44</v>
      </c>
      <c r="M5609" t="n">
        <v>78.09999999999999</v>
      </c>
      <c r="N5609" t="n">
        <v>77</v>
      </c>
      <c r="O5609" t="n">
        <v>26.9</v>
      </c>
      <c r="P5609" t="n">
        <v>43</v>
      </c>
      <c r="Q5609" t="n">
        <v>75.8</v>
      </c>
      <c r="R5609" t="n">
        <v>73</v>
      </c>
      <c r="S5609" t="n">
        <v>6290000</v>
      </c>
      <c r="T5609" t="n">
        <v>9250</v>
      </c>
      <c r="U5609" t="n">
        <v>768</v>
      </c>
      <c r="AH5609" t="inlineStr">
        <is>
          <t>Quelle: Balearic Properties</t>
        </is>
      </c>
    </row>
    <row r="5610">
      <c r="A5610" t="n">
        <v>5423</v>
      </c>
      <c r="B5610" t="inlineStr">
        <is>
          <t>Front line apartment next to the harbour, for sale in Portixol, Mallorca</t>
        </is>
      </c>
      <c r="C5610" t="inlineStr">
        <is>
          <t>https://www.balearic-properties.com/en/property/id/736924-apartment-portixol-harbour-sea-html</t>
        </is>
      </c>
      <c r="E5610" t="n">
        <v>4</v>
      </c>
      <c r="G5610" t="n">
        <v>0</v>
      </c>
      <c r="H5610" t="n">
        <v>180</v>
      </c>
      <c r="J5610" t="inlineStr">
        <is>
          <t>Portixol</t>
        </is>
      </c>
      <c r="K5610" t="n">
        <v>8.5</v>
      </c>
      <c r="L5610" t="n">
        <v>13</v>
      </c>
      <c r="M5610" t="n">
        <v>51.2</v>
      </c>
      <c r="N5610" t="n">
        <v>46</v>
      </c>
      <c r="O5610" t="n">
        <v>37.4</v>
      </c>
      <c r="P5610" t="n">
        <v>34</v>
      </c>
      <c r="Q5610" t="n">
        <v>48.9</v>
      </c>
      <c r="R5610" t="n">
        <v>42</v>
      </c>
      <c r="S5610" t="n">
        <v>1609000</v>
      </c>
      <c r="T5610" t="n">
        <v>8939</v>
      </c>
      <c r="AH5610" t="inlineStr">
        <is>
          <t>Quelle: Balearic Properties</t>
        </is>
      </c>
    </row>
    <row r="5611">
      <c r="A5611" t="n">
        <v>5424</v>
      </c>
      <c r="B5611" t="inlineStr">
        <is>
          <t>Perfectly positioned country home for sale in peaceful Esporles, Mallorca</t>
        </is>
      </c>
      <c r="C5611" t="inlineStr">
        <is>
          <t>https://www.balearic-properties.com/en/property/id/921557-charming-finca-natural-park-esporles-mallorca-html</t>
        </is>
      </c>
      <c r="E5611" t="n">
        <v>5</v>
      </c>
      <c r="G5611" t="n">
        <v>8000</v>
      </c>
      <c r="H5611" t="n">
        <v>350</v>
      </c>
      <c r="J5611" t="inlineStr">
        <is>
          <t>Esporles</t>
        </is>
      </c>
      <c r="K5611" t="n">
        <v>24.9</v>
      </c>
      <c r="L5611" t="n">
        <v>27</v>
      </c>
      <c r="M5611" t="n">
        <v>67.59999999999999</v>
      </c>
      <c r="N5611" t="n">
        <v>60</v>
      </c>
      <c r="O5611" t="n">
        <v>43.2</v>
      </c>
      <c r="P5611" t="n">
        <v>40</v>
      </c>
      <c r="Q5611" t="n">
        <v>65.3</v>
      </c>
      <c r="R5611" t="n">
        <v>57</v>
      </c>
      <c r="S5611" t="n">
        <v>1650000</v>
      </c>
      <c r="T5611" t="n">
        <v>4714</v>
      </c>
      <c r="U5611" t="n">
        <v>206</v>
      </c>
      <c r="AH5611" t="inlineStr">
        <is>
          <t>Quelle: Balearic Properties</t>
        </is>
      </c>
    </row>
    <row r="5612">
      <c r="A5612" t="n">
        <v>5425</v>
      </c>
      <c r="B5612" t="inlineStr">
        <is>
          <t>Charming townhouse with distant sea views for sale in Ses Salines, Mallorca</t>
        </is>
      </c>
      <c r="C5612" t="inlineStr">
        <is>
          <t>https://www.balearic-properties.com/en/property/id/919581-charming-house-private-pool-ses-salines-mallorca-html</t>
        </is>
      </c>
      <c r="E5612" t="n">
        <v>4</v>
      </c>
      <c r="G5612" t="n">
        <v>360</v>
      </c>
      <c r="H5612" t="n">
        <v>375</v>
      </c>
      <c r="J5612" t="inlineStr">
        <is>
          <t>Ses Salines</t>
        </is>
      </c>
      <c r="K5612" t="n">
        <v>44.5</v>
      </c>
      <c r="L5612" t="n">
        <v>39</v>
      </c>
      <c r="M5612" t="n">
        <v>2.4</v>
      </c>
      <c r="N5612" t="n">
        <v>5</v>
      </c>
      <c r="O5612" t="n">
        <v>82.7</v>
      </c>
      <c r="P5612" t="n">
        <v>67</v>
      </c>
      <c r="Q5612" t="n">
        <v>2</v>
      </c>
      <c r="R5612" t="n">
        <v>5</v>
      </c>
      <c r="S5612" t="n">
        <v>3150000</v>
      </c>
      <c r="T5612" t="n">
        <v>8400</v>
      </c>
      <c r="U5612" t="n">
        <v>8750</v>
      </c>
      <c r="AH5612" t="inlineStr">
        <is>
          <t>Quelle: Balearic Properties</t>
        </is>
      </c>
    </row>
    <row r="5613">
      <c r="A5613" t="n">
        <v>5426</v>
      </c>
      <c r="B5613" t="inlineStr">
        <is>
          <t>Brand new modern villa under construction with partial sea views for sale in Santa Ponsa, southwest Mallorca</t>
        </is>
      </c>
      <c r="C5613" t="inlineStr">
        <is>
          <t>https://www.balearic-properties.com/en/property/id/921552-new-villa-construction-partial-seaviews-santa-ponsa-mallorca-html</t>
        </is>
      </c>
      <c r="E5613" t="n">
        <v>4</v>
      </c>
      <c r="G5613" t="n">
        <v>1510</v>
      </c>
      <c r="H5613" t="n">
        <v>420</v>
      </c>
      <c r="J5613" t="inlineStr">
        <is>
          <t>Santa Ponsa</t>
        </is>
      </c>
      <c r="K5613" t="n">
        <v>31.1</v>
      </c>
      <c r="L5613" t="n">
        <v>28</v>
      </c>
      <c r="M5613" t="n">
        <v>73.90000000000001</v>
      </c>
      <c r="N5613" t="n">
        <v>61</v>
      </c>
      <c r="O5613" t="n">
        <v>15.2</v>
      </c>
      <c r="P5613" t="n">
        <v>19</v>
      </c>
      <c r="Q5613" t="n">
        <v>71.59999999999999</v>
      </c>
      <c r="R5613" t="n">
        <v>57</v>
      </c>
      <c r="S5613" t="n">
        <v>3900000</v>
      </c>
      <c r="T5613" t="n">
        <v>9286</v>
      </c>
      <c r="U5613" t="n">
        <v>2583</v>
      </c>
      <c r="AH5613" t="inlineStr">
        <is>
          <t>Quelle: Balearic Properties</t>
        </is>
      </c>
    </row>
    <row r="5614">
      <c r="A5614" t="n">
        <v>5427</v>
      </c>
      <c r="B5614" t="inlineStr">
        <is>
          <t>Renovated villa with holiday rental license for sale in Nova Santa Ponsa, Mallorca</t>
        </is>
      </c>
      <c r="C5614" t="inlineStr">
        <is>
          <t>https://www.balearic-properties.com/en/property/id/921465-villa-rental-license-sea-views-nova-santa-ponsa-mallorca-html</t>
        </is>
      </c>
      <c r="E5614" t="n">
        <v>4</v>
      </c>
      <c r="G5614" t="n">
        <v>1020</v>
      </c>
      <c r="H5614" t="n">
        <v>235</v>
      </c>
      <c r="J5614" t="inlineStr">
        <is>
          <t>Nova Santa Ponsa</t>
        </is>
      </c>
      <c r="K5614" t="n">
        <v>31.1</v>
      </c>
      <c r="L5614" t="n">
        <v>28</v>
      </c>
      <c r="M5614" t="n">
        <v>73.90000000000001</v>
      </c>
      <c r="N5614" t="n">
        <v>61</v>
      </c>
      <c r="O5614" t="n">
        <v>15.2</v>
      </c>
      <c r="P5614" t="n">
        <v>19</v>
      </c>
      <c r="Q5614" t="n">
        <v>71.59999999999999</v>
      </c>
      <c r="R5614" t="n">
        <v>57</v>
      </c>
      <c r="S5614" t="n">
        <v>2950000</v>
      </c>
      <c r="T5614" t="n">
        <v>12553</v>
      </c>
      <c r="U5614" t="n">
        <v>2892</v>
      </c>
      <c r="AH5614" t="inlineStr">
        <is>
          <t>Quelle: Balearic Properties</t>
        </is>
      </c>
    </row>
    <row r="5615">
      <c r="A5615" t="n">
        <v>5428</v>
      </c>
      <c r="B5615" t="inlineStr">
        <is>
          <t>Renovated garden apartment with sea views for sale in Bonanova, Mallorca</t>
        </is>
      </c>
      <c r="C5615" t="inlineStr">
        <is>
          <t>https://www.balearic-properties.com/en/property/id/920163-renovated-apartment-garden-sea-views-bonanova-palma-mallorca-html</t>
        </is>
      </c>
      <c r="E5615" t="n">
        <v>3</v>
      </c>
      <c r="G5615" t="n">
        <v>124</v>
      </c>
      <c r="H5615" t="n">
        <v>97</v>
      </c>
      <c r="J5615" t="inlineStr">
        <is>
          <t>La Bonanova</t>
        </is>
      </c>
      <c r="S5615" t="n">
        <v>725000</v>
      </c>
      <c r="T5615" t="n">
        <v>7474</v>
      </c>
      <c r="U5615" t="n">
        <v>5847</v>
      </c>
      <c r="AH5615" t="inlineStr">
        <is>
          <t>Quelle: Balearic Properties</t>
        </is>
      </c>
    </row>
    <row r="5616">
      <c r="A5616" t="n">
        <v>5429</v>
      </c>
      <c r="B5616" t="inlineStr">
        <is>
          <t>Brand new apartment with terraces for sale in Palma, Mallorca</t>
        </is>
      </c>
      <c r="C5616" t="inlineStr">
        <is>
          <t>https://www.balearic-properties.com/en/property/id/806400-new-apartment-palma-html</t>
        </is>
      </c>
      <c r="E5616" t="n">
        <v>2</v>
      </c>
      <c r="G5616" t="n">
        <v>0</v>
      </c>
      <c r="H5616" t="n">
        <v>107</v>
      </c>
      <c r="J5616" t="inlineStr">
        <is>
          <t>Palma de Mallorca</t>
        </is>
      </c>
      <c r="S5616" t="n">
        <v>785000</v>
      </c>
      <c r="T5616" t="n">
        <v>7336</v>
      </c>
      <c r="AH5616" t="inlineStr">
        <is>
          <t>Quelle: Balearic Properties</t>
        </is>
      </c>
    </row>
    <row r="5617">
      <c r="A5617" t="n">
        <v>5430</v>
      </c>
      <c r="B5617" t="inlineStr">
        <is>
          <t>Stunning minimalist villa for sale in exclusive Costa d´en Blanes, Mallorca</t>
        </is>
      </c>
      <c r="C5617" t="inlineStr">
        <is>
          <t>https://www.balearic-properties.com/en/property/id/918872-modern-newly-built-villa-costa-d-en-blanes-mallorca-html</t>
        </is>
      </c>
      <c r="E5617" t="n">
        <v>5</v>
      </c>
      <c r="G5617" t="n">
        <v>1450</v>
      </c>
      <c r="H5617" t="n">
        <v>650</v>
      </c>
      <c r="J5617" t="inlineStr">
        <is>
          <t>Costa D´en Blanes</t>
        </is>
      </c>
      <c r="K5617" t="n">
        <v>23.3</v>
      </c>
      <c r="L5617" t="n">
        <v>21</v>
      </c>
      <c r="M5617" t="n">
        <v>66.09999999999999</v>
      </c>
      <c r="N5617" t="n">
        <v>54</v>
      </c>
      <c r="O5617" t="n">
        <v>21</v>
      </c>
      <c r="P5617" t="n">
        <v>21</v>
      </c>
      <c r="Q5617" t="n">
        <v>63.8</v>
      </c>
      <c r="R5617" t="n">
        <v>51</v>
      </c>
      <c r="S5617" t="n">
        <v>2950000</v>
      </c>
      <c r="T5617" t="n">
        <v>4538</v>
      </c>
      <c r="U5617" t="n">
        <v>2034</v>
      </c>
      <c r="AH5617" t="inlineStr">
        <is>
          <t>Quelle: Balearic Properties</t>
        </is>
      </c>
    </row>
    <row r="5618">
      <c r="A5618" t="n">
        <v>5431</v>
      </c>
      <c r="B5618" t="inlineStr">
        <is>
          <t>House to be renovated for sale on the seafront in San Agustin, Palma, Mallorca</t>
        </is>
      </c>
      <c r="C5618" t="inlineStr">
        <is>
          <t>https://www.balearic-properties.com/en/property/id/920322-house-renovation-seafront-san-agustin-palma-mallorca-html</t>
        </is>
      </c>
      <c r="E5618" t="n">
        <v>8</v>
      </c>
      <c r="G5618" t="n">
        <v>364</v>
      </c>
      <c r="H5618" t="n">
        <v>532</v>
      </c>
      <c r="J5618" t="inlineStr">
        <is>
          <t>Palma de Mallorca</t>
        </is>
      </c>
      <c r="K5618" t="n">
        <v>9.699999999999999</v>
      </c>
      <c r="L5618" t="n">
        <v>14</v>
      </c>
      <c r="M5618" t="n">
        <v>52.5</v>
      </c>
      <c r="N5618" t="n">
        <v>47</v>
      </c>
      <c r="O5618" t="n">
        <v>32.1</v>
      </c>
      <c r="P5618" t="n">
        <v>36</v>
      </c>
      <c r="Q5618" t="n">
        <v>50.2</v>
      </c>
      <c r="R5618" t="n">
        <v>44</v>
      </c>
      <c r="S5618" t="n">
        <v>3500000</v>
      </c>
      <c r="T5618" t="n">
        <v>6579</v>
      </c>
      <c r="U5618" t="n">
        <v>9615</v>
      </c>
      <c r="AH5618" t="inlineStr">
        <is>
          <t>Quelle: Balearic Properties</t>
        </is>
      </c>
    </row>
    <row r="5619">
      <c r="A5619" t="n">
        <v>5432</v>
      </c>
      <c r="B5619" t="inlineStr">
        <is>
          <t>Beautiful hillside villa with incredible views for sale in Pollensa, Mallorca</t>
        </is>
      </c>
      <c r="C5619" t="inlineStr">
        <is>
          <t>https://www.balearic-properties.com/en/property/id/818214-beautiful-hillside-villa-with-incredible-views-for-sale-in-pollensa-mallorca-html</t>
        </is>
      </c>
      <c r="E5619" t="n">
        <v>3</v>
      </c>
      <c r="G5619" t="n">
        <v>4436</v>
      </c>
      <c r="H5619" t="n">
        <v>336</v>
      </c>
      <c r="J5619" t="inlineStr">
        <is>
          <t>Pollença</t>
        </is>
      </c>
      <c r="K5619" t="n">
        <v>60.6</v>
      </c>
      <c r="L5619" t="n">
        <v>47</v>
      </c>
      <c r="M5619" t="n">
        <v>78.7</v>
      </c>
      <c r="N5619" t="n">
        <v>74</v>
      </c>
      <c r="O5619" t="n">
        <v>83.2</v>
      </c>
      <c r="P5619" t="n">
        <v>63</v>
      </c>
      <c r="Q5619" t="n">
        <v>76.40000000000001</v>
      </c>
      <c r="R5619" t="n">
        <v>70</v>
      </c>
      <c r="S5619" t="n">
        <v>1695000</v>
      </c>
      <c r="T5619" t="n">
        <v>5045</v>
      </c>
      <c r="U5619" t="n">
        <v>382</v>
      </c>
      <c r="AH5619" t="inlineStr">
        <is>
          <t>Quelle: Balearic Properties</t>
        </is>
      </c>
    </row>
    <row r="5620">
      <c r="A5620" t="n">
        <v>5433</v>
      </c>
      <c r="B5620" t="inlineStr">
        <is>
          <t>Townhouse with sunny roof top terrace for sale in the heart of Ses Salines, Mallorca</t>
        </is>
      </c>
      <c r="C5620" t="inlineStr">
        <is>
          <t>https://www.balearic-properties.com/en/property/id/920165-semi-detached-roof-terrace-ses-salines-mallorca-html</t>
        </is>
      </c>
      <c r="E5620" t="n">
        <v>3</v>
      </c>
      <c r="G5620" t="n">
        <v>0</v>
      </c>
      <c r="H5620" t="n">
        <v>168</v>
      </c>
      <c r="J5620" t="inlineStr">
        <is>
          <t>Ses Salines</t>
        </is>
      </c>
      <c r="S5620" t="n">
        <v>697000</v>
      </c>
      <c r="T5620" t="n">
        <v>4149</v>
      </c>
      <c r="AH5620" t="inlineStr">
        <is>
          <t>Quelle: Balearic Properties</t>
        </is>
      </c>
    </row>
    <row r="5621">
      <c r="A5621" t="n">
        <v>5434</v>
      </c>
      <c r="B5621" t="inlineStr">
        <is>
          <t>Beautifully refurbished house with huge garden for sale in Sa Pobla, Mallorca</t>
        </is>
      </c>
      <c r="C5621" t="inlineStr">
        <is>
          <t>https://www.balearic-properties.com/en/property/id/810691-town-house-refurbished-pool-sa-pobla-mallorca-html</t>
        </is>
      </c>
      <c r="E5621" t="n">
        <v>5</v>
      </c>
      <c r="G5621" t="n">
        <v>328</v>
      </c>
      <c r="H5621" t="n">
        <v>422</v>
      </c>
      <c r="J5621" t="inlineStr">
        <is>
          <t>Sa Pobla</t>
        </is>
      </c>
      <c r="K5621" t="n">
        <v>52.7</v>
      </c>
      <c r="L5621" t="n">
        <v>41</v>
      </c>
      <c r="M5621" t="n">
        <v>59.6</v>
      </c>
      <c r="N5621" t="n">
        <v>65</v>
      </c>
      <c r="O5621" t="n">
        <v>75.3</v>
      </c>
      <c r="P5621" t="n">
        <v>57</v>
      </c>
      <c r="Q5621" t="n">
        <v>57.3</v>
      </c>
      <c r="R5621" t="n">
        <v>61</v>
      </c>
      <c r="S5621" t="n">
        <v>950000</v>
      </c>
      <c r="T5621" t="n">
        <v>2251</v>
      </c>
      <c r="U5621" t="n">
        <v>2896</v>
      </c>
      <c r="AH5621" t="inlineStr">
        <is>
          <t>Quelle: Balearic Properties</t>
        </is>
      </c>
    </row>
    <row r="5622">
      <c r="A5622" t="n">
        <v>5435</v>
      </c>
      <c r="B5622" t="inlineStr">
        <is>
          <t>Charming Mallorcan finca for sale in S'Arraco, Mallorca</t>
        </is>
      </c>
      <c r="C5622" t="inlineStr">
        <is>
          <t>https://www.balearic-properties.com/en/property/id/919555-finca-mountain-sea-views-andratx-mallorca-html</t>
        </is>
      </c>
      <c r="E5622" t="n">
        <v>4</v>
      </c>
      <c r="G5622" t="n">
        <v>7917</v>
      </c>
      <c r="H5622" t="n">
        <v>241</v>
      </c>
      <c r="J5622" t="inlineStr">
        <is>
          <t>S´Arraco</t>
        </is>
      </c>
      <c r="K5622" t="n">
        <v>44.2</v>
      </c>
      <c r="L5622" t="n">
        <v>38</v>
      </c>
      <c r="M5622" t="n">
        <v>87</v>
      </c>
      <c r="N5622" t="n">
        <v>71</v>
      </c>
      <c r="O5622" t="n">
        <v>1.4</v>
      </c>
      <c r="P5622" t="n">
        <v>3</v>
      </c>
      <c r="Q5622" t="n">
        <v>84.7</v>
      </c>
      <c r="R5622" t="n">
        <v>68</v>
      </c>
      <c r="S5622" t="n">
        <v>2400000</v>
      </c>
      <c r="T5622" t="n">
        <v>9959</v>
      </c>
      <c r="U5622" t="n">
        <v>303</v>
      </c>
      <c r="AH5622" t="inlineStr">
        <is>
          <t>Quelle: Balearic Properties</t>
        </is>
      </c>
    </row>
    <row r="5623">
      <c r="A5623" t="n">
        <v>5436</v>
      </c>
      <c r="B5623" t="inlineStr">
        <is>
          <t>Beautiful finca with holiday license for sale close to Cala Murada, Mallorca</t>
        </is>
      </c>
      <c r="C5623" t="inlineStr">
        <is>
          <t>https://www.balearic-properties.com/en/property/id/907717-beautiful-finca-rental-license-cala-murada-html</t>
        </is>
      </c>
      <c r="E5623" t="n">
        <v>5</v>
      </c>
      <c r="G5623" t="n">
        <v>26258</v>
      </c>
      <c r="H5623" t="n">
        <v>913</v>
      </c>
      <c r="J5623" t="inlineStr">
        <is>
          <t>Cala Murada</t>
        </is>
      </c>
      <c r="K5623" t="n">
        <v>59.7</v>
      </c>
      <c r="L5623" t="n">
        <v>55</v>
      </c>
      <c r="M5623" t="n">
        <v>29.7</v>
      </c>
      <c r="N5623" t="n">
        <v>40</v>
      </c>
      <c r="O5623" t="n">
        <v>97.90000000000001</v>
      </c>
      <c r="P5623" t="n">
        <v>82</v>
      </c>
      <c r="Q5623" t="n">
        <v>39.1</v>
      </c>
      <c r="R5623" t="n">
        <v>41</v>
      </c>
      <c r="S5623" t="n">
        <v>3890000</v>
      </c>
      <c r="T5623" t="n">
        <v>4261</v>
      </c>
      <c r="U5623" t="n">
        <v>148</v>
      </c>
      <c r="AH5623" t="inlineStr">
        <is>
          <t>Quelle: Balearic Properties</t>
        </is>
      </c>
    </row>
    <row r="5624">
      <c r="A5624" t="n">
        <v>5437</v>
      </c>
      <c r="B5624" t="inlineStr">
        <is>
          <t>Country house for sale with valuable rental license in Pollensa, Mallorca</t>
        </is>
      </c>
      <c r="C5624" t="inlineStr">
        <is>
          <t>https://www.balearic-properties.com/en/property/id/914176-country-house-rental-license-alcudia-pollensa-mallorca-html</t>
        </is>
      </c>
      <c r="E5624" t="n">
        <v>4</v>
      </c>
      <c r="G5624" t="n">
        <v>13800</v>
      </c>
      <c r="H5624" t="n">
        <v>461</v>
      </c>
      <c r="J5624" t="inlineStr">
        <is>
          <t>Pollença</t>
        </is>
      </c>
      <c r="K5624" t="n">
        <v>60.6</v>
      </c>
      <c r="L5624" t="n">
        <v>47</v>
      </c>
      <c r="M5624" t="n">
        <v>78.7</v>
      </c>
      <c r="N5624" t="n">
        <v>74</v>
      </c>
      <c r="O5624" t="n">
        <v>83.2</v>
      </c>
      <c r="P5624" t="n">
        <v>63</v>
      </c>
      <c r="Q5624" t="n">
        <v>76.40000000000001</v>
      </c>
      <c r="R5624" t="n">
        <v>70</v>
      </c>
      <c r="S5624" t="n">
        <v>2200000</v>
      </c>
      <c r="T5624" t="n">
        <v>4772</v>
      </c>
      <c r="U5624" t="n">
        <v>159</v>
      </c>
      <c r="AH5624" t="inlineStr">
        <is>
          <t>Quelle: Balearic Properties</t>
        </is>
      </c>
    </row>
    <row r="5625">
      <c r="A5625" t="n">
        <v>5438</v>
      </c>
      <c r="B5625" t="inlineStr">
        <is>
          <t>Brand new finca with mountain views for sale near Binissalem, Mallorca</t>
        </is>
      </c>
      <c r="C5625" t="inlineStr">
        <is>
          <t>https://www.balearic-properties.com/en/property/id/919234-country-villa-views-vineyard-binissalem-mallorca-html</t>
        </is>
      </c>
      <c r="E5625" t="n">
        <v>4</v>
      </c>
      <c r="G5625" t="n">
        <v>120000</v>
      </c>
      <c r="H5625" t="n">
        <v>568</v>
      </c>
      <c r="J5625" t="inlineStr">
        <is>
          <t>Binissalem</t>
        </is>
      </c>
      <c r="K5625" t="n">
        <v>31.5</v>
      </c>
      <c r="L5625" t="n">
        <v>29</v>
      </c>
      <c r="M5625" t="n">
        <v>74.3</v>
      </c>
      <c r="N5625" t="n">
        <v>62</v>
      </c>
      <c r="O5625" t="n">
        <v>54.1</v>
      </c>
      <c r="P5625" t="n">
        <v>45</v>
      </c>
      <c r="Q5625" t="n">
        <v>72</v>
      </c>
      <c r="R5625" t="n">
        <v>58</v>
      </c>
      <c r="S5625" t="n">
        <v>3500000</v>
      </c>
      <c r="T5625" t="n">
        <v>6162</v>
      </c>
      <c r="U5625" t="n">
        <v>29</v>
      </c>
      <c r="AH5625" t="inlineStr">
        <is>
          <t>Quelle: Balearic Properties</t>
        </is>
      </c>
    </row>
    <row r="5626">
      <c r="A5626" t="n">
        <v>5439</v>
      </c>
      <c r="B5626" t="inlineStr">
        <is>
          <t>Country villa surrounded by vineyards for sale in Binissalem, Mallorca</t>
        </is>
      </c>
      <c r="C5626" t="inlineStr">
        <is>
          <t>https://www.balearic-properties.com/en/property/id/918371-country-villa-vineyards-binissalem-mallorca-html</t>
        </is>
      </c>
      <c r="E5626" t="n">
        <v>4</v>
      </c>
      <c r="G5626" t="n">
        <v>17740</v>
      </c>
      <c r="H5626" t="n">
        <v>475</v>
      </c>
      <c r="J5626" t="inlineStr">
        <is>
          <t>Binissalem</t>
        </is>
      </c>
      <c r="K5626" t="n">
        <v>31.5</v>
      </c>
      <c r="L5626" t="n">
        <v>29</v>
      </c>
      <c r="M5626" t="n">
        <v>74.3</v>
      </c>
      <c r="N5626" t="n">
        <v>62</v>
      </c>
      <c r="O5626" t="n">
        <v>54.1</v>
      </c>
      <c r="P5626" t="n">
        <v>45</v>
      </c>
      <c r="Q5626" t="n">
        <v>72</v>
      </c>
      <c r="R5626" t="n">
        <v>58</v>
      </c>
      <c r="S5626" t="n">
        <v>3995000</v>
      </c>
      <c r="T5626" t="n">
        <v>8411</v>
      </c>
      <c r="U5626" t="n">
        <v>225</v>
      </c>
      <c r="AH5626" t="inlineStr">
        <is>
          <t>Quelle: Balearic Properties</t>
        </is>
      </c>
    </row>
    <row r="5627">
      <c r="A5627" t="n">
        <v>5440</v>
      </c>
      <c r="B5627" t="inlineStr">
        <is>
          <t>Modern luxury villa for sale in  Son Vida, Mallorca</t>
        </is>
      </c>
      <c r="C5627" t="inlineStr">
        <is>
          <t>https://www.balearic-properties.com/en/property/id/918871-modern-luxury-villa-son-vida-palma-mallorca</t>
        </is>
      </c>
      <c r="E5627" t="n">
        <v>6</v>
      </c>
      <c r="G5627" t="n">
        <v>2000</v>
      </c>
      <c r="H5627" t="n">
        <v>700</v>
      </c>
      <c r="J5627" t="inlineStr">
        <is>
          <t>Son Vida</t>
        </is>
      </c>
      <c r="K5627" t="n">
        <v>19.2</v>
      </c>
      <c r="L5627" t="n">
        <v>22</v>
      </c>
      <c r="M5627" t="n">
        <v>61.9</v>
      </c>
      <c r="N5627" t="n">
        <v>55</v>
      </c>
      <c r="O5627" t="n">
        <v>31</v>
      </c>
      <c r="P5627" t="n">
        <v>31</v>
      </c>
      <c r="Q5627" t="n">
        <v>59.6</v>
      </c>
      <c r="R5627" t="n">
        <v>51</v>
      </c>
      <c r="S5627" t="n">
        <v>6500000</v>
      </c>
      <c r="T5627" t="n">
        <v>9286</v>
      </c>
      <c r="U5627" t="n">
        <v>3250</v>
      </c>
      <c r="AH5627" t="inlineStr">
        <is>
          <t>Quelle: Balearic Properties</t>
        </is>
      </c>
    </row>
    <row r="5628">
      <c r="A5628" t="n">
        <v>5441</v>
      </c>
      <c r="B5628" t="inlineStr">
        <is>
          <t>Attractive sea view villa for sale in an exclusive area of Puerto Andratx, Mallorca</t>
        </is>
      </c>
      <c r="C5628" t="inlineStr">
        <is>
          <t>https://www.balearic-properties.com/en/property/id/784987-seaview-villa-rental-license-puerto-andratx-mallorca-html</t>
        </is>
      </c>
      <c r="E5628" t="n">
        <v>4</v>
      </c>
      <c r="G5628" t="n">
        <v>789</v>
      </c>
      <c r="H5628" t="n">
        <v>430</v>
      </c>
      <c r="J5628" t="inlineStr">
        <is>
          <t>Camp de Mar</t>
        </is>
      </c>
      <c r="K5628" t="n">
        <v>38.7</v>
      </c>
      <c r="L5628" t="n">
        <v>32</v>
      </c>
      <c r="M5628" t="n">
        <v>81.40000000000001</v>
      </c>
      <c r="N5628" t="n">
        <v>65</v>
      </c>
      <c r="O5628" t="n">
        <v>6.7</v>
      </c>
      <c r="P5628" t="n">
        <v>10</v>
      </c>
      <c r="Q5628" t="n">
        <v>79.09999999999999</v>
      </c>
      <c r="R5628" t="n">
        <v>62</v>
      </c>
      <c r="S5628" t="n">
        <v>6600000</v>
      </c>
      <c r="T5628" t="n">
        <v>15349</v>
      </c>
      <c r="U5628" t="n">
        <v>8365</v>
      </c>
      <c r="AH5628" t="inlineStr">
        <is>
          <t>Quelle: Balearic Properties</t>
        </is>
      </c>
    </row>
    <row r="5629">
      <c r="A5629" t="n">
        <v>5442</v>
      </c>
      <c r="B5629" t="inlineStr">
        <is>
          <t>Attractive townhouse with garden for sale in Puerto Pollensa, Mallorca</t>
        </is>
      </c>
      <c r="C5629" t="inlineStr">
        <is>
          <t>https://www.balearic-properties.com/en/property/id/394445-attractive-townhouse-pool-puerto-pollensa-mallorca-html</t>
        </is>
      </c>
      <c r="E5629" t="n">
        <v>3</v>
      </c>
      <c r="G5629" t="n">
        <v>150</v>
      </c>
      <c r="H5629" t="n">
        <v>118</v>
      </c>
      <c r="J5629" t="inlineStr">
        <is>
          <t>Port de Pollença</t>
        </is>
      </c>
      <c r="S5629" t="n">
        <v>645000</v>
      </c>
      <c r="T5629" t="n">
        <v>5466</v>
      </c>
      <c r="U5629" t="n">
        <v>4300</v>
      </c>
      <c r="AH5629" t="inlineStr">
        <is>
          <t>Quelle: Balearic Properties</t>
        </is>
      </c>
    </row>
    <row r="5630">
      <c r="A5630" t="n">
        <v>5443</v>
      </c>
      <c r="B5630" t="inlineStr">
        <is>
          <t>Stylish villa with infinity pool and sea view for sale in Costa d´en Blanes, Mallorca</t>
        </is>
      </c>
      <c r="C5630" t="inlineStr">
        <is>
          <t>https://www.balearic-properties.com/en/property/id/844879-stylish-villa-infinity-pool-sea-view-costa-d-en-blanes-mallorca-html</t>
        </is>
      </c>
      <c r="E5630" t="n">
        <v>5</v>
      </c>
      <c r="G5630" t="n">
        <v>1300</v>
      </c>
      <c r="H5630" t="n">
        <v>650</v>
      </c>
      <c r="J5630" t="inlineStr">
        <is>
          <t>Costa D´en Blanes</t>
        </is>
      </c>
      <c r="K5630" t="n">
        <v>23.3</v>
      </c>
      <c r="L5630" t="n">
        <v>21</v>
      </c>
      <c r="M5630" t="n">
        <v>66.09999999999999</v>
      </c>
      <c r="N5630" t="n">
        <v>54</v>
      </c>
      <c r="O5630" t="n">
        <v>21</v>
      </c>
      <c r="P5630" t="n">
        <v>21</v>
      </c>
      <c r="Q5630" t="n">
        <v>63.8</v>
      </c>
      <c r="R5630" t="n">
        <v>51</v>
      </c>
      <c r="S5630" t="n">
        <v>6500000</v>
      </c>
      <c r="T5630" t="n">
        <v>10000</v>
      </c>
      <c r="U5630" t="n">
        <v>5000</v>
      </c>
      <c r="AH5630" t="inlineStr">
        <is>
          <t>Quelle: Balearic Properties</t>
        </is>
      </c>
    </row>
    <row r="5631">
      <c r="A5631" t="n">
        <v>5444</v>
      </c>
      <c r="B5631" t="inlineStr">
        <is>
          <t>Incredible sea view villa with spa for sale in Cala Deia, Mallorca</t>
        </is>
      </c>
      <c r="C5631" t="inlineStr">
        <is>
          <t>https://www.balearic-properties.com/en/property/id/801866-incredible-sea-view-villa-with-spa-for-sale-in-cala-deia-mallorca-html</t>
        </is>
      </c>
      <c r="E5631" t="n">
        <v>4</v>
      </c>
      <c r="G5631" t="n">
        <v>750</v>
      </c>
      <c r="H5631" t="n">
        <v>337</v>
      </c>
      <c r="J5631" t="inlineStr">
        <is>
          <t>Deià</t>
        </is>
      </c>
      <c r="K5631" t="n">
        <v>37.1</v>
      </c>
      <c r="L5631" t="n">
        <v>45</v>
      </c>
      <c r="M5631" t="n">
        <v>79.90000000000001</v>
      </c>
      <c r="N5631" t="n">
        <v>78</v>
      </c>
      <c r="O5631" t="n">
        <v>55.4</v>
      </c>
      <c r="P5631" t="n">
        <v>57</v>
      </c>
      <c r="Q5631" t="n">
        <v>77.5</v>
      </c>
      <c r="R5631" t="n">
        <v>74</v>
      </c>
      <c r="S5631" t="n">
        <v>3500000</v>
      </c>
      <c r="T5631" t="n">
        <v>10386</v>
      </c>
      <c r="U5631" t="n">
        <v>4667</v>
      </c>
      <c r="AH5631" t="inlineStr">
        <is>
          <t>Quelle: Balearic Properties</t>
        </is>
      </c>
    </row>
    <row r="5632">
      <c r="A5632" t="n">
        <v>5445</v>
      </c>
      <c r="B5632" t="inlineStr">
        <is>
          <t>Magnificent mansion to refurbish for sale in the centre of Manacor, Mallorca</t>
        </is>
      </c>
      <c r="C5632" t="inlineStr">
        <is>
          <t>https://www.balearic-properties.com/en/property/id/917805-magnificent-mansion-investment-manacor-mallorca-html</t>
        </is>
      </c>
      <c r="E5632" t="n">
        <v>7</v>
      </c>
      <c r="G5632" t="n">
        <v>480</v>
      </c>
      <c r="H5632" t="n">
        <v>1316</v>
      </c>
      <c r="J5632" t="inlineStr">
        <is>
          <t>Manacor</t>
        </is>
      </c>
      <c r="K5632" t="n">
        <v>49.2</v>
      </c>
      <c r="L5632" t="n">
        <v>44</v>
      </c>
      <c r="M5632" t="n">
        <v>40.3</v>
      </c>
      <c r="N5632" t="n">
        <v>45</v>
      </c>
      <c r="O5632" t="n">
        <v>83.40000000000001</v>
      </c>
      <c r="P5632" t="n">
        <v>68</v>
      </c>
      <c r="Q5632" t="n">
        <v>38</v>
      </c>
      <c r="R5632" t="n">
        <v>41</v>
      </c>
      <c r="S5632" t="n">
        <v>1300000</v>
      </c>
      <c r="T5632" t="n">
        <v>988</v>
      </c>
      <c r="U5632" t="n">
        <v>2708</v>
      </c>
      <c r="AH5632" t="inlineStr">
        <is>
          <t>Quelle: Balearic Properties</t>
        </is>
      </c>
    </row>
    <row r="5633">
      <c r="A5633" t="n">
        <v>5446</v>
      </c>
      <c r="B5633" t="inlineStr">
        <is>
          <t>Chic modern villa with pool and sea views for sale in Costa d´en Blanes, Mallorca</t>
        </is>
      </c>
      <c r="C5633" t="inlineStr">
        <is>
          <t>https://www.balearic-properties.com/en/property/id/844731-modern-villa-pool-sea-views-costa-den-blanes-mallorca-html</t>
        </is>
      </c>
      <c r="E5633" t="n">
        <v>4</v>
      </c>
      <c r="G5633" t="n">
        <v>1000</v>
      </c>
      <c r="H5633" t="n">
        <v>400</v>
      </c>
      <c r="J5633" t="inlineStr">
        <is>
          <t>Costa D´en Blanes</t>
        </is>
      </c>
      <c r="K5633" t="n">
        <v>23.3</v>
      </c>
      <c r="L5633" t="n">
        <v>21</v>
      </c>
      <c r="M5633" t="n">
        <v>66.09999999999999</v>
      </c>
      <c r="N5633" t="n">
        <v>54</v>
      </c>
      <c r="O5633" t="n">
        <v>21</v>
      </c>
      <c r="P5633" t="n">
        <v>21</v>
      </c>
      <c r="Q5633" t="n">
        <v>63.8</v>
      </c>
      <c r="R5633" t="n">
        <v>51</v>
      </c>
      <c r="S5633" t="n">
        <v>3950000</v>
      </c>
      <c r="T5633" t="n">
        <v>9875</v>
      </c>
      <c r="U5633" t="n">
        <v>3950</v>
      </c>
      <c r="AH5633" t="inlineStr">
        <is>
          <t>Quelle: Balearic Properties</t>
        </is>
      </c>
    </row>
    <row r="5634">
      <c r="A5634" t="n">
        <v>5447</v>
      </c>
      <c r="B5634" t="inlineStr">
        <is>
          <t>Exclusive eco-friendly development for sale in Playa de Palma, Mallorca</t>
        </is>
      </c>
      <c r="C5634" t="inlineStr">
        <is>
          <t>https://www.balearic-properties.com/en/property/id/918489-26-townhouses-beach-playa-palma-mallorca-html</t>
        </is>
      </c>
      <c r="E5634" t="n">
        <v>4</v>
      </c>
      <c r="G5634" t="n">
        <v>137</v>
      </c>
      <c r="H5634" t="n">
        <v>150</v>
      </c>
      <c r="J5634" t="inlineStr">
        <is>
          <t>Palma de Mallorca</t>
        </is>
      </c>
      <c r="K5634" t="n">
        <v>9.699999999999999</v>
      </c>
      <c r="L5634" t="n">
        <v>14</v>
      </c>
      <c r="M5634" t="n">
        <v>52.5</v>
      </c>
      <c r="N5634" t="n">
        <v>47</v>
      </c>
      <c r="O5634" t="n">
        <v>32.1</v>
      </c>
      <c r="P5634" t="n">
        <v>36</v>
      </c>
      <c r="Q5634" t="n">
        <v>50.2</v>
      </c>
      <c r="R5634" t="n">
        <v>44</v>
      </c>
      <c r="S5634" t="n">
        <v>1300000</v>
      </c>
      <c r="T5634" t="n">
        <v>8667</v>
      </c>
      <c r="U5634" t="n">
        <v>9489</v>
      </c>
      <c r="AH5634" t="inlineStr">
        <is>
          <t>Quelle: Balearic Properties</t>
        </is>
      </c>
    </row>
    <row r="5635">
      <c r="A5635" t="n">
        <v>5448</v>
      </c>
      <c r="B5635" t="inlineStr">
        <is>
          <t>Traditional town house with holiday license for sale in Pollensa, Mallorca</t>
        </is>
      </c>
      <c r="C5635" t="inlineStr">
        <is>
          <t>https://www.balearic-properties.com/en/property/id/917907-traditional-townhouse-holiday-license-pollensa-mallorca-html</t>
        </is>
      </c>
      <c r="E5635" t="n">
        <v>4</v>
      </c>
      <c r="G5635" t="n">
        <v>71</v>
      </c>
      <c r="H5635" t="n">
        <v>182</v>
      </c>
      <c r="J5635" t="inlineStr">
        <is>
          <t>Pollença Pueblo</t>
        </is>
      </c>
      <c r="K5635" t="n">
        <v>60.6</v>
      </c>
      <c r="L5635" t="n">
        <v>47</v>
      </c>
      <c r="M5635" t="n">
        <v>78.7</v>
      </c>
      <c r="N5635" t="n">
        <v>74</v>
      </c>
      <c r="O5635" t="n">
        <v>83.2</v>
      </c>
      <c r="P5635" t="n">
        <v>63</v>
      </c>
      <c r="Q5635" t="n">
        <v>76.40000000000001</v>
      </c>
      <c r="R5635" t="n">
        <v>70</v>
      </c>
      <c r="S5635" t="n">
        <v>1200000</v>
      </c>
      <c r="T5635" t="n">
        <v>6593</v>
      </c>
      <c r="U5635" t="n">
        <v>16901</v>
      </c>
      <c r="AH5635" t="inlineStr">
        <is>
          <t>Quelle: Balearic Properties</t>
        </is>
      </c>
    </row>
    <row r="5636">
      <c r="A5636" t="n">
        <v>5449</v>
      </c>
      <c r="B5636" t="inlineStr">
        <is>
          <t>Country estate with vineyard for sale between Felanitx and Porreres, Mallorca</t>
        </is>
      </c>
      <c r="C5636" t="inlineStr">
        <is>
          <t>https://www.balearic-properties.com/en/property/id/918140-country-estate-vineyard-porreres-felanitx-mallorca-html</t>
        </is>
      </c>
      <c r="E5636" t="n">
        <v>5</v>
      </c>
      <c r="G5636" t="n">
        <v>70000</v>
      </c>
      <c r="H5636" t="n">
        <v>684</v>
      </c>
      <c r="J5636" t="inlineStr">
        <is>
          <t>Felanitx</t>
        </is>
      </c>
      <c r="K5636" t="n">
        <v>45</v>
      </c>
      <c r="L5636" t="n">
        <v>40</v>
      </c>
      <c r="M5636" t="n">
        <v>26.8</v>
      </c>
      <c r="N5636" t="n">
        <v>30</v>
      </c>
      <c r="O5636" t="n">
        <v>83.2</v>
      </c>
      <c r="P5636" t="n">
        <v>68</v>
      </c>
      <c r="Q5636" t="n">
        <v>24.5</v>
      </c>
      <c r="R5636" t="n">
        <v>26</v>
      </c>
      <c r="S5636" t="n">
        <v>4950000</v>
      </c>
      <c r="T5636" t="n">
        <v>7237</v>
      </c>
      <c r="U5636" t="n">
        <v>71</v>
      </c>
      <c r="AH5636" t="inlineStr">
        <is>
          <t>Quelle: Balearic Properties</t>
        </is>
      </c>
    </row>
    <row r="5637">
      <c r="A5637" t="n">
        <v>5450</v>
      </c>
      <c r="B5637" t="inlineStr">
        <is>
          <t>Unique finca for sale with vineyard in Montuiri, Mallorca</t>
        </is>
      </c>
      <c r="C5637" t="inlineStr">
        <is>
          <t>https://www.balearic-properties.com/en/property/id/918037-unique-finca-vineyard-montuiri-mallorca-html</t>
        </is>
      </c>
      <c r="E5637" t="n">
        <v>6</v>
      </c>
      <c r="G5637" t="n">
        <v>15954</v>
      </c>
      <c r="H5637" t="n">
        <v>451</v>
      </c>
      <c r="J5637" t="inlineStr">
        <is>
          <t>Montuïri</t>
        </is>
      </c>
      <c r="K5637" t="n">
        <v>27.9</v>
      </c>
      <c r="L5637" t="n">
        <v>28</v>
      </c>
      <c r="M5637" t="n">
        <v>32.5</v>
      </c>
      <c r="N5637" t="n">
        <v>36</v>
      </c>
      <c r="O5637" t="n">
        <v>62.1</v>
      </c>
      <c r="P5637" t="n">
        <v>52</v>
      </c>
      <c r="Q5637" t="n">
        <v>30.2</v>
      </c>
      <c r="R5637" t="n">
        <v>32</v>
      </c>
      <c r="S5637" t="n">
        <v>5900000</v>
      </c>
      <c r="T5637" t="n">
        <v>13082</v>
      </c>
      <c r="U5637" t="n">
        <v>370</v>
      </c>
      <c r="AH5637" t="inlineStr">
        <is>
          <t>Quelle: Balearic Properties</t>
        </is>
      </c>
    </row>
    <row r="5638">
      <c r="A5638" t="n">
        <v>5451</v>
      </c>
      <c r="B5638" t="inlineStr">
        <is>
          <t>Stunning contemporary farmhouse for sale in Santa María, Mallorca</t>
        </is>
      </c>
      <c r="C5638" t="inlineStr">
        <is>
          <t>https://www.balearic-properties.com/en/property/id/917892-stunning-contemporary-farmhouse-santa-maria-mallorca-html</t>
        </is>
      </c>
      <c r="E5638" t="n">
        <v>4</v>
      </c>
      <c r="G5638" t="n">
        <v>21199</v>
      </c>
      <c r="H5638" t="n">
        <v>341</v>
      </c>
      <c r="J5638" t="inlineStr">
        <is>
          <t>Santa Maria del Camí</t>
        </is>
      </c>
      <c r="K5638" t="n">
        <v>23.5</v>
      </c>
      <c r="L5638" t="n">
        <v>21</v>
      </c>
      <c r="M5638" t="n">
        <v>66.3</v>
      </c>
      <c r="N5638" t="n">
        <v>54</v>
      </c>
      <c r="O5638" t="n">
        <v>46.1</v>
      </c>
      <c r="P5638" t="n">
        <v>37</v>
      </c>
      <c r="Q5638" t="n">
        <v>64</v>
      </c>
      <c r="R5638" t="n">
        <v>51</v>
      </c>
      <c r="S5638" t="n">
        <v>3800000</v>
      </c>
      <c r="T5638" t="n">
        <v>11144</v>
      </c>
      <c r="U5638" t="n">
        <v>179</v>
      </c>
      <c r="AH5638" t="inlineStr">
        <is>
          <t>Quelle: Balearic Properties</t>
        </is>
      </c>
    </row>
    <row r="5639">
      <c r="A5639" t="n">
        <v>5452</v>
      </c>
      <c r="B5639" t="inlineStr">
        <is>
          <t>Historic country estate with incredible sea views for sale in Son Coll, Deià, Mallorca</t>
        </is>
      </c>
      <c r="C5639" t="inlineStr">
        <is>
          <t>https://www.balearic-properties.com/en/property/id/880997-historic-country-estate-sea-views-deia-mallorca-html</t>
        </is>
      </c>
      <c r="E5639" t="n">
        <v>8</v>
      </c>
      <c r="G5639" t="n">
        <v>78449</v>
      </c>
      <c r="H5639" t="n">
        <v>683</v>
      </c>
      <c r="J5639" t="inlineStr">
        <is>
          <t>Deià</t>
        </is>
      </c>
      <c r="K5639" t="n">
        <v>37.1</v>
      </c>
      <c r="L5639" t="n">
        <v>45</v>
      </c>
      <c r="M5639" t="n">
        <v>79.90000000000001</v>
      </c>
      <c r="N5639" t="n">
        <v>78</v>
      </c>
      <c r="O5639" t="n">
        <v>55.4</v>
      </c>
      <c r="P5639" t="n">
        <v>57</v>
      </c>
      <c r="Q5639" t="n">
        <v>77.5</v>
      </c>
      <c r="R5639" t="n">
        <v>74</v>
      </c>
      <c r="S5639" t="n">
        <v>3450000</v>
      </c>
      <c r="T5639" t="n">
        <v>5051</v>
      </c>
      <c r="U5639" t="n">
        <v>44</v>
      </c>
      <c r="AH5639" t="inlineStr">
        <is>
          <t>Quelle: Balearic Properties</t>
        </is>
      </c>
    </row>
    <row r="5640">
      <c r="A5640" t="n">
        <v>5453</v>
      </c>
      <c r="B5640" t="inlineStr">
        <is>
          <t>New penthouses and apartments for sale in Cala Major, Mallorca</t>
        </is>
      </c>
      <c r="C5640" t="inlineStr">
        <is>
          <t>https://www.balearic-properties.com/en/property/id/886330-new-penthouses-and-apartments-cala-major-mallorca-html</t>
        </is>
      </c>
      <c r="E5640" t="n">
        <v>3</v>
      </c>
      <c r="G5640" t="n">
        <v>0</v>
      </c>
      <c r="H5640" t="n">
        <v>286</v>
      </c>
      <c r="J5640" t="inlineStr">
        <is>
          <t>Cala Major</t>
        </is>
      </c>
      <c r="K5640" t="n">
        <v>19.7</v>
      </c>
      <c r="L5640" t="n">
        <v>19</v>
      </c>
      <c r="M5640" t="n">
        <v>62.5</v>
      </c>
      <c r="N5640" t="n">
        <v>52</v>
      </c>
      <c r="O5640" t="n">
        <v>26.3</v>
      </c>
      <c r="P5640" t="n">
        <v>24</v>
      </c>
      <c r="Q5640" t="n">
        <v>60.2</v>
      </c>
      <c r="R5640" t="n">
        <v>48</v>
      </c>
      <c r="S5640" t="n">
        <v>2600000</v>
      </c>
      <c r="T5640" t="n">
        <v>9091</v>
      </c>
      <c r="AH5640" t="inlineStr">
        <is>
          <t>Quelle: Balearic Properties</t>
        </is>
      </c>
    </row>
    <row r="5641">
      <c r="A5641" t="n">
        <v>5454</v>
      </c>
      <c r="B5641" t="inlineStr">
        <is>
          <t>Contemporary finca with pool and panoramic mountain views for sale in Alaró, Mallorca</t>
        </is>
      </c>
      <c r="C5641" t="inlineStr">
        <is>
          <t>https://www.balearic-properties.com/en/property/id/851597-finca-pool-mountain-views-alaro-mallorca-html</t>
        </is>
      </c>
      <c r="E5641" t="n">
        <v>4</v>
      </c>
      <c r="G5641" t="n">
        <v>29105</v>
      </c>
      <c r="H5641" t="n">
        <v>567</v>
      </c>
      <c r="J5641" t="inlineStr">
        <is>
          <t>Alaró</t>
        </is>
      </c>
      <c r="K5641" t="n">
        <v>33.4</v>
      </c>
      <c r="L5641" t="n">
        <v>33</v>
      </c>
      <c r="M5641" t="n">
        <v>76.09999999999999</v>
      </c>
      <c r="N5641" t="n">
        <v>66</v>
      </c>
      <c r="O5641" t="n">
        <v>55.9</v>
      </c>
      <c r="P5641" t="n">
        <v>49</v>
      </c>
      <c r="Q5641" t="n">
        <v>73.8</v>
      </c>
      <c r="R5641" t="n">
        <v>62</v>
      </c>
      <c r="S5641" t="n">
        <v>8000000</v>
      </c>
      <c r="T5641" t="n">
        <v>14109</v>
      </c>
      <c r="U5641" t="n">
        <v>275</v>
      </c>
      <c r="AH5641" t="inlineStr">
        <is>
          <t>Quelle: Balearic Properties</t>
        </is>
      </c>
    </row>
    <row r="5642">
      <c r="A5642" t="n">
        <v>5455</v>
      </c>
      <c r="B5642" t="inlineStr">
        <is>
          <t>Exclusive luxury villa for sale in the prestigious area of Son Vida, Mallorca</t>
        </is>
      </c>
      <c r="C5642" t="inlineStr">
        <is>
          <t>https://www.balearic-properties.com/en/property/id/849964-exclusive-villa-son-vida-palma-mallorca-html</t>
        </is>
      </c>
      <c r="E5642" t="n">
        <v>4</v>
      </c>
      <c r="G5642" t="n">
        <v>4119</v>
      </c>
      <c r="H5642" t="n">
        <v>571</v>
      </c>
      <c r="J5642" t="inlineStr">
        <is>
          <t>Son Vida</t>
        </is>
      </c>
      <c r="K5642" t="n">
        <v>19.2</v>
      </c>
      <c r="L5642" t="n">
        <v>22</v>
      </c>
      <c r="M5642" t="n">
        <v>61.9</v>
      </c>
      <c r="N5642" t="n">
        <v>55</v>
      </c>
      <c r="O5642" t="n">
        <v>31</v>
      </c>
      <c r="P5642" t="n">
        <v>31</v>
      </c>
      <c r="Q5642" t="n">
        <v>59.6</v>
      </c>
      <c r="R5642" t="n">
        <v>51</v>
      </c>
      <c r="S5642" t="n">
        <v>6950000</v>
      </c>
      <c r="T5642" t="n">
        <v>12172</v>
      </c>
      <c r="U5642" t="n">
        <v>1687</v>
      </c>
      <c r="AH5642" t="inlineStr">
        <is>
          <t>Quelle: Balearic Properties</t>
        </is>
      </c>
    </row>
    <row r="5643">
      <c r="A5643" t="n">
        <v>5456</v>
      </c>
      <c r="B5643" t="inlineStr">
        <is>
          <t>Cosy apartment for sale in Old Town Palma, Mallorca</t>
        </is>
      </c>
      <c r="C5643" t="inlineStr">
        <is>
          <t>https://www.balearic-properties.com/en/property/id/915269-cosy-apartment-old-town-palma-mallorca-html</t>
        </is>
      </c>
      <c r="E5643" t="n">
        <v>2</v>
      </c>
      <c r="G5643" t="n">
        <v>0</v>
      </c>
      <c r="H5643" t="n">
        <v>57</v>
      </c>
      <c r="J5643" t="inlineStr">
        <is>
          <t>La Calatrava</t>
        </is>
      </c>
      <c r="S5643" t="n">
        <v>575000</v>
      </c>
      <c r="T5643" t="n">
        <v>10088</v>
      </c>
      <c r="AH5643" t="inlineStr">
        <is>
          <t>Quelle: Balearic Properties</t>
        </is>
      </c>
    </row>
    <row r="5644">
      <c r="A5644" t="n">
        <v>5457</v>
      </c>
      <c r="B5644" t="inlineStr">
        <is>
          <t>Unique Townhouse under construction in Portixol, Mallorca</t>
        </is>
      </c>
      <c r="C5644" t="inlineStr">
        <is>
          <t>https://www.balearic-properties.com/en/property/id/915340-unique-townhouse-under-construction-in-portixol-mallorca</t>
        </is>
      </c>
      <c r="E5644" t="n">
        <v>3</v>
      </c>
      <c r="G5644" t="n">
        <v>0</v>
      </c>
      <c r="H5644" t="n">
        <v>155</v>
      </c>
      <c r="J5644" t="inlineStr">
        <is>
          <t>Portixol</t>
        </is>
      </c>
      <c r="K5644" t="n">
        <v>8.5</v>
      </c>
      <c r="L5644" t="n">
        <v>13</v>
      </c>
      <c r="M5644" t="n">
        <v>51.2</v>
      </c>
      <c r="N5644" t="n">
        <v>46</v>
      </c>
      <c r="O5644" t="n">
        <v>37.4</v>
      </c>
      <c r="P5644" t="n">
        <v>34</v>
      </c>
      <c r="Q5644" t="n">
        <v>48.9</v>
      </c>
      <c r="R5644" t="n">
        <v>42</v>
      </c>
      <c r="S5644" t="n">
        <v>3250000</v>
      </c>
      <c r="T5644" t="n">
        <v>20968</v>
      </c>
      <c r="AH5644" t="inlineStr">
        <is>
          <t>Quelle: Balearic Properties</t>
        </is>
      </c>
    </row>
    <row r="5645">
      <c r="A5645" t="n">
        <v>5458</v>
      </c>
      <c r="B5645" t="inlineStr">
        <is>
          <t>Self-sufficient country house with panoramic views for sale in Ses Salines, Mallorca</t>
        </is>
      </c>
      <c r="C5645" t="inlineStr">
        <is>
          <t>https://www.balearic-properties.com/en/property/id/884409-magnificent-finca-panoramic-views-ses-salines-mallorca-html</t>
        </is>
      </c>
      <c r="E5645" t="n">
        <v>4</v>
      </c>
      <c r="G5645" t="n">
        <v>14206</v>
      </c>
      <c r="H5645" t="n">
        <v>406</v>
      </c>
      <c r="J5645" t="inlineStr">
        <is>
          <t>Ses Salines</t>
        </is>
      </c>
      <c r="K5645" t="n">
        <v>44.5</v>
      </c>
      <c r="L5645" t="n">
        <v>39</v>
      </c>
      <c r="M5645" t="n">
        <v>2.4</v>
      </c>
      <c r="N5645" t="n">
        <v>5</v>
      </c>
      <c r="O5645" t="n">
        <v>82.7</v>
      </c>
      <c r="P5645" t="n">
        <v>67</v>
      </c>
      <c r="Q5645" t="n">
        <v>2</v>
      </c>
      <c r="R5645" t="n">
        <v>5</v>
      </c>
      <c r="S5645" t="n">
        <v>3690000</v>
      </c>
      <c r="T5645" t="n">
        <v>9089</v>
      </c>
      <c r="U5645" t="n">
        <v>260</v>
      </c>
      <c r="AH5645" t="inlineStr">
        <is>
          <t>Quelle: Balearic Properties</t>
        </is>
      </c>
    </row>
    <row r="5646">
      <c r="A5646" t="n">
        <v>5459</v>
      </c>
      <c r="B5646" t="inlineStr">
        <is>
          <t>Beautiful newly built villa for sale with sea views in Bonaire, Mallorca</t>
        </is>
      </c>
      <c r="C5646" t="inlineStr">
        <is>
          <t>https://www.balearic-properties.com/en/property/id/856607-newly-built-villa-seaviews-bonaire-alcudia-mallorca-html</t>
        </is>
      </c>
      <c r="E5646" t="n">
        <v>5</v>
      </c>
      <c r="G5646" t="n">
        <v>1110</v>
      </c>
      <c r="H5646" t="n">
        <v>332</v>
      </c>
      <c r="J5646" t="inlineStr">
        <is>
          <t>Bonaire</t>
        </is>
      </c>
      <c r="K5646" t="n">
        <v>64.40000000000001</v>
      </c>
      <c r="L5646" t="n">
        <v>54</v>
      </c>
      <c r="M5646" t="n">
        <v>82.5</v>
      </c>
      <c r="N5646" t="n">
        <v>80</v>
      </c>
      <c r="O5646" t="n">
        <v>87</v>
      </c>
      <c r="P5646" t="n">
        <v>70</v>
      </c>
      <c r="Q5646" t="n">
        <v>80.2</v>
      </c>
      <c r="R5646" t="n">
        <v>77</v>
      </c>
      <c r="S5646" t="n">
        <v>2900000</v>
      </c>
      <c r="T5646" t="n">
        <v>8735</v>
      </c>
      <c r="U5646" t="n">
        <v>2613</v>
      </c>
      <c r="AH5646" t="inlineStr">
        <is>
          <t>Quelle: Balearic Properties</t>
        </is>
      </c>
    </row>
    <row r="5647">
      <c r="A5647" t="n">
        <v>5460</v>
      </c>
      <c r="B5647" t="inlineStr">
        <is>
          <t>Sea view villa for sale in an exclusive area of Santa Ponsa, Mallorca</t>
        </is>
      </c>
      <c r="C5647" t="inlineStr">
        <is>
          <t>https://www.balearic-properties.com/en/property/id/915642-sea-view-villa-for-sale-in-an-exclusive-area-of-santa-ponsa-mallorca</t>
        </is>
      </c>
      <c r="E5647" t="n">
        <v>4</v>
      </c>
      <c r="G5647" t="n">
        <v>1034</v>
      </c>
      <c r="H5647" t="n">
        <v>370</v>
      </c>
      <c r="J5647" t="inlineStr">
        <is>
          <t>Santa Ponsa</t>
        </is>
      </c>
      <c r="K5647" t="n">
        <v>31.1</v>
      </c>
      <c r="L5647" t="n">
        <v>28</v>
      </c>
      <c r="M5647" t="n">
        <v>73.90000000000001</v>
      </c>
      <c r="N5647" t="n">
        <v>61</v>
      </c>
      <c r="O5647" t="n">
        <v>15.2</v>
      </c>
      <c r="P5647" t="n">
        <v>19</v>
      </c>
      <c r="Q5647" t="n">
        <v>71.59999999999999</v>
      </c>
      <c r="R5647" t="n">
        <v>57</v>
      </c>
      <c r="S5647" t="n">
        <v>2600000</v>
      </c>
      <c r="T5647" t="n">
        <v>7027</v>
      </c>
      <c r="U5647" t="n">
        <v>2515</v>
      </c>
      <c r="AH5647" t="inlineStr">
        <is>
          <t>Quelle: Balearic Properties</t>
        </is>
      </c>
    </row>
    <row r="5648">
      <c r="A5648" t="n">
        <v>5461</v>
      </c>
      <c r="B5648" t="inlineStr">
        <is>
          <t>Impressive finca with two very old houses for sale in Pollensa, Mallorca</t>
        </is>
      </c>
      <c r="C5648" t="inlineStr">
        <is>
          <t>https://www.balearic-properties.com/en/property/id/710928</t>
        </is>
      </c>
      <c r="E5648" t="n">
        <v>8</v>
      </c>
      <c r="G5648" t="n">
        <v>467725</v>
      </c>
      <c r="H5648" t="n">
        <v>463</v>
      </c>
      <c r="J5648" t="inlineStr">
        <is>
          <t>Pollença</t>
        </is>
      </c>
      <c r="K5648" t="n">
        <v>60.6</v>
      </c>
      <c r="L5648" t="n">
        <v>47</v>
      </c>
      <c r="M5648" t="n">
        <v>78.7</v>
      </c>
      <c r="N5648" t="n">
        <v>74</v>
      </c>
      <c r="O5648" t="n">
        <v>83.2</v>
      </c>
      <c r="P5648" t="n">
        <v>63</v>
      </c>
      <c r="Q5648" t="n">
        <v>76.40000000000001</v>
      </c>
      <c r="R5648" t="n">
        <v>70</v>
      </c>
      <c r="S5648" t="n">
        <v>3000000</v>
      </c>
      <c r="T5648" t="n">
        <v>6479</v>
      </c>
      <c r="U5648" t="n">
        <v>6</v>
      </c>
      <c r="AH5648" t="inlineStr">
        <is>
          <t>Quelle: Balearic Properties</t>
        </is>
      </c>
    </row>
    <row r="5649">
      <c r="A5649" t="n">
        <v>5462</v>
      </c>
      <c r="B5649" t="inlineStr">
        <is>
          <t>Immaculate country estate for sale with panoramic views in Santa Maria, Mallorca</t>
        </is>
      </c>
      <c r="C5649" t="inlineStr">
        <is>
          <t>https://www.balearic-properties.com/en/property/id/869648-country-estate-panoramic-views-santa-maria-mallorca-html</t>
        </is>
      </c>
      <c r="E5649" t="n">
        <v>5</v>
      </c>
      <c r="G5649" t="n">
        <v>14210</v>
      </c>
      <c r="H5649" t="n">
        <v>784</v>
      </c>
      <c r="J5649" t="inlineStr">
        <is>
          <t>Santa Maria del Camí</t>
        </is>
      </c>
      <c r="K5649" t="n">
        <v>23.5</v>
      </c>
      <c r="L5649" t="n">
        <v>21</v>
      </c>
      <c r="M5649" t="n">
        <v>66.3</v>
      </c>
      <c r="N5649" t="n">
        <v>54</v>
      </c>
      <c r="O5649" t="n">
        <v>46.1</v>
      </c>
      <c r="P5649" t="n">
        <v>37</v>
      </c>
      <c r="Q5649" t="n">
        <v>64</v>
      </c>
      <c r="R5649" t="n">
        <v>51</v>
      </c>
      <c r="AH5649" t="inlineStr">
        <is>
          <t>Quelle: Balearic Properties</t>
        </is>
      </c>
    </row>
    <row r="5650">
      <c r="A5650" t="n">
        <v>5463</v>
      </c>
      <c r="B5650" t="inlineStr">
        <is>
          <t>Sea view finca with guest house for sale near Son Serra de Marina, Mallorca</t>
        </is>
      </c>
      <c r="C5650" t="inlineStr">
        <is>
          <t>https://www.balearic-properties.com/en/property/id/913939-sea-view-finca-guest-house-son-serra-de-marina-mallorca-html</t>
        </is>
      </c>
      <c r="E5650" t="n">
        <v>5</v>
      </c>
      <c r="G5650" t="n">
        <v>25722</v>
      </c>
      <c r="H5650" t="n">
        <v>594</v>
      </c>
      <c r="J5650" t="inlineStr">
        <is>
          <t>Son Serra de Marina</t>
        </is>
      </c>
      <c r="K5650" t="n">
        <v>69.59999999999999</v>
      </c>
      <c r="L5650" t="n">
        <v>59</v>
      </c>
      <c r="M5650" t="n">
        <v>64.90000000000001</v>
      </c>
      <c r="N5650" t="n">
        <v>63</v>
      </c>
      <c r="O5650" t="n">
        <v>91</v>
      </c>
      <c r="P5650" t="n">
        <v>76</v>
      </c>
      <c r="Q5650" t="n">
        <v>62.6</v>
      </c>
      <c r="R5650" t="n">
        <v>59</v>
      </c>
      <c r="S5650" t="n">
        <v>2200000</v>
      </c>
      <c r="T5650" t="n">
        <v>3704</v>
      </c>
      <c r="U5650" t="n">
        <v>86</v>
      </c>
      <c r="AH5650" t="inlineStr">
        <is>
          <t>Quelle: Balearic Properties</t>
        </is>
      </c>
    </row>
    <row r="5651">
      <c r="A5651" t="n">
        <v>5464</v>
      </c>
      <c r="B5651" t="inlineStr">
        <is>
          <t>Traditional village house with roof terrace for sale in Caimari, Mallorca</t>
        </is>
      </c>
      <c r="C5651" t="inlineStr">
        <is>
          <t>https://www.balearic-properties.com/en/property/id/913608-traditional-village-house-roof-terrace-caimari-mallorca-html</t>
        </is>
      </c>
      <c r="E5651" t="n">
        <v>4</v>
      </c>
      <c r="G5651" t="n">
        <v>189</v>
      </c>
      <c r="H5651" t="n">
        <v>274</v>
      </c>
      <c r="J5651" t="inlineStr">
        <is>
          <t>Caimari</t>
        </is>
      </c>
      <c r="S5651" t="n">
        <v>450000</v>
      </c>
      <c r="T5651" t="n">
        <v>1642</v>
      </c>
      <c r="U5651" t="n">
        <v>2381</v>
      </c>
      <c r="AH5651" t="inlineStr">
        <is>
          <t>Quelle: Balearic Properties</t>
        </is>
      </c>
    </row>
    <row r="5652">
      <c r="A5652" t="n">
        <v>5465</v>
      </c>
      <c r="B5652" t="inlineStr">
        <is>
          <t>Lavish country estate for sale in the beautiful surroundings of Algaida, Mallorca</t>
        </is>
      </c>
      <c r="C5652" t="inlineStr">
        <is>
          <t>https://www.balearic-properties.com/en/property/id/873919-lavish-country-estate-surroundings-algaida-mallorca-html</t>
        </is>
      </c>
      <c r="E5652" t="n">
        <v>18</v>
      </c>
      <c r="G5652" t="n">
        <v>222557</v>
      </c>
      <c r="H5652" t="n">
        <v>2226</v>
      </c>
      <c r="J5652" t="inlineStr">
        <is>
          <t>Algaida</t>
        </is>
      </c>
      <c r="K5652" t="n">
        <v>20.1</v>
      </c>
      <c r="L5652" t="n">
        <v>21</v>
      </c>
      <c r="M5652" t="n">
        <v>39.8</v>
      </c>
      <c r="N5652" t="n">
        <v>41</v>
      </c>
      <c r="O5652" t="n">
        <v>54.4</v>
      </c>
      <c r="P5652" t="n">
        <v>46</v>
      </c>
      <c r="Q5652" t="n">
        <v>37.5</v>
      </c>
      <c r="R5652" t="n">
        <v>37</v>
      </c>
      <c r="S5652" t="n">
        <v>19500000</v>
      </c>
      <c r="T5652" t="n">
        <v>8760</v>
      </c>
      <c r="U5652" t="n">
        <v>88</v>
      </c>
      <c r="AH5652" t="inlineStr">
        <is>
          <t>Quelle: Balearic Properties</t>
        </is>
      </c>
    </row>
    <row r="5653">
      <c r="A5653" t="n">
        <v>5466</v>
      </c>
      <c r="B5653" t="inlineStr">
        <is>
          <t>Fantastic country house for sale between Alcudia and Pollensa, Mallorca</t>
        </is>
      </c>
      <c r="C5653" t="inlineStr">
        <is>
          <t>https://www.balearic-properties.com/en/property/id/760660-country-house-alcudia-html</t>
        </is>
      </c>
      <c r="E5653" t="n">
        <v>5</v>
      </c>
      <c r="G5653" t="n">
        <v>15854</v>
      </c>
      <c r="H5653" t="n">
        <v>363</v>
      </c>
      <c r="J5653" t="inlineStr">
        <is>
          <t>Alcúdia</t>
        </is>
      </c>
      <c r="K5653" t="n">
        <v>61.6</v>
      </c>
      <c r="L5653" t="n">
        <v>47</v>
      </c>
      <c r="M5653" t="n">
        <v>79.7</v>
      </c>
      <c r="N5653" t="n">
        <v>74</v>
      </c>
      <c r="O5653" t="n">
        <v>84.2</v>
      </c>
      <c r="P5653" t="n">
        <v>63</v>
      </c>
      <c r="Q5653" t="n">
        <v>77.40000000000001</v>
      </c>
      <c r="R5653" t="n">
        <v>70</v>
      </c>
      <c r="S5653" t="n">
        <v>2690000</v>
      </c>
      <c r="T5653" t="n">
        <v>7410</v>
      </c>
      <c r="U5653" t="n">
        <v>170</v>
      </c>
      <c r="AH5653" t="inlineStr">
        <is>
          <t>Quelle: Balearic Properties</t>
        </is>
      </c>
    </row>
    <row r="5654">
      <c r="A5654" t="n">
        <v>5467</v>
      </c>
      <c r="B5654" t="inlineStr">
        <is>
          <t>One of a kind town house for sale in Palma de Mallorca</t>
        </is>
      </c>
      <c r="C5654" t="inlineStr">
        <is>
          <t>https://www.balearic-properties.com/en/property/id/706391-charming-town-house-palma-html</t>
        </is>
      </c>
      <c r="E5654" t="n">
        <v>1</v>
      </c>
      <c r="G5654" t="n">
        <v>625</v>
      </c>
      <c r="H5654" t="n">
        <v>250</v>
      </c>
      <c r="J5654" t="inlineStr">
        <is>
          <t>Son Rapinya</t>
        </is>
      </c>
      <c r="K5654" t="n">
        <v>15.6</v>
      </c>
      <c r="L5654" t="n">
        <v>16</v>
      </c>
      <c r="M5654" t="n">
        <v>58.3</v>
      </c>
      <c r="N5654" t="n">
        <v>49</v>
      </c>
      <c r="O5654" t="n">
        <v>27.8</v>
      </c>
      <c r="P5654" t="n">
        <v>25</v>
      </c>
      <c r="Q5654" t="n">
        <v>56</v>
      </c>
      <c r="R5654" t="n">
        <v>46</v>
      </c>
      <c r="S5654" t="n">
        <v>2100000</v>
      </c>
      <c r="T5654" t="n">
        <v>8400</v>
      </c>
      <c r="U5654" t="n">
        <v>3360</v>
      </c>
      <c r="AH5654" t="inlineStr">
        <is>
          <t>Quelle: Balearic Properties</t>
        </is>
      </c>
    </row>
    <row r="5655">
      <c r="A5655" t="n">
        <v>5468</v>
      </c>
      <c r="B5655" t="inlineStr">
        <is>
          <t>Spectacular frontline villa for sale in Sol de Mallorca</t>
        </is>
      </c>
      <c r="C5655" t="inlineStr">
        <is>
          <t>https://www.balearic-properties.com/en/property/id/912943-spectacular-frontline-villa-sol-de-mallorca-html</t>
        </is>
      </c>
      <c r="E5655" t="n">
        <v>5</v>
      </c>
      <c r="G5655" t="n">
        <v>2142</v>
      </c>
      <c r="H5655" t="n">
        <v>1014</v>
      </c>
      <c r="J5655" t="inlineStr">
        <is>
          <t>Sol de Mallorca</t>
        </is>
      </c>
      <c r="K5655" t="n">
        <v>32.2</v>
      </c>
      <c r="L5655" t="n">
        <v>31</v>
      </c>
      <c r="M5655" t="n">
        <v>75</v>
      </c>
      <c r="N5655" t="n">
        <v>64</v>
      </c>
      <c r="O5655" t="n">
        <v>21.2</v>
      </c>
      <c r="P5655" t="n">
        <v>25</v>
      </c>
      <c r="Q5655" t="n">
        <v>72.7</v>
      </c>
      <c r="R5655" t="n">
        <v>60</v>
      </c>
      <c r="AH5655" t="inlineStr">
        <is>
          <t>Quelle: Balearic Properties</t>
        </is>
      </c>
    </row>
    <row r="5656">
      <c r="A5656" t="n">
        <v>5469</v>
      </c>
      <c r="B5656" t="inlineStr">
        <is>
          <t>Stunning modern villa with 4 bedrooms, pool, and garden - Property for sale in Pollensa, north Mallorca</t>
        </is>
      </c>
      <c r="C5656" t="inlineStr">
        <is>
          <t>https://www.balearic-properties.com/en/property/id/912774-modern-villa-pool-pollensa-mallorca-html</t>
        </is>
      </c>
      <c r="E5656" t="n">
        <v>4</v>
      </c>
      <c r="G5656" t="n">
        <v>1068</v>
      </c>
      <c r="H5656" t="n">
        <v>242</v>
      </c>
      <c r="J5656" t="inlineStr">
        <is>
          <t>Pollença</t>
        </is>
      </c>
      <c r="K5656" t="n">
        <v>60.6</v>
      </c>
      <c r="L5656" t="n">
        <v>47</v>
      </c>
      <c r="M5656" t="n">
        <v>78.7</v>
      </c>
      <c r="N5656" t="n">
        <v>74</v>
      </c>
      <c r="O5656" t="n">
        <v>83.2</v>
      </c>
      <c r="P5656" t="n">
        <v>63</v>
      </c>
      <c r="Q5656" t="n">
        <v>76.40000000000001</v>
      </c>
      <c r="R5656" t="n">
        <v>70</v>
      </c>
      <c r="S5656" t="n">
        <v>1160000</v>
      </c>
      <c r="T5656" t="n">
        <v>4793</v>
      </c>
      <c r="U5656" t="n">
        <v>1086</v>
      </c>
      <c r="AH5656" t="inlineStr">
        <is>
          <t>Quelle: Balearic Properties</t>
        </is>
      </c>
    </row>
    <row r="5657">
      <c r="A5657" t="n">
        <v>5470</v>
      </c>
      <c r="B5657" t="inlineStr">
        <is>
          <t>Stunning high-end apartment with terrace and sea views for sale in Can Barberá Marina, Palma</t>
        </is>
      </c>
      <c r="C5657" t="inlineStr">
        <is>
          <t>https://www.balearic-properties.com/en/property/id/912813-apartment-sea-view-can-barbera-marina-palma-html</t>
        </is>
      </c>
      <c r="E5657" t="n">
        <v>3</v>
      </c>
      <c r="G5657" t="n">
        <v>0</v>
      </c>
      <c r="H5657" t="n">
        <v>160</v>
      </c>
      <c r="J5657" t="inlineStr">
        <is>
          <t>Paseo Marítimo</t>
        </is>
      </c>
      <c r="K5657" t="n">
        <v>10.9</v>
      </c>
      <c r="L5657" t="n">
        <v>17</v>
      </c>
      <c r="M5657" t="n">
        <v>53.7</v>
      </c>
      <c r="N5657" t="n">
        <v>50</v>
      </c>
      <c r="O5657" t="n">
        <v>29.9</v>
      </c>
      <c r="P5657" t="n">
        <v>32</v>
      </c>
      <c r="Q5657" t="n">
        <v>51.4</v>
      </c>
      <c r="R5657" t="n">
        <v>46</v>
      </c>
      <c r="S5657" t="n">
        <v>2045000</v>
      </c>
      <c r="T5657" t="n">
        <v>12781</v>
      </c>
      <c r="AH5657" t="inlineStr">
        <is>
          <t>Quelle: Balearic Properties</t>
        </is>
      </c>
    </row>
    <row r="5658">
      <c r="A5658" t="n">
        <v>5471</v>
      </c>
      <c r="B5658" t="inlineStr">
        <is>
          <t>Stunning house for sale in old town Pollensa, North Mallorca</t>
        </is>
      </c>
      <c r="C5658" t="inlineStr">
        <is>
          <t>https://www.balearic-properties.com/en/property/id/912686-townhouse-project-pollensa-mallorca-html</t>
        </is>
      </c>
      <c r="E5658" t="n">
        <v>2</v>
      </c>
      <c r="G5658" t="n">
        <v>105</v>
      </c>
      <c r="H5658" t="n">
        <v>115</v>
      </c>
      <c r="J5658" t="inlineStr">
        <is>
          <t>Pollença Pueblo</t>
        </is>
      </c>
      <c r="S5658" t="n">
        <v>895000</v>
      </c>
      <c r="T5658" t="n">
        <v>7783</v>
      </c>
      <c r="U5658" t="n">
        <v>8524</v>
      </c>
      <c r="AH5658" t="inlineStr">
        <is>
          <t>Quelle: Balearic Properties</t>
        </is>
      </c>
    </row>
    <row r="5659">
      <c r="A5659" t="n">
        <v>5472</v>
      </c>
      <c r="B5659" t="inlineStr">
        <is>
          <t>Newly built apartments with community pool for sale in Palmanova, Mallorca</t>
        </is>
      </c>
      <c r="C5659" t="inlineStr">
        <is>
          <t>https://www.balearic-properties.com/en/property/id/909705-newly-built-apartments-with-community-pool-for-sale-in-palmanova-mallorca-html</t>
        </is>
      </c>
      <c r="E5659" t="n">
        <v>1</v>
      </c>
      <c r="G5659" t="n">
        <v>0</v>
      </c>
      <c r="H5659" t="n">
        <v>84</v>
      </c>
      <c r="J5659" t="inlineStr">
        <is>
          <t>Palmanova</t>
        </is>
      </c>
      <c r="S5659" t="n">
        <v>775000</v>
      </c>
      <c r="T5659" t="n">
        <v>9226</v>
      </c>
      <c r="AH5659" t="inlineStr">
        <is>
          <t>Quelle: Balearic Properties</t>
        </is>
      </c>
    </row>
    <row r="5660">
      <c r="A5660" t="n">
        <v>5473</v>
      </c>
      <c r="B5660" t="inlineStr">
        <is>
          <t>Modern country home with breathtaking views for sale in Santa Maria, Mallorca</t>
        </is>
      </c>
      <c r="C5660" t="inlineStr">
        <is>
          <t>https://www.balearic-properties.com/en/property/id/884056-country-home-views-mountains-santa-maria-mallorca-html</t>
        </is>
      </c>
      <c r="E5660" t="n">
        <v>4</v>
      </c>
      <c r="G5660" t="n">
        <v>17925</v>
      </c>
      <c r="H5660" t="n">
        <v>680</v>
      </c>
      <c r="J5660" t="inlineStr">
        <is>
          <t>Santa Maria del Camí</t>
        </is>
      </c>
      <c r="K5660" t="n">
        <v>23.5</v>
      </c>
      <c r="L5660" t="n">
        <v>21</v>
      </c>
      <c r="M5660" t="n">
        <v>66.3</v>
      </c>
      <c r="N5660" t="n">
        <v>54</v>
      </c>
      <c r="O5660" t="n">
        <v>46.1</v>
      </c>
      <c r="P5660" t="n">
        <v>37</v>
      </c>
      <c r="Q5660" t="n">
        <v>64</v>
      </c>
      <c r="R5660" t="n">
        <v>51</v>
      </c>
      <c r="S5660" t="n">
        <v>4250000</v>
      </c>
      <c r="T5660" t="n">
        <v>6250</v>
      </c>
      <c r="U5660" t="n">
        <v>237</v>
      </c>
      <c r="AH5660" t="inlineStr">
        <is>
          <t>Quelle: Balearic Properties</t>
        </is>
      </c>
    </row>
    <row r="5661">
      <c r="A5661" t="n">
        <v>5474</v>
      </c>
      <c r="B5661" t="inlineStr">
        <is>
          <t>Stylish apartment within a new development in the centre of Palma</t>
        </is>
      </c>
      <c r="C5661" t="inlineStr">
        <is>
          <t>https://www.balearic-properties.com/en/property/id/912325-boutique-apartment-development-first-sea-line-palma-mallorca-html</t>
        </is>
      </c>
      <c r="E5661" t="n">
        <v>2</v>
      </c>
      <c r="G5661" t="n">
        <v>0</v>
      </c>
      <c r="H5661" t="n">
        <v>95</v>
      </c>
      <c r="J5661" t="inlineStr">
        <is>
          <t>Palma City Centre</t>
        </is>
      </c>
      <c r="K5661" t="n">
        <v>11.6</v>
      </c>
      <c r="L5661" t="n">
        <v>20</v>
      </c>
      <c r="M5661" t="n">
        <v>54.3</v>
      </c>
      <c r="N5661" t="n">
        <v>53</v>
      </c>
      <c r="O5661" t="n">
        <v>29.5</v>
      </c>
      <c r="P5661" t="n">
        <v>29</v>
      </c>
      <c r="Q5661" t="n">
        <v>52</v>
      </c>
      <c r="R5661" t="n">
        <v>49</v>
      </c>
      <c r="S5661" t="n">
        <v>1320000</v>
      </c>
      <c r="T5661" t="n">
        <v>13895</v>
      </c>
      <c r="AH5661" t="inlineStr">
        <is>
          <t>Quelle: Balearic Properties</t>
        </is>
      </c>
    </row>
    <row r="5662">
      <c r="A5662" t="n">
        <v>5475</v>
      </c>
      <c r="B5662" t="inlineStr">
        <is>
          <t>New apartments and penthouses for sale in the heart of Palma</t>
        </is>
      </c>
      <c r="C5662" t="inlineStr">
        <is>
          <t>https://www.balearic-properties.com/en/property/id/912326-boutique-apartment-development-first-sea-line-palma-mallorca-html</t>
        </is>
      </c>
      <c r="E5662" t="n">
        <v>3</v>
      </c>
      <c r="G5662" t="n">
        <v>0</v>
      </c>
      <c r="H5662" t="n">
        <v>122</v>
      </c>
      <c r="J5662" t="inlineStr">
        <is>
          <t>Palma City Centre</t>
        </is>
      </c>
      <c r="K5662" t="n">
        <v>11.6</v>
      </c>
      <c r="L5662" t="n">
        <v>20</v>
      </c>
      <c r="M5662" t="n">
        <v>54.3</v>
      </c>
      <c r="N5662" t="n">
        <v>53</v>
      </c>
      <c r="O5662" t="n">
        <v>29.5</v>
      </c>
      <c r="P5662" t="n">
        <v>29</v>
      </c>
      <c r="Q5662" t="n">
        <v>52</v>
      </c>
      <c r="R5662" t="n">
        <v>49</v>
      </c>
      <c r="S5662" t="n">
        <v>2050000</v>
      </c>
      <c r="T5662" t="n">
        <v>16803</v>
      </c>
      <c r="AH5662" t="inlineStr">
        <is>
          <t>Quelle: Balearic Properties</t>
        </is>
      </c>
    </row>
    <row r="5663">
      <c r="A5663" t="n">
        <v>5476</v>
      </c>
      <c r="B5663" t="inlineStr">
        <is>
          <t>Impeccable duplex apartment for sale in the heart of Palma</t>
        </is>
      </c>
      <c r="C5663" t="inlineStr">
        <is>
          <t>https://www.balearic-properties.com/en/property/id/912327-boutique-apartment-development-first-sea-line-palma-mallorca-html</t>
        </is>
      </c>
      <c r="E5663" t="n">
        <v>2</v>
      </c>
      <c r="G5663" t="n">
        <v>0</v>
      </c>
      <c r="H5663" t="n">
        <v>209</v>
      </c>
      <c r="J5663" t="inlineStr">
        <is>
          <t>Palma City Centre</t>
        </is>
      </c>
      <c r="K5663" t="n">
        <v>11.6</v>
      </c>
      <c r="L5663" t="n">
        <v>20</v>
      </c>
      <c r="M5663" t="n">
        <v>54.3</v>
      </c>
      <c r="N5663" t="n">
        <v>53</v>
      </c>
      <c r="O5663" t="n">
        <v>29.5</v>
      </c>
      <c r="P5663" t="n">
        <v>29</v>
      </c>
      <c r="Q5663" t="n">
        <v>52</v>
      </c>
      <c r="R5663" t="n">
        <v>49</v>
      </c>
      <c r="S5663" t="n">
        <v>1980000</v>
      </c>
      <c r="T5663" t="n">
        <v>9474</v>
      </c>
      <c r="AH5663" t="inlineStr">
        <is>
          <t>Quelle: Balearic Properties</t>
        </is>
      </c>
    </row>
    <row r="5664">
      <c r="A5664" t="n">
        <v>5477</v>
      </c>
      <c r="B5664" t="inlineStr">
        <is>
          <t>Deluxe apartment with sea view terrace for sale in Palma, Mallorca</t>
        </is>
      </c>
      <c r="C5664" t="inlineStr">
        <is>
          <t>https://www.balearic-properties.com/en/property/id/912333-boutique-apartment-development-first-sea-line-palma-mallorca-html</t>
        </is>
      </c>
      <c r="E5664" t="n">
        <v>2</v>
      </c>
      <c r="G5664" t="n">
        <v>0</v>
      </c>
      <c r="H5664" t="n">
        <v>161</v>
      </c>
      <c r="J5664" t="inlineStr">
        <is>
          <t>Palma City Centre</t>
        </is>
      </c>
      <c r="K5664" t="n">
        <v>11.6</v>
      </c>
      <c r="L5664" t="n">
        <v>20</v>
      </c>
      <c r="M5664" t="n">
        <v>54.3</v>
      </c>
      <c r="N5664" t="n">
        <v>53</v>
      </c>
      <c r="O5664" t="n">
        <v>29.5</v>
      </c>
      <c r="P5664" t="n">
        <v>29</v>
      </c>
      <c r="Q5664" t="n">
        <v>52</v>
      </c>
      <c r="R5664" t="n">
        <v>49</v>
      </c>
      <c r="S5664" t="n">
        <v>2440000</v>
      </c>
      <c r="T5664" t="n">
        <v>15155</v>
      </c>
      <c r="AH5664" t="inlineStr">
        <is>
          <t>Quelle: Balearic Properties</t>
        </is>
      </c>
    </row>
    <row r="5665">
      <c r="A5665" t="n">
        <v>5478</v>
      </c>
      <c r="B5665" t="inlineStr">
        <is>
          <t>Marina view penthouse in a new development in the centre of Palma</t>
        </is>
      </c>
      <c r="C5665" t="inlineStr">
        <is>
          <t>https://www.balearic-properties.com/en/property/id/910280-boutique-apartment-development-first-sea-line-palma-mallorca-html</t>
        </is>
      </c>
      <c r="E5665" t="n">
        <v>3</v>
      </c>
      <c r="G5665" t="n">
        <v>0</v>
      </c>
      <c r="H5665" t="n">
        <v>237</v>
      </c>
      <c r="J5665" t="inlineStr">
        <is>
          <t>Palma City Centre</t>
        </is>
      </c>
      <c r="K5665" t="n">
        <v>11.6</v>
      </c>
      <c r="L5665" t="n">
        <v>20</v>
      </c>
      <c r="M5665" t="n">
        <v>54.3</v>
      </c>
      <c r="N5665" t="n">
        <v>53</v>
      </c>
      <c r="O5665" t="n">
        <v>29.5</v>
      </c>
      <c r="P5665" t="n">
        <v>29</v>
      </c>
      <c r="Q5665" t="n">
        <v>52</v>
      </c>
      <c r="R5665" t="n">
        <v>49</v>
      </c>
      <c r="S5665" t="n">
        <v>4750000</v>
      </c>
      <c r="T5665" t="n">
        <v>20042</v>
      </c>
      <c r="AH5665" t="inlineStr">
        <is>
          <t>Quelle: Balearic Properties</t>
        </is>
      </c>
    </row>
    <row r="5666">
      <c r="A5666" t="n">
        <v>5479</v>
      </c>
      <c r="B5666" t="inlineStr">
        <is>
          <t>Stunning penthouse in a new luxury development in Palma, Mallorca</t>
        </is>
      </c>
      <c r="C5666" t="inlineStr">
        <is>
          <t>https://www.balearic-properties.com/en/property/id/912331-boutique-apartment-development-first-sea-line-palma-mallorca-html</t>
        </is>
      </c>
      <c r="E5666" t="n">
        <v>3</v>
      </c>
      <c r="G5666" t="n">
        <v>0</v>
      </c>
      <c r="H5666" t="n">
        <v>243</v>
      </c>
      <c r="J5666" t="inlineStr">
        <is>
          <t>Palma City Centre</t>
        </is>
      </c>
      <c r="AH5666" t="inlineStr">
        <is>
          <t>Quelle: Balearic Properties</t>
        </is>
      </c>
    </row>
    <row r="5667">
      <c r="A5667" t="n">
        <v>5480</v>
      </c>
      <c r="B5667" t="inlineStr">
        <is>
          <t>Luxury harbour view villa for sale in Puerto Andratx, Mallorca</t>
        </is>
      </c>
      <c r="C5667" t="inlineStr">
        <is>
          <t>https://www.balearic-properties.com/en/property/id/911722-luxury-villa-views-puerto-andratx-mallorca-html</t>
        </is>
      </c>
      <c r="E5667" t="n">
        <v>5</v>
      </c>
      <c r="G5667" t="n">
        <v>727</v>
      </c>
      <c r="H5667" t="n">
        <v>521</v>
      </c>
      <c r="J5667" t="inlineStr">
        <is>
          <t>Puerto Andratx</t>
        </is>
      </c>
      <c r="K5667" t="n">
        <v>43.5</v>
      </c>
      <c r="L5667" t="n">
        <v>38</v>
      </c>
      <c r="M5667" t="n">
        <v>86.2</v>
      </c>
      <c r="N5667" t="n">
        <v>71</v>
      </c>
      <c r="O5667" t="n">
        <v>6.3</v>
      </c>
      <c r="P5667" t="n">
        <v>11</v>
      </c>
      <c r="Q5667" t="n">
        <v>83.90000000000001</v>
      </c>
      <c r="R5667" t="n">
        <v>68</v>
      </c>
      <c r="S5667" t="n">
        <v>14900000</v>
      </c>
      <c r="T5667" t="n">
        <v>28599</v>
      </c>
      <c r="U5667" t="n">
        <v>20495</v>
      </c>
      <c r="AH5667" t="inlineStr">
        <is>
          <t>Quelle: Balearic Properties</t>
        </is>
      </c>
    </row>
    <row r="5668">
      <c r="A5668" t="n">
        <v>5481</v>
      </c>
      <c r="B5668" t="inlineStr">
        <is>
          <t>Historic manor house to refurbish for sale in the Calas de Mallorca area of Manacor, Mallorca</t>
        </is>
      </c>
      <c r="C5668" t="inlineStr">
        <is>
          <t>https://www.balearic-properties.com/en/property/id/911221-manor-house-calas-mallorca-manacor-html</t>
        </is>
      </c>
      <c r="E5668" t="n">
        <v>10</v>
      </c>
      <c r="G5668" t="n">
        <v>209723</v>
      </c>
      <c r="H5668" t="n">
        <v>2771</v>
      </c>
      <c r="J5668" t="inlineStr">
        <is>
          <t>Manacor</t>
        </is>
      </c>
      <c r="K5668" t="n">
        <v>49.2</v>
      </c>
      <c r="L5668" t="n">
        <v>44</v>
      </c>
      <c r="M5668" t="n">
        <v>40.3</v>
      </c>
      <c r="N5668" t="n">
        <v>45</v>
      </c>
      <c r="O5668" t="n">
        <v>83.40000000000001</v>
      </c>
      <c r="P5668" t="n">
        <v>68</v>
      </c>
      <c r="Q5668" t="n">
        <v>38</v>
      </c>
      <c r="R5668" t="n">
        <v>41</v>
      </c>
      <c r="S5668" t="n">
        <v>6800000</v>
      </c>
      <c r="T5668" t="n">
        <v>2454</v>
      </c>
      <c r="U5668" t="n">
        <v>32</v>
      </c>
      <c r="AH5668" t="inlineStr">
        <is>
          <t>Quelle: Balearic Properties</t>
        </is>
      </c>
    </row>
    <row r="5669">
      <c r="A5669" t="n">
        <v>5482</v>
      </c>
      <c r="B5669" t="inlineStr">
        <is>
          <t>Fantastic townhouse for sale in Ses Salines, Mallorca</t>
        </is>
      </c>
      <c r="C5669" t="inlineStr">
        <is>
          <t>https://www.balearic-properties.com/en/property/id/911848-corner-building-plot-project-ses-salinas-mallorca-html</t>
        </is>
      </c>
      <c r="E5669" t="n">
        <v>4</v>
      </c>
      <c r="G5669" t="n">
        <v>366</v>
      </c>
      <c r="H5669" t="n">
        <v>431</v>
      </c>
      <c r="J5669" t="inlineStr">
        <is>
          <t>Ses Salines</t>
        </is>
      </c>
      <c r="K5669" t="n">
        <v>44.5</v>
      </c>
      <c r="L5669" t="n">
        <v>39</v>
      </c>
      <c r="M5669" t="n">
        <v>2.4</v>
      </c>
      <c r="N5669" t="n">
        <v>5</v>
      </c>
      <c r="O5669" t="n">
        <v>82.7</v>
      </c>
      <c r="P5669" t="n">
        <v>67</v>
      </c>
      <c r="Q5669" t="n">
        <v>2</v>
      </c>
      <c r="R5669" t="n">
        <v>5</v>
      </c>
      <c r="S5669" t="n">
        <v>2950000</v>
      </c>
      <c r="T5669" t="n">
        <v>6845</v>
      </c>
      <c r="U5669" t="n">
        <v>8060</v>
      </c>
      <c r="AH5669" t="inlineStr">
        <is>
          <t>Quelle: Balearic Properties</t>
        </is>
      </c>
    </row>
    <row r="5670">
      <c r="A5670" t="n">
        <v>5483</v>
      </c>
      <c r="B5670" t="inlineStr">
        <is>
          <t>Beautiful apartment for sale on the seafront in Cala Nova -Sant Agusti, Palma, Mallorca</t>
        </is>
      </c>
      <c r="C5670" t="inlineStr">
        <is>
          <t>https://www.balearic-properties.com/en/property/id/821069-beautiful-apartment-for-sale-on-the-seafront-in-cala-nova-palma-mallorca-html</t>
        </is>
      </c>
      <c r="E5670" t="n">
        <v>4</v>
      </c>
      <c r="G5670" t="n">
        <v>0</v>
      </c>
      <c r="H5670" t="n">
        <v>140</v>
      </c>
      <c r="J5670" t="inlineStr">
        <is>
          <t>Sant Agustí</t>
        </is>
      </c>
      <c r="S5670" t="n">
        <v>950000</v>
      </c>
      <c r="T5670" t="n">
        <v>6786</v>
      </c>
      <c r="AH5670" t="inlineStr">
        <is>
          <t>Quelle: Balearic Properties</t>
        </is>
      </c>
    </row>
    <row r="5671">
      <c r="A5671" t="n">
        <v>5484</v>
      </c>
      <c r="B5671" t="inlineStr">
        <is>
          <t>Country finca with holiday rental license for sale in Llucmajor, Mallorca</t>
        </is>
      </c>
      <c r="C5671" t="inlineStr">
        <is>
          <t>https://www.balearic-properties.com/en/property/id/910779-country-finca-holiday-license-llucmajor-mallorca-html</t>
        </is>
      </c>
      <c r="E5671" t="n">
        <v>5</v>
      </c>
      <c r="G5671" t="n">
        <v>30000</v>
      </c>
      <c r="H5671" t="n">
        <v>500</v>
      </c>
      <c r="J5671" t="inlineStr">
        <is>
          <t>Llucmajor</t>
        </is>
      </c>
      <c r="K5671" t="n">
        <v>22</v>
      </c>
      <c r="L5671" t="n">
        <v>21</v>
      </c>
      <c r="M5671" t="n">
        <v>28.2</v>
      </c>
      <c r="N5671" t="n">
        <v>33</v>
      </c>
      <c r="O5671" t="n">
        <v>60.2</v>
      </c>
      <c r="P5671" t="n">
        <v>48</v>
      </c>
      <c r="Q5671" t="n">
        <v>25.9</v>
      </c>
      <c r="R5671" t="n">
        <v>29</v>
      </c>
      <c r="S5671" t="n">
        <v>2375000</v>
      </c>
      <c r="T5671" t="n">
        <v>4750</v>
      </c>
      <c r="U5671" t="n">
        <v>79</v>
      </c>
      <c r="AH5671" t="inlineStr">
        <is>
          <t>Quelle: Balearic Properties</t>
        </is>
      </c>
    </row>
    <row r="5672">
      <c r="A5672" t="n">
        <v>5485</v>
      </c>
      <c r="B5672" t="inlineStr">
        <is>
          <t>State-of-the-art town house for sale in the heart of Santanyí, Mallorca</t>
        </is>
      </c>
      <c r="C5672" t="inlineStr">
        <is>
          <t>https://www.balearic-properties.com/en/property/id/905540-townhouse-santanyi-pool-luxury-santanyi-mallorca-html</t>
        </is>
      </c>
      <c r="E5672" t="n">
        <v>4</v>
      </c>
      <c r="G5672" t="n">
        <v>208</v>
      </c>
      <c r="H5672" t="n">
        <v>334</v>
      </c>
      <c r="J5672" t="inlineStr">
        <is>
          <t>Santanyí</t>
        </is>
      </c>
      <c r="K5672" t="n">
        <v>45.4</v>
      </c>
      <c r="L5672" t="n">
        <v>39</v>
      </c>
      <c r="M5672" t="n">
        <v>9</v>
      </c>
      <c r="N5672" t="n">
        <v>13</v>
      </c>
      <c r="O5672" t="n">
        <v>83.59999999999999</v>
      </c>
      <c r="P5672" t="n">
        <v>67</v>
      </c>
      <c r="Q5672" t="n">
        <v>9.699999999999999</v>
      </c>
      <c r="R5672" t="n">
        <v>15</v>
      </c>
      <c r="S5672" t="n">
        <v>3600000</v>
      </c>
      <c r="T5672" t="n">
        <v>10778</v>
      </c>
      <c r="U5672" t="n">
        <v>17308</v>
      </c>
      <c r="AH5672" t="inlineStr">
        <is>
          <t>Quelle: Balearic Properties</t>
        </is>
      </c>
    </row>
    <row r="5673">
      <c r="A5673" t="n">
        <v>5486</v>
      </c>
      <c r="B5673" t="inlineStr">
        <is>
          <t>Luxurious villa for sale in Nova Santa Ponsa, Mallorca</t>
        </is>
      </c>
      <c r="C5673" t="inlineStr">
        <is>
          <t>https://www.balearic-properties.com/en/property/id/903870-luxurious-villa-nova-santa-ponsa-mallorca-html</t>
        </is>
      </c>
      <c r="E5673" t="n">
        <v>6</v>
      </c>
      <c r="G5673" t="n">
        <v>2135</v>
      </c>
      <c r="H5673" t="n">
        <v>1050</v>
      </c>
      <c r="J5673" t="inlineStr">
        <is>
          <t>Santa Ponsa</t>
        </is>
      </c>
      <c r="K5673" t="n">
        <v>31.1</v>
      </c>
      <c r="L5673" t="n">
        <v>28</v>
      </c>
      <c r="M5673" t="n">
        <v>73.90000000000001</v>
      </c>
      <c r="N5673" t="n">
        <v>61</v>
      </c>
      <c r="O5673" t="n">
        <v>15.2</v>
      </c>
      <c r="P5673" t="n">
        <v>19</v>
      </c>
      <c r="Q5673" t="n">
        <v>71.59999999999999</v>
      </c>
      <c r="R5673" t="n">
        <v>57</v>
      </c>
      <c r="S5673" t="n">
        <v>8900000</v>
      </c>
      <c r="T5673" t="n">
        <v>8476</v>
      </c>
      <c r="U5673" t="n">
        <v>4169</v>
      </c>
      <c r="AH5673" t="inlineStr">
        <is>
          <t>Quelle: Balearic Properties</t>
        </is>
      </c>
    </row>
    <row r="5674">
      <c r="A5674" t="n">
        <v>5487</v>
      </c>
      <c r="B5674" t="inlineStr">
        <is>
          <t>Outstanding villa with panoramic views for sale in Canyamel, Mallorca</t>
        </is>
      </c>
      <c r="C5674" t="inlineStr">
        <is>
          <t>https://www.balearic-properties.com/en/property/id/909080-villa-stunning-views-rental-license-canyamel-mallorca-html</t>
        </is>
      </c>
      <c r="E5674" t="n">
        <v>5</v>
      </c>
      <c r="G5674" t="n">
        <v>1800</v>
      </c>
      <c r="H5674" t="n">
        <v>469</v>
      </c>
      <c r="J5674" t="inlineStr">
        <is>
          <t>Canyamel</t>
        </is>
      </c>
      <c r="K5674" t="n">
        <v>74.7</v>
      </c>
      <c r="L5674" t="n">
        <v>65</v>
      </c>
      <c r="M5674" t="n">
        <v>70.09999999999999</v>
      </c>
      <c r="N5674" t="n">
        <v>68</v>
      </c>
      <c r="O5674" t="n">
        <v>108.9</v>
      </c>
      <c r="P5674" t="n">
        <v>90</v>
      </c>
      <c r="Q5674" t="n">
        <v>67.8</v>
      </c>
      <c r="R5674" t="n">
        <v>65</v>
      </c>
      <c r="S5674" t="n">
        <v>2800000</v>
      </c>
      <c r="T5674" t="n">
        <v>5970</v>
      </c>
      <c r="U5674" t="n">
        <v>1556</v>
      </c>
      <c r="AH5674" t="inlineStr">
        <is>
          <t>Quelle: Balearic Properties</t>
        </is>
      </c>
    </row>
    <row r="5675">
      <c r="A5675" t="n">
        <v>5488</v>
      </c>
      <c r="B5675" t="inlineStr">
        <is>
          <t>Country villa with holiday license for sale near Santa Maria, Mallorca</t>
        </is>
      </c>
      <c r="C5675" t="inlineStr">
        <is>
          <t>https://www.balearic-properties.com/en/property/id/909492-finca-rental-license-santa-maria-mallorca-html</t>
        </is>
      </c>
      <c r="E5675" t="n">
        <v>6</v>
      </c>
      <c r="G5675" t="n">
        <v>10654</v>
      </c>
      <c r="H5675" t="n">
        <v>474</v>
      </c>
      <c r="J5675" t="inlineStr">
        <is>
          <t>Santa Maria del Camí</t>
        </is>
      </c>
      <c r="K5675" t="n">
        <v>23.5</v>
      </c>
      <c r="L5675" t="n">
        <v>21</v>
      </c>
      <c r="M5675" t="n">
        <v>66.3</v>
      </c>
      <c r="N5675" t="n">
        <v>54</v>
      </c>
      <c r="O5675" t="n">
        <v>46.1</v>
      </c>
      <c r="P5675" t="n">
        <v>37</v>
      </c>
      <c r="Q5675" t="n">
        <v>64</v>
      </c>
      <c r="R5675" t="n">
        <v>51</v>
      </c>
      <c r="S5675" t="n">
        <v>2500000</v>
      </c>
      <c r="T5675" t="n">
        <v>5274</v>
      </c>
      <c r="U5675" t="n">
        <v>235</v>
      </c>
      <c r="AH5675" t="inlineStr">
        <is>
          <t>Quelle: Balearic Properties</t>
        </is>
      </c>
    </row>
    <row r="5676">
      <c r="A5676" t="n">
        <v>5489</v>
      </c>
      <c r="B5676" t="inlineStr">
        <is>
          <t>Newly built apartments with community pool for sale in Palmanova, Mallorca</t>
        </is>
      </c>
      <c r="C5676" t="inlineStr">
        <is>
          <t>https://www.balearic-properties.com/en/property/id/909704-newly-built-apartments-with-community-pool-for-sale-in-palmanova-mallorca-html</t>
        </is>
      </c>
      <c r="E5676" t="n">
        <v>3</v>
      </c>
      <c r="G5676" t="n">
        <v>0</v>
      </c>
      <c r="H5676" t="n">
        <v>207</v>
      </c>
      <c r="J5676" t="inlineStr">
        <is>
          <t>Palmanova</t>
        </is>
      </c>
      <c r="S5676" t="n">
        <v>815000</v>
      </c>
      <c r="T5676" t="n">
        <v>3937</v>
      </c>
      <c r="AH5676" t="inlineStr">
        <is>
          <t>Quelle: Balearic Properties</t>
        </is>
      </c>
    </row>
    <row r="5677">
      <c r="A5677" t="n">
        <v>5490</v>
      </c>
      <c r="B5677" t="inlineStr">
        <is>
          <t>Newly built apartments with community pool for sale in Palmanova, Mallorca</t>
        </is>
      </c>
      <c r="C5677" t="inlineStr">
        <is>
          <t>https://www.balearic-properties.com/en/property/id/909703-newly-built-apartments-with-community-pool-for-sale-in-palmanova-mallorca-html</t>
        </is>
      </c>
      <c r="E5677" t="n">
        <v>2</v>
      </c>
      <c r="G5677" t="n">
        <v>0</v>
      </c>
      <c r="H5677" t="n">
        <v>244</v>
      </c>
      <c r="J5677" t="inlineStr">
        <is>
          <t>Palmanova</t>
        </is>
      </c>
      <c r="S5677" t="n">
        <v>765000</v>
      </c>
      <c r="T5677" t="n">
        <v>3135</v>
      </c>
      <c r="AH5677" t="inlineStr">
        <is>
          <t>Quelle: Balearic Properties</t>
        </is>
      </c>
    </row>
    <row r="5678">
      <c r="A5678" t="n">
        <v>5491</v>
      </c>
      <c r="B5678" t="inlineStr">
        <is>
          <t>Town house in need of renovation for sale in the centre of Pollensa, Mallorca</t>
        </is>
      </c>
      <c r="C5678" t="inlineStr">
        <is>
          <t>https://www.balearic-properties.com/en/property/id/907724-townhouse-renovation-pollensa-mallorca-html</t>
        </is>
      </c>
      <c r="E5678" t="n">
        <v>3</v>
      </c>
      <c r="G5678" t="n">
        <v>117</v>
      </c>
      <c r="H5678" t="n">
        <v>148</v>
      </c>
      <c r="J5678" t="inlineStr">
        <is>
          <t>Pollença Pueblo</t>
        </is>
      </c>
      <c r="S5678" t="n">
        <v>465000</v>
      </c>
      <c r="T5678" t="n">
        <v>3142</v>
      </c>
      <c r="U5678" t="n">
        <v>3974</v>
      </c>
      <c r="AH5678" t="inlineStr">
        <is>
          <t>Quelle: Balearic Properties</t>
        </is>
      </c>
    </row>
    <row r="5679">
      <c r="A5679" t="n">
        <v>5492</v>
      </c>
      <c r="B5679" t="inlineStr">
        <is>
          <t>Countryside villa with panoramic views for sale in Andratx, Mallorca</t>
        </is>
      </c>
      <c r="C5679" t="inlineStr">
        <is>
          <t>https://www.balearic-properties.com/en/property/id/907277-countryside-villa-panoramic-views-andratx-mallorca-html</t>
        </is>
      </c>
      <c r="E5679" t="n">
        <v>2</v>
      </c>
      <c r="G5679" t="n">
        <v>1000</v>
      </c>
      <c r="H5679" t="n">
        <v>132</v>
      </c>
      <c r="J5679" t="inlineStr">
        <is>
          <t>Andratx</t>
        </is>
      </c>
      <c r="S5679" t="n">
        <v>875000</v>
      </c>
      <c r="T5679" t="n">
        <v>6629</v>
      </c>
      <c r="U5679" t="n">
        <v>875</v>
      </c>
      <c r="AH5679" t="inlineStr">
        <is>
          <t>Quelle: Balearic Properties</t>
        </is>
      </c>
    </row>
    <row r="5680">
      <c r="A5680" t="n">
        <v>5493</v>
      </c>
      <c r="B5680" t="inlineStr">
        <is>
          <t>Semi-detached villa with pool for sale near the beach in Playa de Muro, Mallorca</t>
        </is>
      </c>
      <c r="C5680" t="inlineStr">
        <is>
          <t>https://www.balearic-properties.com/en/property/id/880715-villa-beach-playa-muro-mallorca-html</t>
        </is>
      </c>
      <c r="E5680" t="n">
        <v>5</v>
      </c>
      <c r="G5680" t="n">
        <v>290</v>
      </c>
      <c r="H5680" t="n">
        <v>188</v>
      </c>
      <c r="J5680" t="inlineStr">
        <is>
          <t>Playas de Muro</t>
        </is>
      </c>
      <c r="K5680" t="n">
        <v>64.2</v>
      </c>
      <c r="L5680" t="n">
        <v>49</v>
      </c>
      <c r="M5680" t="n">
        <v>64.90000000000001</v>
      </c>
      <c r="N5680" t="n">
        <v>67</v>
      </c>
      <c r="O5680" t="n">
        <v>86.8</v>
      </c>
      <c r="P5680" t="n">
        <v>65</v>
      </c>
      <c r="Q5680" t="n">
        <v>62.6</v>
      </c>
      <c r="R5680" t="n">
        <v>64</v>
      </c>
      <c r="S5680" t="n">
        <v>825000</v>
      </c>
      <c r="T5680" t="n">
        <v>4388</v>
      </c>
      <c r="U5680" t="n">
        <v>2845</v>
      </c>
      <c r="AH5680" t="inlineStr">
        <is>
          <t>Quelle: Balearic Properties</t>
        </is>
      </c>
    </row>
    <row r="5681">
      <c r="A5681" t="n">
        <v>5494</v>
      </c>
      <c r="B5681" t="inlineStr">
        <is>
          <t>Exceptional villa for sale close to the marina in Puerto Andratx, Mallorca</t>
        </is>
      </c>
      <c r="C5681" t="inlineStr">
        <is>
          <t>https://www.balearic-properties.com/en/property/id/874623-exceptional-villa-in-puerto-de-andratx-mallorca-html</t>
        </is>
      </c>
      <c r="E5681" t="n">
        <v>3</v>
      </c>
      <c r="G5681" t="n">
        <v>650</v>
      </c>
      <c r="H5681" t="n">
        <v>350</v>
      </c>
      <c r="J5681" t="inlineStr">
        <is>
          <t>Puerto Andratx</t>
        </is>
      </c>
      <c r="K5681" t="n">
        <v>43.5</v>
      </c>
      <c r="L5681" t="n">
        <v>38</v>
      </c>
      <c r="M5681" t="n">
        <v>86.2</v>
      </c>
      <c r="N5681" t="n">
        <v>71</v>
      </c>
      <c r="O5681" t="n">
        <v>6.3</v>
      </c>
      <c r="P5681" t="n">
        <v>11</v>
      </c>
      <c r="Q5681" t="n">
        <v>83.90000000000001</v>
      </c>
      <c r="R5681" t="n">
        <v>68</v>
      </c>
      <c r="S5681" t="n">
        <v>3550000</v>
      </c>
      <c r="T5681" t="n">
        <v>10143</v>
      </c>
      <c r="U5681" t="n">
        <v>5462</v>
      </c>
      <c r="AH5681" t="inlineStr">
        <is>
          <t>Quelle: Balearic Properties</t>
        </is>
      </c>
    </row>
    <row r="5682">
      <c r="A5682" t="n">
        <v>5495</v>
      </c>
      <c r="B5682" t="inlineStr">
        <is>
          <t>State-of-the-art finca for sale in Puigpunyent, Mallorca west</t>
        </is>
      </c>
      <c r="C5682" t="inlineStr">
        <is>
          <t>https://www.balearic-properties.com/en/property/id/684401-finca-estate-puigpunyent-mallorca-html</t>
        </is>
      </c>
      <c r="E5682" t="n">
        <v>8</v>
      </c>
      <c r="G5682" t="n">
        <v>115000</v>
      </c>
      <c r="H5682" t="n">
        <v>1400</v>
      </c>
      <c r="J5682" t="inlineStr">
        <is>
          <t>Puigpunyent</t>
        </is>
      </c>
      <c r="K5682" t="n">
        <v>26.5</v>
      </c>
      <c r="L5682" t="n">
        <v>32</v>
      </c>
      <c r="M5682" t="n">
        <v>69.3</v>
      </c>
      <c r="N5682" t="n">
        <v>65</v>
      </c>
      <c r="O5682" t="n">
        <v>42.1</v>
      </c>
      <c r="P5682" t="n">
        <v>43</v>
      </c>
      <c r="Q5682" t="n">
        <v>67</v>
      </c>
      <c r="R5682" t="n">
        <v>61</v>
      </c>
      <c r="S5682" t="n">
        <v>29500000</v>
      </c>
      <c r="T5682" t="n">
        <v>21071</v>
      </c>
      <c r="U5682" t="n">
        <v>257</v>
      </c>
      <c r="AH5682" t="inlineStr">
        <is>
          <t>Quelle: Balearic Properties</t>
        </is>
      </c>
    </row>
    <row r="5683">
      <c r="A5683" t="n">
        <v>5496</v>
      </c>
      <c r="B5683" t="inlineStr">
        <is>
          <t>Glorious Mallorcan country finca with large estate for sale in Artá, Mallorca</t>
        </is>
      </c>
      <c r="C5683" t="inlineStr">
        <is>
          <t>https://www.balearic-properties.com/en/property/id/241966-estate-finca-arta-html</t>
        </is>
      </c>
      <c r="E5683" t="n">
        <v>4</v>
      </c>
      <c r="G5683" t="n">
        <v>131075</v>
      </c>
      <c r="H5683" t="n">
        <v>750</v>
      </c>
      <c r="J5683" t="inlineStr">
        <is>
          <t>Artà</t>
        </is>
      </c>
      <c r="K5683" t="n">
        <v>68.3</v>
      </c>
      <c r="L5683" t="n">
        <v>61</v>
      </c>
      <c r="M5683" t="n">
        <v>63.7</v>
      </c>
      <c r="N5683" t="n">
        <v>64</v>
      </c>
      <c r="O5683" t="n">
        <v>102.5</v>
      </c>
      <c r="P5683" t="n">
        <v>86</v>
      </c>
      <c r="Q5683" t="n">
        <v>61.4</v>
      </c>
      <c r="R5683" t="n">
        <v>61</v>
      </c>
      <c r="S5683" t="n">
        <v>4600000</v>
      </c>
      <c r="T5683" t="n">
        <v>6133</v>
      </c>
      <c r="U5683" t="n">
        <v>35</v>
      </c>
      <c r="AH5683" t="inlineStr">
        <is>
          <t>Quelle: Balearic Properties</t>
        </is>
      </c>
    </row>
    <row r="5684">
      <c r="A5684" t="n">
        <v>5497</v>
      </c>
      <c r="B5684" t="inlineStr">
        <is>
          <t>Bright contemporary-style town house for sale in Campanet, Mallorca</t>
        </is>
      </c>
      <c r="C5684" t="inlineStr">
        <is>
          <t>https://www.balearic-properties.com/en/property/id/906326-contemporary-townhouse-campanet-mallorca-html</t>
        </is>
      </c>
      <c r="E5684" t="n">
        <v>4</v>
      </c>
      <c r="G5684" t="n">
        <v>790</v>
      </c>
      <c r="H5684" t="n">
        <v>370</v>
      </c>
      <c r="J5684" t="inlineStr">
        <is>
          <t>Campanet</t>
        </is>
      </c>
      <c r="K5684" t="n">
        <v>46.9</v>
      </c>
      <c r="L5684" t="n">
        <v>38</v>
      </c>
      <c r="M5684" t="n">
        <v>65</v>
      </c>
      <c r="N5684" t="n">
        <v>65</v>
      </c>
      <c r="O5684" t="n">
        <v>69.5</v>
      </c>
      <c r="P5684" t="n">
        <v>54</v>
      </c>
      <c r="Q5684" t="n">
        <v>62.7</v>
      </c>
      <c r="R5684" t="n">
        <v>61</v>
      </c>
      <c r="S5684" t="n">
        <v>1180000</v>
      </c>
      <c r="T5684" t="n">
        <v>3189</v>
      </c>
      <c r="U5684" t="n">
        <v>1494</v>
      </c>
      <c r="AH5684" t="inlineStr">
        <is>
          <t>Quelle: Balearic Properties</t>
        </is>
      </c>
    </row>
    <row r="5685">
      <c r="A5685" t="n">
        <v>5498</v>
      </c>
      <c r="B5685" t="inlineStr">
        <is>
          <t>Unique and spacious sea view villa for sale in Alcudia, Mallorca</t>
        </is>
      </c>
      <c r="C5685" t="inlineStr">
        <is>
          <t>https://www.balearic-properties.com/en/property/id/906834-spacious-sea-view-villa-alcudia-mallorca-html</t>
        </is>
      </c>
      <c r="E5685" t="n">
        <v>5</v>
      </c>
      <c r="G5685" t="n">
        <v>1166</v>
      </c>
      <c r="H5685" t="n">
        <v>543</v>
      </c>
      <c r="J5685" t="inlineStr">
        <is>
          <t>Alcanada</t>
        </is>
      </c>
      <c r="K5685" t="n">
        <v>64.2</v>
      </c>
      <c r="L5685" t="n">
        <v>48</v>
      </c>
      <c r="M5685" t="n">
        <v>82.3</v>
      </c>
      <c r="N5685" t="n">
        <v>75</v>
      </c>
      <c r="O5685" t="n">
        <v>86.8</v>
      </c>
      <c r="P5685" t="n">
        <v>64</v>
      </c>
      <c r="Q5685" t="n">
        <v>80</v>
      </c>
      <c r="R5685" t="n">
        <v>71</v>
      </c>
      <c r="S5685" t="n">
        <v>2275000</v>
      </c>
      <c r="T5685" t="n">
        <v>4190</v>
      </c>
      <c r="U5685" t="n">
        <v>1951</v>
      </c>
      <c r="AH5685" t="inlineStr">
        <is>
          <t>Quelle: Balearic Properties</t>
        </is>
      </c>
    </row>
    <row r="5686">
      <c r="A5686" t="n">
        <v>5499</v>
      </c>
      <c r="B5686" t="inlineStr">
        <is>
          <t>Outstanding contemporary villa with panoramic views for sale in Selva, Mallorca</t>
        </is>
      </c>
      <c r="C5686" t="inlineStr">
        <is>
          <t>https://www.balearic-properties.com/en/property/id/906076-contemporary-villa-panoramic-views-selva-mallorca-html</t>
        </is>
      </c>
      <c r="E5686" t="n">
        <v>4</v>
      </c>
      <c r="G5686" t="n">
        <v>50000</v>
      </c>
      <c r="H5686" t="n">
        <v>374</v>
      </c>
      <c r="J5686" t="inlineStr">
        <is>
          <t>Selva</t>
        </is>
      </c>
      <c r="K5686" t="n">
        <v>44.5</v>
      </c>
      <c r="L5686" t="n">
        <v>41</v>
      </c>
      <c r="M5686" t="n">
        <v>62.6</v>
      </c>
      <c r="N5686" t="n">
        <v>67</v>
      </c>
      <c r="O5686" t="n">
        <v>67.09999999999999</v>
      </c>
      <c r="P5686" t="n">
        <v>57</v>
      </c>
      <c r="Q5686" t="n">
        <v>60.3</v>
      </c>
      <c r="R5686" t="n">
        <v>64</v>
      </c>
      <c r="S5686" t="n">
        <v>3950000</v>
      </c>
      <c r="T5686" t="n">
        <v>10561</v>
      </c>
      <c r="U5686" t="n">
        <v>79</v>
      </c>
      <c r="AH5686" t="inlineStr">
        <is>
          <t>Quelle: Balearic Properties</t>
        </is>
      </c>
    </row>
    <row r="5687">
      <c r="A5687" t="n">
        <v>5500</v>
      </c>
      <c r="B5687" t="inlineStr">
        <is>
          <t>Town house for sale with a redefining project in Pollensa, Mallorca</t>
        </is>
      </c>
      <c r="C5687" t="inlineStr">
        <is>
          <t>https://www.balearic-properties.com/en/property/id/884428-townhouse-project-pollensa-mallorca-html</t>
        </is>
      </c>
      <c r="E5687" t="n">
        <v>5</v>
      </c>
      <c r="G5687" t="n">
        <v>208</v>
      </c>
      <c r="H5687" t="n">
        <v>230</v>
      </c>
      <c r="J5687" t="inlineStr">
        <is>
          <t>Pollença Pueblo</t>
        </is>
      </c>
      <c r="K5687" t="n">
        <v>60.6</v>
      </c>
      <c r="L5687" t="n">
        <v>47</v>
      </c>
      <c r="M5687" t="n">
        <v>78.7</v>
      </c>
      <c r="N5687" t="n">
        <v>74</v>
      </c>
      <c r="O5687" t="n">
        <v>83.2</v>
      </c>
      <c r="P5687" t="n">
        <v>63</v>
      </c>
      <c r="Q5687" t="n">
        <v>76.40000000000001</v>
      </c>
      <c r="R5687" t="n">
        <v>70</v>
      </c>
      <c r="S5687" t="n">
        <v>1150000</v>
      </c>
      <c r="T5687" t="n">
        <v>5000</v>
      </c>
      <c r="U5687" t="n">
        <v>5529</v>
      </c>
      <c r="AH5687" t="inlineStr">
        <is>
          <t>Quelle: Balearic Properties</t>
        </is>
      </c>
    </row>
    <row r="5688">
      <c r="A5688" t="n">
        <v>5501</v>
      </c>
      <c r="B5688" t="inlineStr">
        <is>
          <t>Project town house with swimming pool for sale in Pollensa, Mallorca</t>
        </is>
      </c>
      <c r="C5688" t="inlineStr">
        <is>
          <t>https://www.balearic-properties.com/en/property/id/901800-renovated-townhouse-swimming-pool-pollensa-mallorca-html</t>
        </is>
      </c>
      <c r="E5688" t="n">
        <v>3</v>
      </c>
      <c r="G5688" t="n">
        <v>63</v>
      </c>
      <c r="H5688" t="n">
        <v>151</v>
      </c>
      <c r="J5688" t="inlineStr">
        <is>
          <t>Pollença Pueblo</t>
        </is>
      </c>
      <c r="K5688" t="n">
        <v>60.6</v>
      </c>
      <c r="L5688" t="n">
        <v>47</v>
      </c>
      <c r="M5688" t="n">
        <v>78.7</v>
      </c>
      <c r="N5688" t="n">
        <v>74</v>
      </c>
      <c r="O5688" t="n">
        <v>83.2</v>
      </c>
      <c r="P5688" t="n">
        <v>63</v>
      </c>
      <c r="Q5688" t="n">
        <v>76.40000000000001</v>
      </c>
      <c r="R5688" t="n">
        <v>70</v>
      </c>
      <c r="S5688" t="n">
        <v>1400000</v>
      </c>
      <c r="T5688" t="n">
        <v>9272</v>
      </c>
      <c r="U5688" t="n">
        <v>22222</v>
      </c>
      <c r="AH5688" t="inlineStr">
        <is>
          <t>Quelle: Balearic Properties</t>
        </is>
      </c>
    </row>
    <row r="5689">
      <c r="A5689" t="n">
        <v>5502</v>
      </c>
      <c r="B5689" t="inlineStr">
        <is>
          <t>Villa with rental license for sale on the seafront in Bahía Azúl, Mallorca</t>
        </is>
      </c>
      <c r="C5689" t="inlineStr">
        <is>
          <t>https://www.balearic-properties.com/en/property/id/891221-villa-with-tourist-license-on-the-seafront-for-sale-in-bahia-azul-mallorca-html</t>
        </is>
      </c>
      <c r="E5689" t="n">
        <v>5</v>
      </c>
      <c r="G5689" t="n">
        <v>1446</v>
      </c>
      <c r="H5689" t="n">
        <v>342</v>
      </c>
      <c r="J5689" t="inlineStr">
        <is>
          <t>Bahia Azul</t>
        </is>
      </c>
      <c r="K5689" t="n">
        <v>18.3</v>
      </c>
      <c r="L5689" t="n">
        <v>20</v>
      </c>
      <c r="M5689" t="n">
        <v>40.6</v>
      </c>
      <c r="N5689" t="n">
        <v>40</v>
      </c>
      <c r="O5689" t="n">
        <v>56.5</v>
      </c>
      <c r="P5689" t="n">
        <v>48</v>
      </c>
      <c r="Q5689" t="n">
        <v>38.3</v>
      </c>
      <c r="R5689" t="n">
        <v>36</v>
      </c>
      <c r="S5689" t="n">
        <v>3875000</v>
      </c>
      <c r="T5689" t="n">
        <v>11330</v>
      </c>
      <c r="U5689" t="n">
        <v>2680</v>
      </c>
      <c r="AH5689" t="inlineStr">
        <is>
          <t>Quelle: Balearic Properties</t>
        </is>
      </c>
    </row>
    <row r="5690">
      <c r="A5690" t="n">
        <v>5503</v>
      </c>
      <c r="B5690" t="inlineStr">
        <is>
          <t>Brand new finca for sale with stunning views in Santanyi, Mallorca</t>
        </is>
      </c>
      <c r="C5690" t="inlineStr">
        <is>
          <t>https://www.balearic-properties.com/en/property/id/903948-new-finca-santanyi-mallorca-html</t>
        </is>
      </c>
      <c r="E5690" t="n">
        <v>4</v>
      </c>
      <c r="G5690" t="n">
        <v>16299</v>
      </c>
      <c r="H5690" t="n">
        <v>450</v>
      </c>
      <c r="J5690" t="inlineStr">
        <is>
          <t>Llombards</t>
        </is>
      </c>
      <c r="K5690" t="n">
        <v>49.1</v>
      </c>
      <c r="L5690" t="n">
        <v>44</v>
      </c>
      <c r="M5690" t="n">
        <v>5.4</v>
      </c>
      <c r="N5690" t="n">
        <v>9</v>
      </c>
      <c r="O5690" t="n">
        <v>87.3</v>
      </c>
      <c r="P5690" t="n">
        <v>72</v>
      </c>
      <c r="Q5690" t="n">
        <v>6.1</v>
      </c>
      <c r="R5690" t="n">
        <v>11</v>
      </c>
      <c r="S5690" t="n">
        <v>2400000</v>
      </c>
      <c r="T5690" t="n">
        <v>5333</v>
      </c>
      <c r="U5690" t="n">
        <v>147</v>
      </c>
      <c r="AH5690" t="inlineStr">
        <is>
          <t>Quelle: Balearic Properties</t>
        </is>
      </c>
    </row>
    <row r="5691">
      <c r="A5691" t="n">
        <v>5504</v>
      </c>
      <c r="B5691" t="inlineStr">
        <is>
          <t>Enchanting new finca for sale near Alaró, Mallorca</t>
        </is>
      </c>
      <c r="C5691" t="inlineStr">
        <is>
          <t>https://www.balearic-properties.com/en/property/id/904717-enchanting-new-finca-in-the-alaro-countryside-mallorca-html</t>
        </is>
      </c>
      <c r="E5691" t="n">
        <v>4</v>
      </c>
      <c r="G5691" t="n">
        <v>15976</v>
      </c>
      <c r="H5691" t="n">
        <v>480</v>
      </c>
      <c r="J5691" t="inlineStr">
        <is>
          <t>Alaró</t>
        </is>
      </c>
      <c r="K5691" t="n">
        <v>33.4</v>
      </c>
      <c r="L5691" t="n">
        <v>33</v>
      </c>
      <c r="M5691" t="n">
        <v>76.09999999999999</v>
      </c>
      <c r="N5691" t="n">
        <v>66</v>
      </c>
      <c r="O5691" t="n">
        <v>55.9</v>
      </c>
      <c r="P5691" t="n">
        <v>49</v>
      </c>
      <c r="Q5691" t="n">
        <v>73.8</v>
      </c>
      <c r="R5691" t="n">
        <v>62</v>
      </c>
      <c r="S5691" t="n">
        <v>7000000</v>
      </c>
      <c r="T5691" t="n">
        <v>14583</v>
      </c>
      <c r="U5691" t="n">
        <v>438</v>
      </c>
      <c r="AH5691" t="inlineStr">
        <is>
          <t>Quelle: Balearic Properties</t>
        </is>
      </c>
    </row>
    <row r="5692">
      <c r="A5692" t="n">
        <v>5505</v>
      </c>
      <c r="B5692" t="inlineStr">
        <is>
          <t>Outstanding villa for sale in the exclusive area of Mas Pal, Mallorca</t>
        </is>
      </c>
      <c r="C5692" t="inlineStr">
        <is>
          <t>https://www.balearic-properties.com/en/property/id/888393-outstanding-villa-exclusive-area-mal-pas-mallorca-html</t>
        </is>
      </c>
      <c r="E5692" t="n">
        <v>6</v>
      </c>
      <c r="G5692" t="n">
        <v>6000</v>
      </c>
      <c r="H5692" t="n">
        <v>546</v>
      </c>
      <c r="J5692" t="inlineStr">
        <is>
          <t>Mal Pas</t>
        </is>
      </c>
      <c r="K5692" t="n">
        <v>63.3</v>
      </c>
      <c r="L5692" t="n">
        <v>51</v>
      </c>
      <c r="M5692" t="n">
        <v>81.40000000000001</v>
      </c>
      <c r="N5692" t="n">
        <v>78</v>
      </c>
      <c r="O5692" t="n">
        <v>85.90000000000001</v>
      </c>
      <c r="P5692" t="n">
        <v>67</v>
      </c>
      <c r="Q5692" t="n">
        <v>79.09999999999999</v>
      </c>
      <c r="R5692" t="n">
        <v>74</v>
      </c>
      <c r="AH5692" t="inlineStr">
        <is>
          <t>Quelle: Balearic Properties</t>
        </is>
      </c>
    </row>
    <row r="5693">
      <c r="A5693" t="n">
        <v>5506</v>
      </c>
      <c r="B5693" t="inlineStr">
        <is>
          <t>Exclusive villa with panoramic views for sale in Esporles, Mallorca</t>
        </is>
      </c>
      <c r="C5693" t="inlineStr">
        <is>
          <t>https://www.balearic-properties.com/en/property/id/903954-villa-views-hillside-esporles-mallorca-html</t>
        </is>
      </c>
      <c r="E5693" t="n">
        <v>7</v>
      </c>
      <c r="G5693" t="n">
        <v>3000</v>
      </c>
      <c r="H5693" t="n">
        <v>800</v>
      </c>
      <c r="J5693" t="inlineStr">
        <is>
          <t>Esporles</t>
        </is>
      </c>
      <c r="K5693" t="n">
        <v>24.9</v>
      </c>
      <c r="L5693" t="n">
        <v>27</v>
      </c>
      <c r="M5693" t="n">
        <v>67.59999999999999</v>
      </c>
      <c r="N5693" t="n">
        <v>60</v>
      </c>
      <c r="O5693" t="n">
        <v>43.2</v>
      </c>
      <c r="P5693" t="n">
        <v>40</v>
      </c>
      <c r="Q5693" t="n">
        <v>65.3</v>
      </c>
      <c r="R5693" t="n">
        <v>57</v>
      </c>
      <c r="S5693" t="n">
        <v>6950000</v>
      </c>
      <c r="T5693" t="n">
        <v>8688</v>
      </c>
      <c r="U5693" t="n">
        <v>2317</v>
      </c>
      <c r="AH5693" t="inlineStr">
        <is>
          <t>Quelle: Balearic Properties</t>
        </is>
      </c>
    </row>
    <row r="5694">
      <c r="A5694" t="n">
        <v>5507</v>
      </c>
      <c r="B5694" t="inlineStr">
        <is>
          <t>Village house with pool and lots of character for sale in Llubí, Mallorca Centre</t>
        </is>
      </c>
      <c r="C5694" t="inlineStr">
        <is>
          <t>https://www.balearic-properties.com/en/property/id/903834-village-house-pool-llubi-mallorca-html</t>
        </is>
      </c>
      <c r="E5694" t="n">
        <v>2</v>
      </c>
      <c r="G5694" t="n">
        <v>713</v>
      </c>
      <c r="H5694" t="n">
        <v>240</v>
      </c>
      <c r="J5694" t="inlineStr">
        <is>
          <t>Llubí</t>
        </is>
      </c>
      <c r="S5694" t="n">
        <v>980000</v>
      </c>
      <c r="T5694" t="n">
        <v>4083</v>
      </c>
      <c r="U5694" t="n">
        <v>1374</v>
      </c>
      <c r="AH5694" t="inlineStr">
        <is>
          <t>Quelle: Balearic Properties</t>
        </is>
      </c>
    </row>
    <row r="5695">
      <c r="A5695" t="n">
        <v>5508</v>
      </c>
      <c r="B5695" t="inlineStr">
        <is>
          <t>Town house to refurbish for sale in Pollensa, Mallorca</t>
        </is>
      </c>
      <c r="C5695" t="inlineStr">
        <is>
          <t>https://www.balearic-properties.com/en/property/id/887249-town-house-pollensa-mallorca-html</t>
        </is>
      </c>
      <c r="E5695" t="n">
        <v>4</v>
      </c>
      <c r="G5695" t="n">
        <v>100</v>
      </c>
      <c r="H5695" t="n">
        <v>160</v>
      </c>
      <c r="J5695" t="inlineStr">
        <is>
          <t>Pollença Pueblo</t>
        </is>
      </c>
      <c r="S5695" t="n">
        <v>430000</v>
      </c>
      <c r="T5695" t="n">
        <v>2688</v>
      </c>
      <c r="U5695" t="n">
        <v>4300</v>
      </c>
      <c r="AH5695" t="inlineStr">
        <is>
          <t>Quelle: Balearic Properties</t>
        </is>
      </c>
    </row>
    <row r="5696">
      <c r="A5696" t="n">
        <v>5509</v>
      </c>
      <c r="B5696" t="inlineStr">
        <is>
          <t>State-of-the-art finca with panoramic views for sale in Calviá, Mallorca</t>
        </is>
      </c>
      <c r="C5696" t="inlineStr">
        <is>
          <t>https://www.balearic-properties.com/en/property/id/902064-luxurious-modern-finca-calvia-mallorca-html</t>
        </is>
      </c>
      <c r="E5696" t="n">
        <v>6</v>
      </c>
      <c r="G5696" t="n">
        <v>82689</v>
      </c>
      <c r="H5696" t="n">
        <v>777</v>
      </c>
      <c r="J5696" t="inlineStr">
        <is>
          <t>Capdellà</t>
        </is>
      </c>
      <c r="K5696" t="n">
        <v>34.8</v>
      </c>
      <c r="L5696" t="n">
        <v>33</v>
      </c>
      <c r="M5696" t="n">
        <v>77.5</v>
      </c>
      <c r="N5696" t="n">
        <v>66</v>
      </c>
      <c r="O5696" t="n">
        <v>13.6</v>
      </c>
      <c r="P5696" t="n">
        <v>19</v>
      </c>
      <c r="Q5696" t="n">
        <v>75.2</v>
      </c>
      <c r="R5696" t="n">
        <v>63</v>
      </c>
      <c r="S5696" t="n">
        <v>11800000</v>
      </c>
      <c r="T5696" t="n">
        <v>15187</v>
      </c>
      <c r="U5696" t="n">
        <v>143</v>
      </c>
      <c r="AH5696" t="inlineStr">
        <is>
          <t>Quelle: Balearic Properties</t>
        </is>
      </c>
    </row>
    <row r="5697">
      <c r="A5697" t="n">
        <v>5510</v>
      </c>
      <c r="B5697" t="inlineStr">
        <is>
          <t>Three-storey house with incredible sea views for sale in Alcudia, Mallorca</t>
        </is>
      </c>
      <c r="C5697" t="inlineStr">
        <is>
          <t>https://www.balearic-properties.com/en/property/id/888084-three-storey-house-sea-views-alcudia-mallorca-html</t>
        </is>
      </c>
      <c r="E5697" t="n">
        <v>2</v>
      </c>
      <c r="G5697" t="n">
        <v>0</v>
      </c>
      <c r="H5697" t="n">
        <v>134</v>
      </c>
      <c r="J5697" t="inlineStr">
        <is>
          <t>Alcanada</t>
        </is>
      </c>
      <c r="S5697" t="n">
        <v>590000</v>
      </c>
      <c r="T5697" t="n">
        <v>4403</v>
      </c>
      <c r="AH5697" t="inlineStr">
        <is>
          <t>Quelle: Balearic Properties</t>
        </is>
      </c>
    </row>
    <row r="5698">
      <c r="A5698" t="n">
        <v>5511</v>
      </c>
      <c r="B5698" t="inlineStr">
        <is>
          <t>Centrally located town house investment for sale in Pollensa, Mallorca</t>
        </is>
      </c>
      <c r="C5698" t="inlineStr">
        <is>
          <t>https://www.balearic-properties.com/en/property/id/881619-perfectly-located-townhouse-investment-pollensa-mallorca-html</t>
        </is>
      </c>
      <c r="E5698" t="n">
        <v>0</v>
      </c>
      <c r="G5698" t="n">
        <v>77</v>
      </c>
      <c r="H5698" t="n">
        <v>253</v>
      </c>
      <c r="J5698" t="inlineStr">
        <is>
          <t>Pollença Pueblo</t>
        </is>
      </c>
      <c r="K5698" t="n">
        <v>60.6</v>
      </c>
      <c r="L5698" t="n">
        <v>47</v>
      </c>
      <c r="M5698" t="n">
        <v>78.7</v>
      </c>
      <c r="N5698" t="n">
        <v>74</v>
      </c>
      <c r="O5698" t="n">
        <v>83.2</v>
      </c>
      <c r="P5698" t="n">
        <v>63</v>
      </c>
      <c r="Q5698" t="n">
        <v>76.40000000000001</v>
      </c>
      <c r="R5698" t="n">
        <v>70</v>
      </c>
      <c r="S5698" t="n">
        <v>1550000</v>
      </c>
      <c r="T5698" t="n">
        <v>6126</v>
      </c>
      <c r="U5698" t="n">
        <v>20130</v>
      </c>
      <c r="AH5698" t="inlineStr">
        <is>
          <t>Quelle: Balearic Properties</t>
        </is>
      </c>
    </row>
    <row r="5699">
      <c r="A5699" t="n">
        <v>5512</v>
      </c>
      <c r="B5699" t="inlineStr">
        <is>
          <t>Exceptional penthouse with large roof terrace for sale in Portixol, Palma de Mallorca</t>
        </is>
      </c>
      <c r="C5699" t="inlineStr">
        <is>
          <t>https://www.balearic-properties.com/en/property/id/810385-new-apartment-portixol-html</t>
        </is>
      </c>
      <c r="E5699" t="n">
        <v>3</v>
      </c>
      <c r="G5699" t="n">
        <v>0</v>
      </c>
      <c r="H5699" t="n">
        <v>412</v>
      </c>
      <c r="J5699" t="inlineStr">
        <is>
          <t>Palma de Mallorca</t>
        </is>
      </c>
      <c r="K5699" t="n">
        <v>9.699999999999999</v>
      </c>
      <c r="L5699" t="n">
        <v>14</v>
      </c>
      <c r="M5699" t="n">
        <v>52.5</v>
      </c>
      <c r="N5699" t="n">
        <v>47</v>
      </c>
      <c r="O5699" t="n">
        <v>32.1</v>
      </c>
      <c r="P5699" t="n">
        <v>36</v>
      </c>
      <c r="Q5699" t="n">
        <v>50.2</v>
      </c>
      <c r="R5699" t="n">
        <v>44</v>
      </c>
      <c r="S5699" t="n">
        <v>2850000</v>
      </c>
      <c r="T5699" t="n">
        <v>6917</v>
      </c>
      <c r="AH5699" t="inlineStr">
        <is>
          <t>Quelle: Balearic Properties</t>
        </is>
      </c>
    </row>
    <row r="5700">
      <c r="A5700" t="n">
        <v>5513</v>
      </c>
      <c r="B5700" t="inlineStr">
        <is>
          <t>New development close to the beach for sale in Portixol, Palma de Mallorca</t>
        </is>
      </c>
      <c r="C5700" t="inlineStr">
        <is>
          <t>https://www.balearic-properties.com/en/property/id/798743-new-apartments-portixol-html</t>
        </is>
      </c>
      <c r="E5700" t="n">
        <v>2</v>
      </c>
      <c r="G5700" t="n">
        <v>0</v>
      </c>
      <c r="H5700" t="n">
        <v>160</v>
      </c>
      <c r="J5700" t="inlineStr">
        <is>
          <t>Palma de Mallorca</t>
        </is>
      </c>
      <c r="K5700" t="n">
        <v>9.699999999999999</v>
      </c>
      <c r="L5700" t="n">
        <v>14</v>
      </c>
      <c r="M5700" t="n">
        <v>52.5</v>
      </c>
      <c r="N5700" t="n">
        <v>47</v>
      </c>
      <c r="O5700" t="n">
        <v>32.1</v>
      </c>
      <c r="P5700" t="n">
        <v>36</v>
      </c>
      <c r="Q5700" t="n">
        <v>50.2</v>
      </c>
      <c r="R5700" t="n">
        <v>44</v>
      </c>
      <c r="S5700" t="n">
        <v>1390000</v>
      </c>
      <c r="T5700" t="n">
        <v>8688</v>
      </c>
      <c r="AH5700" t="inlineStr">
        <is>
          <t>Quelle: Balearic Properties</t>
        </is>
      </c>
    </row>
    <row r="5701">
      <c r="A5701" t="n">
        <v>5514</v>
      </c>
      <c r="B5701" t="inlineStr">
        <is>
          <t>Charming and historic house with hotel license for sale in Cas Concos, Felanitx, Mallorca</t>
        </is>
      </c>
      <c r="C5701" t="inlineStr">
        <is>
          <t>https://www.balearic-properties.com/en/property/id/896220-charming-boutique-hotel-cas-concos-felanitx-mallorca-html</t>
        </is>
      </c>
      <c r="E5701" t="n">
        <v>6</v>
      </c>
      <c r="G5701" t="n">
        <v>2456</v>
      </c>
      <c r="H5701" t="n">
        <v>430</v>
      </c>
      <c r="J5701" t="inlineStr">
        <is>
          <t>Felanitx</t>
        </is>
      </c>
      <c r="K5701" t="n">
        <v>45</v>
      </c>
      <c r="L5701" t="n">
        <v>40</v>
      </c>
      <c r="M5701" t="n">
        <v>26.8</v>
      </c>
      <c r="N5701" t="n">
        <v>30</v>
      </c>
      <c r="O5701" t="n">
        <v>83.2</v>
      </c>
      <c r="P5701" t="n">
        <v>68</v>
      </c>
      <c r="Q5701" t="n">
        <v>24.5</v>
      </c>
      <c r="R5701" t="n">
        <v>26</v>
      </c>
      <c r="S5701" t="n">
        <v>3495000</v>
      </c>
      <c r="T5701" t="n">
        <v>8128</v>
      </c>
      <c r="U5701" t="n">
        <v>1423</v>
      </c>
      <c r="AH5701" t="inlineStr">
        <is>
          <t>Quelle: Balearic Properties</t>
        </is>
      </c>
    </row>
    <row r="5702">
      <c r="A5702" t="n">
        <v>5515</v>
      </c>
      <c r="B5702" t="inlineStr">
        <is>
          <t>Beautiful villa with sea views and extension project for sale in Puerto Andratx, Mallorca</t>
        </is>
      </c>
      <c r="C5702" t="inlineStr">
        <is>
          <t>https://www.balearic-properties.com/en/property/id/865136-modern-villa-sea-views-andratx-html</t>
        </is>
      </c>
      <c r="E5702" t="n">
        <v>3</v>
      </c>
      <c r="G5702" t="n">
        <v>1450</v>
      </c>
      <c r="H5702" t="n">
        <v>406</v>
      </c>
      <c r="J5702" t="inlineStr">
        <is>
          <t>Puerto Andratx</t>
        </is>
      </c>
      <c r="K5702" t="n">
        <v>43.5</v>
      </c>
      <c r="L5702" t="n">
        <v>38</v>
      </c>
      <c r="M5702" t="n">
        <v>86.2</v>
      </c>
      <c r="N5702" t="n">
        <v>71</v>
      </c>
      <c r="O5702" t="n">
        <v>6.3</v>
      </c>
      <c r="P5702" t="n">
        <v>11</v>
      </c>
      <c r="Q5702" t="n">
        <v>83.90000000000001</v>
      </c>
      <c r="R5702" t="n">
        <v>68</v>
      </c>
      <c r="S5702" t="n">
        <v>4450000</v>
      </c>
      <c r="T5702" t="n">
        <v>10961</v>
      </c>
      <c r="U5702" t="n">
        <v>3069</v>
      </c>
      <c r="AH5702" t="inlineStr">
        <is>
          <t>Quelle: Balearic Properties</t>
        </is>
      </c>
    </row>
    <row r="5703">
      <c r="A5703" t="n">
        <v>5516</v>
      </c>
      <c r="B5703" t="inlineStr">
        <is>
          <t>New luxury penthouse with pool and sea views for sale in Santa Ponsa, Mallorca</t>
        </is>
      </c>
      <c r="C5703" t="inlineStr">
        <is>
          <t>https://www.balearic-properties.com/en/property/id/850282-luxury-seaview-penthouse-santa-ponsa-mallorca-html</t>
        </is>
      </c>
      <c r="E5703" t="n">
        <v>4</v>
      </c>
      <c r="G5703" t="n">
        <v>0</v>
      </c>
      <c r="H5703" t="n">
        <v>263</v>
      </c>
      <c r="J5703" t="inlineStr">
        <is>
          <t>Santa Ponsa</t>
        </is>
      </c>
      <c r="K5703" t="n">
        <v>31.1</v>
      </c>
      <c r="L5703" t="n">
        <v>28</v>
      </c>
      <c r="M5703" t="n">
        <v>73.90000000000001</v>
      </c>
      <c r="N5703" t="n">
        <v>61</v>
      </c>
      <c r="O5703" t="n">
        <v>15.2</v>
      </c>
      <c r="P5703" t="n">
        <v>19</v>
      </c>
      <c r="Q5703" t="n">
        <v>71.59999999999999</v>
      </c>
      <c r="R5703" t="n">
        <v>57</v>
      </c>
      <c r="S5703" t="n">
        <v>2820000</v>
      </c>
      <c r="T5703" t="n">
        <v>10722</v>
      </c>
      <c r="AH5703" t="inlineStr">
        <is>
          <t>Quelle: Balearic Properties</t>
        </is>
      </c>
    </row>
    <row r="5704">
      <c r="A5704" t="n">
        <v>5517</v>
      </c>
      <c r="B5704" t="inlineStr">
        <is>
          <t>Stunning house with luxury facilities for sale in Palma, Mallorca</t>
        </is>
      </c>
      <c r="C5704" t="inlineStr">
        <is>
          <t>https://www.balearic-properties.com/en/property/id/887822-luxurious-townhouse-with-spa-roof-terrace-palma-mallorca-html</t>
        </is>
      </c>
      <c r="E5704" t="n">
        <v>5</v>
      </c>
      <c r="G5704" t="n">
        <v>110</v>
      </c>
      <c r="H5704" t="n">
        <v>698</v>
      </c>
      <c r="J5704" t="inlineStr">
        <is>
          <t>Palma de Mallorca</t>
        </is>
      </c>
      <c r="K5704" t="n">
        <v>9.699999999999999</v>
      </c>
      <c r="L5704" t="n">
        <v>14</v>
      </c>
      <c r="M5704" t="n">
        <v>52.5</v>
      </c>
      <c r="N5704" t="n">
        <v>47</v>
      </c>
      <c r="O5704" t="n">
        <v>32.1</v>
      </c>
      <c r="P5704" t="n">
        <v>36</v>
      </c>
      <c r="Q5704" t="n">
        <v>50.2</v>
      </c>
      <c r="R5704" t="n">
        <v>44</v>
      </c>
      <c r="S5704" t="n">
        <v>9200000</v>
      </c>
      <c r="T5704" t="n">
        <v>13181</v>
      </c>
      <c r="U5704" t="n">
        <v>83636</v>
      </c>
      <c r="AH5704" t="inlineStr">
        <is>
          <t>Quelle: Balearic Properties</t>
        </is>
      </c>
    </row>
    <row r="5705">
      <c r="A5705" t="n">
        <v>5518</v>
      </c>
      <c r="B5705" t="inlineStr">
        <is>
          <t>Prestigeous townhouse under construction in Old Town of Palma for sale, Mallorca</t>
        </is>
      </c>
      <c r="C5705" t="inlineStr">
        <is>
          <t>https://www.balearic-properties.com/en/property/id/888421-prestigeous-townhouse-under-construction-in-the-heart-of-palma-for-sale-mallorca</t>
        </is>
      </c>
      <c r="E5705" t="n">
        <v>4</v>
      </c>
      <c r="G5705" t="n">
        <v>82</v>
      </c>
      <c r="H5705" t="n">
        <v>388</v>
      </c>
      <c r="J5705" t="inlineStr">
        <is>
          <t>Palma Casco Antiguo</t>
        </is>
      </c>
      <c r="K5705" t="n">
        <v>9.699999999999999</v>
      </c>
      <c r="L5705" t="n">
        <v>14</v>
      </c>
      <c r="M5705" t="n">
        <v>52.5</v>
      </c>
      <c r="N5705" t="n">
        <v>47</v>
      </c>
      <c r="O5705" t="n">
        <v>32.1</v>
      </c>
      <c r="P5705" t="n">
        <v>36</v>
      </c>
      <c r="Q5705" t="n">
        <v>50.2</v>
      </c>
      <c r="R5705" t="n">
        <v>44</v>
      </c>
      <c r="S5705" t="n">
        <v>3850000</v>
      </c>
      <c r="T5705" t="n">
        <v>9923</v>
      </c>
      <c r="U5705" t="n">
        <v>46951</v>
      </c>
      <c r="AH5705" t="inlineStr">
        <is>
          <t>Quelle: Balearic Properties</t>
        </is>
      </c>
    </row>
    <row r="5706">
      <c r="A5706" t="n">
        <v>5519</v>
      </c>
      <c r="B5706" t="inlineStr">
        <is>
          <t>Finca with a wonderful reform project for sale in Alcudia, north Mallorca</t>
        </is>
      </c>
      <c r="C5706" t="inlineStr">
        <is>
          <t>https://www.balearic-properties.com/en/property/id/887000-country-home-alcudia-mallorca-html</t>
        </is>
      </c>
      <c r="E5706" t="n">
        <v>4</v>
      </c>
      <c r="G5706" t="n">
        <v>28222</v>
      </c>
      <c r="H5706" t="n">
        <v>295</v>
      </c>
      <c r="J5706" t="inlineStr">
        <is>
          <t>Alcúdia</t>
        </is>
      </c>
      <c r="S5706" t="n">
        <v>950000</v>
      </c>
      <c r="T5706" t="n">
        <v>3220</v>
      </c>
      <c r="U5706" t="n">
        <v>34</v>
      </c>
      <c r="AH5706" t="inlineStr">
        <is>
          <t>Quelle: Balearic Properties</t>
        </is>
      </c>
    </row>
    <row r="5707">
      <c r="A5707" t="n">
        <v>5520</v>
      </c>
      <c r="B5707" t="inlineStr">
        <is>
          <t>Rustic style house close to all amenities for sale on the outskirts of Palma, Mallorca</t>
        </is>
      </c>
      <c r="C5707" t="inlineStr">
        <is>
          <t>https://www.balearic-properties.com/en/property/id/819737-rustic-investment-house-outskirts-palma-mallorca-html</t>
        </is>
      </c>
      <c r="E5707" t="n">
        <v>4</v>
      </c>
      <c r="G5707" t="n">
        <v>847</v>
      </c>
      <c r="H5707" t="n">
        <v>227</v>
      </c>
      <c r="J5707" t="inlineStr">
        <is>
          <t>Establiments</t>
        </is>
      </c>
      <c r="S5707" t="n">
        <v>763000</v>
      </c>
      <c r="T5707" t="n">
        <v>3361</v>
      </c>
      <c r="U5707" t="n">
        <v>901</v>
      </c>
      <c r="AH5707" t="inlineStr">
        <is>
          <t>Quelle: Balearic Properties</t>
        </is>
      </c>
    </row>
    <row r="5708">
      <c r="A5708" t="n">
        <v>5521</v>
      </c>
      <c r="B5708" t="inlineStr">
        <is>
          <t>Apartments with community pool for sale in Puerto Pollensa, Mallorca</t>
        </is>
      </c>
      <c r="C5708" t="inlineStr">
        <is>
          <t>https://www.balearic-properties.com/en/property/id/832980-apartment-pollensa-gotmar-html</t>
        </is>
      </c>
      <c r="E5708" t="n">
        <v>4</v>
      </c>
      <c r="G5708" t="n">
        <v>0</v>
      </c>
      <c r="H5708" t="n">
        <v>142</v>
      </c>
      <c r="J5708" t="inlineStr">
        <is>
          <t>Port de Pollença</t>
        </is>
      </c>
      <c r="S5708" t="n">
        <v>730000</v>
      </c>
      <c r="T5708" t="n">
        <v>5141</v>
      </c>
      <c r="AH5708" t="inlineStr">
        <is>
          <t>Quelle: Balearic Properties</t>
        </is>
      </c>
    </row>
    <row r="5709">
      <c r="A5709" t="n">
        <v>5522</v>
      </c>
      <c r="B5709" t="inlineStr">
        <is>
          <t>Newly constructed luxury villa for sale on the outskirts of S´Arraco, Mallorca</t>
        </is>
      </c>
      <c r="C5709" t="inlineStr">
        <is>
          <t>https://www.balearic-properties.com/en/property/id/885214-newly-constructed-luxury-villa-s-arraco-andratx-mallorca-html</t>
        </is>
      </c>
      <c r="E5709" t="n">
        <v>4</v>
      </c>
      <c r="G5709" t="n">
        <v>1116</v>
      </c>
      <c r="H5709" t="n">
        <v>446</v>
      </c>
      <c r="J5709" t="inlineStr">
        <is>
          <t>S´Arraco</t>
        </is>
      </c>
      <c r="AH5709" t="inlineStr">
        <is>
          <t>Quelle: Balearic Properties</t>
        </is>
      </c>
    </row>
    <row r="5710">
      <c r="A5710" t="n">
        <v>5523</v>
      </c>
      <c r="B5710" t="inlineStr">
        <is>
          <t>Contemporary finca with mountain views for sale in Sa Pobla Mallorca</t>
        </is>
      </c>
      <c r="C5710" t="inlineStr">
        <is>
          <t>https://www.balearic-properties.com/en/property/id/886241-modern-country-house-pool-views-sa-pobla-mallorca-html</t>
        </is>
      </c>
      <c r="E5710" t="n">
        <v>4</v>
      </c>
      <c r="G5710" t="n">
        <v>22194</v>
      </c>
      <c r="H5710" t="n">
        <v>540</v>
      </c>
      <c r="J5710" t="inlineStr">
        <is>
          <t>Sa Pobla</t>
        </is>
      </c>
      <c r="K5710" t="n">
        <v>52.7</v>
      </c>
      <c r="L5710" t="n">
        <v>41</v>
      </c>
      <c r="M5710" t="n">
        <v>59.6</v>
      </c>
      <c r="N5710" t="n">
        <v>65</v>
      </c>
      <c r="O5710" t="n">
        <v>75.3</v>
      </c>
      <c r="P5710" t="n">
        <v>57</v>
      </c>
      <c r="Q5710" t="n">
        <v>57.3</v>
      </c>
      <c r="R5710" t="n">
        <v>61</v>
      </c>
      <c r="S5710" t="n">
        <v>1395000</v>
      </c>
      <c r="T5710" t="n">
        <v>2583</v>
      </c>
      <c r="U5710" t="n">
        <v>63</v>
      </c>
      <c r="AH5710" t="inlineStr">
        <is>
          <t>Quelle: Balearic Properties</t>
        </is>
      </c>
    </row>
    <row r="5711">
      <c r="A5711" t="n">
        <v>5524</v>
      </c>
      <c r="B5711" t="inlineStr">
        <is>
          <t>Beautiful town house with views at the golf course for sale in Camp de Mar, Mallorca</t>
        </is>
      </c>
      <c r="C5711" t="inlineStr">
        <is>
          <t>https://www.balearic-properties.com/en/property/id/886459-townhouse-golf-views-camp-de-mar-mallorca-html</t>
        </is>
      </c>
      <c r="E5711" t="n">
        <v>3</v>
      </c>
      <c r="G5711" t="n">
        <v>100</v>
      </c>
      <c r="H5711" t="n">
        <v>268</v>
      </c>
      <c r="J5711" t="inlineStr">
        <is>
          <t>Camp de Mar</t>
        </is>
      </c>
      <c r="K5711" t="n">
        <v>38.7</v>
      </c>
      <c r="L5711" t="n">
        <v>32</v>
      </c>
      <c r="M5711" t="n">
        <v>81.40000000000001</v>
      </c>
      <c r="N5711" t="n">
        <v>65</v>
      </c>
      <c r="O5711" t="n">
        <v>6.7</v>
      </c>
      <c r="P5711" t="n">
        <v>10</v>
      </c>
      <c r="Q5711" t="n">
        <v>79.09999999999999</v>
      </c>
      <c r="R5711" t="n">
        <v>62</v>
      </c>
      <c r="S5711" t="n">
        <v>1085000</v>
      </c>
      <c r="T5711" t="n">
        <v>4049</v>
      </c>
      <c r="U5711" t="n">
        <v>10850</v>
      </c>
      <c r="AH5711" t="inlineStr">
        <is>
          <t>Quelle: Balearic Properties</t>
        </is>
      </c>
    </row>
    <row r="5712">
      <c r="A5712" t="n">
        <v>5525</v>
      </c>
      <c r="B5712" t="inlineStr">
        <is>
          <t>Delightful townhouse with private gardens for sale in Esporles, Mallorca</t>
        </is>
      </c>
      <c r="C5712" t="inlineStr">
        <is>
          <t>https://www.balearic-properties.com/en/property/id/887509-development-of-new-townhouses-for-sale-in-esporles-mallorca-html</t>
        </is>
      </c>
      <c r="E5712" t="n">
        <v>3</v>
      </c>
      <c r="G5712" t="n">
        <v>140</v>
      </c>
      <c r="H5712" t="n">
        <v>150</v>
      </c>
      <c r="J5712" t="inlineStr">
        <is>
          <t>Esporles</t>
        </is>
      </c>
      <c r="S5712" t="n">
        <v>865000</v>
      </c>
      <c r="T5712" t="n">
        <v>5767</v>
      </c>
      <c r="U5712" t="n">
        <v>6179</v>
      </c>
      <c r="AH5712" t="inlineStr">
        <is>
          <t>Quelle: Balearic Properties</t>
        </is>
      </c>
    </row>
    <row r="5713">
      <c r="A5713" t="n">
        <v>5526</v>
      </c>
      <c r="B5713" t="inlineStr">
        <is>
          <t>New townhouse development for sale in Esporles, Mallorca</t>
        </is>
      </c>
      <c r="C5713" t="inlineStr">
        <is>
          <t>https://www.balearic-properties.com/en/property/id/887505-development-of-new-townhouses-for-sale-in-esporles-mallorca-html</t>
        </is>
      </c>
      <c r="E5713" t="n">
        <v>3</v>
      </c>
      <c r="G5713" t="n">
        <v>222</v>
      </c>
      <c r="H5713" t="n">
        <v>142</v>
      </c>
      <c r="J5713" t="inlineStr">
        <is>
          <t>Esporles</t>
        </is>
      </c>
      <c r="S5713" t="n">
        <v>855000</v>
      </c>
      <c r="T5713" t="n">
        <v>6021</v>
      </c>
      <c r="U5713" t="n">
        <v>3851</v>
      </c>
      <c r="AH5713" t="inlineStr">
        <is>
          <t>Quelle: Balearic Properties</t>
        </is>
      </c>
    </row>
    <row r="5714">
      <c r="A5714" t="n">
        <v>5527</v>
      </c>
      <c r="B5714" t="inlineStr">
        <is>
          <t>Brand new townhouses for sale in Esporles, Mallorca</t>
        </is>
      </c>
      <c r="C5714" t="inlineStr">
        <is>
          <t>https://www.balearic-properties.com/en/property/id/887502-development-of-new-townhouses-for-sale-in-esporles-mallorca-html</t>
        </is>
      </c>
      <c r="E5714" t="n">
        <v>3</v>
      </c>
      <c r="G5714" t="n">
        <v>122</v>
      </c>
      <c r="H5714" t="n">
        <v>148</v>
      </c>
      <c r="J5714" t="inlineStr">
        <is>
          <t>Esporles</t>
        </is>
      </c>
      <c r="S5714" t="n">
        <v>795000</v>
      </c>
      <c r="T5714" t="n">
        <v>5372</v>
      </c>
      <c r="U5714" t="n">
        <v>6516</v>
      </c>
      <c r="AH5714" t="inlineStr">
        <is>
          <t>Quelle: Balearic Properties</t>
        </is>
      </c>
    </row>
    <row r="5715">
      <c r="A5715" t="n">
        <v>5528</v>
      </c>
      <c r="B5715" t="inlineStr">
        <is>
          <t>Hillside finca on a large plot with guest house for sale in Andratx, Mallorca</t>
        </is>
      </c>
      <c r="C5715" t="inlineStr">
        <is>
          <t>https://www.balearic-properties.com/en/property/id/885076-hillside-finca-on-a-large-plot-with-guest-house-for-sale-in-andratx-mallorca-html</t>
        </is>
      </c>
      <c r="E5715" t="n">
        <v>5</v>
      </c>
      <c r="G5715" t="n">
        <v>62507</v>
      </c>
      <c r="H5715" t="n">
        <v>596</v>
      </c>
      <c r="J5715" t="inlineStr">
        <is>
          <t>Andratx</t>
        </is>
      </c>
      <c r="K5715" t="n">
        <v>40.3</v>
      </c>
      <c r="L5715" t="n">
        <v>36</v>
      </c>
      <c r="M5715" t="n">
        <v>83</v>
      </c>
      <c r="N5715" t="n">
        <v>68</v>
      </c>
      <c r="O5715" t="n">
        <v>2.7</v>
      </c>
      <c r="P5715" t="n">
        <v>7</v>
      </c>
      <c r="Q5715" t="n">
        <v>80.7</v>
      </c>
      <c r="R5715" t="n">
        <v>65</v>
      </c>
      <c r="S5715" t="n">
        <v>3950000</v>
      </c>
      <c r="T5715" t="n">
        <v>6628</v>
      </c>
      <c r="U5715" t="n">
        <v>63</v>
      </c>
      <c r="AH5715" t="inlineStr">
        <is>
          <t>Quelle: Balearic Properties</t>
        </is>
      </c>
    </row>
    <row r="5716">
      <c r="A5716" t="n">
        <v>5529</v>
      </c>
      <c r="B5716" t="inlineStr">
        <is>
          <t>Luxurious frontline villa for sale in Bon Aire, Mallorca</t>
        </is>
      </c>
      <c r="C5716" t="inlineStr">
        <is>
          <t>https://www.balearic-properties.com/en/property/id/776104-frontline-villa-bonaire-mallorca-html</t>
        </is>
      </c>
      <c r="E5716" t="n">
        <v>3</v>
      </c>
      <c r="G5716" t="n">
        <v>2746</v>
      </c>
      <c r="H5716" t="n">
        <v>361</v>
      </c>
      <c r="J5716" t="inlineStr">
        <is>
          <t>Mal Pas</t>
        </is>
      </c>
      <c r="K5716" t="n">
        <v>63.3</v>
      </c>
      <c r="L5716" t="n">
        <v>51</v>
      </c>
      <c r="M5716" t="n">
        <v>81.40000000000001</v>
      </c>
      <c r="N5716" t="n">
        <v>78</v>
      </c>
      <c r="O5716" t="n">
        <v>85.90000000000001</v>
      </c>
      <c r="P5716" t="n">
        <v>67</v>
      </c>
      <c r="Q5716" t="n">
        <v>79.09999999999999</v>
      </c>
      <c r="R5716" t="n">
        <v>74</v>
      </c>
      <c r="S5716" t="n">
        <v>8000000</v>
      </c>
      <c r="T5716" t="n">
        <v>22161</v>
      </c>
      <c r="U5716" t="n">
        <v>2913</v>
      </c>
      <c r="AH5716" t="inlineStr">
        <is>
          <t>Quelle: Balearic Properties</t>
        </is>
      </c>
    </row>
    <row r="5717">
      <c r="A5717" t="n">
        <v>5530</v>
      </c>
      <c r="B5717" t="inlineStr">
        <is>
          <t>Perfectly located villa with great sea views for sale in Mal Pas, Alcúdia, Mallorca</t>
        </is>
      </c>
      <c r="C5717" t="inlineStr">
        <is>
          <t>https://www.balearic-properties.com/en/property/id/884799-detached-house-seaviews-malpas-bonaire-html</t>
        </is>
      </c>
      <c r="E5717" t="n">
        <v>4</v>
      </c>
      <c r="G5717" t="n">
        <v>822</v>
      </c>
      <c r="H5717" t="n">
        <v>220</v>
      </c>
      <c r="J5717" t="inlineStr">
        <is>
          <t>Manresa</t>
        </is>
      </c>
      <c r="S5717" t="n">
        <v>940000</v>
      </c>
      <c r="T5717" t="n">
        <v>4273</v>
      </c>
      <c r="U5717" t="n">
        <v>1144</v>
      </c>
      <c r="AH5717" t="inlineStr">
        <is>
          <t>Quelle: Balearic Properties</t>
        </is>
      </c>
    </row>
    <row r="5718">
      <c r="A5718" t="n">
        <v>5531</v>
      </c>
      <c r="B5718" t="inlineStr">
        <is>
          <t>Seafront villa for sale in a exclusive area of Alcudia, Mallorca</t>
        </is>
      </c>
      <c r="C5718" t="inlineStr">
        <is>
          <t>https://www.balearic-properties.com/en/property/id/885896-seafront-villa-alcanada-alcudia-mallorca-html</t>
        </is>
      </c>
      <c r="E5718" t="n">
        <v>6</v>
      </c>
      <c r="G5718" t="n">
        <v>780</v>
      </c>
      <c r="H5718" t="n">
        <v>450</v>
      </c>
      <c r="J5718" t="inlineStr">
        <is>
          <t>Alcanada</t>
        </is>
      </c>
      <c r="K5718" t="n">
        <v>64.2</v>
      </c>
      <c r="L5718" t="n">
        <v>48</v>
      </c>
      <c r="M5718" t="n">
        <v>82.3</v>
      </c>
      <c r="N5718" t="n">
        <v>75</v>
      </c>
      <c r="O5718" t="n">
        <v>86.8</v>
      </c>
      <c r="P5718" t="n">
        <v>64</v>
      </c>
      <c r="Q5718" t="n">
        <v>80</v>
      </c>
      <c r="R5718" t="n">
        <v>71</v>
      </c>
      <c r="S5718" t="n">
        <v>4300000</v>
      </c>
      <c r="T5718" t="n">
        <v>9556</v>
      </c>
      <c r="U5718" t="n">
        <v>5513</v>
      </c>
      <c r="AH5718" t="inlineStr">
        <is>
          <t>Quelle: Balearic Properties</t>
        </is>
      </c>
    </row>
    <row r="5719">
      <c r="A5719" t="n">
        <v>5532</v>
      </c>
      <c r="B5719" t="inlineStr">
        <is>
          <t>New build finca for sale on the outskirts of Manacor, Mallorca</t>
        </is>
      </c>
      <c r="C5719" t="inlineStr">
        <is>
          <t>https://www.balearic-properties.com/en/property/id/880174-new-build-finca-eco-friendly-manacor-mallorca-html</t>
        </is>
      </c>
      <c r="E5719" t="n">
        <v>3</v>
      </c>
      <c r="G5719" t="n">
        <v>14680</v>
      </c>
      <c r="H5719" t="n">
        <v>290</v>
      </c>
      <c r="J5719" t="inlineStr">
        <is>
          <t>Manacor</t>
        </is>
      </c>
      <c r="K5719" t="n">
        <v>49.2</v>
      </c>
      <c r="L5719" t="n">
        <v>44</v>
      </c>
      <c r="M5719" t="n">
        <v>40.3</v>
      </c>
      <c r="N5719" t="n">
        <v>45</v>
      </c>
      <c r="O5719" t="n">
        <v>83.40000000000001</v>
      </c>
      <c r="P5719" t="n">
        <v>68</v>
      </c>
      <c r="Q5719" t="n">
        <v>38</v>
      </c>
      <c r="R5719" t="n">
        <v>41</v>
      </c>
      <c r="S5719" t="n">
        <v>1900000</v>
      </c>
      <c r="T5719" t="n">
        <v>6552</v>
      </c>
      <c r="U5719" t="n">
        <v>129</v>
      </c>
      <c r="AH5719" t="inlineStr">
        <is>
          <t>Quelle: Balearic Properties</t>
        </is>
      </c>
    </row>
    <row r="5720">
      <c r="A5720" t="n">
        <v>5533</v>
      </c>
      <c r="B5720" t="inlineStr">
        <is>
          <t>Lavish apartment with excellent facilities for sale in Camp de Mar, Mallorca</t>
        </is>
      </c>
      <c r="C5720" t="inlineStr">
        <is>
          <t>https://www.balearic-properties.com/en/property/id/884673-lavish-apartment-with-excellent-facilities-in-camp-de-mar-mallorca</t>
        </is>
      </c>
      <c r="E5720" t="n">
        <v>4</v>
      </c>
      <c r="G5720" t="n">
        <v>0</v>
      </c>
      <c r="H5720" t="n">
        <v>178</v>
      </c>
      <c r="J5720" t="inlineStr">
        <is>
          <t>Camp de Mar</t>
        </is>
      </c>
      <c r="K5720" t="n">
        <v>38.7</v>
      </c>
      <c r="L5720" t="n">
        <v>32</v>
      </c>
      <c r="M5720" t="n">
        <v>81.40000000000001</v>
      </c>
      <c r="N5720" t="n">
        <v>65</v>
      </c>
      <c r="O5720" t="n">
        <v>6.7</v>
      </c>
      <c r="P5720" t="n">
        <v>10</v>
      </c>
      <c r="Q5720" t="n">
        <v>79.09999999999999</v>
      </c>
      <c r="R5720" t="n">
        <v>62</v>
      </c>
      <c r="S5720" t="n">
        <v>2200000</v>
      </c>
      <c r="T5720" t="n">
        <v>12360</v>
      </c>
      <c r="AH5720" t="inlineStr">
        <is>
          <t>Quelle: Balearic Properties</t>
        </is>
      </c>
    </row>
    <row r="5721">
      <c r="A5721" t="n">
        <v>5534</v>
      </c>
      <c r="B5721" t="inlineStr">
        <is>
          <t>Garden apartment with sea views for sale in Cas Catala, Mallorca</t>
        </is>
      </c>
      <c r="C5721" t="inlineStr">
        <is>
          <t>https://www.balearic-properties.com/en/property/id/780262-apartment-cas-catala-html</t>
        </is>
      </c>
      <c r="E5721" t="n">
        <v>4</v>
      </c>
      <c r="G5721" t="n">
        <v>0</v>
      </c>
      <c r="H5721" t="n">
        <v>262</v>
      </c>
      <c r="J5721" t="inlineStr">
        <is>
          <t>Cas Català</t>
        </is>
      </c>
      <c r="K5721" t="n">
        <v>20</v>
      </c>
      <c r="L5721" t="n">
        <v>22</v>
      </c>
      <c r="M5721" t="n">
        <v>62.8</v>
      </c>
      <c r="N5721" t="n">
        <v>55</v>
      </c>
      <c r="O5721" t="n">
        <v>23.7</v>
      </c>
      <c r="P5721" t="n">
        <v>23</v>
      </c>
      <c r="Q5721" t="n">
        <v>60.5</v>
      </c>
      <c r="R5721" t="n">
        <v>51</v>
      </c>
      <c r="S5721" t="n">
        <v>1690000</v>
      </c>
      <c r="T5721" t="n">
        <v>6450</v>
      </c>
      <c r="AH5721" t="inlineStr">
        <is>
          <t>Quelle: Balearic Properties</t>
        </is>
      </c>
    </row>
    <row r="5722">
      <c r="A5722" t="n">
        <v>5535</v>
      </c>
      <c r="B5722" t="inlineStr">
        <is>
          <t>Luxury villa with sea views for sale in Costa d'en Blanes, Mallorca</t>
        </is>
      </c>
      <c r="C5722" t="inlineStr">
        <is>
          <t>https://www.balearic-properties.com/en/property/id/884676-luxury-villa-sea-views-costa-den-blanes-mallorca-html</t>
        </is>
      </c>
      <c r="E5722" t="n">
        <v>4</v>
      </c>
      <c r="G5722" t="n">
        <v>1136</v>
      </c>
      <c r="H5722" t="n">
        <v>401</v>
      </c>
      <c r="J5722" t="inlineStr">
        <is>
          <t>Costa D´en Blanes</t>
        </is>
      </c>
      <c r="K5722" t="n">
        <v>23.3</v>
      </c>
      <c r="L5722" t="n">
        <v>21</v>
      </c>
      <c r="M5722" t="n">
        <v>66.09999999999999</v>
      </c>
      <c r="N5722" t="n">
        <v>54</v>
      </c>
      <c r="O5722" t="n">
        <v>21</v>
      </c>
      <c r="P5722" t="n">
        <v>21</v>
      </c>
      <c r="Q5722" t="n">
        <v>63.8</v>
      </c>
      <c r="R5722" t="n">
        <v>51</v>
      </c>
      <c r="S5722" t="n">
        <v>4800000</v>
      </c>
      <c r="T5722" t="n">
        <v>11970</v>
      </c>
      <c r="U5722" t="n">
        <v>4225</v>
      </c>
      <c r="AH5722" t="inlineStr">
        <is>
          <t>Quelle: Balearic Properties</t>
        </is>
      </c>
    </row>
    <row r="5723">
      <c r="A5723" t="n">
        <v>5536</v>
      </c>
      <c r="B5723" t="inlineStr">
        <is>
          <t>Completely renovated apartment for sale in the centre of Palma, Mallorca</t>
        </is>
      </c>
      <c r="C5723" t="inlineStr">
        <is>
          <t>https://www.balearic-properties.com/en/property/id/882981-completely-renovated-apartment-centre-palma-mallorca-html</t>
        </is>
      </c>
      <c r="E5723" t="n">
        <v>3</v>
      </c>
      <c r="G5723" t="n">
        <v>0</v>
      </c>
      <c r="H5723" t="n">
        <v>132</v>
      </c>
      <c r="J5723" t="inlineStr">
        <is>
          <t>Santa Catalina</t>
        </is>
      </c>
      <c r="S5723" t="n">
        <v>695000</v>
      </c>
      <c r="T5723" t="n">
        <v>5265</v>
      </c>
      <c r="AH5723" t="inlineStr">
        <is>
          <t>Quelle: Balearic Properties</t>
        </is>
      </c>
    </row>
    <row r="5724">
      <c r="A5724" t="n">
        <v>5537</v>
      </c>
      <c r="B5724" t="inlineStr">
        <is>
          <t>Charming building for sale with three self-contained luxury apartments in Pollensa, North Mallorca</t>
        </is>
      </c>
      <c r="C5724" t="inlineStr">
        <is>
          <t>https://www.balearic-properties.com/en/property/id/882784-modern-apartments-pollensa-mallorca-html</t>
        </is>
      </c>
      <c r="E5724" t="n">
        <v>3</v>
      </c>
      <c r="G5724" t="n">
        <v>0</v>
      </c>
      <c r="H5724" t="n">
        <v>176</v>
      </c>
      <c r="J5724" t="inlineStr">
        <is>
          <t>Pollença</t>
        </is>
      </c>
      <c r="S5724" t="n">
        <v>970000</v>
      </c>
      <c r="T5724" t="n">
        <v>5511</v>
      </c>
      <c r="AH5724" t="inlineStr">
        <is>
          <t>Quelle: Balearic Properties</t>
        </is>
      </c>
    </row>
    <row r="5725">
      <c r="A5725" t="n">
        <v>5538</v>
      </c>
      <c r="B5725" t="inlineStr">
        <is>
          <t>Outstanding villa with stunning views for sale in Pollensa, Mallorca</t>
        </is>
      </c>
      <c r="C5725" t="inlineStr">
        <is>
          <t>https://www.balearic-properties.com/en/property/id/880724-outstanding-villa-stunning-views-pollensa-mallorca-html</t>
        </is>
      </c>
      <c r="E5725" t="n">
        <v>6</v>
      </c>
      <c r="G5725" t="n">
        <v>1513</v>
      </c>
      <c r="H5725" t="n">
        <v>850</v>
      </c>
      <c r="J5725" t="inlineStr">
        <is>
          <t>Port de Pollença</t>
        </is>
      </c>
      <c r="K5725" t="n">
        <v>66.90000000000001</v>
      </c>
      <c r="L5725" t="n">
        <v>52</v>
      </c>
      <c r="M5725" t="n">
        <v>85</v>
      </c>
      <c r="N5725" t="n">
        <v>78</v>
      </c>
      <c r="O5725" t="n">
        <v>89.5</v>
      </c>
      <c r="P5725" t="n">
        <v>68</v>
      </c>
      <c r="Q5725" t="n">
        <v>82.7</v>
      </c>
      <c r="R5725" t="n">
        <v>75</v>
      </c>
      <c r="S5725" t="n">
        <v>3500000</v>
      </c>
      <c r="T5725" t="n">
        <v>4118</v>
      </c>
      <c r="U5725" t="n">
        <v>2313</v>
      </c>
      <c r="AH5725" t="inlineStr">
        <is>
          <t>Quelle: Balearic Properties</t>
        </is>
      </c>
    </row>
    <row r="5726">
      <c r="A5726" t="n">
        <v>5539</v>
      </c>
      <c r="B5726" t="inlineStr">
        <is>
          <t>Fully renovated country finca with pool for sale in Manacor, Mallorca</t>
        </is>
      </c>
      <c r="C5726" t="inlineStr">
        <is>
          <t>https://www.balearic-properties.com/en/property/id/821369-charming-majorcan-finca-with-pool-and-big-plot-close-to-manacor-mallorca-html</t>
        </is>
      </c>
      <c r="E5726" t="n">
        <v>5</v>
      </c>
      <c r="G5726" t="n">
        <v>18000</v>
      </c>
      <c r="H5726" t="n">
        <v>440</v>
      </c>
      <c r="J5726" t="inlineStr">
        <is>
          <t>Manacor</t>
        </is>
      </c>
      <c r="K5726" t="n">
        <v>49.2</v>
      </c>
      <c r="L5726" t="n">
        <v>44</v>
      </c>
      <c r="M5726" t="n">
        <v>40.3</v>
      </c>
      <c r="N5726" t="n">
        <v>45</v>
      </c>
      <c r="O5726" t="n">
        <v>83.40000000000001</v>
      </c>
      <c r="P5726" t="n">
        <v>68</v>
      </c>
      <c r="Q5726" t="n">
        <v>38</v>
      </c>
      <c r="R5726" t="n">
        <v>41</v>
      </c>
      <c r="S5726" t="n">
        <v>2600000</v>
      </c>
      <c r="T5726" t="n">
        <v>5909</v>
      </c>
      <c r="U5726" t="n">
        <v>144</v>
      </c>
      <c r="AH5726" t="inlineStr">
        <is>
          <t>Quelle: Balearic Properties</t>
        </is>
      </c>
    </row>
    <row r="5727">
      <c r="A5727" t="n">
        <v>5540</v>
      </c>
      <c r="B5727" t="inlineStr">
        <is>
          <t>Meticulously renovated townhouse with pool for sale in Santa Maria Del Cami, Mallorca</t>
        </is>
      </c>
      <c r="C5727" t="inlineStr">
        <is>
          <t>https://www.balearic-properties.com/en/property/id/882124-townhouse-pool-santa-maria-del-cami-mallorca-html</t>
        </is>
      </c>
      <c r="E5727" t="n">
        <v>3</v>
      </c>
      <c r="G5727" t="n">
        <v>0</v>
      </c>
      <c r="H5727" t="n">
        <v>413</v>
      </c>
      <c r="J5727" t="inlineStr">
        <is>
          <t>Santa Maria del Camí</t>
        </is>
      </c>
      <c r="K5727" t="n">
        <v>23.5</v>
      </c>
      <c r="L5727" t="n">
        <v>21</v>
      </c>
      <c r="M5727" t="n">
        <v>66.3</v>
      </c>
      <c r="N5727" t="n">
        <v>54</v>
      </c>
      <c r="O5727" t="n">
        <v>46.1</v>
      </c>
      <c r="P5727" t="n">
        <v>37</v>
      </c>
      <c r="Q5727" t="n">
        <v>64</v>
      </c>
      <c r="R5727" t="n">
        <v>51</v>
      </c>
      <c r="S5727" t="n">
        <v>2450000</v>
      </c>
      <c r="T5727" t="n">
        <v>5932</v>
      </c>
      <c r="AH5727" t="inlineStr">
        <is>
          <t>Quelle: Balearic Properties</t>
        </is>
      </c>
    </row>
    <row r="5728">
      <c r="A5728" t="n">
        <v>5541</v>
      </c>
      <c r="B5728" t="inlineStr">
        <is>
          <t>Completely renovated townhouse with pool for sale in Santa Maria Del Cami, Mallorca</t>
        </is>
      </c>
      <c r="C5728" t="inlineStr">
        <is>
          <t>https://www.balearic-properties.com/en/property/id/882050-townhouse-pool-santa-maria-del-cami-mallorca-html</t>
        </is>
      </c>
      <c r="E5728" t="n">
        <v>3</v>
      </c>
      <c r="G5728" t="n">
        <v>206</v>
      </c>
      <c r="H5728" t="n">
        <v>413</v>
      </c>
      <c r="J5728" t="inlineStr">
        <is>
          <t>Santa Maria del Camí</t>
        </is>
      </c>
      <c r="K5728" t="n">
        <v>23.5</v>
      </c>
      <c r="L5728" t="n">
        <v>21</v>
      </c>
      <c r="M5728" t="n">
        <v>66.3</v>
      </c>
      <c r="N5728" t="n">
        <v>54</v>
      </c>
      <c r="O5728" t="n">
        <v>46.1</v>
      </c>
      <c r="P5728" t="n">
        <v>37</v>
      </c>
      <c r="Q5728" t="n">
        <v>64</v>
      </c>
      <c r="R5728" t="n">
        <v>51</v>
      </c>
      <c r="S5728" t="n">
        <v>2150000</v>
      </c>
      <c r="T5728" t="n">
        <v>5206</v>
      </c>
      <c r="U5728" t="n">
        <v>10437</v>
      </c>
      <c r="AH5728" t="inlineStr">
        <is>
          <t>Quelle: Balearic Properties</t>
        </is>
      </c>
    </row>
    <row r="5729">
      <c r="A5729" t="n">
        <v>5542</v>
      </c>
      <c r="B5729" t="inlineStr">
        <is>
          <t>Townhouse to reform, for sale in the centre of Selva, Mallorca</t>
        </is>
      </c>
      <c r="C5729" t="inlineStr">
        <is>
          <t>https://www.balearic-properties.com/en/property/id/875107-townhouse-to-reform-for-sale-in-the-centre-of-selva-mallorca-html</t>
        </is>
      </c>
      <c r="E5729" t="n">
        <v>3</v>
      </c>
      <c r="G5729" t="n">
        <v>314</v>
      </c>
      <c r="H5729" t="n">
        <v>384</v>
      </c>
      <c r="J5729" t="inlineStr">
        <is>
          <t>Selva</t>
        </is>
      </c>
      <c r="S5729" t="n">
        <v>519750</v>
      </c>
      <c r="T5729" t="n">
        <v>1354</v>
      </c>
      <c r="U5729" t="n">
        <v>1655</v>
      </c>
      <c r="AH5729" t="inlineStr">
        <is>
          <t>Quelle: Balearic Properties</t>
        </is>
      </c>
    </row>
    <row r="5730">
      <c r="A5730" t="n">
        <v>5543</v>
      </c>
      <c r="B5730" t="inlineStr">
        <is>
          <t>Country retreat with amazing panoramic views for sale in Pollensa, Mallorca</t>
        </is>
      </c>
      <c r="C5730" t="inlineStr">
        <is>
          <t>https://www.balearic-properties.com/en/property/id/607405-country-retreat-guest-apartments-panoramic-views-pollensa-mallorca-html</t>
        </is>
      </c>
      <c r="E5730" t="n">
        <v>6</v>
      </c>
      <c r="G5730" t="n">
        <v>17000</v>
      </c>
      <c r="H5730" t="n">
        <v>475</v>
      </c>
      <c r="J5730" t="inlineStr">
        <is>
          <t>Pollença</t>
        </is>
      </c>
      <c r="K5730" t="n">
        <v>60.6</v>
      </c>
      <c r="L5730" t="n">
        <v>47</v>
      </c>
      <c r="M5730" t="n">
        <v>78.7</v>
      </c>
      <c r="N5730" t="n">
        <v>74</v>
      </c>
      <c r="O5730" t="n">
        <v>83.2</v>
      </c>
      <c r="P5730" t="n">
        <v>63</v>
      </c>
      <c r="Q5730" t="n">
        <v>76.40000000000001</v>
      </c>
      <c r="R5730" t="n">
        <v>70</v>
      </c>
      <c r="S5730" t="n">
        <v>2995000</v>
      </c>
      <c r="T5730" t="n">
        <v>6305</v>
      </c>
      <c r="U5730" t="n">
        <v>176</v>
      </c>
      <c r="AH5730" t="inlineStr">
        <is>
          <t>Quelle: Balearic Properties</t>
        </is>
      </c>
    </row>
    <row r="5731">
      <c r="A5731" t="n">
        <v>5544</v>
      </c>
      <c r="B5731" t="inlineStr">
        <is>
          <t>Beautiful villa with fabulous sea views for sale in Font de sa Cala</t>
        </is>
      </c>
      <c r="C5731" t="inlineStr">
        <is>
          <t>https://www.balearic-properties.com/en/property/id/738529-villa-fontdesacala-capdepera-mallorca-html</t>
        </is>
      </c>
      <c r="E5731" t="n">
        <v>8</v>
      </c>
      <c r="G5731" t="n">
        <v>3862</v>
      </c>
      <c r="H5731" t="n">
        <v>747</v>
      </c>
      <c r="J5731" t="inlineStr">
        <is>
          <t>Font de sa Cala</t>
        </is>
      </c>
      <c r="K5731" t="n">
        <v>77.40000000000001</v>
      </c>
      <c r="L5731" t="n">
        <v>68</v>
      </c>
      <c r="M5731" t="n">
        <v>72.8</v>
      </c>
      <c r="N5731" t="n">
        <v>71</v>
      </c>
      <c r="O5731" t="n">
        <v>111.6</v>
      </c>
      <c r="P5731" t="n">
        <v>93</v>
      </c>
      <c r="Q5731" t="n">
        <v>70.5</v>
      </c>
      <c r="R5731" t="n">
        <v>68</v>
      </c>
      <c r="S5731" t="n">
        <v>2950000</v>
      </c>
      <c r="T5731" t="n">
        <v>3949</v>
      </c>
      <c r="U5731" t="n">
        <v>764</v>
      </c>
      <c r="AH5731" t="inlineStr">
        <is>
          <t>Quelle: Balearic Properties</t>
        </is>
      </c>
    </row>
    <row r="5732">
      <c r="A5732" t="n">
        <v>5545</v>
      </c>
      <c r="B5732" t="inlineStr">
        <is>
          <t>Exceptional country house project for sale in Montuïri, Mallorca</t>
        </is>
      </c>
      <c r="C5732" t="inlineStr">
        <is>
          <t>https://www.balearic-properties.com/en/property/id/880033-exceptional-country-house-project-montuiri-mallorca-html</t>
        </is>
      </c>
      <c r="E5732" t="n">
        <v>4</v>
      </c>
      <c r="G5732" t="n">
        <v>19776</v>
      </c>
      <c r="H5732" t="n">
        <v>790</v>
      </c>
      <c r="J5732" t="inlineStr">
        <is>
          <t>Montuïri</t>
        </is>
      </c>
      <c r="K5732" t="n">
        <v>27.9</v>
      </c>
      <c r="L5732" t="n">
        <v>28</v>
      </c>
      <c r="M5732" t="n">
        <v>32.5</v>
      </c>
      <c r="N5732" t="n">
        <v>36</v>
      </c>
      <c r="O5732" t="n">
        <v>62.1</v>
      </c>
      <c r="P5732" t="n">
        <v>52</v>
      </c>
      <c r="Q5732" t="n">
        <v>30.2</v>
      </c>
      <c r="R5732" t="n">
        <v>32</v>
      </c>
      <c r="S5732" t="n">
        <v>2070000</v>
      </c>
      <c r="T5732" t="n">
        <v>2620</v>
      </c>
      <c r="U5732" t="n">
        <v>105</v>
      </c>
      <c r="AH5732" t="inlineStr">
        <is>
          <t>Quelle: Balearic Properties</t>
        </is>
      </c>
    </row>
    <row r="5733">
      <c r="A5733" t="n">
        <v>5546</v>
      </c>
      <c r="B5733" t="inlineStr">
        <is>
          <t>Stylish town house for sale close to the sea in Colonia de Sant Pere, Mallorca</t>
        </is>
      </c>
      <c r="C5733" t="inlineStr">
        <is>
          <t>https://www.balearic-properties.com/en/property/id/879578-stylish-townhouse-sea-colonia-sant-pere-mallorca-html</t>
        </is>
      </c>
      <c r="E5733" t="n">
        <v>3</v>
      </c>
      <c r="G5733" t="n">
        <v>403</v>
      </c>
      <c r="H5733" t="n">
        <v>337</v>
      </c>
      <c r="J5733" t="inlineStr">
        <is>
          <t>Colònia de Sant Pere</t>
        </is>
      </c>
      <c r="K5733" t="n">
        <v>70</v>
      </c>
      <c r="L5733" t="n">
        <v>60</v>
      </c>
      <c r="M5733" t="n">
        <v>65.40000000000001</v>
      </c>
      <c r="N5733" t="n">
        <v>63</v>
      </c>
      <c r="O5733" t="n">
        <v>105.9</v>
      </c>
      <c r="P5733" t="n">
        <v>84</v>
      </c>
      <c r="Q5733" t="n">
        <v>63.1</v>
      </c>
      <c r="R5733" t="n">
        <v>60</v>
      </c>
      <c r="S5733" t="n">
        <v>1850000</v>
      </c>
      <c r="T5733" t="n">
        <v>5490</v>
      </c>
      <c r="U5733" t="n">
        <v>4591</v>
      </c>
      <c r="AH5733" t="inlineStr">
        <is>
          <t>Quelle: Balearic Properties</t>
        </is>
      </c>
    </row>
    <row r="5734">
      <c r="A5734" t="n">
        <v>5547</v>
      </c>
      <c r="B5734" t="inlineStr">
        <is>
          <t>Stunning villa for sale on the famous Calvario mountain in Pollensa, Mallorca</t>
        </is>
      </c>
      <c r="C5734" t="inlineStr">
        <is>
          <t>https://www.balearic-properties.com/en/property/id/542903-calvario-villa-pollensa-mallorca-html</t>
        </is>
      </c>
      <c r="E5734" t="n">
        <v>4</v>
      </c>
      <c r="G5734" t="n">
        <v>900</v>
      </c>
      <c r="H5734" t="n">
        <v>330</v>
      </c>
      <c r="J5734" t="inlineStr">
        <is>
          <t>Pollença Pueblo</t>
        </is>
      </c>
      <c r="K5734" t="n">
        <v>60.6</v>
      </c>
      <c r="L5734" t="n">
        <v>47</v>
      </c>
      <c r="M5734" t="n">
        <v>78.7</v>
      </c>
      <c r="N5734" t="n">
        <v>74</v>
      </c>
      <c r="O5734" t="n">
        <v>83.2</v>
      </c>
      <c r="P5734" t="n">
        <v>63</v>
      </c>
      <c r="Q5734" t="n">
        <v>76.40000000000001</v>
      </c>
      <c r="R5734" t="n">
        <v>70</v>
      </c>
      <c r="S5734" t="n">
        <v>4250000</v>
      </c>
      <c r="T5734" t="n">
        <v>12879</v>
      </c>
      <c r="U5734" t="n">
        <v>4722</v>
      </c>
      <c r="AH5734" t="inlineStr">
        <is>
          <t>Quelle: Balearic Properties</t>
        </is>
      </c>
    </row>
    <row r="5735">
      <c r="A5735" t="n">
        <v>5548</v>
      </c>
      <c r="B5735" t="inlineStr">
        <is>
          <t>Stunning renovated villa for sale just steps from the sea in Pollensa Bay, north Mallorca</t>
        </is>
      </c>
      <c r="C5735" t="inlineStr">
        <is>
          <t>https://www.balearic-properties.com/en/property/id/878683-beautifully-reformed-villa-sea-alcudia-mallorca-html</t>
        </is>
      </c>
      <c r="E5735" t="n">
        <v>3</v>
      </c>
      <c r="G5735" t="n">
        <v>237</v>
      </c>
      <c r="H5735" t="n">
        <v>218</v>
      </c>
      <c r="J5735" t="inlineStr">
        <is>
          <t>Barcarés</t>
        </is>
      </c>
      <c r="K5735" t="n">
        <v>47.4</v>
      </c>
      <c r="L5735" t="n">
        <v>40</v>
      </c>
      <c r="M5735" t="n">
        <v>51.8</v>
      </c>
      <c r="N5735" t="n">
        <v>55</v>
      </c>
      <c r="O5735" t="n">
        <v>70</v>
      </c>
      <c r="P5735" t="n">
        <v>56</v>
      </c>
      <c r="Q5735" t="n">
        <v>49.5</v>
      </c>
      <c r="R5735" t="n">
        <v>51</v>
      </c>
      <c r="S5735" t="n">
        <v>1600000</v>
      </c>
      <c r="T5735" t="n">
        <v>7339</v>
      </c>
      <c r="U5735" t="n">
        <v>6751</v>
      </c>
      <c r="AH5735" t="inlineStr">
        <is>
          <t>Quelle: Balearic Properties</t>
        </is>
      </c>
    </row>
    <row r="5736">
      <c r="A5736" t="n">
        <v>5549</v>
      </c>
      <c r="B5736" t="inlineStr">
        <is>
          <t>New luxury villa with sea views for sale in Alcudia, Mallorca</t>
        </is>
      </c>
      <c r="C5736" t="inlineStr">
        <is>
          <t>https://www.balearic-properties.com/en/property/id/879775-new-luxury-villa-seaviews-alcudia-mallorca-html</t>
        </is>
      </c>
      <c r="E5736" t="n">
        <v>3</v>
      </c>
      <c r="G5736" t="n">
        <v>475</v>
      </c>
      <c r="H5736" t="n">
        <v>265</v>
      </c>
      <c r="J5736" t="inlineStr">
        <is>
          <t>Alcanada</t>
        </is>
      </c>
      <c r="K5736" t="n">
        <v>64.2</v>
      </c>
      <c r="L5736" t="n">
        <v>48</v>
      </c>
      <c r="M5736" t="n">
        <v>82.3</v>
      </c>
      <c r="N5736" t="n">
        <v>75</v>
      </c>
      <c r="O5736" t="n">
        <v>86.8</v>
      </c>
      <c r="P5736" t="n">
        <v>64</v>
      </c>
      <c r="Q5736" t="n">
        <v>80</v>
      </c>
      <c r="R5736" t="n">
        <v>71</v>
      </c>
      <c r="S5736" t="n">
        <v>3195000</v>
      </c>
      <c r="T5736" t="n">
        <v>12057</v>
      </c>
      <c r="U5736" t="n">
        <v>6726</v>
      </c>
      <c r="AH5736" t="inlineStr">
        <is>
          <t>Quelle: Balearic Properties</t>
        </is>
      </c>
    </row>
    <row r="5737">
      <c r="A5737" t="n">
        <v>5550</v>
      </c>
      <c r="B5737" t="inlineStr">
        <is>
          <t>Luxury country estate with vineyard for sale in Pollensa, Mallorca north</t>
        </is>
      </c>
      <c r="C5737" t="inlineStr">
        <is>
          <t>https://www.balearic-properties.com/en/property/id/876081-country-estate-commercial-business-pollensa-mallorca-html</t>
        </is>
      </c>
      <c r="E5737" t="n">
        <v>5</v>
      </c>
      <c r="G5737" t="n">
        <v>172483</v>
      </c>
      <c r="H5737" t="n">
        <v>1307</v>
      </c>
      <c r="J5737" t="inlineStr">
        <is>
          <t>Pollença</t>
        </is>
      </c>
      <c r="K5737" t="n">
        <v>60.6</v>
      </c>
      <c r="L5737" t="n">
        <v>47</v>
      </c>
      <c r="M5737" t="n">
        <v>78.7</v>
      </c>
      <c r="N5737" t="n">
        <v>74</v>
      </c>
      <c r="O5737" t="n">
        <v>83.2</v>
      </c>
      <c r="P5737" t="n">
        <v>63</v>
      </c>
      <c r="Q5737" t="n">
        <v>76.40000000000001</v>
      </c>
      <c r="R5737" t="n">
        <v>70</v>
      </c>
      <c r="S5737" t="n">
        <v>7650000</v>
      </c>
      <c r="T5737" t="n">
        <v>5853</v>
      </c>
      <c r="U5737" t="n">
        <v>44</v>
      </c>
      <c r="AH5737" t="inlineStr">
        <is>
          <t>Quelle: Balearic Properties</t>
        </is>
      </c>
    </row>
    <row r="5738">
      <c r="A5738" t="n">
        <v>5551</v>
      </c>
      <c r="B5738" t="inlineStr">
        <is>
          <t>Newly built semi-detached houses for sale with private garden and pool near Llucmajor, Mallorca</t>
        </is>
      </c>
      <c r="C5738" t="inlineStr">
        <is>
          <t>https://www.balearic-properties.com/en/property/id/843934-new-house-pool-energy-mallorca-html</t>
        </is>
      </c>
      <c r="E5738" t="n">
        <v>4</v>
      </c>
      <c r="G5738" t="n">
        <v>300</v>
      </c>
      <c r="H5738" t="n">
        <v>164</v>
      </c>
      <c r="J5738" t="inlineStr">
        <is>
          <t>Puig de Ros</t>
        </is>
      </c>
      <c r="S5738" t="n">
        <v>899000</v>
      </c>
      <c r="T5738" t="n">
        <v>5482</v>
      </c>
      <c r="U5738" t="n">
        <v>2997</v>
      </c>
      <c r="AH5738" t="inlineStr">
        <is>
          <t>Quelle: Balearic Properties</t>
        </is>
      </c>
    </row>
    <row r="5739">
      <c r="A5739" t="n">
        <v>5552</v>
      </c>
      <c r="B5739" t="inlineStr">
        <is>
          <t>Newly built semi-detached houses for sale with private garden and pool near Llucmajor, Mallorca</t>
        </is>
      </c>
      <c r="C5739" t="inlineStr">
        <is>
          <t>https://www.balearic-properties.com/en/property/id/879064-newly-built-semi-detached-houses-for-sale-with-private-garden-and-pool-near-llucmajor-mallorca-html</t>
        </is>
      </c>
      <c r="E5739" t="n">
        <v>4</v>
      </c>
      <c r="G5739" t="n">
        <v>300</v>
      </c>
      <c r="H5739" t="n">
        <v>174</v>
      </c>
      <c r="J5739" t="inlineStr">
        <is>
          <t>Puig de Ros</t>
        </is>
      </c>
      <c r="S5739" t="n">
        <v>980000</v>
      </c>
      <c r="T5739" t="n">
        <v>5632</v>
      </c>
      <c r="U5739" t="n">
        <v>3267</v>
      </c>
      <c r="AH5739" t="inlineStr">
        <is>
          <t>Quelle: Balearic Properties</t>
        </is>
      </c>
    </row>
    <row r="5740">
      <c r="A5740" t="n">
        <v>5553</v>
      </c>
      <c r="B5740" t="inlineStr">
        <is>
          <t>Newly built semi-detached houses for sale with private garden and pool near Llucmajor, Mallorca</t>
        </is>
      </c>
      <c r="C5740" t="inlineStr">
        <is>
          <t>https://www.balearic-properties.com/en/property/id/879062-newly-built-semi-detached-houses-for-sale-with-private-garden-and-pool-near-llucmajor-mallorca-html</t>
        </is>
      </c>
      <c r="E5740" t="n">
        <v>4</v>
      </c>
      <c r="G5740" t="n">
        <v>300</v>
      </c>
      <c r="H5740" t="n">
        <v>174</v>
      </c>
      <c r="J5740" t="inlineStr">
        <is>
          <t>Puig de Ros</t>
        </is>
      </c>
      <c r="K5740" t="n">
        <v>15.6</v>
      </c>
      <c r="L5740" t="n">
        <v>17</v>
      </c>
      <c r="M5740" t="n">
        <v>42.2</v>
      </c>
      <c r="N5740" t="n">
        <v>40</v>
      </c>
      <c r="O5740" t="n">
        <v>53.8</v>
      </c>
      <c r="P5740" t="n">
        <v>44</v>
      </c>
      <c r="Q5740" t="n">
        <v>39.9</v>
      </c>
      <c r="R5740" t="n">
        <v>37</v>
      </c>
      <c r="S5740" t="n">
        <v>1076000</v>
      </c>
      <c r="T5740" t="n">
        <v>6184</v>
      </c>
      <c r="U5740" t="n">
        <v>3587</v>
      </c>
      <c r="AH5740" t="inlineStr">
        <is>
          <t>Quelle: Balearic Properties</t>
        </is>
      </c>
    </row>
    <row r="5741">
      <c r="A5741" t="n">
        <v>5554</v>
      </c>
      <c r="B5741" t="inlineStr">
        <is>
          <t>Ground floor apartment with community pool for sale in Sol de Mallorca</t>
        </is>
      </c>
      <c r="C5741" t="inlineStr">
        <is>
          <t>https://www.balearic-properties.com/en/property/id/763700-garden-apartment-pool-sol-mallorca-html</t>
        </is>
      </c>
      <c r="E5741" t="n">
        <v>3</v>
      </c>
      <c r="G5741" t="n">
        <v>500</v>
      </c>
      <c r="H5741" t="n">
        <v>183</v>
      </c>
      <c r="J5741" t="inlineStr">
        <is>
          <t>Sol de Mallorca</t>
        </is>
      </c>
      <c r="S5741" t="n">
        <v>950000</v>
      </c>
      <c r="T5741" t="n">
        <v>5191</v>
      </c>
      <c r="U5741" t="n">
        <v>1900</v>
      </c>
      <c r="AH5741" t="inlineStr">
        <is>
          <t>Quelle: Balearic Properties</t>
        </is>
      </c>
    </row>
    <row r="5742">
      <c r="A5742" t="n">
        <v>5555</v>
      </c>
      <c r="B5742" t="inlineStr">
        <is>
          <t>Stylish duplex apartment for sale in the Bonanova area of Palma, Mallorca</t>
        </is>
      </c>
      <c r="C5742" t="inlineStr">
        <is>
          <t>https://www.balearic-properties.com/en/property/id/877280-duplex-apartment-bonanova-palma-mallorca-html</t>
        </is>
      </c>
      <c r="E5742" t="n">
        <v>3</v>
      </c>
      <c r="G5742" t="n">
        <v>0</v>
      </c>
      <c r="H5742" t="n">
        <v>120</v>
      </c>
      <c r="J5742" t="inlineStr">
        <is>
          <t>Palma de Mallorca</t>
        </is>
      </c>
      <c r="K5742" t="n">
        <v>9.699999999999999</v>
      </c>
      <c r="L5742" t="n">
        <v>14</v>
      </c>
      <c r="M5742" t="n">
        <v>52.5</v>
      </c>
      <c r="N5742" t="n">
        <v>47</v>
      </c>
      <c r="O5742" t="n">
        <v>32.1</v>
      </c>
      <c r="P5742" t="n">
        <v>36</v>
      </c>
      <c r="Q5742" t="n">
        <v>50.2</v>
      </c>
      <c r="R5742" t="n">
        <v>44</v>
      </c>
      <c r="S5742" t="n">
        <v>1095000</v>
      </c>
      <c r="T5742" t="n">
        <v>9125</v>
      </c>
      <c r="AH5742" t="inlineStr">
        <is>
          <t>Quelle: Balearic Properties</t>
        </is>
      </c>
    </row>
    <row r="5743">
      <c r="A5743" t="n">
        <v>5556</v>
      </c>
      <c r="B5743" t="inlineStr">
        <is>
          <t>New town house with pool for sale in Portocolom, Mallorca</t>
        </is>
      </c>
      <c r="C5743" t="inlineStr">
        <is>
          <t>https://www.balearic-properties.com/en/property/id/876738-townhouse-panoramic-views-pool-portocolom-mallorca-html</t>
        </is>
      </c>
      <c r="E5743" t="n">
        <v>3</v>
      </c>
      <c r="G5743" t="n">
        <v>111</v>
      </c>
      <c r="H5743" t="n">
        <v>172</v>
      </c>
      <c r="J5743" t="inlineStr">
        <is>
          <t>Portocolom</t>
        </is>
      </c>
      <c r="K5743" t="n">
        <v>58.9</v>
      </c>
      <c r="L5743" t="n">
        <v>53</v>
      </c>
      <c r="M5743" t="n">
        <v>24.7</v>
      </c>
      <c r="N5743" t="n">
        <v>34</v>
      </c>
      <c r="O5743" t="n">
        <v>97.09999999999999</v>
      </c>
      <c r="P5743" t="n">
        <v>80</v>
      </c>
      <c r="Q5743" t="n">
        <v>26.2</v>
      </c>
      <c r="R5743" t="n">
        <v>36</v>
      </c>
      <c r="S5743" t="n">
        <v>1550000</v>
      </c>
      <c r="T5743" t="n">
        <v>9012</v>
      </c>
      <c r="U5743" t="n">
        <v>13964</v>
      </c>
      <c r="AH5743" t="inlineStr">
        <is>
          <t>Quelle: Balearic Properties</t>
        </is>
      </c>
    </row>
    <row r="5744">
      <c r="A5744" t="n">
        <v>5557</v>
      </c>
      <c r="B5744" t="inlineStr">
        <is>
          <t>Front line villa with incredible sea views for sale in El Toro, Mallorca</t>
        </is>
      </c>
      <c r="C5744" t="inlineStr">
        <is>
          <t>https://www.balearic-properties.com/en/property/id/876710-frontline-villa-sea-views-el-toro-mallorca-html</t>
        </is>
      </c>
      <c r="E5744" t="n">
        <v>4</v>
      </c>
      <c r="G5744" t="n">
        <v>814</v>
      </c>
      <c r="H5744" t="n">
        <v>350</v>
      </c>
      <c r="J5744" t="inlineStr">
        <is>
          <t>El Toro - Port Adriano</t>
        </is>
      </c>
      <c r="K5744" t="n">
        <v>34.7</v>
      </c>
      <c r="L5744" t="n">
        <v>32</v>
      </c>
      <c r="M5744" t="n">
        <v>77.40000000000001</v>
      </c>
      <c r="N5744" t="n">
        <v>65</v>
      </c>
      <c r="O5744" t="n">
        <v>18.7</v>
      </c>
      <c r="P5744" t="n">
        <v>23</v>
      </c>
      <c r="Q5744" t="n">
        <v>75.09999999999999</v>
      </c>
      <c r="R5744" t="n">
        <v>61</v>
      </c>
      <c r="S5744" t="n">
        <v>4500000</v>
      </c>
      <c r="T5744" t="n">
        <v>12857</v>
      </c>
      <c r="U5744" t="n">
        <v>5528</v>
      </c>
      <c r="AH5744" t="inlineStr">
        <is>
          <t>Quelle: Balearic Properties</t>
        </is>
      </c>
    </row>
    <row r="5745">
      <c r="A5745" t="n">
        <v>5558</v>
      </c>
      <c r="B5745" t="inlineStr">
        <is>
          <t>Special front line villa with holiday license for sale in Bonaire, Alcudia, north Mallorca</t>
        </is>
      </c>
      <c r="C5745" t="inlineStr">
        <is>
          <t>https://www.balearic-properties.com/en/property/id/827167-frontline-villa-holiday-license-alcudia-mallorca-html</t>
        </is>
      </c>
      <c r="E5745" t="n">
        <v>8</v>
      </c>
      <c r="G5745" t="n">
        <v>1459</v>
      </c>
      <c r="H5745" t="n">
        <v>406</v>
      </c>
      <c r="J5745" t="inlineStr">
        <is>
          <t>Bonaire</t>
        </is>
      </c>
      <c r="K5745" t="n">
        <v>64.40000000000001</v>
      </c>
      <c r="L5745" t="n">
        <v>54</v>
      </c>
      <c r="M5745" t="n">
        <v>82.5</v>
      </c>
      <c r="N5745" t="n">
        <v>80</v>
      </c>
      <c r="O5745" t="n">
        <v>87</v>
      </c>
      <c r="P5745" t="n">
        <v>70</v>
      </c>
      <c r="Q5745" t="n">
        <v>80.2</v>
      </c>
      <c r="R5745" t="n">
        <v>77</v>
      </c>
      <c r="S5745" t="n">
        <v>9400000</v>
      </c>
      <c r="T5745" t="n">
        <v>23153</v>
      </c>
      <c r="U5745" t="n">
        <v>6443</v>
      </c>
      <c r="AH5745" t="inlineStr">
        <is>
          <t>Quelle: Balearic Properties</t>
        </is>
      </c>
    </row>
    <row r="5746">
      <c r="A5746" t="n">
        <v>5559</v>
      </c>
      <c r="B5746" t="inlineStr">
        <is>
          <t>High-quality project for sale in a residential area near Portol, Mallorca</t>
        </is>
      </c>
      <c r="C5746" t="inlineStr">
        <is>
          <t>https://www.balearic-properties.com/en/property/id/875322-high-quality-project-in-a-residential-area-close-to-portol-html</t>
        </is>
      </c>
      <c r="E5746" t="n">
        <v>4</v>
      </c>
      <c r="G5746" t="n">
        <v>22000</v>
      </c>
      <c r="H5746" t="n">
        <v>300</v>
      </c>
      <c r="J5746" t="inlineStr">
        <is>
          <t>Marratxí</t>
        </is>
      </c>
      <c r="K5746" t="n">
        <v>13</v>
      </c>
      <c r="L5746" t="n">
        <v>17</v>
      </c>
      <c r="M5746" t="n">
        <v>56.3</v>
      </c>
      <c r="N5746" t="n">
        <v>50</v>
      </c>
      <c r="O5746" t="n">
        <v>40.6</v>
      </c>
      <c r="P5746" t="n">
        <v>34</v>
      </c>
      <c r="Q5746" t="n">
        <v>54</v>
      </c>
      <c r="R5746" t="n">
        <v>46</v>
      </c>
      <c r="S5746" t="n">
        <v>3200000</v>
      </c>
      <c r="T5746" t="n">
        <v>10667</v>
      </c>
      <c r="U5746" t="n">
        <v>145</v>
      </c>
      <c r="AH5746" t="inlineStr">
        <is>
          <t>Quelle: Balearic Properties</t>
        </is>
      </c>
    </row>
    <row r="5747">
      <c r="A5747" t="n">
        <v>5560</v>
      </c>
      <c r="B5747" t="inlineStr">
        <is>
          <t>Recently completed apartments for sale in Puerto Pollensa, Mallorca</t>
        </is>
      </c>
      <c r="C5747" t="inlineStr">
        <is>
          <t>https://www.balearic-properties.com/en/property/id/832977-apartment-pollensa-gotmar-html</t>
        </is>
      </c>
      <c r="E5747" t="n">
        <v>3</v>
      </c>
      <c r="G5747" t="n">
        <v>0</v>
      </c>
      <c r="H5747" t="n">
        <v>108</v>
      </c>
      <c r="J5747" t="inlineStr">
        <is>
          <t>Port de Pollença</t>
        </is>
      </c>
      <c r="S5747" t="n">
        <v>795000</v>
      </c>
      <c r="T5747" t="n">
        <v>7361</v>
      </c>
      <c r="AH5747" t="inlineStr">
        <is>
          <t>Quelle: Balearic Properties</t>
        </is>
      </c>
    </row>
    <row r="5748">
      <c r="A5748" t="n">
        <v>5561</v>
      </c>
      <c r="B5748" t="inlineStr">
        <is>
          <t>Fantastic new apartments for sale in Puerto Pollensa, Mallorca</t>
        </is>
      </c>
      <c r="C5748" t="inlineStr">
        <is>
          <t>https://www.balearic-properties.com/en/property/id/832981-apartment-pollensa-gotmar-html</t>
        </is>
      </c>
      <c r="E5748" t="n">
        <v>3</v>
      </c>
      <c r="G5748" t="n">
        <v>0</v>
      </c>
      <c r="H5748" t="n">
        <v>108</v>
      </c>
      <c r="J5748" t="inlineStr">
        <is>
          <t>Port de Pollença</t>
        </is>
      </c>
      <c r="S5748" t="n">
        <v>665000</v>
      </c>
      <c r="T5748" t="n">
        <v>6157</v>
      </c>
      <c r="AH5748" t="inlineStr">
        <is>
          <t>Quelle: Balearic Properties</t>
        </is>
      </c>
    </row>
    <row r="5749">
      <c r="A5749" t="n">
        <v>5562</v>
      </c>
      <c r="B5749" t="inlineStr">
        <is>
          <t>Apartments for sale on a new development in Puerto Pollensa, Mallorca</t>
        </is>
      </c>
      <c r="C5749" t="inlineStr">
        <is>
          <t>https://www.balearic-properties.com/en/property/id/832983-apartment-pollensa-gotmar-html</t>
        </is>
      </c>
      <c r="E5749" t="n">
        <v>3</v>
      </c>
      <c r="G5749" t="n">
        <v>0</v>
      </c>
      <c r="H5749" t="n">
        <v>142</v>
      </c>
      <c r="J5749" t="inlineStr">
        <is>
          <t>Port de Pollença</t>
        </is>
      </c>
      <c r="S5749" t="n">
        <v>720000</v>
      </c>
      <c r="T5749" t="n">
        <v>5070</v>
      </c>
      <c r="AH5749" t="inlineStr">
        <is>
          <t>Quelle: Balearic Properties</t>
        </is>
      </c>
    </row>
    <row r="5750">
      <c r="A5750" t="n">
        <v>5563</v>
      </c>
      <c r="B5750" t="inlineStr">
        <is>
          <t>New development of apartments for sale in Puerto Pollensa, Mallorca</t>
        </is>
      </c>
      <c r="C5750" t="inlineStr">
        <is>
          <t>https://www.balearic-properties.com/en/property/id/832962-apartment-pollensa-gotmar-html</t>
        </is>
      </c>
      <c r="E5750" t="n">
        <v>4</v>
      </c>
      <c r="G5750" t="n">
        <v>0</v>
      </c>
      <c r="H5750" t="n">
        <v>142</v>
      </c>
      <c r="J5750" t="inlineStr">
        <is>
          <t>Port de Pollença</t>
        </is>
      </c>
      <c r="S5750" t="n">
        <v>735000</v>
      </c>
      <c r="T5750" t="n">
        <v>5176</v>
      </c>
      <c r="AH5750" t="inlineStr">
        <is>
          <t>Quelle: Balearic Properties</t>
        </is>
      </c>
    </row>
    <row r="5751">
      <c r="A5751" t="n">
        <v>5564</v>
      </c>
      <c r="B5751" t="inlineStr">
        <is>
          <t>Exciting town house renovation project for sale in Pollensa, Mallorca</t>
        </is>
      </c>
      <c r="C5751" t="inlineStr">
        <is>
          <t>https://www.balearic-properties.com/en/property/id/859275-townhouse-potential-refurbishment-pollensa-mallorca-html</t>
        </is>
      </c>
      <c r="E5751" t="n">
        <v>4</v>
      </c>
      <c r="G5751" t="n">
        <v>242</v>
      </c>
      <c r="H5751" t="n">
        <v>218</v>
      </c>
      <c r="J5751" t="inlineStr">
        <is>
          <t>Pollença</t>
        </is>
      </c>
      <c r="S5751" t="n">
        <v>825000</v>
      </c>
      <c r="T5751" t="n">
        <v>3784</v>
      </c>
      <c r="U5751" t="n">
        <v>3409</v>
      </c>
      <c r="AH5751" t="inlineStr">
        <is>
          <t>Quelle: Balearic Properties</t>
        </is>
      </c>
    </row>
    <row r="5752">
      <c r="A5752" t="n">
        <v>5565</v>
      </c>
      <c r="B5752" t="inlineStr">
        <is>
          <t>Luxury country home with rental license for sale in Puig de Santa Magdalena, Mallorca</t>
        </is>
      </c>
      <c r="C5752" t="inlineStr">
        <is>
          <t>https://www.balearic-properties.com/en/property/id/359663-country-home-inca-html</t>
        </is>
      </c>
      <c r="E5752" t="n">
        <v>4</v>
      </c>
      <c r="G5752" t="n">
        <v>17535</v>
      </c>
      <c r="H5752" t="n">
        <v>971</v>
      </c>
      <c r="J5752" t="inlineStr">
        <is>
          <t>Santa Magdalena</t>
        </is>
      </c>
      <c r="K5752" t="n">
        <v>10.7</v>
      </c>
      <c r="L5752" t="n">
        <v>20</v>
      </c>
      <c r="M5752" t="n">
        <v>53.5</v>
      </c>
      <c r="N5752" t="n">
        <v>53</v>
      </c>
      <c r="O5752" t="n">
        <v>31.3</v>
      </c>
      <c r="P5752" t="n">
        <v>31</v>
      </c>
      <c r="Q5752" t="n">
        <v>51.2</v>
      </c>
      <c r="R5752" t="n">
        <v>49</v>
      </c>
      <c r="S5752" t="n">
        <v>5400000</v>
      </c>
      <c r="T5752" t="n">
        <v>5561</v>
      </c>
      <c r="U5752" t="n">
        <v>308</v>
      </c>
      <c r="AH5752" t="inlineStr">
        <is>
          <t>Quelle: Balearic Properties</t>
        </is>
      </c>
    </row>
    <row r="5753">
      <c r="A5753" t="n">
        <v>5566</v>
      </c>
      <c r="B5753" t="inlineStr">
        <is>
          <t>Magnificent country estate with sea views for sale in Estellencs, Mallorca</t>
        </is>
      </c>
      <c r="C5753" t="inlineStr">
        <is>
          <t>https://www.balearic-properties.com/en/property/id/874083-historic-estate-seaviews-reform-estellencs-mallorca-html</t>
        </is>
      </c>
      <c r="E5753" t="n">
        <v>10</v>
      </c>
      <c r="G5753" t="n">
        <v>3112000</v>
      </c>
      <c r="H5753" t="n">
        <v>1800</v>
      </c>
      <c r="J5753" t="inlineStr">
        <is>
          <t>Estellencs</t>
        </is>
      </c>
      <c r="K5753" t="n">
        <v>42.7</v>
      </c>
      <c r="L5753" t="n">
        <v>58</v>
      </c>
      <c r="M5753" t="n">
        <v>85.5</v>
      </c>
      <c r="N5753" t="n">
        <v>91</v>
      </c>
      <c r="O5753" t="n">
        <v>19.9</v>
      </c>
      <c r="P5753" t="n">
        <v>32</v>
      </c>
      <c r="Q5753" t="n">
        <v>83.2</v>
      </c>
      <c r="R5753" t="n">
        <v>87</v>
      </c>
      <c r="S5753" t="n">
        <v>12875000</v>
      </c>
      <c r="T5753" t="n">
        <v>7153</v>
      </c>
      <c r="U5753" t="n">
        <v>4</v>
      </c>
      <c r="AH5753" t="inlineStr">
        <is>
          <t>Quelle: Balearic Properties</t>
        </is>
      </c>
    </row>
    <row r="5754">
      <c r="A5754" t="n">
        <v>5567</v>
      </c>
      <c r="B5754" t="inlineStr">
        <is>
          <t>Modern penthouse with panoramic views for sale in Santa Ponsa, Mallorca</t>
        </is>
      </c>
      <c r="C5754" t="inlineStr">
        <is>
          <t>https://www.balearic-properties.com/en/property/id/870739-modern-apartment-with-panoramic-views-for-sale-in-santa-ponsa-mallorca-html</t>
        </is>
      </c>
      <c r="E5754" t="n">
        <v>2</v>
      </c>
      <c r="G5754" t="n">
        <v>0</v>
      </c>
      <c r="H5754" t="n">
        <v>123</v>
      </c>
      <c r="J5754" t="inlineStr">
        <is>
          <t>Santa Ponsa</t>
        </is>
      </c>
      <c r="K5754" t="n">
        <v>31.1</v>
      </c>
      <c r="L5754" t="n">
        <v>28</v>
      </c>
      <c r="M5754" t="n">
        <v>73.90000000000001</v>
      </c>
      <c r="N5754" t="n">
        <v>61</v>
      </c>
      <c r="O5754" t="n">
        <v>15.2</v>
      </c>
      <c r="P5754" t="n">
        <v>19</v>
      </c>
      <c r="Q5754" t="n">
        <v>71.59999999999999</v>
      </c>
      <c r="R5754" t="n">
        <v>57</v>
      </c>
      <c r="S5754" t="n">
        <v>1890000</v>
      </c>
      <c r="T5754" t="n">
        <v>15366</v>
      </c>
      <c r="AH5754" t="inlineStr">
        <is>
          <t>Quelle: Balearic Properties</t>
        </is>
      </c>
    </row>
    <row r="5755">
      <c r="A5755" t="n">
        <v>5568</v>
      </c>
      <c r="B5755" t="inlineStr">
        <is>
          <t>Outstanding sea view villa for sale in Pollensa, Mallorca</t>
        </is>
      </c>
      <c r="C5755" t="inlineStr">
        <is>
          <t>https://www.balearic-properties.com/en/property/id/871083-outstanding-sea-view-villa-pollensa-mallorca-html</t>
        </is>
      </c>
      <c r="E5755" t="n">
        <v>5</v>
      </c>
      <c r="G5755" t="n">
        <v>1148</v>
      </c>
      <c r="H5755" t="n">
        <v>434</v>
      </c>
      <c r="J5755" t="inlineStr">
        <is>
          <t>Pollença</t>
        </is>
      </c>
      <c r="K5755" t="n">
        <v>60.6</v>
      </c>
      <c r="L5755" t="n">
        <v>47</v>
      </c>
      <c r="M5755" t="n">
        <v>78.7</v>
      </c>
      <c r="N5755" t="n">
        <v>74</v>
      </c>
      <c r="O5755" t="n">
        <v>83.2</v>
      </c>
      <c r="P5755" t="n">
        <v>63</v>
      </c>
      <c r="Q5755" t="n">
        <v>76.40000000000001</v>
      </c>
      <c r="R5755" t="n">
        <v>70</v>
      </c>
      <c r="S5755" t="n">
        <v>3700000</v>
      </c>
      <c r="T5755" t="n">
        <v>8525</v>
      </c>
      <c r="U5755" t="n">
        <v>3223</v>
      </c>
      <c r="AH5755" t="inlineStr">
        <is>
          <t>Quelle: Balearic Properties</t>
        </is>
      </c>
    </row>
    <row r="5756">
      <c r="A5756" t="n">
        <v>5569</v>
      </c>
      <c r="B5756" t="inlineStr">
        <is>
          <t>Stylish luxury villa for sale in a sought-after area of Puerto Andratx, Mallorca</t>
        </is>
      </c>
      <c r="C5756" t="inlineStr">
        <is>
          <t>https://www.balearic-properties.com/en/property/id/872768-stylish-luxury-villa-puerto-andratx-mallorca-html</t>
        </is>
      </c>
      <c r="E5756" t="n">
        <v>4</v>
      </c>
      <c r="G5756" t="n">
        <v>1039</v>
      </c>
      <c r="H5756" t="n">
        <v>535</v>
      </c>
      <c r="J5756" t="inlineStr">
        <is>
          <t>Puerto Andratx</t>
        </is>
      </c>
      <c r="K5756" t="n">
        <v>43.5</v>
      </c>
      <c r="L5756" t="n">
        <v>38</v>
      </c>
      <c r="M5756" t="n">
        <v>86.2</v>
      </c>
      <c r="N5756" t="n">
        <v>71</v>
      </c>
      <c r="O5756" t="n">
        <v>6.3</v>
      </c>
      <c r="P5756" t="n">
        <v>11</v>
      </c>
      <c r="Q5756" t="n">
        <v>83.90000000000001</v>
      </c>
      <c r="R5756" t="n">
        <v>68</v>
      </c>
      <c r="S5756" t="n">
        <v>3950000</v>
      </c>
      <c r="T5756" t="n">
        <v>7383</v>
      </c>
      <c r="U5756" t="n">
        <v>3802</v>
      </c>
      <c r="AH5756" t="inlineStr">
        <is>
          <t>Quelle: Balearic Properties</t>
        </is>
      </c>
    </row>
    <row r="5757">
      <c r="A5757" t="n">
        <v>5570</v>
      </c>
      <c r="B5757" t="inlineStr">
        <is>
          <t>Brand new luxury villa with sea views for sale in Santa Ponsa, Mallorca</t>
        </is>
      </c>
      <c r="C5757" t="inlineStr">
        <is>
          <t>https://www.balearic-properties.com/en/property/id/782767-mallorca-villa-santa-ponsa-html</t>
        </is>
      </c>
      <c r="E5757" t="n">
        <v>4</v>
      </c>
      <c r="G5757" t="n">
        <v>4922</v>
      </c>
      <c r="H5757" t="n">
        <v>600</v>
      </c>
      <c r="J5757" t="inlineStr">
        <is>
          <t>Santa Ponsa</t>
        </is>
      </c>
      <c r="K5757" t="n">
        <v>31.1</v>
      </c>
      <c r="L5757" t="n">
        <v>28</v>
      </c>
      <c r="M5757" t="n">
        <v>73.90000000000001</v>
      </c>
      <c r="N5757" t="n">
        <v>61</v>
      </c>
      <c r="O5757" t="n">
        <v>15.2</v>
      </c>
      <c r="P5757" t="n">
        <v>19</v>
      </c>
      <c r="Q5757" t="n">
        <v>71.59999999999999</v>
      </c>
      <c r="R5757" t="n">
        <v>57</v>
      </c>
      <c r="S5757" t="n">
        <v>4250000</v>
      </c>
      <c r="T5757" t="n">
        <v>7083</v>
      </c>
      <c r="U5757" t="n">
        <v>863</v>
      </c>
      <c r="AH5757" t="inlineStr">
        <is>
          <t>Quelle: Balearic Properties</t>
        </is>
      </c>
    </row>
    <row r="5758">
      <c r="A5758" t="n">
        <v>5571</v>
      </c>
      <c r="B5758" t="inlineStr">
        <is>
          <t>Contemporary villa project with idyllic sea views for sale in Nova Santa Ponsa, Mallorca</t>
        </is>
      </c>
      <c r="C5758" t="inlineStr">
        <is>
          <t>https://www.balearic-properties.com/en/property/id/871376-fantastic-sea-view-villa-santa-ponsa-html</t>
        </is>
      </c>
      <c r="E5758" t="n">
        <v>4</v>
      </c>
      <c r="G5758" t="n">
        <v>874</v>
      </c>
      <c r="H5758" t="n">
        <v>536</v>
      </c>
      <c r="J5758" t="inlineStr">
        <is>
          <t>Santa Ponsa</t>
        </is>
      </c>
      <c r="K5758" t="n">
        <v>31.1</v>
      </c>
      <c r="L5758" t="n">
        <v>28</v>
      </c>
      <c r="M5758" t="n">
        <v>73.90000000000001</v>
      </c>
      <c r="N5758" t="n">
        <v>61</v>
      </c>
      <c r="O5758" t="n">
        <v>15.2</v>
      </c>
      <c r="P5758" t="n">
        <v>19</v>
      </c>
      <c r="Q5758" t="n">
        <v>71.59999999999999</v>
      </c>
      <c r="R5758" t="n">
        <v>57</v>
      </c>
      <c r="S5758" t="n">
        <v>9890000</v>
      </c>
      <c r="T5758" t="n">
        <v>18451</v>
      </c>
      <c r="U5758" t="n">
        <v>11316</v>
      </c>
      <c r="AH5758" t="inlineStr">
        <is>
          <t>Quelle: Balearic Properties</t>
        </is>
      </c>
    </row>
    <row r="5759">
      <c r="A5759" t="n">
        <v>5572</v>
      </c>
      <c r="B5759" t="inlineStr">
        <is>
          <t>Magnificent country house with sea views for sale in Muro, Mallorca</t>
        </is>
      </c>
      <c r="C5759" t="inlineStr">
        <is>
          <t>https://www.balearic-properties.com/en/property/id/871898-romantic-country-house-with-sea-view-html</t>
        </is>
      </c>
      <c r="E5759" t="n">
        <v>3</v>
      </c>
      <c r="G5759" t="n">
        <v>12328</v>
      </c>
      <c r="H5759" t="n">
        <v>337</v>
      </c>
      <c r="J5759" t="inlineStr">
        <is>
          <t>Muro</t>
        </is>
      </c>
      <c r="K5759" t="n">
        <v>58.2</v>
      </c>
      <c r="L5759" t="n">
        <v>46</v>
      </c>
      <c r="M5759" t="n">
        <v>60.2</v>
      </c>
      <c r="N5759" t="n">
        <v>64</v>
      </c>
      <c r="O5759" t="n">
        <v>80.8</v>
      </c>
      <c r="P5759" t="n">
        <v>62</v>
      </c>
      <c r="Q5759" t="n">
        <v>57.9</v>
      </c>
      <c r="R5759" t="n">
        <v>61</v>
      </c>
      <c r="S5759" t="n">
        <v>1580000</v>
      </c>
      <c r="T5759" t="n">
        <v>4688</v>
      </c>
      <c r="U5759" t="n">
        <v>128</v>
      </c>
      <c r="AH5759" t="inlineStr">
        <is>
          <t>Quelle: Balearic Properties</t>
        </is>
      </c>
    </row>
    <row r="5760">
      <c r="A5760" t="n">
        <v>5573</v>
      </c>
      <c r="B5760" t="inlineStr">
        <is>
          <t>Brand new apartments for sale in Cala d'Or</t>
        </is>
      </c>
      <c r="C5760" t="inlineStr">
        <is>
          <t>https://www.balearic-properties.com/en/property/id/871819-brand-new-apartments-for-sale-in-cala-d-or-html</t>
        </is>
      </c>
      <c r="E5760" t="n">
        <v>2</v>
      </c>
      <c r="G5760" t="n">
        <v>0</v>
      </c>
      <c r="H5760" t="n">
        <v>61</v>
      </c>
      <c r="J5760" t="inlineStr">
        <is>
          <t>Cala d´Or</t>
        </is>
      </c>
      <c r="S5760" t="n">
        <v>398000</v>
      </c>
      <c r="T5760" t="n">
        <v>6525</v>
      </c>
      <c r="AH5760" t="inlineStr">
        <is>
          <t>Quelle: Balearic Properties</t>
        </is>
      </c>
    </row>
    <row r="5761">
      <c r="A5761" t="n">
        <v>5574</v>
      </c>
      <c r="B5761" t="inlineStr">
        <is>
          <t>Immaculate villa with panoramic sea views for sale in Puerto Andratx, Mallorca</t>
        </is>
      </c>
      <c r="C5761" t="inlineStr">
        <is>
          <t>https://www.balearic-properties.com/en/property/id/872357-luxury-villa-sea-views-puerto-andratx-mallorca-html</t>
        </is>
      </c>
      <c r="E5761" t="n">
        <v>5</v>
      </c>
      <c r="G5761" t="n">
        <v>1000</v>
      </c>
      <c r="H5761" t="n">
        <v>540</v>
      </c>
      <c r="J5761" t="inlineStr">
        <is>
          <t>Puerto Andratx</t>
        </is>
      </c>
      <c r="K5761" t="n">
        <v>43.5</v>
      </c>
      <c r="L5761" t="n">
        <v>38</v>
      </c>
      <c r="M5761" t="n">
        <v>86.2</v>
      </c>
      <c r="N5761" t="n">
        <v>71</v>
      </c>
      <c r="O5761" t="n">
        <v>6.3</v>
      </c>
      <c r="P5761" t="n">
        <v>11</v>
      </c>
      <c r="Q5761" t="n">
        <v>83.90000000000001</v>
      </c>
      <c r="R5761" t="n">
        <v>68</v>
      </c>
      <c r="S5761" t="n">
        <v>8950000</v>
      </c>
      <c r="T5761" t="n">
        <v>16574</v>
      </c>
      <c r="U5761" t="n">
        <v>8950</v>
      </c>
      <c r="AH5761" t="inlineStr">
        <is>
          <t>Quelle: Balearic Properties</t>
        </is>
      </c>
    </row>
    <row r="5762">
      <c r="A5762" t="n">
        <v>5575</v>
      </c>
      <c r="B5762" t="inlineStr">
        <is>
          <t>Charming town house with guest house for sale in Sa Pobla, Mallorca</t>
        </is>
      </c>
      <c r="C5762" t="inlineStr">
        <is>
          <t>https://www.balearic-properties.com/en/property/id/871824-charming-townhouse-guest-house-sa-pobla-mallorca-html</t>
        </is>
      </c>
      <c r="E5762" t="n">
        <v>7</v>
      </c>
      <c r="G5762" t="n">
        <v>687</v>
      </c>
      <c r="H5762" t="n">
        <v>650</v>
      </c>
      <c r="J5762" t="inlineStr">
        <is>
          <t>Sa Pobla</t>
        </is>
      </c>
      <c r="K5762" t="n">
        <v>52.7</v>
      </c>
      <c r="L5762" t="n">
        <v>41</v>
      </c>
      <c r="M5762" t="n">
        <v>59.6</v>
      </c>
      <c r="N5762" t="n">
        <v>65</v>
      </c>
      <c r="O5762" t="n">
        <v>75.3</v>
      </c>
      <c r="P5762" t="n">
        <v>57</v>
      </c>
      <c r="Q5762" t="n">
        <v>57.3</v>
      </c>
      <c r="R5762" t="n">
        <v>61</v>
      </c>
      <c r="AH5762" t="inlineStr">
        <is>
          <t>Quelle: Balearic Properties</t>
        </is>
      </c>
    </row>
    <row r="5763">
      <c r="A5763" t="n">
        <v>5576</v>
      </c>
      <c r="B5763" t="inlineStr">
        <is>
          <t>Investment refurbishment project - finca with holiday license for sale in Puerto Pollensa, Mallorca</t>
        </is>
      </c>
      <c r="C5763" t="inlineStr">
        <is>
          <t>https://www.balearic-properties.com/en/property/id/828937-finca-holiday-license-guest-house-puerto-pollensa-mallorca-html</t>
        </is>
      </c>
      <c r="E5763" t="n">
        <v>7</v>
      </c>
      <c r="G5763" t="n">
        <v>12336</v>
      </c>
      <c r="H5763" t="n">
        <v>688</v>
      </c>
      <c r="J5763" t="inlineStr">
        <is>
          <t>Port de Pollença</t>
        </is>
      </c>
      <c r="K5763" t="n">
        <v>66.90000000000001</v>
      </c>
      <c r="L5763" t="n">
        <v>52</v>
      </c>
      <c r="M5763" t="n">
        <v>85</v>
      </c>
      <c r="N5763" t="n">
        <v>78</v>
      </c>
      <c r="O5763" t="n">
        <v>89.5</v>
      </c>
      <c r="P5763" t="n">
        <v>68</v>
      </c>
      <c r="Q5763" t="n">
        <v>82.7</v>
      </c>
      <c r="R5763" t="n">
        <v>75</v>
      </c>
      <c r="S5763" t="n">
        <v>2650000</v>
      </c>
      <c r="T5763" t="n">
        <v>3852</v>
      </c>
      <c r="U5763" t="n">
        <v>215</v>
      </c>
      <c r="AH5763" t="inlineStr">
        <is>
          <t>Quelle: Balearic Properties</t>
        </is>
      </c>
    </row>
    <row r="5764">
      <c r="A5764" t="n">
        <v>5577</v>
      </c>
      <c r="B5764" t="inlineStr">
        <is>
          <t>Stunning country estate for sale in a picturesque area of Felanitx, Mallorca</t>
        </is>
      </c>
      <c r="C5764" t="inlineStr">
        <is>
          <t>https://www.balearic-properties.com/en/property/id/871545-magnificent-country-mansion-felanitx-mallorca-html</t>
        </is>
      </c>
      <c r="E5764" t="n">
        <v>6</v>
      </c>
      <c r="G5764" t="n">
        <v>26500</v>
      </c>
      <c r="H5764" t="n">
        <v>777</v>
      </c>
      <c r="J5764" t="inlineStr">
        <is>
          <t>Cas Concos</t>
        </is>
      </c>
      <c r="K5764" t="n">
        <v>43.4</v>
      </c>
      <c r="L5764" t="n">
        <v>42</v>
      </c>
      <c r="M5764" t="n">
        <v>14.6</v>
      </c>
      <c r="N5764" t="n">
        <v>21</v>
      </c>
      <c r="O5764" t="n">
        <v>81.59999999999999</v>
      </c>
      <c r="P5764" t="n">
        <v>69</v>
      </c>
      <c r="Q5764" t="n">
        <v>15.9</v>
      </c>
      <c r="R5764" t="n">
        <v>25</v>
      </c>
      <c r="S5764" t="n">
        <v>5650000</v>
      </c>
      <c r="T5764" t="n">
        <v>7272</v>
      </c>
      <c r="U5764" t="n">
        <v>213</v>
      </c>
      <c r="AH5764" t="inlineStr">
        <is>
          <t>Quelle: Balearic Properties</t>
        </is>
      </c>
    </row>
    <row r="5765">
      <c r="A5765" t="n">
        <v>5578</v>
      </c>
      <c r="B5765" t="inlineStr">
        <is>
          <t>Amazing village house project for sale in the heart of Pollensa, Mallorca</t>
        </is>
      </c>
      <c r="C5765" t="inlineStr">
        <is>
          <t>https://www.balearic-properties.com/en/property/id/830883-amazing-townhouse-project-centre-pollensa-mallorca-html</t>
        </is>
      </c>
      <c r="E5765" t="n">
        <v>4</v>
      </c>
      <c r="G5765" t="n">
        <v>77</v>
      </c>
      <c r="H5765" t="n">
        <v>152</v>
      </c>
      <c r="J5765" t="inlineStr">
        <is>
          <t>Pollença Pueblo</t>
        </is>
      </c>
      <c r="S5765" t="n">
        <v>480000</v>
      </c>
      <c r="T5765" t="n">
        <v>3158</v>
      </c>
      <c r="U5765" t="n">
        <v>6234</v>
      </c>
      <c r="AH5765" t="inlineStr">
        <is>
          <t>Quelle: Balearic Properties</t>
        </is>
      </c>
    </row>
    <row r="5766">
      <c r="A5766" t="n">
        <v>5579</v>
      </c>
      <c r="B5766" t="inlineStr">
        <is>
          <t>Brand new country villa with pool for sale near Puerto Pollensa, Mallorca</t>
        </is>
      </c>
      <c r="C5766" t="inlineStr">
        <is>
          <t>https://www.balearic-properties.com/en/property/id/868207-brandnew-country-villa-puerto-pollensa-mallorca-html</t>
        </is>
      </c>
      <c r="E5766" t="n">
        <v>4</v>
      </c>
      <c r="G5766" t="n">
        <v>18108</v>
      </c>
      <c r="H5766" t="n">
        <v>368</v>
      </c>
      <c r="J5766" t="inlineStr">
        <is>
          <t>Pollença</t>
        </is>
      </c>
      <c r="K5766" t="n">
        <v>60.6</v>
      </c>
      <c r="L5766" t="n">
        <v>47</v>
      </c>
      <c r="M5766" t="n">
        <v>78.7</v>
      </c>
      <c r="N5766" t="n">
        <v>74</v>
      </c>
      <c r="O5766" t="n">
        <v>83.2</v>
      </c>
      <c r="P5766" t="n">
        <v>63</v>
      </c>
      <c r="Q5766" t="n">
        <v>76.40000000000001</v>
      </c>
      <c r="R5766" t="n">
        <v>70</v>
      </c>
      <c r="S5766" t="n">
        <v>3475000</v>
      </c>
      <c r="T5766" t="n">
        <v>9443</v>
      </c>
      <c r="U5766" t="n">
        <v>192</v>
      </c>
      <c r="AH5766" t="inlineStr">
        <is>
          <t>Quelle: Balearic Properties</t>
        </is>
      </c>
    </row>
    <row r="5767">
      <c r="A5767" t="n">
        <v>5580</v>
      </c>
      <c r="B5767" t="inlineStr">
        <is>
          <t>Stylish country house with holiday rental license for sale in Pollensa, Mallorca</t>
        </is>
      </c>
      <c r="C5767" t="inlineStr">
        <is>
          <t>https://www.balearic-properties.com/en/property/id/833773-country-house-rental-license-pollensa-mallorca-html</t>
        </is>
      </c>
      <c r="E5767" t="n">
        <v>3</v>
      </c>
      <c r="G5767" t="n">
        <v>14265</v>
      </c>
      <c r="H5767" t="n">
        <v>444</v>
      </c>
      <c r="J5767" t="inlineStr">
        <is>
          <t>Pollença</t>
        </is>
      </c>
      <c r="K5767" t="n">
        <v>60.6</v>
      </c>
      <c r="L5767" t="n">
        <v>47</v>
      </c>
      <c r="M5767" t="n">
        <v>78.7</v>
      </c>
      <c r="N5767" t="n">
        <v>74</v>
      </c>
      <c r="O5767" t="n">
        <v>83.2</v>
      </c>
      <c r="P5767" t="n">
        <v>63</v>
      </c>
      <c r="Q5767" t="n">
        <v>76.40000000000001</v>
      </c>
      <c r="R5767" t="n">
        <v>70</v>
      </c>
      <c r="S5767" t="n">
        <v>1800000</v>
      </c>
      <c r="T5767" t="n">
        <v>4054</v>
      </c>
      <c r="U5767" t="n">
        <v>126</v>
      </c>
      <c r="AH5767" t="inlineStr">
        <is>
          <t>Quelle: Balearic Properties</t>
        </is>
      </c>
    </row>
    <row r="5768">
      <c r="A5768" t="n">
        <v>5581</v>
      </c>
      <c r="B5768" t="inlineStr">
        <is>
          <t>Contemporary garden apartment for sale in Santa Ponsa, Mallorca</t>
        </is>
      </c>
      <c r="C5768" t="inlineStr">
        <is>
          <t>https://www.balearic-properties.com/en/property/id/847938-contemporary-garden-apartment-santa-ponsa-mallorca-html</t>
        </is>
      </c>
      <c r="E5768" t="n">
        <v>3</v>
      </c>
      <c r="G5768" t="n">
        <v>407</v>
      </c>
      <c r="H5768" t="n">
        <v>116</v>
      </c>
      <c r="J5768" t="inlineStr">
        <is>
          <t>Santa Ponsa</t>
        </is>
      </c>
      <c r="K5768" t="n">
        <v>31.1</v>
      </c>
      <c r="L5768" t="n">
        <v>28</v>
      </c>
      <c r="M5768" t="n">
        <v>73.90000000000001</v>
      </c>
      <c r="N5768" t="n">
        <v>61</v>
      </c>
      <c r="O5768" t="n">
        <v>15.2</v>
      </c>
      <c r="P5768" t="n">
        <v>19</v>
      </c>
      <c r="Q5768" t="n">
        <v>71.59999999999999</v>
      </c>
      <c r="R5768" t="n">
        <v>57</v>
      </c>
      <c r="S5768" t="n">
        <v>1500000</v>
      </c>
      <c r="T5768" t="n">
        <v>12931</v>
      </c>
      <c r="U5768" t="n">
        <v>3686</v>
      </c>
      <c r="AH5768" t="inlineStr">
        <is>
          <t>Quelle: Balearic Properties</t>
        </is>
      </c>
    </row>
    <row r="5769">
      <c r="A5769" t="n">
        <v>5582</v>
      </c>
      <c r="B5769" t="inlineStr">
        <is>
          <t>Stunning penthouse with community pool for sale in Camp de Mar, Mallorca</t>
        </is>
      </c>
      <c r="C5769" t="inlineStr">
        <is>
          <t>https://www.balearic-properties.com/en/property/id/834484-gorgeous-penthouse-with-community-pool-for-sale-in-camp-de-mar-mallorca-html</t>
        </is>
      </c>
      <c r="E5769" t="n">
        <v>4</v>
      </c>
      <c r="G5769" t="n">
        <v>0</v>
      </c>
      <c r="H5769" t="n">
        <v>205</v>
      </c>
      <c r="J5769" t="inlineStr">
        <is>
          <t>Camp de Mar</t>
        </is>
      </c>
      <c r="K5769" t="n">
        <v>38.7</v>
      </c>
      <c r="L5769" t="n">
        <v>32</v>
      </c>
      <c r="M5769" t="n">
        <v>81.40000000000001</v>
      </c>
      <c r="N5769" t="n">
        <v>65</v>
      </c>
      <c r="O5769" t="n">
        <v>6.7</v>
      </c>
      <c r="P5769" t="n">
        <v>10</v>
      </c>
      <c r="Q5769" t="n">
        <v>79.09999999999999</v>
      </c>
      <c r="R5769" t="n">
        <v>62</v>
      </c>
      <c r="S5769" t="n">
        <v>3100000</v>
      </c>
      <c r="T5769" t="n">
        <v>15122</v>
      </c>
      <c r="AH5769" t="inlineStr">
        <is>
          <t>Quelle: Balearic Properties</t>
        </is>
      </c>
    </row>
    <row r="5770">
      <c r="A5770" t="n">
        <v>5583</v>
      </c>
      <c r="B5770" t="inlineStr">
        <is>
          <t>Stunning country finca with private vineyard for sale in Sencelles, Mallorca</t>
        </is>
      </c>
      <c r="C5770" t="inlineStr">
        <is>
          <t>https://www.balearic-properties.com/en/property/id/860022-country-house-heated-pool-vinyard-sencelles-mallorca-html</t>
        </is>
      </c>
      <c r="E5770" t="n">
        <v>4</v>
      </c>
      <c r="G5770" t="n">
        <v>15300</v>
      </c>
      <c r="H5770" t="n">
        <v>512</v>
      </c>
      <c r="J5770" t="inlineStr">
        <is>
          <t>Sencelles</t>
        </is>
      </c>
      <c r="K5770" t="n">
        <v>34.2</v>
      </c>
      <c r="L5770" t="n">
        <v>32</v>
      </c>
      <c r="M5770" t="n">
        <v>46.4</v>
      </c>
      <c r="N5770" t="n">
        <v>50</v>
      </c>
      <c r="O5770" t="n">
        <v>56.8</v>
      </c>
      <c r="P5770" t="n">
        <v>48</v>
      </c>
      <c r="Q5770" t="n">
        <v>44.1</v>
      </c>
      <c r="R5770" t="n">
        <v>46</v>
      </c>
      <c r="S5770" t="n">
        <v>2950000</v>
      </c>
      <c r="T5770" t="n">
        <v>5762</v>
      </c>
      <c r="U5770" t="n">
        <v>193</v>
      </c>
      <c r="AH5770" t="inlineStr">
        <is>
          <t>Quelle: Balearic Properties</t>
        </is>
      </c>
    </row>
    <row r="5771">
      <c r="A5771" t="n">
        <v>5584</v>
      </c>
      <c r="B5771" t="inlineStr">
        <is>
          <t>Country property with holiday license and good rental income for sale in Pollensa, Mallorca</t>
        </is>
      </c>
      <c r="C5771" t="inlineStr">
        <is>
          <t>https://www.balearic-properties.com/en/property/id/305505-finca-rental-license-pollensa-html</t>
        </is>
      </c>
      <c r="E5771" t="n">
        <v>5</v>
      </c>
      <c r="G5771" t="n">
        <v>2603</v>
      </c>
      <c r="H5771" t="n">
        <v>484</v>
      </c>
      <c r="J5771" t="inlineStr">
        <is>
          <t>Pollença</t>
        </is>
      </c>
      <c r="K5771" t="n">
        <v>60.6</v>
      </c>
      <c r="L5771" t="n">
        <v>47</v>
      </c>
      <c r="M5771" t="n">
        <v>78.7</v>
      </c>
      <c r="N5771" t="n">
        <v>74</v>
      </c>
      <c r="O5771" t="n">
        <v>83.2</v>
      </c>
      <c r="P5771" t="n">
        <v>63</v>
      </c>
      <c r="Q5771" t="n">
        <v>76.40000000000001</v>
      </c>
      <c r="R5771" t="n">
        <v>70</v>
      </c>
      <c r="S5771" t="n">
        <v>1300000</v>
      </c>
      <c r="T5771" t="n">
        <v>2686</v>
      </c>
      <c r="U5771" t="n">
        <v>499</v>
      </c>
      <c r="AH5771" t="inlineStr">
        <is>
          <t>Quelle: Balearic Properties</t>
        </is>
      </c>
    </row>
    <row r="5772">
      <c r="A5772" t="n">
        <v>5585</v>
      </c>
      <c r="B5772" t="inlineStr">
        <is>
          <t>New deluxe finca with distant views of Alcudia Bay for sale in Selva, Mallorca</t>
        </is>
      </c>
      <c r="C5772" t="inlineStr">
        <is>
          <t>https://www.balearic-properties.com/en/property/id/860909-new-finca-views-alcudia-bay-selva-mallorca-html</t>
        </is>
      </c>
      <c r="E5772" t="n">
        <v>4</v>
      </c>
      <c r="G5772" t="n">
        <v>14300</v>
      </c>
      <c r="H5772" t="n">
        <v>591</v>
      </c>
      <c r="J5772" t="inlineStr">
        <is>
          <t>Selva</t>
        </is>
      </c>
      <c r="K5772" t="n">
        <v>44.5</v>
      </c>
      <c r="L5772" t="n">
        <v>41</v>
      </c>
      <c r="M5772" t="n">
        <v>62.6</v>
      </c>
      <c r="N5772" t="n">
        <v>67</v>
      </c>
      <c r="O5772" t="n">
        <v>67.09999999999999</v>
      </c>
      <c r="P5772" t="n">
        <v>57</v>
      </c>
      <c r="Q5772" t="n">
        <v>60.3</v>
      </c>
      <c r="R5772" t="n">
        <v>64</v>
      </c>
      <c r="S5772" t="n">
        <v>4250000</v>
      </c>
      <c r="T5772" t="n">
        <v>7191</v>
      </c>
      <c r="U5772" t="n">
        <v>297</v>
      </c>
      <c r="AH5772" t="inlineStr">
        <is>
          <t>Quelle: Balearic Properties</t>
        </is>
      </c>
    </row>
    <row r="5773">
      <c r="A5773" t="n">
        <v>5586</v>
      </c>
      <c r="B5773" t="inlineStr">
        <is>
          <t>Unique palace triplex penthouse for sale in Palma, Mallorca</t>
        </is>
      </c>
      <c r="C5773" t="inlineStr">
        <is>
          <t>https://www.balearic-properties.com/en/property/id/761174-unique-palace-triplex-penthouse-for-sale-in-palma-mallorca-html</t>
        </is>
      </c>
      <c r="E5773" t="n">
        <v>3</v>
      </c>
      <c r="G5773" t="n">
        <v>0</v>
      </c>
      <c r="H5773" t="n">
        <v>250</v>
      </c>
      <c r="J5773" t="inlineStr">
        <is>
          <t>Palma Casco Antiguo</t>
        </is>
      </c>
      <c r="K5773" t="n">
        <v>9.699999999999999</v>
      </c>
      <c r="L5773" t="n">
        <v>14</v>
      </c>
      <c r="M5773" t="n">
        <v>52.5</v>
      </c>
      <c r="N5773" t="n">
        <v>47</v>
      </c>
      <c r="O5773" t="n">
        <v>32.1</v>
      </c>
      <c r="P5773" t="n">
        <v>36</v>
      </c>
      <c r="Q5773" t="n">
        <v>50.2</v>
      </c>
      <c r="R5773" t="n">
        <v>44</v>
      </c>
      <c r="S5773" t="n">
        <v>2400000</v>
      </c>
      <c r="T5773" t="n">
        <v>9600</v>
      </c>
      <c r="AH5773" t="inlineStr">
        <is>
          <t>Quelle: Balearic Properties</t>
        </is>
      </c>
    </row>
    <row r="5774">
      <c r="A5774" t="n">
        <v>5587</v>
      </c>
      <c r="B5774" t="inlineStr">
        <is>
          <t>Fantastic apartments with community pool for sale in Palma, Mallorca</t>
        </is>
      </c>
      <c r="C5774" t="inlineStr">
        <is>
          <t>https://www.balearic-properties.com/en/property/id/862198-fantastic-apartments-with-community-pool-for-sale-in-palma-mallorca-html</t>
        </is>
      </c>
      <c r="E5774" t="n">
        <v>2</v>
      </c>
      <c r="G5774" t="n">
        <v>0</v>
      </c>
      <c r="H5774" t="n">
        <v>107</v>
      </c>
      <c r="J5774" t="inlineStr">
        <is>
          <t>Palma de Mallorca</t>
        </is>
      </c>
      <c r="S5774" t="n">
        <v>690000</v>
      </c>
      <c r="T5774" t="n">
        <v>6449</v>
      </c>
      <c r="AH5774" t="inlineStr">
        <is>
          <t>Quelle: Balearic Properties</t>
        </is>
      </c>
    </row>
    <row r="5775">
      <c r="A5775" t="n">
        <v>5588</v>
      </c>
      <c r="B5775" t="inlineStr">
        <is>
          <t>New development of Apartments and Penthouses for sale in Palma, Mallorca</t>
        </is>
      </c>
      <c r="C5775" t="inlineStr">
        <is>
          <t>https://www.balearic-properties.com/en/property/id/862197-new-development-of-apartments-and-penthouses-for-sale-in-palma-mallorca-html</t>
        </is>
      </c>
      <c r="E5775" t="n">
        <v>2</v>
      </c>
      <c r="G5775" t="n">
        <v>0</v>
      </c>
      <c r="H5775" t="n">
        <v>104</v>
      </c>
      <c r="J5775" t="inlineStr">
        <is>
          <t>Palma de Mallorca</t>
        </is>
      </c>
      <c r="S5775" t="n">
        <v>730000</v>
      </c>
      <c r="T5775" t="n">
        <v>7019</v>
      </c>
      <c r="AH5775" t="inlineStr">
        <is>
          <t>Quelle: Balearic Properties</t>
        </is>
      </c>
    </row>
    <row r="5776">
      <c r="A5776" t="n">
        <v>5589</v>
      </c>
      <c r="B5776" t="inlineStr">
        <is>
          <t>Elegant new luxury apartments for sale in the heart of Palma, Mallorca</t>
        </is>
      </c>
      <c r="C5776" t="inlineStr">
        <is>
          <t>https://www.balearic-properties.com/en/property/id/862196-elegant-new-luxury-apartments-for-sale-in-the-heart-of-palma-mallorca-html</t>
        </is>
      </c>
      <c r="E5776" t="n">
        <v>2</v>
      </c>
      <c r="G5776" t="n">
        <v>0</v>
      </c>
      <c r="H5776" t="n">
        <v>104</v>
      </c>
      <c r="J5776" t="inlineStr">
        <is>
          <t>Palma de Mallorca</t>
        </is>
      </c>
      <c r="S5776" t="n">
        <v>890000</v>
      </c>
      <c r="T5776" t="n">
        <v>8558</v>
      </c>
      <c r="AH5776" t="inlineStr">
        <is>
          <t>Quelle: Balearic Properties</t>
        </is>
      </c>
    </row>
    <row r="5777">
      <c r="A5777" t="n">
        <v>5590</v>
      </c>
      <c r="B5777" t="inlineStr">
        <is>
          <t>Exclusive apartment development for sale in the centre of Palma, Mallorca</t>
        </is>
      </c>
      <c r="C5777" t="inlineStr">
        <is>
          <t>https://www.balearic-properties.com/en/property/id/862195-exclusive-apartment-development-for-sale-in-the-centre-of-palma-mallorca-html</t>
        </is>
      </c>
      <c r="E5777" t="n">
        <v>2</v>
      </c>
      <c r="G5777" t="n">
        <v>0</v>
      </c>
      <c r="H5777" t="n">
        <v>104</v>
      </c>
      <c r="J5777" t="inlineStr">
        <is>
          <t>Palma de Mallorca</t>
        </is>
      </c>
      <c r="S5777" t="n">
        <v>930000</v>
      </c>
      <c r="T5777" t="n">
        <v>8942</v>
      </c>
      <c r="AH5777" t="inlineStr">
        <is>
          <t>Quelle: Balearic Properties</t>
        </is>
      </c>
    </row>
    <row r="5778">
      <c r="A5778" t="n">
        <v>5591</v>
      </c>
      <c r="B5778" t="inlineStr">
        <is>
          <t>Exceptional new complex with apartments for sale in Palma, Mallorca</t>
        </is>
      </c>
      <c r="C5778" t="inlineStr">
        <is>
          <t>https://www.balearic-properties.com/en/property/id/862194-exceptional-new-complex-with-apartments-for-sale-in-palma-mallorca-html</t>
        </is>
      </c>
      <c r="E5778" t="n">
        <v>3</v>
      </c>
      <c r="G5778" t="n">
        <v>0</v>
      </c>
      <c r="H5778" t="n">
        <v>260</v>
      </c>
      <c r="J5778" t="inlineStr">
        <is>
          <t>Palma de Mallorca</t>
        </is>
      </c>
      <c r="K5778" t="n">
        <v>9.699999999999999</v>
      </c>
      <c r="L5778" t="n">
        <v>14</v>
      </c>
      <c r="M5778" t="n">
        <v>52.5</v>
      </c>
      <c r="N5778" t="n">
        <v>47</v>
      </c>
      <c r="O5778" t="n">
        <v>32.1</v>
      </c>
      <c r="P5778" t="n">
        <v>36</v>
      </c>
      <c r="Q5778" t="n">
        <v>50.2</v>
      </c>
      <c r="R5778" t="n">
        <v>44</v>
      </c>
      <c r="S5778" t="n">
        <v>1490000</v>
      </c>
      <c r="T5778" t="n">
        <v>5731</v>
      </c>
      <c r="AH5778" t="inlineStr">
        <is>
          <t>Quelle: Balearic Properties</t>
        </is>
      </c>
    </row>
    <row r="5779">
      <c r="A5779" t="n">
        <v>5592</v>
      </c>
      <c r="B5779" t="inlineStr">
        <is>
          <t>Project of stylish new build apartments for sale in Palma, Mallorca</t>
        </is>
      </c>
      <c r="C5779" t="inlineStr">
        <is>
          <t>https://www.balearic-properties.com/en/property/id/862192-project-of-stylish-new-build-apartments-in-palma-mallorca-html</t>
        </is>
      </c>
      <c r="E5779" t="n">
        <v>3</v>
      </c>
      <c r="G5779" t="n">
        <v>0</v>
      </c>
      <c r="H5779" t="n">
        <v>182</v>
      </c>
      <c r="J5779" t="inlineStr">
        <is>
          <t>Palma de Mallorca</t>
        </is>
      </c>
      <c r="K5779" t="n">
        <v>9.699999999999999</v>
      </c>
      <c r="L5779" t="n">
        <v>14</v>
      </c>
      <c r="M5779" t="n">
        <v>52.5</v>
      </c>
      <c r="N5779" t="n">
        <v>47</v>
      </c>
      <c r="O5779" t="n">
        <v>32.1</v>
      </c>
      <c r="P5779" t="n">
        <v>36</v>
      </c>
      <c r="Q5779" t="n">
        <v>50.2</v>
      </c>
      <c r="R5779" t="n">
        <v>44</v>
      </c>
      <c r="S5779" t="n">
        <v>1250000</v>
      </c>
      <c r="T5779" t="n">
        <v>6868</v>
      </c>
      <c r="AH5779" t="inlineStr">
        <is>
          <t>Quelle: Balearic Properties</t>
        </is>
      </c>
    </row>
    <row r="5780">
      <c r="A5780" t="n">
        <v>5593</v>
      </c>
      <c r="B5780" t="inlineStr">
        <is>
          <t>Unique apartment complex with designer homes for sale in Palma, Mallorca</t>
        </is>
      </c>
      <c r="C5780" t="inlineStr">
        <is>
          <t>https://www.balearic-properties.com/en/property/id/862191-unique-apartment-complex-with-designer-homes-in-palma-mallorca-html</t>
        </is>
      </c>
      <c r="E5780" t="n">
        <v>3</v>
      </c>
      <c r="G5780" t="n">
        <v>0</v>
      </c>
      <c r="H5780" t="n">
        <v>245</v>
      </c>
      <c r="J5780" t="inlineStr">
        <is>
          <t>Palma de Mallorca</t>
        </is>
      </c>
      <c r="K5780" t="n">
        <v>9.699999999999999</v>
      </c>
      <c r="L5780" t="n">
        <v>14</v>
      </c>
      <c r="M5780" t="n">
        <v>52.5</v>
      </c>
      <c r="N5780" t="n">
        <v>47</v>
      </c>
      <c r="O5780" t="n">
        <v>32.1</v>
      </c>
      <c r="P5780" t="n">
        <v>36</v>
      </c>
      <c r="Q5780" t="n">
        <v>50.2</v>
      </c>
      <c r="R5780" t="n">
        <v>44</v>
      </c>
      <c r="S5780" t="n">
        <v>2500000</v>
      </c>
      <c r="T5780" t="n">
        <v>10204</v>
      </c>
      <c r="AH5780" t="inlineStr">
        <is>
          <t>Quelle: Balearic Properties</t>
        </is>
      </c>
    </row>
    <row r="5781">
      <c r="A5781" t="n">
        <v>5594</v>
      </c>
      <c r="B5781" t="inlineStr">
        <is>
          <t>Stylish Apartment Project for sale in the centre of Palma, Mallorca</t>
        </is>
      </c>
      <c r="C5781" t="inlineStr">
        <is>
          <t>https://www.balearic-properties.com/en/property/id/862190-stylish-apartment-project-centre-of-palma-mallorca-html</t>
        </is>
      </c>
      <c r="E5781" t="n">
        <v>4</v>
      </c>
      <c r="G5781" t="n">
        <v>0</v>
      </c>
      <c r="H5781" t="n">
        <v>347</v>
      </c>
      <c r="J5781" t="inlineStr">
        <is>
          <t>Palma de Mallorca</t>
        </is>
      </c>
      <c r="K5781" t="n">
        <v>9.699999999999999</v>
      </c>
      <c r="L5781" t="n">
        <v>14</v>
      </c>
      <c r="M5781" t="n">
        <v>52.5</v>
      </c>
      <c r="N5781" t="n">
        <v>47</v>
      </c>
      <c r="O5781" t="n">
        <v>32.1</v>
      </c>
      <c r="P5781" t="n">
        <v>36</v>
      </c>
      <c r="Q5781" t="n">
        <v>50.2</v>
      </c>
      <c r="R5781" t="n">
        <v>44</v>
      </c>
      <c r="S5781" t="n">
        <v>3200000</v>
      </c>
      <c r="T5781" t="n">
        <v>9222</v>
      </c>
      <c r="AH5781" t="inlineStr">
        <is>
          <t>Quelle: Balearic Properties</t>
        </is>
      </c>
    </row>
    <row r="5782">
      <c r="A5782" t="n">
        <v>5595</v>
      </c>
      <c r="B5782" t="inlineStr">
        <is>
          <t>Designer Penthouses and Apartments for sale in Palma, Mallorca</t>
        </is>
      </c>
      <c r="C5782" t="inlineStr">
        <is>
          <t>https://www.balearic-properties.com/en/property/id/862189-designer-penthouses-and-apartments-for-sale-in-palma-mallorca-html</t>
        </is>
      </c>
      <c r="E5782" t="n">
        <v>3</v>
      </c>
      <c r="G5782" t="n">
        <v>0</v>
      </c>
      <c r="H5782" t="n">
        <v>253</v>
      </c>
      <c r="J5782" t="inlineStr">
        <is>
          <t>Palma de Mallorca</t>
        </is>
      </c>
      <c r="K5782" t="n">
        <v>9.699999999999999</v>
      </c>
      <c r="L5782" t="n">
        <v>14</v>
      </c>
      <c r="M5782" t="n">
        <v>52.5</v>
      </c>
      <c r="N5782" t="n">
        <v>47</v>
      </c>
      <c r="O5782" t="n">
        <v>32.1</v>
      </c>
      <c r="P5782" t="n">
        <v>36</v>
      </c>
      <c r="Q5782" t="n">
        <v>50.2</v>
      </c>
      <c r="R5782" t="n">
        <v>44</v>
      </c>
      <c r="S5782" t="n">
        <v>2900000</v>
      </c>
      <c r="T5782" t="n">
        <v>11462</v>
      </c>
      <c r="AH5782" t="inlineStr">
        <is>
          <t>Quelle: Balearic Properties</t>
        </is>
      </c>
    </row>
    <row r="5783">
      <c r="A5783" t="n">
        <v>5596</v>
      </c>
      <c r="B5783" t="inlineStr">
        <is>
          <t>Modern and luxurious Beletage with private pool for sale near Palma, Mallorca</t>
        </is>
      </c>
      <c r="C5783" t="inlineStr">
        <is>
          <t>https://www.balearic-properties.com/en/property/id/799224-luxus-new-palma-piscina-html</t>
        </is>
      </c>
      <c r="E5783" t="n">
        <v>3</v>
      </c>
      <c r="G5783" t="n">
        <v>0</v>
      </c>
      <c r="H5783" t="n">
        <v>409</v>
      </c>
      <c r="J5783" t="inlineStr">
        <is>
          <t>Cala Major</t>
        </is>
      </c>
      <c r="K5783" t="n">
        <v>19.7</v>
      </c>
      <c r="L5783" t="n">
        <v>19</v>
      </c>
      <c r="M5783" t="n">
        <v>62.5</v>
      </c>
      <c r="N5783" t="n">
        <v>52</v>
      </c>
      <c r="O5783" t="n">
        <v>26.3</v>
      </c>
      <c r="P5783" t="n">
        <v>24</v>
      </c>
      <c r="Q5783" t="n">
        <v>60.2</v>
      </c>
      <c r="R5783" t="n">
        <v>48</v>
      </c>
      <c r="S5783" t="n">
        <v>2500000</v>
      </c>
      <c r="T5783" t="n">
        <v>6112</v>
      </c>
      <c r="AH5783" t="inlineStr">
        <is>
          <t>Quelle: Balearic Properties</t>
        </is>
      </c>
    </row>
    <row r="5784">
      <c r="A5784" t="n">
        <v>5597</v>
      </c>
      <c r="B5784" t="inlineStr">
        <is>
          <t>New development close to Palma Centre for sale in Portixol, Palma de Mallorca</t>
        </is>
      </c>
      <c r="C5784" t="inlineStr">
        <is>
          <t>https://www.balearic-properties.com/en/property/id/780960-new-apartments-portixol-html</t>
        </is>
      </c>
      <c r="E5784" t="n">
        <v>4</v>
      </c>
      <c r="G5784" t="n">
        <v>0</v>
      </c>
      <c r="H5784" t="n">
        <v>208</v>
      </c>
      <c r="J5784" t="inlineStr">
        <is>
          <t>Palma de Mallorca</t>
        </is>
      </c>
      <c r="K5784" t="n">
        <v>9.699999999999999</v>
      </c>
      <c r="L5784" t="n">
        <v>14</v>
      </c>
      <c r="M5784" t="n">
        <v>52.5</v>
      </c>
      <c r="N5784" t="n">
        <v>47</v>
      </c>
      <c r="O5784" t="n">
        <v>32.1</v>
      </c>
      <c r="P5784" t="n">
        <v>36</v>
      </c>
      <c r="Q5784" t="n">
        <v>50.2</v>
      </c>
      <c r="R5784" t="n">
        <v>44</v>
      </c>
      <c r="S5784" t="n">
        <v>1670000</v>
      </c>
      <c r="T5784" t="n">
        <v>8029</v>
      </c>
      <c r="AH5784" t="inlineStr">
        <is>
          <t>Quelle: Balearic Properties</t>
        </is>
      </c>
    </row>
    <row r="5785">
      <c r="A5785" t="n">
        <v>5598</v>
      </c>
      <c r="B5785" t="inlineStr">
        <is>
          <t>Historic finca for sale on a huge private plot near Pollensa in Escorca, Mallorca</t>
        </is>
      </c>
      <c r="C5785" t="inlineStr">
        <is>
          <t>https://www.balearic-properties.com/en/property/id/861679-historic-finca-huge-plot-pollensa-escorca-mallorca-html</t>
        </is>
      </c>
      <c r="E5785" t="n">
        <v>7</v>
      </c>
      <c r="G5785" t="n">
        <v>700000</v>
      </c>
      <c r="H5785" t="n">
        <v>600</v>
      </c>
      <c r="J5785" t="inlineStr">
        <is>
          <t>Pollença</t>
        </is>
      </c>
      <c r="K5785" t="n">
        <v>60.6</v>
      </c>
      <c r="L5785" t="n">
        <v>47</v>
      </c>
      <c r="M5785" t="n">
        <v>78.7</v>
      </c>
      <c r="N5785" t="n">
        <v>74</v>
      </c>
      <c r="O5785" t="n">
        <v>83.2</v>
      </c>
      <c r="P5785" t="n">
        <v>63</v>
      </c>
      <c r="Q5785" t="n">
        <v>76.40000000000001</v>
      </c>
      <c r="R5785" t="n">
        <v>70</v>
      </c>
      <c r="S5785" t="n">
        <v>5400000</v>
      </c>
      <c r="T5785" t="n">
        <v>9000</v>
      </c>
      <c r="U5785" t="n">
        <v>8</v>
      </c>
      <c r="AH5785" t="inlineStr">
        <is>
          <t>Quelle: Balearic Properties</t>
        </is>
      </c>
    </row>
    <row r="5786">
      <c r="A5786" t="n">
        <v>5599</v>
      </c>
      <c r="B5786" t="inlineStr">
        <is>
          <t>Charming family villa with holiday license and pool for sale in Bonaire, Mallorca</t>
        </is>
      </c>
      <c r="C5786" t="inlineStr">
        <is>
          <t>https://www.balearic-properties.com/en/property/id/861589-family-villa-holiday-license-bonaire-alcudia-mallorca-html</t>
        </is>
      </c>
      <c r="E5786" t="n">
        <v>6</v>
      </c>
      <c r="G5786" t="n">
        <v>565</v>
      </c>
      <c r="H5786" t="n">
        <v>431</v>
      </c>
      <c r="J5786" t="inlineStr">
        <is>
          <t>Bonaire</t>
        </is>
      </c>
      <c r="K5786" t="n">
        <v>64.40000000000001</v>
      </c>
      <c r="L5786" t="n">
        <v>54</v>
      </c>
      <c r="M5786" t="n">
        <v>82.5</v>
      </c>
      <c r="N5786" t="n">
        <v>80</v>
      </c>
      <c r="O5786" t="n">
        <v>87</v>
      </c>
      <c r="P5786" t="n">
        <v>70</v>
      </c>
      <c r="Q5786" t="n">
        <v>80.2</v>
      </c>
      <c r="R5786" t="n">
        <v>77</v>
      </c>
      <c r="S5786" t="n">
        <v>1450000</v>
      </c>
      <c r="T5786" t="n">
        <v>3364</v>
      </c>
      <c r="U5786" t="n">
        <v>2566</v>
      </c>
      <c r="AH5786" t="inlineStr">
        <is>
          <t>Quelle: Balearic Properties</t>
        </is>
      </c>
    </row>
    <row r="5787">
      <c r="A5787" t="n">
        <v>5600</v>
      </c>
      <c r="B5787" t="inlineStr">
        <is>
          <t>Modern villa project for sale in a prestigious area of Andratx, Mallorca</t>
        </is>
      </c>
      <c r="C5787" t="inlineStr">
        <is>
          <t>https://www.balearic-properties.com/en/property/id/858650-modern-villa-project-andratx-mallorca-html</t>
        </is>
      </c>
      <c r="E5787" t="n">
        <v>5</v>
      </c>
      <c r="G5787" t="n">
        <v>1006</v>
      </c>
      <c r="H5787" t="n">
        <v>501</v>
      </c>
      <c r="J5787" t="inlineStr">
        <is>
          <t>Camp de Mar</t>
        </is>
      </c>
      <c r="K5787" t="n">
        <v>38.7</v>
      </c>
      <c r="L5787" t="n">
        <v>32</v>
      </c>
      <c r="M5787" t="n">
        <v>81.40000000000001</v>
      </c>
      <c r="N5787" t="n">
        <v>65</v>
      </c>
      <c r="O5787" t="n">
        <v>6.7</v>
      </c>
      <c r="P5787" t="n">
        <v>10</v>
      </c>
      <c r="Q5787" t="n">
        <v>79.09999999999999</v>
      </c>
      <c r="R5787" t="n">
        <v>62</v>
      </c>
      <c r="S5787" t="n">
        <v>2450000</v>
      </c>
      <c r="T5787" t="n">
        <v>4890</v>
      </c>
      <c r="U5787" t="n">
        <v>2435</v>
      </c>
      <c r="AH5787" t="inlineStr">
        <is>
          <t>Quelle: Balearic Properties</t>
        </is>
      </c>
    </row>
    <row r="5788">
      <c r="A5788" t="n">
        <v>5601</v>
      </c>
      <c r="B5788" t="inlineStr">
        <is>
          <t>Top quality new finca with pool for sale in Establiments, Palma</t>
        </is>
      </c>
      <c r="C5788" t="inlineStr">
        <is>
          <t>https://www.balearic-properties.com/en/property/id/816016-top-quality-new-finca-with-pool-for-sale-in-establiments-palm-html</t>
        </is>
      </c>
      <c r="E5788" t="n">
        <v>3</v>
      </c>
      <c r="G5788" t="n">
        <v>537</v>
      </c>
      <c r="H5788" t="n">
        <v>278</v>
      </c>
      <c r="J5788" t="inlineStr">
        <is>
          <t>Establiments</t>
        </is>
      </c>
      <c r="K5788" t="n">
        <v>19</v>
      </c>
      <c r="L5788" t="n">
        <v>25</v>
      </c>
      <c r="M5788" t="n">
        <v>61.8</v>
      </c>
      <c r="N5788" t="n">
        <v>58</v>
      </c>
      <c r="O5788" t="n">
        <v>35.7</v>
      </c>
      <c r="P5788" t="n">
        <v>39</v>
      </c>
      <c r="Q5788" t="n">
        <v>59.5</v>
      </c>
      <c r="R5788" t="n">
        <v>55</v>
      </c>
      <c r="S5788" t="n">
        <v>3050000</v>
      </c>
      <c r="T5788" t="n">
        <v>10971</v>
      </c>
      <c r="U5788" t="n">
        <v>5680</v>
      </c>
      <c r="AH5788" t="inlineStr">
        <is>
          <t>Quelle: Balearic Properties</t>
        </is>
      </c>
    </row>
    <row r="5789">
      <c r="A5789" t="n">
        <v>5602</v>
      </c>
      <c r="B5789" t="inlineStr">
        <is>
          <t>Modern detached villa with pool for sale in Marratxi, near Palma, Mallorca</t>
        </is>
      </c>
      <c r="C5789" t="inlineStr">
        <is>
          <t>https://www.balearic-properties.com/en/property/id/860656-modern-villa-pool-marratxi-palma-mallorca-html</t>
        </is>
      </c>
      <c r="E5789" t="n">
        <v>4</v>
      </c>
      <c r="G5789" t="n">
        <v>523</v>
      </c>
      <c r="H5789" t="n">
        <v>302</v>
      </c>
      <c r="J5789" t="inlineStr">
        <is>
          <t>Marratxí</t>
        </is>
      </c>
      <c r="K5789" t="n">
        <v>13</v>
      </c>
      <c r="L5789" t="n">
        <v>17</v>
      </c>
      <c r="M5789" t="n">
        <v>56.3</v>
      </c>
      <c r="N5789" t="n">
        <v>50</v>
      </c>
      <c r="O5789" t="n">
        <v>40.6</v>
      </c>
      <c r="P5789" t="n">
        <v>34</v>
      </c>
      <c r="Q5789" t="n">
        <v>54</v>
      </c>
      <c r="R5789" t="n">
        <v>46</v>
      </c>
      <c r="S5789" t="n">
        <v>1750000</v>
      </c>
      <c r="T5789" t="n">
        <v>5795</v>
      </c>
      <c r="U5789" t="n">
        <v>3346</v>
      </c>
      <c r="AH5789" t="inlineStr">
        <is>
          <t>Quelle: Balearic Properties</t>
        </is>
      </c>
    </row>
    <row r="5790">
      <c r="A5790" t="n">
        <v>5603</v>
      </c>
      <c r="B5790" t="inlineStr">
        <is>
          <t>Deluxe villas for sale in the sought-after area of Sol de Mallorca</t>
        </is>
      </c>
      <c r="C5790" t="inlineStr">
        <is>
          <t>https://www.balearic-properties.com/en/property/id/859611-modern-luxury-villa-new-development-sol-de-mallorca-html</t>
        </is>
      </c>
      <c r="E5790" t="n">
        <v>5</v>
      </c>
      <c r="G5790" t="n">
        <v>1273</v>
      </c>
      <c r="H5790" t="n">
        <v>403</v>
      </c>
      <c r="J5790" t="inlineStr">
        <is>
          <t>Sol de Mallorca</t>
        </is>
      </c>
      <c r="K5790" t="n">
        <v>32.2</v>
      </c>
      <c r="L5790" t="n">
        <v>31</v>
      </c>
      <c r="M5790" t="n">
        <v>75</v>
      </c>
      <c r="N5790" t="n">
        <v>64</v>
      </c>
      <c r="O5790" t="n">
        <v>21.2</v>
      </c>
      <c r="P5790" t="n">
        <v>25</v>
      </c>
      <c r="Q5790" t="n">
        <v>72.7</v>
      </c>
      <c r="R5790" t="n">
        <v>60</v>
      </c>
      <c r="S5790" t="n">
        <v>3850000</v>
      </c>
      <c r="T5790" t="n">
        <v>9553</v>
      </c>
      <c r="U5790" t="n">
        <v>3024</v>
      </c>
      <c r="AH5790" t="inlineStr">
        <is>
          <t>Quelle: Balearic Properties</t>
        </is>
      </c>
    </row>
    <row r="5791">
      <c r="A5791" t="n">
        <v>5604</v>
      </c>
      <c r="B5791" t="inlineStr">
        <is>
          <t>Luxury estate with holiday license, olive press and tennis court for sale in Pollensa, Mallorca north</t>
        </is>
      </c>
      <c r="C5791" t="inlineStr">
        <is>
          <t>https://www.balearic-properties.com/en/property/id/826088-estate-holiday-license-tennis-court-pollensa-mallorca-html</t>
        </is>
      </c>
      <c r="E5791" t="n">
        <v>7</v>
      </c>
      <c r="G5791" t="n">
        <v>82000</v>
      </c>
      <c r="H5791" t="n">
        <v>1268</v>
      </c>
      <c r="J5791" t="inlineStr">
        <is>
          <t>Pollença</t>
        </is>
      </c>
      <c r="K5791" t="n">
        <v>60.6</v>
      </c>
      <c r="L5791" t="n">
        <v>47</v>
      </c>
      <c r="M5791" t="n">
        <v>78.7</v>
      </c>
      <c r="N5791" t="n">
        <v>74</v>
      </c>
      <c r="O5791" t="n">
        <v>83.2</v>
      </c>
      <c r="P5791" t="n">
        <v>63</v>
      </c>
      <c r="Q5791" t="n">
        <v>76.40000000000001</v>
      </c>
      <c r="R5791" t="n">
        <v>70</v>
      </c>
      <c r="S5791" t="n">
        <v>6800000</v>
      </c>
      <c r="T5791" t="n">
        <v>5363</v>
      </c>
      <c r="U5791" t="n">
        <v>83</v>
      </c>
      <c r="AH5791" t="inlineStr">
        <is>
          <t>Quelle: Balearic Properties</t>
        </is>
      </c>
    </row>
    <row r="5792">
      <c r="A5792" t="n">
        <v>5605</v>
      </c>
      <c r="B5792" t="inlineStr">
        <is>
          <t>Contemporary luxury villa for sale in Puerto Pollensa, Mallorca</t>
        </is>
      </c>
      <c r="C5792" t="inlineStr">
        <is>
          <t>https://www.balearic-properties.com/en/property/id/736074-puerto-pollensa-villa-etv-html</t>
        </is>
      </c>
      <c r="E5792" t="n">
        <v>5</v>
      </c>
      <c r="G5792" t="n">
        <v>1400</v>
      </c>
      <c r="H5792" t="n">
        <v>450</v>
      </c>
      <c r="J5792" t="inlineStr">
        <is>
          <t>Gotmar</t>
        </is>
      </c>
      <c r="K5792" t="n">
        <v>66.2</v>
      </c>
      <c r="L5792" t="n">
        <v>50</v>
      </c>
      <c r="M5792" t="n">
        <v>84.3</v>
      </c>
      <c r="N5792" t="n">
        <v>77</v>
      </c>
      <c r="O5792" t="n">
        <v>88.8</v>
      </c>
      <c r="P5792" t="n">
        <v>66</v>
      </c>
      <c r="Q5792" t="n">
        <v>82</v>
      </c>
      <c r="R5792" t="n">
        <v>73</v>
      </c>
      <c r="S5792" t="n">
        <v>5500000</v>
      </c>
      <c r="T5792" t="n">
        <v>12222</v>
      </c>
      <c r="U5792" t="n">
        <v>3929</v>
      </c>
      <c r="AH5792" t="inlineStr">
        <is>
          <t>Quelle: Balearic Properties</t>
        </is>
      </c>
    </row>
    <row r="5793">
      <c r="A5793" t="n">
        <v>5606</v>
      </c>
      <c r="B5793" t="inlineStr">
        <is>
          <t>Beautiful country villa with holiday rental license for sale in Pollensa, north Mallorca</t>
        </is>
      </c>
      <c r="C5793" t="inlineStr">
        <is>
          <t>https://www.balearic-properties.com/en/property/id/590002-country-home-golf-pollensa-mallorca-html</t>
        </is>
      </c>
      <c r="E5793" t="n">
        <v>4</v>
      </c>
      <c r="G5793" t="n">
        <v>15771</v>
      </c>
      <c r="H5793" t="n">
        <v>692</v>
      </c>
      <c r="J5793" t="inlineStr">
        <is>
          <t>Pollença</t>
        </is>
      </c>
      <c r="K5793" t="n">
        <v>60.6</v>
      </c>
      <c r="L5793" t="n">
        <v>47</v>
      </c>
      <c r="M5793" t="n">
        <v>78.7</v>
      </c>
      <c r="N5793" t="n">
        <v>74</v>
      </c>
      <c r="O5793" t="n">
        <v>83.2</v>
      </c>
      <c r="P5793" t="n">
        <v>63</v>
      </c>
      <c r="Q5793" t="n">
        <v>76.40000000000001</v>
      </c>
      <c r="R5793" t="n">
        <v>70</v>
      </c>
      <c r="S5793" t="n">
        <v>3800000</v>
      </c>
      <c r="T5793" t="n">
        <v>5491</v>
      </c>
      <c r="U5793" t="n">
        <v>241</v>
      </c>
      <c r="AH5793" t="inlineStr">
        <is>
          <t>Quelle: Balearic Properties</t>
        </is>
      </c>
    </row>
    <row r="5794">
      <c r="A5794" t="n">
        <v>5607</v>
      </c>
      <c r="B5794" t="inlineStr">
        <is>
          <t>Beautiful historic seafront town house for sale in Porto Colom, Mallorca</t>
        </is>
      </c>
      <c r="C5794" t="inlineStr">
        <is>
          <t>https://www.balearic-properties.com/en/property/id/853019-seafront-townhouse-porto-colom-mallorca-html</t>
        </is>
      </c>
      <c r="E5794" t="n">
        <v>4</v>
      </c>
      <c r="G5794" t="n">
        <v>124</v>
      </c>
      <c r="H5794" t="n">
        <v>225</v>
      </c>
      <c r="J5794" t="inlineStr">
        <is>
          <t>Portocolom</t>
        </is>
      </c>
      <c r="K5794" t="n">
        <v>58.9</v>
      </c>
      <c r="L5794" t="n">
        <v>53</v>
      </c>
      <c r="M5794" t="n">
        <v>24.7</v>
      </c>
      <c r="N5794" t="n">
        <v>34</v>
      </c>
      <c r="O5794" t="n">
        <v>97.09999999999999</v>
      </c>
      <c r="P5794" t="n">
        <v>80</v>
      </c>
      <c r="Q5794" t="n">
        <v>26.2</v>
      </c>
      <c r="R5794" t="n">
        <v>36</v>
      </c>
      <c r="S5794" t="n">
        <v>3300000</v>
      </c>
      <c r="T5794" t="n">
        <v>14667</v>
      </c>
      <c r="U5794" t="n">
        <v>26613</v>
      </c>
      <c r="AH5794" t="inlineStr">
        <is>
          <t>Quelle: Balearic Properties</t>
        </is>
      </c>
    </row>
    <row r="5795">
      <c r="A5795" t="n">
        <v>5608</v>
      </c>
      <c r="B5795" t="inlineStr">
        <is>
          <t>Fabulous town house with rental license for sale in the old town of Felanitx, Mallorca</t>
        </is>
      </c>
      <c r="C5795" t="inlineStr">
        <is>
          <t>https://www.balearic-properties.com/en/property/id/853018-townhouse-old-town-felanitx-mallorca-html</t>
        </is>
      </c>
      <c r="E5795" t="n">
        <v>5</v>
      </c>
      <c r="G5795" t="n">
        <v>304</v>
      </c>
      <c r="H5795" t="n">
        <v>486</v>
      </c>
      <c r="J5795" t="inlineStr">
        <is>
          <t>Felanitx</t>
        </is>
      </c>
      <c r="K5795" t="n">
        <v>45</v>
      </c>
      <c r="L5795" t="n">
        <v>40</v>
      </c>
      <c r="M5795" t="n">
        <v>26.8</v>
      </c>
      <c r="N5795" t="n">
        <v>30</v>
      </c>
      <c r="O5795" t="n">
        <v>83.2</v>
      </c>
      <c r="P5795" t="n">
        <v>68</v>
      </c>
      <c r="Q5795" t="n">
        <v>24.5</v>
      </c>
      <c r="R5795" t="n">
        <v>26</v>
      </c>
      <c r="S5795" t="n">
        <v>1950000</v>
      </c>
      <c r="T5795" t="n">
        <v>4012</v>
      </c>
      <c r="U5795" t="n">
        <v>6414</v>
      </c>
      <c r="AH5795" t="inlineStr">
        <is>
          <t>Quelle: Balearic Properties</t>
        </is>
      </c>
    </row>
    <row r="5796">
      <c r="A5796" t="n">
        <v>5609</v>
      </c>
      <c r="B5796" t="inlineStr">
        <is>
          <t>Spectacular renovated Pine Walk apartment for sale in Puerto Pollensa, Mallorca</t>
        </is>
      </c>
      <c r="C5796" t="inlineStr">
        <is>
          <t>https://www.balearic-properties.com/en/property/id/844058-renovated-pine-walk-apartment-puerto-pollensa-mallorca-html</t>
        </is>
      </c>
      <c r="E5796" t="n">
        <v>4</v>
      </c>
      <c r="G5796" t="n">
        <v>0</v>
      </c>
      <c r="H5796" t="n">
        <v>250</v>
      </c>
      <c r="J5796" t="inlineStr">
        <is>
          <t>Port de Pollença</t>
        </is>
      </c>
      <c r="K5796" t="n">
        <v>66.90000000000001</v>
      </c>
      <c r="L5796" t="n">
        <v>52</v>
      </c>
      <c r="M5796" t="n">
        <v>85</v>
      </c>
      <c r="N5796" t="n">
        <v>78</v>
      </c>
      <c r="O5796" t="n">
        <v>89.5</v>
      </c>
      <c r="P5796" t="n">
        <v>68</v>
      </c>
      <c r="Q5796" t="n">
        <v>82.7</v>
      </c>
      <c r="R5796" t="n">
        <v>75</v>
      </c>
      <c r="S5796" t="n">
        <v>2880000</v>
      </c>
      <c r="T5796" t="n">
        <v>11520</v>
      </c>
      <c r="AH5796" t="inlineStr">
        <is>
          <t>Quelle: Balearic Properties</t>
        </is>
      </c>
    </row>
    <row r="5797">
      <c r="A5797" t="n">
        <v>5610</v>
      </c>
      <c r="B5797" t="inlineStr">
        <is>
          <t>Modern villa project with pool for sale in a quiet area near Sa Rapita, Mallorca</t>
        </is>
      </c>
      <c r="C5797" t="inlineStr">
        <is>
          <t>https://www.balearic-properties.com/en/property/id/845630-luxury-villa-near-sa-rapita-mallorca-html</t>
        </is>
      </c>
      <c r="E5797" t="n">
        <v>4</v>
      </c>
      <c r="G5797" t="n">
        <v>880</v>
      </c>
      <c r="H5797" t="n">
        <v>388</v>
      </c>
      <c r="J5797" t="inlineStr">
        <is>
          <t>La Rapita</t>
        </is>
      </c>
      <c r="K5797" t="n">
        <v>37.4</v>
      </c>
      <c r="L5797" t="n">
        <v>34</v>
      </c>
      <c r="M5797" t="n">
        <v>17.3</v>
      </c>
      <c r="N5797" t="n">
        <v>22</v>
      </c>
      <c r="O5797" t="n">
        <v>75.59999999999999</v>
      </c>
      <c r="P5797" t="n">
        <v>61</v>
      </c>
      <c r="Q5797" t="n">
        <v>15</v>
      </c>
      <c r="R5797" t="n">
        <v>19</v>
      </c>
      <c r="S5797" t="n">
        <v>1920000</v>
      </c>
      <c r="T5797" t="n">
        <v>4948</v>
      </c>
      <c r="U5797" t="n">
        <v>2182</v>
      </c>
      <c r="AH5797" t="inlineStr">
        <is>
          <t>Quelle: Balearic Properties</t>
        </is>
      </c>
    </row>
    <row r="5798">
      <c r="A5798" t="n">
        <v>5611</v>
      </c>
      <c r="B5798" t="inlineStr">
        <is>
          <t>Amazing frontline villa for sale in Son Serra de Marina, Santa Margalida, Mallorca</t>
        </is>
      </c>
      <c r="C5798" t="inlineStr">
        <is>
          <t>https://www.balearic-properties.com/en/property/id/802522-seafront-villa-son-serra-de-marina-html</t>
        </is>
      </c>
      <c r="E5798" t="n">
        <v>3</v>
      </c>
      <c r="G5798" t="n">
        <v>115</v>
      </c>
      <c r="H5798" t="n">
        <v>146</v>
      </c>
      <c r="J5798" t="inlineStr">
        <is>
          <t>Son Serra de Marina</t>
        </is>
      </c>
      <c r="S5798" t="n">
        <v>925000</v>
      </c>
      <c r="T5798" t="n">
        <v>6336</v>
      </c>
      <c r="U5798" t="n">
        <v>8043</v>
      </c>
      <c r="AH5798" t="inlineStr">
        <is>
          <t>Quelle: Balearic Properties</t>
        </is>
      </c>
    </row>
    <row r="5799">
      <c r="A5799" t="n">
        <v>5612</v>
      </c>
      <c r="B5799" t="inlineStr">
        <is>
          <t>Magnificent country house with 2 pools and spa for sale near Binissalem, Mallorca</t>
        </is>
      </c>
      <c r="C5799" t="inlineStr">
        <is>
          <t>https://www.balearic-properties.com/en/property/id/829765-country-mansion-indoor-outdoor-pool-binissalem-mallorca-html</t>
        </is>
      </c>
      <c r="E5799" t="n">
        <v>7</v>
      </c>
      <c r="G5799" t="n">
        <v>87127</v>
      </c>
      <c r="H5799" t="n">
        <v>2416</v>
      </c>
      <c r="J5799" t="inlineStr">
        <is>
          <t>Binissalem</t>
        </is>
      </c>
      <c r="K5799" t="n">
        <v>31.5</v>
      </c>
      <c r="L5799" t="n">
        <v>29</v>
      </c>
      <c r="M5799" t="n">
        <v>74.3</v>
      </c>
      <c r="N5799" t="n">
        <v>62</v>
      </c>
      <c r="O5799" t="n">
        <v>54.1</v>
      </c>
      <c r="P5799" t="n">
        <v>45</v>
      </c>
      <c r="Q5799" t="n">
        <v>72</v>
      </c>
      <c r="R5799" t="n">
        <v>58</v>
      </c>
      <c r="S5799" t="n">
        <v>5900000</v>
      </c>
      <c r="T5799" t="n">
        <v>2442</v>
      </c>
      <c r="U5799" t="n">
        <v>68</v>
      </c>
      <c r="AH5799" t="inlineStr">
        <is>
          <t>Quelle: Balearic Properties</t>
        </is>
      </c>
    </row>
    <row r="5800">
      <c r="A5800" t="n">
        <v>5613</v>
      </c>
      <c r="B5800" t="inlineStr">
        <is>
          <t>Impressive new development with community pool in Palma, Mallorca</t>
        </is>
      </c>
      <c r="C5800" t="inlineStr">
        <is>
          <t>https://www.balearic-properties.com/en/property/id/806475-impressive-new-development-with-community-pool-in-palma-mallorca-html</t>
        </is>
      </c>
      <c r="E5800" t="n">
        <v>2</v>
      </c>
      <c r="G5800" t="n">
        <v>0</v>
      </c>
      <c r="H5800" t="n">
        <v>110</v>
      </c>
      <c r="J5800" t="inlineStr">
        <is>
          <t>Palma de Mallorca</t>
        </is>
      </c>
      <c r="K5800" t="n">
        <v>9.699999999999999</v>
      </c>
      <c r="L5800" t="n">
        <v>14</v>
      </c>
      <c r="M5800" t="n">
        <v>52.5</v>
      </c>
      <c r="N5800" t="n">
        <v>47</v>
      </c>
      <c r="O5800" t="n">
        <v>32.1</v>
      </c>
      <c r="P5800" t="n">
        <v>36</v>
      </c>
      <c r="Q5800" t="n">
        <v>50.2</v>
      </c>
      <c r="R5800" t="n">
        <v>44</v>
      </c>
      <c r="S5800" t="n">
        <v>1100500</v>
      </c>
      <c r="T5800" t="n">
        <v>10005</v>
      </c>
      <c r="AH5800" t="inlineStr">
        <is>
          <t>Quelle: Balearic Properties</t>
        </is>
      </c>
    </row>
    <row r="5801">
      <c r="A5801" t="n">
        <v>5614</v>
      </c>
      <c r="B5801" t="inlineStr">
        <is>
          <t>Exceptional house for sale in the heart of Pollensa, Mallorca north</t>
        </is>
      </c>
      <c r="C5801" t="inlineStr">
        <is>
          <t>https://www.balearic-properties.com/en/property/id/546025-exceptional-house-pool-centre-pollensa-mallorca-html</t>
        </is>
      </c>
      <c r="E5801" t="n">
        <v>3</v>
      </c>
      <c r="G5801" t="n">
        <v>210</v>
      </c>
      <c r="H5801" t="n">
        <v>330</v>
      </c>
      <c r="J5801" t="inlineStr">
        <is>
          <t>Pollença Pueblo</t>
        </is>
      </c>
      <c r="K5801" t="n">
        <v>60.6</v>
      </c>
      <c r="L5801" t="n">
        <v>47</v>
      </c>
      <c r="M5801" t="n">
        <v>78.7</v>
      </c>
      <c r="N5801" t="n">
        <v>74</v>
      </c>
      <c r="O5801" t="n">
        <v>83.2</v>
      </c>
      <c r="P5801" t="n">
        <v>63</v>
      </c>
      <c r="Q5801" t="n">
        <v>76.40000000000001</v>
      </c>
      <c r="R5801" t="n">
        <v>70</v>
      </c>
      <c r="S5801" t="n">
        <v>2950000</v>
      </c>
      <c r="T5801" t="n">
        <v>8939</v>
      </c>
      <c r="U5801" t="n">
        <v>14048</v>
      </c>
      <c r="AH5801" t="inlineStr">
        <is>
          <t>Quelle: Balearic Properties</t>
        </is>
      </c>
    </row>
    <row r="5802">
      <c r="A5802" t="n">
        <v>5615</v>
      </c>
      <c r="B5802" t="inlineStr">
        <is>
          <t>Second floor luxury apartment for sale in Santa Ponsa, Mallorca</t>
        </is>
      </c>
      <c r="C5802" t="inlineStr">
        <is>
          <t>https://www.balearic-properties.com/en/property/id/850278-second-floor-luxury-apartment-for-sale-in-santa-ponsa-mallorca-html</t>
        </is>
      </c>
      <c r="E5802" t="n">
        <v>4</v>
      </c>
      <c r="G5802" t="n">
        <v>0</v>
      </c>
      <c r="H5802" t="n">
        <v>155</v>
      </c>
      <c r="J5802" t="inlineStr">
        <is>
          <t>Santa Ponsa</t>
        </is>
      </c>
      <c r="K5802" t="n">
        <v>31.1</v>
      </c>
      <c r="L5802" t="n">
        <v>28</v>
      </c>
      <c r="M5802" t="n">
        <v>73.90000000000001</v>
      </c>
      <c r="N5802" t="n">
        <v>61</v>
      </c>
      <c r="O5802" t="n">
        <v>15.2</v>
      </c>
      <c r="P5802" t="n">
        <v>19</v>
      </c>
      <c r="Q5802" t="n">
        <v>71.59999999999999</v>
      </c>
      <c r="R5802" t="n">
        <v>57</v>
      </c>
      <c r="S5802" t="n">
        <v>1563800</v>
      </c>
      <c r="T5802" t="n">
        <v>10089</v>
      </c>
      <c r="AH5802" t="inlineStr">
        <is>
          <t>Quelle: Balearic Properties</t>
        </is>
      </c>
    </row>
    <row r="5803">
      <c r="A5803" t="n">
        <v>5616</v>
      </c>
      <c r="B5803" t="inlineStr">
        <is>
          <t>Brand new second floor luxury apartment for sale in Santa Ponsa, Mallorca</t>
        </is>
      </c>
      <c r="C5803" t="inlineStr">
        <is>
          <t>https://www.balearic-properties.com/en/property/id/850277-brand-new-second-floor-luxury-apartment-for-sale-in-santa-ponsa-mallorca-html</t>
        </is>
      </c>
      <c r="E5803" t="n">
        <v>4</v>
      </c>
      <c r="G5803" t="n">
        <v>0</v>
      </c>
      <c r="H5803" t="n">
        <v>155</v>
      </c>
      <c r="J5803" t="inlineStr">
        <is>
          <t>Santa Ponsa</t>
        </is>
      </c>
      <c r="K5803" t="n">
        <v>31.1</v>
      </c>
      <c r="L5803" t="n">
        <v>28</v>
      </c>
      <c r="M5803" t="n">
        <v>73.90000000000001</v>
      </c>
      <c r="N5803" t="n">
        <v>61</v>
      </c>
      <c r="O5803" t="n">
        <v>15.2</v>
      </c>
      <c r="P5803" t="n">
        <v>19</v>
      </c>
      <c r="Q5803" t="n">
        <v>71.59999999999999</v>
      </c>
      <c r="R5803" t="n">
        <v>57</v>
      </c>
      <c r="S5803" t="n">
        <v>1626450</v>
      </c>
      <c r="T5803" t="n">
        <v>10493</v>
      </c>
      <c r="AH5803" t="inlineStr">
        <is>
          <t>Quelle: Balearic Properties</t>
        </is>
      </c>
    </row>
    <row r="5804">
      <c r="A5804" t="n">
        <v>5617</v>
      </c>
      <c r="B5804" t="inlineStr">
        <is>
          <t>Newly built penthouse with pool for sale in Santa Ponsa, Mallorca</t>
        </is>
      </c>
      <c r="C5804" t="inlineStr">
        <is>
          <t>https://www.balearic-properties.com/en/property/id/850283-new-seaview-penthouse-pool-santa-ponsa-mallorca-html</t>
        </is>
      </c>
      <c r="E5804" t="n">
        <v>4</v>
      </c>
      <c r="G5804" t="n">
        <v>0</v>
      </c>
      <c r="H5804" t="n">
        <v>263</v>
      </c>
      <c r="J5804" t="inlineStr">
        <is>
          <t>Santa Ponsa</t>
        </is>
      </c>
      <c r="K5804" t="n">
        <v>31.1</v>
      </c>
      <c r="L5804" t="n">
        <v>28</v>
      </c>
      <c r="M5804" t="n">
        <v>73.90000000000001</v>
      </c>
      <c r="N5804" t="n">
        <v>61</v>
      </c>
      <c r="O5804" t="n">
        <v>15.2</v>
      </c>
      <c r="P5804" t="n">
        <v>19</v>
      </c>
      <c r="Q5804" t="n">
        <v>71.59999999999999</v>
      </c>
      <c r="R5804" t="n">
        <v>57</v>
      </c>
      <c r="S5804" t="n">
        <v>2850000</v>
      </c>
      <c r="T5804" t="n">
        <v>10837</v>
      </c>
      <c r="AH5804" t="inlineStr">
        <is>
          <t>Quelle: Balearic Properties</t>
        </is>
      </c>
    </row>
    <row r="5805">
      <c r="A5805" t="n">
        <v>5618</v>
      </c>
      <c r="B5805" t="inlineStr">
        <is>
          <t>Country villa with holiday rental license and mountain views for sale in Pollensa, Mallorca</t>
        </is>
      </c>
      <c r="C5805" t="inlineStr">
        <is>
          <t>https://www.balearic-properties.com/en/property/id/848402-country-villa-rental-license-pollensa-mallorca-html</t>
        </is>
      </c>
      <c r="E5805" t="n">
        <v>5</v>
      </c>
      <c r="G5805" t="n">
        <v>53600</v>
      </c>
      <c r="H5805" t="n">
        <v>540</v>
      </c>
      <c r="J5805" t="inlineStr">
        <is>
          <t>Pollença</t>
        </is>
      </c>
      <c r="K5805" t="n">
        <v>60.6</v>
      </c>
      <c r="L5805" t="n">
        <v>47</v>
      </c>
      <c r="M5805" t="n">
        <v>78.7</v>
      </c>
      <c r="N5805" t="n">
        <v>74</v>
      </c>
      <c r="O5805" t="n">
        <v>83.2</v>
      </c>
      <c r="P5805" t="n">
        <v>63</v>
      </c>
      <c r="Q5805" t="n">
        <v>76.40000000000001</v>
      </c>
      <c r="R5805" t="n">
        <v>70</v>
      </c>
      <c r="S5805" t="n">
        <v>5000000</v>
      </c>
      <c r="T5805" t="n">
        <v>9259</v>
      </c>
      <c r="U5805" t="n">
        <v>93</v>
      </c>
      <c r="AH5805" t="inlineStr">
        <is>
          <t>Quelle: Balearic Properties</t>
        </is>
      </c>
    </row>
    <row r="5806">
      <c r="A5806" t="n">
        <v>5619</v>
      </c>
      <c r="B5806" t="inlineStr">
        <is>
          <t>Exclusive beachfront villa project for sale in Alcudia, Mallorca</t>
        </is>
      </c>
      <c r="C5806" t="inlineStr">
        <is>
          <t>https://www.balearic-properties.com/en/property/id/832870-exclusive-beachfront-villa-project-alcudia-mallorca-html</t>
        </is>
      </c>
      <c r="E5806" t="n">
        <v>5</v>
      </c>
      <c r="G5806" t="n">
        <v>2591</v>
      </c>
      <c r="H5806" t="n">
        <v>650</v>
      </c>
      <c r="J5806" t="inlineStr">
        <is>
          <t>Mal Pas</t>
        </is>
      </c>
      <c r="K5806" t="n">
        <v>63.3</v>
      </c>
      <c r="L5806" t="n">
        <v>51</v>
      </c>
      <c r="M5806" t="n">
        <v>81.40000000000001</v>
      </c>
      <c r="N5806" t="n">
        <v>78</v>
      </c>
      <c r="O5806" t="n">
        <v>85.90000000000001</v>
      </c>
      <c r="P5806" t="n">
        <v>67</v>
      </c>
      <c r="Q5806" t="n">
        <v>79.09999999999999</v>
      </c>
      <c r="R5806" t="n">
        <v>74</v>
      </c>
      <c r="S5806" t="n">
        <v>12500000</v>
      </c>
      <c r="T5806" t="n">
        <v>19231</v>
      </c>
      <c r="U5806" t="n">
        <v>4824</v>
      </c>
      <c r="AH5806" t="inlineStr">
        <is>
          <t>Quelle: Balearic Properties</t>
        </is>
      </c>
    </row>
    <row r="5807">
      <c r="A5807" t="n">
        <v>5620</v>
      </c>
      <c r="B5807" t="inlineStr">
        <is>
          <t>Fantastic house for sale located near the beach in Puerto Pollensa, Mallorca</t>
        </is>
      </c>
      <c r="C5807" t="inlineStr">
        <is>
          <t>https://www.balearic-properties.com/en/property/id/847878-fantastic-house-beach-puerto-pollensa-mallorca-html</t>
        </is>
      </c>
      <c r="E5807" t="n">
        <v>3</v>
      </c>
      <c r="G5807" t="n">
        <v>116</v>
      </c>
      <c r="H5807" t="n">
        <v>97</v>
      </c>
      <c r="J5807" t="inlineStr">
        <is>
          <t>Port de Pollença</t>
        </is>
      </c>
      <c r="S5807" t="n">
        <v>450000</v>
      </c>
      <c r="T5807" t="n">
        <v>4639</v>
      </c>
      <c r="U5807" t="n">
        <v>3879</v>
      </c>
      <c r="AH5807" t="inlineStr">
        <is>
          <t>Quelle: Balearic Properties</t>
        </is>
      </c>
    </row>
    <row r="5808">
      <c r="A5808" t="n">
        <v>5621</v>
      </c>
      <c r="B5808" t="inlineStr">
        <is>
          <t>Wonderful luxury finca for sale in a privileged area of Pollensa, Mallorca</t>
        </is>
      </c>
      <c r="C5808" t="inlineStr">
        <is>
          <t>https://www.balearic-properties.com/en/property/id/842190-luxury-country-home-pollensa-mallorca-html</t>
        </is>
      </c>
      <c r="E5808" t="n">
        <v>3</v>
      </c>
      <c r="G5808" t="n">
        <v>21679</v>
      </c>
      <c r="H5808" t="n">
        <v>360</v>
      </c>
      <c r="J5808" t="inlineStr">
        <is>
          <t>Pollença</t>
        </is>
      </c>
      <c r="K5808" t="n">
        <v>60.6</v>
      </c>
      <c r="L5808" t="n">
        <v>47</v>
      </c>
      <c r="M5808" t="n">
        <v>78.7</v>
      </c>
      <c r="N5808" t="n">
        <v>74</v>
      </c>
      <c r="O5808" t="n">
        <v>83.2</v>
      </c>
      <c r="P5808" t="n">
        <v>63</v>
      </c>
      <c r="Q5808" t="n">
        <v>76.40000000000001</v>
      </c>
      <c r="R5808" t="n">
        <v>70</v>
      </c>
      <c r="S5808" t="n">
        <v>3495000</v>
      </c>
      <c r="T5808" t="n">
        <v>9708</v>
      </c>
      <c r="U5808" t="n">
        <v>161</v>
      </c>
      <c r="AH5808" t="inlineStr">
        <is>
          <t>Quelle: Balearic Properties</t>
        </is>
      </c>
    </row>
    <row r="5809">
      <c r="A5809" t="n">
        <v>5622</v>
      </c>
      <c r="B5809" t="inlineStr">
        <is>
          <t>New development with community pool and gardens in Palmanova, Mallorca</t>
        </is>
      </c>
      <c r="C5809" t="inlineStr">
        <is>
          <t>https://www.balearic-properties.com/en/property/id/847559-new-apartments-community-pool-gardens-palmanova-mallorca-html</t>
        </is>
      </c>
      <c r="E5809" t="n">
        <v>3</v>
      </c>
      <c r="G5809" t="n">
        <v>0</v>
      </c>
      <c r="H5809" t="n">
        <v>119</v>
      </c>
      <c r="J5809" t="inlineStr">
        <is>
          <t>Palmanova</t>
        </is>
      </c>
      <c r="S5809" t="n">
        <v>721000</v>
      </c>
      <c r="T5809" t="n">
        <v>6059</v>
      </c>
      <c r="AH5809" t="inlineStr">
        <is>
          <t>Quelle: Balearic Properties</t>
        </is>
      </c>
    </row>
    <row r="5810">
      <c r="A5810" t="n">
        <v>5623</v>
      </c>
      <c r="B5810" t="inlineStr">
        <is>
          <t>New apartments for sale with community pool and gardens in Palmanova, Mallorca</t>
        </is>
      </c>
      <c r="C5810" t="inlineStr">
        <is>
          <t>https://www.balearic-properties.com/en/property/id/842526-new-apartments-community-pool-gardens-palmanova-mallorca-html</t>
        </is>
      </c>
      <c r="E5810" t="n">
        <v>2</v>
      </c>
      <c r="G5810" t="n">
        <v>0</v>
      </c>
      <c r="H5810" t="n">
        <v>72</v>
      </c>
      <c r="J5810" t="inlineStr">
        <is>
          <t>Palmanova</t>
        </is>
      </c>
      <c r="S5810" t="n">
        <v>606000</v>
      </c>
      <c r="T5810" t="n">
        <v>8417</v>
      </c>
      <c r="AH5810" t="inlineStr">
        <is>
          <t>Quelle: Balearic Properties</t>
        </is>
      </c>
    </row>
    <row r="5811">
      <c r="A5811" t="n">
        <v>5624</v>
      </c>
      <c r="B5811" t="inlineStr">
        <is>
          <t>Modern apartment for sale on an exclusive development in Palmanova, Mallorca</t>
        </is>
      </c>
      <c r="C5811" t="inlineStr">
        <is>
          <t>https://www.balearic-properties.com/en/property/id/834029-modern-apartment-exclusive-development-palmanova-mallorca-html</t>
        </is>
      </c>
      <c r="E5811" t="n">
        <v>3</v>
      </c>
      <c r="G5811" t="n">
        <v>0</v>
      </c>
      <c r="H5811" t="n">
        <v>97</v>
      </c>
      <c r="J5811" t="inlineStr">
        <is>
          <t>Palmanova</t>
        </is>
      </c>
      <c r="S5811" t="n">
        <v>736000</v>
      </c>
      <c r="T5811" t="n">
        <v>7588</v>
      </c>
      <c r="AH5811" t="inlineStr">
        <is>
          <t>Quelle: Balearic Properties</t>
        </is>
      </c>
    </row>
    <row r="5812">
      <c r="A5812" t="n">
        <v>5625</v>
      </c>
      <c r="B5812" t="inlineStr">
        <is>
          <t>Impressive town house to renovate for sale in Santanyí, Mallorca</t>
        </is>
      </c>
      <c r="C5812" t="inlineStr">
        <is>
          <t>https://www.balearic-properties.com/en/property/id/844067-charming-townhouse-santanyi-mallorca-html</t>
        </is>
      </c>
      <c r="E5812" t="n">
        <v>3</v>
      </c>
      <c r="G5812" t="n">
        <v>490</v>
      </c>
      <c r="H5812" t="n">
        <v>500</v>
      </c>
      <c r="J5812" t="inlineStr">
        <is>
          <t>Santanyí</t>
        </is>
      </c>
      <c r="K5812" t="n">
        <v>45.4</v>
      </c>
      <c r="L5812" t="n">
        <v>39</v>
      </c>
      <c r="M5812" t="n">
        <v>9</v>
      </c>
      <c r="N5812" t="n">
        <v>13</v>
      </c>
      <c r="O5812" t="n">
        <v>83.59999999999999</v>
      </c>
      <c r="P5812" t="n">
        <v>67</v>
      </c>
      <c r="Q5812" t="n">
        <v>9.699999999999999</v>
      </c>
      <c r="R5812" t="n">
        <v>15</v>
      </c>
      <c r="S5812" t="n">
        <v>1800000</v>
      </c>
      <c r="T5812" t="n">
        <v>3600</v>
      </c>
      <c r="U5812" t="n">
        <v>3673</v>
      </c>
      <c r="AH5812" t="inlineStr">
        <is>
          <t>Quelle: Balearic Properties</t>
        </is>
      </c>
    </row>
    <row r="5813">
      <c r="A5813" t="n">
        <v>5626</v>
      </c>
      <c r="B5813" t="inlineStr">
        <is>
          <t>Investment: Four traditional town houses to renovate for sale in Andratx, Mallorca</t>
        </is>
      </c>
      <c r="C5813" t="inlineStr">
        <is>
          <t>https://www.balearic-properties.com/en/property/id/811362-buildings-conversion-andratx-mallorca-html</t>
        </is>
      </c>
      <c r="E5813" t="n">
        <v>7</v>
      </c>
      <c r="G5813" t="n">
        <v>137</v>
      </c>
      <c r="H5813" t="n">
        <v>500</v>
      </c>
      <c r="J5813" t="inlineStr">
        <is>
          <t>Andratx Village</t>
        </is>
      </c>
      <c r="K5813" t="n">
        <v>40.3</v>
      </c>
      <c r="L5813" t="n">
        <v>36</v>
      </c>
      <c r="M5813" t="n">
        <v>83</v>
      </c>
      <c r="N5813" t="n">
        <v>68</v>
      </c>
      <c r="O5813" t="n">
        <v>2.7</v>
      </c>
      <c r="P5813" t="n">
        <v>7</v>
      </c>
      <c r="Q5813" t="n">
        <v>80.7</v>
      </c>
      <c r="R5813" t="n">
        <v>65</v>
      </c>
      <c r="S5813" t="n">
        <v>809500</v>
      </c>
      <c r="T5813" t="n">
        <v>1619</v>
      </c>
      <c r="U5813" t="n">
        <v>5909</v>
      </c>
      <c r="AH5813" t="inlineStr">
        <is>
          <t>Quelle: Balearic Properties</t>
        </is>
      </c>
    </row>
    <row r="5814">
      <c r="A5814" t="n">
        <v>5627</v>
      </c>
      <c r="B5814" t="inlineStr">
        <is>
          <t>Modern country finca for sale in Lloret de Vistalegre near Sineu, Mallorca</t>
        </is>
      </c>
      <c r="C5814" t="inlineStr">
        <is>
          <t>https://www.balearic-properties.com/en/property/id/843943-modern-country-finca-lloret-vistalegre-sineu-mallorca-html</t>
        </is>
      </c>
      <c r="E5814" t="n">
        <v>3</v>
      </c>
      <c r="G5814" t="n">
        <v>16030</v>
      </c>
      <c r="H5814" t="n">
        <v>260</v>
      </c>
      <c r="J5814" t="inlineStr">
        <is>
          <t>Lloret de Vistalegre</t>
        </is>
      </c>
      <c r="K5814" t="n">
        <v>33.2</v>
      </c>
      <c r="L5814" t="n">
        <v>36</v>
      </c>
      <c r="M5814" t="n">
        <v>47.7</v>
      </c>
      <c r="N5814" t="n">
        <v>51</v>
      </c>
      <c r="O5814" t="n">
        <v>65</v>
      </c>
      <c r="P5814" t="n">
        <v>57</v>
      </c>
      <c r="Q5814" t="n">
        <v>45.4</v>
      </c>
      <c r="R5814" t="n">
        <v>47</v>
      </c>
      <c r="S5814" t="n">
        <v>2550000</v>
      </c>
      <c r="T5814" t="n">
        <v>9808</v>
      </c>
      <c r="U5814" t="n">
        <v>159</v>
      </c>
      <c r="AH5814" t="inlineStr">
        <is>
          <t>Quelle: Balearic Properties</t>
        </is>
      </c>
    </row>
    <row r="5815">
      <c r="A5815" t="n">
        <v>5628</v>
      </c>
      <c r="B5815" t="inlineStr">
        <is>
          <t>Mediterranean villa with amazing sea views for sale in Costa d´en Blanes, Mallorca</t>
        </is>
      </c>
      <c r="C5815" t="inlineStr">
        <is>
          <t>https://www.balearic-properties.com/en/property/id/842517-villa-with-sea-views-for-sale-in-costa-d-en-blanes-mallorca-html</t>
        </is>
      </c>
      <c r="E5815" t="n">
        <v>4</v>
      </c>
      <c r="G5815" t="n">
        <v>963</v>
      </c>
      <c r="H5815" t="n">
        <v>200</v>
      </c>
      <c r="J5815" t="inlineStr">
        <is>
          <t>Costa D´en Blanes</t>
        </is>
      </c>
      <c r="K5815" t="n">
        <v>23.3</v>
      </c>
      <c r="L5815" t="n">
        <v>21</v>
      </c>
      <c r="M5815" t="n">
        <v>66.09999999999999</v>
      </c>
      <c r="N5815" t="n">
        <v>54</v>
      </c>
      <c r="O5815" t="n">
        <v>21</v>
      </c>
      <c r="P5815" t="n">
        <v>21</v>
      </c>
      <c r="Q5815" t="n">
        <v>63.8</v>
      </c>
      <c r="R5815" t="n">
        <v>51</v>
      </c>
      <c r="S5815" t="n">
        <v>1975000</v>
      </c>
      <c r="T5815" t="n">
        <v>9875</v>
      </c>
      <c r="U5815" t="n">
        <v>2051</v>
      </c>
      <c r="AH5815" t="inlineStr">
        <is>
          <t>Quelle: Balearic Properties</t>
        </is>
      </c>
    </row>
    <row r="5816">
      <c r="A5816" t="n">
        <v>5629</v>
      </c>
      <c r="B5816" t="inlineStr">
        <is>
          <t>Huge rural estate for sale near Sant Llorenc, Mallorca</t>
        </is>
      </c>
      <c r="C5816" t="inlineStr">
        <is>
          <t>https://www.balearic-properties.com/en/property/id/804950-country-estate-sant-llorenc-mallorca-html</t>
        </is>
      </c>
      <c r="E5816" t="n">
        <v>12</v>
      </c>
      <c r="G5816" t="n">
        <v>212512</v>
      </c>
      <c r="H5816" t="n">
        <v>2053</v>
      </c>
      <c r="J5816" t="inlineStr">
        <is>
          <t>Sant Llorenç des Cardassar</t>
        </is>
      </c>
      <c r="K5816" t="n">
        <v>56.7</v>
      </c>
      <c r="L5816" t="n">
        <v>49</v>
      </c>
      <c r="M5816" t="n">
        <v>52</v>
      </c>
      <c r="N5816" t="n">
        <v>52</v>
      </c>
      <c r="O5816" t="n">
        <v>90.90000000000001</v>
      </c>
      <c r="P5816" t="n">
        <v>73</v>
      </c>
      <c r="Q5816" t="n">
        <v>49.7</v>
      </c>
      <c r="R5816" t="n">
        <v>48</v>
      </c>
      <c r="S5816" t="n">
        <v>2750000</v>
      </c>
      <c r="T5816" t="n">
        <v>1340</v>
      </c>
      <c r="U5816" t="n">
        <v>13</v>
      </c>
      <c r="AH5816" t="inlineStr">
        <is>
          <t>Quelle: Balearic Properties</t>
        </is>
      </c>
    </row>
    <row r="5817">
      <c r="A5817" t="n">
        <v>5630</v>
      </c>
      <c r="B5817" t="inlineStr">
        <is>
          <t>Villa with sea views for sale in Costa D´en Blanes, Mallorca</t>
        </is>
      </c>
      <c r="C5817" t="inlineStr">
        <is>
          <t>https://www.balearic-properties.com/en/property/id/811093-villa-pool-mallorca-sea-html</t>
        </is>
      </c>
      <c r="E5817" t="n">
        <v>3</v>
      </c>
      <c r="G5817" t="n">
        <v>1000</v>
      </c>
      <c r="H5817" t="n">
        <v>194</v>
      </c>
      <c r="J5817" t="inlineStr">
        <is>
          <t>Costa D´en Blanes</t>
        </is>
      </c>
      <c r="K5817" t="n">
        <v>23.3</v>
      </c>
      <c r="L5817" t="n">
        <v>21</v>
      </c>
      <c r="M5817" t="n">
        <v>66.09999999999999</v>
      </c>
      <c r="N5817" t="n">
        <v>54</v>
      </c>
      <c r="O5817" t="n">
        <v>21</v>
      </c>
      <c r="P5817" t="n">
        <v>21</v>
      </c>
      <c r="Q5817" t="n">
        <v>63.8</v>
      </c>
      <c r="R5817" t="n">
        <v>51</v>
      </c>
      <c r="S5817" t="n">
        <v>1895000</v>
      </c>
      <c r="T5817" t="n">
        <v>9768</v>
      </c>
      <c r="U5817" t="n">
        <v>1895</v>
      </c>
      <c r="AH5817" t="inlineStr">
        <is>
          <t>Quelle: Balearic Properties</t>
        </is>
      </c>
    </row>
    <row r="5818">
      <c r="A5818" t="n">
        <v>5631</v>
      </c>
      <c r="B5818" t="inlineStr">
        <is>
          <t>Versatile town house for sale close to the beach in Puerto Pollensa, Mallorca</t>
        </is>
      </c>
      <c r="C5818" t="inlineStr">
        <is>
          <t>https://www.balearic-properties.com/en/property/id/834843-versatile-townhouse-beach-puerto-pollensa-mallorca-html</t>
        </is>
      </c>
      <c r="E5818" t="n">
        <v>3</v>
      </c>
      <c r="G5818" t="n">
        <v>210</v>
      </c>
      <c r="H5818" t="n">
        <v>215</v>
      </c>
      <c r="J5818" t="inlineStr">
        <is>
          <t>Port de Pollença</t>
        </is>
      </c>
      <c r="S5818" t="n">
        <v>900000</v>
      </c>
      <c r="T5818" t="n">
        <v>4186</v>
      </c>
      <c r="U5818" t="n">
        <v>4286</v>
      </c>
      <c r="AH5818" t="inlineStr">
        <is>
          <t>Quelle: Balearic Properties</t>
        </is>
      </c>
    </row>
    <row r="5819">
      <c r="A5819" t="n">
        <v>5632</v>
      </c>
      <c r="B5819" t="inlineStr">
        <is>
          <t>Designer finca with olive grove and pool for sale in Felanitx, Mallorca</t>
        </is>
      </c>
      <c r="C5819" t="inlineStr">
        <is>
          <t>https://www.balearic-properties.com/en/property/id/835092-designer-finca-olive-grove-pool-felanitx-mallorca-html</t>
        </is>
      </c>
      <c r="E5819" t="n">
        <v>3</v>
      </c>
      <c r="G5819" t="n">
        <v>21700</v>
      </c>
      <c r="H5819" t="n">
        <v>343</v>
      </c>
      <c r="J5819" t="inlineStr">
        <is>
          <t>Es Carritxó</t>
        </is>
      </c>
      <c r="K5819" t="n">
        <v>49.4</v>
      </c>
      <c r="L5819" t="n">
        <v>44</v>
      </c>
      <c r="M5819" t="n">
        <v>17.8</v>
      </c>
      <c r="N5819" t="n">
        <v>25</v>
      </c>
      <c r="O5819" t="n">
        <v>87.59999999999999</v>
      </c>
      <c r="P5819" t="n">
        <v>71</v>
      </c>
      <c r="Q5819" t="n">
        <v>19.1</v>
      </c>
      <c r="R5819" t="n">
        <v>29</v>
      </c>
      <c r="S5819" t="n">
        <v>4300000</v>
      </c>
      <c r="T5819" t="n">
        <v>12536</v>
      </c>
      <c r="U5819" t="n">
        <v>198</v>
      </c>
      <c r="AH5819" t="inlineStr">
        <is>
          <t>Quelle: Balearic Properties</t>
        </is>
      </c>
    </row>
    <row r="5820">
      <c r="A5820" t="n">
        <v>5633</v>
      </c>
      <c r="B5820" t="inlineStr">
        <is>
          <t>Beachfront villa with holiday license and sea views for sale in Alcudia, Mallorca</t>
        </is>
      </c>
      <c r="C5820" t="inlineStr">
        <is>
          <t>https://www.balearic-properties.com/en/property/id/780584-beachfront-villa-holiday-license-seaview-alcudia-mallorca-html</t>
        </is>
      </c>
      <c r="E5820" t="n">
        <v>5</v>
      </c>
      <c r="G5820" t="n">
        <v>978</v>
      </c>
      <c r="H5820" t="n">
        <v>572</v>
      </c>
      <c r="J5820" t="inlineStr">
        <is>
          <t>Alcúdia</t>
        </is>
      </c>
      <c r="K5820" t="n">
        <v>61.6</v>
      </c>
      <c r="L5820" t="n">
        <v>47</v>
      </c>
      <c r="M5820" t="n">
        <v>79.7</v>
      </c>
      <c r="N5820" t="n">
        <v>74</v>
      </c>
      <c r="O5820" t="n">
        <v>84.2</v>
      </c>
      <c r="P5820" t="n">
        <v>63</v>
      </c>
      <c r="Q5820" t="n">
        <v>77.40000000000001</v>
      </c>
      <c r="R5820" t="n">
        <v>70</v>
      </c>
      <c r="S5820" t="n">
        <v>4990000</v>
      </c>
      <c r="T5820" t="n">
        <v>8724</v>
      </c>
      <c r="U5820" t="n">
        <v>5102</v>
      </c>
      <c r="AH5820" t="inlineStr">
        <is>
          <t>Quelle: Balearic Properties</t>
        </is>
      </c>
    </row>
    <row r="5821">
      <c r="A5821" t="n">
        <v>5634</v>
      </c>
      <c r="B5821" t="inlineStr">
        <is>
          <t>Town house with traditional stone façade for sale in the centre of Pollensa, Mallorca</t>
        </is>
      </c>
      <c r="C5821" t="inlineStr">
        <is>
          <t>https://www.balearic-properties.com/en/property/id/834050-town-house-centre-pollensa-mallorca-html</t>
        </is>
      </c>
      <c r="E5821" t="n">
        <v>5</v>
      </c>
      <c r="G5821" t="n">
        <v>116</v>
      </c>
      <c r="H5821" t="n">
        <v>161</v>
      </c>
      <c r="J5821" t="inlineStr">
        <is>
          <t>Pollença Pueblo</t>
        </is>
      </c>
      <c r="K5821" t="n">
        <v>60.6</v>
      </c>
      <c r="L5821" t="n">
        <v>47</v>
      </c>
      <c r="M5821" t="n">
        <v>78.7</v>
      </c>
      <c r="N5821" t="n">
        <v>74</v>
      </c>
      <c r="O5821" t="n">
        <v>83.2</v>
      </c>
      <c r="P5821" t="n">
        <v>63</v>
      </c>
      <c r="Q5821" t="n">
        <v>76.40000000000001</v>
      </c>
      <c r="R5821" t="n">
        <v>70</v>
      </c>
      <c r="S5821" t="n">
        <v>690000</v>
      </c>
      <c r="T5821" t="n">
        <v>4286</v>
      </c>
      <c r="U5821" t="n">
        <v>5948</v>
      </c>
      <c r="AH5821" t="inlineStr">
        <is>
          <t>Quelle: Balearic Properties</t>
        </is>
      </c>
    </row>
    <row r="5822">
      <c r="A5822" t="n">
        <v>5635</v>
      </c>
      <c r="B5822" t="inlineStr">
        <is>
          <t>Modern penthouse with private pool for sale in Palma, Mallorca</t>
        </is>
      </c>
      <c r="C5822" t="inlineStr">
        <is>
          <t>https://www.balearic-properties.com/en/property/id/806449-modern-penthouse-pool-palma-html</t>
        </is>
      </c>
      <c r="E5822" t="n">
        <v>2</v>
      </c>
      <c r="G5822" t="n">
        <v>0</v>
      </c>
      <c r="H5822" t="n">
        <v>161</v>
      </c>
      <c r="J5822" t="inlineStr">
        <is>
          <t>Palma de Mallorca</t>
        </is>
      </c>
      <c r="K5822" t="n">
        <v>9.699999999999999</v>
      </c>
      <c r="L5822" t="n">
        <v>14</v>
      </c>
      <c r="M5822" t="n">
        <v>52.5</v>
      </c>
      <c r="N5822" t="n">
        <v>47</v>
      </c>
      <c r="O5822" t="n">
        <v>32.1</v>
      </c>
      <c r="P5822" t="n">
        <v>36</v>
      </c>
      <c r="Q5822" t="n">
        <v>50.2</v>
      </c>
      <c r="R5822" t="n">
        <v>44</v>
      </c>
      <c r="S5822" t="n">
        <v>1420250</v>
      </c>
      <c r="T5822" t="n">
        <v>8821</v>
      </c>
      <c r="AH5822" t="inlineStr">
        <is>
          <t>Quelle: Balearic Properties</t>
        </is>
      </c>
    </row>
    <row r="5823">
      <c r="A5823" t="n">
        <v>5636</v>
      </c>
      <c r="B5823" t="inlineStr">
        <is>
          <t>Charming village house with lots of character and potential for sale in Pollensa, Mallorca</t>
        </is>
      </c>
      <c r="C5823" t="inlineStr">
        <is>
          <t>https://www.balearic-properties.com/en/property/id/722925-charming-village-house-pollensa-mallorca-html</t>
        </is>
      </c>
      <c r="E5823" t="n">
        <v>5</v>
      </c>
      <c r="G5823" t="n">
        <v>303</v>
      </c>
      <c r="H5823" t="n">
        <v>218</v>
      </c>
      <c r="J5823" t="inlineStr">
        <is>
          <t>Pollença Pueblo</t>
        </is>
      </c>
      <c r="K5823" t="n">
        <v>60.6</v>
      </c>
      <c r="L5823" t="n">
        <v>47</v>
      </c>
      <c r="M5823" t="n">
        <v>78.7</v>
      </c>
      <c r="N5823" t="n">
        <v>74</v>
      </c>
      <c r="O5823" t="n">
        <v>83.2</v>
      </c>
      <c r="P5823" t="n">
        <v>63</v>
      </c>
      <c r="Q5823" t="n">
        <v>76.40000000000001</v>
      </c>
      <c r="R5823" t="n">
        <v>70</v>
      </c>
      <c r="S5823" t="n">
        <v>900000</v>
      </c>
      <c r="T5823" t="n">
        <v>4128</v>
      </c>
      <c r="U5823" t="n">
        <v>2970</v>
      </c>
      <c r="AH5823" t="inlineStr">
        <is>
          <t>Quelle: Balearic Properties</t>
        </is>
      </c>
    </row>
    <row r="5824">
      <c r="A5824" t="n">
        <v>5637</v>
      </c>
      <c r="B5824" t="inlineStr">
        <is>
          <t>Sea view apartment for sale on an exclusive complex in Portals Nous, Mallorca</t>
        </is>
      </c>
      <c r="C5824" t="inlineStr">
        <is>
          <t>https://www.balearic-properties.com/en/property/id/834185-seaview-apartment-portals-nous-mallorca-html</t>
        </is>
      </c>
      <c r="E5824" t="n">
        <v>2</v>
      </c>
      <c r="G5824" t="n">
        <v>0</v>
      </c>
      <c r="H5824" t="n">
        <v>115</v>
      </c>
      <c r="J5824" t="inlineStr">
        <is>
          <t>Puerto Portals</t>
        </is>
      </c>
      <c r="K5824" t="n">
        <v>23.5</v>
      </c>
      <c r="L5824" t="n">
        <v>24</v>
      </c>
      <c r="M5824" t="n">
        <v>66.2</v>
      </c>
      <c r="N5824" t="n">
        <v>56</v>
      </c>
      <c r="O5824" t="n">
        <v>21.4</v>
      </c>
      <c r="P5824" t="n">
        <v>23</v>
      </c>
      <c r="Q5824" t="n">
        <v>63.9</v>
      </c>
      <c r="R5824" t="n">
        <v>53</v>
      </c>
      <c r="S5824" t="n">
        <v>1100000</v>
      </c>
      <c r="T5824" t="n">
        <v>9565</v>
      </c>
      <c r="AH5824" t="inlineStr">
        <is>
          <t>Quelle: Balearic Properties</t>
        </is>
      </c>
    </row>
    <row r="5825">
      <c r="A5825" t="n">
        <v>5638</v>
      </c>
      <c r="B5825" t="inlineStr">
        <is>
          <t>Luxury sea view villa with private lift for sale in Bonaire, Alcudia</t>
        </is>
      </c>
      <c r="C5825" t="inlineStr">
        <is>
          <t>https://www.balearic-properties.com/en/property/id/602048-villa-seaview-bonaire-mallorca-html</t>
        </is>
      </c>
      <c r="E5825" t="n">
        <v>6</v>
      </c>
      <c r="G5825" t="n">
        <v>1800</v>
      </c>
      <c r="H5825" t="n">
        <v>750</v>
      </c>
      <c r="J5825" t="inlineStr">
        <is>
          <t>Bonaire</t>
        </is>
      </c>
      <c r="K5825" t="n">
        <v>64.40000000000001</v>
      </c>
      <c r="L5825" t="n">
        <v>54</v>
      </c>
      <c r="M5825" t="n">
        <v>82.5</v>
      </c>
      <c r="N5825" t="n">
        <v>80</v>
      </c>
      <c r="O5825" t="n">
        <v>87</v>
      </c>
      <c r="P5825" t="n">
        <v>70</v>
      </c>
      <c r="Q5825" t="n">
        <v>80.2</v>
      </c>
      <c r="R5825" t="n">
        <v>77</v>
      </c>
      <c r="S5825" t="n">
        <v>2950000</v>
      </c>
      <c r="T5825" t="n">
        <v>3933</v>
      </c>
      <c r="U5825" t="n">
        <v>1639</v>
      </c>
      <c r="AH5825" t="inlineStr">
        <is>
          <t>Quelle: Balearic Properties</t>
        </is>
      </c>
    </row>
    <row r="5826">
      <c r="A5826" t="n">
        <v>5639</v>
      </c>
      <c r="B5826" t="inlineStr">
        <is>
          <t>Incredible frontline villa for sale in El Toro, Port Adriano, Mallorca</t>
        </is>
      </c>
      <c r="C5826" t="inlineStr">
        <is>
          <t>https://www.balearic-properties.com/en/property/id/788388-port-adriano-villa-seafront-mallorca-html</t>
        </is>
      </c>
      <c r="E5826" t="n">
        <v>4</v>
      </c>
      <c r="G5826" t="n">
        <v>870</v>
      </c>
      <c r="H5826" t="n">
        <v>615</v>
      </c>
      <c r="J5826" t="inlineStr">
        <is>
          <t>Port Adriano</t>
        </is>
      </c>
      <c r="K5826" t="n">
        <v>34.7</v>
      </c>
      <c r="L5826" t="n">
        <v>32</v>
      </c>
      <c r="M5826" t="n">
        <v>77.40000000000001</v>
      </c>
      <c r="N5826" t="n">
        <v>65</v>
      </c>
      <c r="O5826" t="n">
        <v>18.7</v>
      </c>
      <c r="P5826" t="n">
        <v>23</v>
      </c>
      <c r="Q5826" t="n">
        <v>75.09999999999999</v>
      </c>
      <c r="R5826" t="n">
        <v>61</v>
      </c>
      <c r="S5826" t="n">
        <v>9850000</v>
      </c>
      <c r="T5826" t="n">
        <v>16016</v>
      </c>
      <c r="U5826" t="n">
        <v>11322</v>
      </c>
      <c r="AH5826" t="inlineStr">
        <is>
          <t>Quelle: Balearic Properties</t>
        </is>
      </c>
    </row>
    <row r="5827">
      <c r="A5827" t="n">
        <v>5640</v>
      </c>
      <c r="B5827" t="inlineStr">
        <is>
          <t>Modern luxury villa for sale close to the beach in Puerto Pollensa, Mallorca</t>
        </is>
      </c>
      <c r="C5827" t="inlineStr">
        <is>
          <t>https://www.balearic-properties.com/en/property/id/829631-modern-villa-llenaire-puerto-pollensa-mallorca-html</t>
        </is>
      </c>
      <c r="E5827" t="n">
        <v>5</v>
      </c>
      <c r="G5827" t="n">
        <v>1345</v>
      </c>
      <c r="H5827" t="n">
        <v>413</v>
      </c>
      <c r="J5827" t="inlineStr">
        <is>
          <t>Llenaire</t>
        </is>
      </c>
      <c r="K5827" t="n">
        <v>63.2</v>
      </c>
      <c r="L5827" t="n">
        <v>48</v>
      </c>
      <c r="M5827" t="n">
        <v>81.3</v>
      </c>
      <c r="N5827" t="n">
        <v>75</v>
      </c>
      <c r="O5827" t="n">
        <v>85.8</v>
      </c>
      <c r="P5827" t="n">
        <v>64</v>
      </c>
      <c r="Q5827" t="n">
        <v>79</v>
      </c>
      <c r="R5827" t="n">
        <v>71</v>
      </c>
      <c r="S5827" t="n">
        <v>3800000</v>
      </c>
      <c r="T5827" t="n">
        <v>9201</v>
      </c>
      <c r="U5827" t="n">
        <v>2825</v>
      </c>
      <c r="AH5827" t="inlineStr">
        <is>
          <t>Quelle: Balearic Properties</t>
        </is>
      </c>
    </row>
    <row r="5828">
      <c r="A5828" t="n">
        <v>5641</v>
      </c>
      <c r="B5828" t="inlineStr">
        <is>
          <t>Immaculate new villa with mountain views for sale in Santa Maria, Mallorca</t>
        </is>
      </c>
      <c r="C5828" t="inlineStr">
        <is>
          <t>https://www.balearic-properties.com/en/property/id/830550-immaculate-villa-views-santa-maria-mallorca-html</t>
        </is>
      </c>
      <c r="E5828" t="n">
        <v>5</v>
      </c>
      <c r="G5828" t="n">
        <v>14210</v>
      </c>
      <c r="H5828" t="n">
        <v>543</v>
      </c>
      <c r="J5828" t="inlineStr">
        <is>
          <t>Santa Maria del Camí</t>
        </is>
      </c>
      <c r="K5828" t="n">
        <v>23.5</v>
      </c>
      <c r="L5828" t="n">
        <v>21</v>
      </c>
      <c r="M5828" t="n">
        <v>66.3</v>
      </c>
      <c r="N5828" t="n">
        <v>54</v>
      </c>
      <c r="O5828" t="n">
        <v>46.1</v>
      </c>
      <c r="P5828" t="n">
        <v>37</v>
      </c>
      <c r="Q5828" t="n">
        <v>64</v>
      </c>
      <c r="R5828" t="n">
        <v>51</v>
      </c>
      <c r="S5828" t="n">
        <v>4800000</v>
      </c>
      <c r="T5828" t="n">
        <v>8840</v>
      </c>
      <c r="U5828" t="n">
        <v>338</v>
      </c>
      <c r="AH5828" t="inlineStr">
        <is>
          <t>Quelle: Balearic Properties</t>
        </is>
      </c>
    </row>
    <row r="5829">
      <c r="A5829" t="n">
        <v>5642</v>
      </c>
      <c r="B5829" t="inlineStr">
        <is>
          <t>Exclusive eco-friendly development for sale in Playa de Palma, Mallorca</t>
        </is>
      </c>
      <c r="C5829" t="inlineStr">
        <is>
          <t>https://www.balearic-properties.com/en/property/id/831533-26-townhouses-beach-playa-palma-mallorca-html</t>
        </is>
      </c>
      <c r="E5829" t="n">
        <v>4</v>
      </c>
      <c r="G5829" t="n">
        <v>137</v>
      </c>
      <c r="H5829" t="n">
        <v>150</v>
      </c>
      <c r="J5829" t="inlineStr">
        <is>
          <t>Palma de Mallorca</t>
        </is>
      </c>
      <c r="K5829" t="n">
        <v>9.699999999999999</v>
      </c>
      <c r="L5829" t="n">
        <v>14</v>
      </c>
      <c r="M5829" t="n">
        <v>52.5</v>
      </c>
      <c r="N5829" t="n">
        <v>47</v>
      </c>
      <c r="O5829" t="n">
        <v>32.1</v>
      </c>
      <c r="P5829" t="n">
        <v>36</v>
      </c>
      <c r="Q5829" t="n">
        <v>50.2</v>
      </c>
      <c r="R5829" t="n">
        <v>44</v>
      </c>
      <c r="S5829" t="n">
        <v>1380000</v>
      </c>
      <c r="T5829" t="n">
        <v>9200</v>
      </c>
      <c r="U5829" t="n">
        <v>10073</v>
      </c>
      <c r="AH5829" t="inlineStr">
        <is>
          <t>Quelle: Balearic Properties</t>
        </is>
      </c>
    </row>
    <row r="5830">
      <c r="A5830" t="n">
        <v>5643</v>
      </c>
      <c r="B5830" t="inlineStr">
        <is>
          <t>Unmissable apartment for sale in the vibrant centre of Palma, Mallorca</t>
        </is>
      </c>
      <c r="C5830" t="inlineStr">
        <is>
          <t>https://www.balearic-properties.com/en/property/id/820362-unmissable-apartment-for-sale-in-the-vibrant-centre-of-palma-mallorca-html</t>
        </is>
      </c>
      <c r="E5830" t="n">
        <v>4</v>
      </c>
      <c r="G5830" t="n">
        <v>0</v>
      </c>
      <c r="H5830" t="n">
        <v>185</v>
      </c>
      <c r="J5830" t="inlineStr">
        <is>
          <t>Palma City Centre</t>
        </is>
      </c>
      <c r="K5830" t="n">
        <v>11.6</v>
      </c>
      <c r="L5830" t="n">
        <v>20</v>
      </c>
      <c r="M5830" t="n">
        <v>54.3</v>
      </c>
      <c r="N5830" t="n">
        <v>53</v>
      </c>
      <c r="O5830" t="n">
        <v>29.5</v>
      </c>
      <c r="P5830" t="n">
        <v>29</v>
      </c>
      <c r="Q5830" t="n">
        <v>52</v>
      </c>
      <c r="R5830" t="n">
        <v>49</v>
      </c>
      <c r="S5830" t="n">
        <v>1395000</v>
      </c>
      <c r="T5830" t="n">
        <v>7541</v>
      </c>
      <c r="AH5830" t="inlineStr">
        <is>
          <t>Quelle: Balearic Properties</t>
        </is>
      </c>
    </row>
    <row r="5831">
      <c r="A5831" t="n">
        <v>5644</v>
      </c>
      <c r="B5831" t="inlineStr">
        <is>
          <t>Modern villa for sale in the exclusive residential area of Costa D´en Blanes, Mallorca</t>
        </is>
      </c>
      <c r="C5831" t="inlineStr">
        <is>
          <t>https://www.balearic-properties.com/en/property/id/815736-plot-villa-project-costa-den-blanes-mallorca-html</t>
        </is>
      </c>
      <c r="E5831" t="n">
        <v>5</v>
      </c>
      <c r="G5831" t="n">
        <v>1350</v>
      </c>
      <c r="H5831" t="n">
        <v>550</v>
      </c>
      <c r="J5831" t="inlineStr">
        <is>
          <t>Costa D´en Blanes</t>
        </is>
      </c>
      <c r="K5831" t="n">
        <v>23.3</v>
      </c>
      <c r="L5831" t="n">
        <v>21</v>
      </c>
      <c r="M5831" t="n">
        <v>66.09999999999999</v>
      </c>
      <c r="N5831" t="n">
        <v>54</v>
      </c>
      <c r="O5831" t="n">
        <v>21</v>
      </c>
      <c r="P5831" t="n">
        <v>21</v>
      </c>
      <c r="Q5831" t="n">
        <v>63.8</v>
      </c>
      <c r="R5831" t="n">
        <v>51</v>
      </c>
      <c r="S5831" t="n">
        <v>4300000</v>
      </c>
      <c r="T5831" t="n">
        <v>7818</v>
      </c>
      <c r="U5831" t="n">
        <v>3185</v>
      </c>
      <c r="AH5831" t="inlineStr">
        <is>
          <t>Quelle: Balearic Properties</t>
        </is>
      </c>
    </row>
    <row r="5832">
      <c r="A5832" t="n">
        <v>5645</v>
      </c>
      <c r="B5832" t="inlineStr">
        <is>
          <t>Impressive old manor house to reform for sale in the countryside near Llubí, Mallorca</t>
        </is>
      </c>
      <c r="C5832" t="inlineStr">
        <is>
          <t>https://www.balearic-properties.com/en/property/id/784376-finca-central-mallorca-html</t>
        </is>
      </c>
      <c r="E5832" t="n">
        <v>5</v>
      </c>
      <c r="G5832" t="n">
        <v>415000</v>
      </c>
      <c r="H5832" t="n">
        <v>1146</v>
      </c>
      <c r="J5832" t="inlineStr">
        <is>
          <t>Llubí</t>
        </is>
      </c>
      <c r="K5832" t="n">
        <v>46.1</v>
      </c>
      <c r="L5832" t="n">
        <v>38</v>
      </c>
      <c r="M5832" t="n">
        <v>50.9</v>
      </c>
      <c r="N5832" t="n">
        <v>54</v>
      </c>
      <c r="O5832" t="n">
        <v>68.7</v>
      </c>
      <c r="P5832" t="n">
        <v>54</v>
      </c>
      <c r="Q5832" t="n">
        <v>48.6</v>
      </c>
      <c r="R5832" t="n">
        <v>50</v>
      </c>
      <c r="S5832" t="n">
        <v>2500000</v>
      </c>
      <c r="T5832" t="n">
        <v>2182</v>
      </c>
      <c r="U5832" t="n">
        <v>6</v>
      </c>
      <c r="AH5832" t="inlineStr">
        <is>
          <t>Quelle: Balearic Properties</t>
        </is>
      </c>
    </row>
    <row r="5833">
      <c r="A5833" t="n">
        <v>5646</v>
      </c>
      <c r="B5833" t="inlineStr">
        <is>
          <t>Luxury duplex penthouse with rooftop pool, for sale in Palma, Mallorca</t>
        </is>
      </c>
      <c r="C5833" t="inlineStr">
        <is>
          <t>https://www.balearic-properties.com/en/property/id/823159-luxury-duplex-penthouse-with-rooftop-pool-for-sale-in-palma-mallorca-html</t>
        </is>
      </c>
      <c r="E5833" t="n">
        <v>2</v>
      </c>
      <c r="G5833" t="n">
        <v>0</v>
      </c>
      <c r="H5833" t="n">
        <v>106</v>
      </c>
      <c r="J5833" t="inlineStr">
        <is>
          <t>La Bonanova</t>
        </is>
      </c>
      <c r="K5833" t="n">
        <v>19.2</v>
      </c>
      <c r="L5833" t="n">
        <v>21</v>
      </c>
      <c r="M5833" t="n">
        <v>62</v>
      </c>
      <c r="N5833" t="n">
        <v>54</v>
      </c>
      <c r="O5833" t="n">
        <v>26.6</v>
      </c>
      <c r="P5833" t="n">
        <v>27</v>
      </c>
      <c r="Q5833" t="n">
        <v>59.7</v>
      </c>
      <c r="R5833" t="n">
        <v>51</v>
      </c>
      <c r="S5833" t="n">
        <v>1225000</v>
      </c>
      <c r="T5833" t="n">
        <v>11557</v>
      </c>
      <c r="AH5833" t="inlineStr">
        <is>
          <t>Quelle: Balearic Properties</t>
        </is>
      </c>
    </row>
    <row r="5834">
      <c r="A5834" t="n">
        <v>5647</v>
      </c>
      <c r="B5834" t="inlineStr">
        <is>
          <t>Spacious finca with a 6 hectare plot for sale in Puerto Andratx, Mallorca</t>
        </is>
      </c>
      <c r="C5834" t="inlineStr">
        <is>
          <t>https://www.balearic-properties.com/en/property/id/812468-finca-plot-privacy-mallorca-html</t>
        </is>
      </c>
      <c r="E5834" t="n">
        <v>4</v>
      </c>
      <c r="G5834" t="n">
        <v>61092</v>
      </c>
      <c r="H5834" t="n">
        <v>598</v>
      </c>
      <c r="J5834" t="inlineStr">
        <is>
          <t>Puerto Andratx</t>
        </is>
      </c>
      <c r="K5834" t="n">
        <v>43.5</v>
      </c>
      <c r="L5834" t="n">
        <v>38</v>
      </c>
      <c r="M5834" t="n">
        <v>86.2</v>
      </c>
      <c r="N5834" t="n">
        <v>71</v>
      </c>
      <c r="O5834" t="n">
        <v>6.3</v>
      </c>
      <c r="P5834" t="n">
        <v>11</v>
      </c>
      <c r="Q5834" t="n">
        <v>83.90000000000001</v>
      </c>
      <c r="R5834" t="n">
        <v>68</v>
      </c>
      <c r="S5834" t="n">
        <v>4650000</v>
      </c>
      <c r="T5834" t="n">
        <v>7776</v>
      </c>
      <c r="U5834" t="n">
        <v>76</v>
      </c>
      <c r="AH5834" t="inlineStr">
        <is>
          <t>Quelle: Balearic Properties</t>
        </is>
      </c>
    </row>
    <row r="5835">
      <c r="A5835" t="n">
        <v>5648</v>
      </c>
      <c r="B5835" t="inlineStr">
        <is>
          <t>Building plots for two luxury fincas for sale in Manacor, Mallorca</t>
        </is>
      </c>
      <c r="C5835" t="inlineStr">
        <is>
          <t>https://www.balearic-properties.com/en/property/id/828207-two-plots-luxury-fincas-manacor-mallorca-html</t>
        </is>
      </c>
      <c r="E5835" t="n">
        <v>6</v>
      </c>
      <c r="G5835" t="n">
        <v>129500</v>
      </c>
      <c r="H5835" t="n">
        <v>976</v>
      </c>
      <c r="J5835" t="inlineStr">
        <is>
          <t>Manacor</t>
        </is>
      </c>
      <c r="K5835" t="n">
        <v>49.2</v>
      </c>
      <c r="L5835" t="n">
        <v>44</v>
      </c>
      <c r="M5835" t="n">
        <v>40.3</v>
      </c>
      <c r="N5835" t="n">
        <v>45</v>
      </c>
      <c r="O5835" t="n">
        <v>83.40000000000001</v>
      </c>
      <c r="P5835" t="n">
        <v>68</v>
      </c>
      <c r="Q5835" t="n">
        <v>38</v>
      </c>
      <c r="R5835" t="n">
        <v>41</v>
      </c>
      <c r="S5835" t="n">
        <v>1495000</v>
      </c>
      <c r="T5835" t="n">
        <v>1532</v>
      </c>
      <c r="U5835" t="n">
        <v>12</v>
      </c>
      <c r="AH5835" t="inlineStr">
        <is>
          <t>Quelle: Balearic Properties</t>
        </is>
      </c>
    </row>
    <row r="5836">
      <c r="A5836" t="n">
        <v>5649</v>
      </c>
      <c r="B5836" t="inlineStr">
        <is>
          <t>Newly built semi-detached houses for sale with private garden and pool near Llucmajor, Mallorca</t>
        </is>
      </c>
      <c r="C5836" t="inlineStr">
        <is>
          <t>https://www.balearic-properties.com/en/property/id/827447-newly-built-semi-detached-houses-for-sale-with-private-garden-and-pool-near-llucmajor-mallorca</t>
        </is>
      </c>
      <c r="E5836" t="n">
        <v>4</v>
      </c>
      <c r="G5836" t="n">
        <v>300</v>
      </c>
      <c r="H5836" t="n">
        <v>174</v>
      </c>
      <c r="J5836" t="inlineStr">
        <is>
          <t>Puig de Ros</t>
        </is>
      </c>
      <c r="S5836" t="n">
        <v>999000</v>
      </c>
      <c r="T5836" t="n">
        <v>5741</v>
      </c>
      <c r="U5836" t="n">
        <v>3330</v>
      </c>
      <c r="AH5836" t="inlineStr">
        <is>
          <t>Quelle: Balearic Properties</t>
        </is>
      </c>
    </row>
    <row r="5837">
      <c r="A5837" t="n">
        <v>5650</v>
      </c>
      <c r="B5837" t="inlineStr">
        <is>
          <t>Newly built semi-detached houses for sale with private garden and pool near Llucmajor, Mallorca</t>
        </is>
      </c>
      <c r="C5837" t="inlineStr">
        <is>
          <t>https://www.balearic-properties.com/en/property/id/827329-newly-built-semi-detached-houses-for-sale-with-private-garden-and-pool-near-llucmajor-mallorca</t>
        </is>
      </c>
      <c r="E5837" t="n">
        <v>4</v>
      </c>
      <c r="G5837" t="n">
        <v>300</v>
      </c>
      <c r="H5837" t="n">
        <v>174</v>
      </c>
      <c r="J5837" t="inlineStr">
        <is>
          <t>Puig de Ros</t>
        </is>
      </c>
      <c r="K5837" t="n">
        <v>15.6</v>
      </c>
      <c r="L5837" t="n">
        <v>17</v>
      </c>
      <c r="M5837" t="n">
        <v>42.2</v>
      </c>
      <c r="N5837" t="n">
        <v>40</v>
      </c>
      <c r="O5837" t="n">
        <v>53.8</v>
      </c>
      <c r="P5837" t="n">
        <v>44</v>
      </c>
      <c r="Q5837" t="n">
        <v>39.9</v>
      </c>
      <c r="R5837" t="n">
        <v>37</v>
      </c>
      <c r="S5837" t="n">
        <v>1105000</v>
      </c>
      <c r="T5837" t="n">
        <v>6351</v>
      </c>
      <c r="U5837" t="n">
        <v>3683</v>
      </c>
      <c r="AH5837" t="inlineStr">
        <is>
          <t>Quelle: Balearic Properties</t>
        </is>
      </c>
    </row>
    <row r="5838">
      <c r="A5838" t="n">
        <v>5651</v>
      </c>
      <c r="B5838" t="inlineStr">
        <is>
          <t>Rustic finca in need of renovation for sale near Pollensa, Mallorca</t>
        </is>
      </c>
      <c r="C5838" t="inlineStr">
        <is>
          <t>https://www.balearic-properties.com/en/property/id/798137-finca-renovation-pollensa-html</t>
        </is>
      </c>
      <c r="E5838" t="n">
        <v>3</v>
      </c>
      <c r="G5838" t="n">
        <v>6754</v>
      </c>
      <c r="H5838" t="n">
        <v>187</v>
      </c>
      <c r="J5838" t="inlineStr">
        <is>
          <t>Vall de Son March</t>
        </is>
      </c>
      <c r="S5838" t="n">
        <v>790000</v>
      </c>
      <c r="T5838" t="n">
        <v>4225</v>
      </c>
      <c r="U5838" t="n">
        <v>117</v>
      </c>
      <c r="AH5838" t="inlineStr">
        <is>
          <t>Quelle: Balearic Properties</t>
        </is>
      </c>
    </row>
    <row r="5839">
      <c r="A5839" t="n">
        <v>5652</v>
      </c>
      <c r="B5839" t="inlineStr">
        <is>
          <t>Detached sea view villa for sale close to Puerto Alcúdia, Mallorca</t>
        </is>
      </c>
      <c r="C5839" t="inlineStr">
        <is>
          <t>https://www.balearic-properties.com/en/property/id/825353-seaview-villa-alcanada-puerto-alcudia-mallorca-html</t>
        </is>
      </c>
      <c r="E5839" t="n">
        <v>3</v>
      </c>
      <c r="G5839" t="n">
        <v>1000</v>
      </c>
      <c r="H5839" t="n">
        <v>300</v>
      </c>
      <c r="J5839" t="inlineStr">
        <is>
          <t>Alcanada</t>
        </is>
      </c>
      <c r="K5839" t="n">
        <v>64.2</v>
      </c>
      <c r="L5839" t="n">
        <v>48</v>
      </c>
      <c r="M5839" t="n">
        <v>82.3</v>
      </c>
      <c r="N5839" t="n">
        <v>75</v>
      </c>
      <c r="O5839" t="n">
        <v>86.8</v>
      </c>
      <c r="P5839" t="n">
        <v>64</v>
      </c>
      <c r="Q5839" t="n">
        <v>80</v>
      </c>
      <c r="R5839" t="n">
        <v>71</v>
      </c>
      <c r="S5839" t="n">
        <v>1950000</v>
      </c>
      <c r="T5839" t="n">
        <v>6500</v>
      </c>
      <c r="U5839" t="n">
        <v>1950</v>
      </c>
      <c r="AH5839" t="inlineStr">
        <is>
          <t>Quelle: Balearic Properties</t>
        </is>
      </c>
    </row>
    <row r="5840">
      <c r="A5840" t="n">
        <v>5653</v>
      </c>
      <c r="B5840" t="inlineStr">
        <is>
          <t>Enormous luxury leisure development for sale in Campos, Mallorca</t>
        </is>
      </c>
      <c r="C5840" t="inlineStr">
        <is>
          <t>https://www.balearic-properties.com/en/property/id/824989-enormous-luxury-estate-campos-mallorca-html</t>
        </is>
      </c>
      <c r="E5840" t="n">
        <v>10</v>
      </c>
      <c r="G5840" t="n">
        <v>2630000</v>
      </c>
      <c r="H5840" t="n">
        <v>4473</v>
      </c>
      <c r="J5840" t="inlineStr">
        <is>
          <t>Campos</t>
        </is>
      </c>
      <c r="K5840" t="n">
        <v>32.9</v>
      </c>
      <c r="L5840" t="n">
        <v>28</v>
      </c>
      <c r="M5840" t="n">
        <v>14.6</v>
      </c>
      <c r="N5840" t="n">
        <v>18</v>
      </c>
      <c r="O5840" t="n">
        <v>71.09999999999999</v>
      </c>
      <c r="P5840" t="n">
        <v>56</v>
      </c>
      <c r="Q5840" t="n">
        <v>12.3</v>
      </c>
      <c r="R5840" t="n">
        <v>14</v>
      </c>
      <c r="S5840" t="n">
        <v>17500000</v>
      </c>
      <c r="T5840" t="n">
        <v>3912</v>
      </c>
      <c r="U5840" t="n">
        <v>7</v>
      </c>
      <c r="AH5840" t="inlineStr">
        <is>
          <t>Quelle: Balearic Properties</t>
        </is>
      </c>
    </row>
    <row r="5841">
      <c r="A5841" t="n">
        <v>5654</v>
      </c>
      <c r="B5841" t="inlineStr">
        <is>
          <t>Country oasis with holiday rental license and tennis court for sale in Porreres, Mallorca</t>
        </is>
      </c>
      <c r="C5841" t="inlineStr">
        <is>
          <t>https://www.balearic-properties.com/en/property/id/825128-finca-holiday-license-tennis-court-porreres-mallorca-html</t>
        </is>
      </c>
      <c r="E5841" t="n">
        <v>5</v>
      </c>
      <c r="G5841" t="n">
        <v>30587</v>
      </c>
      <c r="H5841" t="n">
        <v>307</v>
      </c>
      <c r="J5841" t="inlineStr">
        <is>
          <t>Porreres</t>
        </is>
      </c>
      <c r="K5841" t="n">
        <v>35.9</v>
      </c>
      <c r="L5841" t="n">
        <v>34</v>
      </c>
      <c r="M5841" t="n">
        <v>27.6</v>
      </c>
      <c r="N5841" t="n">
        <v>32</v>
      </c>
      <c r="O5841" t="n">
        <v>69.3</v>
      </c>
      <c r="P5841" t="n">
        <v>59</v>
      </c>
      <c r="Q5841" t="n">
        <v>25.3</v>
      </c>
      <c r="R5841" t="n">
        <v>29</v>
      </c>
      <c r="S5841" t="n">
        <v>5750000</v>
      </c>
      <c r="T5841" t="n">
        <v>18730</v>
      </c>
      <c r="U5841" t="n">
        <v>188</v>
      </c>
      <c r="AH5841" t="inlineStr">
        <is>
          <t>Quelle: Balearic Properties</t>
        </is>
      </c>
    </row>
    <row r="5842">
      <c r="A5842" t="n">
        <v>5655</v>
      </c>
      <c r="B5842" t="inlineStr">
        <is>
          <t>Modern apartments with community pool, for sale in Palma, Mallorca</t>
        </is>
      </c>
      <c r="C5842" t="inlineStr">
        <is>
          <t>https://www.balearic-properties.com/en/property/id/806407-modern-apartments-with-community-pool-for-sale-in-palma-mallorca-html</t>
        </is>
      </c>
      <c r="E5842" t="n">
        <v>2</v>
      </c>
      <c r="G5842" t="n">
        <v>0</v>
      </c>
      <c r="H5842" t="n">
        <v>126</v>
      </c>
      <c r="J5842" t="inlineStr">
        <is>
          <t>Palma de Mallorca</t>
        </is>
      </c>
      <c r="K5842" t="n">
        <v>9.699999999999999</v>
      </c>
      <c r="L5842" t="n">
        <v>14</v>
      </c>
      <c r="M5842" t="n">
        <v>52.5</v>
      </c>
      <c r="N5842" t="n">
        <v>47</v>
      </c>
      <c r="O5842" t="n">
        <v>32.1</v>
      </c>
      <c r="P5842" t="n">
        <v>36</v>
      </c>
      <c r="Q5842" t="n">
        <v>50.2</v>
      </c>
      <c r="R5842" t="n">
        <v>44</v>
      </c>
      <c r="S5842" t="n">
        <v>1050250</v>
      </c>
      <c r="T5842" t="n">
        <v>8335</v>
      </c>
      <c r="AH5842" t="inlineStr">
        <is>
          <t>Quelle: Balearic Properties</t>
        </is>
      </c>
    </row>
    <row r="5843">
      <c r="A5843" t="n">
        <v>5656</v>
      </c>
      <c r="B5843" t="inlineStr">
        <is>
          <t>Project of luxury seafront villas for sale in Puerto Pollensa, Mallorca</t>
        </is>
      </c>
      <c r="C5843" t="inlineStr">
        <is>
          <t>https://www.balearic-properties.com/en/property/id/822121-project-luxury-seafront-villas-puerto-pollensa-mallorca-html</t>
        </is>
      </c>
      <c r="E5843" t="n">
        <v>4</v>
      </c>
      <c r="G5843" t="n">
        <v>800</v>
      </c>
      <c r="H5843" t="n">
        <v>460</v>
      </c>
      <c r="J5843" t="inlineStr">
        <is>
          <t>Port de Pollença</t>
        </is>
      </c>
      <c r="K5843" t="n">
        <v>66.90000000000001</v>
      </c>
      <c r="L5843" t="n">
        <v>52</v>
      </c>
      <c r="M5843" t="n">
        <v>85</v>
      </c>
      <c r="N5843" t="n">
        <v>78</v>
      </c>
      <c r="O5843" t="n">
        <v>89.5</v>
      </c>
      <c r="P5843" t="n">
        <v>68</v>
      </c>
      <c r="Q5843" t="n">
        <v>82.7</v>
      </c>
      <c r="R5843" t="n">
        <v>75</v>
      </c>
      <c r="S5843" t="n">
        <v>3600000</v>
      </c>
      <c r="T5843" t="n">
        <v>7826</v>
      </c>
      <c r="U5843" t="n">
        <v>4500</v>
      </c>
      <c r="AH5843" t="inlineStr">
        <is>
          <t>Quelle: Balearic Properties</t>
        </is>
      </c>
    </row>
    <row r="5844">
      <c r="A5844" t="n">
        <v>5657</v>
      </c>
      <c r="B5844" t="inlineStr">
        <is>
          <t>Stunning and luxurious country home with guest house for sale in Pollensa, Mallorca</t>
        </is>
      </c>
      <c r="C5844" t="inlineStr">
        <is>
          <t>https://www.balearic-properties.com/en/property/id/824314-finca-guesthouse-pollensa-mallorca-html</t>
        </is>
      </c>
      <c r="E5844" t="n">
        <v>6</v>
      </c>
      <c r="G5844" t="n">
        <v>14162</v>
      </c>
      <c r="H5844" t="n">
        <v>490</v>
      </c>
      <c r="J5844" t="inlineStr">
        <is>
          <t>Pollença</t>
        </is>
      </c>
      <c r="K5844" t="n">
        <v>60.6</v>
      </c>
      <c r="L5844" t="n">
        <v>47</v>
      </c>
      <c r="M5844" t="n">
        <v>78.7</v>
      </c>
      <c r="N5844" t="n">
        <v>74</v>
      </c>
      <c r="O5844" t="n">
        <v>83.2</v>
      </c>
      <c r="P5844" t="n">
        <v>63</v>
      </c>
      <c r="Q5844" t="n">
        <v>76.40000000000001</v>
      </c>
      <c r="R5844" t="n">
        <v>70</v>
      </c>
      <c r="S5844" t="n">
        <v>3375000</v>
      </c>
      <c r="T5844" t="n">
        <v>6888</v>
      </c>
      <c r="U5844" t="n">
        <v>238</v>
      </c>
      <c r="AH5844" t="inlineStr">
        <is>
          <t>Quelle: Balearic Properties</t>
        </is>
      </c>
    </row>
    <row r="5845">
      <c r="A5845" t="n">
        <v>5658</v>
      </c>
      <c r="B5845" t="inlineStr">
        <is>
          <t>Project of new houses for sale close to the beach in Puerto Alcudia, Mallorca</t>
        </is>
      </c>
      <c r="C5845" t="inlineStr">
        <is>
          <t>https://www.balearic-properties.com/en/property/id/823399-project-new-houses-beach-puerto-alcudia-mallorca-html</t>
        </is>
      </c>
      <c r="E5845" t="n">
        <v>3</v>
      </c>
      <c r="G5845" t="n">
        <v>56</v>
      </c>
      <c r="H5845" t="n">
        <v>96</v>
      </c>
      <c r="J5845" t="inlineStr">
        <is>
          <t>Puerto de Alcúdia</t>
        </is>
      </c>
      <c r="S5845" t="n">
        <v>595000</v>
      </c>
      <c r="T5845" t="n">
        <v>6198</v>
      </c>
      <c r="U5845" t="n">
        <v>10625</v>
      </c>
      <c r="AH5845" t="inlineStr">
        <is>
          <t>Quelle: Balearic Properties</t>
        </is>
      </c>
    </row>
    <row r="5846">
      <c r="A5846" t="n">
        <v>5659</v>
      </c>
      <c r="B5846" t="inlineStr">
        <is>
          <t>Wonderful country estate to reform for sale near Sineu, Mallorca</t>
        </is>
      </c>
      <c r="C5846" t="inlineStr">
        <is>
          <t>https://www.balearic-properties.com/en/property/id/820010-impressive-manor-house-sineu-mallorca-html</t>
        </is>
      </c>
      <c r="E5846" t="n">
        <v>7</v>
      </c>
      <c r="G5846" t="n">
        <v>759100</v>
      </c>
      <c r="H5846" t="n">
        <v>1743</v>
      </c>
      <c r="J5846" t="inlineStr">
        <is>
          <t>Lloret de Vistalegre</t>
        </is>
      </c>
      <c r="K5846" t="n">
        <v>33.2</v>
      </c>
      <c r="L5846" t="n">
        <v>36</v>
      </c>
      <c r="M5846" t="n">
        <v>47.7</v>
      </c>
      <c r="N5846" t="n">
        <v>51</v>
      </c>
      <c r="O5846" t="n">
        <v>65</v>
      </c>
      <c r="P5846" t="n">
        <v>57</v>
      </c>
      <c r="Q5846" t="n">
        <v>45.4</v>
      </c>
      <c r="R5846" t="n">
        <v>47</v>
      </c>
      <c r="S5846" t="n">
        <v>2710000</v>
      </c>
      <c r="T5846" t="n">
        <v>1555</v>
      </c>
      <c r="U5846" t="n">
        <v>4</v>
      </c>
      <c r="AH5846" t="inlineStr">
        <is>
          <t>Quelle: Balearic Properties</t>
        </is>
      </c>
    </row>
    <row r="5847">
      <c r="A5847" t="n">
        <v>5660</v>
      </c>
      <c r="B5847" t="inlineStr">
        <is>
          <t>Newly constructed country house for sale in Alucdia, North Mallorca</t>
        </is>
      </c>
      <c r="C5847" t="inlineStr">
        <is>
          <t>https://www.balearic-properties.com/en/property/id/805275-country-villa-pool-alcudia-mallorca-html</t>
        </is>
      </c>
      <c r="E5847" t="n">
        <v>4</v>
      </c>
      <c r="G5847" t="n">
        <v>35874</v>
      </c>
      <c r="H5847" t="n">
        <v>680</v>
      </c>
      <c r="J5847" t="inlineStr">
        <is>
          <t>Alcúdia</t>
        </is>
      </c>
      <c r="K5847" t="n">
        <v>61.6</v>
      </c>
      <c r="L5847" t="n">
        <v>47</v>
      </c>
      <c r="M5847" t="n">
        <v>79.7</v>
      </c>
      <c r="N5847" t="n">
        <v>74</v>
      </c>
      <c r="O5847" t="n">
        <v>84.2</v>
      </c>
      <c r="P5847" t="n">
        <v>63</v>
      </c>
      <c r="Q5847" t="n">
        <v>77.40000000000001</v>
      </c>
      <c r="R5847" t="n">
        <v>70</v>
      </c>
      <c r="S5847" t="n">
        <v>6000000</v>
      </c>
      <c r="T5847" t="n">
        <v>8824</v>
      </c>
      <c r="U5847" t="n">
        <v>167</v>
      </c>
      <c r="AH5847" t="inlineStr">
        <is>
          <t>Quelle: Balearic Properties</t>
        </is>
      </c>
    </row>
    <row r="5848">
      <c r="A5848" t="n">
        <v>5661</v>
      </c>
      <c r="B5848" t="inlineStr">
        <is>
          <t>Majestic country home with sea views for sale in Ses Salines, Mallorca</t>
        </is>
      </c>
      <c r="C5848" t="inlineStr">
        <is>
          <t>https://www.balearic-properties.com/en/property/id/822269-country-home-sea-views-ses-salines-mallorca-html</t>
        </is>
      </c>
      <c r="E5848" t="n">
        <v>5</v>
      </c>
      <c r="G5848" t="n">
        <v>15876</v>
      </c>
      <c r="H5848" t="n">
        <v>387</v>
      </c>
      <c r="J5848" t="inlineStr">
        <is>
          <t>Ses Salines</t>
        </is>
      </c>
      <c r="K5848" t="n">
        <v>44.5</v>
      </c>
      <c r="L5848" t="n">
        <v>39</v>
      </c>
      <c r="M5848" t="n">
        <v>2.4</v>
      </c>
      <c r="N5848" t="n">
        <v>5</v>
      </c>
      <c r="O5848" t="n">
        <v>82.7</v>
      </c>
      <c r="P5848" t="n">
        <v>67</v>
      </c>
      <c r="Q5848" t="n">
        <v>2</v>
      </c>
      <c r="R5848" t="n">
        <v>5</v>
      </c>
      <c r="S5848" t="n">
        <v>4950000</v>
      </c>
      <c r="T5848" t="n">
        <v>12791</v>
      </c>
      <c r="U5848" t="n">
        <v>312</v>
      </c>
      <c r="AH5848" t="inlineStr">
        <is>
          <t>Quelle: Balearic Properties</t>
        </is>
      </c>
    </row>
    <row r="5849">
      <c r="A5849" t="n">
        <v>5662</v>
      </c>
      <c r="B5849" t="inlineStr">
        <is>
          <t>Historic country estate for sale on a huge plot in Algaida, Mallorca</t>
        </is>
      </c>
      <c r="C5849" t="inlineStr">
        <is>
          <t>https://www.balearic-properties.com/en/property/id/819811-historic-estate-algaida-mallorca-html</t>
        </is>
      </c>
      <c r="E5849" t="n">
        <v>10</v>
      </c>
      <c r="G5849" t="n">
        <v>546661</v>
      </c>
      <c r="H5849" t="n">
        <v>1967</v>
      </c>
      <c r="J5849" t="inlineStr">
        <is>
          <t>Algaida</t>
        </is>
      </c>
      <c r="K5849" t="n">
        <v>20.1</v>
      </c>
      <c r="L5849" t="n">
        <v>21</v>
      </c>
      <c r="M5849" t="n">
        <v>39.8</v>
      </c>
      <c r="N5849" t="n">
        <v>41</v>
      </c>
      <c r="O5849" t="n">
        <v>54.4</v>
      </c>
      <c r="P5849" t="n">
        <v>46</v>
      </c>
      <c r="Q5849" t="n">
        <v>37.5</v>
      </c>
      <c r="R5849" t="n">
        <v>37</v>
      </c>
      <c r="S5849" t="n">
        <v>4200000</v>
      </c>
      <c r="T5849" t="n">
        <v>2135</v>
      </c>
      <c r="U5849" t="n">
        <v>8</v>
      </c>
      <c r="AH5849" t="inlineStr">
        <is>
          <t>Quelle: Balearic Properties</t>
        </is>
      </c>
    </row>
    <row r="5850">
      <c r="A5850" t="n">
        <v>5663</v>
      </c>
      <c r="B5850" t="inlineStr">
        <is>
          <t>Spectacular town house investment for sale in the centre of Pollensa, Mallorca</t>
        </is>
      </c>
      <c r="C5850" t="inlineStr">
        <is>
          <t>https://www.balearic-properties.com/en/property/id/760173-town-house-centre-investment-pollensa-mallorca-html</t>
        </is>
      </c>
      <c r="E5850" t="n">
        <v>5</v>
      </c>
      <c r="G5850" t="n">
        <v>196</v>
      </c>
      <c r="H5850" t="n">
        <v>415</v>
      </c>
      <c r="J5850" t="inlineStr">
        <is>
          <t>Pollença Pueblo</t>
        </is>
      </c>
      <c r="K5850" t="n">
        <v>60.6</v>
      </c>
      <c r="L5850" t="n">
        <v>47</v>
      </c>
      <c r="M5850" t="n">
        <v>78.7</v>
      </c>
      <c r="N5850" t="n">
        <v>74</v>
      </c>
      <c r="O5850" t="n">
        <v>83.2</v>
      </c>
      <c r="P5850" t="n">
        <v>63</v>
      </c>
      <c r="Q5850" t="n">
        <v>76.40000000000001</v>
      </c>
      <c r="R5850" t="n">
        <v>70</v>
      </c>
      <c r="S5850" t="n">
        <v>925000</v>
      </c>
      <c r="T5850" t="n">
        <v>2229</v>
      </c>
      <c r="U5850" t="n">
        <v>4719</v>
      </c>
      <c r="AH5850" t="inlineStr">
        <is>
          <t>Quelle: Balearic Properties</t>
        </is>
      </c>
    </row>
    <row r="5851">
      <c r="A5851" t="n">
        <v>5664</v>
      </c>
      <c r="B5851" t="inlineStr">
        <is>
          <t>Fantastic historic town house for sale in the centre of Sóller, Mallorca</t>
        </is>
      </c>
      <c r="C5851" t="inlineStr">
        <is>
          <t>https://www.balearic-properties.com/en/property/id/809017-fantastic-historic-townhouse-for-sale-in-the-centre-of-soller-mallorca-html</t>
        </is>
      </c>
      <c r="E5851" t="n">
        <v>10</v>
      </c>
      <c r="G5851" t="n">
        <v>231</v>
      </c>
      <c r="H5851" t="n">
        <v>790</v>
      </c>
      <c r="J5851" t="inlineStr">
        <is>
          <t>Sóller</t>
        </is>
      </c>
      <c r="K5851" t="n">
        <v>32.5</v>
      </c>
      <c r="L5851" t="n">
        <v>38</v>
      </c>
      <c r="M5851" t="n">
        <v>75.2</v>
      </c>
      <c r="N5851" t="n">
        <v>70</v>
      </c>
      <c r="O5851" t="n">
        <v>52.1</v>
      </c>
      <c r="P5851" t="n">
        <v>51</v>
      </c>
      <c r="Q5851" t="n">
        <v>72.90000000000001</v>
      </c>
      <c r="R5851" t="n">
        <v>67</v>
      </c>
      <c r="S5851" t="n">
        <v>1980000</v>
      </c>
      <c r="T5851" t="n">
        <v>2506</v>
      </c>
      <c r="U5851" t="n">
        <v>8571</v>
      </c>
      <c r="AH5851" t="inlineStr">
        <is>
          <t>Quelle: Balearic Properties</t>
        </is>
      </c>
    </row>
    <row r="5852">
      <c r="A5852" t="n">
        <v>5665</v>
      </c>
      <c r="B5852" t="inlineStr">
        <is>
          <t>Country estate with rental license for sale close to Pollensa, Mallorca</t>
        </is>
      </c>
      <c r="C5852" t="inlineStr">
        <is>
          <t>https://www.balearic-properties.com/en/property/id/730812-spectacular-finca-golf-pollensa-html</t>
        </is>
      </c>
      <c r="E5852" t="n">
        <v>5</v>
      </c>
      <c r="G5852" t="n">
        <v>16025</v>
      </c>
      <c r="H5852" t="n">
        <v>539</v>
      </c>
      <c r="J5852" t="inlineStr">
        <is>
          <t>Pollença</t>
        </is>
      </c>
      <c r="K5852" t="n">
        <v>60.6</v>
      </c>
      <c r="L5852" t="n">
        <v>47</v>
      </c>
      <c r="M5852" t="n">
        <v>78.7</v>
      </c>
      <c r="N5852" t="n">
        <v>74</v>
      </c>
      <c r="O5852" t="n">
        <v>83.2</v>
      </c>
      <c r="P5852" t="n">
        <v>63</v>
      </c>
      <c r="Q5852" t="n">
        <v>76.40000000000001</v>
      </c>
      <c r="R5852" t="n">
        <v>70</v>
      </c>
      <c r="S5852" t="n">
        <v>4950000</v>
      </c>
      <c r="T5852" t="n">
        <v>9184</v>
      </c>
      <c r="U5852" t="n">
        <v>309</v>
      </c>
      <c r="AH5852" t="inlineStr">
        <is>
          <t>Quelle: Balearic Properties</t>
        </is>
      </c>
    </row>
    <row r="5853">
      <c r="A5853" t="n">
        <v>5666</v>
      </c>
      <c r="B5853" t="inlineStr">
        <is>
          <t>Luxurious duplex apartment for sale in Palma Old Town, Mallorca</t>
        </is>
      </c>
      <c r="C5853" t="inlineStr">
        <is>
          <t>https://www.balearic-properties.com/en/property/id/724893-apartment-new-oldtown-palma-html</t>
        </is>
      </c>
      <c r="E5853" t="n">
        <v>2</v>
      </c>
      <c r="G5853" t="n">
        <v>0</v>
      </c>
      <c r="H5853" t="n">
        <v>212</v>
      </c>
      <c r="J5853" t="inlineStr">
        <is>
          <t>Palma Casco Antiguo</t>
        </is>
      </c>
      <c r="K5853" t="n">
        <v>9.699999999999999</v>
      </c>
      <c r="L5853" t="n">
        <v>14</v>
      </c>
      <c r="M5853" t="n">
        <v>52.5</v>
      </c>
      <c r="N5853" t="n">
        <v>47</v>
      </c>
      <c r="O5853" t="n">
        <v>32.1</v>
      </c>
      <c r="P5853" t="n">
        <v>36</v>
      </c>
      <c r="Q5853" t="n">
        <v>50.2</v>
      </c>
      <c r="R5853" t="n">
        <v>44</v>
      </c>
      <c r="S5853" t="n">
        <v>1775000</v>
      </c>
      <c r="T5853" t="n">
        <v>8373</v>
      </c>
      <c r="AH5853" t="inlineStr">
        <is>
          <t>Quelle: Balearic Properties</t>
        </is>
      </c>
    </row>
    <row r="5854">
      <c r="A5854" t="n">
        <v>5667</v>
      </c>
      <c r="B5854" t="inlineStr">
        <is>
          <t>Bright duplex apartment for sale in Old Town Palma, Mallorca</t>
        </is>
      </c>
      <c r="C5854" t="inlineStr">
        <is>
          <t>https://www.balearic-properties.com/en/property/id/724932-apartment-renovated-duplex-palma-html</t>
        </is>
      </c>
      <c r="E5854" t="n">
        <v>2</v>
      </c>
      <c r="G5854" t="n">
        <v>0</v>
      </c>
      <c r="H5854" t="n">
        <v>144</v>
      </c>
      <c r="J5854" t="inlineStr">
        <is>
          <t>Palma Casco Antiguo</t>
        </is>
      </c>
      <c r="K5854" t="n">
        <v>9.699999999999999</v>
      </c>
      <c r="L5854" t="n">
        <v>14</v>
      </c>
      <c r="M5854" t="n">
        <v>52.5</v>
      </c>
      <c r="N5854" t="n">
        <v>47</v>
      </c>
      <c r="O5854" t="n">
        <v>32.1</v>
      </c>
      <c r="P5854" t="n">
        <v>36</v>
      </c>
      <c r="Q5854" t="n">
        <v>50.2</v>
      </c>
      <c r="R5854" t="n">
        <v>44</v>
      </c>
      <c r="S5854" t="n">
        <v>1235000</v>
      </c>
      <c r="T5854" t="n">
        <v>8576</v>
      </c>
      <c r="AH5854" t="inlineStr">
        <is>
          <t>Quelle: Balearic Properties</t>
        </is>
      </c>
    </row>
    <row r="5855">
      <c r="A5855" t="n">
        <v>5668</v>
      </c>
      <c r="B5855" t="inlineStr">
        <is>
          <t>Large villa with private pool for sale in Palmanova, Mallorca</t>
        </is>
      </c>
      <c r="C5855" t="inlineStr">
        <is>
          <t>https://www.balearic-properties.com/en/property/id/811009-villa-pool-beach-palmanova-html</t>
        </is>
      </c>
      <c r="E5855" t="n">
        <v>5</v>
      </c>
      <c r="G5855" t="n">
        <v>1031</v>
      </c>
      <c r="H5855" t="n">
        <v>400</v>
      </c>
      <c r="J5855" t="inlineStr">
        <is>
          <t>Palmanova</t>
        </is>
      </c>
      <c r="K5855" t="n">
        <v>25.9</v>
      </c>
      <c r="L5855" t="n">
        <v>24</v>
      </c>
      <c r="M5855" t="n">
        <v>68.59999999999999</v>
      </c>
      <c r="N5855" t="n">
        <v>57</v>
      </c>
      <c r="O5855" t="n">
        <v>18.5</v>
      </c>
      <c r="P5855" t="n">
        <v>21</v>
      </c>
      <c r="Q5855" t="n">
        <v>66.3</v>
      </c>
      <c r="R5855" t="n">
        <v>54</v>
      </c>
      <c r="S5855" t="n">
        <v>2950000</v>
      </c>
      <c r="T5855" t="n">
        <v>7375</v>
      </c>
      <c r="U5855" t="n">
        <v>2861</v>
      </c>
      <c r="AH5855" t="inlineStr">
        <is>
          <t>Quelle: Balearic Properties</t>
        </is>
      </c>
    </row>
    <row r="5856">
      <c r="A5856" t="n">
        <v>5669</v>
      </c>
      <c r="B5856" t="inlineStr">
        <is>
          <t>Luxurious country property with vineyard for sale in Pollensa, Mallorca</t>
        </is>
      </c>
      <c r="C5856" t="inlineStr">
        <is>
          <t>https://www.balearic-properties.com/en/property/id/810770-luxurious-country-property-vineyard-pollensa-mallorca-html</t>
        </is>
      </c>
      <c r="E5856" t="n">
        <v>4</v>
      </c>
      <c r="G5856" t="n">
        <v>14800</v>
      </c>
      <c r="H5856" t="n">
        <v>565</v>
      </c>
      <c r="J5856" t="inlineStr">
        <is>
          <t>Pollença</t>
        </is>
      </c>
      <c r="K5856" t="n">
        <v>60.6</v>
      </c>
      <c r="L5856" t="n">
        <v>47</v>
      </c>
      <c r="M5856" t="n">
        <v>78.7</v>
      </c>
      <c r="N5856" t="n">
        <v>74</v>
      </c>
      <c r="O5856" t="n">
        <v>83.2</v>
      </c>
      <c r="P5856" t="n">
        <v>63</v>
      </c>
      <c r="Q5856" t="n">
        <v>76.40000000000001</v>
      </c>
      <c r="R5856" t="n">
        <v>70</v>
      </c>
      <c r="S5856" t="n">
        <v>4200000</v>
      </c>
      <c r="T5856" t="n">
        <v>7434</v>
      </c>
      <c r="U5856" t="n">
        <v>284</v>
      </c>
      <c r="AH5856" t="inlineStr">
        <is>
          <t>Quelle: Balearic Properties</t>
        </is>
      </c>
    </row>
    <row r="5857">
      <c r="A5857" t="n">
        <v>5670</v>
      </c>
      <c r="B5857" t="inlineStr">
        <is>
          <t>Renovated villa with private sea access for sale in Torrenova, Mallorca</t>
        </is>
      </c>
      <c r="C5857" t="inlineStr">
        <is>
          <t>https://www.balearic-properties.com/en/property/id/808773-renovated-villa-sea-mallorca-html</t>
        </is>
      </c>
      <c r="E5857" t="n">
        <v>4</v>
      </c>
      <c r="G5857" t="n">
        <v>1464</v>
      </c>
      <c r="H5857" t="n">
        <v>487</v>
      </c>
      <c r="J5857" t="inlineStr">
        <is>
          <t>Torrenova</t>
        </is>
      </c>
      <c r="K5857" t="n">
        <v>28.2</v>
      </c>
      <c r="L5857" t="n">
        <v>29</v>
      </c>
      <c r="M5857" t="n">
        <v>71</v>
      </c>
      <c r="N5857" t="n">
        <v>62</v>
      </c>
      <c r="O5857" t="n">
        <v>18.6</v>
      </c>
      <c r="P5857" t="n">
        <v>23</v>
      </c>
      <c r="Q5857" t="n">
        <v>68.7</v>
      </c>
      <c r="R5857" t="n">
        <v>58</v>
      </c>
      <c r="S5857" t="n">
        <v>8200000</v>
      </c>
      <c r="T5857" t="n">
        <v>16838</v>
      </c>
      <c r="U5857" t="n">
        <v>5601</v>
      </c>
      <c r="AH5857" t="inlineStr">
        <is>
          <t>Quelle: Balearic Properties</t>
        </is>
      </c>
    </row>
    <row r="5858">
      <c r="A5858" t="n">
        <v>5671</v>
      </c>
      <c r="B5858" t="inlineStr">
        <is>
          <t>Brand New duplex-penthouse for sale near Palma, Mallorca</t>
        </is>
      </c>
      <c r="C5858" t="inlineStr">
        <is>
          <t>https://www.balearic-properties.com/en/property/id/799223-duplex-penthouse-palma-cala-mayor-html</t>
        </is>
      </c>
      <c r="E5858" t="n">
        <v>3</v>
      </c>
      <c r="G5858" t="n">
        <v>0</v>
      </c>
      <c r="H5858" t="n">
        <v>283</v>
      </c>
      <c r="J5858" t="inlineStr">
        <is>
          <t>Cala Major</t>
        </is>
      </c>
      <c r="K5858" t="n">
        <v>19.7</v>
      </c>
      <c r="L5858" t="n">
        <v>19</v>
      </c>
      <c r="M5858" t="n">
        <v>62.5</v>
      </c>
      <c r="N5858" t="n">
        <v>52</v>
      </c>
      <c r="O5858" t="n">
        <v>26.3</v>
      </c>
      <c r="P5858" t="n">
        <v>24</v>
      </c>
      <c r="Q5858" t="n">
        <v>60.2</v>
      </c>
      <c r="R5858" t="n">
        <v>48</v>
      </c>
      <c r="S5858" t="n">
        <v>3500000</v>
      </c>
      <c r="T5858" t="n">
        <v>12367</v>
      </c>
      <c r="AH5858" t="inlineStr">
        <is>
          <t>Quelle: Balearic Properties</t>
        </is>
      </c>
    </row>
    <row r="5859">
      <c r="A5859" t="n">
        <v>5672</v>
      </c>
      <c r="B5859" t="inlineStr">
        <is>
          <t>Luxurious villa with sea access for sale Cala Vinyes , Mallorca</t>
        </is>
      </c>
      <c r="C5859" t="inlineStr">
        <is>
          <t>https://www.balearic-properties.com/en/property/id/808781-luxus-modern-sea-villa-mallorca-html</t>
        </is>
      </c>
      <c r="E5859" t="n">
        <v>6</v>
      </c>
      <c r="G5859" t="n">
        <v>1321</v>
      </c>
      <c r="H5859" t="n">
        <v>745</v>
      </c>
      <c r="J5859" t="inlineStr">
        <is>
          <t>Cala Vinyes</t>
        </is>
      </c>
      <c r="K5859" t="n">
        <v>31.5</v>
      </c>
      <c r="L5859" t="n">
        <v>31</v>
      </c>
      <c r="M5859" t="n">
        <v>74.3</v>
      </c>
      <c r="N5859" t="n">
        <v>64</v>
      </c>
      <c r="O5859" t="n">
        <v>20.4</v>
      </c>
      <c r="P5859" t="n">
        <v>25</v>
      </c>
      <c r="Q5859" t="n">
        <v>72</v>
      </c>
      <c r="R5859" t="n">
        <v>60</v>
      </c>
      <c r="S5859" t="n">
        <v>12000000</v>
      </c>
      <c r="T5859" t="n">
        <v>16107</v>
      </c>
      <c r="U5859" t="n">
        <v>9084</v>
      </c>
      <c r="AH5859" t="inlineStr">
        <is>
          <t>Quelle: Balearic Properties</t>
        </is>
      </c>
    </row>
    <row r="5860">
      <c r="A5860" t="n">
        <v>5673</v>
      </c>
      <c r="B5860" t="inlineStr">
        <is>
          <t>Historic town house with shop and roof terrace, for sale in Sóller, Mallorca</t>
        </is>
      </c>
      <c r="C5860" t="inlineStr">
        <is>
          <t>https://www.balearic-properties.com/en/property/id/808459-townhouse-shop-roof-terrace-soller-html</t>
        </is>
      </c>
      <c r="E5860" t="n">
        <v>6</v>
      </c>
      <c r="G5860" t="n">
        <v>0</v>
      </c>
      <c r="H5860" t="n">
        <v>240</v>
      </c>
      <c r="J5860" t="inlineStr">
        <is>
          <t>Sóller</t>
        </is>
      </c>
      <c r="K5860" t="n">
        <v>32.5</v>
      </c>
      <c r="L5860" t="n">
        <v>38</v>
      </c>
      <c r="M5860" t="n">
        <v>75.2</v>
      </c>
      <c r="N5860" t="n">
        <v>70</v>
      </c>
      <c r="O5860" t="n">
        <v>52.1</v>
      </c>
      <c r="P5860" t="n">
        <v>51</v>
      </c>
      <c r="Q5860" t="n">
        <v>72.90000000000001</v>
      </c>
      <c r="R5860" t="n">
        <v>67</v>
      </c>
      <c r="S5860" t="n">
        <v>2000000</v>
      </c>
      <c r="T5860" t="n">
        <v>8333</v>
      </c>
      <c r="AH5860" t="inlineStr">
        <is>
          <t>Quelle: Balearic Properties</t>
        </is>
      </c>
    </row>
    <row r="5861">
      <c r="A5861" t="n">
        <v>5674</v>
      </c>
      <c r="B5861" t="inlineStr">
        <is>
          <t>Mallorcan estate with 50 hectares of land for sale in Sant Llorenc, Mallorca</t>
        </is>
      </c>
      <c r="C5861" t="inlineStr">
        <is>
          <t>https://www.balearic-properties.com/en/property/id/805157-mallorcan-estate-sant-llorenc-html</t>
        </is>
      </c>
      <c r="E5861" t="n">
        <v>10</v>
      </c>
      <c r="G5861" t="n">
        <v>500108</v>
      </c>
      <c r="H5861" t="n">
        <v>673</v>
      </c>
      <c r="J5861" t="inlineStr">
        <is>
          <t>Sant Llorenç des Cardassar</t>
        </is>
      </c>
      <c r="K5861" t="n">
        <v>56.7</v>
      </c>
      <c r="L5861" t="n">
        <v>49</v>
      </c>
      <c r="M5861" t="n">
        <v>52</v>
      </c>
      <c r="N5861" t="n">
        <v>52</v>
      </c>
      <c r="O5861" t="n">
        <v>90.90000000000001</v>
      </c>
      <c r="P5861" t="n">
        <v>73</v>
      </c>
      <c r="Q5861" t="n">
        <v>49.7</v>
      </c>
      <c r="R5861" t="n">
        <v>48</v>
      </c>
      <c r="S5861" t="n">
        <v>2800000</v>
      </c>
      <c r="T5861" t="n">
        <v>4160</v>
      </c>
      <c r="U5861" t="n">
        <v>6</v>
      </c>
      <c r="AH5861" t="inlineStr">
        <is>
          <t>Quelle: Balearic Properties</t>
        </is>
      </c>
    </row>
    <row r="5862">
      <c r="A5862" t="n">
        <v>5675</v>
      </c>
      <c r="B5862" t="inlineStr">
        <is>
          <t>Frontline apartment for sale in Palma, Mallorca</t>
        </is>
      </c>
      <c r="C5862" t="inlineStr">
        <is>
          <t>https://www.balearic-properties.com/en/property/id/806689-apartment-palma-frontline-html</t>
        </is>
      </c>
      <c r="E5862" t="n">
        <v>2</v>
      </c>
      <c r="G5862" t="n">
        <v>0</v>
      </c>
      <c r="H5862" t="n">
        <v>113</v>
      </c>
      <c r="J5862" t="inlineStr">
        <is>
          <t>Palma de Mallorca</t>
        </is>
      </c>
      <c r="K5862" t="n">
        <v>9.699999999999999</v>
      </c>
      <c r="L5862" t="n">
        <v>14</v>
      </c>
      <c r="M5862" t="n">
        <v>52.5</v>
      </c>
      <c r="N5862" t="n">
        <v>47</v>
      </c>
      <c r="O5862" t="n">
        <v>32.1</v>
      </c>
      <c r="P5862" t="n">
        <v>36</v>
      </c>
      <c r="Q5862" t="n">
        <v>50.2</v>
      </c>
      <c r="R5862" t="n">
        <v>44</v>
      </c>
      <c r="S5862" t="n">
        <v>1050000</v>
      </c>
      <c r="T5862" t="n">
        <v>9292</v>
      </c>
      <c r="AH5862" t="inlineStr">
        <is>
          <t>Quelle: Balearic Properties</t>
        </is>
      </c>
    </row>
    <row r="5863">
      <c r="A5863" t="n">
        <v>5676</v>
      </c>
      <c r="B5863" t="inlineStr">
        <is>
          <t>Frontline apartment for sale in Palma, Mallorca</t>
        </is>
      </c>
      <c r="C5863" t="inlineStr">
        <is>
          <t>https://www.balearic-properties.com/en/property/id/806688-apartment-palma-frontline-html</t>
        </is>
      </c>
      <c r="E5863" t="n">
        <v>2</v>
      </c>
      <c r="G5863" t="n">
        <v>0</v>
      </c>
      <c r="H5863" t="n">
        <v>150</v>
      </c>
      <c r="J5863" t="inlineStr">
        <is>
          <t>Palma de Mallorca</t>
        </is>
      </c>
      <c r="K5863" t="n">
        <v>9.699999999999999</v>
      </c>
      <c r="L5863" t="n">
        <v>14</v>
      </c>
      <c r="M5863" t="n">
        <v>52.5</v>
      </c>
      <c r="N5863" t="n">
        <v>47</v>
      </c>
      <c r="O5863" t="n">
        <v>32.1</v>
      </c>
      <c r="P5863" t="n">
        <v>36</v>
      </c>
      <c r="Q5863" t="n">
        <v>50.2</v>
      </c>
      <c r="R5863" t="n">
        <v>44</v>
      </c>
      <c r="S5863" t="n">
        <v>1150000</v>
      </c>
      <c r="T5863" t="n">
        <v>7667</v>
      </c>
      <c r="AH5863" t="inlineStr">
        <is>
          <t>Quelle: Balearic Properties</t>
        </is>
      </c>
    </row>
    <row r="5864">
      <c r="A5864" t="n">
        <v>5677</v>
      </c>
      <c r="B5864" t="inlineStr">
        <is>
          <t>9.5 hectare plot of land with existing finca for sale in Pollensa, Mallorca</t>
        </is>
      </c>
      <c r="C5864" t="inlineStr">
        <is>
          <t>https://www.balearic-properties.com/en/property/id/804655-finca-plot-restoration-pollensa-html</t>
        </is>
      </c>
      <c r="E5864" t="n">
        <v>3</v>
      </c>
      <c r="G5864" t="n">
        <v>95000</v>
      </c>
      <c r="H5864" t="n">
        <v>272</v>
      </c>
      <c r="J5864" t="inlineStr">
        <is>
          <t>Pollença</t>
        </is>
      </c>
      <c r="K5864" t="n">
        <v>60.6</v>
      </c>
      <c r="L5864" t="n">
        <v>47</v>
      </c>
      <c r="M5864" t="n">
        <v>78.7</v>
      </c>
      <c r="N5864" t="n">
        <v>74</v>
      </c>
      <c r="O5864" t="n">
        <v>83.2</v>
      </c>
      <c r="P5864" t="n">
        <v>63</v>
      </c>
      <c r="Q5864" t="n">
        <v>76.40000000000001</v>
      </c>
      <c r="R5864" t="n">
        <v>70</v>
      </c>
      <c r="S5864" t="n">
        <v>2250000</v>
      </c>
      <c r="T5864" t="n">
        <v>8272</v>
      </c>
      <c r="U5864" t="n">
        <v>24</v>
      </c>
      <c r="AH5864" t="inlineStr">
        <is>
          <t>Quelle: Balearic Properties</t>
        </is>
      </c>
    </row>
    <row r="5865">
      <c r="A5865" t="n">
        <v>5678</v>
      </c>
      <c r="B5865" t="inlineStr">
        <is>
          <t>Town house to reform for sale in Pollensa</t>
        </is>
      </c>
      <c r="C5865" t="inlineStr">
        <is>
          <t>https://www.balearic-properties.com/en/property/id/775632-pollensa-townhouse-renovation-html</t>
        </is>
      </c>
      <c r="E5865" t="n">
        <v>3</v>
      </c>
      <c r="G5865" t="n">
        <v>108</v>
      </c>
      <c r="H5865" t="n">
        <v>230</v>
      </c>
      <c r="J5865" t="inlineStr">
        <is>
          <t>Pollença Pueblo</t>
        </is>
      </c>
      <c r="S5865" t="n">
        <v>460000</v>
      </c>
      <c r="T5865" t="n">
        <v>2000</v>
      </c>
      <c r="U5865" t="n">
        <v>4259</v>
      </c>
      <c r="AH5865" t="inlineStr">
        <is>
          <t>Quelle: Balearic Properties</t>
        </is>
      </c>
    </row>
    <row r="5866">
      <c r="A5866" t="n">
        <v>5679</v>
      </c>
      <c r="B5866" t="inlineStr">
        <is>
          <t>Luxurious villas in exclusive complex for sale in Porto Colom, Southeast Mallorca</t>
        </is>
      </c>
      <c r="C5866" t="inlineStr">
        <is>
          <t>https://www.balearic-properties.com/en/property/id/803937-sea-view-villa-porto-colom-html</t>
        </is>
      </c>
      <c r="E5866" t="n">
        <v>5</v>
      </c>
      <c r="G5866" t="n">
        <v>441</v>
      </c>
      <c r="H5866" t="n">
        <v>321</v>
      </c>
      <c r="J5866" t="inlineStr">
        <is>
          <t>Portocolom</t>
        </is>
      </c>
      <c r="K5866" t="n">
        <v>58.9</v>
      </c>
      <c r="L5866" t="n">
        <v>53</v>
      </c>
      <c r="M5866" t="n">
        <v>24.7</v>
      </c>
      <c r="N5866" t="n">
        <v>34</v>
      </c>
      <c r="O5866" t="n">
        <v>97.09999999999999</v>
      </c>
      <c r="P5866" t="n">
        <v>80</v>
      </c>
      <c r="Q5866" t="n">
        <v>26.2</v>
      </c>
      <c r="R5866" t="n">
        <v>36</v>
      </c>
      <c r="S5866" t="n">
        <v>1890000</v>
      </c>
      <c r="T5866" t="n">
        <v>5888</v>
      </c>
      <c r="U5866" t="n">
        <v>4286</v>
      </c>
      <c r="AH5866" t="inlineStr">
        <is>
          <t>Quelle: Balearic Properties</t>
        </is>
      </c>
    </row>
    <row r="5867">
      <c r="A5867" t="n">
        <v>5680</v>
      </c>
      <c r="B5867" t="inlineStr">
        <is>
          <t>Outstanding country property for sale in Porto Colom, Mallorca</t>
        </is>
      </c>
      <c r="C5867" t="inlineStr">
        <is>
          <t>https://www.balearic-properties.com/en/property/id/799283-country-property-portocolom-mallorca-html</t>
        </is>
      </c>
      <c r="E5867" t="n">
        <v>6</v>
      </c>
      <c r="G5867" t="n">
        <v>42000</v>
      </c>
      <c r="H5867" t="n">
        <v>600</v>
      </c>
      <c r="J5867" t="inlineStr">
        <is>
          <t>Felanitx</t>
        </is>
      </c>
      <c r="K5867" t="n">
        <v>45</v>
      </c>
      <c r="L5867" t="n">
        <v>40</v>
      </c>
      <c r="M5867" t="n">
        <v>26.8</v>
      </c>
      <c r="N5867" t="n">
        <v>30</v>
      </c>
      <c r="O5867" t="n">
        <v>83.2</v>
      </c>
      <c r="P5867" t="n">
        <v>68</v>
      </c>
      <c r="Q5867" t="n">
        <v>24.5</v>
      </c>
      <c r="R5867" t="n">
        <v>26</v>
      </c>
      <c r="S5867" t="n">
        <v>3200000</v>
      </c>
      <c r="T5867" t="n">
        <v>5333</v>
      </c>
      <c r="U5867" t="n">
        <v>76</v>
      </c>
      <c r="AH5867" t="inlineStr">
        <is>
          <t>Quelle: Balearic Properties</t>
        </is>
      </c>
    </row>
    <row r="5868">
      <c r="A5868" t="n">
        <v>5681</v>
      </c>
      <c r="B5868" t="inlineStr">
        <is>
          <t>Superb villa with holiday rental license for sale in Puerto Pollensa, Mallorca</t>
        </is>
      </c>
      <c r="C5868" t="inlineStr">
        <is>
          <t>https://www.balearic-properties.com/en/property/id/799131-villa-near-beach-puerto-pollensa-html</t>
        </is>
      </c>
      <c r="E5868" t="n">
        <v>4</v>
      </c>
      <c r="G5868" t="n">
        <v>2770</v>
      </c>
      <c r="H5868" t="n">
        <v>412</v>
      </c>
      <c r="J5868" t="inlineStr">
        <is>
          <t>Port de Pollença</t>
        </is>
      </c>
      <c r="S5868" t="n">
        <v>900000</v>
      </c>
      <c r="T5868" t="n">
        <v>2184</v>
      </c>
      <c r="U5868" t="n">
        <v>325</v>
      </c>
      <c r="AH5868" t="inlineStr">
        <is>
          <t>Quelle: Balearic Properties</t>
        </is>
      </c>
    </row>
    <row r="5869">
      <c r="A5869" t="n">
        <v>5682</v>
      </c>
      <c r="B5869" t="inlineStr">
        <is>
          <t>Frontline investment project for sale in Son Serra de Marina, Mallorca</t>
        </is>
      </c>
      <c r="C5869" t="inlineStr">
        <is>
          <t>https://www.balearic-properties.com/en/property/id/802519-investment-project-frontline-son-serra-de-marina-html</t>
        </is>
      </c>
      <c r="E5869" t="n">
        <v>3</v>
      </c>
      <c r="G5869" t="n">
        <v>451</v>
      </c>
      <c r="H5869" t="n">
        <v>146</v>
      </c>
      <c r="J5869" t="inlineStr">
        <is>
          <t>Son Serra de Marina</t>
        </is>
      </c>
      <c r="K5869" t="n">
        <v>69.59999999999999</v>
      </c>
      <c r="L5869" t="n">
        <v>59</v>
      </c>
      <c r="M5869" t="n">
        <v>64.90000000000001</v>
      </c>
      <c r="N5869" t="n">
        <v>63</v>
      </c>
      <c r="O5869" t="n">
        <v>91</v>
      </c>
      <c r="P5869" t="n">
        <v>76</v>
      </c>
      <c r="Q5869" t="n">
        <v>62.6</v>
      </c>
      <c r="R5869" t="n">
        <v>59</v>
      </c>
      <c r="S5869" t="n">
        <v>1400000</v>
      </c>
      <c r="T5869" t="n">
        <v>9589</v>
      </c>
      <c r="U5869" t="n">
        <v>3104</v>
      </c>
      <c r="AH5869" t="inlineStr">
        <is>
          <t>Quelle: Balearic Properties</t>
        </is>
      </c>
    </row>
    <row r="5870">
      <c r="A5870" t="n">
        <v>5683</v>
      </c>
      <c r="B5870" t="inlineStr">
        <is>
          <t>Frontline apartment for sale in Palma, Mallorca</t>
        </is>
      </c>
      <c r="C5870" t="inlineStr">
        <is>
          <t>https://www.balearic-properties.com/en/property/id/792814-apartment-palma-frontline-html</t>
        </is>
      </c>
      <c r="E5870" t="n">
        <v>2</v>
      </c>
      <c r="G5870" t="n">
        <v>0</v>
      </c>
      <c r="H5870" t="n">
        <v>112</v>
      </c>
      <c r="J5870" t="inlineStr">
        <is>
          <t>Palma de Mallorca</t>
        </is>
      </c>
      <c r="K5870" t="n">
        <v>9.699999999999999</v>
      </c>
      <c r="L5870" t="n">
        <v>14</v>
      </c>
      <c r="M5870" t="n">
        <v>52.5</v>
      </c>
      <c r="N5870" t="n">
        <v>47</v>
      </c>
      <c r="O5870" t="n">
        <v>32.1</v>
      </c>
      <c r="P5870" t="n">
        <v>36</v>
      </c>
      <c r="Q5870" t="n">
        <v>50.2</v>
      </c>
      <c r="R5870" t="n">
        <v>44</v>
      </c>
      <c r="S5870" t="n">
        <v>1200000</v>
      </c>
      <c r="T5870" t="n">
        <v>10714</v>
      </c>
      <c r="AH5870" t="inlineStr">
        <is>
          <t>Quelle: Balearic Properties</t>
        </is>
      </c>
    </row>
    <row r="5871">
      <c r="A5871" t="n">
        <v>5684</v>
      </c>
      <c r="B5871" t="inlineStr">
        <is>
          <t>Unique and authentic country estate for sale in Selva, Mallorca</t>
        </is>
      </c>
      <c r="C5871" t="inlineStr">
        <is>
          <t>https://www.balearic-properties.com/en/property/id/798622-estate-selva-mallorca-html</t>
        </is>
      </c>
      <c r="E5871" t="n">
        <v>7</v>
      </c>
      <c r="G5871" t="n">
        <v>1151000</v>
      </c>
      <c r="H5871" t="n">
        <v>1000</v>
      </c>
      <c r="J5871" t="inlineStr">
        <is>
          <t>Selva</t>
        </is>
      </c>
      <c r="K5871" t="n">
        <v>44.5</v>
      </c>
      <c r="L5871" t="n">
        <v>41</v>
      </c>
      <c r="M5871" t="n">
        <v>62.6</v>
      </c>
      <c r="N5871" t="n">
        <v>67</v>
      </c>
      <c r="O5871" t="n">
        <v>67.09999999999999</v>
      </c>
      <c r="P5871" t="n">
        <v>57</v>
      </c>
      <c r="Q5871" t="n">
        <v>60.3</v>
      </c>
      <c r="R5871" t="n">
        <v>64</v>
      </c>
      <c r="S5871" t="n">
        <v>6900000</v>
      </c>
      <c r="T5871" t="n">
        <v>6900</v>
      </c>
      <c r="U5871" t="n">
        <v>6</v>
      </c>
      <c r="AH5871" t="inlineStr">
        <is>
          <t>Quelle: Balearic Properties</t>
        </is>
      </c>
    </row>
    <row r="5872">
      <c r="A5872" t="n">
        <v>5685</v>
      </c>
      <c r="B5872" t="inlineStr">
        <is>
          <t>Impeccably finished modern villa for sale in Puerto Pollensa, Mallorca</t>
        </is>
      </c>
      <c r="C5872" t="inlineStr">
        <is>
          <t>https://www.balearic-properties.com/en/property/id/798608-contemporary-luxury-villa-pollensa-mallorca-html</t>
        </is>
      </c>
      <c r="E5872" t="n">
        <v>6</v>
      </c>
      <c r="G5872" t="n">
        <v>1080</v>
      </c>
      <c r="H5872" t="n">
        <v>588</v>
      </c>
      <c r="J5872" t="inlineStr">
        <is>
          <t>Gotmar</t>
        </is>
      </c>
      <c r="K5872" t="n">
        <v>66.2</v>
      </c>
      <c r="L5872" t="n">
        <v>50</v>
      </c>
      <c r="M5872" t="n">
        <v>84.3</v>
      </c>
      <c r="N5872" t="n">
        <v>77</v>
      </c>
      <c r="O5872" t="n">
        <v>88.8</v>
      </c>
      <c r="P5872" t="n">
        <v>66</v>
      </c>
      <c r="Q5872" t="n">
        <v>82</v>
      </c>
      <c r="R5872" t="n">
        <v>73</v>
      </c>
      <c r="S5872" t="n">
        <v>3950000</v>
      </c>
      <c r="T5872" t="n">
        <v>6718</v>
      </c>
      <c r="U5872" t="n">
        <v>3657</v>
      </c>
      <c r="AH5872" t="inlineStr">
        <is>
          <t>Quelle: Balearic Properties</t>
        </is>
      </c>
    </row>
    <row r="5873">
      <c r="A5873" t="n">
        <v>5686</v>
      </c>
      <c r="B5873" t="inlineStr">
        <is>
          <t>New state-of-the-art villas for sale in Puerto Pollensa, North Mallorca</t>
        </is>
      </c>
      <c r="C5873" t="inlineStr">
        <is>
          <t>https://www.balearic-properties.com/en/property/id/798609-villa-puerto-pollensa-mallorca-html</t>
        </is>
      </c>
      <c r="E5873" t="n">
        <v>6</v>
      </c>
      <c r="G5873" t="n">
        <v>1136</v>
      </c>
      <c r="H5873" t="n">
        <v>533</v>
      </c>
      <c r="J5873" t="inlineStr">
        <is>
          <t>Port de Pollença</t>
        </is>
      </c>
      <c r="K5873" t="n">
        <v>66.90000000000001</v>
      </c>
      <c r="L5873" t="n">
        <v>52</v>
      </c>
      <c r="M5873" t="n">
        <v>85</v>
      </c>
      <c r="N5873" t="n">
        <v>78</v>
      </c>
      <c r="O5873" t="n">
        <v>89.5</v>
      </c>
      <c r="P5873" t="n">
        <v>68</v>
      </c>
      <c r="Q5873" t="n">
        <v>82.7</v>
      </c>
      <c r="R5873" t="n">
        <v>75</v>
      </c>
      <c r="S5873" t="n">
        <v>2990000</v>
      </c>
      <c r="T5873" t="n">
        <v>5610</v>
      </c>
      <c r="U5873" t="n">
        <v>2632</v>
      </c>
      <c r="AH5873" t="inlineStr">
        <is>
          <t>Quelle: Balearic Properties</t>
        </is>
      </c>
    </row>
    <row r="5874">
      <c r="A5874" t="n">
        <v>5687</v>
      </c>
      <c r="B5874" t="inlineStr">
        <is>
          <t>Luxurious Penthouse close to sea for sale in Portixol, Palma de Mallorca</t>
        </is>
      </c>
      <c r="C5874" t="inlineStr">
        <is>
          <t>https://www.balearic-properties.com/en/property/id/798742-new-apartments-portixol-html</t>
        </is>
      </c>
      <c r="E5874" t="n">
        <v>2</v>
      </c>
      <c r="G5874" t="n">
        <v>0</v>
      </c>
      <c r="H5874" t="n">
        <v>275</v>
      </c>
      <c r="J5874" t="inlineStr">
        <is>
          <t>Palma de Mallorca</t>
        </is>
      </c>
      <c r="K5874" t="n">
        <v>9.699999999999999</v>
      </c>
      <c r="L5874" t="n">
        <v>14</v>
      </c>
      <c r="M5874" t="n">
        <v>52.5</v>
      </c>
      <c r="N5874" t="n">
        <v>47</v>
      </c>
      <c r="O5874" t="n">
        <v>32.1</v>
      </c>
      <c r="P5874" t="n">
        <v>36</v>
      </c>
      <c r="Q5874" t="n">
        <v>50.2</v>
      </c>
      <c r="R5874" t="n">
        <v>44</v>
      </c>
      <c r="S5874" t="n">
        <v>2050000</v>
      </c>
      <c r="T5874" t="n">
        <v>7455</v>
      </c>
      <c r="AH5874" t="inlineStr">
        <is>
          <t>Quelle: Balearic Properties</t>
        </is>
      </c>
    </row>
    <row r="5875">
      <c r="A5875" t="n">
        <v>5688</v>
      </c>
      <c r="B5875" t="inlineStr">
        <is>
          <t>Semi-detached country house for sale in the north of Andratx, Mallorca</t>
        </is>
      </c>
      <c r="C5875" t="inlineStr">
        <is>
          <t>https://www.balearic-properties.com/en/property/id/797442-andratx-country-house-html</t>
        </is>
      </c>
      <c r="E5875" t="n">
        <v>5</v>
      </c>
      <c r="G5875" t="n">
        <v>130000</v>
      </c>
      <c r="H5875" t="n">
        <v>320</v>
      </c>
      <c r="J5875" t="inlineStr">
        <is>
          <t>Puerto Andratx</t>
        </is>
      </c>
      <c r="K5875" t="n">
        <v>43.5</v>
      </c>
      <c r="L5875" t="n">
        <v>38</v>
      </c>
      <c r="M5875" t="n">
        <v>86.2</v>
      </c>
      <c r="N5875" t="n">
        <v>71</v>
      </c>
      <c r="O5875" t="n">
        <v>6.3</v>
      </c>
      <c r="P5875" t="n">
        <v>11</v>
      </c>
      <c r="Q5875" t="n">
        <v>83.90000000000001</v>
      </c>
      <c r="R5875" t="n">
        <v>68</v>
      </c>
      <c r="S5875" t="n">
        <v>3800000</v>
      </c>
      <c r="T5875" t="n">
        <v>11875</v>
      </c>
      <c r="U5875" t="n">
        <v>29</v>
      </c>
      <c r="AH5875" t="inlineStr">
        <is>
          <t>Quelle: Balearic Properties</t>
        </is>
      </c>
    </row>
    <row r="5876">
      <c r="A5876" t="n">
        <v>5689</v>
      </c>
      <c r="B5876" t="inlineStr">
        <is>
          <t>Rustic stone finca ideal for renovation for sale near Pollensa, Mallorca</t>
        </is>
      </c>
      <c r="C5876" t="inlineStr">
        <is>
          <t>https://www.balearic-properties.com/en/property/id/753393-rustic-finca-pollensa-html</t>
        </is>
      </c>
      <c r="E5876" t="n">
        <v>3</v>
      </c>
      <c r="G5876" t="n">
        <v>6097</v>
      </c>
      <c r="H5876" t="n">
        <v>452</v>
      </c>
      <c r="J5876" t="inlineStr">
        <is>
          <t>Vall de Son March</t>
        </is>
      </c>
      <c r="K5876" t="n">
        <v>55.7</v>
      </c>
      <c r="L5876" t="n">
        <v>43</v>
      </c>
      <c r="M5876" t="n">
        <v>62.1</v>
      </c>
      <c r="N5876" t="n">
        <v>67</v>
      </c>
      <c r="O5876" t="n">
        <v>78.3</v>
      </c>
      <c r="P5876" t="n">
        <v>59</v>
      </c>
      <c r="Q5876" t="n">
        <v>59.8</v>
      </c>
      <c r="R5876" t="n">
        <v>63</v>
      </c>
      <c r="S5876" t="n">
        <v>1600000</v>
      </c>
      <c r="T5876" t="n">
        <v>3540</v>
      </c>
      <c r="U5876" t="n">
        <v>262</v>
      </c>
      <c r="AH5876" t="inlineStr">
        <is>
          <t>Quelle: Balearic Properties</t>
        </is>
      </c>
    </row>
    <row r="5877">
      <c r="A5877" t="n">
        <v>5690</v>
      </c>
      <c r="B5877" t="inlineStr">
        <is>
          <t>Traditional Mallorcan country estate with sea views for sale in Escorca, Mallorca</t>
        </is>
      </c>
      <c r="C5877" t="inlineStr">
        <is>
          <t>https://www.balearic-properties.com/en/property/id/775509-estate-escorca-mallorca-html</t>
        </is>
      </c>
      <c r="E5877" t="n">
        <v>7</v>
      </c>
      <c r="G5877" t="n">
        <v>2500000</v>
      </c>
      <c r="H5877" t="n">
        <v>658</v>
      </c>
      <c r="J5877" t="inlineStr">
        <is>
          <t>Pollença</t>
        </is>
      </c>
      <c r="K5877" t="n">
        <v>60.6</v>
      </c>
      <c r="L5877" t="n">
        <v>47</v>
      </c>
      <c r="M5877" t="n">
        <v>78.7</v>
      </c>
      <c r="N5877" t="n">
        <v>74</v>
      </c>
      <c r="O5877" t="n">
        <v>83.2</v>
      </c>
      <c r="P5877" t="n">
        <v>63</v>
      </c>
      <c r="Q5877" t="n">
        <v>76.40000000000001</v>
      </c>
      <c r="R5877" t="n">
        <v>70</v>
      </c>
      <c r="S5877" t="n">
        <v>9000000</v>
      </c>
      <c r="T5877" t="n">
        <v>13678</v>
      </c>
      <c r="U5877" t="n">
        <v>4</v>
      </c>
      <c r="AH5877" t="inlineStr">
        <is>
          <t>Quelle: Balearic Properties</t>
        </is>
      </c>
    </row>
    <row r="5878">
      <c r="A5878" t="n">
        <v>5691</v>
      </c>
      <c r="B5878" t="inlineStr">
        <is>
          <t>Magnificent villa with panoramic views for sale in Canyamel, Mallorca</t>
        </is>
      </c>
      <c r="C5878" t="inlineStr">
        <is>
          <t>https://www.balearic-properties.com/en/property/id/694822-impressive-villa-canyamel-html</t>
        </is>
      </c>
      <c r="E5878" t="n">
        <v>4</v>
      </c>
      <c r="G5878" t="n">
        <v>3217</v>
      </c>
      <c r="H5878" t="n">
        <v>445</v>
      </c>
      <c r="J5878" t="inlineStr">
        <is>
          <t>Canyamel</t>
        </is>
      </c>
      <c r="K5878" t="n">
        <v>74.7</v>
      </c>
      <c r="L5878" t="n">
        <v>65</v>
      </c>
      <c r="M5878" t="n">
        <v>70.09999999999999</v>
      </c>
      <c r="N5878" t="n">
        <v>68</v>
      </c>
      <c r="O5878" t="n">
        <v>108.9</v>
      </c>
      <c r="P5878" t="n">
        <v>90</v>
      </c>
      <c r="Q5878" t="n">
        <v>67.8</v>
      </c>
      <c r="R5878" t="n">
        <v>65</v>
      </c>
      <c r="S5878" t="n">
        <v>2800000</v>
      </c>
      <c r="T5878" t="n">
        <v>6292</v>
      </c>
      <c r="U5878" t="n">
        <v>870</v>
      </c>
      <c r="AH5878" t="inlineStr">
        <is>
          <t>Quelle: Balearic Properties</t>
        </is>
      </c>
    </row>
    <row r="5879">
      <c r="A5879" t="n">
        <v>5692</v>
      </c>
      <c r="B5879" t="inlineStr">
        <is>
          <t>Sea view apartment for sale in Illetas, Mallorca</t>
        </is>
      </c>
      <c r="C5879" t="inlineStr">
        <is>
          <t>https://www.balearic-properties.com/en/property/id/788528-illetas-apartment-sea-view-html</t>
        </is>
      </c>
      <c r="E5879" t="n">
        <v>2</v>
      </c>
      <c r="G5879" t="n">
        <v>0</v>
      </c>
      <c r="H5879" t="n">
        <v>110</v>
      </c>
      <c r="J5879" t="inlineStr">
        <is>
          <t>Illetes</t>
        </is>
      </c>
      <c r="S5879" t="n">
        <v>848000</v>
      </c>
      <c r="T5879" t="n">
        <v>7709</v>
      </c>
      <c r="AH5879" t="inlineStr">
        <is>
          <t>Quelle: Balearic Properties</t>
        </is>
      </c>
    </row>
    <row r="5880">
      <c r="A5880" t="n">
        <v>5693</v>
      </c>
      <c r="B5880" t="inlineStr">
        <is>
          <t>Amazing stone villa with fantastic sea views for sale in Formentor, Mallorca</t>
        </is>
      </c>
      <c r="C5880" t="inlineStr">
        <is>
          <t>https://www.balearic-properties.com/en/property/id/766295-stunning-seaview-villa-formentor-mallorca-html</t>
        </is>
      </c>
      <c r="E5880" t="n">
        <v>4</v>
      </c>
      <c r="G5880" t="n">
        <v>3388</v>
      </c>
      <c r="H5880" t="n">
        <v>266</v>
      </c>
      <c r="J5880" t="inlineStr">
        <is>
          <t>Formentor</t>
        </is>
      </c>
      <c r="K5880" t="n">
        <v>68.8</v>
      </c>
      <c r="L5880" t="n">
        <v>55</v>
      </c>
      <c r="M5880" t="n">
        <v>86.90000000000001</v>
      </c>
      <c r="N5880" t="n">
        <v>82</v>
      </c>
      <c r="O5880" t="n">
        <v>91.40000000000001</v>
      </c>
      <c r="P5880" t="n">
        <v>71</v>
      </c>
      <c r="Q5880" t="n">
        <v>84.59999999999999</v>
      </c>
      <c r="R5880" t="n">
        <v>78</v>
      </c>
      <c r="S5880" t="n">
        <v>4500000</v>
      </c>
      <c r="T5880" t="n">
        <v>16917</v>
      </c>
      <c r="U5880" t="n">
        <v>1328</v>
      </c>
      <c r="AH5880" t="inlineStr">
        <is>
          <t>Quelle: Balearic Properties</t>
        </is>
      </c>
    </row>
    <row r="5881">
      <c r="A5881" t="n">
        <v>5694</v>
      </c>
      <c r="B5881" t="inlineStr">
        <is>
          <t>Charming country home with private pool for sale in Llucmajor, Mallorca</t>
        </is>
      </c>
      <c r="C5881" t="inlineStr">
        <is>
          <t>https://www.balearic-properties.com/en/property/id/781286-country-house-llucmajor-html</t>
        </is>
      </c>
      <c r="E5881" t="n">
        <v>4</v>
      </c>
      <c r="G5881" t="n">
        <v>8700</v>
      </c>
      <c r="H5881" t="n">
        <v>368</v>
      </c>
      <c r="J5881" t="inlineStr">
        <is>
          <t>Llucmajor</t>
        </is>
      </c>
      <c r="S5881" t="n">
        <v>945000</v>
      </c>
      <c r="T5881" t="n">
        <v>2568</v>
      </c>
      <c r="U5881" t="n">
        <v>109</v>
      </c>
      <c r="AH5881" t="inlineStr">
        <is>
          <t>Quelle: Balearic Properties</t>
        </is>
      </c>
    </row>
    <row r="5882">
      <c r="A5882" t="n">
        <v>5695</v>
      </c>
      <c r="B5882" t="inlineStr">
        <is>
          <t>Enormous Mallorca country property with investment potential for sale in Llubí, Mallorca</t>
        </is>
      </c>
      <c r="C5882" t="inlineStr">
        <is>
          <t>https://www.balearic-properties.com/en/property/id/779726-finca-inca-llubi-mallorca-html</t>
        </is>
      </c>
      <c r="E5882" t="n">
        <v>8</v>
      </c>
      <c r="G5882" t="n">
        <v>400000</v>
      </c>
      <c r="H5882" t="n">
        <v>2887</v>
      </c>
      <c r="J5882" t="inlineStr">
        <is>
          <t>Llubí</t>
        </is>
      </c>
      <c r="K5882" t="n">
        <v>46.1</v>
      </c>
      <c r="L5882" t="n">
        <v>38</v>
      </c>
      <c r="M5882" t="n">
        <v>50.9</v>
      </c>
      <c r="N5882" t="n">
        <v>54</v>
      </c>
      <c r="O5882" t="n">
        <v>68.7</v>
      </c>
      <c r="P5882" t="n">
        <v>54</v>
      </c>
      <c r="Q5882" t="n">
        <v>48.6</v>
      </c>
      <c r="R5882" t="n">
        <v>50</v>
      </c>
      <c r="S5882" t="n">
        <v>2950000</v>
      </c>
      <c r="T5882" t="n">
        <v>1022</v>
      </c>
      <c r="U5882" t="n">
        <v>7</v>
      </c>
      <c r="AH5882" t="inlineStr">
        <is>
          <t>Quelle: Balearic Properties</t>
        </is>
      </c>
    </row>
    <row r="5883">
      <c r="A5883" t="n">
        <v>5696</v>
      </c>
      <c r="B5883" t="inlineStr">
        <is>
          <t>Magnificent palatial town house for sale with amazing views and rental license North Mallorca</t>
        </is>
      </c>
      <c r="C5883" t="inlineStr">
        <is>
          <t>https://www.balearic-properties.com/en/property/id/779527-mallorca-townhouse-muro-html</t>
        </is>
      </c>
      <c r="E5883" t="n">
        <v>5</v>
      </c>
      <c r="G5883" t="n">
        <v>3374</v>
      </c>
      <c r="H5883" t="n">
        <v>1051</v>
      </c>
      <c r="J5883" t="inlineStr">
        <is>
          <t>Muro</t>
        </is>
      </c>
      <c r="K5883" t="n">
        <v>58.2</v>
      </c>
      <c r="L5883" t="n">
        <v>46</v>
      </c>
      <c r="M5883" t="n">
        <v>60.2</v>
      </c>
      <c r="N5883" t="n">
        <v>64</v>
      </c>
      <c r="O5883" t="n">
        <v>80.8</v>
      </c>
      <c r="P5883" t="n">
        <v>62</v>
      </c>
      <c r="Q5883" t="n">
        <v>57.9</v>
      </c>
      <c r="R5883" t="n">
        <v>61</v>
      </c>
      <c r="S5883" t="n">
        <v>1300000</v>
      </c>
      <c r="T5883" t="n">
        <v>1237</v>
      </c>
      <c r="U5883" t="n">
        <v>385</v>
      </c>
      <c r="AH5883" t="inlineStr">
        <is>
          <t>Quelle: Balearic Properties</t>
        </is>
      </c>
    </row>
    <row r="5884">
      <c r="A5884" t="n">
        <v>5697</v>
      </c>
      <c r="B5884" t="inlineStr">
        <is>
          <t>Town house to reform for sale in Pollensa, Mallorca</t>
        </is>
      </c>
      <c r="C5884" t="inlineStr">
        <is>
          <t>https://www.balearic-properties.com/en/property/id/778210-reform-townhouse-pollensa-mallorca-html</t>
        </is>
      </c>
      <c r="E5884" t="n">
        <v>5</v>
      </c>
      <c r="G5884" t="n">
        <v>82</v>
      </c>
      <c r="H5884" t="n">
        <v>196</v>
      </c>
      <c r="J5884" t="inlineStr">
        <is>
          <t>Pollença Pueblo</t>
        </is>
      </c>
      <c r="K5884" t="n">
        <v>60.6</v>
      </c>
      <c r="L5884" t="n">
        <v>47</v>
      </c>
      <c r="M5884" t="n">
        <v>78.7</v>
      </c>
      <c r="N5884" t="n">
        <v>74</v>
      </c>
      <c r="O5884" t="n">
        <v>83.2</v>
      </c>
      <c r="P5884" t="n">
        <v>63</v>
      </c>
      <c r="Q5884" t="n">
        <v>76.40000000000001</v>
      </c>
      <c r="R5884" t="n">
        <v>70</v>
      </c>
      <c r="S5884" t="n">
        <v>500000</v>
      </c>
      <c r="T5884" t="n">
        <v>2551</v>
      </c>
      <c r="U5884" t="n">
        <v>6098</v>
      </c>
      <c r="AH5884" t="inlineStr">
        <is>
          <t>Quelle: Balearic Properties</t>
        </is>
      </c>
    </row>
    <row r="5885">
      <c r="A5885" t="n">
        <v>5698</v>
      </c>
      <c r="B5885" t="inlineStr">
        <is>
          <t>Villa in urban area with large patio and pool for sale in Can Picafort, Mallorca</t>
        </is>
      </c>
      <c r="C5885" t="inlineStr">
        <is>
          <t>https://www.balearic-properties.com/en/property/id/774571-villa-can-picafort-html</t>
        </is>
      </c>
      <c r="E5885" t="n">
        <v>5</v>
      </c>
      <c r="G5885" t="n">
        <v>1102</v>
      </c>
      <c r="H5885" t="n">
        <v>719</v>
      </c>
      <c r="J5885" t="inlineStr">
        <is>
          <t>Can Picafort</t>
        </is>
      </c>
      <c r="K5885" t="n">
        <v>64.8</v>
      </c>
      <c r="L5885" t="n">
        <v>54</v>
      </c>
      <c r="M5885" t="n">
        <v>61.4</v>
      </c>
      <c r="N5885" t="n">
        <v>65</v>
      </c>
      <c r="O5885" t="n">
        <v>87.40000000000001</v>
      </c>
      <c r="P5885" t="n">
        <v>70</v>
      </c>
      <c r="Q5885" t="n">
        <v>59.1</v>
      </c>
      <c r="R5885" t="n">
        <v>61</v>
      </c>
      <c r="S5885" t="n">
        <v>2900000</v>
      </c>
      <c r="T5885" t="n">
        <v>4033</v>
      </c>
      <c r="U5885" t="n">
        <v>2632</v>
      </c>
      <c r="AH5885" t="inlineStr">
        <is>
          <t>Quelle: Balearic Properties</t>
        </is>
      </c>
    </row>
    <row r="5886">
      <c r="A5886" t="n">
        <v>5699</v>
      </c>
      <c r="B5886" t="inlineStr">
        <is>
          <t>Investment oportunity to reform old finca in the Serra de Tramuntana between Alaro and Orient, Mallorca</t>
        </is>
      </c>
      <c r="C5886" t="inlineStr">
        <is>
          <t>https://www.balearic-properties.com/en/property/id/767879-investment-oportunity-to-reform-old-finca-in-the-serra-de-tramuntana-between-alaro-and-orient-mallorca-html</t>
        </is>
      </c>
      <c r="E5886" t="n">
        <v>5</v>
      </c>
      <c r="G5886" t="n">
        <v>175000</v>
      </c>
      <c r="H5886" t="n">
        <v>300</v>
      </c>
      <c r="J5886" t="inlineStr">
        <is>
          <t>Alaró</t>
        </is>
      </c>
      <c r="K5886" t="n">
        <v>33.4</v>
      </c>
      <c r="L5886" t="n">
        <v>33</v>
      </c>
      <c r="M5886" t="n">
        <v>76.09999999999999</v>
      </c>
      <c r="N5886" t="n">
        <v>66</v>
      </c>
      <c r="O5886" t="n">
        <v>55.9</v>
      </c>
      <c r="P5886" t="n">
        <v>49</v>
      </c>
      <c r="Q5886" t="n">
        <v>73.8</v>
      </c>
      <c r="R5886" t="n">
        <v>62</v>
      </c>
      <c r="S5886" t="n">
        <v>1490000</v>
      </c>
      <c r="T5886" t="n">
        <v>4967</v>
      </c>
      <c r="U5886" t="n">
        <v>9</v>
      </c>
      <c r="AH5886" t="inlineStr">
        <is>
          <t>Quelle: Balearic Properties</t>
        </is>
      </c>
    </row>
    <row r="5887">
      <c r="A5887" t="n">
        <v>5700</v>
      </c>
      <c r="B5887" t="inlineStr">
        <is>
          <t>Country property with holiday rental license for sale in Alqueria Blanca, Mallorca</t>
        </is>
      </c>
      <c r="C5887" t="inlineStr">
        <is>
          <t>https://www.balearic-properties.com/en/property/id/766153-alqueria-blanca-finca-html</t>
        </is>
      </c>
      <c r="E5887" t="n">
        <v>5</v>
      </c>
      <c r="G5887" t="n">
        <v>30000</v>
      </c>
      <c r="H5887" t="n">
        <v>660</v>
      </c>
      <c r="J5887" t="inlineStr">
        <is>
          <t>Alqueria Blanca</t>
        </is>
      </c>
      <c r="K5887" t="n">
        <v>50</v>
      </c>
      <c r="L5887" t="n">
        <v>44</v>
      </c>
      <c r="M5887" t="n">
        <v>13.8</v>
      </c>
      <c r="N5887" t="n">
        <v>20</v>
      </c>
      <c r="O5887" t="n">
        <v>88.2</v>
      </c>
      <c r="P5887" t="n">
        <v>71</v>
      </c>
      <c r="Q5887" t="n">
        <v>15.2</v>
      </c>
      <c r="R5887" t="n">
        <v>22</v>
      </c>
      <c r="S5887" t="n">
        <v>3150000</v>
      </c>
      <c r="T5887" t="n">
        <v>4773</v>
      </c>
      <c r="U5887" t="n">
        <v>105</v>
      </c>
      <c r="AH5887" t="inlineStr">
        <is>
          <t>Quelle: Balearic Properties</t>
        </is>
      </c>
    </row>
    <row r="5888">
      <c r="A5888" t="n">
        <v>5701</v>
      </c>
      <c r="B5888" t="inlineStr">
        <is>
          <t>Stately country property for sale, Pollensa, Mallorca</t>
        </is>
      </c>
      <c r="C5888" t="inlineStr">
        <is>
          <t>https://www.balearic-properties.com/en/property/id/759324-country-property-pollensa-html</t>
        </is>
      </c>
      <c r="E5888" t="n">
        <v>10</v>
      </c>
      <c r="G5888" t="n">
        <v>76000</v>
      </c>
      <c r="H5888" t="n">
        <v>1000</v>
      </c>
      <c r="J5888" t="inlineStr">
        <is>
          <t>Pollença</t>
        </is>
      </c>
      <c r="K5888" t="n">
        <v>60.6</v>
      </c>
      <c r="L5888" t="n">
        <v>47</v>
      </c>
      <c r="M5888" t="n">
        <v>78.7</v>
      </c>
      <c r="N5888" t="n">
        <v>74</v>
      </c>
      <c r="O5888" t="n">
        <v>83.2</v>
      </c>
      <c r="P5888" t="n">
        <v>63</v>
      </c>
      <c r="Q5888" t="n">
        <v>76.40000000000001</v>
      </c>
      <c r="R5888" t="n">
        <v>70</v>
      </c>
      <c r="S5888" t="n">
        <v>3500000</v>
      </c>
      <c r="T5888" t="n">
        <v>3500</v>
      </c>
      <c r="U5888" t="n">
        <v>46</v>
      </c>
      <c r="AH5888" t="inlineStr">
        <is>
          <t>Quelle: Balearic Properties</t>
        </is>
      </c>
    </row>
    <row r="5889">
      <c r="A5889" t="n">
        <v>5702</v>
      </c>
      <c r="B5889" t="inlineStr">
        <is>
          <t>Stone finca with guest house and huge plot for sale in Port Alcudia, Mallorca</t>
        </is>
      </c>
      <c r="C5889" t="inlineStr">
        <is>
          <t>https://www.balearic-properties.com/en/property/id/757322-finca-port-alcudia-html</t>
        </is>
      </c>
      <c r="E5889" t="n">
        <v>5</v>
      </c>
      <c r="G5889" t="n">
        <v>45000</v>
      </c>
      <c r="H5889" t="n">
        <v>445</v>
      </c>
      <c r="J5889" t="inlineStr">
        <is>
          <t>Alcúdia</t>
        </is>
      </c>
      <c r="K5889" t="n">
        <v>61.6</v>
      </c>
      <c r="L5889" t="n">
        <v>47</v>
      </c>
      <c r="M5889" t="n">
        <v>79.7</v>
      </c>
      <c r="N5889" t="n">
        <v>74</v>
      </c>
      <c r="O5889" t="n">
        <v>84.2</v>
      </c>
      <c r="P5889" t="n">
        <v>63</v>
      </c>
      <c r="Q5889" t="n">
        <v>77.40000000000001</v>
      </c>
      <c r="R5889" t="n">
        <v>70</v>
      </c>
      <c r="S5889" t="n">
        <v>1600000</v>
      </c>
      <c r="T5889" t="n">
        <v>3596</v>
      </c>
      <c r="U5889" t="n">
        <v>36</v>
      </c>
      <c r="AH5889" t="inlineStr">
        <is>
          <t>Quelle: Balearic Properties</t>
        </is>
      </c>
    </row>
    <row r="5890">
      <c r="A5890" t="n">
        <v>5703</v>
      </c>
      <c r="B5890" t="inlineStr">
        <is>
          <t>Sea front estate for sale in Pollensa bay, Mallorca</t>
        </is>
      </c>
      <c r="C5890" t="inlineStr">
        <is>
          <t>https://www.balearic-properties.com/en/property/id/723120-luxury-frontline-villa-manresa-mallorca-html</t>
        </is>
      </c>
      <c r="E5890" t="n">
        <v>2</v>
      </c>
      <c r="G5890" t="n">
        <v>13950</v>
      </c>
      <c r="H5890" t="n">
        <v>315</v>
      </c>
      <c r="J5890" t="inlineStr">
        <is>
          <t>Mal Pas</t>
        </is>
      </c>
      <c r="K5890" t="n">
        <v>63.3</v>
      </c>
      <c r="L5890" t="n">
        <v>51</v>
      </c>
      <c r="M5890" t="n">
        <v>81.40000000000001</v>
      </c>
      <c r="N5890" t="n">
        <v>78</v>
      </c>
      <c r="O5890" t="n">
        <v>85.90000000000001</v>
      </c>
      <c r="P5890" t="n">
        <v>67</v>
      </c>
      <c r="Q5890" t="n">
        <v>79.09999999999999</v>
      </c>
      <c r="R5890" t="n">
        <v>74</v>
      </c>
      <c r="S5890" t="n">
        <v>7500000</v>
      </c>
      <c r="T5890" t="n">
        <v>23810</v>
      </c>
      <c r="U5890" t="n">
        <v>538</v>
      </c>
      <c r="AH5890" t="inlineStr">
        <is>
          <t>Quelle: Balearic Properties</t>
        </is>
      </c>
    </row>
    <row r="5891">
      <c r="A5891" t="n">
        <v>5704</v>
      </c>
      <c r="B5891" t="inlineStr">
        <is>
          <t>Finca for sale in San Lorenzo, Mallorca</t>
        </is>
      </c>
      <c r="C5891" t="inlineStr">
        <is>
          <t>https://www.balearic-properties.com/en/property/id/731425-finca-san-lorenzo-html</t>
        </is>
      </c>
      <c r="E5891" t="n">
        <v>10</v>
      </c>
      <c r="G5891" t="n">
        <v>70000</v>
      </c>
      <c r="H5891" t="n">
        <v>3000</v>
      </c>
      <c r="J5891" t="inlineStr">
        <is>
          <t>Sant Llorenç des Cardassar</t>
        </is>
      </c>
      <c r="K5891" t="n">
        <v>56.7</v>
      </c>
      <c r="L5891" t="n">
        <v>49</v>
      </c>
      <c r="M5891" t="n">
        <v>52</v>
      </c>
      <c r="N5891" t="n">
        <v>52</v>
      </c>
      <c r="O5891" t="n">
        <v>90.90000000000001</v>
      </c>
      <c r="P5891" t="n">
        <v>73</v>
      </c>
      <c r="Q5891" t="n">
        <v>49.7</v>
      </c>
      <c r="R5891" t="n">
        <v>48</v>
      </c>
      <c r="S5891" t="n">
        <v>8500000</v>
      </c>
      <c r="T5891" t="n">
        <v>2833</v>
      </c>
      <c r="U5891" t="n">
        <v>121</v>
      </c>
      <c r="AH5891" t="inlineStr">
        <is>
          <t>Quelle: Balearic Properties</t>
        </is>
      </c>
    </row>
    <row r="5892">
      <c r="A5892" t="n">
        <v>5705</v>
      </c>
      <c r="B5892" t="inlineStr">
        <is>
          <t>Impressive country house for sale in Pollensa, Mallorca</t>
        </is>
      </c>
      <c r="C5892" t="inlineStr">
        <is>
          <t>https://www.balearic-properties.com/en/property/id/714106-mallorca-finca-pollensa-html</t>
        </is>
      </c>
      <c r="E5892" t="n">
        <v>6</v>
      </c>
      <c r="G5892" t="n">
        <v>26000</v>
      </c>
      <c r="H5892" t="n">
        <v>240</v>
      </c>
      <c r="J5892" t="inlineStr">
        <is>
          <t>Pollença</t>
        </is>
      </c>
      <c r="K5892" t="n">
        <v>60.6</v>
      </c>
      <c r="L5892" t="n">
        <v>47</v>
      </c>
      <c r="M5892" t="n">
        <v>78.7</v>
      </c>
      <c r="N5892" t="n">
        <v>74</v>
      </c>
      <c r="O5892" t="n">
        <v>83.2</v>
      </c>
      <c r="P5892" t="n">
        <v>63</v>
      </c>
      <c r="Q5892" t="n">
        <v>76.40000000000001</v>
      </c>
      <c r="R5892" t="n">
        <v>70</v>
      </c>
      <c r="AH5892" t="inlineStr">
        <is>
          <t>Quelle: Balearic Properties</t>
        </is>
      </c>
    </row>
    <row r="5893">
      <c r="A5893" t="n">
        <v>5706</v>
      </c>
      <c r="B5893" t="inlineStr">
        <is>
          <t>Rural house with pool and privacy for sale in Puigpunyent, Mallorca</t>
        </is>
      </c>
      <c r="C5893" t="inlineStr">
        <is>
          <t>https://www.balearic-properties.com/en/property/id/709093-villa-puigpunyent-html</t>
        </is>
      </c>
      <c r="E5893" t="n">
        <v>2</v>
      </c>
      <c r="G5893" t="n">
        <v>4800</v>
      </c>
      <c r="H5893" t="n">
        <v>130</v>
      </c>
      <c r="J5893" t="inlineStr">
        <is>
          <t>Puigpunyent</t>
        </is>
      </c>
      <c r="S5893" t="n">
        <v>799000</v>
      </c>
      <c r="T5893" t="n">
        <v>6146</v>
      </c>
      <c r="U5893" t="n">
        <v>166</v>
      </c>
      <c r="AH5893" t="inlineStr">
        <is>
          <t>Quelle: Balearic Properties</t>
        </is>
      </c>
    </row>
    <row r="5894">
      <c r="A5894" t="n">
        <v>5707</v>
      </c>
      <c r="B5894" t="inlineStr">
        <is>
          <t>Incredible hillside villa with guest apartment for sale in Canyamel, Mallorca</t>
        </is>
      </c>
      <c r="C5894" t="inlineStr">
        <is>
          <t>https://www.balearic-properties.com/en/property/id/694765-luxury-villa-canyamel-html</t>
        </is>
      </c>
      <c r="E5894" t="n">
        <v>6</v>
      </c>
      <c r="G5894" t="n">
        <v>2575</v>
      </c>
      <c r="H5894" t="n">
        <v>645</v>
      </c>
      <c r="J5894" t="inlineStr">
        <is>
          <t>Canyamel</t>
        </is>
      </c>
      <c r="K5894" t="n">
        <v>74.7</v>
      </c>
      <c r="L5894" t="n">
        <v>65</v>
      </c>
      <c r="M5894" t="n">
        <v>70.09999999999999</v>
      </c>
      <c r="N5894" t="n">
        <v>68</v>
      </c>
      <c r="O5894" t="n">
        <v>108.9</v>
      </c>
      <c r="P5894" t="n">
        <v>90</v>
      </c>
      <c r="Q5894" t="n">
        <v>67.8</v>
      </c>
      <c r="R5894" t="n">
        <v>65</v>
      </c>
      <c r="S5894" t="n">
        <v>4900000</v>
      </c>
      <c r="T5894" t="n">
        <v>7597</v>
      </c>
      <c r="U5894" t="n">
        <v>1903</v>
      </c>
      <c r="AH5894" t="inlineStr">
        <is>
          <t>Quelle: Balearic Properties</t>
        </is>
      </c>
    </row>
    <row r="5895">
      <c r="A5895" t="n">
        <v>5708</v>
      </c>
      <c r="B5895" t="inlineStr">
        <is>
          <t>First class luxury villa for sale by the golf course in Canyamel, Mallorca</t>
        </is>
      </c>
      <c r="C5895" t="inlineStr">
        <is>
          <t>https://www.balearic-properties.com/en/property/id/694786-fantastic-villa-canyamel-html</t>
        </is>
      </c>
      <c r="E5895" t="n">
        <v>4</v>
      </c>
      <c r="G5895" t="n">
        <v>1830</v>
      </c>
      <c r="H5895" t="n">
        <v>513</v>
      </c>
      <c r="J5895" t="inlineStr">
        <is>
          <t>Canyamel</t>
        </is>
      </c>
      <c r="K5895" t="n">
        <v>74.7</v>
      </c>
      <c r="L5895" t="n">
        <v>65</v>
      </c>
      <c r="M5895" t="n">
        <v>70.09999999999999</v>
      </c>
      <c r="N5895" t="n">
        <v>68</v>
      </c>
      <c r="O5895" t="n">
        <v>108.9</v>
      </c>
      <c r="P5895" t="n">
        <v>90</v>
      </c>
      <c r="Q5895" t="n">
        <v>67.8</v>
      </c>
      <c r="R5895" t="n">
        <v>65</v>
      </c>
      <c r="S5895" t="n">
        <v>3200000</v>
      </c>
      <c r="T5895" t="n">
        <v>6238</v>
      </c>
      <c r="U5895" t="n">
        <v>1749</v>
      </c>
      <c r="AH5895" t="inlineStr">
        <is>
          <t>Quelle: Balearic Properties</t>
        </is>
      </c>
    </row>
    <row r="5896">
      <c r="A5896" t="n">
        <v>5709</v>
      </c>
      <c r="B5896" t="inlineStr">
        <is>
          <t>Spectacular Mallorquin Stone House in Inca, Mallorca</t>
        </is>
      </c>
      <c r="C5896" t="inlineStr">
        <is>
          <t>https://www.balearic-properties.com/en/property/id/703182-mallorquin-country-house-inca-html</t>
        </is>
      </c>
      <c r="E5896" t="n">
        <v>7</v>
      </c>
      <c r="G5896" t="n">
        <v>6017</v>
      </c>
      <c r="H5896" t="n">
        <v>962</v>
      </c>
      <c r="J5896" t="inlineStr">
        <is>
          <t>Lloret de Vistalegre</t>
        </is>
      </c>
      <c r="K5896" t="n">
        <v>33.2</v>
      </c>
      <c r="L5896" t="n">
        <v>36</v>
      </c>
      <c r="M5896" t="n">
        <v>47.7</v>
      </c>
      <c r="N5896" t="n">
        <v>51</v>
      </c>
      <c r="O5896" t="n">
        <v>65</v>
      </c>
      <c r="P5896" t="n">
        <v>57</v>
      </c>
      <c r="Q5896" t="n">
        <v>45.4</v>
      </c>
      <c r="R5896" t="n">
        <v>47</v>
      </c>
      <c r="S5896" t="n">
        <v>2650000</v>
      </c>
      <c r="T5896" t="n">
        <v>2755</v>
      </c>
      <c r="U5896" t="n">
        <v>440</v>
      </c>
      <c r="AH5896" t="inlineStr">
        <is>
          <t>Quelle: Balearic Properties</t>
        </is>
      </c>
    </row>
    <row r="5897">
      <c r="A5897" t="n">
        <v>5710</v>
      </c>
      <c r="B5897" t="inlineStr">
        <is>
          <t>Sensationally priced, contemporary villa for sale near Pollensa, Mallorca</t>
        </is>
      </c>
      <c r="C5897" t="inlineStr">
        <is>
          <t>https://www.balearic-properties.com/en/property/id/633092-modular-villas-mallorca-html</t>
        </is>
      </c>
      <c r="E5897" t="n">
        <v>4</v>
      </c>
      <c r="G5897" t="n">
        <v>1000</v>
      </c>
      <c r="H5897" t="n">
        <v>280</v>
      </c>
      <c r="J5897" t="inlineStr">
        <is>
          <t>Pollença</t>
        </is>
      </c>
      <c r="K5897" t="n">
        <v>60.6</v>
      </c>
      <c r="L5897" t="n">
        <v>47</v>
      </c>
      <c r="M5897" t="n">
        <v>78.7</v>
      </c>
      <c r="N5897" t="n">
        <v>74</v>
      </c>
      <c r="O5897" t="n">
        <v>83.2</v>
      </c>
      <c r="P5897" t="n">
        <v>63</v>
      </c>
      <c r="Q5897" t="n">
        <v>76.40000000000001</v>
      </c>
      <c r="R5897" t="n">
        <v>70</v>
      </c>
      <c r="S5897" t="n">
        <v>1680000</v>
      </c>
      <c r="T5897" t="n">
        <v>6000</v>
      </c>
      <c r="U5897" t="n">
        <v>1680</v>
      </c>
      <c r="AH5897" t="inlineStr">
        <is>
          <t>Quelle: Balearic Properties</t>
        </is>
      </c>
    </row>
    <row r="5898">
      <c r="A5898" t="n">
        <v>5711</v>
      </c>
      <c r="B5898" t="inlineStr">
        <is>
          <t>Frontline villa for sale on the east coast, Mallorca</t>
        </is>
      </c>
      <c r="C5898" t="inlineStr">
        <is>
          <t>https://www.balearic-properties.com/en/property/id/579354-frontline-property-mallorca-html</t>
        </is>
      </c>
      <c r="E5898" t="n">
        <v>10</v>
      </c>
      <c r="G5898" t="n">
        <v>5224</v>
      </c>
      <c r="H5898" t="n">
        <v>971</v>
      </c>
      <c r="J5898" t="inlineStr">
        <is>
          <t>Costa de los Pinos</t>
        </is>
      </c>
      <c r="K5898" t="n">
        <v>69.2</v>
      </c>
      <c r="L5898" t="n">
        <v>59</v>
      </c>
      <c r="M5898" t="n">
        <v>64.5</v>
      </c>
      <c r="N5898" t="n">
        <v>62</v>
      </c>
      <c r="O5898" t="n">
        <v>103.4</v>
      </c>
      <c r="P5898" t="n">
        <v>84</v>
      </c>
      <c r="Q5898" t="n">
        <v>62.2</v>
      </c>
      <c r="R5898" t="n">
        <v>59</v>
      </c>
      <c r="AH5898" t="inlineStr">
        <is>
          <t>Quelle: Balearic Properties</t>
        </is>
      </c>
    </row>
    <row r="5899">
      <c r="A5899" t="n">
        <v>5712</v>
      </c>
      <c r="B5899" t="inlineStr">
        <is>
          <t>Artistic country estate for sale in Pollensa, Mallorca!</t>
        </is>
      </c>
      <c r="C5899" t="inlineStr">
        <is>
          <t>https://www.balearic-properties.com/en/property/id/469564-country-home-pollensa-html</t>
        </is>
      </c>
      <c r="E5899" t="n">
        <v>5</v>
      </c>
      <c r="G5899" t="n">
        <v>14073</v>
      </c>
      <c r="H5899" t="n">
        <v>288</v>
      </c>
      <c r="J5899" t="inlineStr">
        <is>
          <t>Pollença</t>
        </is>
      </c>
      <c r="K5899" t="n">
        <v>60.6</v>
      </c>
      <c r="L5899" t="n">
        <v>47</v>
      </c>
      <c r="M5899" t="n">
        <v>78.7</v>
      </c>
      <c r="N5899" t="n">
        <v>74</v>
      </c>
      <c r="O5899" t="n">
        <v>83.2</v>
      </c>
      <c r="P5899" t="n">
        <v>63</v>
      </c>
      <c r="Q5899" t="n">
        <v>76.40000000000001</v>
      </c>
      <c r="R5899" t="n">
        <v>70</v>
      </c>
      <c r="S5899" t="n">
        <v>3500000</v>
      </c>
      <c r="T5899" t="n">
        <v>12153</v>
      </c>
      <c r="U5899" t="n">
        <v>249</v>
      </c>
      <c r="AH5899" t="inlineStr">
        <is>
          <t>Quelle: Balearic Properties</t>
        </is>
      </c>
    </row>
    <row r="5900">
      <c r="A5900" t="n">
        <v>5713</v>
      </c>
      <c r="B5900" t="inlineStr">
        <is>
          <t>Spacious house with tennis court for sale close to Cala Sant Vicente, Mallorca</t>
        </is>
      </c>
      <c r="C5900" t="inlineStr">
        <is>
          <t>https://www.balearic-properties.com/en/property/id/493394-country-house-pollensa-html</t>
        </is>
      </c>
      <c r="E5900" t="n">
        <v>11</v>
      </c>
      <c r="G5900" t="n">
        <v>37086</v>
      </c>
      <c r="H5900" t="n">
        <v>1328</v>
      </c>
      <c r="J5900" t="inlineStr">
        <is>
          <t>Pollença</t>
        </is>
      </c>
      <c r="K5900" t="n">
        <v>60.6</v>
      </c>
      <c r="L5900" t="n">
        <v>47</v>
      </c>
      <c r="M5900" t="n">
        <v>78.7</v>
      </c>
      <c r="N5900" t="n">
        <v>74</v>
      </c>
      <c r="O5900" t="n">
        <v>83.2</v>
      </c>
      <c r="P5900" t="n">
        <v>63</v>
      </c>
      <c r="Q5900" t="n">
        <v>76.40000000000001</v>
      </c>
      <c r="R5900" t="n">
        <v>70</v>
      </c>
      <c r="S5900" t="n">
        <v>9000000</v>
      </c>
      <c r="T5900" t="n">
        <v>6777</v>
      </c>
      <c r="U5900" t="n">
        <v>243</v>
      </c>
      <c r="AH5900" t="inlineStr">
        <is>
          <t>Quelle: Balearic Properties</t>
        </is>
      </c>
    </row>
    <row r="5901">
      <c r="A5901" t="n">
        <v>5714</v>
      </c>
      <c r="B5901" t="inlineStr">
        <is>
          <t>Finca for sale in Capdepera, Mallorca</t>
        </is>
      </c>
      <c r="C5901" t="inlineStr">
        <is>
          <t>https://www.balearic-properties.com/en/property/id/748131-finca-capdepera-html</t>
        </is>
      </c>
      <c r="E5901" t="n">
        <v>6</v>
      </c>
      <c r="G5901" t="n">
        <v>5508</v>
      </c>
      <c r="H5901" t="n">
        <v>600</v>
      </c>
      <c r="J5901" t="inlineStr">
        <is>
          <t>Capdepera</t>
        </is>
      </c>
      <c r="K5901" t="n">
        <v>74.40000000000001</v>
      </c>
      <c r="L5901" t="n">
        <v>63</v>
      </c>
      <c r="M5901" t="n">
        <v>69.8</v>
      </c>
      <c r="N5901" t="n">
        <v>66</v>
      </c>
      <c r="O5901" t="n">
        <v>108.6</v>
      </c>
      <c r="P5901" t="n">
        <v>88</v>
      </c>
      <c r="Q5901" t="n">
        <v>67.5</v>
      </c>
      <c r="R5901" t="n">
        <v>63</v>
      </c>
      <c r="S5901" t="n">
        <v>5495000</v>
      </c>
      <c r="T5901" t="n">
        <v>9158</v>
      </c>
      <c r="U5901" t="n">
        <v>998</v>
      </c>
      <c r="AH5901" t="inlineStr">
        <is>
          <t>Quelle: Balearic Properties</t>
        </is>
      </c>
    </row>
    <row r="5902">
      <c r="A5902" t="n">
        <v>5715</v>
      </c>
      <c r="B5902" t="inlineStr">
        <is>
          <t>Stunning villa with fantastic views for sale in Sa Font Seca, West Mallorca</t>
        </is>
      </c>
      <c r="C5902" t="inlineStr">
        <is>
          <t>https://www.balearic-properties.com/en/property/id/951614-villa-fantastic-views-sa-font-seca-mallorca-html</t>
        </is>
      </c>
      <c r="E5902" t="n">
        <v>5</v>
      </c>
      <c r="G5902" t="n">
        <v>1291</v>
      </c>
      <c r="H5902" t="n">
        <v>310</v>
      </c>
      <c r="J5902" t="inlineStr">
        <is>
          <t>Sa Font Seca</t>
        </is>
      </c>
      <c r="K5902" t="n">
        <v>20.5</v>
      </c>
      <c r="L5902" t="n">
        <v>23</v>
      </c>
      <c r="M5902" t="n">
        <v>63.2</v>
      </c>
      <c r="N5902" t="n">
        <v>56</v>
      </c>
      <c r="O5902" t="n">
        <v>40.1</v>
      </c>
      <c r="P5902" t="n">
        <v>37</v>
      </c>
      <c r="Q5902" t="n">
        <v>60.9</v>
      </c>
      <c r="R5902" t="n">
        <v>53</v>
      </c>
      <c r="AH5902" t="inlineStr">
        <is>
          <t>Quelle: Balearic Properties</t>
        </is>
      </c>
    </row>
    <row r="5903">
      <c r="A5903" t="n">
        <v>5716</v>
      </c>
      <c r="B5903" t="inlineStr">
        <is>
          <t>Elegant Mediterranean villa for sale in Marratxí, near Palma, Mallorca</t>
        </is>
      </c>
      <c r="C5903" t="inlineStr">
        <is>
          <t>https://www.balearic-properties.com/en/property/id/952098-meditteranean-villa-with-pool-in-marratxi</t>
        </is>
      </c>
      <c r="E5903" t="n">
        <v>3</v>
      </c>
      <c r="G5903" t="n">
        <v>465</v>
      </c>
      <c r="H5903" t="n">
        <v>450</v>
      </c>
      <c r="J5903" t="inlineStr">
        <is>
          <t>Marratxí</t>
        </is>
      </c>
      <c r="AH5903" t="inlineStr">
        <is>
          <t>Quelle: Balearic Properties</t>
        </is>
      </c>
    </row>
    <row r="5904">
      <c r="A5904" t="n">
        <v>5717</v>
      </c>
      <c r="B5904" t="inlineStr">
        <is>
          <t>Ground floor duplex apartment for sale in Nova Santa Ponsa, Mallorca</t>
        </is>
      </c>
      <c r="C5904" t="inlineStr">
        <is>
          <t>https://www.balearic-properties.com/en/property/id/875553-duplex-apartment-exclusive-community-santa-ponsa-mallorca-html</t>
        </is>
      </c>
      <c r="E5904" t="n">
        <v>2</v>
      </c>
      <c r="G5904" t="n">
        <v>0</v>
      </c>
      <c r="H5904" t="n">
        <v>170</v>
      </c>
      <c r="J5904" t="inlineStr">
        <is>
          <t>Santa Ponsa</t>
        </is>
      </c>
      <c r="AH5904" t="inlineStr">
        <is>
          <t>Quelle: Balearic Properties</t>
        </is>
      </c>
    </row>
    <row r="5905">
      <c r="A5905" t="n">
        <v>5718</v>
      </c>
      <c r="B5905" t="inlineStr">
        <is>
          <t>Town house investment for sale in a prestigious area of Pollensa, Mallorca</t>
        </is>
      </c>
      <c r="C5905" t="inlineStr">
        <is>
          <t>https://www.balearic-properties.com/en/property/id/852536-townhouse-investment-calvari-pollensa-mallorca-html</t>
        </is>
      </c>
      <c r="E5905" t="n">
        <v>4</v>
      </c>
      <c r="G5905" t="n">
        <v>49</v>
      </c>
      <c r="H5905" t="n">
        <v>117</v>
      </c>
      <c r="J5905" t="inlineStr">
        <is>
          <t>Pollença Pueblo</t>
        </is>
      </c>
      <c r="AH5905" t="inlineStr">
        <is>
          <t>Quelle: Balearic Properties</t>
        </is>
      </c>
    </row>
    <row r="5906">
      <c r="A5906" t="n">
        <v>5719</v>
      </c>
      <c r="B5906" t="inlineStr">
        <is>
          <t>Beautifully presented house for sale in Santanyi, Southeast Mallorca</t>
        </is>
      </c>
      <c r="C5906" t="inlineStr">
        <is>
          <t>https://www.balearic-properties.com/en/property/id/950554-townhouse-pool-santanyi-mallorca-html</t>
        </is>
      </c>
      <c r="E5906" t="n">
        <v>4</v>
      </c>
      <c r="G5906" t="n">
        <v>186</v>
      </c>
      <c r="H5906" t="n">
        <v>324</v>
      </c>
      <c r="J5906" t="inlineStr">
        <is>
          <t>Santanyí</t>
        </is>
      </c>
      <c r="AH5906" t="inlineStr">
        <is>
          <t>Quelle: Balearic Properties</t>
        </is>
      </c>
    </row>
    <row r="5907">
      <c r="A5907" t="n">
        <v>5720</v>
      </c>
      <c r="B5907" t="inlineStr">
        <is>
          <t>Seafront investment apartment for sale in Sant Agustí, Palma, Mallorca</t>
        </is>
      </c>
      <c r="C5907" t="inlineStr">
        <is>
          <t>https://www.balearic-properties.com/en/property/id/947391-seafront-apartment-sant-agusti-palma-de-mallorca</t>
        </is>
      </c>
      <c r="E5907" t="n">
        <v>4</v>
      </c>
      <c r="G5907" t="n">
        <v>0</v>
      </c>
      <c r="H5907" t="n">
        <v>153</v>
      </c>
      <c r="J5907" t="inlineStr">
        <is>
          <t>Sant Agustí</t>
        </is>
      </c>
      <c r="AH5907" t="inlineStr">
        <is>
          <t>Quelle: Balearic Properties</t>
        </is>
      </c>
    </row>
    <row r="5908">
      <c r="A5908" t="n">
        <v>5721</v>
      </c>
      <c r="B5908" t="inlineStr">
        <is>
          <t>Exclusive penthouse with large private terrace for sale in Palma, Mallorca</t>
        </is>
      </c>
      <c r="C5908" t="inlineStr">
        <is>
          <t>https://www.balearic-properties.com/en/property/id/949055-exclusive-penthouse-large-terrace-palma-mallorca-html</t>
        </is>
      </c>
      <c r="E5908" t="n">
        <v>2</v>
      </c>
      <c r="G5908" t="n">
        <v>0</v>
      </c>
      <c r="H5908" t="n">
        <v>200</v>
      </c>
      <c r="J5908" t="inlineStr">
        <is>
          <t>Son Armadans</t>
        </is>
      </c>
      <c r="AH5908" t="inlineStr">
        <is>
          <t>Quelle: Balearic Properties</t>
        </is>
      </c>
    </row>
    <row r="5909">
      <c r="A5909" t="n">
        <v>5722</v>
      </c>
      <c r="B5909" t="inlineStr">
        <is>
          <t>Country villa with private pool for sale in Pollensa, Mallorca</t>
        </is>
      </c>
      <c r="C5909" t="inlineStr">
        <is>
          <t>https://www.balearic-properties.com/en/property/id/803042-semi-detached-villa-pool-pollensa-html</t>
        </is>
      </c>
      <c r="E5909" t="n">
        <v>4</v>
      </c>
      <c r="G5909" t="n">
        <v>2902</v>
      </c>
      <c r="H5909" t="n">
        <v>295</v>
      </c>
      <c r="J5909" t="inlineStr">
        <is>
          <t>Pollença</t>
        </is>
      </c>
      <c r="AH5909" t="inlineStr">
        <is>
          <t>Quelle: Balearic Properties</t>
        </is>
      </c>
    </row>
    <row r="5910">
      <c r="A5910" t="n">
        <v>5723</v>
      </c>
      <c r="B5910" t="inlineStr">
        <is>
          <t>Traditional Mediterranean finca for sale in Sant Elm, southwest Mallorca</t>
        </is>
      </c>
      <c r="C5910" t="inlineStr">
        <is>
          <t>https://www.balearic-properties.com/en/property/id/948076-traditional-mediterranean-finca-sant-elm-mallorca-html</t>
        </is>
      </c>
      <c r="E5910" t="n">
        <v>5</v>
      </c>
      <c r="G5910" t="n">
        <v>3603</v>
      </c>
      <c r="H5910" t="n">
        <v>241</v>
      </c>
      <c r="J5910" t="inlineStr">
        <is>
          <t>Sant Elm</t>
        </is>
      </c>
      <c r="K5910" t="n">
        <v>48.4</v>
      </c>
      <c r="L5910" t="n">
        <v>47</v>
      </c>
      <c r="M5910" t="n">
        <v>91.2</v>
      </c>
      <c r="N5910" t="n">
        <v>79</v>
      </c>
      <c r="O5910" t="n">
        <v>6.4</v>
      </c>
      <c r="P5910" t="n">
        <v>14</v>
      </c>
      <c r="Q5910" t="n">
        <v>88.90000000000001</v>
      </c>
      <c r="R5910" t="n">
        <v>76</v>
      </c>
      <c r="AH5910" t="inlineStr">
        <is>
          <t>Quelle: Balearic Properties</t>
        </is>
      </c>
    </row>
    <row r="5911">
      <c r="A5911" t="n">
        <v>5724</v>
      </c>
      <c r="B5911" t="inlineStr">
        <is>
          <t>Elegantly refurbished apartment for sale in Palma Old Town, Mallorca</t>
        </is>
      </c>
      <c r="C5911" t="inlineStr">
        <is>
          <t>https://www.balearic-properties.com/en/property/id/944522-refurbished-apartment-centre-palma-mallorca-html</t>
        </is>
      </c>
      <c r="E5911" t="n">
        <v>1</v>
      </c>
      <c r="G5911" t="n">
        <v>0</v>
      </c>
      <c r="H5911" t="n">
        <v>0</v>
      </c>
      <c r="J5911" t="inlineStr">
        <is>
          <t>Palma de Mallorca</t>
        </is>
      </c>
      <c r="AH5911" t="inlineStr">
        <is>
          <t>Quelle: Balearic Properties</t>
        </is>
      </c>
    </row>
    <row r="5912">
      <c r="A5912" t="n">
        <v>5725</v>
      </c>
      <c r="B5912" t="inlineStr">
        <is>
          <t>Penthouse with private roof terrace for sale in Puerto Pollensa, north Mallorca</t>
        </is>
      </c>
      <c r="C5912" t="inlineStr">
        <is>
          <t>https://www.balearic-properties.com/en/property/id/944512-penthouse-roof-terrace-puerto-pollensa-mallorca-html</t>
        </is>
      </c>
      <c r="E5912" t="n">
        <v>3</v>
      </c>
      <c r="G5912" t="n">
        <v>0</v>
      </c>
      <c r="H5912" t="n">
        <v>121</v>
      </c>
      <c r="J5912" t="inlineStr">
        <is>
          <t>Port de Pollença</t>
        </is>
      </c>
      <c r="AH5912" t="inlineStr">
        <is>
          <t>Quelle: Balearic Properties</t>
        </is>
      </c>
    </row>
    <row r="5913">
      <c r="A5913" t="n">
        <v>5726</v>
      </c>
      <c r="B5913" t="inlineStr">
        <is>
          <t>New build home with exclusive project and private pool for sale in Pòrtol, south Mallorca</t>
        </is>
      </c>
      <c r="C5913" t="inlineStr">
        <is>
          <t>https://www.balearic-properties.com/en/property/id/943427-new-home-project-pool-portol-palma-mallorca-html</t>
        </is>
      </c>
      <c r="E5913" t="n">
        <v>5</v>
      </c>
      <c r="G5913" t="n">
        <v>243</v>
      </c>
      <c r="H5913" t="n">
        <v>242</v>
      </c>
      <c r="J5913" t="inlineStr">
        <is>
          <t>Marratxí</t>
        </is>
      </c>
      <c r="K5913" t="n">
        <v>13</v>
      </c>
      <c r="L5913" t="n">
        <v>17</v>
      </c>
      <c r="M5913" t="n">
        <v>56.3</v>
      </c>
      <c r="N5913" t="n">
        <v>50</v>
      </c>
      <c r="O5913" t="n">
        <v>40.6</v>
      </c>
      <c r="P5913" t="n">
        <v>34</v>
      </c>
      <c r="Q5913" t="n">
        <v>54</v>
      </c>
      <c r="R5913" t="n">
        <v>46</v>
      </c>
      <c r="AH5913" t="inlineStr">
        <is>
          <t>Quelle: Balearic Properties</t>
        </is>
      </c>
    </row>
    <row r="5914">
      <c r="A5914" t="n">
        <v>5727</v>
      </c>
      <c r="B5914" t="inlineStr">
        <is>
          <t>New country finca with guest house for sale in Marratxi, near Palma, Mallorca</t>
        </is>
      </c>
      <c r="C5914" t="inlineStr">
        <is>
          <t>https://www.balearic-properties.com/en/property/id/940853-finca-guest-house-marratxi-palma-mallorca-html</t>
        </is>
      </c>
      <c r="E5914" t="n">
        <v>7</v>
      </c>
      <c r="G5914" t="n">
        <v>14188</v>
      </c>
      <c r="H5914" t="n">
        <v>794</v>
      </c>
      <c r="J5914" t="inlineStr">
        <is>
          <t>Marratxí</t>
        </is>
      </c>
      <c r="K5914" t="n">
        <v>13</v>
      </c>
      <c r="L5914" t="n">
        <v>17</v>
      </c>
      <c r="M5914" t="n">
        <v>56.3</v>
      </c>
      <c r="N5914" t="n">
        <v>50</v>
      </c>
      <c r="O5914" t="n">
        <v>40.6</v>
      </c>
      <c r="P5914" t="n">
        <v>34</v>
      </c>
      <c r="Q5914" t="n">
        <v>54</v>
      </c>
      <c r="R5914" t="n">
        <v>46</v>
      </c>
      <c r="AH5914" t="inlineStr">
        <is>
          <t>Quelle: Balearic Properties</t>
        </is>
      </c>
    </row>
    <row r="5915">
      <c r="A5915" t="n">
        <v>5728</v>
      </c>
      <c r="B5915" t="inlineStr">
        <is>
          <t>Spacious Mediterranean villa with holiday license for sale in Palmanova, Mallorca southwest</t>
        </is>
      </c>
      <c r="C5915" t="inlineStr">
        <is>
          <t>https://www.balearic-properties.com/en/property/id/935046-mediterranean-villa-rental-license-palmanova-mallorca-html</t>
        </is>
      </c>
      <c r="E5915" t="n">
        <v>7</v>
      </c>
      <c r="G5915" t="n">
        <v>1382</v>
      </c>
      <c r="H5915" t="n">
        <v>317</v>
      </c>
      <c r="J5915" t="inlineStr">
        <is>
          <t>Palmanova</t>
        </is>
      </c>
      <c r="K5915" t="n">
        <v>25.9</v>
      </c>
      <c r="L5915" t="n">
        <v>24</v>
      </c>
      <c r="M5915" t="n">
        <v>68.59999999999999</v>
      </c>
      <c r="N5915" t="n">
        <v>57</v>
      </c>
      <c r="O5915" t="n">
        <v>18.5</v>
      </c>
      <c r="P5915" t="n">
        <v>21</v>
      </c>
      <c r="Q5915" t="n">
        <v>66.3</v>
      </c>
      <c r="R5915" t="n">
        <v>54</v>
      </c>
      <c r="AH5915" t="inlineStr">
        <is>
          <t>Quelle: Balearic Properties</t>
        </is>
      </c>
    </row>
    <row r="5916">
      <c r="A5916" t="n">
        <v>5729</v>
      </c>
      <c r="B5916" t="inlineStr">
        <is>
          <t>Ready to move in town house with rooftop terrace in Santa Catalina for sale, Palma de Mallorca</t>
        </is>
      </c>
      <c r="C5916" t="inlineStr">
        <is>
          <t>https://www.balearic-properties.com/en/property/id/941190-townhouse-rooftop-terrace-santa-catalina-palma-mallorca-html</t>
        </is>
      </c>
      <c r="E5916" t="n">
        <v>2</v>
      </c>
      <c r="G5916" t="n">
        <v>80</v>
      </c>
      <c r="H5916" t="n">
        <v>229</v>
      </c>
      <c r="J5916" t="inlineStr">
        <is>
          <t>Palma de Mallorca</t>
        </is>
      </c>
      <c r="AH5916" t="inlineStr">
        <is>
          <t>Quelle: Balearic Properties</t>
        </is>
      </c>
    </row>
    <row r="5917">
      <c r="A5917" t="n">
        <v>5730</v>
      </c>
      <c r="B5917" t="inlineStr">
        <is>
          <t>Newly built sea view penthouse for sale in Sant Elm, Southwest Mallorca</t>
        </is>
      </c>
      <c r="C5917" t="inlineStr">
        <is>
          <t>https://www.balearic-properties.com/en/property/id/941331-new-apartments-sant-elm-mallorca-html</t>
        </is>
      </c>
      <c r="E5917" t="n">
        <v>3</v>
      </c>
      <c r="G5917" t="n">
        <v>0</v>
      </c>
      <c r="H5917" t="n">
        <v>92</v>
      </c>
      <c r="J5917" t="inlineStr">
        <is>
          <t>Sant Elm</t>
        </is>
      </c>
      <c r="AH5917" t="inlineStr">
        <is>
          <t>Quelle: Balearic Properties</t>
        </is>
      </c>
    </row>
    <row r="5918">
      <c r="A5918" t="n">
        <v>5731</v>
      </c>
      <c r="B5918" t="inlineStr">
        <is>
          <t>Bright apartment with sea views for sale in Puerto Portals, southwest Mallorca</t>
        </is>
      </c>
      <c r="C5918" t="inlineStr">
        <is>
          <t>https://www.balearic-properties.com/en/property/id/940446-apartment-sea-views-puerto-portals-mallorca-html</t>
        </is>
      </c>
      <c r="E5918" t="n">
        <v>3</v>
      </c>
      <c r="G5918" t="n">
        <v>117</v>
      </c>
      <c r="H5918" t="n">
        <v>97</v>
      </c>
      <c r="J5918" t="inlineStr">
        <is>
          <t>Puerto Portals</t>
        </is>
      </c>
      <c r="AH5918" t="inlineStr">
        <is>
          <t>Quelle: Balearic Properties</t>
        </is>
      </c>
    </row>
    <row r="5919">
      <c r="A5919" t="n">
        <v>5732</v>
      </c>
      <c r="B5919" t="inlineStr">
        <is>
          <t>Apartment duplex for sale in Palma Old Town, Mallorca</t>
        </is>
      </c>
      <c r="C5919" t="inlineStr">
        <is>
          <t>https://www.balearic-properties.com/en/property/id/936639-apartment-duplex-palma-mallorca-html</t>
        </is>
      </c>
      <c r="E5919" t="n">
        <v>4</v>
      </c>
      <c r="G5919" t="n">
        <v>758</v>
      </c>
      <c r="H5919" t="n">
        <v>345</v>
      </c>
      <c r="J5919" t="inlineStr">
        <is>
          <t>Palma Casco Antiguo</t>
        </is>
      </c>
      <c r="AH5919" t="inlineStr">
        <is>
          <t>Quelle: Balearic Properties</t>
        </is>
      </c>
    </row>
    <row r="5920">
      <c r="A5920" t="n">
        <v>5733</v>
      </c>
      <c r="B5920" t="inlineStr">
        <is>
          <t>Fantastic garden apartment for sale in Puerto Pollensa, North Mallorca</t>
        </is>
      </c>
      <c r="C5920" t="inlineStr">
        <is>
          <t>https://www.balearic-properties.com/en/property/id/940447-ground-floor-apartment-community-pool-puerto-pollensa-mallorca-html</t>
        </is>
      </c>
      <c r="E5920" t="n">
        <v>3</v>
      </c>
      <c r="G5920" t="n">
        <v>2149</v>
      </c>
      <c r="H5920" t="n">
        <v>95</v>
      </c>
      <c r="J5920" t="inlineStr">
        <is>
          <t>Port de Pollença</t>
        </is>
      </c>
      <c r="AH5920" t="inlineStr">
        <is>
          <t>Quelle: Balearic Properties</t>
        </is>
      </c>
    </row>
    <row r="5921">
      <c r="A5921" t="n">
        <v>5734</v>
      </c>
      <c r="B5921" t="inlineStr">
        <is>
          <t>Duplex apartment for sale in Puerto Pollensa, North Mallorca</t>
        </is>
      </c>
      <c r="C5921" t="inlineStr">
        <is>
          <t>https://www.balearic-properties.com/en/property/id/918980-renewed-apartment-sea-views-llenaire-puerto-pollensa-html</t>
        </is>
      </c>
      <c r="E5921" t="n">
        <v>2</v>
      </c>
      <c r="G5921" t="n">
        <v>0</v>
      </c>
      <c r="H5921" t="n">
        <v>50</v>
      </c>
      <c r="J5921" t="inlineStr">
        <is>
          <t>Port de Pollença</t>
        </is>
      </c>
      <c r="AH5921" t="inlineStr">
        <is>
          <t>Quelle: Balearic Properties</t>
        </is>
      </c>
    </row>
    <row r="5922">
      <c r="A5922" t="n">
        <v>5735</v>
      </c>
      <c r="B5922" t="inlineStr">
        <is>
          <t>Villa for sale in S'Ubac, Pollensa, North Mallorca</t>
        </is>
      </c>
      <c r="C5922" t="inlineStr">
        <is>
          <t>https://www.balearic-properties.com/en/property/id/939645-elegant-mediterranean-villa-in-the-sought-after-eclave-of-s-ubach-mallorca-html</t>
        </is>
      </c>
      <c r="E5922" t="n">
        <v>4</v>
      </c>
      <c r="G5922" t="n">
        <v>1177</v>
      </c>
      <c r="H5922" t="n">
        <v>264</v>
      </c>
      <c r="J5922" t="inlineStr">
        <is>
          <t>Pollença</t>
        </is>
      </c>
      <c r="AH5922" t="inlineStr">
        <is>
          <t>Quelle: Balearic Properties</t>
        </is>
      </c>
    </row>
    <row r="5923">
      <c r="A5923" t="n">
        <v>5736</v>
      </c>
      <c r="B5923" t="inlineStr">
        <is>
          <t>Garden apartment for sale in exclusive Bendinat, Mallorca southwest</t>
        </is>
      </c>
      <c r="C5923" t="inlineStr">
        <is>
          <t>https://www.balearic-properties.com/en/property/id/937370-garden-apartment-exclusive-bendinat-mallorca-html</t>
        </is>
      </c>
      <c r="E5923" t="n">
        <v>2</v>
      </c>
      <c r="G5923" t="n">
        <v>43</v>
      </c>
      <c r="H5923" t="n">
        <v>119</v>
      </c>
      <c r="J5923" t="inlineStr">
        <is>
          <t>Bendinat</t>
        </is>
      </c>
      <c r="AH5923" t="inlineStr">
        <is>
          <t>Quelle: Balearic Properties</t>
        </is>
      </c>
    </row>
    <row r="5924">
      <c r="A5924" t="n">
        <v>5737</v>
      </c>
      <c r="B5924" t="inlineStr">
        <is>
          <t>Stylish renovated sea view apartment for sale in Cala Major, Palma, Mallorca</t>
        </is>
      </c>
      <c r="C5924" t="inlineStr">
        <is>
          <t>https://www.balearic-properties.com/en/property/id/937440-seaview-apartment-cala-major-palma-mallorca-html</t>
        </is>
      </c>
      <c r="E5924" t="n">
        <v>3</v>
      </c>
      <c r="G5924" t="n">
        <v>0</v>
      </c>
      <c r="H5924" t="n">
        <v>150</v>
      </c>
      <c r="J5924" t="inlineStr">
        <is>
          <t>Cala Major</t>
        </is>
      </c>
      <c r="AH5924" t="inlineStr">
        <is>
          <t>Quelle: Balearic Properties</t>
        </is>
      </c>
    </row>
    <row r="5925">
      <c r="A5925" t="n">
        <v>5738</v>
      </c>
      <c r="B5925" t="inlineStr">
        <is>
          <t>Sea view project for luxurious villa for sale in Cap Falco, Cala Vinyes, Southwest Mallorca</t>
        </is>
      </c>
      <c r="C5925" t="inlineStr">
        <is>
          <t>https://www.balearic-properties.com/en/property/id/938599-seaview-project-cap-falco-cala-vinyes-mallorca-html</t>
        </is>
      </c>
      <c r="E5925" t="n">
        <v>5</v>
      </c>
      <c r="G5925" t="n">
        <v>1470</v>
      </c>
      <c r="H5925" t="n">
        <v>413</v>
      </c>
      <c r="J5925" t="inlineStr">
        <is>
          <t>Cala Vinyes</t>
        </is>
      </c>
      <c r="K5925" t="n">
        <v>31.5</v>
      </c>
      <c r="L5925" t="n">
        <v>31</v>
      </c>
      <c r="M5925" t="n">
        <v>74.3</v>
      </c>
      <c r="N5925" t="n">
        <v>64</v>
      </c>
      <c r="O5925" t="n">
        <v>20.4</v>
      </c>
      <c r="P5925" t="n">
        <v>25</v>
      </c>
      <c r="Q5925" t="n">
        <v>72</v>
      </c>
      <c r="R5925" t="n">
        <v>60</v>
      </c>
      <c r="AH5925" t="inlineStr">
        <is>
          <t>Quelle: Balearic Properties</t>
        </is>
      </c>
    </row>
    <row r="5926">
      <c r="A5926" t="n">
        <v>5739</v>
      </c>
      <c r="B5926" t="inlineStr">
        <is>
          <t>Modern villa with sea views for sale in Bendinat, Mallorca southwest</t>
        </is>
      </c>
      <c r="C5926" t="inlineStr">
        <is>
          <t>https://www.balearic-properties.com/en/property/id/938543-modern-villa-sea-views-bendinat-mallorca-html</t>
        </is>
      </c>
      <c r="E5926" t="n">
        <v>4</v>
      </c>
      <c r="G5926" t="n">
        <v>1016</v>
      </c>
      <c r="H5926" t="n">
        <v>601</v>
      </c>
      <c r="J5926" t="inlineStr">
        <is>
          <t>Bendinat</t>
        </is>
      </c>
      <c r="AH5926" t="inlineStr">
        <is>
          <t>Quelle: Balearic Properties</t>
        </is>
      </c>
    </row>
    <row r="5927">
      <c r="A5927" t="n">
        <v>5740</v>
      </c>
      <c r="B5927" t="inlineStr">
        <is>
          <t>New town house with panoramic views for sale in Deià, Mallorca northwest</t>
        </is>
      </c>
      <c r="C5927" t="inlineStr">
        <is>
          <t>https://www.balearic-properties.com/en/property/id/937334-townhouse-panoramic-views-deia-mallorca-html</t>
        </is>
      </c>
      <c r="E5927" t="n">
        <v>3</v>
      </c>
      <c r="G5927" t="n">
        <v>68</v>
      </c>
      <c r="H5927" t="n">
        <v>188</v>
      </c>
      <c r="J5927" t="inlineStr">
        <is>
          <t>Deià</t>
        </is>
      </c>
      <c r="AH5927" t="inlineStr">
        <is>
          <t>Quelle: Balearic Properties</t>
        </is>
      </c>
    </row>
    <row r="5928">
      <c r="A5928" t="n">
        <v>5741</v>
      </c>
      <c r="B5928" t="inlineStr">
        <is>
          <t>Exclusive renovated town house for sale in the heart of Alaró, east Mallorca</t>
        </is>
      </c>
      <c r="C5928" t="inlineStr">
        <is>
          <t>https://www.balearic-properties.com/en/property/id/934612-exclusive-townhouse-centre-alaro-mallorca-html</t>
        </is>
      </c>
      <c r="E5928" t="n">
        <v>3</v>
      </c>
      <c r="G5928" t="n">
        <v>274</v>
      </c>
      <c r="H5928" t="n">
        <v>234</v>
      </c>
      <c r="J5928" t="inlineStr">
        <is>
          <t>Alaró</t>
        </is>
      </c>
      <c r="AH5928" t="inlineStr">
        <is>
          <t>Quelle: Balearic Properties</t>
        </is>
      </c>
    </row>
    <row r="5929">
      <c r="A5929" t="n">
        <v>5742</v>
      </c>
      <c r="B5929" t="inlineStr">
        <is>
          <t>Modern villa with panoramic views for sale in Nova Santa Ponsa, southwest Mallorca</t>
        </is>
      </c>
      <c r="C5929" t="inlineStr">
        <is>
          <t>https://www.balearic-properties.com/en/property/id/937304-modern-villa-panoramic-views-santa-ponsa-mallorca-html</t>
        </is>
      </c>
      <c r="E5929" t="n">
        <v>4</v>
      </c>
      <c r="G5929" t="n">
        <v>1045</v>
      </c>
      <c r="H5929" t="n">
        <v>521</v>
      </c>
      <c r="J5929" t="inlineStr">
        <is>
          <t>Nova Santa Ponsa</t>
        </is>
      </c>
      <c r="AH5929" t="inlineStr">
        <is>
          <t>Quelle: Balearic Properties</t>
        </is>
      </c>
    </row>
    <row r="5930">
      <c r="A5930" t="n">
        <v>5743</v>
      </c>
      <c r="B5930" t="inlineStr">
        <is>
          <t>Duplex apartment with plunge pool for sale in la Bonanova, Palma de Mallorca</t>
        </is>
      </c>
      <c r="C5930" t="inlineStr">
        <is>
          <t>https://www.balearic-properties.com/en/property/id/937171-duplex-apartment-garden-palma-mallorca-html</t>
        </is>
      </c>
      <c r="E5930" t="n">
        <v>2</v>
      </c>
      <c r="G5930" t="n">
        <v>143</v>
      </c>
      <c r="H5930" t="n">
        <v>208</v>
      </c>
      <c r="J5930" t="inlineStr">
        <is>
          <t>La Bonanova</t>
        </is>
      </c>
      <c r="AH5930" t="inlineStr">
        <is>
          <t>Quelle: Balearic Properties</t>
        </is>
      </c>
    </row>
    <row r="5931">
      <c r="A5931" t="n">
        <v>5744</v>
      </c>
      <c r="B5931" t="inlineStr">
        <is>
          <t>Large detached house for sale in peaceful Son Ferrer, southwest Mallorca</t>
        </is>
      </c>
      <c r="C5931" t="inlineStr">
        <is>
          <t>https://www.balearic-properties.com/en/property/id/936020-villa-garden-pool-son-ferrer-mallorca-html</t>
        </is>
      </c>
      <c r="E5931" t="n">
        <v>4</v>
      </c>
      <c r="G5931" t="n">
        <v>650</v>
      </c>
      <c r="H5931" t="n">
        <v>236</v>
      </c>
      <c r="J5931" t="inlineStr">
        <is>
          <t>Son Ferrer</t>
        </is>
      </c>
      <c r="AH5931" t="inlineStr">
        <is>
          <t>Quelle: Balearic Properties</t>
        </is>
      </c>
    </row>
    <row r="5932">
      <c r="A5932" t="n">
        <v>5745</v>
      </c>
      <c r="B5932" t="inlineStr">
        <is>
          <t>Building project for sale in Mal Pas, North Mallorca</t>
        </is>
      </c>
      <c r="C5932" t="inlineStr">
        <is>
          <t>https://www.balearic-properties.com/en/property/id/730898-villa-mal-pas-mallorca-html</t>
        </is>
      </c>
      <c r="E5932" t="n">
        <v>5</v>
      </c>
      <c r="G5932" t="n">
        <v>1137</v>
      </c>
      <c r="H5932" t="n">
        <v>280</v>
      </c>
      <c r="J5932" t="inlineStr">
        <is>
          <t>Mal Pas</t>
        </is>
      </c>
      <c r="K5932" t="n">
        <v>63.3</v>
      </c>
      <c r="L5932" t="n">
        <v>51</v>
      </c>
      <c r="M5932" t="n">
        <v>81.40000000000001</v>
      </c>
      <c r="N5932" t="n">
        <v>78</v>
      </c>
      <c r="O5932" t="n">
        <v>85.90000000000001</v>
      </c>
      <c r="P5932" t="n">
        <v>67</v>
      </c>
      <c r="Q5932" t="n">
        <v>79.09999999999999</v>
      </c>
      <c r="R5932" t="n">
        <v>74</v>
      </c>
      <c r="AH5932" t="inlineStr">
        <is>
          <t>Quelle: Balearic Properties</t>
        </is>
      </c>
    </row>
    <row r="5933">
      <c r="A5933" t="n">
        <v>5746</v>
      </c>
      <c r="B5933" t="inlineStr">
        <is>
          <t>Townhouse project investment for sale in Pollensa, NorthEast Mallorca</t>
        </is>
      </c>
      <c r="C5933" t="inlineStr">
        <is>
          <t>https://www.balearic-properties.com/en/property/id/927535-townhouse-project-pollensa-mallorca-html</t>
        </is>
      </c>
      <c r="E5933" t="n">
        <v>4</v>
      </c>
      <c r="G5933" t="n">
        <v>245</v>
      </c>
      <c r="H5933" t="n">
        <v>455</v>
      </c>
      <c r="J5933" t="inlineStr">
        <is>
          <t>Pollença Pueblo</t>
        </is>
      </c>
      <c r="AH5933" t="inlineStr">
        <is>
          <t>Quelle: Balearic Properties</t>
        </is>
      </c>
    </row>
    <row r="5934">
      <c r="A5934" t="n">
        <v>5747</v>
      </c>
      <c r="B5934" t="inlineStr">
        <is>
          <t>Spacious and bright apartment for sale in Santa Ponsa, southwest Mallorca</t>
        </is>
      </c>
      <c r="C5934" t="inlineStr">
        <is>
          <t>https://www.balearic-properties.com/en/property/id/936267-apartment-golf-views-santa-ponsa-mallorca-html</t>
        </is>
      </c>
      <c r="E5934" t="n">
        <v>3</v>
      </c>
      <c r="G5934" t="n">
        <v>0</v>
      </c>
      <c r="H5934" t="n">
        <v>191</v>
      </c>
      <c r="J5934" t="inlineStr">
        <is>
          <t>Santa Ponsa</t>
        </is>
      </c>
      <c r="AH5934" t="inlineStr">
        <is>
          <t>Quelle: Balearic Properties</t>
        </is>
      </c>
    </row>
    <row r="5935">
      <c r="A5935" t="n">
        <v>5748</v>
      </c>
      <c r="B5935" t="inlineStr">
        <is>
          <t>House to renovate with possibility to extend and build a pool for sale in Costa de la Calma, Mallorca</t>
        </is>
      </c>
      <c r="C5935" t="inlineStr">
        <is>
          <t>https://www.balearic-properties.com/en/property/id/933049-house-renovate-extend-pool-costa-calma-mallorca-html</t>
        </is>
      </c>
      <c r="E5935" t="n">
        <v>3</v>
      </c>
      <c r="G5935" t="n">
        <v>848</v>
      </c>
      <c r="H5935" t="n">
        <v>208</v>
      </c>
      <c r="J5935" t="inlineStr">
        <is>
          <t>Costa de la Calma</t>
        </is>
      </c>
      <c r="AH5935" t="inlineStr">
        <is>
          <t>Quelle: Balearic Properties</t>
        </is>
      </c>
    </row>
    <row r="5936">
      <c r="A5936" t="n">
        <v>5749</v>
      </c>
      <c r="B5936" t="inlineStr">
        <is>
          <t>Immaculate new finca for sale near Es Trenc, South East Mallorca</t>
        </is>
      </c>
      <c r="C5936" t="inlineStr">
        <is>
          <t>https://www.balearic-properties.com/en/property/id/924541-new-finca-campos-mallorca-html</t>
        </is>
      </c>
      <c r="E5936" t="n">
        <v>4</v>
      </c>
      <c r="G5936" t="n">
        <v>18691</v>
      </c>
      <c r="H5936" t="n">
        <v>540</v>
      </c>
      <c r="J5936" t="inlineStr">
        <is>
          <t>Campos</t>
        </is>
      </c>
      <c r="AH5936" t="inlineStr">
        <is>
          <t>Quelle: Balearic Properties</t>
        </is>
      </c>
    </row>
    <row r="5937">
      <c r="A5937" t="n">
        <v>5750</v>
      </c>
      <c r="B5937" t="inlineStr">
        <is>
          <t>Ready to move in apartment with sea views for sale in Port d'Andratx, Mallorca</t>
        </is>
      </c>
      <c r="C5937" t="inlineStr">
        <is>
          <t>https://www.balearic-properties.com/en/property/id/935470-apartment-sea-views-port-dandratx-mallorca-html</t>
        </is>
      </c>
      <c r="E5937" t="n">
        <v>3</v>
      </c>
      <c r="G5937" t="n">
        <v>0</v>
      </c>
      <c r="H5937" t="n">
        <v>105</v>
      </c>
      <c r="J5937" t="inlineStr">
        <is>
          <t>Puerto Andratx</t>
        </is>
      </c>
      <c r="K5937" t="n">
        <v>43.5</v>
      </c>
      <c r="L5937" t="n">
        <v>38</v>
      </c>
      <c r="M5937" t="n">
        <v>86.2</v>
      </c>
      <c r="N5937" t="n">
        <v>71</v>
      </c>
      <c r="O5937" t="n">
        <v>6.3</v>
      </c>
      <c r="P5937" t="n">
        <v>11</v>
      </c>
      <c r="Q5937" t="n">
        <v>83.90000000000001</v>
      </c>
      <c r="R5937" t="n">
        <v>68</v>
      </c>
      <c r="S5937" t="n">
        <v>1590000</v>
      </c>
      <c r="T5937" t="n">
        <v>15143</v>
      </c>
      <c r="AH5937" t="inlineStr">
        <is>
          <t>Quelle: Balearic Properties</t>
        </is>
      </c>
    </row>
    <row r="5938">
      <c r="A5938" t="n">
        <v>5751</v>
      </c>
      <c r="B5938" t="inlineStr">
        <is>
          <t>Contempory villa for sale by the beach in Puerto Pollensa, North Mallorca</t>
        </is>
      </c>
      <c r="C5938" t="inlineStr">
        <is>
          <t>https://www.balearic-properties.com/en/property/id/870121-contemporary-villa-rooftop-pool-puerto-pollensa-mallorca-html</t>
        </is>
      </c>
      <c r="E5938" t="n">
        <v>5</v>
      </c>
      <c r="G5938" t="n">
        <v>1250</v>
      </c>
      <c r="H5938" t="n">
        <v>476</v>
      </c>
      <c r="J5938" t="inlineStr">
        <is>
          <t>Llenaire</t>
        </is>
      </c>
      <c r="K5938" t="n">
        <v>63.2</v>
      </c>
      <c r="L5938" t="n">
        <v>48</v>
      </c>
      <c r="M5938" t="n">
        <v>81.3</v>
      </c>
      <c r="N5938" t="n">
        <v>75</v>
      </c>
      <c r="O5938" t="n">
        <v>85.8</v>
      </c>
      <c r="P5938" t="n">
        <v>64</v>
      </c>
      <c r="Q5938" t="n">
        <v>79</v>
      </c>
      <c r="R5938" t="n">
        <v>71</v>
      </c>
      <c r="S5938" t="n">
        <v>2495000</v>
      </c>
      <c r="T5938" t="n">
        <v>5242</v>
      </c>
      <c r="U5938" t="n">
        <v>1996</v>
      </c>
      <c r="AH5938" t="inlineStr">
        <is>
          <t>Quelle: Balearic Properties</t>
        </is>
      </c>
    </row>
    <row r="5939">
      <c r="A5939" t="n">
        <v>5752</v>
      </c>
      <c r="B5939" t="inlineStr">
        <is>
          <t>Charming town house with holiday rental license for sale in Capdepera, Mallorca East</t>
        </is>
      </c>
      <c r="C5939" t="inlineStr">
        <is>
          <t>https://www.balearic-properties.com/en/property/id/933729-charming-townhouse-rental-license-capdepera-mallorca-html</t>
        </is>
      </c>
      <c r="E5939" t="n">
        <v>4</v>
      </c>
      <c r="G5939" t="n">
        <v>0</v>
      </c>
      <c r="H5939" t="n">
        <v>277</v>
      </c>
      <c r="J5939" t="inlineStr">
        <is>
          <t>Capdepera</t>
        </is>
      </c>
      <c r="AH5939" t="inlineStr">
        <is>
          <t>Quelle: Balearic Properties</t>
        </is>
      </c>
    </row>
    <row r="5940">
      <c r="A5940" t="n">
        <v>5753</v>
      </c>
      <c r="B5940" t="inlineStr">
        <is>
          <t>Unmissable town house with holiday rental license for sale in Búger, Mallorca</t>
        </is>
      </c>
      <c r="C5940" t="inlineStr">
        <is>
          <t>https://www.balearic-properties.com/en/property/id/932938-town-house-pool-rental-license-buger-mallorca-html</t>
        </is>
      </c>
      <c r="E5940" t="n">
        <v>3</v>
      </c>
      <c r="G5940" t="n">
        <v>185</v>
      </c>
      <c r="H5940" t="n">
        <v>171</v>
      </c>
      <c r="J5940" t="inlineStr">
        <is>
          <t>Búger</t>
        </is>
      </c>
      <c r="AH5940" t="inlineStr">
        <is>
          <t>Quelle: Balearic Properties</t>
        </is>
      </c>
    </row>
    <row r="5941">
      <c r="A5941" t="n">
        <v>5754</v>
      </c>
      <c r="B5941" t="inlineStr">
        <is>
          <t>Exclusive new villa with saltwater pool for sale in Costa d'en Blanes, Mallorca</t>
        </is>
      </c>
      <c r="C5941" t="inlineStr">
        <is>
          <t>https://www.balearic-properties.com/en/property/id/933471-new-villa-saltwater-pool-costa-den-blanes-mallorca-html</t>
        </is>
      </c>
      <c r="E5941" t="n">
        <v>3</v>
      </c>
      <c r="G5941" t="n">
        <v>1000</v>
      </c>
      <c r="H5941" t="n">
        <v>400</v>
      </c>
      <c r="J5941" t="inlineStr">
        <is>
          <t>Costa D´en Blanes</t>
        </is>
      </c>
      <c r="AH5941" t="inlineStr">
        <is>
          <t>Quelle: Balearic Properties</t>
        </is>
      </c>
    </row>
    <row r="5942">
      <c r="A5942" t="n">
        <v>5755</v>
      </c>
      <c r="B5942" t="inlineStr">
        <is>
          <t>Newly built semi-detached house with sea views for sale in Son Serra de Marina, Mallorca</t>
        </is>
      </c>
      <c r="C5942" t="inlineStr">
        <is>
          <t>https://www.balearic-properties.com/en/property/id/924232-new-house-sea-views-son-serra-de-marina-mallorca-html</t>
        </is>
      </c>
      <c r="E5942" t="n">
        <v>3</v>
      </c>
      <c r="G5942" t="n">
        <v>0</v>
      </c>
      <c r="H5942" t="n">
        <v>196</v>
      </c>
      <c r="J5942" t="inlineStr">
        <is>
          <t>Son Serra de Marina</t>
        </is>
      </c>
      <c r="AH5942" t="inlineStr">
        <is>
          <t>Quelle: Balearic Properties</t>
        </is>
      </c>
    </row>
    <row r="5943">
      <c r="A5943" t="n">
        <v>5756</v>
      </c>
      <c r="B5943" t="inlineStr">
        <is>
          <t>Charming villa for sale in a privileged area of Pollensa, Mallorca</t>
        </is>
      </c>
      <c r="C5943" t="inlineStr">
        <is>
          <t>https://www.balearic-properties.com/en/property/id/651522-villa-pool-view-pollensa-mallorca-html</t>
        </is>
      </c>
      <c r="E5943" t="n">
        <v>4</v>
      </c>
      <c r="G5943" t="n">
        <v>1628</v>
      </c>
      <c r="H5943" t="n">
        <v>368</v>
      </c>
      <c r="J5943" t="inlineStr">
        <is>
          <t>La Font</t>
        </is>
      </c>
      <c r="AH5943" t="inlineStr">
        <is>
          <t>Quelle: Balearic Properties</t>
        </is>
      </c>
    </row>
    <row r="5944">
      <c r="A5944" t="n">
        <v>5757</v>
      </c>
      <c r="B5944" t="inlineStr">
        <is>
          <t>Newly constructed townhouses for sale in El Terreno, Palma, Mallorca</t>
        </is>
      </c>
      <c r="C5944" t="inlineStr">
        <is>
          <t>https://www.balearic-properties.com/en/property/id/933338-townhouse-sea-views-el-terreno-palma-mallorca-html</t>
        </is>
      </c>
      <c r="E5944" t="n">
        <v>2</v>
      </c>
      <c r="G5944" t="n">
        <v>0</v>
      </c>
      <c r="H5944" t="n">
        <v>147</v>
      </c>
      <c r="J5944" t="inlineStr">
        <is>
          <t>El Terreno</t>
        </is>
      </c>
      <c r="AH5944" t="inlineStr">
        <is>
          <t>Quelle: Balearic Properties</t>
        </is>
      </c>
    </row>
    <row r="5945">
      <c r="A5945" t="n">
        <v>5758</v>
      </c>
      <c r="B5945" t="inlineStr">
        <is>
          <t>First floor apartment with terrace for sale in Cala Major, Palma, Mallorca</t>
        </is>
      </c>
      <c r="C5945" t="inlineStr">
        <is>
          <t>https://www.balearic-properties.com/en/property/id/933325-apartment-community-pool-cala-major-palma-mallorca-html</t>
        </is>
      </c>
      <c r="E5945" t="n">
        <v>1</v>
      </c>
      <c r="G5945" t="n">
        <v>0</v>
      </c>
      <c r="H5945" t="n">
        <v>81</v>
      </c>
      <c r="J5945" t="inlineStr">
        <is>
          <t>Cala Major</t>
        </is>
      </c>
      <c r="AH5945" t="inlineStr">
        <is>
          <t>Quelle: Balearic Properties</t>
        </is>
      </c>
    </row>
    <row r="5946">
      <c r="A5946" t="n">
        <v>5759</v>
      </c>
      <c r="B5946" t="inlineStr">
        <is>
          <t>Garden apartment for sale close to the beach in Cala Major, Palma, Mallorca</t>
        </is>
      </c>
      <c r="C5946" t="inlineStr">
        <is>
          <t>https://www.balearic-properties.com/en/property/id/932579-garden-apartment-beach-cala-major-palma-mallorca-html</t>
        </is>
      </c>
      <c r="E5946" t="n">
        <v>2</v>
      </c>
      <c r="G5946" t="n">
        <v>0</v>
      </c>
      <c r="H5946" t="n">
        <v>111</v>
      </c>
      <c r="J5946" t="inlineStr">
        <is>
          <t>Cala Major</t>
        </is>
      </c>
      <c r="AH5946" t="inlineStr">
        <is>
          <t>Quelle: Balearic Properties</t>
        </is>
      </c>
    </row>
    <row r="5947">
      <c r="A5947" t="n">
        <v>5760</v>
      </c>
      <c r="B5947" t="inlineStr">
        <is>
          <t>Ground floor apartment with private garden for sale in Cala Major, Palma, Mallorca</t>
        </is>
      </c>
      <c r="C5947" t="inlineStr">
        <is>
          <t>https://www.balearic-properties.com/en/property/id/933323-garden-apartment-cala-major-palma-mallorca-html</t>
        </is>
      </c>
      <c r="E5947" t="n">
        <v>2</v>
      </c>
      <c r="G5947" t="n">
        <v>0</v>
      </c>
      <c r="H5947" t="n">
        <v>104</v>
      </c>
      <c r="J5947" t="inlineStr">
        <is>
          <t>Cala Major</t>
        </is>
      </c>
      <c r="AH5947" t="inlineStr">
        <is>
          <t>Quelle: Balearic Properties</t>
        </is>
      </c>
    </row>
    <row r="5948">
      <c r="A5948" t="n">
        <v>5761</v>
      </c>
      <c r="B5948" t="inlineStr">
        <is>
          <t>Delightful apartments for sale in desirable Cala Major, Palma, Mallorca</t>
        </is>
      </c>
      <c r="C5948" t="inlineStr">
        <is>
          <t>https://www.balearic-properties.com/en/property/id/933327-apartment-community-pool-cala-major-palma-mallorca-html</t>
        </is>
      </c>
      <c r="E5948" t="n">
        <v>2</v>
      </c>
      <c r="G5948" t="n">
        <v>0</v>
      </c>
      <c r="H5948" t="n">
        <v>94</v>
      </c>
      <c r="J5948" t="inlineStr">
        <is>
          <t>Cala Major</t>
        </is>
      </c>
      <c r="AH5948" t="inlineStr">
        <is>
          <t>Quelle: Balearic Properties</t>
        </is>
      </c>
    </row>
    <row r="5949">
      <c r="A5949" t="n">
        <v>5762</v>
      </c>
      <c r="B5949" t="inlineStr">
        <is>
          <t>Attractive new development of apartments for sale in Cala Major, Palma, Mallorca</t>
        </is>
      </c>
      <c r="C5949" t="inlineStr">
        <is>
          <t>https://www.balearic-properties.com/en/property/id/933331-apartment-community-pool-cala-major-palma-mallorca-html</t>
        </is>
      </c>
      <c r="E5949" t="n">
        <v>2</v>
      </c>
      <c r="G5949" t="n">
        <v>0</v>
      </c>
      <c r="H5949" t="n">
        <v>97</v>
      </c>
      <c r="J5949" t="inlineStr">
        <is>
          <t>Cala Major</t>
        </is>
      </c>
      <c r="AH5949" t="inlineStr">
        <is>
          <t>Quelle: Balearic Properties</t>
        </is>
      </c>
    </row>
    <row r="5950">
      <c r="A5950" t="n">
        <v>5763</v>
      </c>
      <c r="B5950" t="inlineStr">
        <is>
          <t>Penthouse to renovate with golf course views for sale in Bendinat, Mallorca</t>
        </is>
      </c>
      <c r="C5950" t="inlineStr">
        <is>
          <t>https://www.balearic-properties.com/en/property/id/932110-penthouse-frontline-golf-bendinat-mallorca-html</t>
        </is>
      </c>
      <c r="E5950" t="n">
        <v>2</v>
      </c>
      <c r="G5950" t="n">
        <v>0</v>
      </c>
      <c r="H5950" t="n">
        <v>62</v>
      </c>
      <c r="J5950" t="inlineStr">
        <is>
          <t>Bendinat</t>
        </is>
      </c>
      <c r="AH5950" t="inlineStr">
        <is>
          <t>Quelle: Balearic Properties</t>
        </is>
      </c>
    </row>
    <row r="5951">
      <c r="A5951" t="n">
        <v>5764</v>
      </c>
      <c r="B5951" t="inlineStr">
        <is>
          <t>Town house with views for sale in Pollensa, Mallorca</t>
        </is>
      </c>
      <c r="C5951" t="inlineStr">
        <is>
          <t>https://www.balearic-properties.com/en/property/id/762266-mallorca-townhouse-pollensa-html</t>
        </is>
      </c>
      <c r="E5951" t="n">
        <v>4</v>
      </c>
      <c r="G5951" t="n">
        <v>0</v>
      </c>
      <c r="H5951" t="n">
        <v>230</v>
      </c>
      <c r="J5951" t="inlineStr">
        <is>
          <t>Pollença Pueblo</t>
        </is>
      </c>
      <c r="AH5951" t="inlineStr">
        <is>
          <t>Quelle: Balearic Properties</t>
        </is>
      </c>
    </row>
    <row r="5952">
      <c r="A5952" t="n">
        <v>5765</v>
      </c>
      <c r="B5952" t="inlineStr">
        <is>
          <t>Townhouse with sea views for sale in El Terreno, Palma, Mallorca</t>
        </is>
      </c>
      <c r="C5952" t="inlineStr">
        <is>
          <t>https://www.balearic-properties.com/en/property/id/931506-townhouse-sea-views-el-terreno-palma-mallorca-html</t>
        </is>
      </c>
      <c r="E5952" t="n">
        <v>3</v>
      </c>
      <c r="G5952" t="n">
        <v>0</v>
      </c>
      <c r="H5952" t="n">
        <v>172</v>
      </c>
      <c r="J5952" t="inlineStr">
        <is>
          <t>El Terreno</t>
        </is>
      </c>
      <c r="AH5952" t="inlineStr">
        <is>
          <t>Quelle: Balearic Properties</t>
        </is>
      </c>
    </row>
    <row r="5953">
      <c r="A5953" t="n">
        <v>5766</v>
      </c>
      <c r="B5953" t="inlineStr">
        <is>
          <t>Family home in walking distance to the harbour for sale in Port d'Andratx, Mallorca</t>
        </is>
      </c>
      <c r="C5953" t="inlineStr">
        <is>
          <t>https://www.balearic-properties.com/en/property/id/931285-villa-views-sea-puerto-andratx-mallorca-html</t>
        </is>
      </c>
      <c r="E5953" t="n">
        <v>6</v>
      </c>
      <c r="G5953" t="n">
        <v>884</v>
      </c>
      <c r="H5953" t="n">
        <v>337</v>
      </c>
      <c r="J5953" t="inlineStr">
        <is>
          <t>Puerto Andratx</t>
        </is>
      </c>
      <c r="K5953" t="n">
        <v>43.5</v>
      </c>
      <c r="L5953" t="n">
        <v>38</v>
      </c>
      <c r="M5953" t="n">
        <v>86.2</v>
      </c>
      <c r="N5953" t="n">
        <v>71</v>
      </c>
      <c r="O5953" t="n">
        <v>6.3</v>
      </c>
      <c r="P5953" t="n">
        <v>11</v>
      </c>
      <c r="Q5953" t="n">
        <v>83.90000000000001</v>
      </c>
      <c r="R5953" t="n">
        <v>68</v>
      </c>
      <c r="AH5953" t="inlineStr">
        <is>
          <t>Quelle: Balearic Properties</t>
        </is>
      </c>
    </row>
    <row r="5954">
      <c r="A5954" t="n">
        <v>5767</v>
      </c>
      <c r="B5954" t="inlineStr">
        <is>
          <t>Luxurious penthouse with roof terrace for sale in Palma, Mallorca</t>
        </is>
      </c>
      <c r="C5954" t="inlineStr">
        <is>
          <t>https://www.balearic-properties.com/en/property/id/932335-deluxe-seaview-penthouse-palma-mallorca-html</t>
        </is>
      </c>
      <c r="E5954" t="n">
        <v>3</v>
      </c>
      <c r="G5954" t="n">
        <v>0</v>
      </c>
      <c r="H5954" t="n">
        <v>121</v>
      </c>
      <c r="J5954" t="inlineStr">
        <is>
          <t>Palma de Mallorca</t>
        </is>
      </c>
      <c r="AH5954" t="inlineStr">
        <is>
          <t>Quelle: Balearic Properties</t>
        </is>
      </c>
    </row>
    <row r="5955">
      <c r="A5955" t="n">
        <v>5768</v>
      </c>
      <c r="B5955" t="inlineStr">
        <is>
          <t>Town house with patio to refurbish for sale in the old town of Pollensa, Mallorca</t>
        </is>
      </c>
      <c r="C5955" t="inlineStr">
        <is>
          <t>https://www.balearic-properties.com/en/property/id/932206-townhouse-refurbish-patio-pollensa-mallorca-html</t>
        </is>
      </c>
      <c r="E5955" t="n">
        <v>4</v>
      </c>
      <c r="G5955" t="n">
        <v>103</v>
      </c>
      <c r="H5955" t="n">
        <v>212</v>
      </c>
      <c r="J5955" t="inlineStr">
        <is>
          <t>Pollença Pueblo</t>
        </is>
      </c>
      <c r="AH5955" t="inlineStr">
        <is>
          <t>Quelle: Balearic Properties</t>
        </is>
      </c>
    </row>
    <row r="5956">
      <c r="A5956" t="n">
        <v>5769</v>
      </c>
      <c r="B5956" t="inlineStr">
        <is>
          <t>Beachfront apartment for sale in Cala Vinyes, Mallorca Southwest</t>
        </is>
      </c>
      <c r="C5956" t="inlineStr">
        <is>
          <t>https://www.balearic-properties.com/en/property/id/932315-large-seafront-apartment-cala-vinyes-mallorca-html</t>
        </is>
      </c>
      <c r="E5956" t="n">
        <v>3</v>
      </c>
      <c r="G5956" t="n">
        <v>0</v>
      </c>
      <c r="H5956" t="n">
        <v>216</v>
      </c>
      <c r="J5956" t="inlineStr">
        <is>
          <t>Cala Vinyes</t>
        </is>
      </c>
      <c r="AH5956" t="inlineStr">
        <is>
          <t>Quelle: Balearic Properties</t>
        </is>
      </c>
    </row>
    <row r="5957">
      <c r="A5957" t="n">
        <v>5770</v>
      </c>
      <c r="B5957" t="inlineStr">
        <is>
          <t>Mallorcan, charming country home in Pollensa</t>
        </is>
      </c>
      <c r="C5957" t="inlineStr">
        <is>
          <t>https://www.balearic-properties.com/en/property/id/855788-charming-country-home-exclusive-pollensa-mallorca-html</t>
        </is>
      </c>
      <c r="E5957" t="n">
        <v>4</v>
      </c>
      <c r="G5957" t="n">
        <v>10123</v>
      </c>
      <c r="H5957" t="n">
        <v>234</v>
      </c>
      <c r="J5957" t="inlineStr">
        <is>
          <t>Pollença</t>
        </is>
      </c>
      <c r="AH5957" t="inlineStr">
        <is>
          <t>Quelle: Balearic Properties</t>
        </is>
      </c>
    </row>
    <row r="5958">
      <c r="A5958" t="n">
        <v>5771</v>
      </c>
      <c r="B5958" t="inlineStr">
        <is>
          <t>Luxury apartments for sale in desirable Cala Major, Mallorca</t>
        </is>
      </c>
      <c r="C5958" t="inlineStr">
        <is>
          <t>https://www.balearic-properties.com/en/property/id/886327-luxury-apartments-for-sale-in-desirable-cala-major-mallorca-html</t>
        </is>
      </c>
      <c r="E5958" t="n">
        <v>3</v>
      </c>
      <c r="G5958" t="n">
        <v>0</v>
      </c>
      <c r="H5958" t="n">
        <v>140</v>
      </c>
      <c r="J5958" t="inlineStr">
        <is>
          <t>Cala Major</t>
        </is>
      </c>
      <c r="AH5958" t="inlineStr">
        <is>
          <t>Quelle: Balearic Properties</t>
        </is>
      </c>
    </row>
    <row r="5959">
      <c r="A5959" t="n">
        <v>5772</v>
      </c>
      <c r="B5959" t="inlineStr">
        <is>
          <t>New apartments for sale in sought-after Cala Major, Mallorca</t>
        </is>
      </c>
      <c r="C5959" t="inlineStr">
        <is>
          <t>https://www.balearic-properties.com/en/property/id/886325-new-apartments-for-sale-in-sought-after-cala-major-mallorca</t>
        </is>
      </c>
      <c r="E5959" t="n">
        <v>3</v>
      </c>
      <c r="G5959" t="n">
        <v>0</v>
      </c>
      <c r="H5959" t="n">
        <v>145</v>
      </c>
      <c r="J5959" t="inlineStr">
        <is>
          <t>Cala Major</t>
        </is>
      </c>
      <c r="AH5959" t="inlineStr">
        <is>
          <t>Quelle: Balearic Properties</t>
        </is>
      </c>
    </row>
    <row r="5960">
      <c r="A5960" t="n">
        <v>5773</v>
      </c>
      <c r="B5960" t="inlineStr">
        <is>
          <t>Last apartments for sale in a new development in Palma, Mallorca</t>
        </is>
      </c>
      <c r="C5960" t="inlineStr">
        <is>
          <t>https://www.balearic-properties.com/en/property/id/931653-new-apartments-palma-mallorca-html</t>
        </is>
      </c>
      <c r="E5960" t="n">
        <v>3</v>
      </c>
      <c r="G5960" t="n">
        <v>0</v>
      </c>
      <c r="H5960" t="n">
        <v>77</v>
      </c>
      <c r="J5960" t="inlineStr">
        <is>
          <t>Palma de Mallorca</t>
        </is>
      </c>
      <c r="AH5960" t="inlineStr">
        <is>
          <t>Quelle: Balearic Properties</t>
        </is>
      </c>
    </row>
    <row r="5961">
      <c r="A5961" t="n">
        <v>5774</v>
      </c>
      <c r="B5961" t="inlineStr">
        <is>
          <t>Elegant new apartments for sale opposite the park in Palma, Mallorca</t>
        </is>
      </c>
      <c r="C5961" t="inlineStr">
        <is>
          <t>https://www.balearic-properties.com/en/property/id/926301-new-apartments-palma-mallorca-html</t>
        </is>
      </c>
      <c r="E5961" t="n">
        <v>3</v>
      </c>
      <c r="G5961" t="n">
        <v>0</v>
      </c>
      <c r="H5961" t="n">
        <v>77</v>
      </c>
      <c r="J5961" t="inlineStr">
        <is>
          <t>Palma de Mallorca</t>
        </is>
      </c>
      <c r="AH5961" t="inlineStr">
        <is>
          <t>Quelle: Balearic Properties</t>
        </is>
      </c>
    </row>
    <row r="5962">
      <c r="A5962" t="n">
        <v>5775</v>
      </c>
      <c r="B5962" t="inlineStr">
        <is>
          <t>Captivating finca with guest house and pool for sale in Porreres, Mallorca</t>
        </is>
      </c>
      <c r="C5962" t="inlineStr">
        <is>
          <t>https://www.balearic-properties.com/en/property/id/920149-captivating-finca-guest-house-porreres-mallorca-html</t>
        </is>
      </c>
      <c r="E5962" t="n">
        <v>5</v>
      </c>
      <c r="G5962" t="n">
        <v>19900</v>
      </c>
      <c r="H5962" t="n">
        <v>644</v>
      </c>
      <c r="J5962" t="inlineStr">
        <is>
          <t>Porreres</t>
        </is>
      </c>
      <c r="K5962" t="n">
        <v>35.9</v>
      </c>
      <c r="L5962" t="n">
        <v>34</v>
      </c>
      <c r="M5962" t="n">
        <v>27.6</v>
      </c>
      <c r="N5962" t="n">
        <v>32</v>
      </c>
      <c r="O5962" t="n">
        <v>69.3</v>
      </c>
      <c r="P5962" t="n">
        <v>59</v>
      </c>
      <c r="Q5962" t="n">
        <v>25.3</v>
      </c>
      <c r="R5962" t="n">
        <v>29</v>
      </c>
      <c r="AH5962" t="inlineStr">
        <is>
          <t>Quelle: Balearic Properties</t>
        </is>
      </c>
    </row>
    <row r="5963">
      <c r="A5963" t="n">
        <v>5776</v>
      </c>
      <c r="B5963" t="inlineStr">
        <is>
          <t>Stylish front line apartment for sale in Cala Gamba, Palma de Mallorca</t>
        </is>
      </c>
      <c r="C5963" t="inlineStr">
        <is>
          <t>https://www.balearic-properties.com/en/property/id/908420-stylish-front-line-apartment-cala-gamba-palma-de-mallorca-html</t>
        </is>
      </c>
      <c r="E5963" t="n">
        <v>3</v>
      </c>
      <c r="G5963" t="n">
        <v>0</v>
      </c>
      <c r="H5963" t="n">
        <v>108</v>
      </c>
      <c r="J5963" t="inlineStr">
        <is>
          <t>Palma de Mallorca</t>
        </is>
      </c>
      <c r="AH5963" t="inlineStr">
        <is>
          <t>Quelle: Balearic Properties</t>
        </is>
      </c>
    </row>
    <row r="5964">
      <c r="A5964" t="n">
        <v>5777</v>
      </c>
      <c r="B5964" t="inlineStr">
        <is>
          <t>House needing renovation for sale near the beach in Santa Ponsa, Mallorca</t>
        </is>
      </c>
      <c r="C5964" t="inlineStr">
        <is>
          <t>https://www.balearic-properties.com/en/property/id/931066-house-walking-distance-beach-santa-ponsa-mallorca-html</t>
        </is>
      </c>
      <c r="E5964" t="n">
        <v>7</v>
      </c>
      <c r="G5964" t="n">
        <v>1495</v>
      </c>
      <c r="H5964" t="n">
        <v>296</v>
      </c>
      <c r="J5964" t="inlineStr">
        <is>
          <t>Santa Ponsa</t>
        </is>
      </c>
      <c r="K5964" t="n">
        <v>31.1</v>
      </c>
      <c r="L5964" t="n">
        <v>28</v>
      </c>
      <c r="M5964" t="n">
        <v>73.90000000000001</v>
      </c>
      <c r="N5964" t="n">
        <v>61</v>
      </c>
      <c r="O5964" t="n">
        <v>15.2</v>
      </c>
      <c r="P5964" t="n">
        <v>19</v>
      </c>
      <c r="Q5964" t="n">
        <v>71.59999999999999</v>
      </c>
      <c r="R5964" t="n">
        <v>57</v>
      </c>
      <c r="AH5964" t="inlineStr">
        <is>
          <t>Quelle: Balearic Properties</t>
        </is>
      </c>
    </row>
    <row r="5965">
      <c r="A5965" t="n">
        <v>5778</v>
      </c>
      <c r="B5965" t="inlineStr">
        <is>
          <t>Newly built finca with panoramic views for sale in Inca, Mallorca</t>
        </is>
      </c>
      <c r="C5965" t="inlineStr">
        <is>
          <t>https://www.balearic-properties.com/en/property/id/928411-new-finca-panoramic-views-inca-mallorca-html</t>
        </is>
      </c>
      <c r="E5965" t="n">
        <v>4</v>
      </c>
      <c r="G5965" t="n">
        <v>11620</v>
      </c>
      <c r="H5965" t="n">
        <v>510</v>
      </c>
      <c r="J5965" t="inlineStr">
        <is>
          <t>Santa Magdalena</t>
        </is>
      </c>
      <c r="K5965" t="n">
        <v>10.7</v>
      </c>
      <c r="L5965" t="n">
        <v>20</v>
      </c>
      <c r="M5965" t="n">
        <v>53.5</v>
      </c>
      <c r="N5965" t="n">
        <v>53</v>
      </c>
      <c r="O5965" t="n">
        <v>31.3</v>
      </c>
      <c r="P5965" t="n">
        <v>31</v>
      </c>
      <c r="Q5965" t="n">
        <v>51.2</v>
      </c>
      <c r="R5965" t="n">
        <v>49</v>
      </c>
      <c r="S5965" t="n">
        <v>1600000</v>
      </c>
      <c r="T5965" t="n">
        <v>3137</v>
      </c>
      <c r="U5965" t="n">
        <v>138</v>
      </c>
      <c r="AH5965" t="inlineStr">
        <is>
          <t>Quelle: Balearic Properties</t>
        </is>
      </c>
    </row>
    <row r="5966">
      <c r="A5966" t="n">
        <v>5779</v>
      </c>
      <c r="B5966" t="inlineStr">
        <is>
          <t>Incredible finca with mountain views for in Santa Maria del Cami, Mallorca</t>
        </is>
      </c>
      <c r="C5966" t="inlineStr">
        <is>
          <t>https://www.balearic-properties.com/en/property/id/931053-charming-finca-views-santa-maria-del-cami-mallorca-html</t>
        </is>
      </c>
      <c r="E5966" t="n">
        <v>5</v>
      </c>
      <c r="G5966" t="n">
        <v>16347</v>
      </c>
      <c r="H5966" t="n">
        <v>818</v>
      </c>
      <c r="J5966" t="inlineStr">
        <is>
          <t>Santa Maria del Camí</t>
        </is>
      </c>
      <c r="K5966" t="n">
        <v>23.5</v>
      </c>
      <c r="L5966" t="n">
        <v>21</v>
      </c>
      <c r="M5966" t="n">
        <v>66.3</v>
      </c>
      <c r="N5966" t="n">
        <v>54</v>
      </c>
      <c r="O5966" t="n">
        <v>46.1</v>
      </c>
      <c r="P5966" t="n">
        <v>37</v>
      </c>
      <c r="Q5966" t="n">
        <v>64</v>
      </c>
      <c r="R5966" t="n">
        <v>51</v>
      </c>
      <c r="AH5966" t="inlineStr">
        <is>
          <t>Quelle: Balearic Properties</t>
        </is>
      </c>
    </row>
    <row r="5967">
      <c r="A5967" t="n">
        <v>5780</v>
      </c>
      <c r="B5967" t="inlineStr">
        <is>
          <t>Charming family home for sale in the town centre of Calvià, Mallorca</t>
        </is>
      </c>
      <c r="C5967" t="inlineStr">
        <is>
          <t>https://www.balearic-properties.com/en/property/id/929964-charming-family-home-calvia-mallorca-html</t>
        </is>
      </c>
      <c r="E5967" t="n">
        <v>4</v>
      </c>
      <c r="G5967" t="n">
        <v>0</v>
      </c>
      <c r="H5967" t="n">
        <v>236</v>
      </c>
      <c r="J5967" t="inlineStr">
        <is>
          <t>Calvià Village</t>
        </is>
      </c>
      <c r="AH5967" t="inlineStr">
        <is>
          <t>Quelle: Balearic Properties</t>
        </is>
      </c>
    </row>
    <row r="5968">
      <c r="A5968" t="n">
        <v>5781</v>
      </c>
      <c r="B5968" t="inlineStr">
        <is>
          <t>A True Paradise! Luxury lifestyle estate for sale in Santa Eugènia, Mallorca</t>
        </is>
      </c>
      <c r="C5968" t="inlineStr">
        <is>
          <t>https://www.balearic-properties.com/en/property/id/929774-enchanting-luxury-estate-santa-eugenia-mallorca-html</t>
        </is>
      </c>
      <c r="E5968" t="n">
        <v>8</v>
      </c>
      <c r="G5968" t="n">
        <v>13880</v>
      </c>
      <c r="H5968" t="n">
        <v>511</v>
      </c>
      <c r="J5968" t="inlineStr">
        <is>
          <t>Santa Eugènia</t>
        </is>
      </c>
      <c r="K5968" t="n">
        <v>28.5</v>
      </c>
      <c r="L5968" t="n">
        <v>25</v>
      </c>
      <c r="M5968" t="n">
        <v>48.2</v>
      </c>
      <c r="N5968" t="n">
        <v>48</v>
      </c>
      <c r="O5968" t="n">
        <v>51.1</v>
      </c>
      <c r="P5968" t="n">
        <v>42</v>
      </c>
      <c r="Q5968" t="n">
        <v>45.9</v>
      </c>
      <c r="R5968" t="n">
        <v>44</v>
      </c>
      <c r="AH5968" t="inlineStr">
        <is>
          <t>Quelle: Balearic Properties</t>
        </is>
      </c>
    </row>
    <row r="5969">
      <c r="A5969" t="n">
        <v>5782</v>
      </c>
      <c r="B5969" t="inlineStr">
        <is>
          <t>Fully renovated apartment with sea views for sale in Cas Catala, Mallorca</t>
        </is>
      </c>
      <c r="C5969" t="inlineStr">
        <is>
          <t>https://www.balearic-properties.com/en/property/id/930050-renovated-apartment-seaviews-cas-catala-mallorca-html</t>
        </is>
      </c>
      <c r="E5969" t="n">
        <v>3</v>
      </c>
      <c r="G5969" t="n">
        <v>0</v>
      </c>
      <c r="H5969" t="n">
        <v>195</v>
      </c>
      <c r="J5969" t="inlineStr">
        <is>
          <t>Cas Català</t>
        </is>
      </c>
      <c r="AH5969" t="inlineStr">
        <is>
          <t>Quelle: Balearic Properties</t>
        </is>
      </c>
    </row>
    <row r="5970">
      <c r="A5970" t="n">
        <v>5783</v>
      </c>
      <c r="B5970" t="inlineStr">
        <is>
          <t>State-of-the-art villa with pool for sale in Bonaire, Alcudia, Mallorca</t>
        </is>
      </c>
      <c r="C5970" t="inlineStr">
        <is>
          <t>https://www.balearic-properties.com/en/property/id/926481-villa-pool-alcudia-mallorca-html</t>
        </is>
      </c>
      <c r="E5970" t="n">
        <v>5</v>
      </c>
      <c r="G5970" t="n">
        <v>1210</v>
      </c>
      <c r="H5970" t="n">
        <v>583</v>
      </c>
      <c r="J5970" t="inlineStr">
        <is>
          <t>Bonaire</t>
        </is>
      </c>
      <c r="K5970" t="n">
        <v>64.40000000000001</v>
      </c>
      <c r="L5970" t="n">
        <v>54</v>
      </c>
      <c r="M5970" t="n">
        <v>82.5</v>
      </c>
      <c r="N5970" t="n">
        <v>80</v>
      </c>
      <c r="O5970" t="n">
        <v>87</v>
      </c>
      <c r="P5970" t="n">
        <v>70</v>
      </c>
      <c r="Q5970" t="n">
        <v>80.2</v>
      </c>
      <c r="R5970" t="n">
        <v>77</v>
      </c>
      <c r="AH5970" t="inlineStr">
        <is>
          <t>Quelle: Balearic Properties</t>
        </is>
      </c>
    </row>
    <row r="5971">
      <c r="A5971" t="n">
        <v>5784</v>
      </c>
      <c r="B5971" t="inlineStr">
        <is>
          <t>Chic penthouse with sea view terraces for sale in Palma, Mallorca</t>
        </is>
      </c>
      <c r="C5971" t="inlineStr">
        <is>
          <t>https://www.balearic-properties.com/en/property/id/929640-ground-floor-apartment-with-private-garden-for-sale-in-palma-mallorca-html</t>
        </is>
      </c>
      <c r="E5971" t="n">
        <v>3</v>
      </c>
      <c r="G5971" t="n">
        <v>0</v>
      </c>
      <c r="H5971" t="n">
        <v>139</v>
      </c>
      <c r="J5971" t="inlineStr">
        <is>
          <t>Palma de Mallorca</t>
        </is>
      </c>
      <c r="AH5971" t="inlineStr">
        <is>
          <t>Quelle: Balearic Properties</t>
        </is>
      </c>
    </row>
    <row r="5972">
      <c r="A5972" t="n">
        <v>5785</v>
      </c>
      <c r="B5972" t="inlineStr">
        <is>
          <t>Elegant duplex penthouse with sea views for sale in Palma, Mallorca</t>
        </is>
      </c>
      <c r="C5972" t="inlineStr">
        <is>
          <t>https://www.balearic-properties.com/en/property/id/929320-elegant-duplex-penthouse-sea-views-palma-mallorca-html</t>
        </is>
      </c>
      <c r="E5972" t="n">
        <v>3</v>
      </c>
      <c r="G5972" t="n">
        <v>0</v>
      </c>
      <c r="H5972" t="n">
        <v>248</v>
      </c>
      <c r="J5972" t="inlineStr">
        <is>
          <t>Palma de Mallorca</t>
        </is>
      </c>
      <c r="AH5972" t="inlineStr">
        <is>
          <t>Quelle: Balearic Properties</t>
        </is>
      </c>
    </row>
    <row r="5973">
      <c r="A5973" t="n">
        <v>5786</v>
      </c>
      <c r="B5973" t="inlineStr">
        <is>
          <t>Modern style house with pool for sale in Colonia Sant Jordi, Mallorca</t>
        </is>
      </c>
      <c r="C5973" t="inlineStr">
        <is>
          <t>https://www.balearic-properties.com/en/property/id/929449-new-house-private-pool-colonia-sant-jordi-mallorca-html</t>
        </is>
      </c>
      <c r="E5973" t="n">
        <v>3</v>
      </c>
      <c r="G5973" t="n">
        <v>0</v>
      </c>
      <c r="H5973" t="n">
        <v>133</v>
      </c>
      <c r="J5973" t="inlineStr">
        <is>
          <t>Colònia de Sant Jordi</t>
        </is>
      </c>
      <c r="AH5973" t="inlineStr">
        <is>
          <t>Quelle: Balearic Properties</t>
        </is>
      </c>
    </row>
    <row r="5974">
      <c r="A5974" t="n">
        <v>5787</v>
      </c>
      <c r="B5974" t="inlineStr">
        <is>
          <t>New houses for sale on a small development in Cala Millor, Mallorca</t>
        </is>
      </c>
      <c r="C5974" t="inlineStr">
        <is>
          <t>https://www.balearic-properties.com/en/property/id/929157-new-houses-and-apartments-cala-millor-mallorca-html</t>
        </is>
      </c>
      <c r="E5974" t="n">
        <v>4</v>
      </c>
      <c r="G5974" t="n">
        <v>106</v>
      </c>
      <c r="H5974" t="n">
        <v>96</v>
      </c>
      <c r="J5974" t="inlineStr">
        <is>
          <t>Cala Millor</t>
        </is>
      </c>
      <c r="AH5974" t="inlineStr">
        <is>
          <t>Quelle: Balearic Properties</t>
        </is>
      </c>
    </row>
    <row r="5975">
      <c r="A5975" t="n">
        <v>5788</v>
      </c>
      <c r="B5975" t="inlineStr">
        <is>
          <t>Stylish new development for sale near the beach in Cala Millor, Mallorca</t>
        </is>
      </c>
      <c r="C5975" t="inlineStr">
        <is>
          <t>https://www.balearic-properties.com/en/property/id/929155-new-houses-and-apartments-cala-millor-mallorca-html</t>
        </is>
      </c>
      <c r="E5975" t="n">
        <v>4</v>
      </c>
      <c r="G5975" t="n">
        <v>102</v>
      </c>
      <c r="H5975" t="n">
        <v>97</v>
      </c>
      <c r="J5975" t="inlineStr">
        <is>
          <t>Cala Millor</t>
        </is>
      </c>
      <c r="AH5975" t="inlineStr">
        <is>
          <t>Quelle: Balearic Properties</t>
        </is>
      </c>
    </row>
    <row r="5976">
      <c r="A5976" t="n">
        <v>5789</v>
      </c>
      <c r="B5976" t="inlineStr">
        <is>
          <t>New houses and apartments for sale near the beach in Cala Millor, Mallorca</t>
        </is>
      </c>
      <c r="C5976" t="inlineStr">
        <is>
          <t>https://www.balearic-properties.com/en/property/id/926306-new-houses-and-apartments-cala-millor-mallorca-html</t>
        </is>
      </c>
      <c r="E5976" t="n">
        <v>4</v>
      </c>
      <c r="G5976" t="n">
        <v>130</v>
      </c>
      <c r="H5976" t="n">
        <v>96</v>
      </c>
      <c r="J5976" t="inlineStr">
        <is>
          <t>Cala Millor</t>
        </is>
      </c>
      <c r="AH5976" t="inlineStr">
        <is>
          <t>Quelle: Balearic Properties</t>
        </is>
      </c>
    </row>
    <row r="5977">
      <c r="A5977" t="n">
        <v>5790</v>
      </c>
      <c r="B5977" t="inlineStr">
        <is>
          <t>New apartments for sale near the beach in Cala Millor, Mallorca</t>
        </is>
      </c>
      <c r="C5977" t="inlineStr">
        <is>
          <t>https://www.balearic-properties.com/en/property/id/926307-new-apartments-cala-millor-mallorca-html</t>
        </is>
      </c>
      <c r="E5977" t="n">
        <v>2</v>
      </c>
      <c r="G5977" t="n">
        <v>0</v>
      </c>
      <c r="H5977" t="n">
        <v>67</v>
      </c>
      <c r="J5977" t="inlineStr">
        <is>
          <t>Cala Millor</t>
        </is>
      </c>
      <c r="AH5977" t="inlineStr">
        <is>
          <t>Quelle: Balearic Properties</t>
        </is>
      </c>
    </row>
    <row r="5978">
      <c r="A5978" t="n">
        <v>5791</v>
      </c>
      <c r="B5978" t="inlineStr">
        <is>
          <t>Attractive new apartments for sale in Cala Millor, Mallorca</t>
        </is>
      </c>
      <c r="C5978" t="inlineStr">
        <is>
          <t>https://www.balearic-properties.com/en/property/id/929164-new-apartments-cala-millor-mallorca-html</t>
        </is>
      </c>
      <c r="E5978" t="n">
        <v>2</v>
      </c>
      <c r="G5978" t="n">
        <v>0</v>
      </c>
      <c r="H5978" t="n">
        <v>65</v>
      </c>
      <c r="J5978" t="inlineStr">
        <is>
          <t>Cala Millor</t>
        </is>
      </c>
      <c r="S5978" t="n">
        <v>339000</v>
      </c>
      <c r="T5978" t="n">
        <v>5215</v>
      </c>
      <c r="AH5978" t="inlineStr">
        <is>
          <t>Quelle: Balearic Properties</t>
        </is>
      </c>
    </row>
    <row r="5979">
      <c r="A5979" t="n">
        <v>5792</v>
      </c>
      <c r="B5979" t="inlineStr">
        <is>
          <t>Brand new villa with mountain views for sale in Santa Ponsa, Mallorca</t>
        </is>
      </c>
      <c r="C5979" t="inlineStr">
        <is>
          <t>https://www.balearic-properties.com/en/property/id/928881-new-villa-mountain-views-santa-ponsa-mallorca-html</t>
        </is>
      </c>
      <c r="E5979" t="n">
        <v>4</v>
      </c>
      <c r="G5979" t="n">
        <v>1158</v>
      </c>
      <c r="H5979" t="n">
        <v>345</v>
      </c>
      <c r="J5979" t="inlineStr">
        <is>
          <t>Santa Ponsa</t>
        </is>
      </c>
      <c r="AH5979" t="inlineStr">
        <is>
          <t>Quelle: Balearic Properties</t>
        </is>
      </c>
    </row>
    <row r="5980">
      <c r="A5980" t="n">
        <v>5793</v>
      </c>
      <c r="B5980" t="inlineStr">
        <is>
          <t>Mediterranean sea view villa for sale in Costa D'en Blanes, Mallorca</t>
        </is>
      </c>
      <c r="C5980" t="inlineStr">
        <is>
          <t>https://www.balearic-properties.com/en/property/id/927616-seaview-villa-costa-den-blanes-mallorca-html</t>
        </is>
      </c>
      <c r="E5980" t="n">
        <v>3</v>
      </c>
      <c r="G5980" t="n">
        <v>940</v>
      </c>
      <c r="H5980" t="n">
        <v>500</v>
      </c>
      <c r="J5980" t="inlineStr">
        <is>
          <t>Costa D´en Blanes</t>
        </is>
      </c>
      <c r="AH5980" t="inlineStr">
        <is>
          <t>Quelle: Balearic Properties</t>
        </is>
      </c>
    </row>
    <row r="5981">
      <c r="A5981" t="n">
        <v>5794</v>
      </c>
      <c r="B5981" t="inlineStr">
        <is>
          <t>Outstanding new development with apartments for sale in Palma, Mallorca</t>
        </is>
      </c>
      <c r="C5981" t="inlineStr">
        <is>
          <t>https://www.balearic-properties.com/en/property/id/928435-bright-penthouse-rooftop-terrasse-palma-mallorca-html</t>
        </is>
      </c>
      <c r="E5981" t="n">
        <v>1</v>
      </c>
      <c r="G5981" t="n">
        <v>0</v>
      </c>
      <c r="H5981" t="n">
        <v>50</v>
      </c>
      <c r="J5981" t="inlineStr">
        <is>
          <t>Palma de Mallorca</t>
        </is>
      </c>
      <c r="AH5981" t="inlineStr">
        <is>
          <t>Quelle: Balearic Properties</t>
        </is>
      </c>
    </row>
    <row r="5982">
      <c r="A5982" t="n">
        <v>5795</v>
      </c>
      <c r="B5982" t="inlineStr">
        <is>
          <t>Newly constructed luxury apartments for sale in Palma, Mallorca</t>
        </is>
      </c>
      <c r="C5982" t="inlineStr">
        <is>
          <t>https://www.balearic-properties.com/en/property/id/928438-bright-penthouse-rooftop-terrasse-palma-mallorca-html</t>
        </is>
      </c>
      <c r="E5982" t="n">
        <v>1</v>
      </c>
      <c r="G5982" t="n">
        <v>0</v>
      </c>
      <c r="H5982" t="n">
        <v>66</v>
      </c>
      <c r="J5982" t="inlineStr">
        <is>
          <t>Palma de Mallorca</t>
        </is>
      </c>
      <c r="AH5982" t="inlineStr">
        <is>
          <t>Quelle: Balearic Properties</t>
        </is>
      </c>
    </row>
    <row r="5983">
      <c r="A5983" t="n">
        <v>5796</v>
      </c>
      <c r="B5983" t="inlineStr">
        <is>
          <t>Perfectly located apartments for sale in Santa Catalina, Palma, Mallorca</t>
        </is>
      </c>
      <c r="C5983" t="inlineStr">
        <is>
          <t>https://www.balearic-properties.com/en/property/id/928447-bright-penthouse-rooftop-terrasse-palma-mallorca-html</t>
        </is>
      </c>
      <c r="E5983" t="n">
        <v>3</v>
      </c>
      <c r="G5983" t="n">
        <v>0</v>
      </c>
      <c r="H5983" t="n">
        <v>103</v>
      </c>
      <c r="J5983" t="inlineStr">
        <is>
          <t>Palma de Mallorca</t>
        </is>
      </c>
      <c r="AH5983" t="inlineStr">
        <is>
          <t>Quelle: Balearic Properties</t>
        </is>
      </c>
    </row>
    <row r="5984">
      <c r="A5984" t="n">
        <v>5797</v>
      </c>
      <c r="B5984" t="inlineStr">
        <is>
          <t>Penthouse and apartment investments for sale in exclusive Palma, Mallorca</t>
        </is>
      </c>
      <c r="C5984" t="inlineStr">
        <is>
          <t>https://www.balearic-properties.com/en/property/id/928453-bright-penthouse-rooftop-terrasse-palma-mallorca-html</t>
        </is>
      </c>
      <c r="E5984" t="n">
        <v>3</v>
      </c>
      <c r="G5984" t="n">
        <v>0</v>
      </c>
      <c r="H5984" t="n">
        <v>200</v>
      </c>
      <c r="J5984" t="inlineStr">
        <is>
          <t>Palma de Mallorca</t>
        </is>
      </c>
      <c r="AH5984" t="inlineStr">
        <is>
          <t>Quelle: Balearic Properties</t>
        </is>
      </c>
    </row>
    <row r="5985">
      <c r="A5985" t="n">
        <v>5798</v>
      </c>
      <c r="B5985" t="inlineStr">
        <is>
          <t>Stylish Mediterranean finca for sale near the town Santanyí, Mallorca</t>
        </is>
      </c>
      <c r="C5985" t="inlineStr">
        <is>
          <t>https://www.balearic-properties.com/en/property/id/928092-finca-town-santanyi-mallorca-html</t>
        </is>
      </c>
      <c r="E5985" t="n">
        <v>5</v>
      </c>
      <c r="G5985" t="n">
        <v>14500</v>
      </c>
      <c r="H5985" t="n">
        <v>478</v>
      </c>
      <c r="J5985" t="inlineStr">
        <is>
          <t>Santanyí</t>
        </is>
      </c>
      <c r="K5985" t="n">
        <v>45.4</v>
      </c>
      <c r="L5985" t="n">
        <v>39</v>
      </c>
      <c r="M5985" t="n">
        <v>9</v>
      </c>
      <c r="N5985" t="n">
        <v>13</v>
      </c>
      <c r="O5985" t="n">
        <v>83.59999999999999</v>
      </c>
      <c r="P5985" t="n">
        <v>67</v>
      </c>
      <c r="Q5985" t="n">
        <v>9.699999999999999</v>
      </c>
      <c r="R5985" t="n">
        <v>15</v>
      </c>
      <c r="AH5985" t="inlineStr">
        <is>
          <t>Quelle: Balearic Properties</t>
        </is>
      </c>
    </row>
    <row r="5986">
      <c r="A5986" t="n">
        <v>5799</v>
      </c>
      <c r="B5986" t="inlineStr">
        <is>
          <t>Development of two triplex apartments for sale in Muro, Mallorca</t>
        </is>
      </c>
      <c r="C5986" t="inlineStr">
        <is>
          <t>https://www.balearic-properties.com/en/property/id/927676-development-triplex-apartment-muro-mallorca-html</t>
        </is>
      </c>
      <c r="E5986" t="n">
        <v>3</v>
      </c>
      <c r="G5986" t="n">
        <v>198</v>
      </c>
      <c r="H5986" t="n">
        <v>183</v>
      </c>
      <c r="J5986" t="inlineStr">
        <is>
          <t>Muro</t>
        </is>
      </c>
      <c r="AH5986" t="inlineStr">
        <is>
          <t>Quelle: Balearic Properties</t>
        </is>
      </c>
    </row>
    <row r="5987">
      <c r="A5987" t="n">
        <v>5800</v>
      </c>
      <c r="B5987" t="inlineStr">
        <is>
          <t>Town house with terrace for sale in the historic centre of Pollensa</t>
        </is>
      </c>
      <c r="C5987" t="inlineStr">
        <is>
          <t>https://www.balearic-properties.com/en/property/id/853253-town-house-for-sale-in-historic-centre-of-pollensa-html</t>
        </is>
      </c>
      <c r="E5987" t="n">
        <v>2</v>
      </c>
      <c r="G5987" t="n">
        <v>0</v>
      </c>
      <c r="H5987" t="n">
        <v>103</v>
      </c>
      <c r="J5987" t="inlineStr">
        <is>
          <t>Pollença Pueblo</t>
        </is>
      </c>
      <c r="AH5987" t="inlineStr">
        <is>
          <t>Quelle: Balearic Properties</t>
        </is>
      </c>
    </row>
    <row r="5988">
      <c r="A5988" t="n">
        <v>5801</v>
      </c>
      <c r="B5988" t="inlineStr">
        <is>
          <t>Wonderful family villa for sale close to the beach in Puerto Pollensa, Mallorca</t>
        </is>
      </c>
      <c r="C5988" t="inlineStr">
        <is>
          <t>https://www.balearic-properties.com/en/property/id/861054-wonderful-family-villa-beach-puerto-pollensa-mallorca-html</t>
        </is>
      </c>
      <c r="E5988" t="n">
        <v>4</v>
      </c>
      <c r="G5988" t="n">
        <v>1103</v>
      </c>
      <c r="H5988" t="n">
        <v>328</v>
      </c>
      <c r="J5988" t="inlineStr">
        <is>
          <t>Port de Pollença</t>
        </is>
      </c>
      <c r="AH5988" t="inlineStr">
        <is>
          <t>Quelle: Balearic Properties</t>
        </is>
      </c>
    </row>
    <row r="5989">
      <c r="A5989" t="n">
        <v>5802</v>
      </c>
      <c r="B5989" t="inlineStr">
        <is>
          <t>Charming and peaceful finca in Algaida for sale, Mallorca</t>
        </is>
      </c>
      <c r="C5989" t="inlineStr">
        <is>
          <t>https://www.balearic-properties.com/en/property/id/926601-charming-and-peaceful-finca-in-algaida-mallorca</t>
        </is>
      </c>
      <c r="E5989" t="n">
        <v>7</v>
      </c>
      <c r="G5989" t="n">
        <v>39000</v>
      </c>
      <c r="H5989" t="n">
        <v>700</v>
      </c>
      <c r="J5989" t="inlineStr">
        <is>
          <t>Algaida</t>
        </is>
      </c>
      <c r="K5989" t="n">
        <v>20.1</v>
      </c>
      <c r="L5989" t="n">
        <v>21</v>
      </c>
      <c r="M5989" t="n">
        <v>39.8</v>
      </c>
      <c r="N5989" t="n">
        <v>41</v>
      </c>
      <c r="O5989" t="n">
        <v>54.4</v>
      </c>
      <c r="P5989" t="n">
        <v>46</v>
      </c>
      <c r="Q5989" t="n">
        <v>37.5</v>
      </c>
      <c r="R5989" t="n">
        <v>37</v>
      </c>
      <c r="AH5989" t="inlineStr">
        <is>
          <t>Quelle: Balearic Properties</t>
        </is>
      </c>
    </row>
    <row r="5990">
      <c r="A5990" t="n">
        <v>5803</v>
      </c>
      <c r="B5990" t="inlineStr">
        <is>
          <t>Charming private oasis with guest house for sale in Campos, Mallorca</t>
        </is>
      </c>
      <c r="C5990" t="inlineStr">
        <is>
          <t>https://www.balearic-properties.com/en/property/id/831022-charming-finca-es-trenc-campos-html</t>
        </is>
      </c>
      <c r="E5990" t="n">
        <v>2</v>
      </c>
      <c r="G5990" t="n">
        <v>5220</v>
      </c>
      <c r="H5990" t="n">
        <v>150</v>
      </c>
      <c r="J5990" t="inlineStr">
        <is>
          <t>Campos</t>
        </is>
      </c>
      <c r="AH5990" t="inlineStr">
        <is>
          <t>Quelle: Balearic Properties</t>
        </is>
      </c>
    </row>
    <row r="5991">
      <c r="A5991" t="n">
        <v>5804</v>
      </c>
      <c r="B5991" t="inlineStr">
        <is>
          <t>Attractive villa for sale close to the marina in Santa Ponsa, Mallorca</t>
        </is>
      </c>
      <c r="C5991" t="inlineStr">
        <is>
          <t>https://www.balearic-properties.com/en/property/id/922653-mediterranean-villa-in-santa-ponsa-calvia-mallorca-html</t>
        </is>
      </c>
      <c r="E5991" t="n">
        <v>3</v>
      </c>
      <c r="G5991" t="n">
        <v>1284</v>
      </c>
      <c r="H5991" t="n">
        <v>201</v>
      </c>
      <c r="J5991" t="inlineStr">
        <is>
          <t>Santa Ponsa</t>
        </is>
      </c>
      <c r="AH5991" t="inlineStr">
        <is>
          <t>Quelle: Balearic Properties</t>
        </is>
      </c>
    </row>
    <row r="5992">
      <c r="A5992" t="n">
        <v>5805</v>
      </c>
      <c r="B5992" t="inlineStr">
        <is>
          <t>Villa to be renovated with holiday rental license in Santa Ponsa for sale, Mallorca</t>
        </is>
      </c>
      <c r="C5992" t="inlineStr">
        <is>
          <t>https://www.balearic-properties.com/en/property/id/923922-semi-detached-house-to-be-renovated-with-holiday-rental-license-in-santa-ponsa-for-sale-mallorca</t>
        </is>
      </c>
      <c r="E5992" t="n">
        <v>7</v>
      </c>
      <c r="G5992" t="n">
        <v>1293</v>
      </c>
      <c r="H5992" t="n">
        <v>383</v>
      </c>
      <c r="J5992" t="inlineStr">
        <is>
          <t>Santa Ponsa</t>
        </is>
      </c>
      <c r="K5992" t="n">
        <v>31.1</v>
      </c>
      <c r="L5992" t="n">
        <v>28</v>
      </c>
      <c r="M5992" t="n">
        <v>73.90000000000001</v>
      </c>
      <c r="N5992" t="n">
        <v>61</v>
      </c>
      <c r="O5992" t="n">
        <v>15.2</v>
      </c>
      <c r="P5992" t="n">
        <v>19</v>
      </c>
      <c r="Q5992" t="n">
        <v>71.59999999999999</v>
      </c>
      <c r="R5992" t="n">
        <v>57</v>
      </c>
      <c r="AH5992" t="inlineStr">
        <is>
          <t>Quelle: Balearic Properties</t>
        </is>
      </c>
    </row>
    <row r="5993">
      <c r="A5993" t="n">
        <v>5806</v>
      </c>
      <c r="B5993" t="inlineStr">
        <is>
          <t>Attractive contemporary style villa for sale in Son Gual district of Palma</t>
        </is>
      </c>
      <c r="C5993" t="inlineStr">
        <is>
          <t>https://www.balearic-properties.com/en/property/id/923081-luxury-villa-palma-mallorca-html</t>
        </is>
      </c>
      <c r="E5993" t="n">
        <v>4</v>
      </c>
      <c r="G5993" t="n">
        <v>2362</v>
      </c>
      <c r="H5993" t="n">
        <v>281</v>
      </c>
      <c r="J5993" t="inlineStr">
        <is>
          <t>Son Gual</t>
        </is>
      </c>
      <c r="K5993" t="n">
        <v>15.4</v>
      </c>
      <c r="L5993" t="n">
        <v>18</v>
      </c>
      <c r="M5993" t="n">
        <v>45.2</v>
      </c>
      <c r="N5993" t="n">
        <v>43</v>
      </c>
      <c r="O5993" t="n">
        <v>49.6</v>
      </c>
      <c r="P5993" t="n">
        <v>43</v>
      </c>
      <c r="Q5993" t="n">
        <v>42.9</v>
      </c>
      <c r="R5993" t="n">
        <v>39</v>
      </c>
      <c r="S5993" t="n">
        <v>2650000</v>
      </c>
      <c r="T5993" t="n">
        <v>9431</v>
      </c>
      <c r="U5993" t="n">
        <v>1122</v>
      </c>
      <c r="AH5993" t="inlineStr">
        <is>
          <t>Quelle: Balearic Properties</t>
        </is>
      </c>
    </row>
    <row r="5994">
      <c r="A5994" t="n">
        <v>5807</v>
      </c>
      <c r="B5994" t="inlineStr">
        <is>
          <t>Town house to reform for sale in the heart of Pollensa, Mallorca</t>
        </is>
      </c>
      <c r="C5994" t="inlineStr">
        <is>
          <t>https://www.balearic-properties.com/en/property/id/923326-town-house-reform-pollensa-mallorca-html</t>
        </is>
      </c>
      <c r="E5994" t="n">
        <v>4</v>
      </c>
      <c r="G5994" t="n">
        <v>107</v>
      </c>
      <c r="H5994" t="n">
        <v>189</v>
      </c>
      <c r="J5994" t="inlineStr">
        <is>
          <t>Pollença Pueblo</t>
        </is>
      </c>
      <c r="S5994" t="n">
        <v>419000</v>
      </c>
      <c r="T5994" t="n">
        <v>2217</v>
      </c>
      <c r="U5994" t="n">
        <v>3916</v>
      </c>
      <c r="AH5994" t="inlineStr">
        <is>
          <t>Quelle: Balearic Properties</t>
        </is>
      </c>
    </row>
    <row r="5995">
      <c r="A5995" t="n">
        <v>5808</v>
      </c>
      <c r="B5995" t="inlineStr">
        <is>
          <t>Charming village house with mountain views for sale in Mancor de la Vall, Mallorca</t>
        </is>
      </c>
      <c r="C5995" t="inlineStr">
        <is>
          <t>https://www.balearic-properties.com/en/property/id/923830-village-house-mancor-de-la-vall-mallorca-html</t>
        </is>
      </c>
      <c r="E5995" t="n">
        <v>1</v>
      </c>
      <c r="G5995" t="n">
        <v>69</v>
      </c>
      <c r="H5995" t="n">
        <v>127</v>
      </c>
      <c r="J5995" t="inlineStr">
        <is>
          <t>Mancor de la Vall</t>
        </is>
      </c>
      <c r="AH5995" t="inlineStr">
        <is>
          <t>Quelle: Balearic Properties</t>
        </is>
      </c>
    </row>
    <row r="5996">
      <c r="A5996" t="n">
        <v>5809</v>
      </c>
      <c r="B5996" t="inlineStr">
        <is>
          <t>Exclusive apartment for sale on the Pine Walk in Puerto Pollensa, Mallorca</t>
        </is>
      </c>
      <c r="C5996" t="inlineStr">
        <is>
          <t>https://www.balearic-properties.com/en/property/id/854165-exclusive-apartment-pinewalk-puerto-pollensa-mallorca-html</t>
        </is>
      </c>
      <c r="E5996" t="n">
        <v>3</v>
      </c>
      <c r="G5996" t="n">
        <v>0</v>
      </c>
      <c r="H5996" t="n">
        <v>113</v>
      </c>
      <c r="J5996" t="inlineStr">
        <is>
          <t>Port de Pollença</t>
        </is>
      </c>
      <c r="AH5996" t="inlineStr">
        <is>
          <t>Quelle: Balearic Properties</t>
        </is>
      </c>
    </row>
    <row r="5997">
      <c r="A5997" t="n">
        <v>5810</v>
      </c>
      <c r="B5997" t="inlineStr">
        <is>
          <t>Unique opportunity: Appealing apartment for sale in Puerto Pollensa, Mallorca</t>
        </is>
      </c>
      <c r="C5997" t="inlineStr">
        <is>
          <t>https://www.balearic-properties.com/en/property/id/923715-apartment-puerto-pollensa-mallorca-html</t>
        </is>
      </c>
      <c r="E5997" t="n">
        <v>3</v>
      </c>
      <c r="G5997" t="n">
        <v>1810</v>
      </c>
      <c r="H5997" t="n">
        <v>112</v>
      </c>
      <c r="J5997" t="inlineStr">
        <is>
          <t>Port de Pollença</t>
        </is>
      </c>
      <c r="AH5997" t="inlineStr">
        <is>
          <t>Quelle: Balearic Properties</t>
        </is>
      </c>
    </row>
    <row r="5998">
      <c r="A5998" t="n">
        <v>5811</v>
      </c>
      <c r="B5998" t="inlineStr">
        <is>
          <t>Large and bright apartment to be finished for sale in Nova Santa Ponsa, Mallorca</t>
        </is>
      </c>
      <c r="C5998" t="inlineStr">
        <is>
          <t>https://www.balearic-properties.com/en/property/id/923343-large-apartment-finish-nova-santa-ponsa-mallorca-html</t>
        </is>
      </c>
      <c r="E5998" t="n">
        <v>3</v>
      </c>
      <c r="G5998" t="n">
        <v>0</v>
      </c>
      <c r="H5998" t="n">
        <v>322</v>
      </c>
      <c r="J5998" t="inlineStr">
        <is>
          <t>Santa Ponsa</t>
        </is>
      </c>
      <c r="AH5998" t="inlineStr">
        <is>
          <t>Quelle: Balearic Properties</t>
        </is>
      </c>
    </row>
    <row r="5999">
      <c r="A5999" t="n">
        <v>5812</v>
      </c>
      <c r="B5999" t="inlineStr">
        <is>
          <t>Charming brand new semi detached house for sale in Santa Catalina, Mallorca</t>
        </is>
      </c>
      <c r="C5999" t="inlineStr">
        <is>
          <t>https://www.balearic-properties.com/en/property/id/923191-brand-new-house-santa-catalina-palma-html</t>
        </is>
      </c>
      <c r="E5999" t="n">
        <v>3</v>
      </c>
      <c r="G5999" t="n">
        <v>185</v>
      </c>
      <c r="H5999" t="n">
        <v>95</v>
      </c>
      <c r="J5999" t="inlineStr">
        <is>
          <t>Santa Catalina</t>
        </is>
      </c>
      <c r="AH5999" t="inlineStr">
        <is>
          <t>Quelle: Balearic Properties</t>
        </is>
      </c>
    </row>
    <row r="6000">
      <c r="A6000" t="n">
        <v>5813</v>
      </c>
      <c r="B6000" t="inlineStr">
        <is>
          <t>Brand new villa with privacy for sale in Costa d'en Blanes, Mallorca</t>
        </is>
      </c>
      <c r="C6000" t="inlineStr">
        <is>
          <t>https://www.balearic-properties.com/en/property/id/923026</t>
        </is>
      </c>
      <c r="E6000" t="n">
        <v>5</v>
      </c>
      <c r="G6000" t="n">
        <v>1247</v>
      </c>
      <c r="H6000" t="n">
        <v>460</v>
      </c>
      <c r="J6000" t="inlineStr">
        <is>
          <t>Costa D´en Blanes</t>
        </is>
      </c>
      <c r="K6000" t="n">
        <v>23.3</v>
      </c>
      <c r="L6000" t="n">
        <v>21</v>
      </c>
      <c r="M6000" t="n">
        <v>66.09999999999999</v>
      </c>
      <c r="N6000" t="n">
        <v>54</v>
      </c>
      <c r="O6000" t="n">
        <v>21</v>
      </c>
      <c r="P6000" t="n">
        <v>21</v>
      </c>
      <c r="Q6000" t="n">
        <v>63.8</v>
      </c>
      <c r="R6000" t="n">
        <v>51</v>
      </c>
      <c r="AH6000" t="inlineStr">
        <is>
          <t>Quelle: Balearic Properties</t>
        </is>
      </c>
    </row>
    <row r="6001">
      <c r="A6001" t="n">
        <v>5814</v>
      </c>
      <c r="B6001" t="inlineStr">
        <is>
          <t>Brand new semi-detached house with plunge pool for sale in El Molinar, Palma de Mallorca</t>
        </is>
      </c>
      <c r="C6001" t="inlineStr">
        <is>
          <t>https://www.balearic-properties.com/en/property/id/922912-semi-detached-house-plunge-pool-molinar-palma-mallorca-html</t>
        </is>
      </c>
      <c r="E6001" t="n">
        <v>3</v>
      </c>
      <c r="G6001" t="n">
        <v>90</v>
      </c>
      <c r="H6001" t="n">
        <v>145</v>
      </c>
      <c r="J6001" t="inlineStr">
        <is>
          <t>Portixol</t>
        </is>
      </c>
      <c r="AH6001" t="inlineStr">
        <is>
          <t>Quelle: Balearic Properties</t>
        </is>
      </c>
    </row>
    <row r="6002">
      <c r="A6002" t="n">
        <v>5815</v>
      </c>
      <c r="B6002" t="inlineStr">
        <is>
          <t>Newly built finca with stunning views for sale near Santa Maria, Mallorca</t>
        </is>
      </c>
      <c r="C6002" t="inlineStr">
        <is>
          <t>https://www.balearic-properties.com/en/property/id/882660-newly-built-finca-with-stunning-views-for-sale-near-santa-maria-mallorca-html</t>
        </is>
      </c>
      <c r="E6002" t="n">
        <v>4</v>
      </c>
      <c r="G6002" t="n">
        <v>14168</v>
      </c>
      <c r="H6002" t="n">
        <v>560</v>
      </c>
      <c r="J6002" t="inlineStr">
        <is>
          <t>Santa Maria del Camí</t>
        </is>
      </c>
      <c r="AH6002" t="inlineStr">
        <is>
          <t>Quelle: Balearic Properties</t>
        </is>
      </c>
    </row>
    <row r="6003">
      <c r="A6003" t="n">
        <v>5816</v>
      </c>
      <c r="B6003" t="inlineStr">
        <is>
          <t>Family home with mountain views for sale in Santa Ponsa, Mallorca</t>
        </is>
      </c>
      <c r="C6003" t="inlineStr">
        <is>
          <t>https://www.balearic-properties.com/en/property/id/921018-family-home-mountain-views-santa-ponsa-mallorca-html</t>
        </is>
      </c>
      <c r="E6003" t="n">
        <v>7</v>
      </c>
      <c r="G6003" t="n">
        <v>1250</v>
      </c>
      <c r="H6003" t="n">
        <v>447</v>
      </c>
      <c r="J6003" t="inlineStr">
        <is>
          <t>Santa Ponsa</t>
        </is>
      </c>
      <c r="K6003" t="n">
        <v>31.1</v>
      </c>
      <c r="L6003" t="n">
        <v>28</v>
      </c>
      <c r="M6003" t="n">
        <v>73.90000000000001</v>
      </c>
      <c r="N6003" t="n">
        <v>61</v>
      </c>
      <c r="O6003" t="n">
        <v>15.2</v>
      </c>
      <c r="P6003" t="n">
        <v>19</v>
      </c>
      <c r="Q6003" t="n">
        <v>71.59999999999999</v>
      </c>
      <c r="R6003" t="n">
        <v>57</v>
      </c>
      <c r="AH6003" t="inlineStr">
        <is>
          <t>Quelle: Balearic Properties</t>
        </is>
      </c>
    </row>
    <row r="6004">
      <c r="A6004" t="n">
        <v>5817</v>
      </c>
      <c r="B6004" t="inlineStr">
        <is>
          <t>Renovated apartment with private garden for sale in Puerto Pollensa, Mallorca</t>
        </is>
      </c>
      <c r="C6004" t="inlineStr">
        <is>
          <t>https://www.balearic-properties.com/en/property/id/910845-renovated-apartment-private-garden-puerto-pollensa-mallorca-html</t>
        </is>
      </c>
      <c r="E6004" t="n">
        <v>3</v>
      </c>
      <c r="G6004" t="n">
        <v>0</v>
      </c>
      <c r="H6004" t="n">
        <v>100</v>
      </c>
      <c r="J6004" t="inlineStr">
        <is>
          <t>Port de Pollença</t>
        </is>
      </c>
      <c r="AH6004" t="inlineStr">
        <is>
          <t>Quelle: Balearic Properties</t>
        </is>
      </c>
    </row>
    <row r="6005">
      <c r="A6005" t="n">
        <v>5818</v>
      </c>
      <c r="B6005" t="inlineStr">
        <is>
          <t>Newly built townhouse with modern amenities for sale in Deià, Mallorca</t>
        </is>
      </c>
      <c r="C6005" t="inlineStr">
        <is>
          <t>https://www.balearic-properties.com/en/property/id/919353-new-townhouse-deia-mallorca-html</t>
        </is>
      </c>
      <c r="E6005" t="n">
        <v>2</v>
      </c>
      <c r="G6005" t="n">
        <v>95</v>
      </c>
      <c r="H6005" t="n">
        <v>119</v>
      </c>
      <c r="J6005" t="inlineStr">
        <is>
          <t>Deià</t>
        </is>
      </c>
      <c r="AH6005" t="inlineStr">
        <is>
          <t>Quelle: Balearic Properties</t>
        </is>
      </c>
    </row>
    <row r="6006">
      <c r="A6006" t="n">
        <v>5819</v>
      </c>
      <c r="B6006" t="inlineStr">
        <is>
          <t>New luxury townhouse with heated pool for sale in Ses Salines, Mallorca</t>
        </is>
      </c>
      <c r="C6006" t="inlineStr">
        <is>
          <t>https://www.balearic-properties.com/en/property/id/919565-charming-townhouse-with-private-pool-in-ses-salines-mallorca-html</t>
        </is>
      </c>
      <c r="E6006" t="n">
        <v>4</v>
      </c>
      <c r="G6006" t="n">
        <v>375</v>
      </c>
      <c r="H6006" t="n">
        <v>320</v>
      </c>
      <c r="J6006" t="inlineStr">
        <is>
          <t>Ses Salines</t>
        </is>
      </c>
      <c r="AH6006" t="inlineStr">
        <is>
          <t>Quelle: Balearic Properties</t>
        </is>
      </c>
    </row>
    <row r="6007">
      <c r="A6007" t="n">
        <v>5820</v>
      </c>
      <c r="B6007" t="inlineStr">
        <is>
          <t>Stunning newly built villa for sale in El Toro, Port Adriano, Mallorca</t>
        </is>
      </c>
      <c r="C6007" t="inlineStr">
        <is>
          <t>https://www.balearic-properties.com/en/property/id/921464-stunning-newly-built-villa-for-sale-in-el-toro-port-adriano-mallorca-html</t>
        </is>
      </c>
      <c r="E6007" t="n">
        <v>4</v>
      </c>
      <c r="G6007" t="n">
        <v>568</v>
      </c>
      <c r="H6007" t="n">
        <v>271</v>
      </c>
      <c r="J6007" t="inlineStr">
        <is>
          <t>Port Adriano</t>
        </is>
      </c>
      <c r="AH6007" t="inlineStr">
        <is>
          <t>Quelle: Balearic Properties</t>
        </is>
      </c>
    </row>
    <row r="6008">
      <c r="A6008" t="n">
        <v>5821</v>
      </c>
      <c r="B6008" t="inlineStr">
        <is>
          <t>Brand new modern and bright villa for sale in Santa Ponsa, Mallorca</t>
        </is>
      </c>
      <c r="C6008" t="inlineStr">
        <is>
          <t>https://www.balearic-properties.com/en/property/id/921463-modern-and-bright-villa-in-santa-ponsa-mallorca-html</t>
        </is>
      </c>
      <c r="E6008" t="n">
        <v>5</v>
      </c>
      <c r="G6008" t="n">
        <v>1531</v>
      </c>
      <c r="H6008" t="n">
        <v>720</v>
      </c>
      <c r="J6008" t="inlineStr">
        <is>
          <t>Santa Ponsa</t>
        </is>
      </c>
      <c r="K6008" t="n">
        <v>31.1</v>
      </c>
      <c r="L6008" t="n">
        <v>28</v>
      </c>
      <c r="M6008" t="n">
        <v>73.90000000000001</v>
      </c>
      <c r="N6008" t="n">
        <v>61</v>
      </c>
      <c r="O6008" t="n">
        <v>15.2</v>
      </c>
      <c r="P6008" t="n">
        <v>19</v>
      </c>
      <c r="Q6008" t="n">
        <v>71.59999999999999</v>
      </c>
      <c r="R6008" t="n">
        <v>57</v>
      </c>
      <c r="AH6008" t="inlineStr">
        <is>
          <t>Quelle: Balearic Properties</t>
        </is>
      </c>
    </row>
    <row r="6009">
      <c r="A6009" t="n">
        <v>5822</v>
      </c>
      <c r="B6009" t="inlineStr">
        <is>
          <t>Luxury villa with pool for sale on the Calvario hill in Pollensa, Mallorca</t>
        </is>
      </c>
      <c r="C6009" t="inlineStr">
        <is>
          <t>https://www.balearic-properties.com/en/property/id/914931-luxury-villa-pool-calvario-hill-pollensa-mallorca-html</t>
        </is>
      </c>
      <c r="E6009" t="n">
        <v>4</v>
      </c>
      <c r="G6009" t="n">
        <v>1655</v>
      </c>
      <c r="H6009" t="n">
        <v>405</v>
      </c>
      <c r="J6009" t="inlineStr">
        <is>
          <t>Pollença Pueblo</t>
        </is>
      </c>
      <c r="AH6009" t="inlineStr">
        <is>
          <t>Quelle: Balearic Properties</t>
        </is>
      </c>
    </row>
    <row r="6010">
      <c r="A6010" t="n">
        <v>5823</v>
      </c>
      <c r="B6010" t="inlineStr">
        <is>
          <t>Ground floor apartment with large terrace for sale in Palma, Mallorca</t>
        </is>
      </c>
      <c r="C6010" t="inlineStr">
        <is>
          <t>https://www.balearic-properties.com/en/property/id/806323-ground-floor-apartment-with-large-terrace-for-sale-in-palma-mallorca</t>
        </is>
      </c>
      <c r="E6010" t="n">
        <v>2</v>
      </c>
      <c r="G6010" t="n">
        <v>0</v>
      </c>
      <c r="H6010" t="n">
        <v>138</v>
      </c>
      <c r="J6010" t="inlineStr">
        <is>
          <t>Palma de Mallorca</t>
        </is>
      </c>
      <c r="AH6010" t="inlineStr">
        <is>
          <t>Quelle: Balearic Properties</t>
        </is>
      </c>
    </row>
    <row r="6011">
      <c r="A6011" t="n">
        <v>5824</v>
      </c>
      <c r="B6011" t="inlineStr">
        <is>
          <t>Lovely finca for sale 10 minutes from Es Trenc beach in Campos, Mallorca</t>
        </is>
      </c>
      <c r="C6011" t="inlineStr">
        <is>
          <t>https://www.balearic-properties.com/en/property/id/920319-charming-finca-beach-es-trenc-mallorca-html</t>
        </is>
      </c>
      <c r="E6011" t="n">
        <v>5</v>
      </c>
      <c r="G6011" t="n">
        <v>33300</v>
      </c>
      <c r="H6011" t="n">
        <v>480</v>
      </c>
      <c r="J6011" t="inlineStr">
        <is>
          <t>Campos</t>
        </is>
      </c>
      <c r="K6011" t="n">
        <v>32.9</v>
      </c>
      <c r="L6011" t="n">
        <v>28</v>
      </c>
      <c r="M6011" t="n">
        <v>14.6</v>
      </c>
      <c r="N6011" t="n">
        <v>18</v>
      </c>
      <c r="O6011" t="n">
        <v>71.09999999999999</v>
      </c>
      <c r="P6011" t="n">
        <v>56</v>
      </c>
      <c r="Q6011" t="n">
        <v>12.3</v>
      </c>
      <c r="R6011" t="n">
        <v>14</v>
      </c>
      <c r="AH6011" t="inlineStr">
        <is>
          <t>Quelle: Balearic Properties</t>
        </is>
      </c>
    </row>
    <row r="6012">
      <c r="A6012" t="n">
        <v>5825</v>
      </c>
      <c r="B6012" t="inlineStr">
        <is>
          <t>Newly built villa with partial sea views for sale in Portals Nous, Mallorca</t>
        </is>
      </c>
      <c r="C6012" t="inlineStr">
        <is>
          <t>https://www.balearic-properties.com/en/property/id/918875-newly-built-villa-walking-distance-to-the-centre-portals-nous-mallorca-html</t>
        </is>
      </c>
      <c r="E6012" t="n">
        <v>4</v>
      </c>
      <c r="G6012" t="n">
        <v>600</v>
      </c>
      <c r="H6012" t="n">
        <v>330</v>
      </c>
      <c r="J6012" t="inlineStr">
        <is>
          <t>Portals Nous</t>
        </is>
      </c>
      <c r="AH6012" t="inlineStr">
        <is>
          <t>Quelle: Balearic Properties</t>
        </is>
      </c>
    </row>
    <row r="6013">
      <c r="A6013" t="n">
        <v>5826</v>
      </c>
      <c r="B6013" t="inlineStr">
        <is>
          <t>Bright and luxurious ground floor apartment for sale in Santa Ponsa, Mallorca</t>
        </is>
      </c>
      <c r="C6013" t="inlineStr">
        <is>
          <t>https://www.balearic-properties.com/en/property/id/919348-luxurious-ground-floor-apartment-santa-ponsa-mallorca-html</t>
        </is>
      </c>
      <c r="E6013" t="n">
        <v>2</v>
      </c>
      <c r="G6013" t="n">
        <v>0</v>
      </c>
      <c r="H6013" t="n">
        <v>140</v>
      </c>
      <c r="J6013" t="inlineStr">
        <is>
          <t>Santa Ponsa</t>
        </is>
      </c>
      <c r="AH6013" t="inlineStr">
        <is>
          <t>Quelle: Balearic Properties</t>
        </is>
      </c>
    </row>
    <row r="6014">
      <c r="A6014" t="n">
        <v>5827</v>
      </c>
      <c r="B6014" t="inlineStr">
        <is>
          <t>Newly built ground floor apartment with private garden in Santa Ponsa, Mallorca</t>
        </is>
      </c>
      <c r="C6014" t="inlineStr">
        <is>
          <t>https://www.balearic-properties.com/en/property/id/919457-ground-floor-apartment-private-garden-santa-ponsa-mallorca-html</t>
        </is>
      </c>
      <c r="E6014" t="n">
        <v>4</v>
      </c>
      <c r="G6014" t="n">
        <v>122</v>
      </c>
      <c r="H6014" t="n">
        <v>169</v>
      </c>
      <c r="J6014" t="inlineStr">
        <is>
          <t>Santa Ponsa</t>
        </is>
      </c>
      <c r="S6014" t="n">
        <v>995000</v>
      </c>
      <c r="T6014" t="n">
        <v>5888</v>
      </c>
      <c r="U6014" t="n">
        <v>8156</v>
      </c>
      <c r="AH6014" t="inlineStr">
        <is>
          <t>Quelle: Balearic Properties</t>
        </is>
      </c>
    </row>
    <row r="6015">
      <c r="A6015" t="n">
        <v>5828</v>
      </c>
      <c r="B6015" t="inlineStr">
        <is>
          <t>Brand new modern villa with panoramic sea views for sale in Costa d'en Blanes, Mallorca</t>
        </is>
      </c>
      <c r="C6015" t="inlineStr">
        <is>
          <t>https://www.balearic-properties.com/en/property/id/920044-villa-sea-views-costa-den-blanes-mallorca-html</t>
        </is>
      </c>
      <c r="E6015" t="n">
        <v>5</v>
      </c>
      <c r="G6015" t="n">
        <v>926</v>
      </c>
      <c r="H6015" t="n">
        <v>500</v>
      </c>
      <c r="J6015" t="inlineStr">
        <is>
          <t>Costa D´en Blanes</t>
        </is>
      </c>
      <c r="K6015" t="n">
        <v>23.3</v>
      </c>
      <c r="L6015" t="n">
        <v>21</v>
      </c>
      <c r="M6015" t="n">
        <v>66.09999999999999</v>
      </c>
      <c r="N6015" t="n">
        <v>54</v>
      </c>
      <c r="O6015" t="n">
        <v>21</v>
      </c>
      <c r="P6015" t="n">
        <v>21</v>
      </c>
      <c r="Q6015" t="n">
        <v>63.8</v>
      </c>
      <c r="R6015" t="n">
        <v>51</v>
      </c>
      <c r="AH6015" t="inlineStr">
        <is>
          <t>Quelle: Balearic Properties</t>
        </is>
      </c>
    </row>
    <row r="6016">
      <c r="A6016" t="n">
        <v>5829</v>
      </c>
      <c r="B6016" t="inlineStr">
        <is>
          <t>Development of newly built apartments for sale in Cala d´Or, Mallorca</t>
        </is>
      </c>
      <c r="C6016" t="inlineStr">
        <is>
          <t>https://www.balearic-properties.com/en/property/id/920069-new-apartments-cala-d-or-mallorca-html</t>
        </is>
      </c>
      <c r="E6016" t="n">
        <v>2</v>
      </c>
      <c r="G6016" t="n">
        <v>0</v>
      </c>
      <c r="H6016" t="n">
        <v>85</v>
      </c>
      <c r="J6016" t="inlineStr">
        <is>
          <t>Cala d´Or</t>
        </is>
      </c>
      <c r="AH6016" t="inlineStr">
        <is>
          <t>Quelle: Balearic Properties</t>
        </is>
      </c>
    </row>
    <row r="6017">
      <c r="A6017" t="n">
        <v>5830</v>
      </c>
      <c r="B6017" t="inlineStr">
        <is>
          <t>Unmissable new penthouses and apartments for sale in Cala d´Or, Mallorca</t>
        </is>
      </c>
      <c r="C6017" t="inlineStr">
        <is>
          <t>https://www.balearic-properties.com/en/property/id/920068-new-apartments-cala-d-or-mallorca-html</t>
        </is>
      </c>
      <c r="E6017" t="n">
        <v>2</v>
      </c>
      <c r="G6017" t="n">
        <v>0</v>
      </c>
      <c r="H6017" t="n">
        <v>85</v>
      </c>
      <c r="J6017" t="inlineStr">
        <is>
          <t>Cala d´Or</t>
        </is>
      </c>
      <c r="AH6017" t="inlineStr">
        <is>
          <t>Quelle: Balearic Properties</t>
        </is>
      </c>
    </row>
    <row r="6018">
      <c r="A6018" t="n">
        <v>5831</v>
      </c>
      <c r="B6018" t="inlineStr">
        <is>
          <t>Brand new apartments for sale in the popular resort of Cala d´Or, Mallorca</t>
        </is>
      </c>
      <c r="C6018" t="inlineStr">
        <is>
          <t>https://www.balearic-properties.com/en/property/id/920067-new-apartments-cala-d-or-mallorca-html</t>
        </is>
      </c>
      <c r="E6018" t="n">
        <v>2</v>
      </c>
      <c r="G6018" t="n">
        <v>0</v>
      </c>
      <c r="H6018" t="n">
        <v>85</v>
      </c>
      <c r="J6018" t="inlineStr">
        <is>
          <t>Cala d´Or</t>
        </is>
      </c>
      <c r="AH6018" t="inlineStr">
        <is>
          <t>Quelle: Balearic Properties</t>
        </is>
      </c>
    </row>
    <row r="6019">
      <c r="A6019" t="n">
        <v>5832</v>
      </c>
      <c r="B6019" t="inlineStr">
        <is>
          <t>Apartments and penthouses for sale on a new development in Cala d´Or, Mallorca</t>
        </is>
      </c>
      <c r="C6019" t="inlineStr">
        <is>
          <t>https://www.balearic-properties.com/en/property/id/920065-new-apartments-cala-d-or-mallorca-html</t>
        </is>
      </c>
      <c r="E6019" t="n">
        <v>2</v>
      </c>
      <c r="G6019" t="n">
        <v>0</v>
      </c>
      <c r="H6019" t="n">
        <v>85</v>
      </c>
      <c r="J6019" t="inlineStr">
        <is>
          <t>Cala d´Or</t>
        </is>
      </c>
      <c r="AH6019" t="inlineStr">
        <is>
          <t>Quelle: Balearic Properties</t>
        </is>
      </c>
    </row>
    <row r="6020">
      <c r="A6020" t="n">
        <v>5833</v>
      </c>
      <c r="B6020" t="inlineStr">
        <is>
          <t>Amazing fully refurbished ground floor apartment for sale in Cala San Vicente, Mallorca</t>
        </is>
      </c>
      <c r="C6020" t="inlineStr">
        <is>
          <t>https://www.balearic-properties.com/en/property/id/918964-refurbished-groundfloor-apartment-cala-san-vicente-mallorca-html</t>
        </is>
      </c>
      <c r="E6020" t="n">
        <v>2</v>
      </c>
      <c r="G6020" t="n">
        <v>0</v>
      </c>
      <c r="H6020" t="n">
        <v>65</v>
      </c>
      <c r="J6020" t="inlineStr">
        <is>
          <t>Cala Sant Vicenç</t>
        </is>
      </c>
      <c r="AH6020" t="inlineStr">
        <is>
          <t>Quelle: Balearic Properties</t>
        </is>
      </c>
    </row>
    <row r="6021">
      <c r="A6021" t="n">
        <v>5834</v>
      </c>
      <c r="B6021" t="inlineStr">
        <is>
          <t>Newly built modern finca for sale in Ses Salines, southeast Mallorca</t>
        </is>
      </c>
      <c r="C6021" t="inlineStr">
        <is>
          <t>https://www.balearic-properties.com/en/property/id/919175-new-modern-finca-ses-salines-mallorca-html</t>
        </is>
      </c>
      <c r="E6021" t="n">
        <v>6</v>
      </c>
      <c r="G6021" t="n">
        <v>20000</v>
      </c>
      <c r="H6021" t="n">
        <v>742</v>
      </c>
      <c r="J6021" t="inlineStr">
        <is>
          <t>Ses Salines</t>
        </is>
      </c>
      <c r="K6021" t="n">
        <v>44.5</v>
      </c>
      <c r="L6021" t="n">
        <v>39</v>
      </c>
      <c r="M6021" t="n">
        <v>2.4</v>
      </c>
      <c r="N6021" t="n">
        <v>5</v>
      </c>
      <c r="O6021" t="n">
        <v>82.7</v>
      </c>
      <c r="P6021" t="n">
        <v>67</v>
      </c>
      <c r="Q6021" t="n">
        <v>2</v>
      </c>
      <c r="R6021" t="n">
        <v>5</v>
      </c>
      <c r="AH6021" t="inlineStr">
        <is>
          <t>Quelle: Balearic Properties</t>
        </is>
      </c>
    </row>
    <row r="6022">
      <c r="A6022" t="n">
        <v>5835</v>
      </c>
      <c r="B6022" t="inlineStr">
        <is>
          <t>Elegant modern villa for sale 200m from the sea in Puerto Pollensa, Mallorca</t>
        </is>
      </c>
      <c r="C6022" t="inlineStr">
        <is>
          <t>https://www.balearic-properties.com/en/property/id/917316-luxury-villa-beach-puerto-pollensa-mallorca-html</t>
        </is>
      </c>
      <c r="E6022" t="n">
        <v>4</v>
      </c>
      <c r="G6022" t="n">
        <v>1100</v>
      </c>
      <c r="H6022" t="n">
        <v>457</v>
      </c>
      <c r="J6022" t="inlineStr">
        <is>
          <t>Llenaire</t>
        </is>
      </c>
      <c r="AH6022" t="inlineStr">
        <is>
          <t>Quelle: Balearic Properties</t>
        </is>
      </c>
    </row>
    <row r="6023">
      <c r="A6023" t="n">
        <v>5836</v>
      </c>
      <c r="B6023" t="inlineStr">
        <is>
          <t>Beautifully presented town house for sale in the heart of Pollensa, Mallorca</t>
        </is>
      </c>
      <c r="C6023" t="inlineStr">
        <is>
          <t>https://www.balearic-properties.com/en/property/id/917904-beautifully-presented-townhouse-centre-pollensa-mallorca-html</t>
        </is>
      </c>
      <c r="E6023" t="n">
        <v>4</v>
      </c>
      <c r="G6023" t="n">
        <v>145</v>
      </c>
      <c r="H6023" t="n">
        <v>182</v>
      </c>
      <c r="J6023" t="inlineStr">
        <is>
          <t>Pollença Pueblo</t>
        </is>
      </c>
      <c r="AH6023" t="inlineStr">
        <is>
          <t>Quelle: Balearic Properties</t>
        </is>
      </c>
    </row>
    <row r="6024">
      <c r="A6024" t="n">
        <v>5837</v>
      </c>
      <c r="B6024" t="inlineStr">
        <is>
          <t>Elegant town house for sale in the heart of Pollensa, Mallorca</t>
        </is>
      </c>
      <c r="C6024" t="inlineStr">
        <is>
          <t>https://www.balearic-properties.com/en/property/id/578559-luxury-townhouse-pollensa-mallorca-html</t>
        </is>
      </c>
      <c r="E6024" t="n">
        <v>4</v>
      </c>
      <c r="G6024" t="n">
        <v>142</v>
      </c>
      <c r="H6024" t="n">
        <v>375</v>
      </c>
      <c r="J6024" t="inlineStr">
        <is>
          <t>Pollença Pueblo</t>
        </is>
      </c>
      <c r="AH6024" t="inlineStr">
        <is>
          <t>Quelle: Balearic Properties</t>
        </is>
      </c>
    </row>
    <row r="6025">
      <c r="A6025" t="n">
        <v>5838</v>
      </c>
      <c r="B6025" t="inlineStr">
        <is>
          <t>Stylish new apartments and penthouses for sale in desirable Cala Major, Mallorca</t>
        </is>
      </c>
      <c r="C6025" t="inlineStr">
        <is>
          <t>https://www.balearic-properties.com/en/property/id/886329-stylish-new-apartments-and-penthouses-cala-major-mallorca-html</t>
        </is>
      </c>
      <c r="E6025" t="n">
        <v>3</v>
      </c>
      <c r="G6025" t="n">
        <v>0</v>
      </c>
      <c r="H6025" t="n">
        <v>213</v>
      </c>
      <c r="J6025" t="inlineStr">
        <is>
          <t>Cala Major</t>
        </is>
      </c>
      <c r="AH6025" t="inlineStr">
        <is>
          <t>Quelle: Balearic Properties</t>
        </is>
      </c>
    </row>
    <row r="6026">
      <c r="A6026" t="n">
        <v>5839</v>
      </c>
      <c r="B6026" t="inlineStr">
        <is>
          <t>Residential villa for sale near Pollensa, Mallorca</t>
        </is>
      </c>
      <c r="C6026" t="inlineStr">
        <is>
          <t>https://www.balearic-properties.com/en/property/id/739306-villa-pool-pollensa-mallorca-html</t>
        </is>
      </c>
      <c r="E6026" t="n">
        <v>2</v>
      </c>
      <c r="G6026" t="n">
        <v>0</v>
      </c>
      <c r="H6026" t="n">
        <v>57</v>
      </c>
      <c r="J6026" t="inlineStr">
        <is>
          <t>Pollença</t>
        </is>
      </c>
      <c r="AH6026" t="inlineStr">
        <is>
          <t>Quelle: Balearic Properties</t>
        </is>
      </c>
    </row>
    <row r="6027">
      <c r="A6027" t="n">
        <v>5840</v>
      </c>
      <c r="B6027" t="inlineStr">
        <is>
          <t>Stylish refurbished apartment for sale in Palma, Mallorca</t>
        </is>
      </c>
      <c r="C6027" t="inlineStr">
        <is>
          <t>https://www.balearic-properties.com/en/property/id/914637-stylish-apartment-palma-old-town-mallorca-html</t>
        </is>
      </c>
      <c r="E6027" t="n">
        <v>2</v>
      </c>
      <c r="G6027" t="n">
        <v>0</v>
      </c>
      <c r="H6027" t="n">
        <v>100</v>
      </c>
      <c r="J6027" t="inlineStr">
        <is>
          <t>Palma Casco Antiguo</t>
        </is>
      </c>
      <c r="S6027" t="n">
        <v>995000</v>
      </c>
      <c r="T6027" t="n">
        <v>9950</v>
      </c>
      <c r="AH6027" t="inlineStr">
        <is>
          <t>Quelle: Balearic Properties</t>
        </is>
      </c>
    </row>
    <row r="6028">
      <c r="A6028" t="n">
        <v>5841</v>
      </c>
      <c r="B6028" t="inlineStr">
        <is>
          <t>Renovated apartment for sale just seconds from the beach in Puerto Pollensa, Mallorca</t>
        </is>
      </c>
      <c r="C6028" t="inlineStr">
        <is>
          <t>https://www.balearic-properties.com/en/property/id/750452-apartmentpuerto-pollensa-mallorca-html</t>
        </is>
      </c>
      <c r="E6028" t="n">
        <v>3</v>
      </c>
      <c r="G6028" t="n">
        <v>0</v>
      </c>
      <c r="H6028" t="n">
        <v>108</v>
      </c>
      <c r="J6028" t="inlineStr">
        <is>
          <t>Port de Pollença</t>
        </is>
      </c>
      <c r="AH6028" t="inlineStr">
        <is>
          <t>Quelle: Balearic Properties</t>
        </is>
      </c>
    </row>
    <row r="6029">
      <c r="A6029" t="n">
        <v>5842</v>
      </c>
      <c r="B6029" t="inlineStr">
        <is>
          <t>Detached house with incredible views for sale in Alcúdia, Mallorca</t>
        </is>
      </c>
      <c r="C6029" t="inlineStr">
        <is>
          <t>https://www.balearic-properties.com/en/property/id/902419-front-line-house-sea-views-alcudia-mallorca-html</t>
        </is>
      </c>
      <c r="E6029" t="n">
        <v>9</v>
      </c>
      <c r="G6029" t="n">
        <v>467</v>
      </c>
      <c r="H6029" t="n">
        <v>308</v>
      </c>
      <c r="J6029" t="inlineStr">
        <is>
          <t>Alcúdia</t>
        </is>
      </c>
      <c r="K6029" t="n">
        <v>61.6</v>
      </c>
      <c r="L6029" t="n">
        <v>47</v>
      </c>
      <c r="M6029" t="n">
        <v>79.7</v>
      </c>
      <c r="N6029" t="n">
        <v>74</v>
      </c>
      <c r="O6029" t="n">
        <v>84.2</v>
      </c>
      <c r="P6029" t="n">
        <v>63</v>
      </c>
      <c r="Q6029" t="n">
        <v>77.40000000000001</v>
      </c>
      <c r="R6029" t="n">
        <v>70</v>
      </c>
      <c r="AH6029" t="inlineStr">
        <is>
          <t>Quelle: Balearic Properties</t>
        </is>
      </c>
    </row>
    <row r="6030">
      <c r="A6030" t="n">
        <v>5843</v>
      </c>
      <c r="B6030" t="inlineStr">
        <is>
          <t>Mediterranean villa for sale just metres from the sea in Puerto Pollensa, Mallorca</t>
        </is>
      </c>
      <c r="C6030" t="inlineStr">
        <is>
          <t>https://www.balearic-properties.com/en/property/id/241213-detached-villa-in-walking-distance-to-beach-sea-puerto-pollensa-mallorca-html</t>
        </is>
      </c>
      <c r="E6030" t="n">
        <v>4</v>
      </c>
      <c r="G6030" t="n">
        <v>1000</v>
      </c>
      <c r="H6030" t="n">
        <v>248</v>
      </c>
      <c r="J6030" t="inlineStr">
        <is>
          <t>Port de Pollença</t>
        </is>
      </c>
      <c r="AH6030" t="inlineStr">
        <is>
          <t>Quelle: Balearic Properties</t>
        </is>
      </c>
    </row>
    <row r="6031">
      <c r="A6031" t="n">
        <v>5844</v>
      </c>
      <c r="B6031" t="inlineStr">
        <is>
          <t>Stone-clad country house for sale between Alcudia and Pollensa, Mallorca</t>
        </is>
      </c>
      <c r="C6031" t="inlineStr">
        <is>
          <t>https://www.balearic-properties.com/en/property/id/819426-pollensa-finca-alcudia-mallorca-html</t>
        </is>
      </c>
      <c r="E6031" t="n">
        <v>3</v>
      </c>
      <c r="G6031" t="n">
        <v>7000</v>
      </c>
      <c r="H6031" t="n">
        <v>200</v>
      </c>
      <c r="J6031" t="inlineStr">
        <is>
          <t>Alcúdia</t>
        </is>
      </c>
      <c r="AH6031" t="inlineStr">
        <is>
          <t>Quelle: Balearic Properties</t>
        </is>
      </c>
    </row>
    <row r="6032">
      <c r="A6032" t="n">
        <v>5845</v>
      </c>
      <c r="B6032" t="inlineStr">
        <is>
          <t>BON40873 - Villa for sale in Bonaire, Alcúdia, Mallorca, Baleares, Baleares</t>
        </is>
      </c>
      <c r="C6032" t="inlineStr">
        <is>
          <t>https://www.balearic-properties.com/en/property/id/915739</t>
        </is>
      </c>
      <c r="E6032" t="n">
        <v>4</v>
      </c>
      <c r="G6032" t="n">
        <v>400</v>
      </c>
      <c r="H6032" t="n">
        <v>284</v>
      </c>
      <c r="J6032" t="inlineStr">
        <is>
          <t>Bonaire</t>
        </is>
      </c>
      <c r="AH6032" t="inlineStr">
        <is>
          <t>Quelle: Balearic Properties</t>
        </is>
      </c>
    </row>
    <row r="6033">
      <c r="A6033" t="n">
        <v>5846</v>
      </c>
      <c r="B6033" t="inlineStr">
        <is>
          <t>Inviting apartment for sale near amenities in Puerto Pollensa, Mallorca</t>
        </is>
      </c>
      <c r="C6033" t="inlineStr">
        <is>
          <t>https://www.balearic-properties.com/en/property/id/914584-cosy-apartment-for-sale-in-port-pollensa</t>
        </is>
      </c>
      <c r="E6033" t="n">
        <v>3</v>
      </c>
      <c r="G6033" t="n">
        <v>0</v>
      </c>
      <c r="H6033" t="n">
        <v>115</v>
      </c>
      <c r="J6033" t="inlineStr">
        <is>
          <t>Port de Pollença</t>
        </is>
      </c>
      <c r="AH6033" t="inlineStr">
        <is>
          <t>Quelle: Balearic Properties</t>
        </is>
      </c>
    </row>
    <row r="6034">
      <c r="A6034" t="n">
        <v>5847</v>
      </c>
      <c r="B6034" t="inlineStr">
        <is>
          <t>Lavish villa with holiday license for sale in Santa Ponsa, Mallorca</t>
        </is>
      </c>
      <c r="C6034" t="inlineStr">
        <is>
          <t>https://www.balearic-properties.com/en/property/id/874611-lavish-villa-holiday-license-santa-ponsa-mallorca-html</t>
        </is>
      </c>
      <c r="E6034" t="n">
        <v>4</v>
      </c>
      <c r="G6034" t="n">
        <v>1089</v>
      </c>
      <c r="H6034" t="n">
        <v>678</v>
      </c>
      <c r="J6034" t="inlineStr">
        <is>
          <t>Santa Ponsa</t>
        </is>
      </c>
      <c r="AH6034" t="inlineStr">
        <is>
          <t>Quelle: Balearic Properties</t>
        </is>
      </c>
    </row>
    <row r="6035">
      <c r="A6035" t="n">
        <v>5848</v>
      </c>
      <c r="B6035" t="inlineStr">
        <is>
          <t>Charming ground floor apartment for sale in Bendinat, Mallorca</t>
        </is>
      </c>
      <c r="C6035" t="inlineStr">
        <is>
          <t>https://www.balearic-properties.com/en/property/id/914741-charming-ground-floor-apartment-bendinat-mallorca-html</t>
        </is>
      </c>
      <c r="E6035" t="n">
        <v>2</v>
      </c>
      <c r="G6035" t="n">
        <v>154</v>
      </c>
      <c r="H6035" t="n">
        <v>104</v>
      </c>
      <c r="J6035" t="inlineStr">
        <is>
          <t>Golf Bendinat I</t>
        </is>
      </c>
      <c r="AH6035" t="inlineStr">
        <is>
          <t>Quelle: Balearic Properties</t>
        </is>
      </c>
    </row>
    <row r="6036">
      <c r="A6036" t="n">
        <v>5849</v>
      </c>
      <c r="B6036" t="inlineStr">
        <is>
          <t>Stylish apartment for sale in the very heart of Palma, Mallorca</t>
        </is>
      </c>
      <c r="C6036" t="inlineStr">
        <is>
          <t>https://www.balearic-properties.com/en/property/id/914913-stylish-apartment-palma-mallorca-html</t>
        </is>
      </c>
      <c r="E6036" t="n">
        <v>3</v>
      </c>
      <c r="G6036" t="n">
        <v>0</v>
      </c>
      <c r="H6036" t="n">
        <v>130</v>
      </c>
      <c r="J6036" t="inlineStr">
        <is>
          <t>Palma City Centre</t>
        </is>
      </c>
      <c r="AH6036" t="inlineStr">
        <is>
          <t>Quelle: Balearic Properties</t>
        </is>
      </c>
    </row>
    <row r="6037">
      <c r="A6037" t="n">
        <v>5850</v>
      </c>
      <c r="B6037" t="inlineStr">
        <is>
          <t>Modern villa with holiday license for sale in Felanitx, Mallorca</t>
        </is>
      </c>
      <c r="C6037" t="inlineStr">
        <is>
          <t>https://www.balearic-properties.com/en/property/id/914478-modern-villa-holiday-license-felanitx-mallorca-html</t>
        </is>
      </c>
      <c r="E6037" t="n">
        <v>4</v>
      </c>
      <c r="G6037" t="n">
        <v>760</v>
      </c>
      <c r="H6037" t="n">
        <v>580</v>
      </c>
      <c r="J6037" t="inlineStr">
        <is>
          <t>Felanitx Pueblo</t>
        </is>
      </c>
      <c r="AH6037" t="inlineStr">
        <is>
          <t>Quelle: Balearic Properties</t>
        </is>
      </c>
    </row>
    <row r="6038">
      <c r="A6038" t="n">
        <v>5851</v>
      </c>
      <c r="B6038" t="inlineStr">
        <is>
          <t>Country home for sale at the foot of the mountains near the town of Selva, Mallorca</t>
        </is>
      </c>
      <c r="C6038" t="inlineStr">
        <is>
          <t>https://www.balearic-properties.com/en/property/id/852511-country-home-garden-pool-selva-mallorca-html</t>
        </is>
      </c>
      <c r="E6038" t="n">
        <v>5</v>
      </c>
      <c r="G6038" t="n">
        <v>22000</v>
      </c>
      <c r="H6038" t="n">
        <v>522</v>
      </c>
      <c r="J6038" t="inlineStr">
        <is>
          <t>Selva</t>
        </is>
      </c>
      <c r="K6038" t="n">
        <v>44.5</v>
      </c>
      <c r="L6038" t="n">
        <v>41</v>
      </c>
      <c r="M6038" t="n">
        <v>62.6</v>
      </c>
      <c r="N6038" t="n">
        <v>67</v>
      </c>
      <c r="O6038" t="n">
        <v>67.09999999999999</v>
      </c>
      <c r="P6038" t="n">
        <v>57</v>
      </c>
      <c r="Q6038" t="n">
        <v>60.3</v>
      </c>
      <c r="R6038" t="n">
        <v>64</v>
      </c>
      <c r="AH6038" t="inlineStr">
        <is>
          <t>Quelle: Balearic Properties</t>
        </is>
      </c>
    </row>
    <row r="6039">
      <c r="A6039" t="n">
        <v>5852</v>
      </c>
      <c r="B6039" t="inlineStr">
        <is>
          <t>Countryside villa for sale in picturesque Pollensa, Mallorca</t>
        </is>
      </c>
      <c r="C6039" t="inlineStr">
        <is>
          <t>https://www.balearic-properties.com/en/property/id/912353-countryside-villa-pollensa-mallorca-html</t>
        </is>
      </c>
      <c r="E6039" t="n">
        <v>2</v>
      </c>
      <c r="G6039" t="n">
        <v>2699</v>
      </c>
      <c r="H6039" t="n">
        <v>138</v>
      </c>
      <c r="J6039" t="inlineStr">
        <is>
          <t>Pollença</t>
        </is>
      </c>
      <c r="AH6039" t="inlineStr">
        <is>
          <t>Quelle: Balearic Properties</t>
        </is>
      </c>
    </row>
    <row r="6040">
      <c r="A6040" t="n">
        <v>5853</v>
      </c>
      <c r="B6040" t="inlineStr">
        <is>
          <t>Attractive apartment with mountain views for sale in Alcudia, Mallorca</t>
        </is>
      </c>
      <c r="C6040" t="inlineStr">
        <is>
          <t>https://www.balearic-properties.com/en/property/id/844175-attractive-apartment-mountain-views-alcudia-mallorca-html</t>
        </is>
      </c>
      <c r="E6040" t="n">
        <v>2</v>
      </c>
      <c r="G6040" t="n">
        <v>0</v>
      </c>
      <c r="H6040" t="n">
        <v>93</v>
      </c>
      <c r="J6040" t="inlineStr">
        <is>
          <t>Alcúdia</t>
        </is>
      </c>
      <c r="AH6040" t="inlineStr">
        <is>
          <t>Quelle: Balearic Properties</t>
        </is>
      </c>
    </row>
    <row r="6041">
      <c r="A6041" t="n">
        <v>5854</v>
      </c>
      <c r="B6041" t="inlineStr">
        <is>
          <t>Beautiful semi-detached house for sale with incredible views in Alcanada, Alcudia, Mallorca</t>
        </is>
      </c>
      <c r="C6041" t="inlineStr">
        <is>
          <t>https://www.balearic-properties.com/en/property/id/857706-beautiful-house-seaviews-alcanada-alcudia-mallorca-html</t>
        </is>
      </c>
      <c r="E6041" t="n">
        <v>4</v>
      </c>
      <c r="G6041" t="n">
        <v>466</v>
      </c>
      <c r="H6041" t="n">
        <v>301</v>
      </c>
      <c r="J6041" t="inlineStr">
        <is>
          <t>Alcúdia</t>
        </is>
      </c>
      <c r="K6041" t="n">
        <v>61.6</v>
      </c>
      <c r="L6041" t="n">
        <v>47</v>
      </c>
      <c r="M6041" t="n">
        <v>79.7</v>
      </c>
      <c r="N6041" t="n">
        <v>74</v>
      </c>
      <c r="O6041" t="n">
        <v>84.2</v>
      </c>
      <c r="P6041" t="n">
        <v>63</v>
      </c>
      <c r="Q6041" t="n">
        <v>77.40000000000001</v>
      </c>
      <c r="R6041" t="n">
        <v>70</v>
      </c>
      <c r="S6041" t="n">
        <v>1900000</v>
      </c>
      <c r="T6041" t="n">
        <v>6312</v>
      </c>
      <c r="U6041" t="n">
        <v>4077</v>
      </c>
      <c r="AH6041" t="inlineStr">
        <is>
          <t>Quelle: Balearic Properties</t>
        </is>
      </c>
    </row>
    <row r="6042">
      <c r="A6042" t="n">
        <v>5855</v>
      </c>
      <c r="B6042" t="inlineStr">
        <is>
          <t>5 bed detached villa with ETV license in a community near Cala Egos, Mallorca</t>
        </is>
      </c>
      <c r="C6042" t="inlineStr">
        <is>
          <t>https://www.balearic-properties.com/en/property/id/853320-villa-holiday-license-cala-dor-mallorca-html</t>
        </is>
      </c>
      <c r="E6042" t="n">
        <v>5</v>
      </c>
      <c r="G6042" t="n">
        <v>0</v>
      </c>
      <c r="H6042" t="n">
        <v>173</v>
      </c>
      <c r="J6042" t="inlineStr">
        <is>
          <t>Cala Egos</t>
        </is>
      </c>
      <c r="K6042" t="n">
        <v>58.4</v>
      </c>
      <c r="L6042" t="n">
        <v>56</v>
      </c>
      <c r="M6042" t="n">
        <v>21.9</v>
      </c>
      <c r="N6042" t="n">
        <v>32</v>
      </c>
      <c r="O6042" t="n">
        <v>96.59999999999999</v>
      </c>
      <c r="P6042" t="n">
        <v>84</v>
      </c>
      <c r="Q6042" t="n">
        <v>23.3</v>
      </c>
      <c r="R6042" t="n">
        <v>34</v>
      </c>
      <c r="AH6042" t="inlineStr">
        <is>
          <t>Quelle: Balearic Properties</t>
        </is>
      </c>
    </row>
    <row r="6043">
      <c r="A6043" t="n">
        <v>5856</v>
      </c>
      <c r="B6043" t="inlineStr">
        <is>
          <t>Apartment with sea views for sale in Portals, Mallorca</t>
        </is>
      </c>
      <c r="C6043" t="inlineStr">
        <is>
          <t>https://www.balearic-properties.com/en/property/id/911734-apartment-sea-views-portals-mallorca-html</t>
        </is>
      </c>
      <c r="E6043" t="n">
        <v>2</v>
      </c>
      <c r="G6043" t="n">
        <v>0</v>
      </c>
      <c r="H6043" t="n">
        <v>62</v>
      </c>
      <c r="J6043" t="inlineStr">
        <is>
          <t>Portals Nous</t>
        </is>
      </c>
      <c r="AH6043" t="inlineStr">
        <is>
          <t>Quelle: Balearic Properties</t>
        </is>
      </c>
    </row>
    <row r="6044">
      <c r="A6044" t="n">
        <v>5857</v>
      </c>
      <c r="B6044" t="inlineStr">
        <is>
          <t>Villa oasis with wonderful pool and gardens for sale in Marratxi, Mallorca</t>
        </is>
      </c>
      <c r="C6044" t="inlineStr">
        <is>
          <t>https://www.balearic-properties.com/en/property/id/911750-villa-oasis-with-wonderful-pool-and-gardens-for-sale-in-marratxi-mallorca-html</t>
        </is>
      </c>
      <c r="E6044" t="n">
        <v>4</v>
      </c>
      <c r="G6044" t="n">
        <v>1603</v>
      </c>
      <c r="H6044" t="n">
        <v>511</v>
      </c>
      <c r="J6044" t="inlineStr">
        <is>
          <t>Sa Cabaneta</t>
        </is>
      </c>
      <c r="AH6044" t="inlineStr">
        <is>
          <t>Quelle: Balearic Properties</t>
        </is>
      </c>
    </row>
    <row r="6045">
      <c r="A6045" t="n">
        <v>5858</v>
      </c>
      <c r="B6045" t="inlineStr">
        <is>
          <t>Beautiful apartment with panoramic views to the bay for sale in Palma, Mallorca</t>
        </is>
      </c>
      <c r="C6045" t="inlineStr">
        <is>
          <t>https://www.balearic-properties.com/en/property/id/910774-apartment-panoramic-views-bay-palma-mallorca-html</t>
        </is>
      </c>
      <c r="E6045" t="n">
        <v>2</v>
      </c>
      <c r="G6045" t="n">
        <v>0</v>
      </c>
      <c r="H6045" t="n">
        <v>171</v>
      </c>
      <c r="J6045" t="inlineStr">
        <is>
          <t>Palma de Mallorca</t>
        </is>
      </c>
      <c r="AH6045" t="inlineStr">
        <is>
          <t>Quelle: Balearic Properties</t>
        </is>
      </c>
    </row>
    <row r="6046">
      <c r="A6046" t="n">
        <v>5859</v>
      </c>
      <c r="B6046" t="inlineStr">
        <is>
          <t>Stunning rural estate with mountain views for sale in Pollensa, Mallorca</t>
        </is>
      </c>
      <c r="C6046" t="inlineStr">
        <is>
          <t>https://www.balearic-properties.com/en/property/id/823687-country-villa-campanet-pollensa-mallorca-html</t>
        </is>
      </c>
      <c r="E6046" t="n">
        <v>6</v>
      </c>
      <c r="G6046" t="n">
        <v>100000</v>
      </c>
      <c r="H6046" t="n">
        <v>652</v>
      </c>
      <c r="J6046" t="inlineStr">
        <is>
          <t>Pollença</t>
        </is>
      </c>
      <c r="K6046" t="n">
        <v>60.6</v>
      </c>
      <c r="L6046" t="n">
        <v>47</v>
      </c>
      <c r="M6046" t="n">
        <v>78.7</v>
      </c>
      <c r="N6046" t="n">
        <v>74</v>
      </c>
      <c r="O6046" t="n">
        <v>83.2</v>
      </c>
      <c r="P6046" t="n">
        <v>63</v>
      </c>
      <c r="Q6046" t="n">
        <v>76.40000000000001</v>
      </c>
      <c r="R6046" t="n">
        <v>70</v>
      </c>
      <c r="AH6046" t="inlineStr">
        <is>
          <t>Quelle: Balearic Properties</t>
        </is>
      </c>
    </row>
    <row r="6047">
      <c r="A6047" t="n">
        <v>5860</v>
      </c>
      <c r="B6047" t="inlineStr">
        <is>
          <t>Beautiful Mediterranean house with pool for sale in the centre of Pollensa, Mallorca</t>
        </is>
      </c>
      <c r="C6047" t="inlineStr">
        <is>
          <t>https://www.balearic-properties.com/en/property/id/858857-mediterranean-house-pool-centre-pollensa-mallorca-html</t>
        </is>
      </c>
      <c r="E6047" t="n">
        <v>3</v>
      </c>
      <c r="G6047" t="n">
        <v>92</v>
      </c>
      <c r="H6047" t="n">
        <v>223</v>
      </c>
      <c r="J6047" t="inlineStr">
        <is>
          <t>Pollença Pueblo</t>
        </is>
      </c>
      <c r="AH6047" t="inlineStr">
        <is>
          <t>Quelle: Balearic Properties</t>
        </is>
      </c>
    </row>
    <row r="6048">
      <c r="A6048" t="n">
        <v>5861</v>
      </c>
      <c r="B6048" t="inlineStr">
        <is>
          <t>Perfectly located villa for sale in Puerto Pollensa, Mallorca</t>
        </is>
      </c>
      <c r="C6048" t="inlineStr">
        <is>
          <t>https://www.balearic-properties.com/en/property/id/871102-perfectly-located-villa-for-sale-in-puerto-pollensa-mallorca-html</t>
        </is>
      </c>
      <c r="E6048" t="n">
        <v>3</v>
      </c>
      <c r="G6048" t="n">
        <v>473</v>
      </c>
      <c r="H6048" t="n">
        <v>129</v>
      </c>
      <c r="J6048" t="inlineStr">
        <is>
          <t>Port de Pollença</t>
        </is>
      </c>
      <c r="S6048" t="n">
        <v>625000</v>
      </c>
      <c r="T6048" t="n">
        <v>4845</v>
      </c>
      <c r="U6048" t="n">
        <v>1321</v>
      </c>
      <c r="AH6048" t="inlineStr">
        <is>
          <t>Quelle: Balearic Properties</t>
        </is>
      </c>
    </row>
    <row r="6049">
      <c r="A6049" t="n">
        <v>5862</v>
      </c>
      <c r="B6049" t="inlineStr">
        <is>
          <t>Completely renovated apartment for sale in Santa Ponsa, Mallorca</t>
        </is>
      </c>
      <c r="C6049" t="inlineStr">
        <is>
          <t>https://www.balearic-properties.com/en/property/id/907586-completely-renovated-apartment-for-sale-in-santa-ponsa-mallorca-html</t>
        </is>
      </c>
      <c r="E6049" t="n">
        <v>3</v>
      </c>
      <c r="G6049" t="n">
        <v>0</v>
      </c>
      <c r="H6049" t="n">
        <v>120</v>
      </c>
      <c r="J6049" t="inlineStr">
        <is>
          <t>Santa Ponsa</t>
        </is>
      </c>
      <c r="AH6049" t="inlineStr">
        <is>
          <t>Quelle: Balearic Properties</t>
        </is>
      </c>
    </row>
    <row r="6050">
      <c r="A6050" t="n">
        <v>5863</v>
      </c>
      <c r="B6050" t="inlineStr">
        <is>
          <t>Newly built apartments with community pool for sale in Palmanova, Mallorca</t>
        </is>
      </c>
      <c r="C6050" t="inlineStr">
        <is>
          <t>https://www.balearic-properties.com/en/property/id/909707-newly-built-apartments-with-community-pool-for-sale-in-palmanova-mallorca-html</t>
        </is>
      </c>
      <c r="E6050" t="n">
        <v>2</v>
      </c>
      <c r="G6050" t="n">
        <v>0</v>
      </c>
      <c r="H6050" t="n">
        <v>145</v>
      </c>
      <c r="J6050" t="inlineStr">
        <is>
          <t>Palmanova</t>
        </is>
      </c>
      <c r="AH6050" t="inlineStr">
        <is>
          <t>Quelle: Balearic Properties</t>
        </is>
      </c>
    </row>
    <row r="6051">
      <c r="A6051" t="n">
        <v>5864</v>
      </c>
      <c r="B6051" t="inlineStr">
        <is>
          <t>Luxury villa for sale within the Cap Vermell Estate in Canyamel, Mallorca</t>
        </is>
      </c>
      <c r="C6051" t="inlineStr">
        <is>
          <t>https://www.balearic-properties.com/en/property/id/694830-stunning-villa-canyamel-html</t>
        </is>
      </c>
      <c r="E6051" t="n">
        <v>4</v>
      </c>
      <c r="G6051" t="n">
        <v>1701</v>
      </c>
      <c r="H6051" t="n">
        <v>363</v>
      </c>
      <c r="J6051" t="inlineStr">
        <is>
          <t>Canyamel</t>
        </is>
      </c>
      <c r="AH6051" t="inlineStr">
        <is>
          <t>Quelle: Balearic Properties</t>
        </is>
      </c>
    </row>
    <row r="6052">
      <c r="A6052" t="n">
        <v>5865</v>
      </c>
      <c r="B6052" t="inlineStr">
        <is>
          <t>Semi-detached village house for sale in Caimari, Mallorca</t>
        </is>
      </c>
      <c r="C6052" t="inlineStr">
        <is>
          <t>https://www.balearic-properties.com/en/property/id/904978-semi-detached-village-house-caimari-mallorca-html</t>
        </is>
      </c>
      <c r="E6052" t="n">
        <v>4</v>
      </c>
      <c r="G6052" t="n">
        <v>0</v>
      </c>
      <c r="H6052" t="n">
        <v>172</v>
      </c>
      <c r="J6052" t="inlineStr">
        <is>
          <t>Caimari</t>
        </is>
      </c>
      <c r="AH6052" t="inlineStr">
        <is>
          <t>Quelle: Balearic Properties</t>
        </is>
      </c>
    </row>
    <row r="6053">
      <c r="A6053" t="n">
        <v>5866</v>
      </c>
      <c r="B6053" t="inlineStr">
        <is>
          <t>Townhouses for sale in a privileged area of Esporles, Mallorca</t>
        </is>
      </c>
      <c r="C6053" t="inlineStr">
        <is>
          <t>https://www.balearic-properties.com/en/property/id/887520-development-of-new-townhouses-for-sale-in-esporles-mallorca-html</t>
        </is>
      </c>
      <c r="E6053" t="n">
        <v>3</v>
      </c>
      <c r="G6053" t="n">
        <v>156</v>
      </c>
      <c r="H6053" t="n">
        <v>166</v>
      </c>
      <c r="J6053" t="inlineStr">
        <is>
          <t>Esporles</t>
        </is>
      </c>
      <c r="AH6053" t="inlineStr">
        <is>
          <t>Quelle: Balearic Properties</t>
        </is>
      </c>
    </row>
    <row r="6054">
      <c r="A6054" t="n">
        <v>5867</v>
      </c>
      <c r="B6054" t="inlineStr">
        <is>
          <t>Development of new houses with gardens for sale in Esporles</t>
        </is>
      </c>
      <c r="C6054" t="inlineStr">
        <is>
          <t>https://www.balearic-properties.com/en/property/id/887516-development-of-new-townhouses-for-sale-in-esporles-mallorca-html</t>
        </is>
      </c>
      <c r="E6054" t="n">
        <v>3</v>
      </c>
      <c r="G6054" t="n">
        <v>186</v>
      </c>
      <c r="H6054" t="n">
        <v>148</v>
      </c>
      <c r="J6054" t="inlineStr">
        <is>
          <t>Esporles</t>
        </is>
      </c>
      <c r="AH6054" t="inlineStr">
        <is>
          <t>Quelle: Balearic Properties</t>
        </is>
      </c>
    </row>
    <row r="6055">
      <c r="A6055" t="n">
        <v>5868</v>
      </c>
      <c r="B6055" t="inlineStr">
        <is>
          <t>Unique country home in elevated position with incredible views for sale near Orient, Mallorca</t>
        </is>
      </c>
      <c r="C6055" t="inlineStr">
        <is>
          <t>https://www.balearic-properties.com/en/property/id/764735-country-home-incredible-views-orient-mallorca-html</t>
        </is>
      </c>
      <c r="E6055" t="n">
        <v>5</v>
      </c>
      <c r="G6055" t="n">
        <v>223319</v>
      </c>
      <c r="H6055" t="n">
        <v>627</v>
      </c>
      <c r="J6055" t="inlineStr">
        <is>
          <t>Orient</t>
        </is>
      </c>
      <c r="K6055" t="n">
        <v>42.6</v>
      </c>
      <c r="L6055" t="n">
        <v>46</v>
      </c>
      <c r="M6055" t="n">
        <v>85.40000000000001</v>
      </c>
      <c r="N6055" t="n">
        <v>79</v>
      </c>
      <c r="O6055" t="n">
        <v>65.2</v>
      </c>
      <c r="P6055" t="n">
        <v>63</v>
      </c>
      <c r="Q6055" t="n">
        <v>83.09999999999999</v>
      </c>
      <c r="R6055" t="n">
        <v>76</v>
      </c>
      <c r="AH6055" t="inlineStr">
        <is>
          <t>Quelle: Balearic Properties</t>
        </is>
      </c>
    </row>
    <row r="6056">
      <c r="A6056" t="n">
        <v>5869</v>
      </c>
      <c r="B6056" t="inlineStr">
        <is>
          <t>Excellent value apartment for sale in Puerto Alcudia, Mallorca</t>
        </is>
      </c>
      <c r="C6056" t="inlineStr">
        <is>
          <t>https://www.balearic-properties.com/en/property/id/887273-excellent-value-apartment-puerto-alcudia-mallorca-html</t>
        </is>
      </c>
      <c r="E6056" t="n">
        <v>1</v>
      </c>
      <c r="G6056" t="n">
        <v>84</v>
      </c>
      <c r="H6056" t="n">
        <v>84</v>
      </c>
      <c r="J6056" t="inlineStr">
        <is>
          <t>Puerto de Alcúdia</t>
        </is>
      </c>
      <c r="AH6056" t="inlineStr">
        <is>
          <t>Quelle: Balearic Properties</t>
        </is>
      </c>
    </row>
    <row r="6057">
      <c r="A6057" t="n">
        <v>5870</v>
      </c>
      <c r="B6057" t="inlineStr">
        <is>
          <t>Countryside villa for sale in the idyllic surroundings of Selva, Mallorca</t>
        </is>
      </c>
      <c r="C6057" t="inlineStr">
        <is>
          <t>https://www.balearic-properties.com/en/property/id/883226-countryside-villa-rental-license-selva-mallorca-html</t>
        </is>
      </c>
      <c r="E6057" t="n">
        <v>2</v>
      </c>
      <c r="G6057" t="n">
        <v>15029</v>
      </c>
      <c r="H6057" t="n">
        <v>142</v>
      </c>
      <c r="J6057" t="inlineStr">
        <is>
          <t>Selva</t>
        </is>
      </c>
      <c r="AH6057" t="inlineStr">
        <is>
          <t>Quelle: Balearic Properties</t>
        </is>
      </c>
    </row>
    <row r="6058">
      <c r="A6058" t="n">
        <v>5871</v>
      </c>
      <c r="B6058" t="inlineStr">
        <is>
          <t>New finca with panoramic views for sale in the countryside near Santanyi, Mallorca</t>
        </is>
      </c>
      <c r="C6058" t="inlineStr">
        <is>
          <t>https://www.balearic-properties.com/en/property/id/903962-new-finca-panoramic-views-santanyi-mallorca-html</t>
        </is>
      </c>
      <c r="E6058" t="n">
        <v>4</v>
      </c>
      <c r="G6058" t="n">
        <v>17700</v>
      </c>
      <c r="H6058" t="n">
        <v>373</v>
      </c>
      <c r="J6058" t="inlineStr">
        <is>
          <t>Santanyí</t>
        </is>
      </c>
      <c r="AH6058" t="inlineStr">
        <is>
          <t>Quelle: Balearic Properties</t>
        </is>
      </c>
    </row>
    <row r="6059">
      <c r="A6059" t="n">
        <v>5872</v>
      </c>
      <c r="B6059" t="inlineStr">
        <is>
          <t>Mediterranean villa for sale in a quiet residential area close to the beach in Sol de Mallorca</t>
        </is>
      </c>
      <c r="C6059" t="inlineStr">
        <is>
          <t>https://www.balearic-properties.com/en/property/id/792815-modern-villa-mallorca-html</t>
        </is>
      </c>
      <c r="E6059" t="n">
        <v>3</v>
      </c>
      <c r="G6059" t="n">
        <v>1224</v>
      </c>
      <c r="H6059" t="n">
        <v>214</v>
      </c>
      <c r="J6059" t="inlineStr">
        <is>
          <t>Sol de Mallorca</t>
        </is>
      </c>
      <c r="AH6059" t="inlineStr">
        <is>
          <t>Quelle: Balearic Properties</t>
        </is>
      </c>
    </row>
    <row r="6060">
      <c r="A6060" t="n">
        <v>5873</v>
      </c>
      <c r="B6060" t="inlineStr">
        <is>
          <t>Luxury town house with pool for sale in the heart of Pollensa, Mallorca</t>
        </is>
      </c>
      <c r="C6060" t="inlineStr">
        <is>
          <t>https://www.balearic-properties.com/en/property/id/903608-exceptional-townhouse-pool-pollensa-mallorca-html</t>
        </is>
      </c>
      <c r="E6060" t="n">
        <v>4</v>
      </c>
      <c r="G6060" t="n">
        <v>130</v>
      </c>
      <c r="H6060" t="n">
        <v>202</v>
      </c>
      <c r="J6060" t="inlineStr">
        <is>
          <t>Pollença Pueblo</t>
        </is>
      </c>
      <c r="AH6060" t="inlineStr">
        <is>
          <t>Quelle: Balearic Properties</t>
        </is>
      </c>
    </row>
    <row r="6061">
      <c r="A6061" t="n">
        <v>5874</v>
      </c>
      <c r="B6061" t="inlineStr">
        <is>
          <t>Appealing finca with rental license ( and cedula ) for sale near Pollensa, Mallorca</t>
        </is>
      </c>
      <c r="C6061" t="inlineStr">
        <is>
          <t>https://www.balearic-properties.com/en/property/id/252932-appealing-finca-rental-license-golf-pollensa-mallorca-html</t>
        </is>
      </c>
      <c r="E6061" t="n">
        <v>3</v>
      </c>
      <c r="G6061" t="n">
        <v>5000</v>
      </c>
      <c r="H6061" t="n">
        <v>235</v>
      </c>
      <c r="J6061" t="inlineStr">
        <is>
          <t>Pollença</t>
        </is>
      </c>
      <c r="AH6061" t="inlineStr">
        <is>
          <t>Quelle: Balearic Properties</t>
        </is>
      </c>
    </row>
    <row r="6062">
      <c r="A6062" t="n">
        <v>5875</v>
      </c>
      <c r="B6062" t="inlineStr">
        <is>
          <t>Top Floor partment for sale near the beach in Puerto Alcudia, Mallorca</t>
        </is>
      </c>
      <c r="C6062" t="inlineStr">
        <is>
          <t>https://www.balearic-properties.com/en/property/id/903108-apartment-puerto-de-alcudia-mallorca-html</t>
        </is>
      </c>
      <c r="E6062" t="n">
        <v>1</v>
      </c>
      <c r="G6062" t="n">
        <v>0</v>
      </c>
      <c r="H6062" t="n">
        <v>62</v>
      </c>
      <c r="J6062" t="inlineStr">
        <is>
          <t>Puerto de Alcúdia</t>
        </is>
      </c>
      <c r="AH6062" t="inlineStr">
        <is>
          <t>Quelle: Balearic Properties</t>
        </is>
      </c>
    </row>
    <row r="6063">
      <c r="A6063" t="n">
        <v>5876</v>
      </c>
      <c r="B6063" t="inlineStr">
        <is>
          <t>Unique opportunity: Lovely town house with superb patio and small pool for sale in Pollensa, Mallorca</t>
        </is>
      </c>
      <c r="C6063" t="inlineStr">
        <is>
          <t>https://www.balearic-properties.com/en/property/id/652384-townhouse-pool-patio-pollensa-mallorca-html</t>
        </is>
      </c>
      <c r="E6063" t="n">
        <v>2</v>
      </c>
      <c r="G6063" t="n">
        <v>85</v>
      </c>
      <c r="H6063" t="n">
        <v>133</v>
      </c>
      <c r="J6063" t="inlineStr">
        <is>
          <t>Pollença</t>
        </is>
      </c>
      <c r="AH6063" t="inlineStr">
        <is>
          <t>Quelle: Balearic Properties</t>
        </is>
      </c>
    </row>
    <row r="6064">
      <c r="A6064" t="n">
        <v>5877</v>
      </c>
      <c r="B6064" t="inlineStr">
        <is>
          <t>Luxurious town house with garden and pool for sale in Santanyi, Mallorca</t>
        </is>
      </c>
      <c r="C6064" t="inlineStr">
        <is>
          <t>https://www.balearic-properties.com/en/property/id/902500-luxurious-townhouse-garden-pool-santanyi-mallorca-html</t>
        </is>
      </c>
      <c r="E6064" t="n">
        <v>3</v>
      </c>
      <c r="G6064" t="n">
        <v>349</v>
      </c>
      <c r="H6064" t="n">
        <v>273</v>
      </c>
      <c r="J6064" t="inlineStr">
        <is>
          <t>Santanyí</t>
        </is>
      </c>
      <c r="AH6064" t="inlineStr">
        <is>
          <t>Quelle: Balearic Properties</t>
        </is>
      </c>
    </row>
    <row r="6065">
      <c r="A6065" t="n">
        <v>5878</v>
      </c>
      <c r="B6065" t="inlineStr">
        <is>
          <t>Central apartment for sale in Puerto Pollensa, Mallorca</t>
        </is>
      </c>
      <c r="C6065" t="inlineStr">
        <is>
          <t>https://www.balearic-properties.com/en/property/id/896039-centrico-piso-en-el-puerto-de-pollensa-html</t>
        </is>
      </c>
      <c r="E6065" t="n">
        <v>3</v>
      </c>
      <c r="G6065" t="n">
        <v>106</v>
      </c>
      <c r="H6065" t="n">
        <v>113</v>
      </c>
      <c r="J6065" t="inlineStr">
        <is>
          <t>Port de Pollença</t>
        </is>
      </c>
      <c r="S6065" t="n">
        <v>275000</v>
      </c>
      <c r="T6065" t="n">
        <v>2434</v>
      </c>
      <c r="U6065" t="n">
        <v>2594</v>
      </c>
      <c r="AH6065" t="inlineStr">
        <is>
          <t>Quelle: Balearic Properties</t>
        </is>
      </c>
    </row>
    <row r="6066">
      <c r="A6066" t="n">
        <v>5879</v>
      </c>
      <c r="B6066" t="inlineStr">
        <is>
          <t>Attractive villa with sea view and rental license for sale in Alcudia, Mallorca</t>
        </is>
      </c>
      <c r="C6066" t="inlineStr">
        <is>
          <t>https://www.balearic-properties.com/en/property/id/887539-attractive-villa-seaview-rental-license-alcudia-mallorca-html</t>
        </is>
      </c>
      <c r="E6066" t="n">
        <v>6</v>
      </c>
      <c r="G6066" t="n">
        <v>32941</v>
      </c>
      <c r="H6066" t="n">
        <v>906</v>
      </c>
      <c r="J6066" t="inlineStr">
        <is>
          <t>Alcúdia</t>
        </is>
      </c>
      <c r="K6066" t="n">
        <v>61.6</v>
      </c>
      <c r="L6066" t="n">
        <v>47</v>
      </c>
      <c r="M6066" t="n">
        <v>79.7</v>
      </c>
      <c r="N6066" t="n">
        <v>74</v>
      </c>
      <c r="O6066" t="n">
        <v>84.2</v>
      </c>
      <c r="P6066" t="n">
        <v>63</v>
      </c>
      <c r="Q6066" t="n">
        <v>77.40000000000001</v>
      </c>
      <c r="R6066" t="n">
        <v>70</v>
      </c>
      <c r="AH6066" t="inlineStr">
        <is>
          <t>Quelle: Balearic Properties</t>
        </is>
      </c>
    </row>
    <row r="6067">
      <c r="A6067" t="n">
        <v>5880</v>
      </c>
      <c r="B6067" t="inlineStr">
        <is>
          <t>Elegant seaview townhouse for sale in Cala San Vicente, Mallorca</t>
        </is>
      </c>
      <c r="C6067" t="inlineStr">
        <is>
          <t>https://www.balearic-properties.com/en/property/id/901810-elegant-seaview-townhouse-cala-san-vicente-mallorca-html</t>
        </is>
      </c>
      <c r="E6067" t="n">
        <v>3</v>
      </c>
      <c r="G6067" t="n">
        <v>0</v>
      </c>
      <c r="H6067" t="n">
        <v>114</v>
      </c>
      <c r="J6067" t="inlineStr">
        <is>
          <t>Cala Sant Vicenç</t>
        </is>
      </c>
      <c r="AH6067" t="inlineStr">
        <is>
          <t>Quelle: Balearic Properties</t>
        </is>
      </c>
    </row>
    <row r="6068">
      <c r="A6068" t="n">
        <v>5881</v>
      </c>
      <c r="B6068" t="inlineStr">
        <is>
          <t>Traditional town house for sale in Pollensa, Mallorca</t>
        </is>
      </c>
      <c r="C6068" t="inlineStr">
        <is>
          <t>https://www.balearic-properties.com/en/property/id/902032-town-house-pollensa-mallorca-html</t>
        </is>
      </c>
      <c r="E6068" t="n">
        <v>3</v>
      </c>
      <c r="G6068" t="n">
        <v>86</v>
      </c>
      <c r="H6068" t="n">
        <v>130</v>
      </c>
      <c r="J6068" t="inlineStr">
        <is>
          <t>Pollença Pueblo</t>
        </is>
      </c>
      <c r="S6068" t="n">
        <v>450000</v>
      </c>
      <c r="T6068" t="n">
        <v>3462</v>
      </c>
      <c r="U6068" t="n">
        <v>5233</v>
      </c>
      <c r="AH6068" t="inlineStr">
        <is>
          <t>Quelle: Balearic Properties</t>
        </is>
      </c>
    </row>
    <row r="6069">
      <c r="A6069" t="n">
        <v>5882</v>
      </c>
      <c r="B6069" t="inlineStr">
        <is>
          <t>Excellent first floor luxury apartment for sale in Santa Ponsa, Mallorca</t>
        </is>
      </c>
      <c r="C6069" t="inlineStr">
        <is>
          <t>https://www.balearic-properties.com/en/property/id/850276-excellent-first-floor-luxury-apartment-for-sale-in-santa-ponsa-mallorca-html</t>
        </is>
      </c>
      <c r="E6069" t="n">
        <v>4</v>
      </c>
      <c r="G6069" t="n">
        <v>0</v>
      </c>
      <c r="H6069" t="n">
        <v>155</v>
      </c>
      <c r="J6069" t="inlineStr">
        <is>
          <t>Santa Ponsa</t>
        </is>
      </c>
      <c r="AH6069" t="inlineStr">
        <is>
          <t>Quelle: Balearic Properties</t>
        </is>
      </c>
    </row>
    <row r="6070">
      <c r="A6070" t="n">
        <v>5883</v>
      </c>
      <c r="B6070" t="inlineStr">
        <is>
          <t>Stunning country home for sale in Pollensa, Mallorca</t>
        </is>
      </c>
      <c r="C6070" t="inlineStr">
        <is>
          <t>https://www.balearic-properties.com/en/property/id/896304-stunning-country-home-for-sale-in-pollensa-mallorca-html</t>
        </is>
      </c>
      <c r="E6070" t="n">
        <v>5</v>
      </c>
      <c r="G6070" t="n">
        <v>17000</v>
      </c>
      <c r="H6070" t="n">
        <v>363</v>
      </c>
      <c r="J6070" t="inlineStr">
        <is>
          <t>Pollença</t>
        </is>
      </c>
      <c r="K6070" t="n">
        <v>60.6</v>
      </c>
      <c r="L6070" t="n">
        <v>47</v>
      </c>
      <c r="M6070" t="n">
        <v>78.7</v>
      </c>
      <c r="N6070" t="n">
        <v>74</v>
      </c>
      <c r="O6070" t="n">
        <v>83.2</v>
      </c>
      <c r="P6070" t="n">
        <v>63</v>
      </c>
      <c r="Q6070" t="n">
        <v>76.40000000000001</v>
      </c>
      <c r="R6070" t="n">
        <v>70</v>
      </c>
      <c r="AH6070" t="inlineStr">
        <is>
          <t>Quelle: Balearic Properties</t>
        </is>
      </c>
    </row>
    <row r="6071">
      <c r="A6071" t="n">
        <v>5884</v>
      </c>
      <c r="B6071" t="inlineStr">
        <is>
          <t>Elegant apartment with lift access for sale in the centre of Palma, Mallorca</t>
        </is>
      </c>
      <c r="C6071" t="inlineStr">
        <is>
          <t>https://www.balearic-properties.com/en/property/id/887807-elegant-apartment-with-lift-access-centre-of-palma-mallorca-html</t>
        </is>
      </c>
      <c r="E6071" t="n">
        <v>2</v>
      </c>
      <c r="G6071" t="n">
        <v>0</v>
      </c>
      <c r="H6071" t="n">
        <v>86</v>
      </c>
      <c r="J6071" t="inlineStr">
        <is>
          <t>Palma de Mallorca</t>
        </is>
      </c>
      <c r="AH6071" t="inlineStr">
        <is>
          <t>Quelle: Balearic Properties</t>
        </is>
      </c>
    </row>
    <row r="6072">
      <c r="A6072" t="n">
        <v>5885</v>
      </c>
      <c r="B6072" t="inlineStr">
        <is>
          <t>Townhouse with incredible sea views for sale in Santa Ponsa, Mallorca</t>
        </is>
      </c>
      <c r="C6072" t="inlineStr">
        <is>
          <t>https://www.balearic-properties.com/en/property/id/887931-townhouse-with-incredible-sea-views-in-santa-ponsa-mallorca-html</t>
        </is>
      </c>
      <c r="E6072" t="n">
        <v>2</v>
      </c>
      <c r="G6072" t="n">
        <v>0</v>
      </c>
      <c r="H6072" t="n">
        <v>139</v>
      </c>
      <c r="J6072" t="inlineStr">
        <is>
          <t>Santa Ponsa</t>
        </is>
      </c>
      <c r="AH6072" t="inlineStr">
        <is>
          <t>Quelle: Balearic Properties</t>
        </is>
      </c>
    </row>
    <row r="6073">
      <c r="A6073" t="n">
        <v>5886</v>
      </c>
      <c r="B6073" t="inlineStr">
        <is>
          <t>Stylish Mallorcan townhouses for sale in Esporles, Mallorca</t>
        </is>
      </c>
      <c r="C6073" t="inlineStr">
        <is>
          <t>https://www.balearic-properties.com/en/property/id/887526-development-of-new-townhouses-for-sale-in-esporles-mallorca-html</t>
        </is>
      </c>
      <c r="E6073" t="n">
        <v>3</v>
      </c>
      <c r="G6073" t="n">
        <v>194</v>
      </c>
      <c r="H6073" t="n">
        <v>150</v>
      </c>
      <c r="J6073" t="inlineStr">
        <is>
          <t>Esporles</t>
        </is>
      </c>
      <c r="AH6073" t="inlineStr">
        <is>
          <t>Quelle: Balearic Properties</t>
        </is>
      </c>
    </row>
    <row r="6074">
      <c r="A6074" t="n">
        <v>5887</v>
      </c>
      <c r="B6074" t="inlineStr">
        <is>
          <t>Unmissable new 3-bedroom houses for sale in Esporles, Mallorca</t>
        </is>
      </c>
      <c r="C6074" t="inlineStr">
        <is>
          <t>https://www.balearic-properties.com/en/property/id/887525-development-of-new-townhouses-for-sale-in-esporles-mallorca-html</t>
        </is>
      </c>
      <c r="E6074" t="n">
        <v>3</v>
      </c>
      <c r="G6074" t="n">
        <v>196</v>
      </c>
      <c r="H6074" t="n">
        <v>150</v>
      </c>
      <c r="J6074" t="inlineStr">
        <is>
          <t>Esporles</t>
        </is>
      </c>
      <c r="AH6074" t="inlineStr">
        <is>
          <t>Quelle: Balearic Properties</t>
        </is>
      </c>
    </row>
    <row r="6075">
      <c r="A6075" t="n">
        <v>5888</v>
      </c>
      <c r="B6075" t="inlineStr">
        <is>
          <t>Unique new development of houses for sale in Esporles, Mallorca</t>
        </is>
      </c>
      <c r="C6075" t="inlineStr">
        <is>
          <t>https://www.balearic-properties.com/en/property/id/887523-development-of-new-townhouses-for-sale-in-esporles-mallorca-html</t>
        </is>
      </c>
      <c r="E6075" t="n">
        <v>3</v>
      </c>
      <c r="G6075" t="n">
        <v>195</v>
      </c>
      <c r="H6075" t="n">
        <v>150</v>
      </c>
      <c r="J6075" t="inlineStr">
        <is>
          <t>Esporles</t>
        </is>
      </c>
      <c r="AH6075" t="inlineStr">
        <is>
          <t>Quelle: Balearic Properties</t>
        </is>
      </c>
    </row>
    <row r="6076">
      <c r="A6076" t="n">
        <v>5889</v>
      </c>
      <c r="B6076" t="inlineStr">
        <is>
          <t>Exclusive development of townhouses for sale in Esporles, Mallorca</t>
        </is>
      </c>
      <c r="C6076" t="inlineStr">
        <is>
          <t>https://www.balearic-properties.com/en/property/id/887521-development-of-new-townhouses-for-sale-in-esporles-mallorca-html</t>
        </is>
      </c>
      <c r="E6076" t="n">
        <v>3</v>
      </c>
      <c r="G6076" t="n">
        <v>192</v>
      </c>
      <c r="H6076" t="n">
        <v>149</v>
      </c>
      <c r="J6076" t="inlineStr">
        <is>
          <t>Esporles</t>
        </is>
      </c>
      <c r="AH6076" t="inlineStr">
        <is>
          <t>Quelle: Balearic Properties</t>
        </is>
      </c>
    </row>
    <row r="6077">
      <c r="A6077" t="n">
        <v>5890</v>
      </c>
      <c r="B6077" t="inlineStr">
        <is>
          <t>Quality townhouse development properties for sale in Esporles</t>
        </is>
      </c>
      <c r="C6077" t="inlineStr">
        <is>
          <t>https://www.balearic-properties.com/en/property/id/887513-development-of-new-townhouses-for-sale-in-esporles-mallorca-html</t>
        </is>
      </c>
      <c r="E6077" t="n">
        <v>3</v>
      </c>
      <c r="G6077" t="n">
        <v>162</v>
      </c>
      <c r="H6077" t="n">
        <v>149</v>
      </c>
      <c r="J6077" t="inlineStr">
        <is>
          <t>Esporles</t>
        </is>
      </c>
      <c r="AH6077" t="inlineStr">
        <is>
          <t>Quelle: Balearic Properties</t>
        </is>
      </c>
    </row>
    <row r="6078">
      <c r="A6078" t="n">
        <v>5891</v>
      </c>
      <c r="B6078" t="inlineStr">
        <is>
          <t>Newly constructed houses for sale in the town of Esporles, Mallorca</t>
        </is>
      </c>
      <c r="C6078" t="inlineStr">
        <is>
          <t>https://www.balearic-properties.com/en/property/id/887508-development-of-new-townhouses-for-sale-in-esporles-mallorca-html</t>
        </is>
      </c>
      <c r="E6078" t="n">
        <v>3</v>
      </c>
      <c r="G6078" t="n">
        <v>142</v>
      </c>
      <c r="H6078" t="n">
        <v>149</v>
      </c>
      <c r="J6078" t="inlineStr">
        <is>
          <t>Esporles</t>
        </is>
      </c>
      <c r="AH6078" t="inlineStr">
        <is>
          <t>Quelle: Balearic Properties</t>
        </is>
      </c>
    </row>
    <row r="6079">
      <c r="A6079" t="n">
        <v>5892</v>
      </c>
      <c r="B6079" t="inlineStr">
        <is>
          <t>Development of new townhouses for sale in Esporles, Mallorca</t>
        </is>
      </c>
      <c r="C6079" t="inlineStr">
        <is>
          <t>https://www.balearic-properties.com/en/property/id/886585-development-of-new-townhouses-for-sale-in-esporles-mallorca-html</t>
        </is>
      </c>
      <c r="E6079" t="n">
        <v>3</v>
      </c>
      <c r="G6079" t="n">
        <v>130</v>
      </c>
      <c r="H6079" t="n">
        <v>150</v>
      </c>
      <c r="J6079" t="inlineStr">
        <is>
          <t>Esporles</t>
        </is>
      </c>
      <c r="AH6079" t="inlineStr">
        <is>
          <t>Quelle: Balearic Properties</t>
        </is>
      </c>
    </row>
    <row r="6080">
      <c r="A6080" t="n">
        <v>5893</v>
      </c>
      <c r="B6080" t="inlineStr">
        <is>
          <t>Development of apartments for sale in the town of Ses Salines, Mallorca</t>
        </is>
      </c>
      <c r="C6080" t="inlineStr">
        <is>
          <t>https://www.balearic-properties.com/en/property/id/887470-new-apartments-and-duplexes-for-sale-in-ses-salines-mallorca-html</t>
        </is>
      </c>
      <c r="E6080" t="n">
        <v>2</v>
      </c>
      <c r="G6080" t="n">
        <v>0</v>
      </c>
      <c r="H6080" t="n">
        <v>150</v>
      </c>
      <c r="J6080" t="inlineStr">
        <is>
          <t>Ses Salines</t>
        </is>
      </c>
      <c r="AH6080" t="inlineStr">
        <is>
          <t>Quelle: Balearic Properties</t>
        </is>
      </c>
    </row>
    <row r="6081">
      <c r="A6081" t="n">
        <v>5894</v>
      </c>
      <c r="B6081" t="inlineStr">
        <is>
          <t>Brand new home development for sale in Ses Salines, Mallorca</t>
        </is>
      </c>
      <c r="C6081" t="inlineStr">
        <is>
          <t>https://www.balearic-properties.com/en/property/id/887468-new-apartments-and-duplexes-for-sale-in-ses-salines-mallorca-html</t>
        </is>
      </c>
      <c r="E6081" t="n">
        <v>2</v>
      </c>
      <c r="G6081" t="n">
        <v>0</v>
      </c>
      <c r="H6081" t="n">
        <v>164</v>
      </c>
      <c r="J6081" t="inlineStr">
        <is>
          <t>Ses Salines</t>
        </is>
      </c>
      <c r="AH6081" t="inlineStr">
        <is>
          <t>Quelle: Balearic Properties</t>
        </is>
      </c>
    </row>
    <row r="6082">
      <c r="A6082" t="n">
        <v>5895</v>
      </c>
      <c r="B6082" t="inlineStr">
        <is>
          <t>Luxury Apartment at the exclusive ‘Residencias Mardavall’ for sale in Portals Nous, Mallorca</t>
        </is>
      </c>
      <c r="C6082" t="inlineStr">
        <is>
          <t>https://www.balearic-properties.com/en/property/id/887266-luxury-apartment-located-in-the-exclusive-residencias-mardavall-portals-mallorca</t>
        </is>
      </c>
      <c r="E6082" t="n">
        <v>2</v>
      </c>
      <c r="G6082" t="n">
        <v>0</v>
      </c>
      <c r="H6082" t="n">
        <v>191</v>
      </c>
      <c r="J6082" t="inlineStr">
        <is>
          <t>Portals Nous</t>
        </is>
      </c>
      <c r="AH6082" t="inlineStr">
        <is>
          <t>Quelle: Balearic Properties</t>
        </is>
      </c>
    </row>
    <row r="6083">
      <c r="A6083" t="n">
        <v>5896</v>
      </c>
      <c r="B6083" t="inlineStr">
        <is>
          <t>Striking villa with pool for sale in Bonaire, Alcúdia, Mallorca</t>
        </is>
      </c>
      <c r="C6083" t="inlineStr">
        <is>
          <t>https://www.balearic-properties.com/en/property/id/827269-mallorca-new-villa-bonaire-alcudia-html</t>
        </is>
      </c>
      <c r="E6083" t="n">
        <v>4</v>
      </c>
      <c r="G6083" t="n">
        <v>1014</v>
      </c>
      <c r="H6083" t="n">
        <v>295</v>
      </c>
      <c r="J6083" t="inlineStr">
        <is>
          <t>Bonaire</t>
        </is>
      </c>
      <c r="K6083" t="n">
        <v>64.40000000000001</v>
      </c>
      <c r="L6083" t="n">
        <v>54</v>
      </c>
      <c r="M6083" t="n">
        <v>82.5</v>
      </c>
      <c r="N6083" t="n">
        <v>80</v>
      </c>
      <c r="O6083" t="n">
        <v>87</v>
      </c>
      <c r="P6083" t="n">
        <v>70</v>
      </c>
      <c r="Q6083" t="n">
        <v>80.2</v>
      </c>
      <c r="R6083" t="n">
        <v>77</v>
      </c>
      <c r="S6083" t="n">
        <v>3300000</v>
      </c>
      <c r="T6083" t="n">
        <v>11186</v>
      </c>
      <c r="U6083" t="n">
        <v>3254</v>
      </c>
      <c r="AH6083" t="inlineStr">
        <is>
          <t>Quelle: Balearic Properties</t>
        </is>
      </c>
    </row>
    <row r="6084">
      <c r="A6084" t="n">
        <v>5897</v>
      </c>
      <c r="B6084" t="inlineStr">
        <is>
          <t>Beautiful country home with breathtaking views for sale in Selva, Mallorca</t>
        </is>
      </c>
      <c r="C6084" t="inlineStr">
        <is>
          <t>https://www.balearic-properties.com/en/property/id/885937-finca-rustic-selva-mallorca-html</t>
        </is>
      </c>
      <c r="E6084" t="n">
        <v>5</v>
      </c>
      <c r="G6084" t="n">
        <v>2100</v>
      </c>
      <c r="H6084" t="n">
        <v>390</v>
      </c>
      <c r="J6084" t="inlineStr">
        <is>
          <t>Selva</t>
        </is>
      </c>
      <c r="K6084" t="n">
        <v>44.5</v>
      </c>
      <c r="L6084" t="n">
        <v>41</v>
      </c>
      <c r="M6084" t="n">
        <v>62.6</v>
      </c>
      <c r="N6084" t="n">
        <v>67</v>
      </c>
      <c r="O6084" t="n">
        <v>67.09999999999999</v>
      </c>
      <c r="P6084" t="n">
        <v>57</v>
      </c>
      <c r="Q6084" t="n">
        <v>60.3</v>
      </c>
      <c r="R6084" t="n">
        <v>64</v>
      </c>
      <c r="AH6084" t="inlineStr">
        <is>
          <t>Quelle: Balearic Properties</t>
        </is>
      </c>
    </row>
    <row r="6085">
      <c r="A6085" t="n">
        <v>5898</v>
      </c>
      <c r="B6085" t="inlineStr">
        <is>
          <t>Incredible sea view villa with pool for sale in Alcudia, Mallorca</t>
        </is>
      </c>
      <c r="C6085" t="inlineStr">
        <is>
          <t>https://www.balearic-properties.com/en/property/id/819118-incredible-sea-view-villa-with-pool-for-sale-in-alcudia-mallorca</t>
        </is>
      </c>
      <c r="E6085" t="n">
        <v>4</v>
      </c>
      <c r="G6085" t="n">
        <v>709</v>
      </c>
      <c r="H6085" t="n">
        <v>282</v>
      </c>
      <c r="J6085" t="inlineStr">
        <is>
          <t>Alcanada</t>
        </is>
      </c>
      <c r="AH6085" t="inlineStr">
        <is>
          <t>Quelle: Balearic Properties</t>
        </is>
      </c>
    </row>
    <row r="6086">
      <c r="A6086" t="n">
        <v>5899</v>
      </c>
      <c r="B6086" t="inlineStr">
        <is>
          <t>Great value apartment for sale near the marina in Santa Ponsa, Mallorca</t>
        </is>
      </c>
      <c r="C6086" t="inlineStr">
        <is>
          <t>https://www.balearic-properties.com/en/property/id/886275-apartment-marina-santa-ponsa-mallorca-html</t>
        </is>
      </c>
      <c r="E6086" t="n">
        <v>3</v>
      </c>
      <c r="G6086" t="n">
        <v>0</v>
      </c>
      <c r="H6086" t="n">
        <v>93</v>
      </c>
      <c r="J6086" t="inlineStr">
        <is>
          <t>Santa Ponsa</t>
        </is>
      </c>
      <c r="AH6086" t="inlineStr">
        <is>
          <t>Quelle: Balearic Properties</t>
        </is>
      </c>
    </row>
    <row r="6087">
      <c r="A6087" t="n">
        <v>5900</v>
      </c>
      <c r="B6087" t="inlineStr">
        <is>
          <t>Spacious villa for sale close to the golf course in Pollensa, Mallorca</t>
        </is>
      </c>
      <c r="C6087" t="inlineStr">
        <is>
          <t>https://www.balearic-properties.com/en/property/id/788006-villa-pool-potential-pollensa-html</t>
        </is>
      </c>
      <c r="E6087" t="n">
        <v>6</v>
      </c>
      <c r="G6087" t="n">
        <v>1190</v>
      </c>
      <c r="H6087" t="n">
        <v>300</v>
      </c>
      <c r="J6087" t="inlineStr">
        <is>
          <t>Pollença</t>
        </is>
      </c>
      <c r="K6087" t="n">
        <v>60.6</v>
      </c>
      <c r="L6087" t="n">
        <v>47</v>
      </c>
      <c r="M6087" t="n">
        <v>78.7</v>
      </c>
      <c r="N6087" t="n">
        <v>74</v>
      </c>
      <c r="O6087" t="n">
        <v>83.2</v>
      </c>
      <c r="P6087" t="n">
        <v>63</v>
      </c>
      <c r="Q6087" t="n">
        <v>76.40000000000001</v>
      </c>
      <c r="R6087" t="n">
        <v>70</v>
      </c>
      <c r="AH6087" t="inlineStr">
        <is>
          <t>Quelle: Balearic Properties</t>
        </is>
      </c>
    </row>
    <row r="6088">
      <c r="A6088" t="n">
        <v>5901</v>
      </c>
      <c r="B6088" t="inlineStr">
        <is>
          <t>Delightful village house with pool and holiday rental license for sale in Campanet, Mallorca</t>
        </is>
      </c>
      <c r="C6088" t="inlineStr">
        <is>
          <t>https://www.balearic-properties.com/en/property/id/787920-townhouse-holiday-license-campanet-mallorca-html</t>
        </is>
      </c>
      <c r="E6088" t="n">
        <v>4</v>
      </c>
      <c r="G6088" t="n">
        <v>0</v>
      </c>
      <c r="H6088" t="n">
        <v>200</v>
      </c>
      <c r="J6088" t="inlineStr">
        <is>
          <t>Campanet</t>
        </is>
      </c>
      <c r="AH6088" t="inlineStr">
        <is>
          <t>Quelle: Balearic Properties</t>
        </is>
      </c>
    </row>
    <row r="6089">
      <c r="A6089" t="n">
        <v>5902</v>
      </c>
      <c r="B6089" t="inlineStr">
        <is>
          <t>Elegant and luxurious apartment with sea views for sale in Illetes, Mallorca</t>
        </is>
      </c>
      <c r="C6089" t="inlineStr">
        <is>
          <t>https://www.balearic-properties.com/en/property/id/881428-elegant-and-luxurious-apartment-with-sea-views-for-sale-in-illetes-mallorca-html</t>
        </is>
      </c>
      <c r="E6089" t="n">
        <v>2</v>
      </c>
      <c r="G6089" t="n">
        <v>0</v>
      </c>
      <c r="H6089" t="n">
        <v>130</v>
      </c>
      <c r="J6089" t="inlineStr">
        <is>
          <t>Illetes</t>
        </is>
      </c>
      <c r="AH6089" t="inlineStr">
        <is>
          <t>Quelle: Balearic Properties</t>
        </is>
      </c>
    </row>
    <row r="6090">
      <c r="A6090" t="n">
        <v>5903</v>
      </c>
      <c r="B6090" t="inlineStr">
        <is>
          <t>Beautiful plot for sale with "bancales" between Selva and Caimari, Mallorca</t>
        </is>
      </c>
      <c r="C6090" t="inlineStr">
        <is>
          <t>https://www.balearic-properties.com/en/property/id/859943-beautiful-plot-selva-caimari-mallorca-html</t>
        </is>
      </c>
      <c r="E6090" t="n">
        <v>0</v>
      </c>
      <c r="G6090" t="n">
        <v>33058</v>
      </c>
      <c r="H6090" t="n">
        <v>117</v>
      </c>
      <c r="J6090" t="inlineStr">
        <is>
          <t>Selva</t>
        </is>
      </c>
      <c r="S6090" t="n">
        <v>550000</v>
      </c>
      <c r="T6090" t="n">
        <v>4701</v>
      </c>
      <c r="U6090" t="n">
        <v>17</v>
      </c>
      <c r="AH6090" t="inlineStr">
        <is>
          <t>Quelle: Balearic Properties</t>
        </is>
      </c>
    </row>
    <row r="6091">
      <c r="A6091" t="n">
        <v>5904</v>
      </c>
      <c r="B6091" t="inlineStr">
        <is>
          <t>Top-quality luxury villa for sale in a prestigious area near Pollensa, Mallorca</t>
        </is>
      </c>
      <c r="C6091" t="inlineStr">
        <is>
          <t>https://www.balearic-properties.com/en/property/id/859588-ecofriendly-modern-villa-pollensa-mallorca-html</t>
        </is>
      </c>
      <c r="E6091" t="n">
        <v>5</v>
      </c>
      <c r="G6091" t="n">
        <v>1100</v>
      </c>
      <c r="H6091" t="n">
        <v>275</v>
      </c>
      <c r="J6091" t="inlineStr">
        <is>
          <t>Pollença</t>
        </is>
      </c>
      <c r="K6091" t="n">
        <v>60.6</v>
      </c>
      <c r="L6091" t="n">
        <v>47</v>
      </c>
      <c r="M6091" t="n">
        <v>78.7</v>
      </c>
      <c r="N6091" t="n">
        <v>74</v>
      </c>
      <c r="O6091" t="n">
        <v>83.2</v>
      </c>
      <c r="P6091" t="n">
        <v>63</v>
      </c>
      <c r="Q6091" t="n">
        <v>76.40000000000001</v>
      </c>
      <c r="R6091" t="n">
        <v>70</v>
      </c>
      <c r="AH6091" t="inlineStr">
        <is>
          <t>Quelle: Balearic Properties</t>
        </is>
      </c>
    </row>
    <row r="6092">
      <c r="A6092" t="n">
        <v>5905</v>
      </c>
      <c r="B6092" t="inlineStr">
        <is>
          <t>Turnkey apartment with sea views for sale in the heart of Puerto Pollenca, Mallorca</t>
        </is>
      </c>
      <c r="C6092" t="inlineStr">
        <is>
          <t>https://www.balearic-properties.com/en/property/id/875737-turnkey-apartment-beach-puerto-pollensa-mallorca-html</t>
        </is>
      </c>
      <c r="E6092" t="n">
        <v>3</v>
      </c>
      <c r="G6092" t="n">
        <v>0</v>
      </c>
      <c r="H6092" t="n">
        <v>126</v>
      </c>
      <c r="J6092" t="inlineStr">
        <is>
          <t>Port de Pollença</t>
        </is>
      </c>
      <c r="S6092" t="n">
        <v>535000</v>
      </c>
      <c r="T6092" t="n">
        <v>4246</v>
      </c>
      <c r="AH6092" t="inlineStr">
        <is>
          <t>Quelle: Balearic Properties</t>
        </is>
      </c>
    </row>
    <row r="6093">
      <c r="A6093" t="n">
        <v>5906</v>
      </c>
      <c r="B6093" t="inlineStr">
        <is>
          <t>Charming villa with holiday license for sale near Pollensa, Mallorca</t>
        </is>
      </c>
      <c r="C6093" t="inlineStr">
        <is>
          <t>https://www.balearic-properties.com/en/property/id/883330-modern-villa-etv-pollensa-mallorca-html</t>
        </is>
      </c>
      <c r="E6093" t="n">
        <v>4</v>
      </c>
      <c r="G6093" t="n">
        <v>1200</v>
      </c>
      <c r="H6093" t="n">
        <v>260</v>
      </c>
      <c r="J6093" t="inlineStr">
        <is>
          <t>Pollença</t>
        </is>
      </c>
      <c r="AH6093" t="inlineStr">
        <is>
          <t>Quelle: Balearic Properties</t>
        </is>
      </c>
    </row>
    <row r="6094">
      <c r="A6094" t="n">
        <v>5907</v>
      </c>
      <c r="B6094" t="inlineStr">
        <is>
          <t>Large apartment in need of refurbishment for sale in Palma</t>
        </is>
      </c>
      <c r="C6094" t="inlineStr">
        <is>
          <t>https://www.balearic-properties.com/en/property/id/882336-spacious-apartment-with-terrace-and-elevator-for-sale-in-the-old-town-of-palma-de-mallorca-html</t>
        </is>
      </c>
      <c r="E6094" t="n">
        <v>5</v>
      </c>
      <c r="G6094" t="n">
        <v>0</v>
      </c>
      <c r="H6094" t="n">
        <v>241</v>
      </c>
      <c r="J6094" t="inlineStr">
        <is>
          <t>Palma Casco Antiguo</t>
        </is>
      </c>
      <c r="K6094" t="n">
        <v>9.699999999999999</v>
      </c>
      <c r="L6094" t="n">
        <v>14</v>
      </c>
      <c r="M6094" t="n">
        <v>52.5</v>
      </c>
      <c r="N6094" t="n">
        <v>47</v>
      </c>
      <c r="O6094" t="n">
        <v>32.1</v>
      </c>
      <c r="P6094" t="n">
        <v>36</v>
      </c>
      <c r="Q6094" t="n">
        <v>50.2</v>
      </c>
      <c r="R6094" t="n">
        <v>44</v>
      </c>
      <c r="AH6094" t="inlineStr">
        <is>
          <t>Quelle: Balearic Properties</t>
        </is>
      </c>
    </row>
    <row r="6095">
      <c r="A6095" t="n">
        <v>5908</v>
      </c>
      <c r="B6095" t="inlineStr">
        <is>
          <t>Charming villa for sale in Son Toni, Mallorca</t>
        </is>
      </c>
      <c r="C6095" t="inlineStr">
        <is>
          <t>https://www.balearic-properties.com/en/property/id/878662-charming-villa-son-toni-mallorca-html</t>
        </is>
      </c>
      <c r="E6095" t="n">
        <v>3</v>
      </c>
      <c r="G6095" t="n">
        <v>2740</v>
      </c>
      <c r="H6095" t="n">
        <v>236</v>
      </c>
      <c r="J6095" t="inlineStr">
        <is>
          <t>Son Toni</t>
        </is>
      </c>
      <c r="AH6095" t="inlineStr">
        <is>
          <t>Quelle: Balearic Properties</t>
        </is>
      </c>
    </row>
    <row r="6096">
      <c r="A6096" t="n">
        <v>5909</v>
      </c>
      <c r="B6096" t="inlineStr">
        <is>
          <t>New luxury villa for sale close to the beach in Bendinat, Mallorca</t>
        </is>
      </c>
      <c r="C6096" t="inlineStr">
        <is>
          <t>https://www.balearic-properties.com/en/property/id/811335-new-luxury-villa-beach-bendinat-mallorca-html</t>
        </is>
      </c>
      <c r="E6096" t="n">
        <v>4</v>
      </c>
      <c r="G6096" t="n">
        <v>710</v>
      </c>
      <c r="H6096" t="n">
        <v>333</v>
      </c>
      <c r="J6096" t="inlineStr">
        <is>
          <t>Bendinat</t>
        </is>
      </c>
      <c r="AH6096" t="inlineStr">
        <is>
          <t>Quelle: Balearic Properties</t>
        </is>
      </c>
    </row>
    <row r="6097">
      <c r="A6097" t="n">
        <v>5910</v>
      </c>
      <c r="B6097" t="inlineStr">
        <is>
          <t>Beautifully refurbished town house for sale in the heart of Pollensa, Mallorca</t>
        </is>
      </c>
      <c r="C6097" t="inlineStr">
        <is>
          <t>https://www.balearic-properties.com/en/property/id/881709-townhouse-refurbishment-pollensa-mallorca-html</t>
        </is>
      </c>
      <c r="E6097" t="n">
        <v>3</v>
      </c>
      <c r="G6097" t="n">
        <v>90</v>
      </c>
      <c r="H6097" t="n">
        <v>130</v>
      </c>
      <c r="J6097" t="inlineStr">
        <is>
          <t>Pollença Pueblo</t>
        </is>
      </c>
      <c r="AH6097" t="inlineStr">
        <is>
          <t>Quelle: Balearic Properties</t>
        </is>
      </c>
    </row>
    <row r="6098">
      <c r="A6098" t="n">
        <v>5911</v>
      </c>
      <c r="B6098" t="inlineStr">
        <is>
          <t>Semi-detached luxury home for sale near Pollensa, Mallorca</t>
        </is>
      </c>
      <c r="C6098" t="inlineStr">
        <is>
          <t>https://www.balearic-properties.com/en/property/id/870111-luxury-residence-crestatx-pollensa-mallorca-html</t>
        </is>
      </c>
      <c r="E6098" t="n">
        <v>4</v>
      </c>
      <c r="G6098" t="n">
        <v>320</v>
      </c>
      <c r="H6098" t="n">
        <v>153</v>
      </c>
      <c r="J6098" t="inlineStr">
        <is>
          <t>Pollença</t>
        </is>
      </c>
      <c r="AH6098" t="inlineStr">
        <is>
          <t>Quelle: Balearic Properties</t>
        </is>
      </c>
    </row>
    <row r="6099">
      <c r="A6099" t="n">
        <v>5912</v>
      </c>
      <c r="B6099" t="inlineStr">
        <is>
          <t>New modern villa with saltwater pool for sale in Bunyola, Mallorca</t>
        </is>
      </c>
      <c r="C6099" t="inlineStr">
        <is>
          <t>https://www.balearic-properties.com/en/property/id/879645-new-villa-saltwater-pool-bunyola-mallorca-html</t>
        </is>
      </c>
      <c r="E6099" t="n">
        <v>5</v>
      </c>
      <c r="G6099" t="n">
        <v>1225</v>
      </c>
      <c r="H6099" t="n">
        <v>363</v>
      </c>
      <c r="J6099" t="inlineStr">
        <is>
          <t>Sa Font Seca</t>
        </is>
      </c>
      <c r="K6099" t="n">
        <v>20.5</v>
      </c>
      <c r="L6099" t="n">
        <v>23</v>
      </c>
      <c r="M6099" t="n">
        <v>63.2</v>
      </c>
      <c r="N6099" t="n">
        <v>56</v>
      </c>
      <c r="O6099" t="n">
        <v>40.1</v>
      </c>
      <c r="P6099" t="n">
        <v>37</v>
      </c>
      <c r="Q6099" t="n">
        <v>60.9</v>
      </c>
      <c r="R6099" t="n">
        <v>53</v>
      </c>
      <c r="AH6099" t="inlineStr">
        <is>
          <t>Quelle: Balearic Properties</t>
        </is>
      </c>
    </row>
    <row r="6100">
      <c r="A6100" t="n">
        <v>5913</v>
      </c>
      <c r="B6100" t="inlineStr">
        <is>
          <t>Villa project of two storeys for sale in Portol, Mallorca</t>
        </is>
      </c>
      <c r="C6100" t="inlineStr">
        <is>
          <t>https://www.balearic-properties.com/en/property/id/879647-villa-project-two-storeys-portol-mallorca-html</t>
        </is>
      </c>
      <c r="E6100" t="n">
        <v>4</v>
      </c>
      <c r="G6100" t="n">
        <v>840</v>
      </c>
      <c r="H6100" t="n">
        <v>409</v>
      </c>
      <c r="J6100" t="inlineStr">
        <is>
          <t>Portol</t>
        </is>
      </c>
      <c r="AH6100" t="inlineStr">
        <is>
          <t>Quelle: Balearic Properties</t>
        </is>
      </c>
    </row>
    <row r="6101">
      <c r="A6101" t="n">
        <v>5914</v>
      </c>
      <c r="B6101" t="inlineStr">
        <is>
          <t>Attractive villa with holiday license for sale by the sea in Alcudia, Mallorca</t>
        </is>
      </c>
      <c r="C6101" t="inlineStr">
        <is>
          <t>https://www.balearic-properties.com/en/property/id/877492-attractive-villa-holiday-license-alcudia-mallorca-html</t>
        </is>
      </c>
      <c r="E6101" t="n">
        <v>5</v>
      </c>
      <c r="G6101" t="n">
        <v>620</v>
      </c>
      <c r="H6101" t="n">
        <v>241</v>
      </c>
      <c r="J6101" t="inlineStr">
        <is>
          <t>Barcarés</t>
        </is>
      </c>
      <c r="K6101" t="n">
        <v>47.4</v>
      </c>
      <c r="L6101" t="n">
        <v>40</v>
      </c>
      <c r="M6101" t="n">
        <v>51.8</v>
      </c>
      <c r="N6101" t="n">
        <v>55</v>
      </c>
      <c r="O6101" t="n">
        <v>70</v>
      </c>
      <c r="P6101" t="n">
        <v>56</v>
      </c>
      <c r="Q6101" t="n">
        <v>49.5</v>
      </c>
      <c r="R6101" t="n">
        <v>51</v>
      </c>
      <c r="AH6101" t="inlineStr">
        <is>
          <t>Quelle: Balearic Properties</t>
        </is>
      </c>
    </row>
    <row r="6102">
      <c r="A6102" t="n">
        <v>5915</v>
      </c>
      <c r="B6102" t="inlineStr">
        <is>
          <t>Traditional town house containing two units for sale in Pollensa, Mallorca</t>
        </is>
      </c>
      <c r="C6102" t="inlineStr">
        <is>
          <t>https://www.balearic-properties.com/en/property/id/879374-townhouse-2-apartments-amazing-views-pollensa-mallorca-html</t>
        </is>
      </c>
      <c r="E6102" t="n">
        <v>2</v>
      </c>
      <c r="G6102" t="n">
        <v>146</v>
      </c>
      <c r="H6102" t="n">
        <v>141</v>
      </c>
      <c r="J6102" t="inlineStr">
        <is>
          <t>Pollença</t>
        </is>
      </c>
      <c r="AH6102" t="inlineStr">
        <is>
          <t>Quelle: Balearic Properties</t>
        </is>
      </c>
    </row>
    <row r="6103">
      <c r="A6103" t="n">
        <v>5916</v>
      </c>
      <c r="B6103" t="inlineStr">
        <is>
          <t>Charming country finca for sale on a large plot in Montuïri, Mallorca</t>
        </is>
      </c>
      <c r="C6103" t="inlineStr">
        <is>
          <t>https://www.balearic-properties.com/en/property/id/878684-charming-country-finca-on-a-large-plot-in-montuiri-mallorca-html</t>
        </is>
      </c>
      <c r="E6103" t="n">
        <v>3</v>
      </c>
      <c r="G6103" t="n">
        <v>17379</v>
      </c>
      <c r="H6103" t="n">
        <v>260</v>
      </c>
      <c r="J6103" t="inlineStr">
        <is>
          <t>Montuïri</t>
        </is>
      </c>
      <c r="K6103" t="n">
        <v>27.9</v>
      </c>
      <c r="L6103" t="n">
        <v>28</v>
      </c>
      <c r="M6103" t="n">
        <v>32.5</v>
      </c>
      <c r="N6103" t="n">
        <v>36</v>
      </c>
      <c r="O6103" t="n">
        <v>62.1</v>
      </c>
      <c r="P6103" t="n">
        <v>52</v>
      </c>
      <c r="Q6103" t="n">
        <v>30.2</v>
      </c>
      <c r="R6103" t="n">
        <v>32</v>
      </c>
      <c r="S6103" t="n">
        <v>1300000</v>
      </c>
      <c r="T6103" t="n">
        <v>5000</v>
      </c>
      <c r="U6103" t="n">
        <v>75</v>
      </c>
      <c r="AH6103" t="inlineStr">
        <is>
          <t>Quelle: Balearic Properties</t>
        </is>
      </c>
    </row>
    <row r="6104">
      <c r="A6104" t="n">
        <v>5917</v>
      </c>
      <c r="B6104" t="inlineStr">
        <is>
          <t>Newly built semi-detached houses for sale with private garden and pool near Llucmajor, Mallorca</t>
        </is>
      </c>
      <c r="C6104" t="inlineStr">
        <is>
          <t>https://www.balearic-properties.com/en/property/id/843933-new-house-pool-energy-mallorca-html</t>
        </is>
      </c>
      <c r="E6104" t="n">
        <v>4</v>
      </c>
      <c r="G6104" t="n">
        <v>300</v>
      </c>
      <c r="H6104" t="n">
        <v>164</v>
      </c>
      <c r="J6104" t="inlineStr">
        <is>
          <t>Puig de Ros</t>
        </is>
      </c>
      <c r="AH6104" t="inlineStr">
        <is>
          <t>Quelle: Balearic Properties</t>
        </is>
      </c>
    </row>
    <row r="6105">
      <c r="A6105" t="n">
        <v>5918</v>
      </c>
      <c r="B6105" t="inlineStr">
        <is>
          <t>Traditional detached villa for sale in a privileged area of Pollensa, Mallorca</t>
        </is>
      </c>
      <c r="C6105" t="inlineStr">
        <is>
          <t>https://www.balearic-properties.com/en/property/id/792861-traditional-detached-villa-privileged-area-pollensa-mallorca-html</t>
        </is>
      </c>
      <c r="E6105" t="n">
        <v>3</v>
      </c>
      <c r="G6105" t="n">
        <v>2000</v>
      </c>
      <c r="H6105" t="n">
        <v>215</v>
      </c>
      <c r="J6105" t="inlineStr">
        <is>
          <t>La Font</t>
        </is>
      </c>
      <c r="AH6105" t="inlineStr">
        <is>
          <t>Quelle: Balearic Properties</t>
        </is>
      </c>
    </row>
    <row r="6106">
      <c r="A6106" t="n">
        <v>5919</v>
      </c>
      <c r="B6106" t="inlineStr">
        <is>
          <t>Town house with terrace and project for sale in the centre of Pollensa, Mallorca</t>
        </is>
      </c>
      <c r="C6106" t="inlineStr">
        <is>
          <t>https://www.balearic-properties.com/en/property/id/861437-townhouse-renovation-centre-pollensa-mallorca-html</t>
        </is>
      </c>
      <c r="E6106" t="n">
        <v>3</v>
      </c>
      <c r="G6106" t="n">
        <v>62</v>
      </c>
      <c r="H6106" t="n">
        <v>155</v>
      </c>
      <c r="J6106" t="inlineStr">
        <is>
          <t>Pollença</t>
        </is>
      </c>
      <c r="AH6106" t="inlineStr">
        <is>
          <t>Quelle: Balearic Properties</t>
        </is>
      </c>
    </row>
    <row r="6107">
      <c r="A6107" t="n">
        <v>5920</v>
      </c>
      <c r="B6107" t="inlineStr">
        <is>
          <t>Beachfront apartment with sea views for sale in Palmanova, Mallorca</t>
        </is>
      </c>
      <c r="C6107" t="inlineStr">
        <is>
          <t>https://www.balearic-properties.com/en/property/id/877782-beachfront-apartment-sea-views-palmanova-mallorca-html</t>
        </is>
      </c>
      <c r="E6107" t="n">
        <v>3</v>
      </c>
      <c r="G6107" t="n">
        <v>0</v>
      </c>
      <c r="H6107" t="n">
        <v>123</v>
      </c>
      <c r="J6107" t="inlineStr">
        <is>
          <t>Palmanova</t>
        </is>
      </c>
      <c r="AH6107" t="inlineStr">
        <is>
          <t>Quelle: Balearic Properties</t>
        </is>
      </c>
    </row>
    <row r="6108">
      <c r="A6108" t="n">
        <v>5921</v>
      </c>
      <c r="B6108" t="inlineStr">
        <is>
          <t>Attractive rustic house for sale on the outskirts of Pollença, Mallorca</t>
        </is>
      </c>
      <c r="C6108" t="inlineStr">
        <is>
          <t>https://www.balearic-properties.com/en/property/id/822439-attractive-house-outskirts-pollensa-mallorca-html</t>
        </is>
      </c>
      <c r="E6108" t="n">
        <v>3</v>
      </c>
      <c r="G6108" t="n">
        <v>1479</v>
      </c>
      <c r="H6108" t="n">
        <v>186</v>
      </c>
      <c r="J6108" t="inlineStr">
        <is>
          <t>Pollença</t>
        </is>
      </c>
      <c r="AH6108" t="inlineStr">
        <is>
          <t>Quelle: Balearic Properties</t>
        </is>
      </c>
    </row>
    <row r="6109">
      <c r="A6109" t="n">
        <v>5922</v>
      </c>
      <c r="B6109" t="inlineStr">
        <is>
          <t>Renovated town house for sale in Arta, Mallorca</t>
        </is>
      </c>
      <c r="C6109" t="inlineStr">
        <is>
          <t>https://www.balearic-properties.com/en/property/id/877110-artistically-designed-haus-arta-pool-arta-nallorca-html</t>
        </is>
      </c>
      <c r="E6109" t="n">
        <v>4</v>
      </c>
      <c r="G6109" t="n">
        <v>170</v>
      </c>
      <c r="H6109" t="n">
        <v>313</v>
      </c>
      <c r="J6109" t="inlineStr">
        <is>
          <t>Artà</t>
        </is>
      </c>
      <c r="K6109" t="n">
        <v>68.3</v>
      </c>
      <c r="L6109" t="n">
        <v>61</v>
      </c>
      <c r="M6109" t="n">
        <v>63.7</v>
      </c>
      <c r="N6109" t="n">
        <v>64</v>
      </c>
      <c r="O6109" t="n">
        <v>102.5</v>
      </c>
      <c r="P6109" t="n">
        <v>86</v>
      </c>
      <c r="Q6109" t="n">
        <v>61.4</v>
      </c>
      <c r="R6109" t="n">
        <v>61</v>
      </c>
      <c r="S6109" t="n">
        <v>1150000</v>
      </c>
      <c r="T6109" t="n">
        <v>3674</v>
      </c>
      <c r="U6109" t="n">
        <v>6765</v>
      </c>
      <c r="AH6109" t="inlineStr">
        <is>
          <t>Quelle: Balearic Properties</t>
        </is>
      </c>
    </row>
    <row r="6110">
      <c r="A6110" t="n">
        <v>5923</v>
      </c>
      <c r="B6110" t="inlineStr">
        <is>
          <t>Beautiful new townhouses for sale in Portol, Marratxí, Mallorca</t>
        </is>
      </c>
      <c r="C6110" t="inlineStr">
        <is>
          <t>https://www.balearic-properties.com/en/property/id/876460-beautiful-semi-detached-houses-in-portol-marratxi-html</t>
        </is>
      </c>
      <c r="E6110" t="n">
        <v>4</v>
      </c>
      <c r="G6110" t="n">
        <v>182</v>
      </c>
      <c r="H6110" t="n">
        <v>178</v>
      </c>
      <c r="J6110" t="inlineStr">
        <is>
          <t>Portol</t>
        </is>
      </c>
      <c r="AH6110" t="inlineStr">
        <is>
          <t>Quelle: Balearic Properties</t>
        </is>
      </c>
    </row>
    <row r="6111">
      <c r="A6111" t="n">
        <v>5924</v>
      </c>
      <c r="B6111" t="inlineStr">
        <is>
          <t>Beautiful semi-detached houses in Portol for sale, Marratxí, Mallorca</t>
        </is>
      </c>
      <c r="C6111" t="inlineStr">
        <is>
          <t>https://www.balearic-properties.com/en/property/id/875340-beautiful-semi-detached-houses-in-portol-marratxi-html</t>
        </is>
      </c>
      <c r="E6111" t="n">
        <v>5</v>
      </c>
      <c r="G6111" t="n">
        <v>182</v>
      </c>
      <c r="H6111" t="n">
        <v>178</v>
      </c>
      <c r="J6111" t="inlineStr">
        <is>
          <t>Portol</t>
        </is>
      </c>
      <c r="K6111" t="n">
        <v>26.8</v>
      </c>
      <c r="L6111" t="n">
        <v>26</v>
      </c>
      <c r="M6111" t="n">
        <v>69.59999999999999</v>
      </c>
      <c r="N6111" t="n">
        <v>59</v>
      </c>
      <c r="O6111" t="n">
        <v>49.4</v>
      </c>
      <c r="P6111" t="n">
        <v>42</v>
      </c>
      <c r="Q6111" t="n">
        <v>67.3</v>
      </c>
      <c r="R6111" t="n">
        <v>55</v>
      </c>
      <c r="AH6111" t="inlineStr">
        <is>
          <t>Quelle: Balearic Properties</t>
        </is>
      </c>
    </row>
    <row r="6112">
      <c r="A6112" t="n">
        <v>5925</v>
      </c>
      <c r="B6112" t="inlineStr">
        <is>
          <t>Magnificent finca on extensive private plot for sale in Calvia, Mallorca</t>
        </is>
      </c>
      <c r="C6112" t="inlineStr">
        <is>
          <t>https://www.balearic-properties.com/en/property/id/812613-estate-horseriding-calvia-mallorca-html</t>
        </is>
      </c>
      <c r="E6112" t="n">
        <v>6</v>
      </c>
      <c r="G6112" t="n">
        <v>31858</v>
      </c>
      <c r="H6112" t="n">
        <v>806</v>
      </c>
      <c r="J6112" t="inlineStr">
        <is>
          <t>Calvià</t>
        </is>
      </c>
      <c r="K6112" t="n">
        <v>31.1</v>
      </c>
      <c r="L6112" t="n">
        <v>28</v>
      </c>
      <c r="M6112" t="n">
        <v>73.90000000000001</v>
      </c>
      <c r="N6112" t="n">
        <v>61</v>
      </c>
      <c r="O6112" t="n">
        <v>19.4</v>
      </c>
      <c r="P6112" t="n">
        <v>22</v>
      </c>
      <c r="Q6112" t="n">
        <v>71.59999999999999</v>
      </c>
      <c r="R6112" t="n">
        <v>58</v>
      </c>
      <c r="S6112" t="n">
        <v>7950000</v>
      </c>
      <c r="T6112" t="n">
        <v>9864</v>
      </c>
      <c r="U6112" t="n">
        <v>250</v>
      </c>
      <c r="AH6112" t="inlineStr">
        <is>
          <t>Quelle: Balearic Properties</t>
        </is>
      </c>
    </row>
    <row r="6113">
      <c r="A6113" t="n">
        <v>5926</v>
      </c>
      <c r="B6113" t="inlineStr">
        <is>
          <t>New apartments for sale close to the beach in Puerto Pollensa, Mallorca</t>
        </is>
      </c>
      <c r="C6113" t="inlineStr">
        <is>
          <t>https://www.balearic-properties.com/en/property/id/832982-apartment-pollensa-gotmar-mallorca-html</t>
        </is>
      </c>
      <c r="E6113" t="n">
        <v>4</v>
      </c>
      <c r="G6113" t="n">
        <v>0</v>
      </c>
      <c r="H6113" t="n">
        <v>142</v>
      </c>
      <c r="J6113" t="inlineStr">
        <is>
          <t>Port de Pollença</t>
        </is>
      </c>
      <c r="AH6113" t="inlineStr">
        <is>
          <t>Quelle: Balearic Properties</t>
        </is>
      </c>
    </row>
    <row r="6114">
      <c r="A6114" t="n">
        <v>5927</v>
      </c>
      <c r="B6114" t="inlineStr">
        <is>
          <t>Townhouse only one minute walking distance to the beach for sale in Old Bendinat, Mallorca</t>
        </is>
      </c>
      <c r="C6114" t="inlineStr">
        <is>
          <t>https://www.balearic-properties.com/en/property/id/863226-townhouse-beach-bendinat-mallorca-html</t>
        </is>
      </c>
      <c r="E6114" t="n">
        <v>3</v>
      </c>
      <c r="G6114" t="n">
        <v>0</v>
      </c>
      <c r="H6114" t="n">
        <v>187</v>
      </c>
      <c r="J6114" t="inlineStr">
        <is>
          <t>Bendinat</t>
        </is>
      </c>
      <c r="AH6114" t="inlineStr">
        <is>
          <t>Quelle: Balearic Properties</t>
        </is>
      </c>
    </row>
    <row r="6115">
      <c r="A6115" t="n">
        <v>5928</v>
      </c>
      <c r="B6115" t="inlineStr">
        <is>
          <t>Villa with holiday rental license for sale in Pollensa, Mallorca</t>
        </is>
      </c>
      <c r="C6115" t="inlineStr">
        <is>
          <t>https://www.balearic-properties.com/en/property/id/729092-mallorca-villa-rental-license-pollensa-mallorca-html</t>
        </is>
      </c>
      <c r="E6115" t="n">
        <v>5</v>
      </c>
      <c r="G6115" t="n">
        <v>1250</v>
      </c>
      <c r="H6115" t="n">
        <v>416</v>
      </c>
      <c r="J6115" t="inlineStr">
        <is>
          <t>Pollença</t>
        </is>
      </c>
      <c r="K6115" t="n">
        <v>60.6</v>
      </c>
      <c r="L6115" t="n">
        <v>47</v>
      </c>
      <c r="M6115" t="n">
        <v>78.7</v>
      </c>
      <c r="N6115" t="n">
        <v>74</v>
      </c>
      <c r="O6115" t="n">
        <v>83.2</v>
      </c>
      <c r="P6115" t="n">
        <v>63</v>
      </c>
      <c r="Q6115" t="n">
        <v>76.40000000000001</v>
      </c>
      <c r="R6115" t="n">
        <v>70</v>
      </c>
      <c r="AH6115" t="inlineStr">
        <is>
          <t>Quelle: Balearic Properties</t>
        </is>
      </c>
    </row>
    <row r="6116">
      <c r="A6116" t="n">
        <v>5929</v>
      </c>
      <c r="B6116" t="inlineStr">
        <is>
          <t>Fabulous country house project for sale in Algaida, Mallorca</t>
        </is>
      </c>
      <c r="C6116" t="inlineStr">
        <is>
          <t>https://www.balearic-properties.com/en/property/id/869773-fabulous-country-home-for-reform-set-in-peace-and-tranquility-on-an-expanse-of-land-with-mediteranean-gardens-html</t>
        </is>
      </c>
      <c r="E6116" t="n">
        <v>5</v>
      </c>
      <c r="G6116" t="n">
        <v>30232</v>
      </c>
      <c r="H6116" t="n">
        <v>351</v>
      </c>
      <c r="J6116" t="inlineStr">
        <is>
          <t>Randa</t>
        </is>
      </c>
      <c r="K6116" t="n">
        <v>24.7</v>
      </c>
      <c r="L6116" t="n">
        <v>24</v>
      </c>
      <c r="M6116" t="n">
        <v>33.1</v>
      </c>
      <c r="N6116" t="n">
        <v>37</v>
      </c>
      <c r="O6116" t="n">
        <v>62.9</v>
      </c>
      <c r="P6116" t="n">
        <v>51</v>
      </c>
      <c r="Q6116" t="n">
        <v>30.8</v>
      </c>
      <c r="R6116" t="n">
        <v>34</v>
      </c>
      <c r="AH6116" t="inlineStr">
        <is>
          <t>Quelle: Balearic Properties</t>
        </is>
      </c>
    </row>
    <row r="6117">
      <c r="A6117" t="n">
        <v>5930</v>
      </c>
      <c r="B6117" t="inlineStr">
        <is>
          <t>Outstanding country property for sale close to Pollensa Bay, Mallorca</t>
        </is>
      </c>
      <c r="C6117" t="inlineStr">
        <is>
          <t>https://www.balearic-properties.com/en/property/id/527670-luxury-country-home-pollensa-html</t>
        </is>
      </c>
      <c r="E6117" t="n">
        <v>6</v>
      </c>
      <c r="G6117" t="n">
        <v>16475</v>
      </c>
      <c r="H6117" t="n">
        <v>583</v>
      </c>
      <c r="J6117" t="inlineStr">
        <is>
          <t>Pollença</t>
        </is>
      </c>
      <c r="K6117" t="n">
        <v>60.6</v>
      </c>
      <c r="L6117" t="n">
        <v>47</v>
      </c>
      <c r="M6117" t="n">
        <v>78.7</v>
      </c>
      <c r="N6117" t="n">
        <v>74</v>
      </c>
      <c r="O6117" t="n">
        <v>83.2</v>
      </c>
      <c r="P6117" t="n">
        <v>63</v>
      </c>
      <c r="Q6117" t="n">
        <v>76.40000000000001</v>
      </c>
      <c r="R6117" t="n">
        <v>70</v>
      </c>
      <c r="AH6117" t="inlineStr">
        <is>
          <t>Quelle: Balearic Properties</t>
        </is>
      </c>
    </row>
    <row r="6118">
      <c r="A6118" t="n">
        <v>5931</v>
      </c>
      <c r="B6118" t="inlineStr">
        <is>
          <t>Remarkable residence with breathtaking sea views for sale in La Mola, Puerto Andratx, Mallorca southwest</t>
        </is>
      </c>
      <c r="C6118" t="inlineStr">
        <is>
          <t>https://www.balearic-properties.com/en/property/id/874631-remarkable-residence-sea-views-andratx-mallorca-html</t>
        </is>
      </c>
      <c r="E6118" t="n">
        <v>4</v>
      </c>
      <c r="G6118" t="n">
        <v>1500</v>
      </c>
      <c r="H6118" t="n">
        <v>464</v>
      </c>
      <c r="J6118" t="inlineStr">
        <is>
          <t>Puerto Andratx</t>
        </is>
      </c>
      <c r="AH6118" t="inlineStr">
        <is>
          <t>Quelle: Balearic Properties</t>
        </is>
      </c>
    </row>
    <row r="6119">
      <c r="A6119" t="n">
        <v>5932</v>
      </c>
      <c r="B6119" t="inlineStr">
        <is>
          <t>Luxury country house in a natural landscape for sale in Felanitx, Mallorca</t>
        </is>
      </c>
      <c r="C6119" t="inlineStr">
        <is>
          <t>https://www.balearic-properties.com/en/property/id/871706-luxury-country-house-felanitx-mallorca-html</t>
        </is>
      </c>
      <c r="E6119" t="n">
        <v>5</v>
      </c>
      <c r="G6119" t="n">
        <v>19200</v>
      </c>
      <c r="H6119" t="n">
        <v>285</v>
      </c>
      <c r="J6119" t="inlineStr">
        <is>
          <t>Felanitx</t>
        </is>
      </c>
      <c r="K6119" t="n">
        <v>45</v>
      </c>
      <c r="L6119" t="n">
        <v>40</v>
      </c>
      <c r="M6119" t="n">
        <v>26.8</v>
      </c>
      <c r="N6119" t="n">
        <v>30</v>
      </c>
      <c r="O6119" t="n">
        <v>83.2</v>
      </c>
      <c r="P6119" t="n">
        <v>68</v>
      </c>
      <c r="Q6119" t="n">
        <v>24.5</v>
      </c>
      <c r="R6119" t="n">
        <v>26</v>
      </c>
      <c r="AH6119" t="inlineStr">
        <is>
          <t>Quelle: Balearic Properties</t>
        </is>
      </c>
    </row>
    <row r="6120">
      <c r="A6120" t="n">
        <v>5933</v>
      </c>
      <c r="B6120" t="inlineStr">
        <is>
          <t>Front line penthouse apartment for sale in the heart of Palma, Mallorca</t>
        </is>
      </c>
      <c r="C6120" t="inlineStr">
        <is>
          <t>https://www.balearic-properties.com/en/property/id/873006-frontline-penthouse-apartment-palma-mallorca-html</t>
        </is>
      </c>
      <c r="E6120" t="n">
        <v>4</v>
      </c>
      <c r="G6120" t="n">
        <v>0</v>
      </c>
      <c r="H6120" t="n">
        <v>346</v>
      </c>
      <c r="J6120" t="inlineStr">
        <is>
          <t>Palma de Mallorca</t>
        </is>
      </c>
      <c r="AH6120" t="inlineStr">
        <is>
          <t>Quelle: Balearic Properties</t>
        </is>
      </c>
    </row>
    <row r="6121">
      <c r="A6121" t="n">
        <v>5934</v>
      </c>
      <c r="B6121" t="inlineStr">
        <is>
          <t>Outstanding country villa with holiday license for sale in Pollensa, Mallorca</t>
        </is>
      </c>
      <c r="C6121" t="inlineStr">
        <is>
          <t>https://www.balearic-properties.com/en/property/id/874464-outstanding-country-villa-holiday-license-pollensa-mallorca-html</t>
        </is>
      </c>
      <c r="E6121" t="n">
        <v>5</v>
      </c>
      <c r="G6121" t="n">
        <v>17109</v>
      </c>
      <c r="H6121" t="n">
        <v>691</v>
      </c>
      <c r="J6121" t="inlineStr">
        <is>
          <t>Pollença</t>
        </is>
      </c>
      <c r="K6121" t="n">
        <v>60.6</v>
      </c>
      <c r="L6121" t="n">
        <v>47</v>
      </c>
      <c r="M6121" t="n">
        <v>78.7</v>
      </c>
      <c r="N6121" t="n">
        <v>74</v>
      </c>
      <c r="O6121" t="n">
        <v>83.2</v>
      </c>
      <c r="P6121" t="n">
        <v>63</v>
      </c>
      <c r="Q6121" t="n">
        <v>76.40000000000001</v>
      </c>
      <c r="R6121" t="n">
        <v>70</v>
      </c>
      <c r="AH6121" t="inlineStr">
        <is>
          <t>Quelle: Balearic Properties</t>
        </is>
      </c>
    </row>
    <row r="6122">
      <c r="A6122" t="n">
        <v>5935</v>
      </c>
      <c r="B6122" t="inlineStr">
        <is>
          <t>Beautifully decorated town house with holiday rental license for sale in Pollensa, Mallorca</t>
        </is>
      </c>
      <c r="C6122" t="inlineStr">
        <is>
          <t>https://www.balearic-properties.com/en/property/id/874635-townhouse-holiday-rental-license-pollensa-mallorca-html</t>
        </is>
      </c>
      <c r="E6122" t="n">
        <v>4</v>
      </c>
      <c r="G6122" t="n">
        <v>86</v>
      </c>
      <c r="H6122" t="n">
        <v>240</v>
      </c>
      <c r="J6122" t="inlineStr">
        <is>
          <t>Pollença Pueblo</t>
        </is>
      </c>
      <c r="AH6122" t="inlineStr">
        <is>
          <t>Quelle: Balearic Properties</t>
        </is>
      </c>
    </row>
    <row r="6123">
      <c r="A6123" t="n">
        <v>5936</v>
      </c>
      <c r="B6123" t="inlineStr">
        <is>
          <t>Attractive country villa with holiday rental license for sale in Pollensa, Mallorca</t>
        </is>
      </c>
      <c r="C6123" t="inlineStr">
        <is>
          <t>https://www.balearic-properties.com/en/property/id/75273-mallorca-country-villa-license-puerto-pollensa-html</t>
        </is>
      </c>
      <c r="E6123" t="n">
        <v>4</v>
      </c>
      <c r="G6123" t="n">
        <v>5867</v>
      </c>
      <c r="H6123" t="n">
        <v>321</v>
      </c>
      <c r="J6123" t="inlineStr">
        <is>
          <t>Pollença</t>
        </is>
      </c>
      <c r="AH6123" t="inlineStr">
        <is>
          <t>Quelle: Balearic Properties</t>
        </is>
      </c>
    </row>
    <row r="6124">
      <c r="A6124" t="n">
        <v>5937</v>
      </c>
      <c r="B6124" t="inlineStr">
        <is>
          <t>Delightful country house with holiday rental license for sale in Binissalem, Mallorca</t>
        </is>
      </c>
      <c r="C6124" t="inlineStr">
        <is>
          <t>https://www.balearic-properties.com/en/property/id/874707-rental-license-country-house-binissalem-html</t>
        </is>
      </c>
      <c r="E6124" t="n">
        <v>2</v>
      </c>
      <c r="G6124" t="n">
        <v>5766</v>
      </c>
      <c r="H6124" t="n">
        <v>152</v>
      </c>
      <c r="J6124" t="inlineStr">
        <is>
          <t>Binissalem</t>
        </is>
      </c>
      <c r="AH6124" t="inlineStr">
        <is>
          <t>Quelle: Balearic Properties</t>
        </is>
      </c>
    </row>
    <row r="6125">
      <c r="A6125" t="n">
        <v>5938</v>
      </c>
      <c r="B6125" t="inlineStr">
        <is>
          <t>Lovely villa for sale in quiet area not far from Pollensa, Mallorca</t>
        </is>
      </c>
      <c r="C6125" t="inlineStr">
        <is>
          <t>https://www.balearic-properties.com/en/property/id/495723-villa-pollensa-mallorca-html</t>
        </is>
      </c>
      <c r="E6125" t="n">
        <v>3</v>
      </c>
      <c r="G6125" t="n">
        <v>2378</v>
      </c>
      <c r="H6125" t="n">
        <v>283</v>
      </c>
      <c r="J6125" t="inlineStr">
        <is>
          <t>Pollença</t>
        </is>
      </c>
      <c r="AH6125" t="inlineStr">
        <is>
          <t>Quelle: Balearic Properties</t>
        </is>
      </c>
    </row>
    <row r="6126">
      <c r="A6126" t="n">
        <v>5939</v>
      </c>
      <c r="B6126" t="inlineStr">
        <is>
          <t>Third floor luxury apartment for sale in Santa Ponsa, Mallorca</t>
        </is>
      </c>
      <c r="C6126" t="inlineStr">
        <is>
          <t>https://www.balearic-properties.com/en/property/id/850281-third-floor-luxury-apartment-for-sale-in-santa-ponsa-mallorca-html</t>
        </is>
      </c>
      <c r="E6126" t="n">
        <v>4</v>
      </c>
      <c r="G6126" t="n">
        <v>0</v>
      </c>
      <c r="H6126" t="n">
        <v>155</v>
      </c>
      <c r="J6126" t="inlineStr">
        <is>
          <t>Santa Ponsa</t>
        </is>
      </c>
      <c r="AH6126" t="inlineStr">
        <is>
          <t>Quelle: Balearic Properties</t>
        </is>
      </c>
    </row>
    <row r="6127">
      <c r="A6127" t="n">
        <v>5940</v>
      </c>
      <c r="B6127" t="inlineStr">
        <is>
          <t>Newly-built, avant-garde villa for sale in Bon Aire, Alcúdia, Mallorca</t>
        </is>
      </c>
      <c r="C6127" t="inlineStr">
        <is>
          <t>https://www.balearic-properties.com/en/property/id/764417-bonaire-villa-mallorca-html</t>
        </is>
      </c>
      <c r="E6127" t="n">
        <v>4</v>
      </c>
      <c r="G6127" t="n">
        <v>1376</v>
      </c>
      <c r="H6127" t="n">
        <v>306</v>
      </c>
      <c r="J6127" t="inlineStr">
        <is>
          <t>Bonaire</t>
        </is>
      </c>
      <c r="AH6127" t="inlineStr">
        <is>
          <t>Quelle: Balearic Properties</t>
        </is>
      </c>
    </row>
    <row r="6128">
      <c r="A6128" t="n">
        <v>5941</v>
      </c>
      <c r="B6128" t="inlineStr">
        <is>
          <t>Exclusive plot with an existing building to develop for sale in Campanet, Mallorca</t>
        </is>
      </c>
      <c r="C6128" t="inlineStr">
        <is>
          <t>https://www.balearic-properties.com/en/property/id/817057-exclusive-building-plot-campanet-mallorca-html</t>
        </is>
      </c>
      <c r="E6128" t="n">
        <v>0</v>
      </c>
      <c r="G6128" t="n">
        <v>534</v>
      </c>
      <c r="H6128" t="n">
        <v>72</v>
      </c>
      <c r="J6128" t="inlineStr">
        <is>
          <t>Campanet</t>
        </is>
      </c>
      <c r="S6128" t="n">
        <v>250000</v>
      </c>
      <c r="T6128" t="n">
        <v>3472</v>
      </c>
      <c r="U6128" t="n">
        <v>468</v>
      </c>
      <c r="AH6128" t="inlineStr">
        <is>
          <t>Quelle: Balearic Properties</t>
        </is>
      </c>
    </row>
    <row r="6129">
      <c r="A6129" t="n">
        <v>5942</v>
      </c>
      <c r="B6129" t="inlineStr">
        <is>
          <t>Lovely country house for sale very close to Pollensa, Mallorca</t>
        </is>
      </c>
      <c r="C6129" t="inlineStr">
        <is>
          <t>https://www.balearic-properties.com/en/property/id/764425-pollensa-country-house-html</t>
        </is>
      </c>
      <c r="E6129" t="n">
        <v>5</v>
      </c>
      <c r="G6129" t="n">
        <v>5726</v>
      </c>
      <c r="H6129" t="n">
        <v>244</v>
      </c>
      <c r="J6129" t="inlineStr">
        <is>
          <t>Pollença</t>
        </is>
      </c>
      <c r="K6129" t="n">
        <v>60.6</v>
      </c>
      <c r="L6129" t="n">
        <v>47</v>
      </c>
      <c r="M6129" t="n">
        <v>78.7</v>
      </c>
      <c r="N6129" t="n">
        <v>74</v>
      </c>
      <c r="O6129" t="n">
        <v>83.2</v>
      </c>
      <c r="P6129" t="n">
        <v>63</v>
      </c>
      <c r="Q6129" t="n">
        <v>76.40000000000001</v>
      </c>
      <c r="R6129" t="n">
        <v>70</v>
      </c>
      <c r="AH6129" t="inlineStr">
        <is>
          <t>Quelle: Balearic Properties</t>
        </is>
      </c>
    </row>
    <row r="6130">
      <c r="A6130" t="n">
        <v>5943</v>
      </c>
      <c r="B6130" t="inlineStr">
        <is>
          <t>Sea view penthouse apartment with terraces for sale in Palma, Mallorca</t>
        </is>
      </c>
      <c r="C6130" t="inlineStr">
        <is>
          <t>https://www.balearic-properties.com/en/property/id/873650-penthouse-terraces-santa-catalina-palma-mallorca-html</t>
        </is>
      </c>
      <c r="E6130" t="n">
        <v>2</v>
      </c>
      <c r="G6130" t="n">
        <v>0</v>
      </c>
      <c r="H6130" t="n">
        <v>110</v>
      </c>
      <c r="J6130" t="inlineStr">
        <is>
          <t>Santa Catalina</t>
        </is>
      </c>
      <c r="AH6130" t="inlineStr">
        <is>
          <t>Quelle: Balearic Properties</t>
        </is>
      </c>
    </row>
    <row r="6131">
      <c r="A6131" t="n">
        <v>5944</v>
      </c>
      <c r="B6131" t="inlineStr">
        <is>
          <t>Renovated apartment for sale overlooking the sea in Costa de la Calma, Mallorca</t>
        </is>
      </c>
      <c r="C6131" t="inlineStr">
        <is>
          <t>https://www.balearic-properties.com/en/property/id/873011-renovated-apartment-seaviews-costa-de-la-calma-calvia-mallorca-html</t>
        </is>
      </c>
      <c r="E6131" t="n">
        <v>1</v>
      </c>
      <c r="G6131" t="n">
        <v>0</v>
      </c>
      <c r="H6131" t="n">
        <v>71</v>
      </c>
      <c r="J6131" t="inlineStr">
        <is>
          <t>Costa de la Calma</t>
        </is>
      </c>
      <c r="AH6131" t="inlineStr">
        <is>
          <t>Quelle: Balearic Properties</t>
        </is>
      </c>
    </row>
    <row r="6132">
      <c r="A6132" t="n">
        <v>5945</v>
      </c>
      <c r="B6132" t="inlineStr">
        <is>
          <t>Enchanting home with holiday rental license for sale close to Pollensa, Mallorca</t>
        </is>
      </c>
      <c r="C6132" t="inlineStr">
        <is>
          <t>https://www.balearic-properties.com/en/property/id/870762-villa-pool-holiday-rental-licence-pollensa-mallorca-html</t>
        </is>
      </c>
      <c r="E6132" t="n">
        <v>3</v>
      </c>
      <c r="G6132" t="n">
        <v>550</v>
      </c>
      <c r="H6132" t="n">
        <v>153</v>
      </c>
      <c r="J6132" t="inlineStr">
        <is>
          <t>Pollença</t>
        </is>
      </c>
      <c r="AH6132" t="inlineStr">
        <is>
          <t>Quelle: Balearic Properties</t>
        </is>
      </c>
    </row>
    <row r="6133">
      <c r="A6133" t="n">
        <v>5946</v>
      </c>
      <c r="B6133" t="inlineStr">
        <is>
          <t>Delightful country property for sale in María de la Salud, Mallorca</t>
        </is>
      </c>
      <c r="C6133" t="inlineStr">
        <is>
          <t>https://www.balearic-properties.com/en/property/id/801493-maria-de-la-salud-country-home-html</t>
        </is>
      </c>
      <c r="E6133" t="n">
        <v>3</v>
      </c>
      <c r="G6133" t="n">
        <v>35573</v>
      </c>
      <c r="H6133" t="n">
        <v>210</v>
      </c>
      <c r="J6133" t="inlineStr">
        <is>
          <t>María de la Salut</t>
        </is>
      </c>
      <c r="AH6133" t="inlineStr">
        <is>
          <t>Quelle: Balearic Properties</t>
        </is>
      </c>
    </row>
    <row r="6134">
      <c r="A6134" t="n">
        <v>5947</v>
      </c>
      <c r="B6134" t="inlineStr">
        <is>
          <t>Exquisite modern Villa for sale on a double plot in Palmanyola, Mallorca</t>
        </is>
      </c>
      <c r="C6134" t="inlineStr">
        <is>
          <t>https://www.balearic-properties.com/en/property/id/871100-exquisite-modern-villa-on-expansive-double-plot-in-palmanyola-palma-mallorca-html</t>
        </is>
      </c>
      <c r="E6134" t="n">
        <v>3</v>
      </c>
      <c r="G6134" t="n">
        <v>1000</v>
      </c>
      <c r="H6134" t="n">
        <v>410</v>
      </c>
      <c r="J6134" t="inlineStr">
        <is>
          <t>Palmanyola</t>
        </is>
      </c>
      <c r="AH6134" t="inlineStr">
        <is>
          <t>Quelle: Balearic Properties</t>
        </is>
      </c>
    </row>
    <row r="6135">
      <c r="A6135" t="n">
        <v>5948</v>
      </c>
      <c r="B6135" t="inlineStr">
        <is>
          <t>New contemporary style villa with heated pool for sale in Son Vida, Mallorca</t>
        </is>
      </c>
      <c r="C6135" t="inlineStr">
        <is>
          <t>https://www.balearic-properties.com/en/property/id/868809-new-contemporary-villa-heated-pool-son-vida-mallorca-html</t>
        </is>
      </c>
      <c r="E6135" t="n">
        <v>5</v>
      </c>
      <c r="G6135" t="n">
        <v>2130</v>
      </c>
      <c r="H6135" t="n">
        <v>632</v>
      </c>
      <c r="J6135" t="inlineStr">
        <is>
          <t>Son Vida</t>
        </is>
      </c>
      <c r="K6135" t="n">
        <v>19.2</v>
      </c>
      <c r="L6135" t="n">
        <v>22</v>
      </c>
      <c r="M6135" t="n">
        <v>61.9</v>
      </c>
      <c r="N6135" t="n">
        <v>55</v>
      </c>
      <c r="O6135" t="n">
        <v>31</v>
      </c>
      <c r="P6135" t="n">
        <v>31</v>
      </c>
      <c r="Q6135" t="n">
        <v>59.6</v>
      </c>
      <c r="R6135" t="n">
        <v>51</v>
      </c>
      <c r="AH6135" t="inlineStr">
        <is>
          <t>Quelle: Balearic Properties</t>
        </is>
      </c>
    </row>
    <row r="6136">
      <c r="A6136" t="n">
        <v>5949</v>
      </c>
      <c r="B6136" t="inlineStr">
        <is>
          <t>Modern luxury villa with heated pool for sale in Son Vida, Mallorca</t>
        </is>
      </c>
      <c r="C6136" t="inlineStr">
        <is>
          <t>https://www.balearic-properties.com/en/property/id/848386-modern-luxury-villa-heated-pool-son-vida-mallorca-html</t>
        </is>
      </c>
      <c r="E6136" t="n">
        <v>5</v>
      </c>
      <c r="G6136" t="n">
        <v>2129</v>
      </c>
      <c r="H6136" t="n">
        <v>631</v>
      </c>
      <c r="J6136" t="inlineStr">
        <is>
          <t>Son Vida</t>
        </is>
      </c>
      <c r="K6136" t="n">
        <v>19.2</v>
      </c>
      <c r="L6136" t="n">
        <v>22</v>
      </c>
      <c r="M6136" t="n">
        <v>61.9</v>
      </c>
      <c r="N6136" t="n">
        <v>55</v>
      </c>
      <c r="O6136" t="n">
        <v>31</v>
      </c>
      <c r="P6136" t="n">
        <v>31</v>
      </c>
      <c r="Q6136" t="n">
        <v>59.6</v>
      </c>
      <c r="R6136" t="n">
        <v>51</v>
      </c>
      <c r="AH6136" t="inlineStr">
        <is>
          <t>Quelle: Balearic Properties</t>
        </is>
      </c>
    </row>
    <row r="6137">
      <c r="A6137" t="n">
        <v>5950</v>
      </c>
      <c r="B6137" t="inlineStr">
        <is>
          <t>Modern apartment for sale on an exclusive development in Palmanova, Mallorca</t>
        </is>
      </c>
      <c r="C6137" t="inlineStr">
        <is>
          <t>https://www.balearic-properties.com/en/property/id/871478-modern-apartment-exclusive-development-palmanova-mallorca-html</t>
        </is>
      </c>
      <c r="E6137" t="n">
        <v>3</v>
      </c>
      <c r="G6137" t="n">
        <v>0</v>
      </c>
      <c r="H6137" t="n">
        <v>97</v>
      </c>
      <c r="J6137" t="inlineStr">
        <is>
          <t>Palmanova</t>
        </is>
      </c>
      <c r="AH6137" t="inlineStr">
        <is>
          <t>Quelle: Balearic Properties</t>
        </is>
      </c>
    </row>
    <row r="6138">
      <c r="A6138" t="n">
        <v>5951</v>
      </c>
      <c r="B6138" t="inlineStr">
        <is>
          <t>Investment finca in need of restoration, for sale in Campanet, Mallorca</t>
        </is>
      </c>
      <c r="C6138" t="inlineStr">
        <is>
          <t>https://www.balearic-properties.com/en/property/id/870916-investment-finca-in-need-of-restoration-in-campanet-mallorca-html</t>
        </is>
      </c>
      <c r="E6138" t="n">
        <v>5</v>
      </c>
      <c r="G6138" t="n">
        <v>35674</v>
      </c>
      <c r="H6138" t="n">
        <v>358</v>
      </c>
      <c r="J6138" t="inlineStr">
        <is>
          <t>Campanet</t>
        </is>
      </c>
      <c r="K6138" t="n">
        <v>46.9</v>
      </c>
      <c r="L6138" t="n">
        <v>38</v>
      </c>
      <c r="M6138" t="n">
        <v>65</v>
      </c>
      <c r="N6138" t="n">
        <v>65</v>
      </c>
      <c r="O6138" t="n">
        <v>69.5</v>
      </c>
      <c r="P6138" t="n">
        <v>54</v>
      </c>
      <c r="Q6138" t="n">
        <v>62.7</v>
      </c>
      <c r="R6138" t="n">
        <v>61</v>
      </c>
      <c r="AH6138" t="inlineStr">
        <is>
          <t>Quelle: Balearic Properties</t>
        </is>
      </c>
    </row>
    <row r="6139">
      <c r="A6139" t="n">
        <v>5952</v>
      </c>
      <c r="B6139" t="inlineStr">
        <is>
          <t>Delightful rural finca with pool for sale in Algaida, Mallorca</t>
        </is>
      </c>
      <c r="C6139" t="inlineStr">
        <is>
          <t>https://www.balearic-properties.com/en/property/id/865183-mediterranean-country-house-algaida-mallorca-html</t>
        </is>
      </c>
      <c r="E6139" t="n">
        <v>4</v>
      </c>
      <c r="G6139" t="n">
        <v>1978</v>
      </c>
      <c r="H6139" t="n">
        <v>402</v>
      </c>
      <c r="J6139" t="inlineStr">
        <is>
          <t>Algaida</t>
        </is>
      </c>
      <c r="AH6139" t="inlineStr">
        <is>
          <t>Quelle: Balearic Properties</t>
        </is>
      </c>
    </row>
    <row r="6140">
      <c r="A6140" t="n">
        <v>5953</v>
      </c>
      <c r="B6140" t="inlineStr">
        <is>
          <t>Newly built town house with ecofriendly features for sale in Pollença, Mallorca</t>
        </is>
      </c>
      <c r="C6140" t="inlineStr">
        <is>
          <t>https://www.balearic-properties.com/en/property/id/870253-town-house-new-build-pollensa-mallorca-html</t>
        </is>
      </c>
      <c r="E6140" t="n">
        <v>4</v>
      </c>
      <c r="G6140" t="n">
        <v>282</v>
      </c>
      <c r="H6140" t="n">
        <v>260</v>
      </c>
      <c r="J6140" t="inlineStr">
        <is>
          <t>Pollença Pueblo</t>
        </is>
      </c>
      <c r="AH6140" t="inlineStr">
        <is>
          <t>Quelle: Balearic Properties</t>
        </is>
      </c>
    </row>
    <row r="6141">
      <c r="A6141" t="n">
        <v>5954</v>
      </c>
      <c r="B6141" t="inlineStr">
        <is>
          <t>Traditional house with generous terraces for sale in Pollensa, Mallorca</t>
        </is>
      </c>
      <c r="C6141" t="inlineStr">
        <is>
          <t>https://www.balearic-properties.com/en/property/id/870245-townhouse-generous-terraces-pollensa-mallorca-html</t>
        </is>
      </c>
      <c r="E6141" t="n">
        <v>4</v>
      </c>
      <c r="G6141" t="n">
        <v>139</v>
      </c>
      <c r="H6141" t="n">
        <v>193</v>
      </c>
      <c r="J6141" t="inlineStr">
        <is>
          <t>Pollença Pueblo</t>
        </is>
      </c>
      <c r="AH6141" t="inlineStr">
        <is>
          <t>Quelle: Balearic Properties</t>
        </is>
      </c>
    </row>
    <row r="6142">
      <c r="A6142" t="n">
        <v>5955</v>
      </c>
      <c r="B6142" t="inlineStr">
        <is>
          <t>Chic renovated town house for sale in the heart of Pollensa, Mallorca</t>
        </is>
      </c>
      <c r="C6142" t="inlineStr">
        <is>
          <t>https://www.balearic-properties.com/en/property/id/765419-townhouse-mallorca-pollensa-html</t>
        </is>
      </c>
      <c r="E6142" t="n">
        <v>2</v>
      </c>
      <c r="G6142" t="n">
        <v>0</v>
      </c>
      <c r="H6142" t="n">
        <v>96</v>
      </c>
      <c r="J6142" t="inlineStr">
        <is>
          <t>Pollença Pueblo</t>
        </is>
      </c>
      <c r="AH6142" t="inlineStr">
        <is>
          <t>Quelle: Balearic Properties</t>
        </is>
      </c>
    </row>
    <row r="6143">
      <c r="A6143" t="n">
        <v>5956</v>
      </c>
      <c r="B6143" t="inlineStr">
        <is>
          <t>Excellent investment apartment for sale near the beaches in Palmanova, Mallorca</t>
        </is>
      </c>
      <c r="C6143" t="inlineStr">
        <is>
          <t>https://www.balearic-properties.com/en/property/id/870361-investment-apartment-beach-palmanova-mallorca-html</t>
        </is>
      </c>
      <c r="E6143" t="n">
        <v>2</v>
      </c>
      <c r="G6143" t="n">
        <v>0</v>
      </c>
      <c r="H6143" t="n">
        <v>78</v>
      </c>
      <c r="J6143" t="inlineStr">
        <is>
          <t>Palmanova</t>
        </is>
      </c>
      <c r="AH6143" t="inlineStr">
        <is>
          <t>Quelle: Balearic Properties</t>
        </is>
      </c>
    </row>
    <row r="6144">
      <c r="A6144" t="n">
        <v>5957</v>
      </c>
      <c r="B6144" t="inlineStr">
        <is>
          <t>Beautifully presented modern apartment for sale in Campanet, Mallorca</t>
        </is>
      </c>
      <c r="C6144" t="inlineStr">
        <is>
          <t>https://www.balearic-properties.com/en/property/id/869775-modern-apartment-campanet-mallorca-html</t>
        </is>
      </c>
      <c r="E6144" t="n">
        <v>2</v>
      </c>
      <c r="G6144" t="n">
        <v>224</v>
      </c>
      <c r="H6144" t="n">
        <v>212</v>
      </c>
      <c r="J6144" t="inlineStr">
        <is>
          <t>Campanet</t>
        </is>
      </c>
      <c r="AH6144" t="inlineStr">
        <is>
          <t>Quelle: Balearic Properties</t>
        </is>
      </c>
    </row>
    <row r="6145">
      <c r="A6145" t="n">
        <v>5958</v>
      </c>
      <c r="B6145" t="inlineStr">
        <is>
          <t>Country villa with holiday license and pool for sale in Inca, Mallorca</t>
        </is>
      </c>
      <c r="C6145" t="inlineStr">
        <is>
          <t>https://www.balearic-properties.com/en/property/id/855168-country-house-holiday-licence-pool-stables-inca-mallorca-html</t>
        </is>
      </c>
      <c r="E6145" t="n">
        <v>4</v>
      </c>
      <c r="G6145" t="n">
        <v>15500</v>
      </c>
      <c r="H6145" t="n">
        <v>352</v>
      </c>
      <c r="J6145" t="inlineStr">
        <is>
          <t>Inca</t>
        </is>
      </c>
      <c r="AH6145" t="inlineStr">
        <is>
          <t>Quelle: Balearic Properties</t>
        </is>
      </c>
    </row>
    <row r="6146">
      <c r="A6146" t="n">
        <v>5959</v>
      </c>
      <c r="B6146" t="inlineStr">
        <is>
          <t>Family villa with attractive stone facade and pool for sale near Pollensa, Mallorca</t>
        </is>
      </c>
      <c r="C6146" t="inlineStr">
        <is>
          <t>https://www.balearic-properties.com/en/property/id/868811-family-villa-stone-facade-pool-pollensa-mallorca-html</t>
        </is>
      </c>
      <c r="E6146" t="n">
        <v>3</v>
      </c>
      <c r="G6146" t="n">
        <v>1000</v>
      </c>
      <c r="H6146" t="n">
        <v>242</v>
      </c>
      <c r="J6146" t="inlineStr">
        <is>
          <t>Sa Pobla</t>
        </is>
      </c>
      <c r="AH6146" t="inlineStr">
        <is>
          <t>Quelle: Balearic Properties</t>
        </is>
      </c>
    </row>
    <row r="6147">
      <c r="A6147" t="n">
        <v>5960</v>
      </c>
      <c r="B6147" t="inlineStr">
        <is>
          <t>Renovated modern villa for sale in a prestigious area of Santa Ponsa, Mallorca</t>
        </is>
      </c>
      <c r="C6147" t="inlineStr">
        <is>
          <t>https://www.balearic-properties.com/en/property/id/866643-renovated-modern-villa-santa-ponsa-mallorca-html</t>
        </is>
      </c>
      <c r="E6147" t="n">
        <v>5</v>
      </c>
      <c r="G6147" t="n">
        <v>1080</v>
      </c>
      <c r="H6147" t="n">
        <v>358</v>
      </c>
      <c r="J6147" t="inlineStr">
        <is>
          <t>Santa Ponsa</t>
        </is>
      </c>
      <c r="K6147" t="n">
        <v>31.1</v>
      </c>
      <c r="L6147" t="n">
        <v>28</v>
      </c>
      <c r="M6147" t="n">
        <v>73.90000000000001</v>
      </c>
      <c r="N6147" t="n">
        <v>61</v>
      </c>
      <c r="O6147" t="n">
        <v>15.2</v>
      </c>
      <c r="P6147" t="n">
        <v>19</v>
      </c>
      <c r="Q6147" t="n">
        <v>71.59999999999999</v>
      </c>
      <c r="R6147" t="n">
        <v>57</v>
      </c>
      <c r="AH6147" t="inlineStr">
        <is>
          <t>Quelle: Balearic Properties</t>
        </is>
      </c>
    </row>
    <row r="6148">
      <c r="A6148" t="n">
        <v>5961</v>
      </c>
      <c r="B6148" t="inlineStr">
        <is>
          <t>Centrally located apartment with mountain views for sale in Pollensa, Mallorca</t>
        </is>
      </c>
      <c r="C6148" t="inlineStr">
        <is>
          <t>https://www.balearic-properties.com/en/property/id/736105-mallorca-apartment-pollensa-html</t>
        </is>
      </c>
      <c r="E6148" t="n">
        <v>3</v>
      </c>
      <c r="G6148" t="n">
        <v>0</v>
      </c>
      <c r="H6148" t="n">
        <v>105</v>
      </c>
      <c r="J6148" t="inlineStr">
        <is>
          <t>Pollença</t>
        </is>
      </c>
      <c r="AH6148" t="inlineStr">
        <is>
          <t>Quelle: Balearic Properties</t>
        </is>
      </c>
    </row>
    <row r="6149">
      <c r="A6149" t="n">
        <v>5962</v>
      </c>
      <c r="B6149" t="inlineStr">
        <is>
          <t>Picturesque rustic villa for sale near S´Arraco village in Andratx, Mallorca</t>
        </is>
      </c>
      <c r="C6149" t="inlineStr">
        <is>
          <t>https://www.balearic-properties.com/en/property/id/853016-picturesque-mediterranean-villa-andratx-mallorca-html</t>
        </is>
      </c>
      <c r="E6149" t="n">
        <v>3</v>
      </c>
      <c r="G6149" t="n">
        <v>11300</v>
      </c>
      <c r="H6149" t="n">
        <v>350</v>
      </c>
      <c r="J6149" t="inlineStr">
        <is>
          <t>S´Arraco</t>
        </is>
      </c>
      <c r="AH6149" t="inlineStr">
        <is>
          <t>Quelle: Balearic Properties</t>
        </is>
      </c>
    </row>
    <row r="6150">
      <c r="A6150" t="n">
        <v>5963</v>
      </c>
      <c r="B6150" t="inlineStr">
        <is>
          <t>Fully renovated 4 bedroom villa with sea views and swimming pool for sale in Port Andratx, Mallorca</t>
        </is>
      </c>
      <c r="C6150" t="inlineStr">
        <is>
          <t>https://www.balearic-properties.com/en/property/id/826459-fully-renovated-4-bedroom-villa-with-sea-views-and-swimming-pool-for-sale-in-port-andratx-mallorca</t>
        </is>
      </c>
      <c r="E6150" t="n">
        <v>4</v>
      </c>
      <c r="G6150" t="n">
        <v>1100</v>
      </c>
      <c r="H6150" t="n">
        <v>480</v>
      </c>
      <c r="J6150" t="inlineStr">
        <is>
          <t>Puerto Andratx</t>
        </is>
      </c>
      <c r="K6150" t="n">
        <v>43.5</v>
      </c>
      <c r="L6150" t="n">
        <v>38</v>
      </c>
      <c r="M6150" t="n">
        <v>86.2</v>
      </c>
      <c r="N6150" t="n">
        <v>71</v>
      </c>
      <c r="O6150" t="n">
        <v>6.3</v>
      </c>
      <c r="P6150" t="n">
        <v>11</v>
      </c>
      <c r="Q6150" t="n">
        <v>83.90000000000001</v>
      </c>
      <c r="R6150" t="n">
        <v>68</v>
      </c>
      <c r="S6150" t="n">
        <v>5950000</v>
      </c>
      <c r="T6150" t="n">
        <v>12396</v>
      </c>
      <c r="U6150" t="n">
        <v>5409</v>
      </c>
      <c r="AH6150" t="inlineStr">
        <is>
          <t>Quelle: Balearic Properties</t>
        </is>
      </c>
    </row>
    <row r="6151">
      <c r="A6151" t="n">
        <v>5964</v>
      </c>
      <c r="B6151" t="inlineStr">
        <is>
          <t>Luxury home with garden and communal pools for sale in Puerto Pollensa, Mallorca</t>
        </is>
      </c>
      <c r="C6151" t="inlineStr">
        <is>
          <t>https://www.balearic-properties.com/en/property/id/869182-luxury-home-garden-communal-pools-puerto-pollensa-mallorca-html</t>
        </is>
      </c>
      <c r="E6151" t="n">
        <v>4</v>
      </c>
      <c r="G6151" t="n">
        <v>0</v>
      </c>
      <c r="H6151" t="n">
        <v>245</v>
      </c>
      <c r="J6151" t="inlineStr">
        <is>
          <t>Bellresguard</t>
        </is>
      </c>
      <c r="AH6151" t="inlineStr">
        <is>
          <t>Quelle: Balearic Properties</t>
        </is>
      </c>
    </row>
    <row r="6152">
      <c r="A6152" t="n">
        <v>5965</v>
      </c>
      <c r="B6152" t="inlineStr">
        <is>
          <t>Perfectly located villa for sale near the beaches in Cala San Vicente, Mallorca</t>
        </is>
      </c>
      <c r="C6152" t="inlineStr">
        <is>
          <t>https://www.balearic-properties.com/en/property/id/868284-unmissable-villa-beaches-cala-san-vicente-mallorca-html</t>
        </is>
      </c>
      <c r="E6152" t="n">
        <v>4</v>
      </c>
      <c r="G6152" t="n">
        <v>457</v>
      </c>
      <c r="H6152" t="n">
        <v>389</v>
      </c>
      <c r="J6152" t="inlineStr">
        <is>
          <t>Cala Sant Vicenç</t>
        </is>
      </c>
      <c r="K6152" t="n">
        <v>66.5</v>
      </c>
      <c r="L6152" t="n">
        <v>52</v>
      </c>
      <c r="M6152" t="n">
        <v>84.59999999999999</v>
      </c>
      <c r="N6152" t="n">
        <v>79</v>
      </c>
      <c r="O6152" t="n">
        <v>89.09999999999999</v>
      </c>
      <c r="P6152" t="n">
        <v>68</v>
      </c>
      <c r="Q6152" t="n">
        <v>82.3</v>
      </c>
      <c r="R6152" t="n">
        <v>75</v>
      </c>
      <c r="S6152" t="n">
        <v>1285000</v>
      </c>
      <c r="T6152" t="n">
        <v>3303</v>
      </c>
      <c r="U6152" t="n">
        <v>2812</v>
      </c>
      <c r="AH6152" t="inlineStr">
        <is>
          <t>Quelle: Balearic Properties</t>
        </is>
      </c>
    </row>
    <row r="6153">
      <c r="A6153" t="n">
        <v>5966</v>
      </c>
      <c r="B6153" t="inlineStr">
        <is>
          <t>Beachfront apartment with breathtaking sea views for sale in Portixol, Mallorca</t>
        </is>
      </c>
      <c r="C6153" t="inlineStr">
        <is>
          <t>https://www.balearic-properties.com/en/property/id/868803-beachfront-apartment-sea-views-portixol-palma-mallorca-html</t>
        </is>
      </c>
      <c r="E6153" t="n">
        <v>3</v>
      </c>
      <c r="G6153" t="n">
        <v>0</v>
      </c>
      <c r="H6153" t="n">
        <v>231</v>
      </c>
      <c r="J6153" t="inlineStr">
        <is>
          <t>Portixol</t>
        </is>
      </c>
      <c r="K6153" t="n">
        <v>8.5</v>
      </c>
      <c r="L6153" t="n">
        <v>13</v>
      </c>
      <c r="M6153" t="n">
        <v>51.2</v>
      </c>
      <c r="N6153" t="n">
        <v>46</v>
      </c>
      <c r="O6153" t="n">
        <v>37.4</v>
      </c>
      <c r="P6153" t="n">
        <v>34</v>
      </c>
      <c r="Q6153" t="n">
        <v>48.9</v>
      </c>
      <c r="R6153" t="n">
        <v>42</v>
      </c>
      <c r="S6153" t="n">
        <v>2100000</v>
      </c>
      <c r="T6153" t="n">
        <v>9091</v>
      </c>
      <c r="AH6153" t="inlineStr">
        <is>
          <t>Quelle: Balearic Properties</t>
        </is>
      </c>
    </row>
    <row r="6154">
      <c r="A6154" t="n">
        <v>5967</v>
      </c>
      <c r="B6154" t="inlineStr">
        <is>
          <t>Three bedroom modern penthouse for sale in Palma de Mallorca</t>
        </is>
      </c>
      <c r="C6154" t="inlineStr">
        <is>
          <t>https://www.balearic-properties.com/en/property/id/868302-new-penthouse-palma-mallorca-html</t>
        </is>
      </c>
      <c r="E6154" t="n">
        <v>3</v>
      </c>
      <c r="G6154" t="n">
        <v>0</v>
      </c>
      <c r="H6154" t="n">
        <v>163</v>
      </c>
      <c r="J6154" t="inlineStr">
        <is>
          <t>Palma de Mallorca</t>
        </is>
      </c>
      <c r="AH6154" t="inlineStr">
        <is>
          <t>Quelle: Balearic Properties</t>
        </is>
      </c>
    </row>
    <row r="6155">
      <c r="A6155" t="n">
        <v>5968</v>
      </c>
      <c r="B6155" t="inlineStr">
        <is>
          <t>1st floor apartment with communal pool and parking for sale in Puerto Pollensa, Mallorca</t>
        </is>
      </c>
      <c r="C6155" t="inlineStr">
        <is>
          <t>https://www.balearic-properties.com/en/property/id/850530-apartment-pool-centre-puerto-pollensa-html</t>
        </is>
      </c>
      <c r="E6155" t="n">
        <v>3</v>
      </c>
      <c r="G6155" t="n">
        <v>0</v>
      </c>
      <c r="H6155" t="n">
        <v>140</v>
      </c>
      <c r="J6155" t="inlineStr">
        <is>
          <t>Port de Pollença</t>
        </is>
      </c>
      <c r="AH6155" t="inlineStr">
        <is>
          <t>Quelle: Balearic Properties</t>
        </is>
      </c>
    </row>
    <row r="6156">
      <c r="A6156" t="n">
        <v>5969</v>
      </c>
      <c r="B6156" t="inlineStr">
        <is>
          <t>Country house for sale in Pollensa, Mallorca</t>
        </is>
      </c>
      <c r="C6156" t="inlineStr">
        <is>
          <t>https://www.balearic-properties.com/en/property/id/676193-finca-pollensa-html</t>
        </is>
      </c>
      <c r="E6156" t="n">
        <v>5</v>
      </c>
      <c r="G6156" t="n">
        <v>15635</v>
      </c>
      <c r="H6156" t="n">
        <v>395</v>
      </c>
      <c r="J6156" t="inlineStr">
        <is>
          <t>Pollença</t>
        </is>
      </c>
      <c r="K6156" t="n">
        <v>60.6</v>
      </c>
      <c r="L6156" t="n">
        <v>47</v>
      </c>
      <c r="M6156" t="n">
        <v>78.7</v>
      </c>
      <c r="N6156" t="n">
        <v>74</v>
      </c>
      <c r="O6156" t="n">
        <v>83.2</v>
      </c>
      <c r="P6156" t="n">
        <v>63</v>
      </c>
      <c r="Q6156" t="n">
        <v>76.40000000000001</v>
      </c>
      <c r="R6156" t="n">
        <v>70</v>
      </c>
      <c r="AH6156" t="inlineStr">
        <is>
          <t>Quelle: Balearic Properties</t>
        </is>
      </c>
    </row>
    <row r="6157">
      <c r="A6157" t="n">
        <v>5970</v>
      </c>
      <c r="B6157" t="inlineStr">
        <is>
          <t>Countryside villa with holiday license for sale in Puerto Pollensa, Mallorca</t>
        </is>
      </c>
      <c r="C6157" t="inlineStr">
        <is>
          <t>https://www.balearic-properties.com/en/property/id/858177-countryside-villa-holiday-license-puerto-pollensa-mallorca-html</t>
        </is>
      </c>
      <c r="E6157" t="n">
        <v>3</v>
      </c>
      <c r="G6157" t="n">
        <v>2023</v>
      </c>
      <c r="H6157" t="n">
        <v>284</v>
      </c>
      <c r="J6157" t="inlineStr">
        <is>
          <t>Port de Pollença</t>
        </is>
      </c>
      <c r="AH6157" t="inlineStr">
        <is>
          <t>Quelle: Balearic Properties</t>
        </is>
      </c>
    </row>
    <row r="6158">
      <c r="A6158" t="n">
        <v>5971</v>
      </c>
      <c r="B6158" t="inlineStr">
        <is>
          <t>Wonderful sea view apartment for sale in Puerto Pollensa, Mallorca</t>
        </is>
      </c>
      <c r="C6158" t="inlineStr">
        <is>
          <t>https://www.balearic-properties.com/en/property/id/864116-seafront-apartment-puerto-pollensa-mallorce-html</t>
        </is>
      </c>
      <c r="E6158" t="n">
        <v>3</v>
      </c>
      <c r="G6158" t="n">
        <v>0</v>
      </c>
      <c r="H6158" t="n">
        <v>136</v>
      </c>
      <c r="J6158" t="inlineStr">
        <is>
          <t>Port de Pollença</t>
        </is>
      </c>
      <c r="AH6158" t="inlineStr">
        <is>
          <t>Quelle: Balearic Properties</t>
        </is>
      </c>
    </row>
    <row r="6159">
      <c r="A6159" t="n">
        <v>5972</v>
      </c>
      <c r="B6159" t="inlineStr">
        <is>
          <t>Charming country house with great views for sale in Alqueria Blanca, Mallorca</t>
        </is>
      </c>
      <c r="C6159" t="inlineStr">
        <is>
          <t>https://www.balearic-properties.com/en/property/id/864237-charming-finca-breathtaking-views-alqueria-blanca-mallorca-html</t>
        </is>
      </c>
      <c r="E6159" t="n">
        <v>5</v>
      </c>
      <c r="G6159" t="n">
        <v>2179</v>
      </c>
      <c r="H6159" t="n">
        <v>316</v>
      </c>
      <c r="J6159" t="inlineStr">
        <is>
          <t>Alqueria Blanca</t>
        </is>
      </c>
      <c r="K6159" t="n">
        <v>50</v>
      </c>
      <c r="L6159" t="n">
        <v>44</v>
      </c>
      <c r="M6159" t="n">
        <v>13.8</v>
      </c>
      <c r="N6159" t="n">
        <v>20</v>
      </c>
      <c r="O6159" t="n">
        <v>88.2</v>
      </c>
      <c r="P6159" t="n">
        <v>71</v>
      </c>
      <c r="Q6159" t="n">
        <v>15.2</v>
      </c>
      <c r="R6159" t="n">
        <v>22</v>
      </c>
      <c r="S6159" t="n">
        <v>1200000</v>
      </c>
      <c r="T6159" t="n">
        <v>3797</v>
      </c>
      <c r="U6159" t="n">
        <v>551</v>
      </c>
      <c r="AH6159" t="inlineStr">
        <is>
          <t>Quelle: Balearic Properties</t>
        </is>
      </c>
    </row>
    <row r="6160">
      <c r="A6160" t="n">
        <v>5973</v>
      </c>
      <c r="B6160" t="inlineStr">
        <is>
          <t>Renovated rustic finca with panoramic views for sale in Artá, Mallorca</t>
        </is>
      </c>
      <c r="C6160" t="inlineStr">
        <is>
          <t>https://www.balearic-properties.com/en/property/id/852544-renovated-finca-panoramic-views-arta-mallorca-html</t>
        </is>
      </c>
      <c r="E6160" t="n">
        <v>5</v>
      </c>
      <c r="G6160" t="n">
        <v>12600</v>
      </c>
      <c r="H6160" t="n">
        <v>400</v>
      </c>
      <c r="J6160" t="inlineStr">
        <is>
          <t>Artà</t>
        </is>
      </c>
      <c r="K6160" t="n">
        <v>68.3</v>
      </c>
      <c r="L6160" t="n">
        <v>61</v>
      </c>
      <c r="M6160" t="n">
        <v>63.7</v>
      </c>
      <c r="N6160" t="n">
        <v>64</v>
      </c>
      <c r="O6160" t="n">
        <v>102.5</v>
      </c>
      <c r="P6160" t="n">
        <v>86</v>
      </c>
      <c r="Q6160" t="n">
        <v>61.4</v>
      </c>
      <c r="R6160" t="n">
        <v>61</v>
      </c>
      <c r="S6160" t="n">
        <v>2000000</v>
      </c>
      <c r="T6160" t="n">
        <v>5000</v>
      </c>
      <c r="U6160" t="n">
        <v>159</v>
      </c>
      <c r="AH6160" t="inlineStr">
        <is>
          <t>Quelle: Balearic Properties</t>
        </is>
      </c>
    </row>
    <row r="6161">
      <c r="A6161" t="n">
        <v>5974</v>
      </c>
      <c r="B6161" t="inlineStr">
        <is>
          <t>New sea view villa under construction, for sale in Sol de Mallorca</t>
        </is>
      </c>
      <c r="C6161" t="inlineStr">
        <is>
          <t>https://www.balearic-properties.com/en/property/id/807179-new-luxury-villa-sea-views-sol-de-mallorca-html</t>
        </is>
      </c>
      <c r="E6161" t="n">
        <v>5</v>
      </c>
      <c r="G6161" t="n">
        <v>1724</v>
      </c>
      <c r="H6161" t="n">
        <v>1000</v>
      </c>
      <c r="J6161" t="inlineStr">
        <is>
          <t>Sol de Mallorca</t>
        </is>
      </c>
      <c r="K6161" t="n">
        <v>32.2</v>
      </c>
      <c r="L6161" t="n">
        <v>31</v>
      </c>
      <c r="M6161" t="n">
        <v>75</v>
      </c>
      <c r="N6161" t="n">
        <v>64</v>
      </c>
      <c r="O6161" t="n">
        <v>21.2</v>
      </c>
      <c r="P6161" t="n">
        <v>25</v>
      </c>
      <c r="Q6161" t="n">
        <v>72.7</v>
      </c>
      <c r="R6161" t="n">
        <v>60</v>
      </c>
      <c r="AH6161" t="inlineStr">
        <is>
          <t>Quelle: Balearic Properties</t>
        </is>
      </c>
    </row>
    <row r="6162">
      <c r="A6162" t="n">
        <v>5975</v>
      </c>
      <c r="B6162" t="inlineStr">
        <is>
          <t>Garden apartment for sale within steps from the beach in Cala Mandia, Mallorca</t>
        </is>
      </c>
      <c r="C6162" t="inlineStr">
        <is>
          <t>https://www.balearic-properties.com/en/property/id/864235-garden-apartment-beach-cala-mandia-html</t>
        </is>
      </c>
      <c r="E6162" t="n">
        <v>2</v>
      </c>
      <c r="G6162" t="n">
        <v>0</v>
      </c>
      <c r="H6162" t="n">
        <v>126</v>
      </c>
      <c r="J6162" t="inlineStr">
        <is>
          <t>Cala Mandia</t>
        </is>
      </c>
      <c r="AH6162" t="inlineStr">
        <is>
          <t>Quelle: Balearic Properties</t>
        </is>
      </c>
    </row>
    <row r="6163">
      <c r="A6163" t="n">
        <v>5976</v>
      </c>
      <c r="B6163" t="inlineStr">
        <is>
          <t>Magnificent new sea view villa with spa, for sale in Son Vida, Mallorca</t>
        </is>
      </c>
      <c r="C6163" t="inlineStr">
        <is>
          <t>https://www.balearic-properties.com/en/property/id/830650-magnificent-new-sea-view-villa-with-spa-for-sale-in-son-vida-mallorca-html</t>
        </is>
      </c>
      <c r="E6163" t="n">
        <v>6</v>
      </c>
      <c r="G6163" t="n">
        <v>2811</v>
      </c>
      <c r="H6163" t="n">
        <v>1235</v>
      </c>
      <c r="J6163" t="inlineStr">
        <is>
          <t>Son Vida</t>
        </is>
      </c>
      <c r="K6163" t="n">
        <v>19.2</v>
      </c>
      <c r="L6163" t="n">
        <v>22</v>
      </c>
      <c r="M6163" t="n">
        <v>61.9</v>
      </c>
      <c r="N6163" t="n">
        <v>55</v>
      </c>
      <c r="O6163" t="n">
        <v>31</v>
      </c>
      <c r="P6163" t="n">
        <v>31</v>
      </c>
      <c r="Q6163" t="n">
        <v>59.6</v>
      </c>
      <c r="R6163" t="n">
        <v>51</v>
      </c>
      <c r="AH6163" t="inlineStr">
        <is>
          <t>Quelle: Balearic Properties</t>
        </is>
      </c>
    </row>
    <row r="6164">
      <c r="A6164" t="n">
        <v>5977</v>
      </c>
      <c r="B6164" t="inlineStr">
        <is>
          <t>New and exclusive 2nd floor flat for sale in Pollensa, Mallorca</t>
        </is>
      </c>
      <c r="C6164" t="inlineStr">
        <is>
          <t>https://www.balearic-properties.com/en/property/id/815348-exclusive-luxury-apartments-pollensa-html</t>
        </is>
      </c>
      <c r="E6164" t="n">
        <v>3</v>
      </c>
      <c r="G6164" t="n">
        <v>0</v>
      </c>
      <c r="H6164" t="n">
        <v>109</v>
      </c>
      <c r="J6164" t="inlineStr">
        <is>
          <t>Pollença</t>
        </is>
      </c>
      <c r="AH6164" t="inlineStr">
        <is>
          <t>Quelle: Balearic Properties</t>
        </is>
      </c>
    </row>
    <row r="6165">
      <c r="A6165" t="n">
        <v>5978</v>
      </c>
      <c r="B6165" t="inlineStr">
        <is>
          <t>Elegant village house for sale with holiday license and pool in Caimari, Mallorca</t>
        </is>
      </c>
      <c r="C6165" t="inlineStr">
        <is>
          <t>https://www.balearic-properties.com/en/property/id/863935-stylish-house-swimming-pool-garden-holiday-license-caimari-mallorca-html</t>
        </is>
      </c>
      <c r="E6165" t="n">
        <v>6</v>
      </c>
      <c r="G6165" t="n">
        <v>1290</v>
      </c>
      <c r="H6165" t="n">
        <v>475</v>
      </c>
      <c r="J6165" t="inlineStr">
        <is>
          <t>Caimari</t>
        </is>
      </c>
      <c r="K6165" t="n">
        <v>44.6</v>
      </c>
      <c r="L6165" t="n">
        <v>41</v>
      </c>
      <c r="M6165" t="n">
        <v>62.7</v>
      </c>
      <c r="N6165" t="n">
        <v>68</v>
      </c>
      <c r="O6165" t="n">
        <v>67.2</v>
      </c>
      <c r="P6165" t="n">
        <v>58</v>
      </c>
      <c r="Q6165" t="n">
        <v>60.4</v>
      </c>
      <c r="R6165" t="n">
        <v>64</v>
      </c>
      <c r="AH6165" t="inlineStr">
        <is>
          <t>Quelle: Balearic Properties</t>
        </is>
      </c>
    </row>
    <row r="6166">
      <c r="A6166" t="n">
        <v>5979</v>
      </c>
      <c r="B6166" t="inlineStr">
        <is>
          <t>Bright modern development of apartments for sale in Palma, Mallorca</t>
        </is>
      </c>
      <c r="C6166" t="inlineStr">
        <is>
          <t>https://www.balearic-properties.com/en/property/id/862193-bright-modern-development-of-apartments-for-sale-in-palma-mallorca-html</t>
        </is>
      </c>
      <c r="E6166" t="n">
        <v>2</v>
      </c>
      <c r="G6166" t="n">
        <v>0</v>
      </c>
      <c r="H6166" t="n">
        <v>197</v>
      </c>
      <c r="J6166" t="inlineStr">
        <is>
          <t>Palma de Mallorca</t>
        </is>
      </c>
      <c r="AH6166" t="inlineStr">
        <is>
          <t>Quelle: Balearic Properties</t>
        </is>
      </c>
    </row>
    <row r="6167">
      <c r="A6167" t="n">
        <v>5980</v>
      </c>
      <c r="B6167" t="inlineStr">
        <is>
          <t>Elegant and spacious villa with roof terrace for sale in Sol de Mallorca</t>
        </is>
      </c>
      <c r="C6167" t="inlineStr">
        <is>
          <t>https://www.balearic-properties.com/en/property/id/815421-villa-pool-beach-sol-de-mallorca-html</t>
        </is>
      </c>
      <c r="E6167" t="n">
        <v>4</v>
      </c>
      <c r="G6167" t="n">
        <v>1266</v>
      </c>
      <c r="H6167" t="n">
        <v>577</v>
      </c>
      <c r="J6167" t="inlineStr">
        <is>
          <t>Sol de Mallorca</t>
        </is>
      </c>
      <c r="K6167" t="n">
        <v>32.2</v>
      </c>
      <c r="L6167" t="n">
        <v>31</v>
      </c>
      <c r="M6167" t="n">
        <v>75</v>
      </c>
      <c r="N6167" t="n">
        <v>64</v>
      </c>
      <c r="O6167" t="n">
        <v>21.2</v>
      </c>
      <c r="P6167" t="n">
        <v>25</v>
      </c>
      <c r="Q6167" t="n">
        <v>72.7</v>
      </c>
      <c r="R6167" t="n">
        <v>60</v>
      </c>
      <c r="S6167" t="n">
        <v>3350000</v>
      </c>
      <c r="T6167" t="n">
        <v>5806</v>
      </c>
      <c r="U6167" t="n">
        <v>2646</v>
      </c>
      <c r="AH6167" t="inlineStr">
        <is>
          <t>Quelle: Balearic Properties</t>
        </is>
      </c>
    </row>
    <row r="6168">
      <c r="A6168" t="n">
        <v>5981</v>
      </c>
      <c r="B6168" t="inlineStr">
        <is>
          <t>Modern villa with holiday license for sale near the sea in Puerto Pollensa, Mallorca</t>
        </is>
      </c>
      <c r="C6168" t="inlineStr">
        <is>
          <t>https://www.balearic-properties.com/en/property/id/860907-villa-etv-seafront-puerto-pollensa-mallorca-html</t>
        </is>
      </c>
      <c r="E6168" t="n">
        <v>3</v>
      </c>
      <c r="G6168" t="n">
        <v>1095</v>
      </c>
      <c r="H6168" t="n">
        <v>315</v>
      </c>
      <c r="J6168" t="inlineStr">
        <is>
          <t>Port de Pollença</t>
        </is>
      </c>
      <c r="AH6168" t="inlineStr">
        <is>
          <t>Quelle: Balearic Properties</t>
        </is>
      </c>
    </row>
    <row r="6169">
      <c r="A6169" t="n">
        <v>5982</v>
      </c>
      <c r="B6169" t="inlineStr">
        <is>
          <t>Country villa with amazing panoramic views for sale in Alcudia, Mallorca</t>
        </is>
      </c>
      <c r="C6169" t="inlineStr">
        <is>
          <t>https://www.balearic-properties.com/en/property/id/764227-country-villa-mountain-views-alcudia-mallorca-html</t>
        </is>
      </c>
      <c r="E6169" t="n">
        <v>3</v>
      </c>
      <c r="G6169" t="n">
        <v>11900</v>
      </c>
      <c r="H6169" t="n">
        <v>176</v>
      </c>
      <c r="J6169" t="inlineStr">
        <is>
          <t>Alcúdia</t>
        </is>
      </c>
      <c r="AH6169" t="inlineStr">
        <is>
          <t>Quelle: Balearic Properties</t>
        </is>
      </c>
    </row>
    <row r="6170">
      <c r="A6170" t="n">
        <v>5983</v>
      </c>
      <c r="B6170" t="inlineStr">
        <is>
          <t>Stunning sea view villa for sale in Porto Petro, Mallorca</t>
        </is>
      </c>
      <c r="C6170" t="inlineStr">
        <is>
          <t>https://www.balearic-properties.com/en/property/id/861597-semi-detached-villa-sea-views-porto-petro-html</t>
        </is>
      </c>
      <c r="E6170" t="n">
        <v>3</v>
      </c>
      <c r="G6170" t="n">
        <v>500</v>
      </c>
      <c r="H6170" t="n">
        <v>267</v>
      </c>
      <c r="J6170" t="inlineStr">
        <is>
          <t>Porto Petro</t>
        </is>
      </c>
      <c r="K6170" t="n">
        <v>55.4</v>
      </c>
      <c r="L6170" t="n">
        <v>50</v>
      </c>
      <c r="M6170" t="n">
        <v>19.1</v>
      </c>
      <c r="N6170" t="n">
        <v>26</v>
      </c>
      <c r="O6170" t="n">
        <v>93.59999999999999</v>
      </c>
      <c r="P6170" t="n">
        <v>77</v>
      </c>
      <c r="Q6170" t="n">
        <v>20.6</v>
      </c>
      <c r="R6170" t="n">
        <v>28</v>
      </c>
      <c r="S6170" t="n">
        <v>1580000</v>
      </c>
      <c r="T6170" t="n">
        <v>5918</v>
      </c>
      <c r="U6170" t="n">
        <v>3160</v>
      </c>
      <c r="AH6170" t="inlineStr">
        <is>
          <t>Quelle: Balearic Properties</t>
        </is>
      </c>
    </row>
    <row r="6171">
      <c r="A6171" t="n">
        <v>5984</v>
      </c>
      <c r="B6171" t="inlineStr">
        <is>
          <t>Modern semi-detached house with pool for sale in Puig de Ros, Mallorca</t>
        </is>
      </c>
      <c r="C6171" t="inlineStr">
        <is>
          <t>https://www.balearic-properties.com/en/property/id/861548-modern-house-with-pool-puig-de-ros-mallorca-html</t>
        </is>
      </c>
      <c r="E6171" t="n">
        <v>2</v>
      </c>
      <c r="G6171" t="n">
        <v>288</v>
      </c>
      <c r="H6171" t="n">
        <v>160</v>
      </c>
      <c r="J6171" t="inlineStr">
        <is>
          <t>Puig de Ros</t>
        </is>
      </c>
      <c r="AH6171" t="inlineStr">
        <is>
          <t>Quelle: Balearic Properties</t>
        </is>
      </c>
    </row>
    <row r="6172">
      <c r="A6172" t="n">
        <v>5985</v>
      </c>
      <c r="B6172" t="inlineStr">
        <is>
          <t>Renovated apartment for sale overlooking the harbour in Puerto Nous, Mallorca</t>
        </is>
      </c>
      <c r="C6172" t="inlineStr">
        <is>
          <t>https://www.balearic-properties.com/en/property/id/861006-renovated-apartment-overlooking-the-harbour-portals-nous-mallorca-html</t>
        </is>
      </c>
      <c r="E6172" t="n">
        <v>3</v>
      </c>
      <c r="G6172" t="n">
        <v>0</v>
      </c>
      <c r="H6172" t="n">
        <v>119</v>
      </c>
      <c r="J6172" t="inlineStr">
        <is>
          <t>Puerto Portals</t>
        </is>
      </c>
      <c r="K6172" t="n">
        <v>23.5</v>
      </c>
      <c r="L6172" t="n">
        <v>24</v>
      </c>
      <c r="M6172" t="n">
        <v>66.2</v>
      </c>
      <c r="N6172" t="n">
        <v>56</v>
      </c>
      <c r="O6172" t="n">
        <v>21.4</v>
      </c>
      <c r="P6172" t="n">
        <v>23</v>
      </c>
      <c r="Q6172" t="n">
        <v>63.9</v>
      </c>
      <c r="R6172" t="n">
        <v>53</v>
      </c>
      <c r="S6172" t="n">
        <v>1095000</v>
      </c>
      <c r="T6172" t="n">
        <v>9202</v>
      </c>
      <c r="AH6172" t="inlineStr">
        <is>
          <t>Quelle: Balearic Properties</t>
        </is>
      </c>
    </row>
    <row r="6173">
      <c r="A6173" t="n">
        <v>5986</v>
      </c>
      <c r="B6173" t="inlineStr">
        <is>
          <t>Brand new semi-detached house with pool for sale in Puig de Ros, Mallorca</t>
        </is>
      </c>
      <c r="C6173" t="inlineStr">
        <is>
          <t>https://www.balearic-properties.com/en/property/id/861215-new-semi-detached-house-with-pool-puig-de-ros-mallorca-html</t>
        </is>
      </c>
      <c r="E6173" t="n">
        <v>4</v>
      </c>
      <c r="G6173" t="n">
        <v>385</v>
      </c>
      <c r="H6173" t="n">
        <v>250</v>
      </c>
      <c r="J6173" t="inlineStr">
        <is>
          <t>Puig de Ros</t>
        </is>
      </c>
      <c r="AH6173" t="inlineStr">
        <is>
          <t>Quelle: Balearic Properties</t>
        </is>
      </c>
    </row>
    <row r="6174">
      <c r="A6174" t="n">
        <v>5987</v>
      </c>
      <c r="B6174" t="inlineStr">
        <is>
          <t>Luxury frontline villa with uninterrupted sea views for sale in Bonaire, Mallorca</t>
        </is>
      </c>
      <c r="C6174" t="inlineStr">
        <is>
          <t>https://www.balearic-properties.com/en/property/id/823413-luxury-frontline-villa-uninterrupted-seaviews-bonaire-mallorca-html</t>
        </is>
      </c>
      <c r="E6174" t="n">
        <v>4</v>
      </c>
      <c r="G6174" t="n">
        <v>1400</v>
      </c>
      <c r="H6174" t="n">
        <v>600</v>
      </c>
      <c r="J6174" t="inlineStr">
        <is>
          <t>Bonaire</t>
        </is>
      </c>
      <c r="AH6174" t="inlineStr">
        <is>
          <t>Quelle: Balearic Properties</t>
        </is>
      </c>
    </row>
    <row r="6175">
      <c r="A6175" t="n">
        <v>5988</v>
      </c>
      <c r="B6175" t="inlineStr">
        <is>
          <t>Rustic country finca with guest accommodation and pool for sale in Felanitx, Mallorca</t>
        </is>
      </c>
      <c r="C6175" t="inlineStr">
        <is>
          <t>https://www.balearic-properties.com/en/property/id/843990-country-finca-guest-house-felanitx-mallorca-html</t>
        </is>
      </c>
      <c r="E6175" t="n">
        <v>6</v>
      </c>
      <c r="G6175" t="n">
        <v>18000</v>
      </c>
      <c r="H6175" t="n">
        <v>320</v>
      </c>
      <c r="J6175" t="inlineStr">
        <is>
          <t>Felanitx</t>
        </is>
      </c>
      <c r="K6175" t="n">
        <v>45</v>
      </c>
      <c r="L6175" t="n">
        <v>40</v>
      </c>
      <c r="M6175" t="n">
        <v>26.8</v>
      </c>
      <c r="N6175" t="n">
        <v>30</v>
      </c>
      <c r="O6175" t="n">
        <v>83.2</v>
      </c>
      <c r="P6175" t="n">
        <v>68</v>
      </c>
      <c r="Q6175" t="n">
        <v>24.5</v>
      </c>
      <c r="R6175" t="n">
        <v>26</v>
      </c>
      <c r="S6175" t="n">
        <v>1595000</v>
      </c>
      <c r="T6175" t="n">
        <v>4984</v>
      </c>
      <c r="U6175" t="n">
        <v>89</v>
      </c>
      <c r="AH6175" t="inlineStr">
        <is>
          <t>Quelle: Balearic Properties</t>
        </is>
      </c>
    </row>
    <row r="6176">
      <c r="A6176" t="n">
        <v>5989</v>
      </c>
      <c r="B6176" t="inlineStr">
        <is>
          <t>Luxury duplex apartment with private pool for sale near Palma, Mallorca</t>
        </is>
      </c>
      <c r="C6176" t="inlineStr">
        <is>
          <t>https://www.balearic-properties.com/en/property/id/780550-new-pool-garden-mallorca-html</t>
        </is>
      </c>
      <c r="E6176" t="n">
        <v>4</v>
      </c>
      <c r="G6176" t="n">
        <v>0</v>
      </c>
      <c r="H6176" t="n">
        <v>437</v>
      </c>
      <c r="J6176" t="inlineStr">
        <is>
          <t>Cala Major</t>
        </is>
      </c>
      <c r="AH6176" t="inlineStr">
        <is>
          <t>Quelle: Balearic Properties</t>
        </is>
      </c>
    </row>
    <row r="6177">
      <c r="A6177" t="n">
        <v>5990</v>
      </c>
      <c r="B6177" t="inlineStr">
        <is>
          <t>Luxurious country house for sale between Santa Maria and Bunyola, Mallorca</t>
        </is>
      </c>
      <c r="C6177" t="inlineStr">
        <is>
          <t>https://www.balearic-properties.com/en/property/id/828083-incredible-country-house-with-breathtaking-views-for-sale-in-santa-maria-bunyola-mallorca-html</t>
        </is>
      </c>
      <c r="E6177" t="n">
        <v>4</v>
      </c>
      <c r="G6177" t="n">
        <v>16320</v>
      </c>
      <c r="H6177" t="n">
        <v>600</v>
      </c>
      <c r="J6177" t="inlineStr">
        <is>
          <t>Santa Maria del Camí</t>
        </is>
      </c>
      <c r="AH6177" t="inlineStr">
        <is>
          <t>Quelle: Balearic Properties</t>
        </is>
      </c>
    </row>
    <row r="6178">
      <c r="A6178" t="n">
        <v>5991</v>
      </c>
      <c r="B6178" t="inlineStr">
        <is>
          <t>Completely renovated town house with pool for sale in Campanet, Mallorca</t>
        </is>
      </c>
      <c r="C6178" t="inlineStr">
        <is>
          <t>https://www.balearic-properties.com/en/property/id/854284-ultra-modern-townhouse-pool-campanet-html</t>
        </is>
      </c>
      <c r="E6178" t="n">
        <v>3</v>
      </c>
      <c r="G6178" t="n">
        <v>215</v>
      </c>
      <c r="H6178" t="n">
        <v>186</v>
      </c>
      <c r="J6178" t="inlineStr">
        <is>
          <t>Campanet</t>
        </is>
      </c>
      <c r="AH6178" t="inlineStr">
        <is>
          <t>Quelle: Balearic Properties</t>
        </is>
      </c>
    </row>
    <row r="6179">
      <c r="A6179" t="n">
        <v>5992</v>
      </c>
      <c r="B6179" t="inlineStr">
        <is>
          <t>Unmissable villa development for sale in the sought-after area of Sol de Mallorca</t>
        </is>
      </c>
      <c r="C6179" t="inlineStr">
        <is>
          <t>https://www.balearic-properties.com/en/property/id/859622-modern-luxury-villa-new-development-sol-de-mallorca-html</t>
        </is>
      </c>
      <c r="E6179" t="n">
        <v>5</v>
      </c>
      <c r="G6179" t="n">
        <v>1297</v>
      </c>
      <c r="H6179" t="n">
        <v>417</v>
      </c>
      <c r="J6179" t="inlineStr">
        <is>
          <t>Sol de Mallorca</t>
        </is>
      </c>
      <c r="K6179" t="n">
        <v>32.2</v>
      </c>
      <c r="L6179" t="n">
        <v>31</v>
      </c>
      <c r="M6179" t="n">
        <v>75</v>
      </c>
      <c r="N6179" t="n">
        <v>64</v>
      </c>
      <c r="O6179" t="n">
        <v>21.2</v>
      </c>
      <c r="P6179" t="n">
        <v>25</v>
      </c>
      <c r="Q6179" t="n">
        <v>72.7</v>
      </c>
      <c r="R6179" t="n">
        <v>60</v>
      </c>
      <c r="S6179" t="n">
        <v>3850000</v>
      </c>
      <c r="T6179" t="n">
        <v>9233</v>
      </c>
      <c r="U6179" t="n">
        <v>2968</v>
      </c>
      <c r="AH6179" t="inlineStr">
        <is>
          <t>Quelle: Balearic Properties</t>
        </is>
      </c>
    </row>
    <row r="6180">
      <c r="A6180" t="n">
        <v>5993</v>
      </c>
      <c r="B6180" t="inlineStr">
        <is>
          <t>Incredible new development of luxury villas for sale in Sol de Mallorca</t>
        </is>
      </c>
      <c r="C6180" t="inlineStr">
        <is>
          <t>https://www.balearic-properties.com/en/property/id/859609-modern-luxury-villa-new-development-sol-de-mallorca-html</t>
        </is>
      </c>
      <c r="E6180" t="n">
        <v>5</v>
      </c>
      <c r="G6180" t="n">
        <v>1391</v>
      </c>
      <c r="H6180" t="n">
        <v>590</v>
      </c>
      <c r="J6180" t="inlineStr">
        <is>
          <t>Sol de Mallorca</t>
        </is>
      </c>
      <c r="K6180" t="n">
        <v>32.2</v>
      </c>
      <c r="L6180" t="n">
        <v>31</v>
      </c>
      <c r="M6180" t="n">
        <v>75</v>
      </c>
      <c r="N6180" t="n">
        <v>64</v>
      </c>
      <c r="O6180" t="n">
        <v>21.2</v>
      </c>
      <c r="P6180" t="n">
        <v>25</v>
      </c>
      <c r="Q6180" t="n">
        <v>72.7</v>
      </c>
      <c r="R6180" t="n">
        <v>60</v>
      </c>
      <c r="AH6180" t="inlineStr">
        <is>
          <t>Quelle: Balearic Properties</t>
        </is>
      </c>
    </row>
    <row r="6181">
      <c r="A6181" t="n">
        <v>5994</v>
      </c>
      <c r="B6181" t="inlineStr">
        <is>
          <t>Unique traditional town house with private pool for sale in Pollensa, Mallorca</t>
        </is>
      </c>
      <c r="C6181" t="inlineStr">
        <is>
          <t>https://www.balearic-properties.com/en/property/id/818219-enchanting-traditional-townhouse-pool-pollensa-mallorca-html</t>
        </is>
      </c>
      <c r="E6181" t="n">
        <v>3</v>
      </c>
      <c r="G6181" t="n">
        <v>108</v>
      </c>
      <c r="H6181" t="n">
        <v>146</v>
      </c>
      <c r="J6181" t="inlineStr">
        <is>
          <t>Pollença</t>
        </is>
      </c>
      <c r="AH6181" t="inlineStr">
        <is>
          <t>Quelle: Balearic Properties</t>
        </is>
      </c>
    </row>
    <row r="6182">
      <c r="A6182" t="n">
        <v>5995</v>
      </c>
      <c r="B6182" t="inlineStr">
        <is>
          <t>Ultra-modern luxury villa for sale on a new development in Sol de Mallorca</t>
        </is>
      </c>
      <c r="C6182" t="inlineStr">
        <is>
          <t>https://www.balearic-properties.com/en/property/id/858305-modern-luxury-villa-new-development-sol-de-mallorca-html</t>
        </is>
      </c>
      <c r="E6182" t="n">
        <v>5</v>
      </c>
      <c r="G6182" t="n">
        <v>1338</v>
      </c>
      <c r="H6182" t="n">
        <v>398</v>
      </c>
      <c r="J6182" t="inlineStr">
        <is>
          <t>Sol de Mallorca</t>
        </is>
      </c>
      <c r="K6182" t="n">
        <v>32.2</v>
      </c>
      <c r="L6182" t="n">
        <v>31</v>
      </c>
      <c r="M6182" t="n">
        <v>75</v>
      </c>
      <c r="N6182" t="n">
        <v>64</v>
      </c>
      <c r="O6182" t="n">
        <v>21.2</v>
      </c>
      <c r="P6182" t="n">
        <v>25</v>
      </c>
      <c r="Q6182" t="n">
        <v>72.7</v>
      </c>
      <c r="R6182" t="n">
        <v>60</v>
      </c>
      <c r="AH6182" t="inlineStr">
        <is>
          <t>Quelle: Balearic Properties</t>
        </is>
      </c>
    </row>
    <row r="6183">
      <c r="A6183" t="n">
        <v>5996</v>
      </c>
      <c r="B6183" t="inlineStr">
        <is>
          <t>Incredible front line apartment for sale with direct sea access in Cas Catala, Mallorca</t>
        </is>
      </c>
      <c r="C6183" t="inlineStr">
        <is>
          <t>https://www.balearic-properties.com/en/property/id/858617-front-line-apartment-direct-sea-access-cas-catala-mallorca-html</t>
        </is>
      </c>
      <c r="E6183" t="n">
        <v>4</v>
      </c>
      <c r="G6183" t="n">
        <v>0</v>
      </c>
      <c r="H6183" t="n">
        <v>155</v>
      </c>
      <c r="J6183" t="inlineStr">
        <is>
          <t>Cas Català</t>
        </is>
      </c>
      <c r="AH6183" t="inlineStr">
        <is>
          <t>Quelle: Balearic Properties</t>
        </is>
      </c>
    </row>
    <row r="6184">
      <c r="A6184" t="n">
        <v>5997</v>
      </c>
      <c r="B6184" t="inlineStr">
        <is>
          <t>Stately town house with ETV license for sale in Pollensa, Mallorca</t>
        </is>
      </c>
      <c r="C6184" t="inlineStr">
        <is>
          <t>https://www.balearic-properties.com/en/property/id/591893-mallorca-townhouse-pollensa-html</t>
        </is>
      </c>
      <c r="E6184" t="n">
        <v>7</v>
      </c>
      <c r="G6184" t="n">
        <v>381</v>
      </c>
      <c r="H6184" t="n">
        <v>601</v>
      </c>
      <c r="J6184" t="inlineStr">
        <is>
          <t>Pollença Pueblo</t>
        </is>
      </c>
      <c r="K6184" t="n">
        <v>60.6</v>
      </c>
      <c r="L6184" t="n">
        <v>47</v>
      </c>
      <c r="M6184" t="n">
        <v>78.7</v>
      </c>
      <c r="N6184" t="n">
        <v>74</v>
      </c>
      <c r="O6184" t="n">
        <v>83.2</v>
      </c>
      <c r="P6184" t="n">
        <v>63</v>
      </c>
      <c r="Q6184" t="n">
        <v>76.40000000000001</v>
      </c>
      <c r="R6184" t="n">
        <v>70</v>
      </c>
      <c r="AH6184" t="inlineStr">
        <is>
          <t>Quelle: Balearic Properties</t>
        </is>
      </c>
    </row>
    <row r="6185">
      <c r="A6185" t="n">
        <v>5998</v>
      </c>
      <c r="B6185" t="inlineStr">
        <is>
          <t>Great finca with guest house for sale in Pollensa, Mallorca</t>
        </is>
      </c>
      <c r="C6185" t="inlineStr">
        <is>
          <t>https://www.balearic-properties.com/en/property/id/558450-superb-finca-pollensa-mallorca-html</t>
        </is>
      </c>
      <c r="E6185" t="n">
        <v>4</v>
      </c>
      <c r="G6185" t="n">
        <v>9723</v>
      </c>
      <c r="H6185" t="n">
        <v>353</v>
      </c>
      <c r="J6185" t="inlineStr">
        <is>
          <t>Pollença</t>
        </is>
      </c>
      <c r="K6185" t="n">
        <v>60.6</v>
      </c>
      <c r="L6185" t="n">
        <v>47</v>
      </c>
      <c r="M6185" t="n">
        <v>78.7</v>
      </c>
      <c r="N6185" t="n">
        <v>74</v>
      </c>
      <c r="O6185" t="n">
        <v>83.2</v>
      </c>
      <c r="P6185" t="n">
        <v>63</v>
      </c>
      <c r="Q6185" t="n">
        <v>76.40000000000001</v>
      </c>
      <c r="R6185" t="n">
        <v>70</v>
      </c>
      <c r="S6185" t="n">
        <v>2400000</v>
      </c>
      <c r="T6185" t="n">
        <v>6799</v>
      </c>
      <c r="U6185" t="n">
        <v>247</v>
      </c>
      <c r="AH6185" t="inlineStr">
        <is>
          <t>Quelle: Balearic Properties</t>
        </is>
      </c>
    </row>
    <row r="6186">
      <c r="A6186" t="n">
        <v>5999</v>
      </c>
      <c r="B6186" t="inlineStr">
        <is>
          <t>Country finca with holiday license for sale near Porto Cristo, Mallorca</t>
        </is>
      </c>
      <c r="C6186" t="inlineStr">
        <is>
          <t>https://www.balearic-properties.com/en/property/id/856506-finca-holiday-license-porto-cristo-mallorca-html</t>
        </is>
      </c>
      <c r="E6186" t="n">
        <v>4</v>
      </c>
      <c r="G6186" t="n">
        <v>14200</v>
      </c>
      <c r="H6186" t="n">
        <v>160</v>
      </c>
      <c r="J6186" t="inlineStr">
        <is>
          <t>Son Carrió</t>
        </is>
      </c>
      <c r="AH6186" t="inlineStr">
        <is>
          <t>Quelle: Balearic Properties</t>
        </is>
      </c>
    </row>
    <row r="6187">
      <c r="A6187" t="n">
        <v>6000</v>
      </c>
      <c r="B6187" t="inlineStr">
        <is>
          <t>Bright sea view apartment for sale in a privileged area of Bendinat, Mallorca</t>
        </is>
      </c>
      <c r="C6187" t="inlineStr">
        <is>
          <t>https://www.balearic-properties.com/en/property/id/855538-sea-view-apartment-bendinat-mallorca-html</t>
        </is>
      </c>
      <c r="E6187" t="n">
        <v>4</v>
      </c>
      <c r="G6187" t="n">
        <v>0</v>
      </c>
      <c r="H6187" t="n">
        <v>130</v>
      </c>
      <c r="J6187" t="inlineStr">
        <is>
          <t>Bendinat</t>
        </is>
      </c>
      <c r="AH6187" t="inlineStr">
        <is>
          <t>Quelle: Balearic Properties</t>
        </is>
      </c>
    </row>
    <row r="6188">
      <c r="A6188" t="n">
        <v>6001</v>
      </c>
      <c r="B6188" t="inlineStr">
        <is>
          <t>Luxury hillside villa for sale in the countryside of Santa Maria, Mallorca</t>
        </is>
      </c>
      <c r="C6188" t="inlineStr">
        <is>
          <t>https://www.balearic-properties.com/en/property/id/819291-luxury-hillside-villa-santa-maria-mallorca-html</t>
        </is>
      </c>
      <c r="E6188" t="n">
        <v>5</v>
      </c>
      <c r="G6188" t="n">
        <v>33280</v>
      </c>
      <c r="H6188" t="n">
        <v>945</v>
      </c>
      <c r="J6188" t="inlineStr">
        <is>
          <t>Santa Maria del Camí</t>
        </is>
      </c>
      <c r="K6188" t="n">
        <v>23.5</v>
      </c>
      <c r="L6188" t="n">
        <v>21</v>
      </c>
      <c r="M6188" t="n">
        <v>66.3</v>
      </c>
      <c r="N6188" t="n">
        <v>54</v>
      </c>
      <c r="O6188" t="n">
        <v>46.1</v>
      </c>
      <c r="P6188" t="n">
        <v>37</v>
      </c>
      <c r="Q6188" t="n">
        <v>64</v>
      </c>
      <c r="R6188" t="n">
        <v>51</v>
      </c>
      <c r="S6188" t="n">
        <v>7800000</v>
      </c>
      <c r="T6188" t="n">
        <v>8254</v>
      </c>
      <c r="U6188" t="n">
        <v>234</v>
      </c>
      <c r="AH6188" t="inlineStr">
        <is>
          <t>Quelle: Balearic Properties</t>
        </is>
      </c>
    </row>
    <row r="6189">
      <c r="A6189" t="n">
        <v>6002</v>
      </c>
      <c r="B6189" t="inlineStr">
        <is>
          <t>Spectacular hillside villa with sea views for sale in Cas Català, Mallorca</t>
        </is>
      </c>
      <c r="C6189" t="inlineStr">
        <is>
          <t>https://www.balearic-properties.com/en/property/id/854379-villa-sea-views-cas-catala-calvia-mallorca-html</t>
        </is>
      </c>
      <c r="E6189" t="n">
        <v>5</v>
      </c>
      <c r="G6189" t="n">
        <v>1362</v>
      </c>
      <c r="H6189" t="n">
        <v>443</v>
      </c>
      <c r="J6189" t="inlineStr">
        <is>
          <t>Cas Català</t>
        </is>
      </c>
      <c r="K6189" t="n">
        <v>20</v>
      </c>
      <c r="L6189" t="n">
        <v>22</v>
      </c>
      <c r="M6189" t="n">
        <v>62.8</v>
      </c>
      <c r="N6189" t="n">
        <v>55</v>
      </c>
      <c r="O6189" t="n">
        <v>23.7</v>
      </c>
      <c r="P6189" t="n">
        <v>23</v>
      </c>
      <c r="Q6189" t="n">
        <v>60.5</v>
      </c>
      <c r="R6189" t="n">
        <v>51</v>
      </c>
      <c r="AH6189" t="inlineStr">
        <is>
          <t>Quelle: Balearic Properties</t>
        </is>
      </c>
    </row>
    <row r="6190">
      <c r="A6190" t="n">
        <v>6003</v>
      </c>
      <c r="B6190" t="inlineStr">
        <is>
          <t>Luxury seaview apartment with amazing facilities for sale in Bendinat, Mallorca</t>
        </is>
      </c>
      <c r="C6190" t="inlineStr">
        <is>
          <t>https://www.balearic-properties.com/en/property/id/804734-luxurious-apartment-bendinat-mallorca-html</t>
        </is>
      </c>
      <c r="E6190" t="n">
        <v>4</v>
      </c>
      <c r="G6190" t="n">
        <v>0</v>
      </c>
      <c r="H6190" t="n">
        <v>264</v>
      </c>
      <c r="J6190" t="inlineStr">
        <is>
          <t>Bendinat</t>
        </is>
      </c>
      <c r="AH6190" t="inlineStr">
        <is>
          <t>Quelle: Balearic Properties</t>
        </is>
      </c>
    </row>
    <row r="6191">
      <c r="A6191" t="n">
        <v>6004</v>
      </c>
      <c r="B6191" t="inlineStr">
        <is>
          <t>Incredible frontline apartment for sale in Puerto Pollensa, Mallorca</t>
        </is>
      </c>
      <c r="C6191" t="inlineStr">
        <is>
          <t>https://www.balearic-properties.com/en/property/id/830727-unique-frontline-apartment-puerto-pollensa-mallorca-html</t>
        </is>
      </c>
      <c r="E6191" t="n">
        <v>4</v>
      </c>
      <c r="G6191" t="n">
        <v>0</v>
      </c>
      <c r="H6191" t="n">
        <v>209</v>
      </c>
      <c r="J6191" t="inlineStr">
        <is>
          <t>Port de Pollença</t>
        </is>
      </c>
      <c r="AH6191" t="inlineStr">
        <is>
          <t>Quelle: Balearic Properties</t>
        </is>
      </c>
    </row>
    <row r="6192">
      <c r="A6192" t="n">
        <v>6005</v>
      </c>
      <c r="B6192" t="inlineStr">
        <is>
          <t>Idyllic country property for sale in Sant Joan, Mallorca</t>
        </is>
      </c>
      <c r="C6192" t="inlineStr">
        <is>
          <t>https://www.balearic-properties.com/en/property/id/802707-country-property-sant-joan-html</t>
        </is>
      </c>
      <c r="E6192" t="n">
        <v>8</v>
      </c>
      <c r="G6192" t="n">
        <v>46000</v>
      </c>
      <c r="H6192" t="n">
        <v>406</v>
      </c>
      <c r="J6192" t="inlineStr">
        <is>
          <t>Sant Joan</t>
        </is>
      </c>
      <c r="K6192" t="n">
        <v>39.3</v>
      </c>
      <c r="L6192" t="n">
        <v>34</v>
      </c>
      <c r="M6192" t="n">
        <v>38</v>
      </c>
      <c r="N6192" t="n">
        <v>40</v>
      </c>
      <c r="O6192" t="n">
        <v>73.59999999999999</v>
      </c>
      <c r="P6192" t="n">
        <v>59</v>
      </c>
      <c r="Q6192" t="n">
        <v>35.7</v>
      </c>
      <c r="R6192" t="n">
        <v>36</v>
      </c>
      <c r="AH6192" t="inlineStr">
        <is>
          <t>Quelle: Balearic Properties</t>
        </is>
      </c>
    </row>
    <row r="6193">
      <c r="A6193" t="n">
        <v>6006</v>
      </c>
      <c r="B6193" t="inlineStr">
        <is>
          <t>Bright first floor apartment for sale in the centre of Pollensa, Mallorca</t>
        </is>
      </c>
      <c r="C6193" t="inlineStr">
        <is>
          <t>https://www.balearic-properties.com/en/property/id/853641-apartment-balcony-centre-of-pollensa-mallorca-html</t>
        </is>
      </c>
      <c r="E6193" t="n">
        <v>3</v>
      </c>
      <c r="G6193" t="n">
        <v>0</v>
      </c>
      <c r="H6193" t="n">
        <v>95</v>
      </c>
      <c r="J6193" t="inlineStr">
        <is>
          <t>Pollença Pueblo</t>
        </is>
      </c>
      <c r="AH6193" t="inlineStr">
        <is>
          <t>Quelle: Balearic Properties</t>
        </is>
      </c>
    </row>
    <row r="6194">
      <c r="A6194" t="n">
        <v>6007</v>
      </c>
      <c r="B6194" t="inlineStr">
        <is>
          <t>Extraordinary town house for sale in Pollensa, Mallorca</t>
        </is>
      </c>
      <c r="C6194" t="inlineStr">
        <is>
          <t>https://www.balearic-properties.com/en/property/id/731980-pollensa-town-house-html</t>
        </is>
      </c>
      <c r="E6194" t="n">
        <v>3</v>
      </c>
      <c r="G6194" t="n">
        <v>31</v>
      </c>
      <c r="H6194" t="n">
        <v>117</v>
      </c>
      <c r="J6194" t="inlineStr">
        <is>
          <t>Pollença</t>
        </is>
      </c>
      <c r="AH6194" t="inlineStr">
        <is>
          <t>Quelle: Balearic Properties</t>
        </is>
      </c>
    </row>
    <row r="6195">
      <c r="A6195" t="n">
        <v>6008</v>
      </c>
      <c r="B6195" t="inlineStr">
        <is>
          <t>Beautifully renovated house for sale just steps from the beach in Muro, Mallorca</t>
        </is>
      </c>
      <c r="C6195" t="inlineStr">
        <is>
          <t>https://www.balearic-properties.com/en/property/id/851498-renovated-house-beach-muro-mallorca-html</t>
        </is>
      </c>
      <c r="E6195" t="n">
        <v>2</v>
      </c>
      <c r="G6195" t="n">
        <v>0</v>
      </c>
      <c r="H6195" t="n">
        <v>71</v>
      </c>
      <c r="J6195" t="inlineStr">
        <is>
          <t>Playas de Muro</t>
        </is>
      </c>
      <c r="AH6195" t="inlineStr">
        <is>
          <t>Quelle: Balearic Properties</t>
        </is>
      </c>
    </row>
    <row r="6196">
      <c r="A6196" t="n">
        <v>6009</v>
      </c>
      <c r="B6196" t="inlineStr">
        <is>
          <t>Incredible country house for sale at the foot of the Tramuntana mountains in Alaró, Mallorca</t>
        </is>
      </c>
      <c r="C6196" t="inlineStr">
        <is>
          <t>https://www.balearic-properties.com/en/property/id/742288-luxury-country-villa-alaro-mallorca-html</t>
        </is>
      </c>
      <c r="E6196" t="n">
        <v>6</v>
      </c>
      <c r="G6196" t="n">
        <v>35000</v>
      </c>
      <c r="H6196" t="n">
        <v>700</v>
      </c>
      <c r="J6196" t="inlineStr">
        <is>
          <t>Alaró</t>
        </is>
      </c>
      <c r="K6196" t="n">
        <v>33.4</v>
      </c>
      <c r="L6196" t="n">
        <v>33</v>
      </c>
      <c r="M6196" t="n">
        <v>76.09999999999999</v>
      </c>
      <c r="N6196" t="n">
        <v>66</v>
      </c>
      <c r="O6196" t="n">
        <v>55.9</v>
      </c>
      <c r="P6196" t="n">
        <v>49</v>
      </c>
      <c r="Q6196" t="n">
        <v>73.8</v>
      </c>
      <c r="R6196" t="n">
        <v>62</v>
      </c>
      <c r="S6196" t="n">
        <v>6500000</v>
      </c>
      <c r="T6196" t="n">
        <v>9286</v>
      </c>
      <c r="U6196" t="n">
        <v>186</v>
      </c>
      <c r="AH6196" t="inlineStr">
        <is>
          <t>Quelle: Balearic Properties</t>
        </is>
      </c>
    </row>
    <row r="6197">
      <c r="A6197" t="n">
        <v>6010</v>
      </c>
      <c r="B6197" t="inlineStr">
        <is>
          <t>Superb country house for sale with rental license in a tranquil location in Pollensa, Mallorca</t>
        </is>
      </c>
      <c r="C6197" t="inlineStr">
        <is>
          <t>https://www.balearic-properties.com/en/property/id/640780-pollenca-country-house-html</t>
        </is>
      </c>
      <c r="E6197" t="n">
        <v>3</v>
      </c>
      <c r="G6197" t="n">
        <v>3618</v>
      </c>
      <c r="H6197" t="n">
        <v>194</v>
      </c>
      <c r="J6197" t="inlineStr">
        <is>
          <t>Pollença</t>
        </is>
      </c>
      <c r="AH6197" t="inlineStr">
        <is>
          <t>Quelle: Balearic Properties</t>
        </is>
      </c>
    </row>
    <row r="6198">
      <c r="A6198" t="n">
        <v>6011</v>
      </c>
      <c r="B6198" t="inlineStr">
        <is>
          <t>Stylish sea view villa with pool for sale in Costa d´en Blanes, Mallorca</t>
        </is>
      </c>
      <c r="C6198" t="inlineStr">
        <is>
          <t>https://www.balearic-properties.com/en/property/id/845154-sea-view-villa-pool-for-costa-den-blanes-mallorca-html</t>
        </is>
      </c>
      <c r="E6198" t="n">
        <v>4</v>
      </c>
      <c r="G6198" t="n">
        <v>1891</v>
      </c>
      <c r="H6198" t="n">
        <v>833</v>
      </c>
      <c r="J6198" t="inlineStr">
        <is>
          <t>Costa D´en Blanes</t>
        </is>
      </c>
      <c r="AH6198" t="inlineStr">
        <is>
          <t>Quelle: Balearic Properties</t>
        </is>
      </c>
    </row>
    <row r="6199">
      <c r="A6199" t="n">
        <v>6012</v>
      </c>
      <c r="B6199" t="inlineStr">
        <is>
          <t>Family estate for sale with sea views in the village of Estellencs, Mallorca</t>
        </is>
      </c>
      <c r="C6199" t="inlineStr">
        <is>
          <t>https://www.balearic-properties.com/en/property/id/845141-family-estate-sea-views-village-centre-estellencs-mallorca-html</t>
        </is>
      </c>
      <c r="E6199" t="n">
        <v>6</v>
      </c>
      <c r="G6199" t="n">
        <v>542</v>
      </c>
      <c r="H6199" t="n">
        <v>415</v>
      </c>
      <c r="J6199" t="inlineStr">
        <is>
          <t>Estellencs</t>
        </is>
      </c>
      <c r="K6199" t="n">
        <v>42.7</v>
      </c>
      <c r="L6199" t="n">
        <v>58</v>
      </c>
      <c r="M6199" t="n">
        <v>85.5</v>
      </c>
      <c r="N6199" t="n">
        <v>91</v>
      </c>
      <c r="O6199" t="n">
        <v>19.9</v>
      </c>
      <c r="P6199" t="n">
        <v>32</v>
      </c>
      <c r="Q6199" t="n">
        <v>83.2</v>
      </c>
      <c r="R6199" t="n">
        <v>87</v>
      </c>
      <c r="AH6199" t="inlineStr">
        <is>
          <t>Quelle: Balearic Properties</t>
        </is>
      </c>
    </row>
    <row r="6200">
      <c r="A6200" t="n">
        <v>6013</v>
      </c>
      <c r="B6200" t="inlineStr">
        <is>
          <t>Third floor luxury apartment for sale in Santa Ponsa, Mallorca</t>
        </is>
      </c>
      <c r="C6200" t="inlineStr">
        <is>
          <t>https://www.balearic-properties.com/en/property/id/850280-third-floor-luxury-apartment-for-sale-in-santa-ponsa-mallorca-html</t>
        </is>
      </c>
      <c r="E6200" t="n">
        <v>4</v>
      </c>
      <c r="G6200" t="n">
        <v>0</v>
      </c>
      <c r="H6200" t="n">
        <v>155</v>
      </c>
      <c r="J6200" t="inlineStr">
        <is>
          <t>Santa Ponsa</t>
        </is>
      </c>
      <c r="AH6200" t="inlineStr">
        <is>
          <t>Quelle: Balearic Properties</t>
        </is>
      </c>
    </row>
    <row r="6201">
      <c r="A6201" t="n">
        <v>6014</v>
      </c>
      <c r="B6201" t="inlineStr">
        <is>
          <t>First floor luxury apartment for sale in Santa Ponsa, Mallorca</t>
        </is>
      </c>
      <c r="C6201" t="inlineStr">
        <is>
          <t>https://www.balearic-properties.com/en/property/id/850275-new-luxury-development-santa-ponsa-mallorca-html</t>
        </is>
      </c>
      <c r="E6201" t="n">
        <v>4</v>
      </c>
      <c r="G6201" t="n">
        <v>0</v>
      </c>
      <c r="H6201" t="n">
        <v>173</v>
      </c>
      <c r="J6201" t="inlineStr">
        <is>
          <t>Santa Ponsa</t>
        </is>
      </c>
      <c r="AH6201" t="inlineStr">
        <is>
          <t>Quelle: Balearic Properties</t>
        </is>
      </c>
    </row>
    <row r="6202">
      <c r="A6202" t="n">
        <v>6015</v>
      </c>
      <c r="B6202" t="inlineStr">
        <is>
          <t>Outstanding sea view villa for sale in Cala Figuera, Mallorca</t>
        </is>
      </c>
      <c r="C6202" t="inlineStr">
        <is>
          <t>https://www.balearic-properties.com/en/property/id/850697-development-seaview-villas-cala-figuera-mallorca-html</t>
        </is>
      </c>
      <c r="E6202" t="n">
        <v>3</v>
      </c>
      <c r="G6202" t="n">
        <v>460</v>
      </c>
      <c r="H6202" t="n">
        <v>436</v>
      </c>
      <c r="J6202" t="inlineStr">
        <is>
          <t>Cala Figuera</t>
        </is>
      </c>
      <c r="AH6202" t="inlineStr">
        <is>
          <t>Quelle: Balearic Properties</t>
        </is>
      </c>
    </row>
    <row r="6203">
      <c r="A6203" t="n">
        <v>6016</v>
      </c>
      <c r="B6203" t="inlineStr">
        <is>
          <t>Luxurious sea view villa for sale in Cala Figuera, Mallorca</t>
        </is>
      </c>
      <c r="C6203" t="inlineStr">
        <is>
          <t>https://www.balearic-properties.com/en/property/id/824781-development-seaview-villas-cala-figuera-mallorca-html</t>
        </is>
      </c>
      <c r="E6203" t="n">
        <v>3</v>
      </c>
      <c r="G6203" t="n">
        <v>378</v>
      </c>
      <c r="H6203" t="n">
        <v>424</v>
      </c>
      <c r="J6203" t="inlineStr">
        <is>
          <t>Cala Figuera</t>
        </is>
      </c>
      <c r="AH6203" t="inlineStr">
        <is>
          <t>Quelle: Balearic Properties</t>
        </is>
      </c>
    </row>
    <row r="6204">
      <c r="A6204" t="n">
        <v>6017</v>
      </c>
      <c r="B6204" t="inlineStr">
        <is>
          <t>Beautiful town house for sale in the heart of Pollensa old town, Mallorca</t>
        </is>
      </c>
      <c r="C6204" t="inlineStr">
        <is>
          <t>https://www.balearic-properties.com/en/property/id/848216-historic-townhouse-courtyard-pollensa-mallorca-html</t>
        </is>
      </c>
      <c r="E6204" t="n">
        <v>8</v>
      </c>
      <c r="G6204" t="n">
        <v>270</v>
      </c>
      <c r="H6204" t="n">
        <v>482</v>
      </c>
      <c r="J6204" t="inlineStr">
        <is>
          <t>Pollença Pueblo</t>
        </is>
      </c>
      <c r="K6204" t="n">
        <v>60.6</v>
      </c>
      <c r="L6204" t="n">
        <v>47</v>
      </c>
      <c r="M6204" t="n">
        <v>78.7</v>
      </c>
      <c r="N6204" t="n">
        <v>74</v>
      </c>
      <c r="O6204" t="n">
        <v>83.2</v>
      </c>
      <c r="P6204" t="n">
        <v>63</v>
      </c>
      <c r="Q6204" t="n">
        <v>76.40000000000001</v>
      </c>
      <c r="R6204" t="n">
        <v>70</v>
      </c>
      <c r="S6204" t="n">
        <v>960000</v>
      </c>
      <c r="T6204" t="n">
        <v>1992</v>
      </c>
      <c r="U6204" t="n">
        <v>3556</v>
      </c>
      <c r="AH6204" t="inlineStr">
        <is>
          <t>Quelle: Balearic Properties</t>
        </is>
      </c>
    </row>
    <row r="6205">
      <c r="A6205" t="n">
        <v>6018</v>
      </c>
      <c r="B6205" t="inlineStr">
        <is>
          <t>Detached golf villa with private pool for sale in Santa Ponsa, Mallorca</t>
        </is>
      </c>
      <c r="C6205" t="inlineStr">
        <is>
          <t>https://www.balearic-properties.com/en/property/id/850529-detached-golf-villa-private-pool-santa-ponsa-mallorca-html</t>
        </is>
      </c>
      <c r="E6205" t="n">
        <v>3</v>
      </c>
      <c r="G6205" t="n">
        <v>655</v>
      </c>
      <c r="H6205" t="n">
        <v>207</v>
      </c>
      <c r="J6205" t="inlineStr">
        <is>
          <t>Santa Ponsa</t>
        </is>
      </c>
      <c r="AH6205" t="inlineStr">
        <is>
          <t>Quelle: Balearic Properties</t>
        </is>
      </c>
    </row>
    <row r="6206">
      <c r="A6206" t="n">
        <v>6019</v>
      </c>
      <c r="B6206" t="inlineStr">
        <is>
          <t>Modern country villa with panoramic views for sale in Llubí, Mallorca</t>
        </is>
      </c>
      <c r="C6206" t="inlineStr">
        <is>
          <t>https://www.balearic-properties.com/en/property/id/848233-modern-country-villa-panoramic-views-llubi-mallorca-html</t>
        </is>
      </c>
      <c r="E6206" t="n">
        <v>3</v>
      </c>
      <c r="G6206" t="n">
        <v>18500</v>
      </c>
      <c r="H6206" t="n">
        <v>205</v>
      </c>
      <c r="J6206" t="inlineStr">
        <is>
          <t>Llubí</t>
        </is>
      </c>
      <c r="AH6206" t="inlineStr">
        <is>
          <t>Quelle: Balearic Properties</t>
        </is>
      </c>
    </row>
    <row r="6207">
      <c r="A6207" t="n">
        <v>6020</v>
      </c>
      <c r="B6207" t="inlineStr">
        <is>
          <t>Penthouse with incredible views for sale in the centre of Pollensa, Mallorca</t>
        </is>
      </c>
      <c r="C6207" t="inlineStr">
        <is>
          <t>https://www.balearic-properties.com/en/property/id/847229-penthouse-panoramic-views-pollensa-old-town-mallorca-html</t>
        </is>
      </c>
      <c r="E6207" t="n">
        <v>4</v>
      </c>
      <c r="G6207" t="n">
        <v>0</v>
      </c>
      <c r="H6207" t="n">
        <v>144</v>
      </c>
      <c r="J6207" t="inlineStr">
        <is>
          <t>Pollença Pueblo</t>
        </is>
      </c>
      <c r="AH6207" t="inlineStr">
        <is>
          <t>Quelle: Balearic Properties</t>
        </is>
      </c>
    </row>
    <row r="6208">
      <c r="A6208" t="n">
        <v>6021</v>
      </c>
      <c r="B6208" t="inlineStr">
        <is>
          <t>Charming farmhouse with holiday rental license in Pollensa, Mallorca</t>
        </is>
      </c>
      <c r="C6208" t="inlineStr">
        <is>
          <t>https://www.balearic-properties.com/en/property/id/769204-mallorca-villa-pollensa-html</t>
        </is>
      </c>
      <c r="E6208" t="n">
        <v>3</v>
      </c>
      <c r="G6208" t="n">
        <v>1547</v>
      </c>
      <c r="H6208" t="n">
        <v>179</v>
      </c>
      <c r="J6208" t="inlineStr">
        <is>
          <t>Pollença</t>
        </is>
      </c>
      <c r="AH6208" t="inlineStr">
        <is>
          <t>Quelle: Balearic Properties</t>
        </is>
      </c>
    </row>
    <row r="6209">
      <c r="A6209" t="n">
        <v>6022</v>
      </c>
      <c r="B6209" t="inlineStr">
        <is>
          <t>Villa with guest apartment and adjoining plot for sale in Costa d´en Blanes, Mallorca</t>
        </is>
      </c>
      <c r="C6209" t="inlineStr">
        <is>
          <t>https://www.balearic-properties.com/en/property/id/847050-villa-guest-apartment-sea-views-costa-d-en-blanes-mallorca-html</t>
        </is>
      </c>
      <c r="E6209" t="n">
        <v>4</v>
      </c>
      <c r="G6209" t="n">
        <v>2680</v>
      </c>
      <c r="H6209" t="n">
        <v>333</v>
      </c>
      <c r="J6209" t="inlineStr">
        <is>
          <t>Costa D´en Blanes</t>
        </is>
      </c>
      <c r="AH6209" t="inlineStr">
        <is>
          <t>Quelle: Balearic Properties</t>
        </is>
      </c>
    </row>
    <row r="6210">
      <c r="A6210" t="n">
        <v>6023</v>
      </c>
      <c r="B6210" t="inlineStr">
        <is>
          <t>Modern mountain view villa with pool for sale close to Pollensa, Mallorca</t>
        </is>
      </c>
      <c r="C6210" t="inlineStr">
        <is>
          <t>https://www.balearic-properties.com/en/property/id/842619-detached-villa-pool-ecofriendly-pollensa-mallorca-html</t>
        </is>
      </c>
      <c r="E6210" t="n">
        <v>5</v>
      </c>
      <c r="G6210" t="n">
        <v>1000</v>
      </c>
      <c r="H6210" t="n">
        <v>240</v>
      </c>
      <c r="J6210" t="inlineStr">
        <is>
          <t>Pollença</t>
        </is>
      </c>
      <c r="K6210" t="n">
        <v>60.6</v>
      </c>
      <c r="L6210" t="n">
        <v>47</v>
      </c>
      <c r="M6210" t="n">
        <v>78.7</v>
      </c>
      <c r="N6210" t="n">
        <v>74</v>
      </c>
      <c r="O6210" t="n">
        <v>83.2</v>
      </c>
      <c r="P6210" t="n">
        <v>63</v>
      </c>
      <c r="Q6210" t="n">
        <v>76.40000000000001</v>
      </c>
      <c r="R6210" t="n">
        <v>70</v>
      </c>
      <c r="AH6210" t="inlineStr">
        <is>
          <t>Quelle: Balearic Properties</t>
        </is>
      </c>
    </row>
    <row r="6211">
      <c r="A6211" t="n">
        <v>6024</v>
      </c>
      <c r="B6211" t="inlineStr">
        <is>
          <t>Contemporary country house for sale near the beach in Puerto Pollensa, Mallorca</t>
        </is>
      </c>
      <c r="C6211" t="inlineStr">
        <is>
          <t>https://www.balearic-properties.com/en/property/id/834352-modern-country-house-beach-puerto-pollensa-mallorca-html</t>
        </is>
      </c>
      <c r="E6211" t="n">
        <v>3</v>
      </c>
      <c r="G6211" t="n">
        <v>62000</v>
      </c>
      <c r="H6211" t="n">
        <v>334</v>
      </c>
      <c r="J6211" t="inlineStr">
        <is>
          <t>Port de Pollença</t>
        </is>
      </c>
      <c r="AH6211" t="inlineStr">
        <is>
          <t>Quelle: Balearic Properties</t>
        </is>
      </c>
    </row>
    <row r="6212">
      <c r="A6212" t="n">
        <v>6025</v>
      </c>
      <c r="B6212" t="inlineStr">
        <is>
          <t>Beautiful apartment with private terrace for sale in Portals Nous, Mallorca</t>
        </is>
      </c>
      <c r="C6212" t="inlineStr">
        <is>
          <t>https://www.balearic-properties.com/en/property/id/830836-ground-floor-apartment-private-terrace-portals-nous-mallorca-html</t>
        </is>
      </c>
      <c r="E6212" t="n">
        <v>3</v>
      </c>
      <c r="G6212" t="n">
        <v>0</v>
      </c>
      <c r="H6212" t="n">
        <v>102</v>
      </c>
      <c r="J6212" t="inlineStr">
        <is>
          <t>Portals Nous</t>
        </is>
      </c>
      <c r="AH6212" t="inlineStr">
        <is>
          <t>Quelle: Balearic Properties</t>
        </is>
      </c>
    </row>
    <row r="6213">
      <c r="A6213" t="n">
        <v>6026</v>
      </c>
      <c r="B6213" t="inlineStr">
        <is>
          <t>Renovated villa for sale close to the beach in Puerto Alcudia, Mallorca</t>
        </is>
      </c>
      <c r="C6213" t="inlineStr">
        <is>
          <t>https://www.balearic-properties.com/en/property/id/834234-renovated-villa-garage-puerto-alcudia-mallorca-html</t>
        </is>
      </c>
      <c r="E6213" t="n">
        <v>3</v>
      </c>
      <c r="G6213" t="n">
        <v>350</v>
      </c>
      <c r="H6213" t="n">
        <v>147</v>
      </c>
      <c r="J6213" t="inlineStr">
        <is>
          <t>Puerto de Alcúdia</t>
        </is>
      </c>
      <c r="AH6213" t="inlineStr">
        <is>
          <t>Quelle: Balearic Properties</t>
        </is>
      </c>
    </row>
    <row r="6214">
      <c r="A6214" t="n">
        <v>6027</v>
      </c>
      <c r="B6214" t="inlineStr">
        <is>
          <t>Authentic chic apartment for sale in the historic heart of Palma, Mallorca</t>
        </is>
      </c>
      <c r="C6214" t="inlineStr">
        <is>
          <t>https://www.balearic-properties.com/en/property/id/709019-apartment-historic-city-centre-palma-mallorca-html</t>
        </is>
      </c>
      <c r="E6214" t="n">
        <v>4</v>
      </c>
      <c r="G6214" t="n">
        <v>0</v>
      </c>
      <c r="H6214" t="n">
        <v>150</v>
      </c>
      <c r="J6214" t="inlineStr">
        <is>
          <t>Palma Casco Antiguo</t>
        </is>
      </c>
      <c r="AH6214" t="inlineStr">
        <is>
          <t>Quelle: Balearic Properties</t>
        </is>
      </c>
    </row>
    <row r="6215">
      <c r="A6215" t="n">
        <v>6028</v>
      </c>
      <c r="B6215" t="inlineStr">
        <is>
          <t>Beautifully reformed town house for sale in the centre of Pollensa, Mallorca</t>
        </is>
      </c>
      <c r="C6215" t="inlineStr">
        <is>
          <t>https://www.balearic-properties.com/en/property/id/584964-townhouse-pool-pollensa-mallorca-html</t>
        </is>
      </c>
      <c r="E6215" t="n">
        <v>3</v>
      </c>
      <c r="G6215" t="n">
        <v>100</v>
      </c>
      <c r="H6215" t="n">
        <v>159</v>
      </c>
      <c r="J6215" t="inlineStr">
        <is>
          <t>Pollença</t>
        </is>
      </c>
      <c r="AH6215" t="inlineStr">
        <is>
          <t>Quelle: Balearic Properties</t>
        </is>
      </c>
    </row>
    <row r="6216">
      <c r="A6216" t="n">
        <v>6029</v>
      </c>
      <c r="B6216" t="inlineStr">
        <is>
          <t>Garden apartment with community pool for sale in Puerto Pollensa, Mallorca</t>
        </is>
      </c>
      <c r="C6216" t="inlineStr">
        <is>
          <t>https://www.balearic-properties.com/en/property/id/842792-garden-apartment-community-pool-puerto-pollensa-mallorca-html</t>
        </is>
      </c>
      <c r="E6216" t="n">
        <v>3</v>
      </c>
      <c r="G6216" t="n">
        <v>0</v>
      </c>
      <c r="H6216" t="n">
        <v>0</v>
      </c>
      <c r="J6216" t="inlineStr">
        <is>
          <t>Port de Pollença</t>
        </is>
      </c>
      <c r="AH6216" t="inlineStr">
        <is>
          <t>Quelle: Balearic Properties</t>
        </is>
      </c>
    </row>
    <row r="6217">
      <c r="A6217" t="n">
        <v>6030</v>
      </c>
      <c r="B6217" t="inlineStr">
        <is>
          <t>Traditional town house with lots of potential for sale in Pollensa, Mallorca</t>
        </is>
      </c>
      <c r="C6217" t="inlineStr">
        <is>
          <t>https://www.balearic-properties.com/en/property/id/842182-potential-townhouse-investment-pollensa-mallorca-html</t>
        </is>
      </c>
      <c r="E6217" t="n">
        <v>4</v>
      </c>
      <c r="G6217" t="n">
        <v>143</v>
      </c>
      <c r="H6217" t="n">
        <v>325</v>
      </c>
      <c r="J6217" t="inlineStr">
        <is>
          <t>Pollença</t>
        </is>
      </c>
      <c r="AH6217" t="inlineStr">
        <is>
          <t>Quelle: Balearic Properties</t>
        </is>
      </c>
    </row>
    <row r="6218">
      <c r="A6218" t="n">
        <v>6031</v>
      </c>
      <c r="B6218" t="inlineStr">
        <is>
          <t>Charming detached villa for sale in Pollensa, Mallorca</t>
        </is>
      </c>
      <c r="C6218" t="inlineStr">
        <is>
          <t>https://www.balearic-properties.com/en/property/id/842602-detached-villa-residential-area-subach-pollensa-html</t>
        </is>
      </c>
      <c r="E6218" t="n">
        <v>3</v>
      </c>
      <c r="G6218" t="n">
        <v>961</v>
      </c>
      <c r="H6218" t="n">
        <v>176</v>
      </c>
      <c r="J6218" t="inlineStr">
        <is>
          <t>Pollença</t>
        </is>
      </c>
      <c r="AH6218" t="inlineStr">
        <is>
          <t>Quelle: Balearic Properties</t>
        </is>
      </c>
    </row>
    <row r="6219">
      <c r="A6219" t="n">
        <v>6032</v>
      </c>
      <c r="B6219" t="inlineStr">
        <is>
          <t>Beautiful, renovated villa for sale close to the beach in Cala Vinyes, Mallorca</t>
        </is>
      </c>
      <c r="C6219" t="inlineStr">
        <is>
          <t>https://www.balearic-properties.com/en/property/id/842393-beautiful-renovated-villa-for-sale-close-to-the-beach-in-cala-vinyes-mallorca-html</t>
        </is>
      </c>
      <c r="E6219" t="n">
        <v>5</v>
      </c>
      <c r="G6219" t="n">
        <v>1536</v>
      </c>
      <c r="H6219" t="n">
        <v>396</v>
      </c>
      <c r="J6219" t="inlineStr">
        <is>
          <t>Cala Vinyes</t>
        </is>
      </c>
      <c r="K6219" t="n">
        <v>31.5</v>
      </c>
      <c r="L6219" t="n">
        <v>31</v>
      </c>
      <c r="M6219" t="n">
        <v>74.3</v>
      </c>
      <c r="N6219" t="n">
        <v>64</v>
      </c>
      <c r="O6219" t="n">
        <v>20.4</v>
      </c>
      <c r="P6219" t="n">
        <v>25</v>
      </c>
      <c r="Q6219" t="n">
        <v>72</v>
      </c>
      <c r="R6219" t="n">
        <v>60</v>
      </c>
      <c r="S6219" t="n">
        <v>1695000</v>
      </c>
      <c r="T6219" t="n">
        <v>4280</v>
      </c>
      <c r="U6219" t="n">
        <v>1104</v>
      </c>
      <c r="AH6219" t="inlineStr">
        <is>
          <t>Quelle: Balearic Properties</t>
        </is>
      </c>
    </row>
    <row r="6220">
      <c r="A6220" t="n">
        <v>6033</v>
      </c>
      <c r="B6220" t="inlineStr">
        <is>
          <t>Gorgeous frontline apartment for sale in Santa Ponsa, Mallorca</t>
        </is>
      </c>
      <c r="C6220" t="inlineStr">
        <is>
          <t>https://www.balearic-properties.com/en/property/id/834581-frontline-apartment-for-sale-in-santa-ponsa-mallorca-html</t>
        </is>
      </c>
      <c r="E6220" t="n">
        <v>1</v>
      </c>
      <c r="G6220" t="n">
        <v>0</v>
      </c>
      <c r="H6220" t="n">
        <v>55</v>
      </c>
      <c r="J6220" t="inlineStr">
        <is>
          <t>Santa Ponsa</t>
        </is>
      </c>
      <c r="AH6220" t="inlineStr">
        <is>
          <t>Quelle: Balearic Properties</t>
        </is>
      </c>
    </row>
    <row r="6221">
      <c r="A6221" t="n">
        <v>6034</v>
      </c>
      <c r="B6221" t="inlineStr">
        <is>
          <t>Sea view penthouse apartment for sale in Can Picafort, Mallorca</t>
        </is>
      </c>
      <c r="C6221" t="inlineStr">
        <is>
          <t>https://www.balearic-properties.com/en/property/id/822284-modern-penthouse-refurbished-building-sea-views-can-picafort-santa-margalida-mallorca-html</t>
        </is>
      </c>
      <c r="E6221" t="n">
        <v>3</v>
      </c>
      <c r="G6221" t="n">
        <v>0</v>
      </c>
      <c r="H6221" t="n">
        <v>100</v>
      </c>
      <c r="J6221" t="inlineStr">
        <is>
          <t>Can Picafort</t>
        </is>
      </c>
      <c r="AH6221" t="inlineStr">
        <is>
          <t>Quelle: Balearic Properties</t>
        </is>
      </c>
    </row>
    <row r="6222">
      <c r="A6222" t="n">
        <v>6035</v>
      </c>
      <c r="B6222" t="inlineStr">
        <is>
          <t>Impressive country estate with vineyard for sale in Santa Maria, Mallorca</t>
        </is>
      </c>
      <c r="C6222" t="inlineStr">
        <is>
          <t>https://www.balearic-properties.com/en/property/id/834498-impressive-country-estate-vineyard-santa-maria-mallorca-html</t>
        </is>
      </c>
      <c r="E6222" t="n">
        <v>7</v>
      </c>
      <c r="G6222" t="n">
        <v>31800</v>
      </c>
      <c r="H6222" t="n">
        <v>885</v>
      </c>
      <c r="J6222" t="inlineStr">
        <is>
          <t>Santa Maria del Camí</t>
        </is>
      </c>
      <c r="K6222" t="n">
        <v>23.5</v>
      </c>
      <c r="L6222" t="n">
        <v>21</v>
      </c>
      <c r="M6222" t="n">
        <v>66.3</v>
      </c>
      <c r="N6222" t="n">
        <v>54</v>
      </c>
      <c r="O6222" t="n">
        <v>46.1</v>
      </c>
      <c r="P6222" t="n">
        <v>37</v>
      </c>
      <c r="Q6222" t="n">
        <v>64</v>
      </c>
      <c r="R6222" t="n">
        <v>51</v>
      </c>
      <c r="S6222" t="n">
        <v>7950000</v>
      </c>
      <c r="T6222" t="n">
        <v>8983</v>
      </c>
      <c r="U6222" t="n">
        <v>250</v>
      </c>
      <c r="AH6222" t="inlineStr">
        <is>
          <t>Quelle: Balearic Properties</t>
        </is>
      </c>
    </row>
    <row r="6223">
      <c r="A6223" t="n">
        <v>6036</v>
      </c>
      <c r="B6223" t="inlineStr">
        <is>
          <t>Attractive villa with large garden and pool for sale close to Pollensa, Mallorca</t>
        </is>
      </c>
      <c r="C6223" t="inlineStr">
        <is>
          <t>https://www.balearic-properties.com/en/property/id/835547-attractive-villa-large-garden-pollensa-mallorca-html</t>
        </is>
      </c>
      <c r="E6223" t="n">
        <v>4</v>
      </c>
      <c r="G6223" t="n">
        <v>1932</v>
      </c>
      <c r="H6223" t="n">
        <v>258</v>
      </c>
      <c r="J6223" t="inlineStr">
        <is>
          <t>Pollença</t>
        </is>
      </c>
      <c r="S6223" t="n">
        <v>995000</v>
      </c>
      <c r="T6223" t="n">
        <v>3857</v>
      </c>
      <c r="U6223" t="n">
        <v>515</v>
      </c>
      <c r="AH6223" t="inlineStr">
        <is>
          <t>Quelle: Balearic Properties</t>
        </is>
      </c>
    </row>
    <row r="6224">
      <c r="A6224" t="n">
        <v>6037</v>
      </c>
      <c r="B6224" t="inlineStr">
        <is>
          <t>New development of luxury apartments for sale in Pollensa town, Mallorca</t>
        </is>
      </c>
      <c r="C6224" t="inlineStr">
        <is>
          <t>https://www.balearic-properties.com/en/property/id/812809-new-luxury-apartments-pollensa-html</t>
        </is>
      </c>
      <c r="E6224" t="n">
        <v>2</v>
      </c>
      <c r="G6224" t="n">
        <v>0</v>
      </c>
      <c r="H6224" t="n">
        <v>171</v>
      </c>
      <c r="J6224" t="inlineStr">
        <is>
          <t>Pollença</t>
        </is>
      </c>
      <c r="AH6224" t="inlineStr">
        <is>
          <t>Quelle: Balearic Properties</t>
        </is>
      </c>
    </row>
    <row r="6225">
      <c r="A6225" t="n">
        <v>6038</v>
      </c>
      <c r="B6225" t="inlineStr">
        <is>
          <t>Spacious villa with pool for sale in the coastal area of Bonaire, Mallorca</t>
        </is>
      </c>
      <c r="C6225" t="inlineStr">
        <is>
          <t>https://www.balearic-properties.com/en/property/id/818506-spacious-villa-with-pool-for-sale-in-the-coastal-area-of-bonaire-mallorca-html</t>
        </is>
      </c>
      <c r="E6225" t="n">
        <v>4</v>
      </c>
      <c r="G6225" t="n">
        <v>1082</v>
      </c>
      <c r="H6225" t="n">
        <v>319</v>
      </c>
      <c r="J6225" t="inlineStr">
        <is>
          <t>Bonaire</t>
        </is>
      </c>
      <c r="AH6225" t="inlineStr">
        <is>
          <t>Quelle: Balearic Properties</t>
        </is>
      </c>
    </row>
    <row r="6226">
      <c r="A6226" t="n">
        <v>6039</v>
      </c>
      <c r="B6226" t="inlineStr">
        <is>
          <t>Gorgeous country home with holiday rental license for sale in Buger, Mallorca</t>
        </is>
      </c>
      <c r="C6226" t="inlineStr">
        <is>
          <t>https://www.balearic-properties.com/en/property/id/834424-gorgeous-country-home-rental-license-buger-mallorca-html</t>
        </is>
      </c>
      <c r="E6226" t="n">
        <v>6</v>
      </c>
      <c r="G6226" t="n">
        <v>21400</v>
      </c>
      <c r="H6226" t="n">
        <v>561</v>
      </c>
      <c r="J6226" t="inlineStr">
        <is>
          <t>Búger</t>
        </is>
      </c>
      <c r="K6226" t="n">
        <v>46.1</v>
      </c>
      <c r="L6226" t="n">
        <v>35</v>
      </c>
      <c r="M6226" t="n">
        <v>64.2</v>
      </c>
      <c r="N6226" t="n">
        <v>62</v>
      </c>
      <c r="O6226" t="n">
        <v>68.7</v>
      </c>
      <c r="P6226" t="n">
        <v>51</v>
      </c>
      <c r="Q6226" t="n">
        <v>61.9</v>
      </c>
      <c r="R6226" t="n">
        <v>58</v>
      </c>
      <c r="AH6226" t="inlineStr">
        <is>
          <t>Quelle: Balearic Properties</t>
        </is>
      </c>
    </row>
    <row r="6227">
      <c r="A6227" t="n">
        <v>6040</v>
      </c>
      <c r="B6227" t="inlineStr">
        <is>
          <t>Excellent new penthouse with roof terrace for sale in Es Trenc, Mallorca</t>
        </is>
      </c>
      <c r="C6227" t="inlineStr">
        <is>
          <t>https://www.balearic-properties.com/en/property/id/834620-exclusive-penthouse-roof-terrace-es-trenc-mallorca-html</t>
        </is>
      </c>
      <c r="E6227" t="n">
        <v>3</v>
      </c>
      <c r="G6227" t="n">
        <v>0</v>
      </c>
      <c r="H6227" t="n">
        <v>115</v>
      </c>
      <c r="J6227" t="inlineStr">
        <is>
          <t>Es Trenc</t>
        </is>
      </c>
      <c r="S6227" t="n">
        <v>750000</v>
      </c>
      <c r="T6227" t="n">
        <v>6522</v>
      </c>
      <c r="AH6227" t="inlineStr">
        <is>
          <t>Quelle: Balearic Properties</t>
        </is>
      </c>
    </row>
    <row r="6228">
      <c r="A6228" t="n">
        <v>6041</v>
      </c>
      <c r="B6228" t="inlineStr">
        <is>
          <t>New and exclusive 1st floor luxury flat for sale in Pollensa, Mallorca</t>
        </is>
      </c>
      <c r="C6228" t="inlineStr">
        <is>
          <t>https://www.balearic-properties.com/en/property/id/815345-new-luxury-apartments-pollensa-html</t>
        </is>
      </c>
      <c r="E6228" t="n">
        <v>3</v>
      </c>
      <c r="G6228" t="n">
        <v>0</v>
      </c>
      <c r="H6228" t="n">
        <v>111</v>
      </c>
      <c r="J6228" t="inlineStr">
        <is>
          <t>Pollença</t>
        </is>
      </c>
      <c r="AH6228" t="inlineStr">
        <is>
          <t>Quelle: Balearic Properties</t>
        </is>
      </c>
    </row>
    <row r="6229">
      <c r="A6229" t="n">
        <v>6042</v>
      </c>
      <c r="B6229" t="inlineStr">
        <is>
          <t>Fantastic town house investment opportunity for sale in Pollensa, Mallorca</t>
        </is>
      </c>
      <c r="C6229" t="inlineStr">
        <is>
          <t>https://www.balearic-properties.com/en/property/id/834043-townhouse-investment-roof-terrace-pollensa-html</t>
        </is>
      </c>
      <c r="E6229" t="n">
        <v>4</v>
      </c>
      <c r="G6229" t="n">
        <v>203</v>
      </c>
      <c r="H6229" t="n">
        <v>297</v>
      </c>
      <c r="J6229" t="inlineStr">
        <is>
          <t>Pollença Pueblo</t>
        </is>
      </c>
      <c r="AH6229" t="inlineStr">
        <is>
          <t>Quelle: Balearic Properties</t>
        </is>
      </c>
    </row>
    <row r="6230">
      <c r="A6230" t="n">
        <v>6043</v>
      </c>
      <c r="B6230" t="inlineStr">
        <is>
          <t>Luxurious country home for sale near Pollensa Golf</t>
        </is>
      </c>
      <c r="C6230" t="inlineStr">
        <is>
          <t>https://www.balearic-properties.com/en/property/id/818443-luxurious-country-home-pollensa-mallorca-html</t>
        </is>
      </c>
      <c r="E6230" t="n">
        <v>4</v>
      </c>
      <c r="G6230" t="n">
        <v>14121</v>
      </c>
      <c r="H6230" t="n">
        <v>405</v>
      </c>
      <c r="J6230" t="inlineStr">
        <is>
          <t>Pollença</t>
        </is>
      </c>
      <c r="AH6230" t="inlineStr">
        <is>
          <t>Quelle: Balearic Properties</t>
        </is>
      </c>
    </row>
    <row r="6231">
      <c r="A6231" t="n">
        <v>6044</v>
      </c>
      <c r="B6231" t="inlineStr">
        <is>
          <t>Wonderful townhouse with privileged sea views, for sale in Sol de Mallorca</t>
        </is>
      </c>
      <c r="C6231" t="inlineStr">
        <is>
          <t>https://www.balearic-properties.com/en/property/id/830874-wonderful-townhouse-with-privileged-sea-views-for-sale-in-sol-de-mallorca-html</t>
        </is>
      </c>
      <c r="E6231" t="n">
        <v>3</v>
      </c>
      <c r="G6231" t="n">
        <v>0</v>
      </c>
      <c r="H6231" t="n">
        <v>117</v>
      </c>
      <c r="J6231" t="inlineStr">
        <is>
          <t>Sol de Mallorca</t>
        </is>
      </c>
      <c r="AH6231" t="inlineStr">
        <is>
          <t>Quelle: Balearic Properties</t>
        </is>
      </c>
    </row>
    <row r="6232">
      <c r="A6232" t="n">
        <v>6045</v>
      </c>
      <c r="B6232" t="inlineStr">
        <is>
          <t>Renovated village house with holiday rental license for sale in Pollensa, Mallorca</t>
        </is>
      </c>
      <c r="C6232" t="inlineStr">
        <is>
          <t>https://www.balearic-properties.com/en/property/id/566615-townhouse-pool-central-pollensa-mallorca-html</t>
        </is>
      </c>
      <c r="E6232" t="n">
        <v>4</v>
      </c>
      <c r="G6232" t="n">
        <v>102</v>
      </c>
      <c r="H6232" t="n">
        <v>146</v>
      </c>
      <c r="J6232" t="inlineStr">
        <is>
          <t>Pollença Pueblo</t>
        </is>
      </c>
      <c r="AH6232" t="inlineStr">
        <is>
          <t>Quelle: Balearic Properties</t>
        </is>
      </c>
    </row>
    <row r="6233">
      <c r="A6233" t="n">
        <v>6046</v>
      </c>
      <c r="B6233" t="inlineStr">
        <is>
          <t>Modern apartment with amazing sea views for sale in Cala Vinyes, Mallorca</t>
        </is>
      </c>
      <c r="C6233" t="inlineStr">
        <is>
          <t>https://www.balearic-properties.com/en/property/id/774751-apartment-cala-vinyes-html</t>
        </is>
      </c>
      <c r="E6233" t="n">
        <v>5</v>
      </c>
      <c r="G6233" t="n">
        <v>0</v>
      </c>
      <c r="H6233" t="n">
        <v>172</v>
      </c>
      <c r="J6233" t="inlineStr">
        <is>
          <t>Cala Vinyes</t>
        </is>
      </c>
      <c r="K6233" t="n">
        <v>31.5</v>
      </c>
      <c r="L6233" t="n">
        <v>31</v>
      </c>
      <c r="M6233" t="n">
        <v>74.3</v>
      </c>
      <c r="N6233" t="n">
        <v>64</v>
      </c>
      <c r="O6233" t="n">
        <v>20.4</v>
      </c>
      <c r="P6233" t="n">
        <v>25</v>
      </c>
      <c r="Q6233" t="n">
        <v>72</v>
      </c>
      <c r="R6233" t="n">
        <v>60</v>
      </c>
      <c r="AH6233" t="inlineStr">
        <is>
          <t>Quelle: Balearic Properties</t>
        </is>
      </c>
    </row>
    <row r="6234">
      <c r="A6234" t="n">
        <v>6047</v>
      </c>
      <c r="B6234" t="inlineStr">
        <is>
          <t>Lovely town house with holiday rental license for sale in Pollensa, Mallorca</t>
        </is>
      </c>
      <c r="C6234" t="inlineStr">
        <is>
          <t>https://www.balearic-properties.com/en/property/id/833046-lovely-townhouse-rental-license-pollensa-mallorca-html</t>
        </is>
      </c>
      <c r="E6234" t="n">
        <v>2</v>
      </c>
      <c r="G6234" t="n">
        <v>120</v>
      </c>
      <c r="H6234" t="n">
        <v>96</v>
      </c>
      <c r="J6234" t="inlineStr">
        <is>
          <t>Pollença Pueblo</t>
        </is>
      </c>
      <c r="AH6234" t="inlineStr">
        <is>
          <t>Quelle: Balearic Properties</t>
        </is>
      </c>
    </row>
    <row r="6235">
      <c r="A6235" t="n">
        <v>6048</v>
      </c>
      <c r="B6235" t="inlineStr">
        <is>
          <t>Modern and spacious penthouse for sale in in Puerto Alcudia, Mallorca</t>
        </is>
      </c>
      <c r="C6235" t="inlineStr">
        <is>
          <t>https://www.balearic-properties.com/en/property/id/757546-modern-penthouse-alcudia-html</t>
        </is>
      </c>
      <c r="E6235" t="n">
        <v>3</v>
      </c>
      <c r="G6235" t="n">
        <v>0</v>
      </c>
      <c r="H6235" t="n">
        <v>120</v>
      </c>
      <c r="J6235" t="inlineStr">
        <is>
          <t>Alcúdia</t>
        </is>
      </c>
      <c r="AH6235" t="inlineStr">
        <is>
          <t>Quelle: Balearic Properties</t>
        </is>
      </c>
    </row>
    <row r="6236">
      <c r="A6236" t="n">
        <v>6049</v>
      </c>
      <c r="B6236" t="inlineStr">
        <is>
          <t>Large town house with amazing views for sale in the centre of Pollensa, Mallorca</t>
        </is>
      </c>
      <c r="C6236" t="inlineStr">
        <is>
          <t>https://www.balearic-properties.com/en/property/id/830809-large-townhouse-calvario-pollenca-mallorca-html</t>
        </is>
      </c>
      <c r="E6236" t="n">
        <v>5</v>
      </c>
      <c r="G6236" t="n">
        <v>65</v>
      </c>
      <c r="H6236" t="n">
        <v>240</v>
      </c>
      <c r="J6236" t="inlineStr">
        <is>
          <t>Pollença</t>
        </is>
      </c>
      <c r="K6236" t="n">
        <v>60.6</v>
      </c>
      <c r="L6236" t="n">
        <v>47</v>
      </c>
      <c r="M6236" t="n">
        <v>78.7</v>
      </c>
      <c r="N6236" t="n">
        <v>74</v>
      </c>
      <c r="O6236" t="n">
        <v>83.2</v>
      </c>
      <c r="P6236" t="n">
        <v>63</v>
      </c>
      <c r="Q6236" t="n">
        <v>76.40000000000001</v>
      </c>
      <c r="R6236" t="n">
        <v>70</v>
      </c>
      <c r="AH6236" t="inlineStr">
        <is>
          <t>Quelle: Balearic Properties</t>
        </is>
      </c>
    </row>
    <row r="6237">
      <c r="A6237" t="n">
        <v>6050</v>
      </c>
      <c r="B6237" t="inlineStr">
        <is>
          <t>Impressive country house development for sale in Manacor, Mallorca</t>
        </is>
      </c>
      <c r="C6237" t="inlineStr">
        <is>
          <t>https://www.balearic-properties.com/en/property/id/832904-impressive-country-house-development-manacor-mallorca-html</t>
        </is>
      </c>
      <c r="E6237" t="n">
        <v>4</v>
      </c>
      <c r="G6237" t="n">
        <v>15000</v>
      </c>
      <c r="H6237" t="n">
        <v>320</v>
      </c>
      <c r="J6237" t="inlineStr">
        <is>
          <t>Manacor</t>
        </is>
      </c>
      <c r="AH6237" t="inlineStr">
        <is>
          <t>Quelle: Balearic Properties</t>
        </is>
      </c>
    </row>
    <row r="6238">
      <c r="A6238" t="n">
        <v>6051</v>
      </c>
      <c r="B6238" t="inlineStr">
        <is>
          <t>Villa with holiday license and pool for sale in Costa de'n Blanes, Mallorca</t>
        </is>
      </c>
      <c r="C6238" t="inlineStr">
        <is>
          <t>https://www.balearic-properties.com/en/property/id/685810-villa-costa-blanes-html</t>
        </is>
      </c>
      <c r="E6238" t="n">
        <v>5</v>
      </c>
      <c r="G6238" t="n">
        <v>1280</v>
      </c>
      <c r="H6238" t="n">
        <v>267</v>
      </c>
      <c r="J6238" t="inlineStr">
        <is>
          <t>Costa D´en Blanes</t>
        </is>
      </c>
      <c r="K6238" t="n">
        <v>23.3</v>
      </c>
      <c r="L6238" t="n">
        <v>21</v>
      </c>
      <c r="M6238" t="n">
        <v>66.09999999999999</v>
      </c>
      <c r="N6238" t="n">
        <v>54</v>
      </c>
      <c r="O6238" t="n">
        <v>21</v>
      </c>
      <c r="P6238" t="n">
        <v>21</v>
      </c>
      <c r="Q6238" t="n">
        <v>63.8</v>
      </c>
      <c r="R6238" t="n">
        <v>51</v>
      </c>
      <c r="AH6238" t="inlineStr">
        <is>
          <t>Quelle: Balearic Properties</t>
        </is>
      </c>
    </row>
    <row r="6239">
      <c r="A6239" t="n">
        <v>6052</v>
      </c>
      <c r="B6239" t="inlineStr">
        <is>
          <t>Rustic hillside finca, for sale in an idyllic area of Bunyola, Mallorca</t>
        </is>
      </c>
      <c r="C6239" t="inlineStr">
        <is>
          <t>https://www.balearic-properties.com/en/property/id/828797-idyllic-hillside-finca-for-sale-in-a-peaceful-area-of-santa-maria-mallorca-html</t>
        </is>
      </c>
      <c r="E6239" t="n">
        <v>3</v>
      </c>
      <c r="G6239" t="n">
        <v>68896</v>
      </c>
      <c r="H6239" t="n">
        <v>306</v>
      </c>
      <c r="J6239" t="inlineStr">
        <is>
          <t>Bunyola</t>
        </is>
      </c>
      <c r="S6239" t="n">
        <v>950000</v>
      </c>
      <c r="T6239" t="n">
        <v>3105</v>
      </c>
      <c r="U6239" t="n">
        <v>14</v>
      </c>
      <c r="AH6239" t="inlineStr">
        <is>
          <t>Quelle: Balearic Properties</t>
        </is>
      </c>
    </row>
    <row r="6240">
      <c r="A6240" t="n">
        <v>6053</v>
      </c>
      <c r="B6240" t="inlineStr">
        <is>
          <t>State-of-the-art, sea view apartment for sale in Portals Nous, Mallorca</t>
        </is>
      </c>
      <c r="C6240" t="inlineStr">
        <is>
          <t>https://www.balearic-properties.com/en/property/id/832464-sea-view-apartment-portals-nous-mallorca-html</t>
        </is>
      </c>
      <c r="E6240" t="n">
        <v>2</v>
      </c>
      <c r="G6240" t="n">
        <v>0</v>
      </c>
      <c r="H6240" t="n">
        <v>0</v>
      </c>
      <c r="J6240" t="inlineStr">
        <is>
          <t>Portals Nous</t>
        </is>
      </c>
      <c r="AH6240" t="inlineStr">
        <is>
          <t>Quelle: Balearic Properties</t>
        </is>
      </c>
    </row>
    <row r="6241">
      <c r="A6241" t="n">
        <v>6054</v>
      </c>
      <c r="B6241" t="inlineStr">
        <is>
          <t>Apartments for sale near the beach in Puerto Pollensa, Mallorca</t>
        </is>
      </c>
      <c r="C6241" t="inlineStr">
        <is>
          <t>https://www.balearic-properties.com/en/property/id/760259-port-pollensa-apartment-html</t>
        </is>
      </c>
      <c r="E6241" t="n">
        <v>3</v>
      </c>
      <c r="G6241" t="n">
        <v>0</v>
      </c>
      <c r="H6241" t="n">
        <v>130</v>
      </c>
      <c r="J6241" t="inlineStr">
        <is>
          <t>Llenaire</t>
        </is>
      </c>
      <c r="AH6241" t="inlineStr">
        <is>
          <t>Quelle: Balearic Properties</t>
        </is>
      </c>
    </row>
    <row r="6242">
      <c r="A6242" t="n">
        <v>6055</v>
      </c>
      <c r="B6242" t="inlineStr">
        <is>
          <t>Fantastic seaview villa for sale in Bonaire, near Alcudia, Mallorca</t>
        </is>
      </c>
      <c r="C6242" t="inlineStr">
        <is>
          <t>https://www.balearic-properties.com/en/property/id/829270-fantastic-villa-sea-views-bonaire-alcudia-mallorca-html</t>
        </is>
      </c>
      <c r="E6242" t="n">
        <v>3</v>
      </c>
      <c r="G6242" t="n">
        <v>700</v>
      </c>
      <c r="H6242" t="n">
        <v>285</v>
      </c>
      <c r="J6242" t="inlineStr">
        <is>
          <t>Bonaire</t>
        </is>
      </c>
      <c r="K6242" t="n">
        <v>64.40000000000001</v>
      </c>
      <c r="L6242" t="n">
        <v>54</v>
      </c>
      <c r="M6242" t="n">
        <v>82.5</v>
      </c>
      <c r="N6242" t="n">
        <v>80</v>
      </c>
      <c r="O6242" t="n">
        <v>87</v>
      </c>
      <c r="P6242" t="n">
        <v>70</v>
      </c>
      <c r="Q6242" t="n">
        <v>80.2</v>
      </c>
      <c r="R6242" t="n">
        <v>77</v>
      </c>
      <c r="S6242" t="n">
        <v>2290000</v>
      </c>
      <c r="T6242" t="n">
        <v>8035</v>
      </c>
      <c r="U6242" t="n">
        <v>3271</v>
      </c>
      <c r="AH6242" t="inlineStr">
        <is>
          <t>Quelle: Balearic Properties</t>
        </is>
      </c>
    </row>
    <row r="6243">
      <c r="A6243" t="n">
        <v>6056</v>
      </c>
      <c r="B6243" t="inlineStr">
        <is>
          <t>Delightful villa with holiday rental license for sale in Pollensa, Mallorca</t>
        </is>
      </c>
      <c r="C6243" t="inlineStr">
        <is>
          <t>https://www.balearic-properties.com/en/property/id/824859-delightful-villa-rental-license-pollensa-mallorca-html</t>
        </is>
      </c>
      <c r="E6243" t="n">
        <v>3</v>
      </c>
      <c r="G6243" t="n">
        <v>2138</v>
      </c>
      <c r="H6243" t="n">
        <v>220</v>
      </c>
      <c r="J6243" t="inlineStr">
        <is>
          <t>Pollença</t>
        </is>
      </c>
      <c r="AH6243" t="inlineStr">
        <is>
          <t>Quelle: Balearic Properties</t>
        </is>
      </c>
    </row>
    <row r="6244">
      <c r="A6244" t="n">
        <v>6057</v>
      </c>
      <c r="B6244" t="inlineStr">
        <is>
          <t>Outstanding villa with holiday rental license for sale in Puerto Pollensa, Mallorca</t>
        </is>
      </c>
      <c r="C6244" t="inlineStr">
        <is>
          <t>https://www.balearic-properties.com/en/property/id/830722-villa-pool-rental-license-puerto-pollensa-html</t>
        </is>
      </c>
      <c r="E6244" t="n">
        <v>4</v>
      </c>
      <c r="G6244" t="n">
        <v>1150</v>
      </c>
      <c r="H6244" t="n">
        <v>449</v>
      </c>
      <c r="J6244" t="inlineStr">
        <is>
          <t>Port de Pollença</t>
        </is>
      </c>
      <c r="AH6244" t="inlineStr">
        <is>
          <t>Quelle: Balearic Properties</t>
        </is>
      </c>
    </row>
    <row r="6245">
      <c r="A6245" t="n">
        <v>6058</v>
      </c>
      <c r="B6245" t="inlineStr">
        <is>
          <t>Renovated town house with garden for sale in the centre of Sa Pobla, Mallorca</t>
        </is>
      </c>
      <c r="C6245" t="inlineStr">
        <is>
          <t>https://www.balearic-properties.com/en/property/id/826747-refurbished-townhouse-garden-splashpool-sa-pobla-html</t>
        </is>
      </c>
      <c r="E6245" t="n">
        <v>3</v>
      </c>
      <c r="G6245" t="n">
        <v>180</v>
      </c>
      <c r="H6245" t="n">
        <v>230</v>
      </c>
      <c r="J6245" t="inlineStr">
        <is>
          <t>Sa Pobla</t>
        </is>
      </c>
      <c r="AH6245" t="inlineStr">
        <is>
          <t>Quelle: Balearic Properties</t>
        </is>
      </c>
    </row>
    <row r="6246">
      <c r="A6246" t="n">
        <v>6059</v>
      </c>
      <c r="B6246" t="inlineStr">
        <is>
          <t>Impressive villa with views of the Serra de Tramuntana for sale in Lluc, Mallorca</t>
        </is>
      </c>
      <c r="C6246" t="inlineStr">
        <is>
          <t>https://www.balearic-properties.com/en/property/id/829619-escorca-villa-mountain-views-escorca-lluc-html</t>
        </is>
      </c>
      <c r="E6246" t="n">
        <v>5</v>
      </c>
      <c r="G6246" t="n">
        <v>2430</v>
      </c>
      <c r="H6246" t="n">
        <v>377</v>
      </c>
      <c r="J6246" t="inlineStr">
        <is>
          <t>Escorca</t>
        </is>
      </c>
      <c r="K6246" t="n">
        <v>57.6</v>
      </c>
      <c r="L6246" t="n">
        <v>61</v>
      </c>
      <c r="M6246" t="n">
        <v>75.7</v>
      </c>
      <c r="N6246" t="n">
        <v>87</v>
      </c>
      <c r="O6246" t="n">
        <v>80.2</v>
      </c>
      <c r="P6246" t="n">
        <v>77</v>
      </c>
      <c r="Q6246" t="n">
        <v>73.40000000000001</v>
      </c>
      <c r="R6246" t="n">
        <v>83</v>
      </c>
      <c r="S6246" t="n">
        <v>840000</v>
      </c>
      <c r="T6246" t="n">
        <v>2228</v>
      </c>
      <c r="U6246" t="n">
        <v>346</v>
      </c>
      <c r="AH6246" t="inlineStr">
        <is>
          <t>Quelle: Balearic Properties</t>
        </is>
      </c>
    </row>
    <row r="6247">
      <c r="A6247" t="n">
        <v>6060</v>
      </c>
      <c r="B6247" t="inlineStr">
        <is>
          <t>Luxury villa with pool and sea views for sale in Camp de Mar, Mallorca</t>
        </is>
      </c>
      <c r="C6247" t="inlineStr">
        <is>
          <t>https://www.balearic-properties.com/en/property/id/785385-villa-seaview-andratx-html</t>
        </is>
      </c>
      <c r="E6247" t="n">
        <v>5</v>
      </c>
      <c r="G6247" t="n">
        <v>1397</v>
      </c>
      <c r="H6247" t="n">
        <v>655</v>
      </c>
      <c r="J6247" t="inlineStr">
        <is>
          <t>Camp de Mar</t>
        </is>
      </c>
      <c r="K6247" t="n">
        <v>38.7</v>
      </c>
      <c r="L6247" t="n">
        <v>32</v>
      </c>
      <c r="M6247" t="n">
        <v>81.40000000000001</v>
      </c>
      <c r="N6247" t="n">
        <v>65</v>
      </c>
      <c r="O6247" t="n">
        <v>6.7</v>
      </c>
      <c r="P6247" t="n">
        <v>10</v>
      </c>
      <c r="Q6247" t="n">
        <v>79.09999999999999</v>
      </c>
      <c r="R6247" t="n">
        <v>62</v>
      </c>
      <c r="AH6247" t="inlineStr">
        <is>
          <t>Quelle: Balearic Properties</t>
        </is>
      </c>
    </row>
    <row r="6248">
      <c r="A6248" t="n">
        <v>6061</v>
      </c>
      <c r="B6248" t="inlineStr">
        <is>
          <t>Sea view villa with holiday rental license for sale in Bonaire, Mallorca</t>
        </is>
      </c>
      <c r="C6248" t="inlineStr">
        <is>
          <t>https://www.balearic-properties.com/en/property/id/830997-seaview-villa-rental-license-bonaire-mallorca-html</t>
        </is>
      </c>
      <c r="E6248" t="n">
        <v>4</v>
      </c>
      <c r="G6248" t="n">
        <v>1100</v>
      </c>
      <c r="H6248" t="n">
        <v>428</v>
      </c>
      <c r="J6248" t="inlineStr">
        <is>
          <t>Bonaire</t>
        </is>
      </c>
      <c r="AH6248" t="inlineStr">
        <is>
          <t>Quelle: Balearic Properties</t>
        </is>
      </c>
    </row>
    <row r="6249">
      <c r="A6249" t="n">
        <v>6062</v>
      </c>
      <c r="B6249" t="inlineStr">
        <is>
          <t>Lovely apartment with community pool for sale in Puerto Pollensa, Mallorca</t>
        </is>
      </c>
      <c r="C6249" t="inlineStr">
        <is>
          <t>https://www.balearic-properties.com/en/property/id/830325-apartment-community-pool-puerto-pollensa-mallorca-html</t>
        </is>
      </c>
      <c r="E6249" t="n">
        <v>2</v>
      </c>
      <c r="G6249" t="n">
        <v>0</v>
      </c>
      <c r="H6249" t="n">
        <v>75</v>
      </c>
      <c r="J6249" t="inlineStr">
        <is>
          <t>Port de Pollença</t>
        </is>
      </c>
      <c r="AH6249" t="inlineStr">
        <is>
          <t>Quelle: Balearic Properties</t>
        </is>
      </c>
    </row>
    <row r="6250">
      <c r="A6250" t="n">
        <v>6063</v>
      </c>
      <c r="B6250" t="inlineStr">
        <is>
          <t>Modern villa with sea views and rental license for sale in Pollensa, Mallorca</t>
        </is>
      </c>
      <c r="C6250" t="inlineStr">
        <is>
          <t>https://www.balearic-properties.com/en/property/id/557425-mallorca-luxuryvilla-pollensa-html</t>
        </is>
      </c>
      <c r="E6250" t="n">
        <v>4</v>
      </c>
      <c r="G6250" t="n">
        <v>1000</v>
      </c>
      <c r="H6250" t="n">
        <v>300</v>
      </c>
      <c r="J6250" t="inlineStr">
        <is>
          <t>Pollença</t>
        </is>
      </c>
      <c r="AH6250" t="inlineStr">
        <is>
          <t>Quelle: Balearic Properties</t>
        </is>
      </c>
    </row>
    <row r="6251">
      <c r="A6251" t="n">
        <v>6064</v>
      </c>
      <c r="B6251" t="inlineStr">
        <is>
          <t>Delightful villa with awesome sea view for sale in Cala San Vicente, Mallorca</t>
        </is>
      </c>
      <c r="C6251" t="inlineStr">
        <is>
          <t>https://www.balearic-properties.com/en/property/id/587020-villa-seaviews-cala-san-vicente-html</t>
        </is>
      </c>
      <c r="E6251" t="n">
        <v>4</v>
      </c>
      <c r="G6251" t="n">
        <v>1037</v>
      </c>
      <c r="H6251" t="n">
        <v>154</v>
      </c>
      <c r="J6251" t="inlineStr">
        <is>
          <t>Pollença</t>
        </is>
      </c>
      <c r="AH6251" t="inlineStr">
        <is>
          <t>Quelle: Balearic Properties</t>
        </is>
      </c>
    </row>
    <row r="6252">
      <c r="A6252" t="n">
        <v>6065</v>
      </c>
      <c r="B6252" t="inlineStr">
        <is>
          <t>Spectacular sea view penthouse with pool, for sale in Palma, Mallorca</t>
        </is>
      </c>
      <c r="C6252" t="inlineStr">
        <is>
          <t>https://www.balearic-properties.com/en/property/id/823160-spectacular-sea-view-penthouse-with-pool-for-sale-in-palma-mallorca-html</t>
        </is>
      </c>
      <c r="E6252" t="n">
        <v>2</v>
      </c>
      <c r="G6252" t="n">
        <v>0</v>
      </c>
      <c r="H6252" t="n">
        <v>136</v>
      </c>
      <c r="J6252" t="inlineStr">
        <is>
          <t>La Bonanova</t>
        </is>
      </c>
      <c r="AH6252" t="inlineStr">
        <is>
          <t>Quelle: Balearic Properties</t>
        </is>
      </c>
    </row>
    <row r="6253">
      <c r="A6253" t="n">
        <v>6066</v>
      </c>
      <c r="B6253" t="inlineStr">
        <is>
          <t>Seaview apartment for sale on the frontline in Puerto Pollensa, Mallorca</t>
        </is>
      </c>
      <c r="C6253" t="inlineStr">
        <is>
          <t>https://www.balearic-properties.com/en/property/id/830294-sea-view-apartment-puerto-pollensa-html</t>
        </is>
      </c>
      <c r="E6253" t="n">
        <v>3</v>
      </c>
      <c r="G6253" t="n">
        <v>0</v>
      </c>
      <c r="H6253" t="n">
        <v>145</v>
      </c>
      <c r="J6253" t="inlineStr">
        <is>
          <t>Port de Pollença</t>
        </is>
      </c>
      <c r="AH6253" t="inlineStr">
        <is>
          <t>Quelle: Balearic Properties</t>
        </is>
      </c>
    </row>
    <row r="6254">
      <c r="A6254" t="n">
        <v>6067</v>
      </c>
      <c r="B6254" t="inlineStr">
        <is>
          <t>Impressive Mediterranean villa with sea views for sale in Bendinat, Mallorca</t>
        </is>
      </c>
      <c r="C6254" t="inlineStr">
        <is>
          <t>https://www.balearic-properties.com/en/property/id/827357-charming-villa-with-sea-views-in-bendinat-mallorca-html</t>
        </is>
      </c>
      <c r="E6254" t="n">
        <v>5</v>
      </c>
      <c r="G6254" t="n">
        <v>1006</v>
      </c>
      <c r="H6254" t="n">
        <v>432</v>
      </c>
      <c r="J6254" t="inlineStr">
        <is>
          <t>Bendinat</t>
        </is>
      </c>
      <c r="K6254" t="n">
        <v>23.1</v>
      </c>
      <c r="L6254" t="n">
        <v>22</v>
      </c>
      <c r="M6254" t="n">
        <v>65.8</v>
      </c>
      <c r="N6254" t="n">
        <v>55</v>
      </c>
      <c r="O6254" t="n">
        <v>23.2</v>
      </c>
      <c r="P6254" t="n">
        <v>23</v>
      </c>
      <c r="Q6254" t="n">
        <v>63.5</v>
      </c>
      <c r="R6254" t="n">
        <v>51</v>
      </c>
      <c r="S6254" t="n">
        <v>6300000</v>
      </c>
      <c r="T6254" t="n">
        <v>14583</v>
      </c>
      <c r="U6254" t="n">
        <v>6262</v>
      </c>
      <c r="AH6254" t="inlineStr">
        <is>
          <t>Quelle: Balearic Properties</t>
        </is>
      </c>
    </row>
    <row r="6255">
      <c r="A6255" t="n">
        <v>6068</v>
      </c>
      <c r="B6255" t="inlineStr">
        <is>
          <t>Mediterranean finca with holiday rental license for sale in Felanitx, Mallorca</t>
        </is>
      </c>
      <c r="C6255" t="inlineStr">
        <is>
          <t>https://www.balearic-properties.com/en/property/id/823240-mediterranean-finca-rental-license-felanitx-mallorca-html</t>
        </is>
      </c>
      <c r="E6255" t="n">
        <v>6</v>
      </c>
      <c r="G6255" t="n">
        <v>22000</v>
      </c>
      <c r="H6255" t="n">
        <v>631</v>
      </c>
      <c r="J6255" t="inlineStr">
        <is>
          <t>Felanitx</t>
        </is>
      </c>
      <c r="K6255" t="n">
        <v>45</v>
      </c>
      <c r="L6255" t="n">
        <v>40</v>
      </c>
      <c r="M6255" t="n">
        <v>26.8</v>
      </c>
      <c r="N6255" t="n">
        <v>30</v>
      </c>
      <c r="O6255" t="n">
        <v>83.2</v>
      </c>
      <c r="P6255" t="n">
        <v>68</v>
      </c>
      <c r="Q6255" t="n">
        <v>24.5</v>
      </c>
      <c r="R6255" t="n">
        <v>26</v>
      </c>
      <c r="AH6255" t="inlineStr">
        <is>
          <t>Quelle: Balearic Properties</t>
        </is>
      </c>
    </row>
    <row r="6256">
      <c r="A6256" t="n">
        <v>6069</v>
      </c>
      <c r="B6256" t="inlineStr">
        <is>
          <t>Apartment with incredible sea views for sale in Cala San Vicente, Mallorca</t>
        </is>
      </c>
      <c r="C6256" t="inlineStr">
        <is>
          <t>https://www.balearic-properties.com/en/property/id/830161-apartment-incredible-seaviews-cala-san-vicente-mallorca-html</t>
        </is>
      </c>
      <c r="E6256" t="n">
        <v>2</v>
      </c>
      <c r="G6256" t="n">
        <v>0</v>
      </c>
      <c r="H6256" t="n">
        <v>124</v>
      </c>
      <c r="J6256" t="inlineStr">
        <is>
          <t>Cala Sant Vicenç</t>
        </is>
      </c>
      <c r="AH6256" t="inlineStr">
        <is>
          <t>Quelle: Balearic Properties</t>
        </is>
      </c>
    </row>
    <row r="6257">
      <c r="A6257" t="n">
        <v>6070</v>
      </c>
      <c r="B6257" t="inlineStr">
        <is>
          <t>Frontline apartment for sale with views of the marina in Palma, Mallorca</t>
        </is>
      </c>
      <c r="C6257" t="inlineStr">
        <is>
          <t>https://www.balearic-properties.com/en/property/id/829640-frontline-port-apartment-palma-mallorca-html</t>
        </is>
      </c>
      <c r="E6257" t="n">
        <v>2</v>
      </c>
      <c r="G6257" t="n">
        <v>0</v>
      </c>
      <c r="H6257" t="n">
        <v>88</v>
      </c>
      <c r="J6257" t="inlineStr">
        <is>
          <t>Palma de Mallorca</t>
        </is>
      </c>
      <c r="AH6257" t="inlineStr">
        <is>
          <t>Quelle: Balearic Properties</t>
        </is>
      </c>
    </row>
    <row r="6258">
      <c r="A6258" t="n">
        <v>6071</v>
      </c>
      <c r="B6258" t="inlineStr">
        <is>
          <t>Attractive townhouse in a quiet residential area in Puerto Pollensa, Mallorca</t>
        </is>
      </c>
      <c r="C6258" t="inlineStr">
        <is>
          <t>https://www.balearic-properties.com/en/property/id/792991-townhouse-puerto-pollensa-html</t>
        </is>
      </c>
      <c r="E6258" t="n">
        <v>3</v>
      </c>
      <c r="G6258" t="n">
        <v>108</v>
      </c>
      <c r="H6258" t="n">
        <v>100</v>
      </c>
      <c r="J6258" t="inlineStr">
        <is>
          <t>Port de Pollença</t>
        </is>
      </c>
      <c r="AH6258" t="inlineStr">
        <is>
          <t>Quelle: Balearic Properties</t>
        </is>
      </c>
    </row>
    <row r="6259">
      <c r="A6259" t="n">
        <v>6072</v>
      </c>
      <c r="B6259" t="inlineStr">
        <is>
          <t>Pine Walk apartment with holiday license for sale in Puerto Pollensa, Mallorca</t>
        </is>
      </c>
      <c r="C6259" t="inlineStr">
        <is>
          <t>https://www.balearic-properties.com/en/property/id/826838-pine-walk-apartment-license-frontline-puerto-pollensa-mallorca-html</t>
        </is>
      </c>
      <c r="E6259" t="n">
        <v>3</v>
      </c>
      <c r="G6259" t="n">
        <v>0</v>
      </c>
      <c r="H6259" t="n">
        <v>121</v>
      </c>
      <c r="J6259" t="inlineStr">
        <is>
          <t>Port de Pollença</t>
        </is>
      </c>
      <c r="AH6259" t="inlineStr">
        <is>
          <t>Quelle: Balearic Properties</t>
        </is>
      </c>
    </row>
    <row r="6260">
      <c r="A6260" t="n">
        <v>6073</v>
      </c>
      <c r="B6260" t="inlineStr">
        <is>
          <t>Apartment for sale with mountain views in the centre of Pollensa, Mallorca</t>
        </is>
      </c>
      <c r="C6260" t="inlineStr">
        <is>
          <t>https://www.balearic-properties.com/en/property/id/822056-apartment-mountain-views-centre-pollensa-mallorca-html</t>
        </is>
      </c>
      <c r="E6260" t="n">
        <v>3</v>
      </c>
      <c r="G6260" t="n">
        <v>0</v>
      </c>
      <c r="H6260" t="n">
        <v>120</v>
      </c>
      <c r="J6260" t="inlineStr">
        <is>
          <t>Pollença Pueblo</t>
        </is>
      </c>
      <c r="AH6260" t="inlineStr">
        <is>
          <t>Quelle: Balearic Properties</t>
        </is>
      </c>
    </row>
    <row r="6261">
      <c r="A6261" t="n">
        <v>6074</v>
      </c>
      <c r="B6261" t="inlineStr">
        <is>
          <t>Impressive penthouse with stunning seas views for sale in Palma, Mallorca</t>
        </is>
      </c>
      <c r="C6261" t="inlineStr">
        <is>
          <t>https://www.balearic-properties.com/en/property/id/829161-impressive-penthouse-seas-views-palma-mallorca-html</t>
        </is>
      </c>
      <c r="E6261" t="n">
        <v>4</v>
      </c>
      <c r="G6261" t="n">
        <v>0</v>
      </c>
      <c r="H6261" t="n">
        <v>165</v>
      </c>
      <c r="J6261" t="inlineStr">
        <is>
          <t>Palma de Mallorca</t>
        </is>
      </c>
      <c r="K6261" t="n">
        <v>9.699999999999999</v>
      </c>
      <c r="L6261" t="n">
        <v>14</v>
      </c>
      <c r="M6261" t="n">
        <v>52.5</v>
      </c>
      <c r="N6261" t="n">
        <v>47</v>
      </c>
      <c r="O6261" t="n">
        <v>32.1</v>
      </c>
      <c r="P6261" t="n">
        <v>36</v>
      </c>
      <c r="Q6261" t="n">
        <v>50.2</v>
      </c>
      <c r="R6261" t="n">
        <v>44</v>
      </c>
      <c r="S6261" t="n">
        <v>1350000</v>
      </c>
      <c r="T6261" t="n">
        <v>8182</v>
      </c>
      <c r="AH6261" t="inlineStr">
        <is>
          <t>Quelle: Balearic Properties</t>
        </is>
      </c>
    </row>
    <row r="6262">
      <c r="A6262" t="n">
        <v>6075</v>
      </c>
      <c r="B6262" t="inlineStr">
        <is>
          <t>Frontline apartment with direct sea access for sale in Illetas, Mallorca</t>
        </is>
      </c>
      <c r="C6262" t="inlineStr">
        <is>
          <t>https://www.balearic-properties.com/en/property/id/828736-frontline-apartment-in-illetas-with-direct-sea-access</t>
        </is>
      </c>
      <c r="E6262" t="n">
        <v>4</v>
      </c>
      <c r="G6262" t="n">
        <v>0</v>
      </c>
      <c r="H6262" t="n">
        <v>220</v>
      </c>
      <c r="J6262" t="inlineStr">
        <is>
          <t>Illetes</t>
        </is>
      </c>
      <c r="AH6262" t="inlineStr">
        <is>
          <t>Quelle: Balearic Properties</t>
        </is>
      </c>
    </row>
    <row r="6263">
      <c r="A6263" t="n">
        <v>6076</v>
      </c>
      <c r="B6263" t="inlineStr">
        <is>
          <t>Traditional village house with courtyard garden for sale in Pollensa, Mallorca</t>
        </is>
      </c>
      <c r="C6263" t="inlineStr">
        <is>
          <t>https://www.balearic-properties.com/en/property/id/789897-town-house-pollensa-html</t>
        </is>
      </c>
      <c r="E6263" t="n">
        <v>4</v>
      </c>
      <c r="G6263" t="n">
        <v>173</v>
      </c>
      <c r="H6263" t="n">
        <v>160</v>
      </c>
      <c r="J6263" t="inlineStr">
        <is>
          <t>Pollença Pueblo</t>
        </is>
      </c>
      <c r="AH6263" t="inlineStr">
        <is>
          <t>Quelle: Balearic Properties</t>
        </is>
      </c>
    </row>
    <row r="6264">
      <c r="A6264" t="n">
        <v>6077</v>
      </c>
      <c r="B6264" t="inlineStr">
        <is>
          <t>Luxurious, state-of-the-art villa with infinity pool, for sale in Santa Ponsa, Mallorca</t>
        </is>
      </c>
      <c r="C6264" t="inlineStr">
        <is>
          <t>https://www.balearic-properties.com/en/property/id/808193-luxurious-villa-modern-mallorca-html</t>
        </is>
      </c>
      <c r="E6264" t="n">
        <v>5</v>
      </c>
      <c r="G6264" t="n">
        <v>1855</v>
      </c>
      <c r="H6264" t="n">
        <v>773</v>
      </c>
      <c r="J6264" t="inlineStr">
        <is>
          <t>Santa Ponsa</t>
        </is>
      </c>
      <c r="K6264" t="n">
        <v>31.1</v>
      </c>
      <c r="L6264" t="n">
        <v>28</v>
      </c>
      <c r="M6264" t="n">
        <v>73.90000000000001</v>
      </c>
      <c r="N6264" t="n">
        <v>61</v>
      </c>
      <c r="O6264" t="n">
        <v>15.2</v>
      </c>
      <c r="P6264" t="n">
        <v>19</v>
      </c>
      <c r="Q6264" t="n">
        <v>71.59999999999999</v>
      </c>
      <c r="R6264" t="n">
        <v>57</v>
      </c>
      <c r="AH6264" t="inlineStr">
        <is>
          <t>Quelle: Balearic Properties</t>
        </is>
      </c>
    </row>
    <row r="6265">
      <c r="A6265" t="n">
        <v>6078</v>
      </c>
      <c r="B6265" t="inlineStr">
        <is>
          <t>Wonderful country property for sale on a huge plot in Montuïri, Mallorca</t>
        </is>
      </c>
      <c r="C6265" t="inlineStr">
        <is>
          <t>https://www.balearic-properties.com/en/property/id/822403-country-property-huge-plot-montuiri-mallorca-html</t>
        </is>
      </c>
      <c r="E6265" t="n">
        <v>8</v>
      </c>
      <c r="G6265" t="n">
        <v>1230000</v>
      </c>
      <c r="H6265" t="n">
        <v>4603</v>
      </c>
      <c r="J6265" t="inlineStr">
        <is>
          <t>Montuïri</t>
        </is>
      </c>
      <c r="K6265" t="n">
        <v>27.9</v>
      </c>
      <c r="L6265" t="n">
        <v>28</v>
      </c>
      <c r="M6265" t="n">
        <v>32.5</v>
      </c>
      <c r="N6265" t="n">
        <v>36</v>
      </c>
      <c r="O6265" t="n">
        <v>62.1</v>
      </c>
      <c r="P6265" t="n">
        <v>52</v>
      </c>
      <c r="Q6265" t="n">
        <v>30.2</v>
      </c>
      <c r="R6265" t="n">
        <v>32</v>
      </c>
      <c r="S6265" t="n">
        <v>6363000</v>
      </c>
      <c r="T6265" t="n">
        <v>1382</v>
      </c>
      <c r="U6265" t="n">
        <v>5</v>
      </c>
      <c r="AH6265" t="inlineStr">
        <is>
          <t>Quelle: Balearic Properties</t>
        </is>
      </c>
    </row>
    <row r="6266">
      <c r="A6266" t="n">
        <v>6079</v>
      </c>
      <c r="B6266" t="inlineStr">
        <is>
          <t>Delightful mountain view apartment for sale in Pollensa, Mallorca</t>
        </is>
      </c>
      <c r="C6266" t="inlineStr">
        <is>
          <t>https://www.balearic-properties.com/en/property/id/820288-mountain-view-apartment-pollensa-mallorca-html</t>
        </is>
      </c>
      <c r="E6266" t="n">
        <v>2</v>
      </c>
      <c r="G6266" t="n">
        <v>0</v>
      </c>
      <c r="H6266" t="n">
        <v>147</v>
      </c>
      <c r="J6266" t="inlineStr">
        <is>
          <t>Pollença Pueblo</t>
        </is>
      </c>
      <c r="AH6266" t="inlineStr">
        <is>
          <t>Quelle: Balearic Properties</t>
        </is>
      </c>
    </row>
    <row r="6267">
      <c r="A6267" t="n">
        <v>6080</v>
      </c>
      <c r="B6267" t="inlineStr">
        <is>
          <t>Luxurious town house with pool for sale in the heart of Pollensa, Mallorca</t>
        </is>
      </c>
      <c r="C6267" t="inlineStr">
        <is>
          <t>https://www.balearic-properties.com/en/property/id/505317-luxurious-town-house-pool-pollensa-mallorca-html</t>
        </is>
      </c>
      <c r="E6267" t="n">
        <v>5</v>
      </c>
      <c r="G6267" t="n">
        <v>169</v>
      </c>
      <c r="H6267" t="n">
        <v>394</v>
      </c>
      <c r="J6267" t="inlineStr">
        <is>
          <t>Pollença Pueblo</t>
        </is>
      </c>
      <c r="K6267" t="n">
        <v>60.6</v>
      </c>
      <c r="L6267" t="n">
        <v>47</v>
      </c>
      <c r="M6267" t="n">
        <v>78.7</v>
      </c>
      <c r="N6267" t="n">
        <v>74</v>
      </c>
      <c r="O6267" t="n">
        <v>83.2</v>
      </c>
      <c r="P6267" t="n">
        <v>63</v>
      </c>
      <c r="Q6267" t="n">
        <v>76.40000000000001</v>
      </c>
      <c r="R6267" t="n">
        <v>70</v>
      </c>
      <c r="AH6267" t="inlineStr">
        <is>
          <t>Quelle: Balearic Properties</t>
        </is>
      </c>
    </row>
    <row r="6268">
      <c r="A6268" t="n">
        <v>6081</v>
      </c>
      <c r="B6268" t="inlineStr">
        <is>
          <t>Luxurious villa for sale near Pollensa, Mallorca</t>
        </is>
      </c>
      <c r="C6268" t="inlineStr">
        <is>
          <t>https://www.balearic-properties.com/en/property/id/800840-pollensa-luxury-country-villa-html</t>
        </is>
      </c>
      <c r="E6268" t="n">
        <v>6</v>
      </c>
      <c r="G6268" t="n">
        <v>29034</v>
      </c>
      <c r="H6268" t="n">
        <v>600</v>
      </c>
      <c r="J6268" t="inlineStr">
        <is>
          <t>Pollença</t>
        </is>
      </c>
      <c r="K6268" t="n">
        <v>60.6</v>
      </c>
      <c r="L6268" t="n">
        <v>47</v>
      </c>
      <c r="M6268" t="n">
        <v>78.7</v>
      </c>
      <c r="N6268" t="n">
        <v>74</v>
      </c>
      <c r="O6268" t="n">
        <v>83.2</v>
      </c>
      <c r="P6268" t="n">
        <v>63</v>
      </c>
      <c r="Q6268" t="n">
        <v>76.40000000000001</v>
      </c>
      <c r="R6268" t="n">
        <v>70</v>
      </c>
      <c r="S6268" t="n">
        <v>3850000</v>
      </c>
      <c r="T6268" t="n">
        <v>6417</v>
      </c>
      <c r="U6268" t="n">
        <v>133</v>
      </c>
      <c r="AH6268" t="inlineStr">
        <is>
          <t>Quelle: Balearic Properties</t>
        </is>
      </c>
    </row>
    <row r="6269">
      <c r="A6269" t="n">
        <v>6082</v>
      </c>
      <c r="B6269" t="inlineStr">
        <is>
          <t>Wonderful finca with holiday license for sale in Santa Eugenia, Mallorca</t>
        </is>
      </c>
      <c r="C6269" t="inlineStr">
        <is>
          <t>https://www.balearic-properties.com/en/property/id/828286-wonderful-finca-license-santa-eugenia-mallorca-html</t>
        </is>
      </c>
      <c r="E6269" t="n">
        <v>5</v>
      </c>
      <c r="G6269" t="n">
        <v>38560</v>
      </c>
      <c r="H6269" t="n">
        <v>567</v>
      </c>
      <c r="J6269" t="inlineStr">
        <is>
          <t>Santa Eugènia</t>
        </is>
      </c>
      <c r="K6269" t="n">
        <v>28.5</v>
      </c>
      <c r="L6269" t="n">
        <v>25</v>
      </c>
      <c r="M6269" t="n">
        <v>48.2</v>
      </c>
      <c r="N6269" t="n">
        <v>48</v>
      </c>
      <c r="O6269" t="n">
        <v>51.1</v>
      </c>
      <c r="P6269" t="n">
        <v>42</v>
      </c>
      <c r="Q6269" t="n">
        <v>45.9</v>
      </c>
      <c r="R6269" t="n">
        <v>44</v>
      </c>
      <c r="AH6269" t="inlineStr">
        <is>
          <t>Quelle: Balearic Properties</t>
        </is>
      </c>
    </row>
    <row r="6270">
      <c r="A6270" t="n">
        <v>6083</v>
      </c>
      <c r="B6270" t="inlineStr">
        <is>
          <t>Villa with pool for sale in a sought after area near Pollensa, Mallorca</t>
        </is>
      </c>
      <c r="C6270" t="inlineStr">
        <is>
          <t>https://www.balearic-properties.com/en/property/id/828789-villa-pool-sought-after-area-pollensa-mallorca-html</t>
        </is>
      </c>
      <c r="E6270" t="n">
        <v>3</v>
      </c>
      <c r="G6270" t="n">
        <v>1198</v>
      </c>
      <c r="H6270" t="n">
        <v>242</v>
      </c>
      <c r="J6270" t="inlineStr">
        <is>
          <t>Pollença</t>
        </is>
      </c>
      <c r="AH6270" t="inlineStr">
        <is>
          <t>Quelle: Balearic Properties</t>
        </is>
      </c>
    </row>
    <row r="6271">
      <c r="A6271" t="n">
        <v>6084</v>
      </c>
      <c r="B6271" t="inlineStr">
        <is>
          <t>Fabulous village house with mountain views for sale in Pollensa, Mallorca</t>
        </is>
      </c>
      <c r="C6271" t="inlineStr">
        <is>
          <t>https://www.balearic-properties.com/en/property/id/546654-village-house-mountain-views-pollensa-mallorca-html</t>
        </is>
      </c>
      <c r="E6271" t="n">
        <v>2</v>
      </c>
      <c r="G6271" t="n">
        <v>99</v>
      </c>
      <c r="H6271" t="n">
        <v>171</v>
      </c>
      <c r="J6271" t="inlineStr">
        <is>
          <t>Pollença Pueblo</t>
        </is>
      </c>
      <c r="AH6271" t="inlineStr">
        <is>
          <t>Quelle: Balearic Properties</t>
        </is>
      </c>
    </row>
    <row r="6272">
      <c r="A6272" t="n">
        <v>6085</v>
      </c>
      <c r="B6272" t="inlineStr">
        <is>
          <t>Family villa for sale close to Puerto Portals in Costa d´en Blanes, Mallorca</t>
        </is>
      </c>
      <c r="C6272" t="inlineStr">
        <is>
          <t>https://www.balearic-properties.com/en/property/id/827210-familiy-villa-pool-barbecue-exclusive-location-costa-den-blanes-mallorca-html</t>
        </is>
      </c>
      <c r="E6272" t="n">
        <v>6</v>
      </c>
      <c r="G6272" t="n">
        <v>1245</v>
      </c>
      <c r="H6272" t="n">
        <v>216</v>
      </c>
      <c r="J6272" t="inlineStr">
        <is>
          <t>Costa D´en Blanes</t>
        </is>
      </c>
      <c r="K6272" t="n">
        <v>23.3</v>
      </c>
      <c r="L6272" t="n">
        <v>21</v>
      </c>
      <c r="M6272" t="n">
        <v>66.09999999999999</v>
      </c>
      <c r="N6272" t="n">
        <v>54</v>
      </c>
      <c r="O6272" t="n">
        <v>21</v>
      </c>
      <c r="P6272" t="n">
        <v>21</v>
      </c>
      <c r="Q6272" t="n">
        <v>63.8</v>
      </c>
      <c r="R6272" t="n">
        <v>51</v>
      </c>
      <c r="S6272" t="n">
        <v>1500000</v>
      </c>
      <c r="T6272" t="n">
        <v>6944</v>
      </c>
      <c r="U6272" t="n">
        <v>1205</v>
      </c>
      <c r="AH6272" t="inlineStr">
        <is>
          <t>Quelle: Balearic Properties</t>
        </is>
      </c>
    </row>
    <row r="6273">
      <c r="A6273" t="n">
        <v>6086</v>
      </c>
      <c r="B6273" t="inlineStr">
        <is>
          <t>Village house renovation project, for sale in Pollensa town, Mallorca</t>
        </is>
      </c>
      <c r="C6273" t="inlineStr">
        <is>
          <t>https://www.balearic-properties.com/en/property/id/827952-village-house-renovation-project-for-sale-in-pollensa-town-mallorca-html</t>
        </is>
      </c>
      <c r="E6273" t="n">
        <v>5</v>
      </c>
      <c r="G6273" t="n">
        <v>113</v>
      </c>
      <c r="H6273" t="n">
        <v>146</v>
      </c>
      <c r="J6273" t="inlineStr">
        <is>
          <t>Pollença</t>
        </is>
      </c>
      <c r="K6273" t="n">
        <v>60.6</v>
      </c>
      <c r="L6273" t="n">
        <v>47</v>
      </c>
      <c r="M6273" t="n">
        <v>78.7</v>
      </c>
      <c r="N6273" t="n">
        <v>74</v>
      </c>
      <c r="O6273" t="n">
        <v>83.2</v>
      </c>
      <c r="P6273" t="n">
        <v>63</v>
      </c>
      <c r="Q6273" t="n">
        <v>76.40000000000001</v>
      </c>
      <c r="R6273" t="n">
        <v>70</v>
      </c>
      <c r="AH6273" t="inlineStr">
        <is>
          <t>Quelle: Balearic Properties</t>
        </is>
      </c>
    </row>
    <row r="6274">
      <c r="A6274" t="n">
        <v>6087</v>
      </c>
      <c r="B6274" t="inlineStr">
        <is>
          <t>Newly built penthouse for sale near harbour in Palma, Mallorca</t>
        </is>
      </c>
      <c r="C6274" t="inlineStr">
        <is>
          <t>https://www.balearic-properties.com/en/property/id/812306-newly-built-penthouse-for-sale-near-harbour-in-palma-mallorca-html</t>
        </is>
      </c>
      <c r="E6274" t="n">
        <v>3</v>
      </c>
      <c r="G6274" t="n">
        <v>0</v>
      </c>
      <c r="H6274" t="n">
        <v>161</v>
      </c>
      <c r="J6274" t="inlineStr">
        <is>
          <t>Palma de Mallorca</t>
        </is>
      </c>
      <c r="K6274" t="n">
        <v>9.699999999999999</v>
      </c>
      <c r="L6274" t="n">
        <v>14</v>
      </c>
      <c r="M6274" t="n">
        <v>52.5</v>
      </c>
      <c r="N6274" t="n">
        <v>47</v>
      </c>
      <c r="O6274" t="n">
        <v>32.1</v>
      </c>
      <c r="P6274" t="n">
        <v>36</v>
      </c>
      <c r="Q6274" t="n">
        <v>50.2</v>
      </c>
      <c r="R6274" t="n">
        <v>44</v>
      </c>
      <c r="S6274" t="n">
        <v>1290900</v>
      </c>
      <c r="T6274" t="n">
        <v>8018</v>
      </c>
      <c r="AH6274" t="inlineStr">
        <is>
          <t>Quelle: Balearic Properties</t>
        </is>
      </c>
    </row>
    <row r="6275">
      <c r="A6275" t="n">
        <v>6088</v>
      </c>
      <c r="B6275" t="inlineStr">
        <is>
          <t>Stunning penthouse with private roof terrace for sale in Santa Catalina, Palma, Mallorca</t>
        </is>
      </c>
      <c r="C6275" t="inlineStr">
        <is>
          <t>https://www.balearic-properties.com/en/property/id/827433-stunning-penthouse-seaviews-santa-catalina-palma-mallorca-html</t>
        </is>
      </c>
      <c r="E6275" t="n">
        <v>2</v>
      </c>
      <c r="G6275" t="n">
        <v>0</v>
      </c>
      <c r="H6275" t="n">
        <v>117</v>
      </c>
      <c r="J6275" t="inlineStr">
        <is>
          <t>Santa Catalina</t>
        </is>
      </c>
      <c r="AH6275" t="inlineStr">
        <is>
          <t>Quelle: Balearic Properties</t>
        </is>
      </c>
    </row>
    <row r="6276">
      <c r="A6276" t="n">
        <v>6089</v>
      </c>
      <c r="B6276" t="inlineStr">
        <is>
          <t>Beautiful recently refurbished town house for sale in Pollensa, Mallorca</t>
        </is>
      </c>
      <c r="C6276" t="inlineStr">
        <is>
          <t>https://www.balearic-properties.com/en/property/id/827837-refurbished-townhouse-pollensa-mallorca-html</t>
        </is>
      </c>
      <c r="E6276" t="n">
        <v>4</v>
      </c>
      <c r="G6276" t="n">
        <v>100</v>
      </c>
      <c r="H6276" t="n">
        <v>131</v>
      </c>
      <c r="J6276" t="inlineStr">
        <is>
          <t>Pollença Pueblo</t>
        </is>
      </c>
      <c r="AH6276" t="inlineStr">
        <is>
          <t>Quelle: Balearic Properties</t>
        </is>
      </c>
    </row>
    <row r="6277">
      <c r="A6277" t="n">
        <v>6090</v>
      </c>
      <c r="B6277" t="inlineStr">
        <is>
          <t>Ground Floor Apartment for sale in Bendinat, Mallorca</t>
        </is>
      </c>
      <c r="C6277" t="inlineStr">
        <is>
          <t>https://www.balearic-properties.com/en/property/id/827974-ground-floor-apartment-for-sale-in-bendinat</t>
        </is>
      </c>
      <c r="E6277" t="n">
        <v>2</v>
      </c>
      <c r="G6277" t="n">
        <v>0</v>
      </c>
      <c r="H6277" t="n">
        <v>185</v>
      </c>
      <c r="J6277" t="inlineStr">
        <is>
          <t>Bendinat</t>
        </is>
      </c>
      <c r="AH6277" t="inlineStr">
        <is>
          <t>Quelle: Balearic Properties</t>
        </is>
      </c>
    </row>
    <row r="6278">
      <c r="A6278" t="n">
        <v>6091</v>
      </c>
      <c r="B6278" t="inlineStr">
        <is>
          <t>Duplex penthouse for sale on the outskirts of Pollensa, Mallorca</t>
        </is>
      </c>
      <c r="C6278" t="inlineStr">
        <is>
          <t>https://www.balearic-properties.com/en/property/id/167186-mallorca-penthouse-pollensa-html</t>
        </is>
      </c>
      <c r="E6278" t="n">
        <v>2</v>
      </c>
      <c r="G6278" t="n">
        <v>0</v>
      </c>
      <c r="H6278" t="n">
        <v>81</v>
      </c>
      <c r="J6278" t="inlineStr">
        <is>
          <t>Pollença Pueblo</t>
        </is>
      </c>
      <c r="AH6278" t="inlineStr">
        <is>
          <t>Quelle: Balearic Properties</t>
        </is>
      </c>
    </row>
    <row r="6279">
      <c r="A6279" t="n">
        <v>6092</v>
      </c>
      <c r="B6279" t="inlineStr">
        <is>
          <t>Hillside villa with holiday rental license for sale in Puerto Pollensa, Mallorca</t>
        </is>
      </c>
      <c r="C6279" t="inlineStr">
        <is>
          <t>https://www.balearic-properties.com/en/property/id/461076-villa-seaviews-etv-mallorca-puerto-pollensa-html</t>
        </is>
      </c>
      <c r="E6279" t="n">
        <v>4</v>
      </c>
      <c r="G6279" t="n">
        <v>1262</v>
      </c>
      <c r="H6279" t="n">
        <v>482</v>
      </c>
      <c r="J6279" t="inlineStr">
        <is>
          <t>Port de Pollença</t>
        </is>
      </c>
      <c r="AH6279" t="inlineStr">
        <is>
          <t>Quelle: Balearic Properties</t>
        </is>
      </c>
    </row>
    <row r="6280">
      <c r="A6280" t="n">
        <v>6093</v>
      </c>
      <c r="B6280" t="inlineStr">
        <is>
          <t>Immaculate penthouse with roof terrace, for sale in Puerto Pollensa, Mallorca</t>
        </is>
      </c>
      <c r="C6280" t="inlineStr">
        <is>
          <t>https://www.balearic-properties.com/en/property/id/826848-beautiful-penthouse-apartment-in-an-exclusive-area-of-puerto-pollenca-wth-amazing-private-roof-terrace-and-jacuzzi-html</t>
        </is>
      </c>
      <c r="E6280" t="n">
        <v>3</v>
      </c>
      <c r="G6280" t="n">
        <v>259</v>
      </c>
      <c r="H6280" t="n">
        <v>259</v>
      </c>
      <c r="J6280" t="inlineStr">
        <is>
          <t>Port de Pollença</t>
        </is>
      </c>
      <c r="AH6280" t="inlineStr">
        <is>
          <t>Quelle: Balearic Properties</t>
        </is>
      </c>
    </row>
    <row r="6281">
      <c r="A6281" t="n">
        <v>6094</v>
      </c>
      <c r="B6281" t="inlineStr">
        <is>
          <t>Luxurious sea view penthouse with roof terrace for sale in Palma, Mallorca</t>
        </is>
      </c>
      <c r="C6281" t="inlineStr">
        <is>
          <t>https://www.balearic-properties.com/en/property/id/827681-new-deluxe-sea-view-penthouse-palma-mallorca-html</t>
        </is>
      </c>
      <c r="E6281" t="n">
        <v>3</v>
      </c>
      <c r="G6281" t="n">
        <v>0</v>
      </c>
      <c r="H6281" t="n">
        <v>117</v>
      </c>
      <c r="J6281" t="inlineStr">
        <is>
          <t>Palma de Mallorca</t>
        </is>
      </c>
      <c r="AH6281" t="inlineStr">
        <is>
          <t>Quelle: Balearic Properties</t>
        </is>
      </c>
    </row>
    <row r="6282">
      <c r="A6282" t="n">
        <v>6095</v>
      </c>
      <c r="B6282" t="inlineStr">
        <is>
          <t>Beautiful project of a detached house overlooking Palma Bay for sale in Pórtol, Mallorca</t>
        </is>
      </c>
      <c r="C6282" t="inlineStr">
        <is>
          <t>https://www.balearic-properties.com/en/property/id/825245-beautiful-project-of-a-detached-house-located-in-the-center-of-the-town-of-portol</t>
        </is>
      </c>
      <c r="E6282" t="n">
        <v>4</v>
      </c>
      <c r="G6282" t="n">
        <v>3000</v>
      </c>
      <c r="H6282" t="n">
        <v>400</v>
      </c>
      <c r="J6282" t="inlineStr">
        <is>
          <t>Portol</t>
        </is>
      </c>
      <c r="AH6282" t="inlineStr">
        <is>
          <t>Quelle: Balearic Properties</t>
        </is>
      </c>
    </row>
    <row r="6283">
      <c r="A6283" t="n">
        <v>6096</v>
      </c>
      <c r="B6283" t="inlineStr">
        <is>
          <t>Spacious apartment near amenities, for sale in  Portals, Mallorca</t>
        </is>
      </c>
      <c r="C6283" t="inlineStr">
        <is>
          <t>https://www.balearic-properties.com/en/property/id/827155-spacious-apartment-near-amenities-for-sale-in-portals</t>
        </is>
      </c>
      <c r="E6283" t="n">
        <v>3</v>
      </c>
      <c r="G6283" t="n">
        <v>0</v>
      </c>
      <c r="H6283" t="n">
        <v>170</v>
      </c>
      <c r="J6283" t="inlineStr">
        <is>
          <t>Portals Nous</t>
        </is>
      </c>
      <c r="S6283" t="n">
        <v>398000</v>
      </c>
      <c r="T6283" t="n">
        <v>2341</v>
      </c>
      <c r="AH6283" t="inlineStr">
        <is>
          <t>Quelle: Balearic Properties</t>
        </is>
      </c>
    </row>
    <row r="6284">
      <c r="A6284" t="n">
        <v>6097</v>
      </c>
      <c r="B6284" t="inlineStr">
        <is>
          <t>Well situated apartment with community pool for sale in Puerto Pollensa, Mallorca</t>
        </is>
      </c>
      <c r="C6284" t="inlineStr">
        <is>
          <t>https://www.balearic-properties.com/en/property/id/795842-puerto-pollensa-apartment-beach-html</t>
        </is>
      </c>
      <c r="E6284" t="n">
        <v>3</v>
      </c>
      <c r="G6284" t="n">
        <v>0</v>
      </c>
      <c r="H6284" t="n">
        <v>130</v>
      </c>
      <c r="J6284" t="inlineStr">
        <is>
          <t>Port de Pollença</t>
        </is>
      </c>
      <c r="AH6284" t="inlineStr">
        <is>
          <t>Quelle: Balearic Properties</t>
        </is>
      </c>
    </row>
    <row r="6285">
      <c r="A6285" t="n">
        <v>6098</v>
      </c>
      <c r="B6285" t="inlineStr">
        <is>
          <t>Impressive 19th century mansion with courtyard, for sale in Marratxi, Mallorca</t>
        </is>
      </c>
      <c r="C6285" t="inlineStr">
        <is>
          <t>https://www.balearic-properties.com/en/property/id/824802-restored-19th-century-mansion-in-marratxi-mallorca-html</t>
        </is>
      </c>
      <c r="E6285" t="n">
        <v>8</v>
      </c>
      <c r="G6285" t="n">
        <v>7100</v>
      </c>
      <c r="H6285" t="n">
        <v>1600</v>
      </c>
      <c r="J6285" t="inlineStr">
        <is>
          <t>Marratxí</t>
        </is>
      </c>
      <c r="K6285" t="n">
        <v>13</v>
      </c>
      <c r="L6285" t="n">
        <v>17</v>
      </c>
      <c r="M6285" t="n">
        <v>56.3</v>
      </c>
      <c r="N6285" t="n">
        <v>50</v>
      </c>
      <c r="O6285" t="n">
        <v>40.6</v>
      </c>
      <c r="P6285" t="n">
        <v>34</v>
      </c>
      <c r="Q6285" t="n">
        <v>54</v>
      </c>
      <c r="R6285" t="n">
        <v>46</v>
      </c>
      <c r="S6285" t="n">
        <v>3200000</v>
      </c>
      <c r="T6285" t="n">
        <v>2000</v>
      </c>
      <c r="U6285" t="n">
        <v>451</v>
      </c>
      <c r="AH6285" t="inlineStr">
        <is>
          <t>Quelle: Balearic Properties</t>
        </is>
      </c>
    </row>
    <row r="6286">
      <c r="A6286" t="n">
        <v>6099</v>
      </c>
      <c r="B6286" t="inlineStr">
        <is>
          <t>Detached villa with magnificent views for sale in the town Campanet, Malllorca</t>
        </is>
      </c>
      <c r="C6286" t="inlineStr">
        <is>
          <t>https://www.balearic-properties.com/en/property/id/825969-detached-villa-magnificent-views-campanet-malllorca-html</t>
        </is>
      </c>
      <c r="E6286" t="n">
        <v>5</v>
      </c>
      <c r="G6286" t="n">
        <v>4502</v>
      </c>
      <c r="H6286" t="n">
        <v>672</v>
      </c>
      <c r="J6286" t="inlineStr">
        <is>
          <t>Campanet</t>
        </is>
      </c>
      <c r="K6286" t="n">
        <v>46.9</v>
      </c>
      <c r="L6286" t="n">
        <v>38</v>
      </c>
      <c r="M6286" t="n">
        <v>65</v>
      </c>
      <c r="N6286" t="n">
        <v>65</v>
      </c>
      <c r="O6286" t="n">
        <v>69.5</v>
      </c>
      <c r="P6286" t="n">
        <v>54</v>
      </c>
      <c r="Q6286" t="n">
        <v>62.7</v>
      </c>
      <c r="R6286" t="n">
        <v>61</v>
      </c>
      <c r="S6286" t="n">
        <v>1280000</v>
      </c>
      <c r="T6286" t="n">
        <v>1905</v>
      </c>
      <c r="U6286" t="n">
        <v>284</v>
      </c>
      <c r="AH6286" t="inlineStr">
        <is>
          <t>Quelle: Balearic Properties</t>
        </is>
      </c>
    </row>
    <row r="6287">
      <c r="A6287" t="n">
        <v>6100</v>
      </c>
      <c r="B6287" t="inlineStr">
        <is>
          <t>Partially reformed house with the option of a pool, for sale in Alaró, Mallorca</t>
        </is>
      </c>
      <c r="C6287" t="inlineStr">
        <is>
          <t>https://www.balearic-properties.com/en/property/id/823625-partially-reformed-house-with-the-option-of-a-pool-for-sale-in-alaro-mallorca-html</t>
        </is>
      </c>
      <c r="E6287" t="n">
        <v>4</v>
      </c>
      <c r="G6287" t="n">
        <v>241</v>
      </c>
      <c r="H6287" t="n">
        <v>337</v>
      </c>
      <c r="J6287" t="inlineStr">
        <is>
          <t>Alaró</t>
        </is>
      </c>
      <c r="AH6287" t="inlineStr">
        <is>
          <t>Quelle: Balearic Properties</t>
        </is>
      </c>
    </row>
    <row r="6288">
      <c r="A6288" t="n">
        <v>6101</v>
      </c>
      <c r="B6288" t="inlineStr">
        <is>
          <t>Top quality modern villa for sale close to the beach in Cala Ratjada, Mallorca</t>
        </is>
      </c>
      <c r="C6288" t="inlineStr">
        <is>
          <t>https://www.balearic-properties.com/en/property/id/826363-top-quality-modern-villa-for-sale-close-to-the-beach-in-cala-ratjada-mallorca-html</t>
        </is>
      </c>
      <c r="E6288" t="n">
        <v>3</v>
      </c>
      <c r="G6288" t="n">
        <v>908</v>
      </c>
      <c r="H6288" t="n">
        <v>442</v>
      </c>
      <c r="J6288" t="inlineStr">
        <is>
          <t>Cala Ratjada</t>
        </is>
      </c>
      <c r="AH6288" t="inlineStr">
        <is>
          <t>Quelle: Balearic Properties</t>
        </is>
      </c>
    </row>
    <row r="6289">
      <c r="A6289" t="n">
        <v>6102</v>
      </c>
      <c r="B6289" t="inlineStr">
        <is>
          <t>Attractive town house for sale an exclusive area of Puerto Pollensa, Mallorca</t>
        </is>
      </c>
      <c r="C6289" t="inlineStr">
        <is>
          <t>https://www.balearic-properties.com/en/property/id/727660-attractive-town-house-exclusive-area-of-bellresguard-puerto-pollensa-html</t>
        </is>
      </c>
      <c r="E6289" t="n">
        <v>4</v>
      </c>
      <c r="G6289" t="n">
        <v>0</v>
      </c>
      <c r="H6289" t="n">
        <v>195</v>
      </c>
      <c r="J6289" t="inlineStr">
        <is>
          <t>Port de Pollença</t>
        </is>
      </c>
      <c r="AH6289" t="inlineStr">
        <is>
          <t>Quelle: Balearic Properties</t>
        </is>
      </c>
    </row>
    <row r="6290">
      <c r="A6290" t="n">
        <v>6103</v>
      </c>
      <c r="B6290" t="inlineStr">
        <is>
          <t>Beautiful hilltop villa with panoramic views for sale in Felanitx, Mallorca</t>
        </is>
      </c>
      <c r="C6290" t="inlineStr">
        <is>
          <t>https://www.balearic-properties.com/en/property/id/823610-finca-outstanding-views-felanitx-mallorca-html</t>
        </is>
      </c>
      <c r="E6290" t="n">
        <v>4</v>
      </c>
      <c r="G6290" t="n">
        <v>18698</v>
      </c>
      <c r="H6290" t="n">
        <v>485</v>
      </c>
      <c r="J6290" t="inlineStr">
        <is>
          <t>Felanitx</t>
        </is>
      </c>
      <c r="AH6290" t="inlineStr">
        <is>
          <t>Quelle: Balearic Properties</t>
        </is>
      </c>
    </row>
    <row r="6291">
      <c r="A6291" t="n">
        <v>6104</v>
      </c>
      <c r="B6291" t="inlineStr">
        <is>
          <t>Apartment development with community pool, for sale in Palma, Mallorca</t>
        </is>
      </c>
      <c r="C6291" t="inlineStr">
        <is>
          <t>https://www.balearic-properties.com/en/property/id/806408-apartment-development-with-community-pool-for-sale-in-palma-mallorca-html</t>
        </is>
      </c>
      <c r="E6291" t="n">
        <v>2</v>
      </c>
      <c r="G6291" t="n">
        <v>0</v>
      </c>
      <c r="H6291" t="n">
        <v>109</v>
      </c>
      <c r="J6291" t="inlineStr">
        <is>
          <t>Palma de Mallorca</t>
        </is>
      </c>
      <c r="AH6291" t="inlineStr">
        <is>
          <t>Quelle: Balearic Properties</t>
        </is>
      </c>
    </row>
    <row r="6292">
      <c r="A6292" t="n">
        <v>6105</v>
      </c>
      <c r="B6292" t="inlineStr">
        <is>
          <t>Family villa with private pool for sale close to Pollensa, Mallorca</t>
        </is>
      </c>
      <c r="C6292" t="inlineStr">
        <is>
          <t>https://www.balearic-properties.com/en/property/id/802418-villa-rental-investment-pollensa-html</t>
        </is>
      </c>
      <c r="E6292" t="n">
        <v>6</v>
      </c>
      <c r="G6292" t="n">
        <v>1300</v>
      </c>
      <c r="H6292" t="n">
        <v>413</v>
      </c>
      <c r="J6292" t="inlineStr">
        <is>
          <t>Sa Pobla</t>
        </is>
      </c>
      <c r="K6292" t="n">
        <v>52.7</v>
      </c>
      <c r="L6292" t="n">
        <v>41</v>
      </c>
      <c r="M6292" t="n">
        <v>59.6</v>
      </c>
      <c r="N6292" t="n">
        <v>65</v>
      </c>
      <c r="O6292" t="n">
        <v>75.3</v>
      </c>
      <c r="P6292" t="n">
        <v>57</v>
      </c>
      <c r="Q6292" t="n">
        <v>57.3</v>
      </c>
      <c r="R6292" t="n">
        <v>61</v>
      </c>
      <c r="AH6292" t="inlineStr">
        <is>
          <t>Quelle: Balearic Properties</t>
        </is>
      </c>
    </row>
    <row r="6293">
      <c r="A6293" t="n">
        <v>6106</v>
      </c>
      <c r="B6293" t="inlineStr">
        <is>
          <t>Charming villa with mountain views and pool for sale near Pollensa, Mallorca</t>
        </is>
      </c>
      <c r="C6293" t="inlineStr">
        <is>
          <t>https://www.balearic-properties.com/en/property/id/822285-villa-views-pool-pollensa-mallorca-html</t>
        </is>
      </c>
      <c r="E6293" t="n">
        <v>2</v>
      </c>
      <c r="G6293" t="n">
        <v>2070</v>
      </c>
      <c r="H6293" t="n">
        <v>141</v>
      </c>
      <c r="J6293" t="inlineStr">
        <is>
          <t>Sa Pobla</t>
        </is>
      </c>
      <c r="AH6293" t="inlineStr">
        <is>
          <t>Quelle: Balearic Properties</t>
        </is>
      </c>
    </row>
    <row r="6294">
      <c r="A6294" t="n">
        <v>6107</v>
      </c>
      <c r="B6294" t="inlineStr">
        <is>
          <t>Renovated house with pool and garden for sale in Santa Eugenia, Mallorca</t>
        </is>
      </c>
      <c r="C6294" t="inlineStr">
        <is>
          <t>https://www.balearic-properties.com/en/property/id/824649-renovated-house-pool-santa-eugenia-mallorca-html</t>
        </is>
      </c>
      <c r="E6294" t="n">
        <v>4</v>
      </c>
      <c r="G6294" t="n">
        <v>572</v>
      </c>
      <c r="H6294" t="n">
        <v>336</v>
      </c>
      <c r="J6294" t="inlineStr">
        <is>
          <t>Santa Eugènia</t>
        </is>
      </c>
      <c r="AH6294" t="inlineStr">
        <is>
          <t>Quelle: Balearic Properties</t>
        </is>
      </c>
    </row>
    <row r="6295">
      <c r="A6295" t="n">
        <v>6108</v>
      </c>
      <c r="B6295" t="inlineStr">
        <is>
          <t>Luxury development of villas for sale close to the sea in Cala Figuera, Mallorca</t>
        </is>
      </c>
      <c r="C6295" t="inlineStr">
        <is>
          <t>https://www.balearic-properties.com/en/property/id/824782-luxury-villas-cala-figuera-mallorca-html</t>
        </is>
      </c>
      <c r="E6295" t="n">
        <v>3</v>
      </c>
      <c r="G6295" t="n">
        <v>596</v>
      </c>
      <c r="H6295" t="n">
        <v>524</v>
      </c>
      <c r="J6295" t="inlineStr">
        <is>
          <t>Cala Figuera</t>
        </is>
      </c>
      <c r="AH6295" t="inlineStr">
        <is>
          <t>Quelle: Balearic Properties</t>
        </is>
      </c>
    </row>
    <row r="6296">
      <c r="A6296" t="n">
        <v>6109</v>
      </c>
      <c r="B6296" t="inlineStr">
        <is>
          <t>Unmissable village house for sale close to the square in Pollensa, Mallorca</t>
        </is>
      </c>
      <c r="C6296" t="inlineStr">
        <is>
          <t>https://www.balearic-properties.com/en/property/id/820220-unmissable-townhouse-central-pollensa-mallorca-html</t>
        </is>
      </c>
      <c r="E6296" t="n">
        <v>3</v>
      </c>
      <c r="G6296" t="n">
        <v>137</v>
      </c>
      <c r="H6296" t="n">
        <v>230</v>
      </c>
      <c r="J6296" t="inlineStr">
        <is>
          <t>Pollença</t>
        </is>
      </c>
      <c r="AH6296" t="inlineStr">
        <is>
          <t>Quelle: Balearic Properties</t>
        </is>
      </c>
    </row>
    <row r="6297">
      <c r="A6297" t="n">
        <v>6110</v>
      </c>
      <c r="B6297" t="inlineStr">
        <is>
          <t>State-of-the-art villa with sea views for sale in Bonaire, Alcudia, Mallorca</t>
        </is>
      </c>
      <c r="C6297" t="inlineStr">
        <is>
          <t>https://www.balearic-properties.com/en/property/id/764441-bonaire-villa-mallorca-html</t>
        </is>
      </c>
      <c r="E6297" t="n">
        <v>4</v>
      </c>
      <c r="G6297" t="n">
        <v>1045</v>
      </c>
      <c r="H6297" t="n">
        <v>260</v>
      </c>
      <c r="J6297" t="inlineStr">
        <is>
          <t>Bonaire</t>
        </is>
      </c>
      <c r="AH6297" t="inlineStr">
        <is>
          <t>Quelle: Balearic Properties</t>
        </is>
      </c>
    </row>
    <row r="6298">
      <c r="A6298" t="n">
        <v>6111</v>
      </c>
      <c r="B6298" t="inlineStr">
        <is>
          <t>Peaceful country finca with paddocks for sale in Maria de la Salud, Mallorca</t>
        </is>
      </c>
      <c r="C6298" t="inlineStr">
        <is>
          <t>https://www.balearic-properties.com/en/property/id/825130-finca-paddocks-maria-de-la-salud-mallorca-html</t>
        </is>
      </c>
      <c r="E6298" t="n">
        <v>5</v>
      </c>
      <c r="G6298" t="n">
        <v>17000</v>
      </c>
      <c r="H6298" t="n">
        <v>252</v>
      </c>
      <c r="J6298" t="inlineStr">
        <is>
          <t>María de la Salut</t>
        </is>
      </c>
      <c r="K6298" t="n">
        <v>42</v>
      </c>
      <c r="L6298" t="n">
        <v>45</v>
      </c>
      <c r="M6298" t="n">
        <v>49.4</v>
      </c>
      <c r="N6298" t="n">
        <v>52</v>
      </c>
      <c r="O6298" t="n">
        <v>77.3</v>
      </c>
      <c r="P6298" t="n">
        <v>62</v>
      </c>
      <c r="Q6298" t="n">
        <v>47.1</v>
      </c>
      <c r="R6298" t="n">
        <v>49</v>
      </c>
      <c r="AH6298" t="inlineStr">
        <is>
          <t>Quelle: Balearic Properties</t>
        </is>
      </c>
    </row>
    <row r="6299">
      <c r="A6299" t="n">
        <v>6112</v>
      </c>
      <c r="B6299" t="inlineStr">
        <is>
          <t>Stunning town house minutes from main square for sale in Pollensa, Mallorca</t>
        </is>
      </c>
      <c r="C6299" t="inlineStr">
        <is>
          <t>https://www.balearic-properties.com/en/property/id/746979-mallorca-townhouse-pollensa-html</t>
        </is>
      </c>
      <c r="E6299" t="n">
        <v>3</v>
      </c>
      <c r="G6299" t="n">
        <v>170</v>
      </c>
      <c r="H6299" t="n">
        <v>0</v>
      </c>
      <c r="J6299" t="inlineStr">
        <is>
          <t>Pollença</t>
        </is>
      </c>
      <c r="AH6299" t="inlineStr">
        <is>
          <t>Quelle: Balearic Properties</t>
        </is>
      </c>
    </row>
    <row r="6300">
      <c r="A6300" t="n">
        <v>6113</v>
      </c>
      <c r="B6300" t="inlineStr">
        <is>
          <t>Unique Investment in Mallorca North: Building for sale in the heart of Pollensa, Mallorca</t>
        </is>
      </c>
      <c r="C6300" t="inlineStr">
        <is>
          <t>https://www.balearic-properties.com/en/property/id/824741-amazing-building-centre-pollensa-mallorca-html</t>
        </is>
      </c>
      <c r="E6300" t="n">
        <v>6</v>
      </c>
      <c r="G6300" t="n">
        <v>104</v>
      </c>
      <c r="H6300" t="n">
        <v>395</v>
      </c>
      <c r="J6300" t="inlineStr">
        <is>
          <t>Pollença Pueblo</t>
        </is>
      </c>
      <c r="K6300" t="n">
        <v>60.6</v>
      </c>
      <c r="L6300" t="n">
        <v>47</v>
      </c>
      <c r="M6300" t="n">
        <v>78.7</v>
      </c>
      <c r="N6300" t="n">
        <v>74</v>
      </c>
      <c r="O6300" t="n">
        <v>83.2</v>
      </c>
      <c r="P6300" t="n">
        <v>63</v>
      </c>
      <c r="Q6300" t="n">
        <v>76.40000000000001</v>
      </c>
      <c r="R6300" t="n">
        <v>70</v>
      </c>
      <c r="S6300" t="n">
        <v>880000</v>
      </c>
      <c r="T6300" t="n">
        <v>2228</v>
      </c>
      <c r="U6300" t="n">
        <v>8462</v>
      </c>
      <c r="AH6300" t="inlineStr">
        <is>
          <t>Quelle: Balearic Properties</t>
        </is>
      </c>
    </row>
    <row r="6301">
      <c r="A6301" t="n">
        <v>6114</v>
      </c>
      <c r="B6301" t="inlineStr">
        <is>
          <t>Apartments for sale in a residential development in Santa Ponsa, Mallorca</t>
        </is>
      </c>
      <c r="C6301" t="inlineStr">
        <is>
          <t>https://www.balearic-properties.com/en/property/id/781231-apartment-santa-ponsa-development-html</t>
        </is>
      </c>
      <c r="E6301" t="n">
        <v>3</v>
      </c>
      <c r="G6301" t="n">
        <v>0</v>
      </c>
      <c r="H6301" t="n">
        <v>218</v>
      </c>
      <c r="J6301" t="inlineStr">
        <is>
          <t>Santa Ponsa</t>
        </is>
      </c>
      <c r="AH6301" t="inlineStr">
        <is>
          <t>Quelle: Balearic Properties</t>
        </is>
      </c>
    </row>
    <row r="6302">
      <c r="A6302" t="n">
        <v>6115</v>
      </c>
      <c r="B6302" t="inlineStr">
        <is>
          <t>Modern three bedroom apartment for sale in Pollensa, Mallorca</t>
        </is>
      </c>
      <c r="C6302" t="inlineStr">
        <is>
          <t>https://www.balearic-properties.com/en/property/id/809071-modern-apartment-pollensa-mallorca-html</t>
        </is>
      </c>
      <c r="E6302" t="n">
        <v>3</v>
      </c>
      <c r="G6302" t="n">
        <v>0</v>
      </c>
      <c r="H6302" t="n">
        <v>97</v>
      </c>
      <c r="J6302" t="inlineStr">
        <is>
          <t>Pollença</t>
        </is>
      </c>
      <c r="AH6302" t="inlineStr">
        <is>
          <t>Quelle: Balearic Properties</t>
        </is>
      </c>
    </row>
    <row r="6303">
      <c r="A6303" t="n">
        <v>6116</v>
      </c>
      <c r="B6303" t="inlineStr">
        <is>
          <t>Penthouse apartment with pool and terrace for sale in Palma, Mallorca</t>
        </is>
      </c>
      <c r="C6303" t="inlineStr">
        <is>
          <t>https://www.balearic-properties.com/en/property/id/806430-deluxe-penthouse-private-pool-palma-html</t>
        </is>
      </c>
      <c r="E6303" t="n">
        <v>2</v>
      </c>
      <c r="G6303" t="n">
        <v>0</v>
      </c>
      <c r="H6303" t="n">
        <v>211</v>
      </c>
      <c r="J6303" t="inlineStr">
        <is>
          <t>Palma de Mallorca</t>
        </is>
      </c>
      <c r="AH6303" t="inlineStr">
        <is>
          <t>Quelle: Balearic Properties</t>
        </is>
      </c>
    </row>
    <row r="6304">
      <c r="A6304" t="n">
        <v>6117</v>
      </c>
      <c r="B6304" t="inlineStr">
        <is>
          <t>Spectacular sea view villa for sale in Alcanada, Alcúdia, Mallorca</t>
        </is>
      </c>
      <c r="C6304" t="inlineStr">
        <is>
          <t>https://www.balearic-properties.com/en/property/id/777099-villa-alcanada-etv-html</t>
        </is>
      </c>
      <c r="E6304" t="n">
        <v>5</v>
      </c>
      <c r="G6304" t="n">
        <v>852</v>
      </c>
      <c r="H6304" t="n">
        <v>542</v>
      </c>
      <c r="J6304" t="inlineStr">
        <is>
          <t>Alcanada</t>
        </is>
      </c>
      <c r="K6304" t="n">
        <v>64.2</v>
      </c>
      <c r="L6304" t="n">
        <v>48</v>
      </c>
      <c r="M6304" t="n">
        <v>82.3</v>
      </c>
      <c r="N6304" t="n">
        <v>75</v>
      </c>
      <c r="O6304" t="n">
        <v>86.8</v>
      </c>
      <c r="P6304" t="n">
        <v>64</v>
      </c>
      <c r="Q6304" t="n">
        <v>80</v>
      </c>
      <c r="R6304" t="n">
        <v>71</v>
      </c>
      <c r="AH6304" t="inlineStr">
        <is>
          <t>Quelle: Balearic Properties</t>
        </is>
      </c>
    </row>
    <row r="6305">
      <c r="A6305" t="n">
        <v>6118</v>
      </c>
      <c r="B6305" t="inlineStr">
        <is>
          <t>Wonderful country home with rental license for sale in Felanitx, Mallorca</t>
        </is>
      </c>
      <c r="C6305" t="inlineStr">
        <is>
          <t>https://www.balearic-properties.com/en/property/id/803329-finca-tourist-license-manacor-felanitx-html</t>
        </is>
      </c>
      <c r="E6305" t="n">
        <v>3</v>
      </c>
      <c r="G6305" t="n">
        <v>17914</v>
      </c>
      <c r="H6305" t="n">
        <v>415</v>
      </c>
      <c r="J6305" t="inlineStr">
        <is>
          <t>Felanitx</t>
        </is>
      </c>
      <c r="AH6305" t="inlineStr">
        <is>
          <t>Quelle: Balearic Properties</t>
        </is>
      </c>
    </row>
    <row r="6306">
      <c r="A6306" t="n">
        <v>6119</v>
      </c>
      <c r="B6306" t="inlineStr">
        <is>
          <t>Wonderful villa for sale in Bunyola, Mallorca</t>
        </is>
      </c>
      <c r="C6306" t="inlineStr">
        <is>
          <t>https://www.balearic-properties.com/en/property/id/766781-villa-bunyola-html</t>
        </is>
      </c>
      <c r="E6306" t="n">
        <v>6</v>
      </c>
      <c r="G6306" t="n">
        <v>1800</v>
      </c>
      <c r="H6306" t="n">
        <v>600</v>
      </c>
      <c r="J6306" t="inlineStr">
        <is>
          <t>Bunyola</t>
        </is>
      </c>
      <c r="K6306" t="n">
        <v>26.3</v>
      </c>
      <c r="L6306" t="n">
        <v>25</v>
      </c>
      <c r="M6306" t="n">
        <v>69.09999999999999</v>
      </c>
      <c r="N6306" t="n">
        <v>58</v>
      </c>
      <c r="O6306" t="n">
        <v>48.9</v>
      </c>
      <c r="P6306" t="n">
        <v>41</v>
      </c>
      <c r="Q6306" t="n">
        <v>66.8</v>
      </c>
      <c r="R6306" t="n">
        <v>54</v>
      </c>
      <c r="AH6306" t="inlineStr">
        <is>
          <t>Quelle: Balearic Properties</t>
        </is>
      </c>
    </row>
    <row r="6307">
      <c r="A6307" t="n">
        <v>6120</v>
      </c>
      <c r="B6307" t="inlineStr">
        <is>
          <t>Impeccable designer apartment with garden for sale in Puig de Ros, Mallorca</t>
        </is>
      </c>
      <c r="C6307" t="inlineStr">
        <is>
          <t>https://www.balearic-properties.com/en/property/id/824162-impecable-designer-apartment-with-large-garden-and-communal-pool-in-puig-de-ros-mallorca-html</t>
        </is>
      </c>
      <c r="E6307" t="n">
        <v>2</v>
      </c>
      <c r="G6307" t="n">
        <v>238</v>
      </c>
      <c r="H6307" t="n">
        <v>83</v>
      </c>
      <c r="J6307" t="inlineStr">
        <is>
          <t>Puig de Ros</t>
        </is>
      </c>
      <c r="AH6307" t="inlineStr">
        <is>
          <t>Quelle: Balearic Properties</t>
        </is>
      </c>
    </row>
    <row r="6308">
      <c r="A6308" t="n">
        <v>6121</v>
      </c>
      <c r="B6308" t="inlineStr">
        <is>
          <t>Village house to renovate for sale in the historic centre of Alcudia, Mallorca</t>
        </is>
      </c>
      <c r="C6308" t="inlineStr">
        <is>
          <t>https://www.balearic-properties.com/en/property/id/824026-village-house-renovation-centre-alcudia-mallorca-html</t>
        </is>
      </c>
      <c r="E6308" t="n">
        <v>3</v>
      </c>
      <c r="G6308" t="n">
        <v>64</v>
      </c>
      <c r="H6308" t="n">
        <v>160</v>
      </c>
      <c r="J6308" t="inlineStr">
        <is>
          <t>Alcúdia</t>
        </is>
      </c>
      <c r="AH6308" t="inlineStr">
        <is>
          <t>Quelle: Balearic Properties</t>
        </is>
      </c>
    </row>
    <row r="6309">
      <c r="A6309" t="n">
        <v>6122</v>
      </c>
      <c r="B6309" t="inlineStr">
        <is>
          <t>Unique house in need of refurbishment for sale near Puerto Sóller, Mallorca</t>
        </is>
      </c>
      <c r="C6309" t="inlineStr">
        <is>
          <t>https://www.balearic-properties.com/en/property/id/823490-unique-house-refurbishment-puerto-soller-mallorca-html</t>
        </is>
      </c>
      <c r="E6309" t="n">
        <v>5</v>
      </c>
      <c r="G6309" t="n">
        <v>200</v>
      </c>
      <c r="H6309" t="n">
        <v>293</v>
      </c>
      <c r="J6309" t="inlineStr">
        <is>
          <t>Port de Sóller</t>
        </is>
      </c>
      <c r="K6309" t="n">
        <v>36.3</v>
      </c>
      <c r="L6309" t="n">
        <v>42</v>
      </c>
      <c r="M6309" t="n">
        <v>79.09999999999999</v>
      </c>
      <c r="N6309" t="n">
        <v>75</v>
      </c>
      <c r="O6309" t="n">
        <v>56</v>
      </c>
      <c r="P6309" t="n">
        <v>55</v>
      </c>
      <c r="Q6309" t="n">
        <v>76.8</v>
      </c>
      <c r="R6309" t="n">
        <v>71</v>
      </c>
      <c r="AH6309" t="inlineStr">
        <is>
          <t>Quelle: Balearic Properties</t>
        </is>
      </c>
    </row>
    <row r="6310">
      <c r="A6310" t="n">
        <v>6123</v>
      </c>
      <c r="B6310" t="inlineStr">
        <is>
          <t>Beautiful finca for sale very close to the village Pollensa, Mallorca</t>
        </is>
      </c>
      <c r="C6310" t="inlineStr">
        <is>
          <t>https://www.balearic-properties.com/en/property/id/822099-beautiful-finca-pollensa-mallorca-html</t>
        </is>
      </c>
      <c r="E6310" t="n">
        <v>2</v>
      </c>
      <c r="G6310" t="n">
        <v>3664</v>
      </c>
      <c r="H6310" t="n">
        <v>208</v>
      </c>
      <c r="J6310" t="inlineStr">
        <is>
          <t>Pollença</t>
        </is>
      </c>
      <c r="AH6310" t="inlineStr">
        <is>
          <t>Quelle: Balearic Properties</t>
        </is>
      </c>
    </row>
    <row r="6311">
      <c r="A6311" t="n">
        <v>6124</v>
      </c>
      <c r="B6311" t="inlineStr">
        <is>
          <t>Apartment on the beautiful beach promenade for sale in Puerto Pollença, Mallorca</t>
        </is>
      </c>
      <c r="C6311" t="inlineStr">
        <is>
          <t>https://www.balearic-properties.com/en/property/id/823353-apartment-exclusive-puerto-pollensa-mallorca-html</t>
        </is>
      </c>
      <c r="E6311" t="n">
        <v>3</v>
      </c>
      <c r="G6311" t="n">
        <v>0</v>
      </c>
      <c r="H6311" t="n">
        <v>130</v>
      </c>
      <c r="J6311" t="inlineStr">
        <is>
          <t>Port de Pollença</t>
        </is>
      </c>
      <c r="AH6311" t="inlineStr">
        <is>
          <t>Quelle: Balearic Properties</t>
        </is>
      </c>
    </row>
    <row r="6312">
      <c r="A6312" t="n">
        <v>6125</v>
      </c>
      <c r="B6312" t="inlineStr">
        <is>
          <t>Modern finca with views of Alcudia Bay for sale in Muro, Mallorca</t>
        </is>
      </c>
      <c r="C6312" t="inlineStr">
        <is>
          <t>https://www.balearic-properties.com/en/property/id/821925-modern-finca-views-muro-mallorca-html</t>
        </is>
      </c>
      <c r="E6312" t="n">
        <v>4</v>
      </c>
      <c r="G6312" t="n">
        <v>15254</v>
      </c>
      <c r="H6312" t="n">
        <v>254</v>
      </c>
      <c r="J6312" t="inlineStr">
        <is>
          <t>Muro</t>
        </is>
      </c>
      <c r="AH6312" t="inlineStr">
        <is>
          <t>Quelle: Balearic Properties</t>
        </is>
      </c>
    </row>
    <row r="6313">
      <c r="A6313" t="n">
        <v>6126</v>
      </c>
      <c r="B6313" t="inlineStr">
        <is>
          <t>New luxury finca with sea views, for sale near Santanyi, Mallorca</t>
        </is>
      </c>
      <c r="C6313" t="inlineStr">
        <is>
          <t>https://www.balearic-properties.com/en/property/id/813231-luxury-finca-seaviews-santanyi-mallorca-html</t>
        </is>
      </c>
      <c r="E6313" t="n">
        <v>4</v>
      </c>
      <c r="G6313" t="n">
        <v>17500</v>
      </c>
      <c r="H6313" t="n">
        <v>315</v>
      </c>
      <c r="J6313" t="inlineStr">
        <is>
          <t>Santanyí</t>
        </is>
      </c>
      <c r="AH6313" t="inlineStr">
        <is>
          <t>Quelle: Balearic Properties</t>
        </is>
      </c>
    </row>
    <row r="6314">
      <c r="A6314" t="n">
        <v>6127</v>
      </c>
      <c r="B6314" t="inlineStr">
        <is>
          <t>Most charming country house for sale near Pollença, Mallorca</t>
        </is>
      </c>
      <c r="C6314" t="inlineStr">
        <is>
          <t>https://www.balearic-properties.com/en/property/id/822799-charming-country-house-pollensa-mallorca-html</t>
        </is>
      </c>
      <c r="E6314" t="n">
        <v>5</v>
      </c>
      <c r="G6314" t="n">
        <v>11757</v>
      </c>
      <c r="H6314" t="n">
        <v>1717</v>
      </c>
      <c r="J6314" t="inlineStr">
        <is>
          <t>Pollença</t>
        </is>
      </c>
      <c r="K6314" t="n">
        <v>60.6</v>
      </c>
      <c r="L6314" t="n">
        <v>47</v>
      </c>
      <c r="M6314" t="n">
        <v>78.7</v>
      </c>
      <c r="N6314" t="n">
        <v>74</v>
      </c>
      <c r="O6314" t="n">
        <v>83.2</v>
      </c>
      <c r="P6314" t="n">
        <v>63</v>
      </c>
      <c r="Q6314" t="n">
        <v>76.40000000000001</v>
      </c>
      <c r="R6314" t="n">
        <v>70</v>
      </c>
      <c r="AH6314" t="inlineStr">
        <is>
          <t>Quelle: Balearic Properties</t>
        </is>
      </c>
    </row>
    <row r="6315">
      <c r="A6315" t="n">
        <v>6128</v>
      </c>
      <c r="B6315" t="inlineStr">
        <is>
          <t>Attractive finca with holiday license, for sale in Selva, Mallorca</t>
        </is>
      </c>
      <c r="C6315" t="inlineStr">
        <is>
          <t>https://www.balearic-properties.com/en/property/id/822854-finca-pool-holiday-license-selva-mallorca-html</t>
        </is>
      </c>
      <c r="E6315" t="n">
        <v>3</v>
      </c>
      <c r="G6315" t="n">
        <v>22800</v>
      </c>
      <c r="H6315" t="n">
        <v>596</v>
      </c>
      <c r="J6315" t="inlineStr">
        <is>
          <t>Selva</t>
        </is>
      </c>
      <c r="AH6315" t="inlineStr">
        <is>
          <t>Quelle: Balearic Properties</t>
        </is>
      </c>
    </row>
    <row r="6316">
      <c r="A6316" t="n">
        <v>6129</v>
      </c>
      <c r="B6316" t="inlineStr">
        <is>
          <t>Sunny apartment with big terrace and dream views for sale in Puerto Portals, Mallorca</t>
        </is>
      </c>
      <c r="C6316" t="inlineStr">
        <is>
          <t>https://www.balearic-properties.com/en/property/id/822766-apartment-terrace-views-puerto-portals-html</t>
        </is>
      </c>
      <c r="E6316" t="n">
        <v>3</v>
      </c>
      <c r="G6316" t="n">
        <v>0</v>
      </c>
      <c r="H6316" t="n">
        <v>198</v>
      </c>
      <c r="J6316" t="inlineStr">
        <is>
          <t>Portals Nous</t>
        </is>
      </c>
      <c r="AH6316" t="inlineStr">
        <is>
          <t>Quelle: Balearic Properties</t>
        </is>
      </c>
    </row>
    <row r="6317">
      <c r="A6317" t="n">
        <v>6130</v>
      </c>
      <c r="B6317" t="inlineStr">
        <is>
          <t>Palace apartment with terrace for sale in the centre of Palma, Mallorca</t>
        </is>
      </c>
      <c r="C6317" t="inlineStr">
        <is>
          <t>https://www.balearic-properties.com/en/property/id/761728-apartment-palma-mallorca-html</t>
        </is>
      </c>
      <c r="E6317" t="n">
        <v>3</v>
      </c>
      <c r="G6317" t="n">
        <v>0</v>
      </c>
      <c r="H6317" t="n">
        <v>170</v>
      </c>
      <c r="J6317" t="inlineStr">
        <is>
          <t>Palma de Mallorca</t>
        </is>
      </c>
      <c r="K6317" t="n">
        <v>9.699999999999999</v>
      </c>
      <c r="L6317" t="n">
        <v>14</v>
      </c>
      <c r="M6317" t="n">
        <v>52.5</v>
      </c>
      <c r="N6317" t="n">
        <v>47</v>
      </c>
      <c r="O6317" t="n">
        <v>32.1</v>
      </c>
      <c r="P6317" t="n">
        <v>36</v>
      </c>
      <c r="Q6317" t="n">
        <v>50.2</v>
      </c>
      <c r="R6317" t="n">
        <v>44</v>
      </c>
      <c r="S6317" t="n">
        <v>1850000</v>
      </c>
      <c r="T6317" t="n">
        <v>10882</v>
      </c>
      <c r="AH6317" t="inlineStr">
        <is>
          <t>Quelle: Balearic Properties</t>
        </is>
      </c>
    </row>
    <row r="6318">
      <c r="A6318" t="n">
        <v>6131</v>
      </c>
      <c r="B6318" t="inlineStr">
        <is>
          <t>Lovely apartment for sale close to the beach in Puerto Pollensa, Mallorca</t>
        </is>
      </c>
      <c r="C6318" t="inlineStr">
        <is>
          <t>https://www.balearic-properties.com/en/property/id/822078-luminous-apartment-puerto-pollensa-mallorca-html</t>
        </is>
      </c>
      <c r="E6318" t="n">
        <v>3</v>
      </c>
      <c r="G6318" t="n">
        <v>0</v>
      </c>
      <c r="H6318" t="n">
        <v>129</v>
      </c>
      <c r="J6318" t="inlineStr">
        <is>
          <t>Port de Pollença</t>
        </is>
      </c>
      <c r="AH6318" t="inlineStr">
        <is>
          <t>Quelle: Balearic Properties</t>
        </is>
      </c>
    </row>
    <row r="6319">
      <c r="A6319" t="n">
        <v>6132</v>
      </c>
      <c r="B6319" t="inlineStr">
        <is>
          <t>New build luxury townhouse with an amazing 40 m2 swimming pool for sale in Ses Salines, Mallorca</t>
        </is>
      </c>
      <c r="C6319" t="inlineStr">
        <is>
          <t>https://www.balearic-properties.com/en/property/id/822260</t>
        </is>
      </c>
      <c r="E6319" t="n">
        <v>4</v>
      </c>
      <c r="G6319" t="n">
        <v>365</v>
      </c>
      <c r="H6319" t="n">
        <v>275</v>
      </c>
      <c r="J6319" t="inlineStr">
        <is>
          <t>Ses Salines</t>
        </is>
      </c>
      <c r="AH6319" t="inlineStr">
        <is>
          <t>Quelle: Balearic Properties</t>
        </is>
      </c>
    </row>
    <row r="6320">
      <c r="A6320" t="n">
        <v>6133</v>
      </c>
      <c r="B6320" t="inlineStr">
        <is>
          <t>New build luxury townhouse including a 2 bedroom guest house for sale in Ses Salines, Mallorca</t>
        </is>
      </c>
      <c r="C6320" t="inlineStr">
        <is>
          <t>https://www.balearic-properties.com/en/property/id/822259-ses-roquetes-townhouse-sessalines-5bedrooms</t>
        </is>
      </c>
      <c r="E6320" t="n">
        <v>5</v>
      </c>
      <c r="G6320" t="n">
        <v>380</v>
      </c>
      <c r="H6320" t="n">
        <v>345</v>
      </c>
      <c r="J6320" t="inlineStr">
        <is>
          <t>Ses Salines</t>
        </is>
      </c>
      <c r="K6320" t="n">
        <v>44.5</v>
      </c>
      <c r="L6320" t="n">
        <v>39</v>
      </c>
      <c r="M6320" t="n">
        <v>2.4</v>
      </c>
      <c r="N6320" t="n">
        <v>5</v>
      </c>
      <c r="O6320" t="n">
        <v>82.7</v>
      </c>
      <c r="P6320" t="n">
        <v>67</v>
      </c>
      <c r="Q6320" t="n">
        <v>2</v>
      </c>
      <c r="R6320" t="n">
        <v>5</v>
      </c>
      <c r="AH6320" t="inlineStr">
        <is>
          <t>Quelle: Balearic Properties</t>
        </is>
      </c>
    </row>
    <row r="6321">
      <c r="A6321" t="n">
        <v>6134</v>
      </c>
      <c r="B6321" t="inlineStr">
        <is>
          <t>Elegant sea view apartment for sale in Palmanova, Mallorca</t>
        </is>
      </c>
      <c r="C6321" t="inlineStr">
        <is>
          <t>https://www.balearic-properties.com/en/property/id/822265-modern-apartment-sea-views-sale-palmanova-mallorca-html</t>
        </is>
      </c>
      <c r="E6321" t="n">
        <v>3</v>
      </c>
      <c r="G6321" t="n">
        <v>0</v>
      </c>
      <c r="H6321" t="n">
        <v>196</v>
      </c>
      <c r="J6321" t="inlineStr">
        <is>
          <t>Palmanova</t>
        </is>
      </c>
      <c r="S6321" t="n">
        <v>990000</v>
      </c>
      <c r="T6321" t="n">
        <v>5051</v>
      </c>
      <c r="AH6321" t="inlineStr">
        <is>
          <t>Quelle: Balearic Properties</t>
        </is>
      </c>
    </row>
    <row r="6322">
      <c r="A6322" t="n">
        <v>6135</v>
      </c>
      <c r="B6322" t="inlineStr">
        <is>
          <t>Front line penthouse for sale on the promenade of Puerto Alcudia, Mallorca</t>
        </is>
      </c>
      <c r="C6322" t="inlineStr">
        <is>
          <t>https://www.balearic-properties.com/en/property/id/818322-frontline-penthouse-puerto-alcudia-mallorca-html</t>
        </is>
      </c>
      <c r="E6322" t="n">
        <v>3</v>
      </c>
      <c r="G6322" t="n">
        <v>0</v>
      </c>
      <c r="H6322" t="n">
        <v>80</v>
      </c>
      <c r="J6322" t="inlineStr">
        <is>
          <t>Puerto de Alcúdia</t>
        </is>
      </c>
      <c r="AH6322" t="inlineStr">
        <is>
          <t>Quelle: Balearic Properties</t>
        </is>
      </c>
    </row>
    <row r="6323">
      <c r="A6323" t="n">
        <v>6136</v>
      </c>
      <c r="B6323" t="inlineStr">
        <is>
          <t>Remarkable manor house for sale in the centre of Campanet, Mallorca</t>
        </is>
      </c>
      <c r="C6323" t="inlineStr">
        <is>
          <t>https://www.balearic-properties.com/en/property/id/821868-manor-house-centre-campanet-mallorca-html</t>
        </is>
      </c>
      <c r="E6323" t="n">
        <v>8</v>
      </c>
      <c r="G6323" t="n">
        <v>10562</v>
      </c>
      <c r="H6323" t="n">
        <v>757</v>
      </c>
      <c r="J6323" t="inlineStr">
        <is>
          <t>Campanet</t>
        </is>
      </c>
      <c r="K6323" t="n">
        <v>46.9</v>
      </c>
      <c r="L6323" t="n">
        <v>38</v>
      </c>
      <c r="M6323" t="n">
        <v>65</v>
      </c>
      <c r="N6323" t="n">
        <v>65</v>
      </c>
      <c r="O6323" t="n">
        <v>69.5</v>
      </c>
      <c r="P6323" t="n">
        <v>54</v>
      </c>
      <c r="Q6323" t="n">
        <v>62.7</v>
      </c>
      <c r="R6323" t="n">
        <v>61</v>
      </c>
      <c r="AH6323" t="inlineStr">
        <is>
          <t>Quelle: Balearic Properties</t>
        </is>
      </c>
    </row>
    <row r="6324">
      <c r="A6324" t="n">
        <v>6137</v>
      </c>
      <c r="B6324" t="inlineStr">
        <is>
          <t>Gorgeous apartment for sale by the golf course in Santa Ponsa, Mallorca</t>
        </is>
      </c>
      <c r="C6324" t="inlineStr">
        <is>
          <t>https://www.balearic-properties.com/en/property/id/821386-gorgeous-apartment-by-the-golf-course-in-santa-ponsa-mallorca-html</t>
        </is>
      </c>
      <c r="E6324" t="n">
        <v>3</v>
      </c>
      <c r="G6324" t="n">
        <v>0</v>
      </c>
      <c r="H6324" t="n">
        <v>140</v>
      </c>
      <c r="J6324" t="inlineStr">
        <is>
          <t>Santa Ponsa</t>
        </is>
      </c>
      <c r="AH6324" t="inlineStr">
        <is>
          <t>Quelle: Balearic Properties</t>
        </is>
      </c>
    </row>
    <row r="6325">
      <c r="A6325" t="n">
        <v>6138</v>
      </c>
      <c r="B6325" t="inlineStr">
        <is>
          <t>Extraordinary country finca for sale in a private area of Alaró, Mallorca</t>
        </is>
      </c>
      <c r="C6325" t="inlineStr">
        <is>
          <t>https://www.balearic-properties.com/en/property/id/696756-country-house-pool-view-alaro-mallorca-html</t>
        </is>
      </c>
      <c r="E6325" t="n">
        <v>6</v>
      </c>
      <c r="G6325" t="n">
        <v>175088</v>
      </c>
      <c r="H6325" t="n">
        <v>650</v>
      </c>
      <c r="J6325" t="inlineStr">
        <is>
          <t>Alaró</t>
        </is>
      </c>
      <c r="K6325" t="n">
        <v>33.4</v>
      </c>
      <c r="L6325" t="n">
        <v>33</v>
      </c>
      <c r="M6325" t="n">
        <v>76.09999999999999</v>
      </c>
      <c r="N6325" t="n">
        <v>66</v>
      </c>
      <c r="O6325" t="n">
        <v>55.9</v>
      </c>
      <c r="P6325" t="n">
        <v>49</v>
      </c>
      <c r="Q6325" t="n">
        <v>73.8</v>
      </c>
      <c r="R6325" t="n">
        <v>62</v>
      </c>
      <c r="AH6325" t="inlineStr">
        <is>
          <t>Quelle: Balearic Properties</t>
        </is>
      </c>
    </row>
    <row r="6326">
      <c r="A6326" t="n">
        <v>6139</v>
      </c>
      <c r="B6326" t="inlineStr">
        <is>
          <t>4 bedroom sea view villa with pool for sale in Génova, Palma, Mallorca</t>
        </is>
      </c>
      <c r="C6326" t="inlineStr">
        <is>
          <t>https://www.balearic-properties.com/en/property/id/821181-villa-pool-sea-views-genova-palma-mallorca-html</t>
        </is>
      </c>
      <c r="E6326" t="n">
        <v>4</v>
      </c>
      <c r="G6326" t="n">
        <v>443</v>
      </c>
      <c r="H6326" t="n">
        <v>367</v>
      </c>
      <c r="J6326" t="inlineStr">
        <is>
          <t>Génova</t>
        </is>
      </c>
      <c r="K6326" t="n">
        <v>18</v>
      </c>
      <c r="L6326" t="n">
        <v>20</v>
      </c>
      <c r="M6326" t="n">
        <v>60.7</v>
      </c>
      <c r="N6326" t="n">
        <v>53</v>
      </c>
      <c r="O6326" t="n">
        <v>25.4</v>
      </c>
      <c r="P6326" t="n">
        <v>26</v>
      </c>
      <c r="Q6326" t="n">
        <v>58.4</v>
      </c>
      <c r="R6326" t="n">
        <v>49</v>
      </c>
      <c r="S6326" t="n">
        <v>1295000</v>
      </c>
      <c r="T6326" t="n">
        <v>3529</v>
      </c>
      <c r="U6326" t="n">
        <v>2923</v>
      </c>
      <c r="AH6326" t="inlineStr">
        <is>
          <t>Quelle: Balearic Properties</t>
        </is>
      </c>
    </row>
    <row r="6327">
      <c r="A6327" t="n">
        <v>6140</v>
      </c>
      <c r="B6327" t="inlineStr">
        <is>
          <t>Deluxe stone built house with pool, for sale in Sóller, Mallorca</t>
        </is>
      </c>
      <c r="C6327" t="inlineStr">
        <is>
          <t>https://www.balearic-properties.com/en/property/id/806717-stone-built-house-pool-soller-mallorca-html</t>
        </is>
      </c>
      <c r="E6327" t="n">
        <v>6</v>
      </c>
      <c r="G6327" t="n">
        <v>4176</v>
      </c>
      <c r="H6327" t="n">
        <v>520</v>
      </c>
      <c r="J6327" t="inlineStr">
        <is>
          <t>Sóller</t>
        </is>
      </c>
      <c r="K6327" t="n">
        <v>32.5</v>
      </c>
      <c r="L6327" t="n">
        <v>38</v>
      </c>
      <c r="M6327" t="n">
        <v>75.2</v>
      </c>
      <c r="N6327" t="n">
        <v>70</v>
      </c>
      <c r="O6327" t="n">
        <v>52.1</v>
      </c>
      <c r="P6327" t="n">
        <v>51</v>
      </c>
      <c r="Q6327" t="n">
        <v>72.90000000000001</v>
      </c>
      <c r="R6327" t="n">
        <v>67</v>
      </c>
      <c r="AH6327" t="inlineStr">
        <is>
          <t>Quelle: Balearic Properties</t>
        </is>
      </c>
    </row>
    <row r="6328">
      <c r="A6328" t="n">
        <v>6141</v>
      </c>
      <c r="B6328" t="inlineStr">
        <is>
          <t>Immaculate 5 bedroom apartment for sale in Pollensa, Mallorca</t>
        </is>
      </c>
      <c r="C6328" t="inlineStr">
        <is>
          <t>https://www.balearic-properties.com/en/property/id/810746-immaculate-5-bedroom-apartment-pollensa-html</t>
        </is>
      </c>
      <c r="E6328" t="n">
        <v>5</v>
      </c>
      <c r="G6328" t="n">
        <v>0</v>
      </c>
      <c r="H6328" t="n">
        <v>185</v>
      </c>
      <c r="J6328" t="inlineStr">
        <is>
          <t>Pollença</t>
        </is>
      </c>
      <c r="K6328" t="n">
        <v>60.6</v>
      </c>
      <c r="L6328" t="n">
        <v>47</v>
      </c>
      <c r="M6328" t="n">
        <v>78.7</v>
      </c>
      <c r="N6328" t="n">
        <v>74</v>
      </c>
      <c r="O6328" t="n">
        <v>83.2</v>
      </c>
      <c r="P6328" t="n">
        <v>63</v>
      </c>
      <c r="Q6328" t="n">
        <v>76.40000000000001</v>
      </c>
      <c r="R6328" t="n">
        <v>70</v>
      </c>
      <c r="S6328" t="n">
        <v>329000</v>
      </c>
      <c r="T6328" t="n">
        <v>1778</v>
      </c>
      <c r="AH6328" t="inlineStr">
        <is>
          <t>Quelle: Balearic Properties</t>
        </is>
      </c>
    </row>
    <row r="6329">
      <c r="A6329" t="n">
        <v>6142</v>
      </c>
      <c r="B6329" t="inlineStr">
        <is>
          <t>Sea view villa with holiday license for sale in Portocolom, Mallorca</t>
        </is>
      </c>
      <c r="C6329" t="inlineStr">
        <is>
          <t>https://www.balearic-properties.com/en/property/id/806426-sea-view-villa-holiday-license-portocolom-felanitx-html</t>
        </is>
      </c>
      <c r="E6329" t="n">
        <v>4</v>
      </c>
      <c r="G6329" t="n">
        <v>807</v>
      </c>
      <c r="H6329" t="n">
        <v>352</v>
      </c>
      <c r="J6329" t="inlineStr">
        <is>
          <t>Portocolom</t>
        </is>
      </c>
      <c r="AH6329" t="inlineStr">
        <is>
          <t>Quelle: Balearic Properties</t>
        </is>
      </c>
    </row>
    <row r="6330">
      <c r="A6330" t="n">
        <v>6143</v>
      </c>
      <c r="B6330" t="inlineStr">
        <is>
          <t>Beautiful apartment recently renovated for sale near the beach in Puerto Pollensa, Mallorca</t>
        </is>
      </c>
      <c r="C6330" t="inlineStr">
        <is>
          <t>https://www.balearic-properties.com/en/property/id/821147-apartment-beach-puerto-pollensa-mallorca-html</t>
        </is>
      </c>
      <c r="E6330" t="n">
        <v>3</v>
      </c>
      <c r="G6330" t="n">
        <v>0</v>
      </c>
      <c r="H6330" t="n">
        <v>115</v>
      </c>
      <c r="J6330" t="inlineStr">
        <is>
          <t>Port de Pollença</t>
        </is>
      </c>
      <c r="AH6330" t="inlineStr">
        <is>
          <t>Quelle: Balearic Properties</t>
        </is>
      </c>
    </row>
    <row r="6331">
      <c r="A6331" t="n">
        <v>6144</v>
      </c>
      <c r="B6331" t="inlineStr">
        <is>
          <t>Fantastic villa with holiday license for sale close to Pollensa, Mallorca</t>
        </is>
      </c>
      <c r="C6331" t="inlineStr">
        <is>
          <t>https://www.balearic-properties.com/en/property/id/763452-villa-rental-license-pool-pollensa-mallorca-html</t>
        </is>
      </c>
      <c r="E6331" t="n">
        <v>4</v>
      </c>
      <c r="G6331" t="n">
        <v>1240</v>
      </c>
      <c r="H6331" t="n">
        <v>291</v>
      </c>
      <c r="J6331" t="inlineStr">
        <is>
          <t>Sa Pobla</t>
        </is>
      </c>
      <c r="AH6331" t="inlineStr">
        <is>
          <t>Quelle: Balearic Properties</t>
        </is>
      </c>
    </row>
    <row r="6332">
      <c r="A6332" t="n">
        <v>6145</v>
      </c>
      <c r="B6332" t="inlineStr">
        <is>
          <t>Countryside villa with holiday license, for sale in Pollensa, Mallorca</t>
        </is>
      </c>
      <c r="C6332" t="inlineStr">
        <is>
          <t>https://www.balearic-properties.com/en/property/id/777428-countryside-villa-holiday-license-pollensa-mallorca-html</t>
        </is>
      </c>
      <c r="E6332" t="n">
        <v>3</v>
      </c>
      <c r="G6332" t="n">
        <v>3900</v>
      </c>
      <c r="H6332" t="n">
        <v>278</v>
      </c>
      <c r="J6332" t="inlineStr">
        <is>
          <t>Pollença</t>
        </is>
      </c>
      <c r="AH6332" t="inlineStr">
        <is>
          <t>Quelle: Balearic Properties</t>
        </is>
      </c>
    </row>
    <row r="6333">
      <c r="A6333" t="n">
        <v>6146</v>
      </c>
      <c r="B6333" t="inlineStr">
        <is>
          <t>Renovated sea view apartment for sale in Puerto Portals, Mallorca</t>
        </is>
      </c>
      <c r="C6333" t="inlineStr">
        <is>
          <t>https://www.balearic-properties.com/en/property/id/821286-seaview-apartment-puerto-portals-mallorca-html</t>
        </is>
      </c>
      <c r="E6333" t="n">
        <v>2</v>
      </c>
      <c r="G6333" t="n">
        <v>0</v>
      </c>
      <c r="H6333" t="n">
        <v>85</v>
      </c>
      <c r="J6333" t="inlineStr">
        <is>
          <t>Portals Nous</t>
        </is>
      </c>
      <c r="S6333" t="n">
        <v>750000</v>
      </c>
      <c r="T6333" t="n">
        <v>8824</v>
      </c>
      <c r="AH6333" t="inlineStr">
        <is>
          <t>Quelle: Balearic Properties</t>
        </is>
      </c>
    </row>
    <row r="6334">
      <c r="A6334" t="n">
        <v>6147</v>
      </c>
      <c r="B6334" t="inlineStr">
        <is>
          <t>Unique villa for sale just metres from the sea in Puerto Pollensa, Mallorca</t>
        </is>
      </c>
      <c r="C6334" t="inlineStr">
        <is>
          <t>https://www.balearic-properties.com/en/property/id/819825-villa-llenaire-seaviews-html</t>
        </is>
      </c>
      <c r="E6334" t="n">
        <v>6</v>
      </c>
      <c r="G6334" t="n">
        <v>1391</v>
      </c>
      <c r="H6334" t="n">
        <v>426</v>
      </c>
      <c r="J6334" t="inlineStr">
        <is>
          <t>Port de Pollença</t>
        </is>
      </c>
      <c r="K6334" t="n">
        <v>66.90000000000001</v>
      </c>
      <c r="L6334" t="n">
        <v>52</v>
      </c>
      <c r="M6334" t="n">
        <v>85</v>
      </c>
      <c r="N6334" t="n">
        <v>78</v>
      </c>
      <c r="O6334" t="n">
        <v>89.5</v>
      </c>
      <c r="P6334" t="n">
        <v>68</v>
      </c>
      <c r="Q6334" t="n">
        <v>82.7</v>
      </c>
      <c r="R6334" t="n">
        <v>75</v>
      </c>
      <c r="AH6334" t="inlineStr">
        <is>
          <t>Quelle: Balearic Properties</t>
        </is>
      </c>
    </row>
    <row r="6335">
      <c r="A6335" t="n">
        <v>6148</v>
      </c>
      <c r="B6335" t="inlineStr">
        <is>
          <t>Construction project for a country villa for sale near Puerto Pollensa, Mallorca</t>
        </is>
      </c>
      <c r="C6335" t="inlineStr">
        <is>
          <t>https://www.balearic-properties.com/en/property/id/807788-project-country-villa-puerto-pollensa-html</t>
        </is>
      </c>
      <c r="E6335" t="n">
        <v>5</v>
      </c>
      <c r="G6335" t="n">
        <v>17348</v>
      </c>
      <c r="H6335" t="n">
        <v>338</v>
      </c>
      <c r="J6335" t="inlineStr">
        <is>
          <t>Pollença</t>
        </is>
      </c>
      <c r="K6335" t="n">
        <v>60.6</v>
      </c>
      <c r="L6335" t="n">
        <v>47</v>
      </c>
      <c r="M6335" t="n">
        <v>78.7</v>
      </c>
      <c r="N6335" t="n">
        <v>74</v>
      </c>
      <c r="O6335" t="n">
        <v>83.2</v>
      </c>
      <c r="P6335" t="n">
        <v>63</v>
      </c>
      <c r="Q6335" t="n">
        <v>76.40000000000001</v>
      </c>
      <c r="R6335" t="n">
        <v>70</v>
      </c>
      <c r="AH6335" t="inlineStr">
        <is>
          <t>Quelle: Balearic Properties</t>
        </is>
      </c>
    </row>
    <row r="6336">
      <c r="A6336" t="n">
        <v>6149</v>
      </c>
      <c r="B6336" t="inlineStr">
        <is>
          <t>Frontline apartment with incredible views for sale in Palma, Mallorca</t>
        </is>
      </c>
      <c r="C6336" t="inlineStr">
        <is>
          <t>https://www.balearic-properties.com/en/property/id/796001-palma-apartment-frontline-html</t>
        </is>
      </c>
      <c r="E6336" t="n">
        <v>4</v>
      </c>
      <c r="G6336" t="n">
        <v>0</v>
      </c>
      <c r="H6336" t="n">
        <v>221</v>
      </c>
      <c r="J6336" t="inlineStr">
        <is>
          <t>Palma de Mallorca</t>
        </is>
      </c>
      <c r="AH6336" t="inlineStr">
        <is>
          <t>Quelle: Balearic Properties</t>
        </is>
      </c>
    </row>
    <row r="6337">
      <c r="A6337" t="n">
        <v>6150</v>
      </c>
      <c r="B6337" t="inlineStr">
        <is>
          <t>Smart ground floor apartment for sale in Pollensa, Mallorca</t>
        </is>
      </c>
      <c r="C6337" t="inlineStr">
        <is>
          <t>https://www.balearic-properties.com/en/property/id/811465-ground-floor-apartment-pollensa-mallorca-html</t>
        </is>
      </c>
      <c r="E6337" t="n">
        <v>2</v>
      </c>
      <c r="G6337" t="n">
        <v>64</v>
      </c>
      <c r="H6337" t="n">
        <v>65</v>
      </c>
      <c r="J6337" t="inlineStr">
        <is>
          <t>Pollença</t>
        </is>
      </c>
      <c r="AH6337" t="inlineStr">
        <is>
          <t>Quelle: Balearic Properties</t>
        </is>
      </c>
    </row>
    <row r="6338">
      <c r="A6338" t="n">
        <v>6151</v>
      </c>
      <c r="B6338" t="inlineStr">
        <is>
          <t>Charming villa for sale on the outskirts of Pòrtol, near Palma, Mallorca</t>
        </is>
      </c>
      <c r="C6338" t="inlineStr">
        <is>
          <t>https://www.balearic-properties.com/en/property/id/819429-charming-villa-outskirts-of-portol-near-palma-mallorca-html</t>
        </is>
      </c>
      <c r="E6338" t="n">
        <v>3</v>
      </c>
      <c r="G6338" t="n">
        <v>3478</v>
      </c>
      <c r="H6338" t="n">
        <v>252</v>
      </c>
      <c r="J6338" t="inlineStr">
        <is>
          <t>Portol</t>
        </is>
      </c>
      <c r="S6338" t="n">
        <v>650000</v>
      </c>
      <c r="T6338" t="n">
        <v>2579</v>
      </c>
      <c r="U6338" t="n">
        <v>187</v>
      </c>
      <c r="AH6338" t="inlineStr">
        <is>
          <t>Quelle: Balearic Properties</t>
        </is>
      </c>
    </row>
    <row r="6339">
      <c r="A6339" t="n">
        <v>6152</v>
      </c>
      <c r="B6339" t="inlineStr">
        <is>
          <t>Renovated village house with pool for sale in Santa Margalida, Mallorca</t>
        </is>
      </c>
      <c r="C6339" t="inlineStr">
        <is>
          <t>https://www.balearic-properties.com/en/property/id/803604-renovated-house-pool-santa-margalida-html</t>
        </is>
      </c>
      <c r="E6339" t="n">
        <v>3</v>
      </c>
      <c r="G6339" t="n">
        <v>100</v>
      </c>
      <c r="H6339" t="n">
        <v>140</v>
      </c>
      <c r="J6339" t="inlineStr">
        <is>
          <t>Santa Margalida</t>
        </is>
      </c>
      <c r="AH6339" t="inlineStr">
        <is>
          <t>Quelle: Balearic Properties</t>
        </is>
      </c>
    </row>
    <row r="6340">
      <c r="A6340" t="n">
        <v>6153</v>
      </c>
      <c r="B6340" t="inlineStr">
        <is>
          <t>Gorgeous garden apartment for sale in a peaceful area of Sol de Mallorca</t>
        </is>
      </c>
      <c r="C6340" t="inlineStr">
        <is>
          <t>https://www.balearic-properties.com/en/property/id/819731-garden-apartment-exclusive-complex-sol-de-mallorca-html</t>
        </is>
      </c>
      <c r="E6340" t="n">
        <v>3</v>
      </c>
      <c r="G6340" t="n">
        <v>0</v>
      </c>
      <c r="H6340" t="n">
        <v>183</v>
      </c>
      <c r="J6340" t="inlineStr">
        <is>
          <t>Sol de Mallorca</t>
        </is>
      </c>
      <c r="S6340" t="n">
        <v>690000</v>
      </c>
      <c r="T6340" t="n">
        <v>3770</v>
      </c>
      <c r="AH6340" t="inlineStr">
        <is>
          <t>Quelle: Balearic Properties</t>
        </is>
      </c>
    </row>
    <row r="6341">
      <c r="A6341" t="n">
        <v>6154</v>
      </c>
      <c r="B6341" t="inlineStr">
        <is>
          <t>Beautiful apartment with community pool for sale in Puerto Pollensa, Mallorca</t>
        </is>
      </c>
      <c r="C6341" t="inlineStr">
        <is>
          <t>https://www.balearic-properties.com/en/property/id/819866-apartment-community-pool-puerto-pollensa-mallorca-html</t>
        </is>
      </c>
      <c r="E6341" t="n">
        <v>2</v>
      </c>
      <c r="G6341" t="n">
        <v>0</v>
      </c>
      <c r="H6341" t="n">
        <v>87</v>
      </c>
      <c r="J6341" t="inlineStr">
        <is>
          <t>Port de Pollença</t>
        </is>
      </c>
      <c r="AH6341" t="inlineStr">
        <is>
          <t>Quelle: Balearic Properties</t>
        </is>
      </c>
    </row>
    <row r="6342">
      <c r="A6342" t="n">
        <v>6155</v>
      </c>
      <c r="B6342" t="inlineStr">
        <is>
          <t>Wonderful seafront apartment for sale in Portixol, Palma, Mallorca</t>
        </is>
      </c>
      <c r="C6342" t="inlineStr">
        <is>
          <t>https://www.balearic-properties.com/en/property/id/819522-spacious-seafront-apartment-portixol-palma-html</t>
        </is>
      </c>
      <c r="E6342" t="n">
        <v>4</v>
      </c>
      <c r="G6342" t="n">
        <v>0</v>
      </c>
      <c r="H6342" t="n">
        <v>147</v>
      </c>
      <c r="J6342" t="inlineStr">
        <is>
          <t>Portixol</t>
        </is>
      </c>
      <c r="K6342" t="n">
        <v>8.5</v>
      </c>
      <c r="L6342" t="n">
        <v>13</v>
      </c>
      <c r="M6342" t="n">
        <v>51.2</v>
      </c>
      <c r="N6342" t="n">
        <v>46</v>
      </c>
      <c r="O6342" t="n">
        <v>37.4</v>
      </c>
      <c r="P6342" t="n">
        <v>34</v>
      </c>
      <c r="Q6342" t="n">
        <v>48.9</v>
      </c>
      <c r="R6342" t="n">
        <v>42</v>
      </c>
      <c r="S6342" t="n">
        <v>1500000</v>
      </c>
      <c r="T6342" t="n">
        <v>10204</v>
      </c>
      <c r="AH6342" t="inlineStr">
        <is>
          <t>Quelle: Balearic Properties</t>
        </is>
      </c>
    </row>
    <row r="6343">
      <c r="A6343" t="n">
        <v>6156</v>
      </c>
      <c r="B6343" t="inlineStr">
        <is>
          <t>Beautiful Mallorca town house with holiday rental licence for sale in old town Pollensa, Mallorca</t>
        </is>
      </c>
      <c r="C6343" t="inlineStr">
        <is>
          <t>https://www.balearic-properties.com/en/property/id/784427-townhouse-terrace-pollensa-html</t>
        </is>
      </c>
      <c r="E6343" t="n">
        <v>4</v>
      </c>
      <c r="G6343" t="n">
        <v>99</v>
      </c>
      <c r="H6343" t="n">
        <v>210</v>
      </c>
      <c r="J6343" t="inlineStr">
        <is>
          <t>Pollença</t>
        </is>
      </c>
      <c r="AH6343" t="inlineStr">
        <is>
          <t>Quelle: Balearic Properties</t>
        </is>
      </c>
    </row>
    <row r="6344">
      <c r="A6344" t="n">
        <v>6157</v>
      </c>
      <c r="B6344" t="inlineStr">
        <is>
          <t>New apartments with a rooftop pool for sale in Palma, Mallorca</t>
        </is>
      </c>
      <c r="C6344" t="inlineStr">
        <is>
          <t>https://www.balearic-properties.com/en/property/id/817281-newly-built-apartments-rooftop-pool-portixol-palma-mallorca-html</t>
        </is>
      </c>
      <c r="E6344" t="n">
        <v>4</v>
      </c>
      <c r="G6344" t="n">
        <v>0</v>
      </c>
      <c r="H6344" t="n">
        <v>104</v>
      </c>
      <c r="J6344" t="inlineStr">
        <is>
          <t>Palma de Mallorca</t>
        </is>
      </c>
      <c r="AH6344" t="inlineStr">
        <is>
          <t>Quelle: Balearic Properties</t>
        </is>
      </c>
    </row>
    <row r="6345">
      <c r="A6345" t="n">
        <v>6158</v>
      </c>
      <c r="B6345" t="inlineStr">
        <is>
          <t>Country house with large garden and pool for sale in Llucmajor, Mallorca</t>
        </is>
      </c>
      <c r="C6345" t="inlineStr">
        <is>
          <t>https://www.balearic-properties.com/en/property/id/783350-country-house-llucmajor-html</t>
        </is>
      </c>
      <c r="E6345" t="n">
        <v>4</v>
      </c>
      <c r="G6345" t="n">
        <v>21500</v>
      </c>
      <c r="H6345" t="n">
        <v>540</v>
      </c>
      <c r="J6345" t="inlineStr">
        <is>
          <t>Llucmajor</t>
        </is>
      </c>
      <c r="K6345" t="n">
        <v>22</v>
      </c>
      <c r="L6345" t="n">
        <v>21</v>
      </c>
      <c r="M6345" t="n">
        <v>28.2</v>
      </c>
      <c r="N6345" t="n">
        <v>33</v>
      </c>
      <c r="O6345" t="n">
        <v>60.2</v>
      </c>
      <c r="P6345" t="n">
        <v>48</v>
      </c>
      <c r="Q6345" t="n">
        <v>25.9</v>
      </c>
      <c r="R6345" t="n">
        <v>29</v>
      </c>
      <c r="S6345" t="n">
        <v>3500000</v>
      </c>
      <c r="T6345" t="n">
        <v>6481</v>
      </c>
      <c r="U6345" t="n">
        <v>163</v>
      </c>
      <c r="AH6345" t="inlineStr">
        <is>
          <t>Quelle: Balearic Properties</t>
        </is>
      </c>
    </row>
    <row r="6346">
      <c r="A6346" t="n">
        <v>6159</v>
      </c>
      <c r="B6346" t="inlineStr">
        <is>
          <t>Charming town house with patio for sale, Pollensa, Mallorca</t>
        </is>
      </c>
      <c r="C6346" t="inlineStr">
        <is>
          <t>https://www.balearic-properties.com/en/property/id/819184-charming-townhouse-pollensa-mallorca-html</t>
        </is>
      </c>
      <c r="E6346" t="n">
        <v>2</v>
      </c>
      <c r="G6346" t="n">
        <v>94</v>
      </c>
      <c r="H6346" t="n">
        <v>118</v>
      </c>
      <c r="J6346" t="inlineStr">
        <is>
          <t>Pollença</t>
        </is>
      </c>
      <c r="AH6346" t="inlineStr">
        <is>
          <t>Quelle: Balearic Properties</t>
        </is>
      </c>
    </row>
    <row r="6347">
      <c r="A6347" t="n">
        <v>6160</v>
      </c>
      <c r="B6347" t="inlineStr">
        <is>
          <t>Town house investment opportunity for sale in Sa Pobla, Mallorca</t>
        </is>
      </c>
      <c r="C6347" t="inlineStr">
        <is>
          <t>https://www.balearic-properties.com/en/property/id/818362-townhouse-investment-opportunity-sa-pobla-mallorca-html</t>
        </is>
      </c>
      <c r="E6347" t="n">
        <v>4</v>
      </c>
      <c r="G6347" t="n">
        <v>256</v>
      </c>
      <c r="H6347" t="n">
        <v>364</v>
      </c>
      <c r="J6347" t="inlineStr">
        <is>
          <t>Sa Pobla</t>
        </is>
      </c>
      <c r="AH6347" t="inlineStr">
        <is>
          <t>Quelle: Balearic Properties</t>
        </is>
      </c>
    </row>
    <row r="6348">
      <c r="A6348" t="n">
        <v>6161</v>
      </c>
      <c r="B6348" t="inlineStr">
        <is>
          <t>Excellent holiday villa with pool for sale close Playa de Muro, Mallorca</t>
        </is>
      </c>
      <c r="C6348" t="inlineStr">
        <is>
          <t>https://www.balearic-properties.com/en/property/id/819136-holiday-villa-pool-rental-license-playa-de-muro-mallorca-html</t>
        </is>
      </c>
      <c r="E6348" t="n">
        <v>5</v>
      </c>
      <c r="G6348" t="n">
        <v>346</v>
      </c>
      <c r="H6348" t="n">
        <v>241</v>
      </c>
      <c r="J6348" t="inlineStr">
        <is>
          <t>Playas de Muro</t>
        </is>
      </c>
      <c r="K6348" t="n">
        <v>64.2</v>
      </c>
      <c r="L6348" t="n">
        <v>49</v>
      </c>
      <c r="M6348" t="n">
        <v>64.90000000000001</v>
      </c>
      <c r="N6348" t="n">
        <v>67</v>
      </c>
      <c r="O6348" t="n">
        <v>86.8</v>
      </c>
      <c r="P6348" t="n">
        <v>65</v>
      </c>
      <c r="Q6348" t="n">
        <v>62.6</v>
      </c>
      <c r="R6348" t="n">
        <v>64</v>
      </c>
      <c r="AH6348" t="inlineStr">
        <is>
          <t>Quelle: Balearic Properties</t>
        </is>
      </c>
    </row>
    <row r="6349">
      <c r="A6349" t="n">
        <v>6162</v>
      </c>
      <c r="B6349" t="inlineStr">
        <is>
          <t>Centuries-old finca with a holiday license for sale in the Pollensa, Mallorca</t>
        </is>
      </c>
      <c r="C6349" t="inlineStr">
        <is>
          <t>https://www.balearic-properties.com/en/property/id/812902-charming-finca-pollensa-countryside-html</t>
        </is>
      </c>
      <c r="E6349" t="n">
        <v>4</v>
      </c>
      <c r="G6349" t="n">
        <v>12000</v>
      </c>
      <c r="H6349" t="n">
        <v>511</v>
      </c>
      <c r="J6349" t="inlineStr">
        <is>
          <t>Pollença</t>
        </is>
      </c>
      <c r="K6349" t="n">
        <v>60.6</v>
      </c>
      <c r="L6349" t="n">
        <v>47</v>
      </c>
      <c r="M6349" t="n">
        <v>78.7</v>
      </c>
      <c r="N6349" t="n">
        <v>74</v>
      </c>
      <c r="O6349" t="n">
        <v>83.2</v>
      </c>
      <c r="P6349" t="n">
        <v>63</v>
      </c>
      <c r="Q6349" t="n">
        <v>76.40000000000001</v>
      </c>
      <c r="R6349" t="n">
        <v>70</v>
      </c>
      <c r="S6349" t="n">
        <v>1580000</v>
      </c>
      <c r="T6349" t="n">
        <v>3092</v>
      </c>
      <c r="U6349" t="n">
        <v>132</v>
      </c>
      <c r="AH6349" t="inlineStr">
        <is>
          <t>Quelle: Balearic Properties</t>
        </is>
      </c>
    </row>
    <row r="6350">
      <c r="A6350" t="n">
        <v>6163</v>
      </c>
      <c r="B6350" t="inlineStr">
        <is>
          <t>Immaculate and fabulous villa for sale next to golf course in Santa Ponsa, Mallorca</t>
        </is>
      </c>
      <c r="C6350" t="inlineStr">
        <is>
          <t>https://www.balearic-properties.com/en/property/id/806952-immaculate-villa-santa-ponsa-golf-html</t>
        </is>
      </c>
      <c r="E6350" t="n">
        <v>4</v>
      </c>
      <c r="G6350" t="n">
        <v>2316</v>
      </c>
      <c r="H6350" t="n">
        <v>531</v>
      </c>
      <c r="J6350" t="inlineStr">
        <is>
          <t>Santa Ponsa</t>
        </is>
      </c>
      <c r="K6350" t="n">
        <v>31.1</v>
      </c>
      <c r="L6350" t="n">
        <v>28</v>
      </c>
      <c r="M6350" t="n">
        <v>73.90000000000001</v>
      </c>
      <c r="N6350" t="n">
        <v>61</v>
      </c>
      <c r="O6350" t="n">
        <v>15.2</v>
      </c>
      <c r="P6350" t="n">
        <v>19</v>
      </c>
      <c r="Q6350" t="n">
        <v>71.59999999999999</v>
      </c>
      <c r="R6350" t="n">
        <v>57</v>
      </c>
      <c r="S6350" t="n">
        <v>2750000</v>
      </c>
      <c r="T6350" t="n">
        <v>5179</v>
      </c>
      <c r="U6350" t="n">
        <v>1187</v>
      </c>
      <c r="AH6350" t="inlineStr">
        <is>
          <t>Quelle: Balearic Properties</t>
        </is>
      </c>
    </row>
    <row r="6351">
      <c r="A6351" t="n">
        <v>6164</v>
      </c>
      <c r="B6351" t="inlineStr">
        <is>
          <t>Hilltop finca with holiday rental license for sale in Selva, Mallorca</t>
        </is>
      </c>
      <c r="C6351" t="inlineStr">
        <is>
          <t>https://www.balearic-properties.com/en/property/id/780756-finca-rustic-selva-html</t>
        </is>
      </c>
      <c r="E6351" t="n">
        <v>5</v>
      </c>
      <c r="G6351" t="n">
        <v>8168</v>
      </c>
      <c r="H6351" t="n">
        <v>505</v>
      </c>
      <c r="J6351" t="inlineStr">
        <is>
          <t>Selva</t>
        </is>
      </c>
      <c r="K6351" t="n">
        <v>44.5</v>
      </c>
      <c r="L6351" t="n">
        <v>41</v>
      </c>
      <c r="M6351" t="n">
        <v>62.6</v>
      </c>
      <c r="N6351" t="n">
        <v>67</v>
      </c>
      <c r="O6351" t="n">
        <v>67.09999999999999</v>
      </c>
      <c r="P6351" t="n">
        <v>57</v>
      </c>
      <c r="Q6351" t="n">
        <v>60.3</v>
      </c>
      <c r="R6351" t="n">
        <v>64</v>
      </c>
      <c r="AH6351" t="inlineStr">
        <is>
          <t>Quelle: Balearic Properties</t>
        </is>
      </c>
    </row>
    <row r="6352">
      <c r="A6352" t="n">
        <v>6165</v>
      </c>
      <c r="B6352" t="inlineStr">
        <is>
          <t>Spectacular country estate for sale in Pollensa, Mallorca</t>
        </is>
      </c>
      <c r="C6352" t="inlineStr">
        <is>
          <t>https://www.balearic-properties.com/en/property/id/724304-country-house-pollensa-html</t>
        </is>
      </c>
      <c r="E6352" t="n">
        <v>5</v>
      </c>
      <c r="G6352" t="n">
        <v>3300</v>
      </c>
      <c r="H6352" t="n">
        <v>400</v>
      </c>
      <c r="J6352" t="inlineStr">
        <is>
          <t>Pollença</t>
        </is>
      </c>
      <c r="K6352" t="n">
        <v>60.6</v>
      </c>
      <c r="L6352" t="n">
        <v>47</v>
      </c>
      <c r="M6352" t="n">
        <v>78.7</v>
      </c>
      <c r="N6352" t="n">
        <v>74</v>
      </c>
      <c r="O6352" t="n">
        <v>83.2</v>
      </c>
      <c r="P6352" t="n">
        <v>63</v>
      </c>
      <c r="Q6352" t="n">
        <v>76.40000000000001</v>
      </c>
      <c r="R6352" t="n">
        <v>70</v>
      </c>
      <c r="AH6352" t="inlineStr">
        <is>
          <t>Quelle: Balearic Properties</t>
        </is>
      </c>
    </row>
    <row r="6353">
      <c r="A6353" t="n">
        <v>6166</v>
      </c>
      <c r="B6353" t="inlineStr">
        <is>
          <t>Splendid country estate for sale near Pollensa, Mallorca</t>
        </is>
      </c>
      <c r="C6353" t="inlineStr">
        <is>
          <t>https://www.balearic-properties.com/en/property/id/805693-country-estate-wine-pollensa-html</t>
        </is>
      </c>
      <c r="E6353" t="n">
        <v>8</v>
      </c>
      <c r="G6353" t="n">
        <v>14717</v>
      </c>
      <c r="H6353" t="n">
        <v>527</v>
      </c>
      <c r="J6353" t="inlineStr">
        <is>
          <t>Pollença</t>
        </is>
      </c>
      <c r="K6353" t="n">
        <v>60.6</v>
      </c>
      <c r="L6353" t="n">
        <v>47</v>
      </c>
      <c r="M6353" t="n">
        <v>78.7</v>
      </c>
      <c r="N6353" t="n">
        <v>74</v>
      </c>
      <c r="O6353" t="n">
        <v>83.2</v>
      </c>
      <c r="P6353" t="n">
        <v>63</v>
      </c>
      <c r="Q6353" t="n">
        <v>76.40000000000001</v>
      </c>
      <c r="R6353" t="n">
        <v>70</v>
      </c>
      <c r="S6353" t="n">
        <v>4500000</v>
      </c>
      <c r="T6353" t="n">
        <v>8539</v>
      </c>
      <c r="U6353" t="n">
        <v>306</v>
      </c>
      <c r="AH6353" t="inlineStr">
        <is>
          <t>Quelle: Balearic Properties</t>
        </is>
      </c>
    </row>
    <row r="6354">
      <c r="A6354" t="n">
        <v>6167</v>
      </c>
      <c r="B6354" t="inlineStr">
        <is>
          <t>Country Home with holiday rental license for sale in Pollença, Mallorca</t>
        </is>
      </c>
      <c r="C6354" t="inlineStr">
        <is>
          <t>https://www.balearic-properties.com/en/property/id/628763-finca-pollensa-html</t>
        </is>
      </c>
      <c r="E6354" t="n">
        <v>5</v>
      </c>
      <c r="G6354" t="n">
        <v>74441</v>
      </c>
      <c r="H6354" t="n">
        <v>410</v>
      </c>
      <c r="J6354" t="inlineStr">
        <is>
          <t>Pollença</t>
        </is>
      </c>
      <c r="K6354" t="n">
        <v>60.6</v>
      </c>
      <c r="L6354" t="n">
        <v>47</v>
      </c>
      <c r="M6354" t="n">
        <v>78.7</v>
      </c>
      <c r="N6354" t="n">
        <v>74</v>
      </c>
      <c r="O6354" t="n">
        <v>83.2</v>
      </c>
      <c r="P6354" t="n">
        <v>63</v>
      </c>
      <c r="Q6354" t="n">
        <v>76.40000000000001</v>
      </c>
      <c r="R6354" t="n">
        <v>70</v>
      </c>
      <c r="AH6354" t="inlineStr">
        <is>
          <t>Quelle: Balearic Properties</t>
        </is>
      </c>
    </row>
    <row r="6355">
      <c r="A6355" t="n">
        <v>6168</v>
      </c>
      <c r="B6355" t="inlineStr">
        <is>
          <t>Enchanting country home with historic mill, for sale in Pollensa, Mallorca</t>
        </is>
      </c>
      <c r="C6355" t="inlineStr">
        <is>
          <t>https://www.balearic-properties.com/en/property/id/812624-finca-watermill-heated-pool-pollensa-mallorca-html</t>
        </is>
      </c>
      <c r="E6355" t="n">
        <v>6</v>
      </c>
      <c r="G6355" t="n">
        <v>12519</v>
      </c>
      <c r="H6355" t="n">
        <v>835</v>
      </c>
      <c r="J6355" t="inlineStr">
        <is>
          <t>Pollença</t>
        </is>
      </c>
      <c r="K6355" t="n">
        <v>60.6</v>
      </c>
      <c r="L6355" t="n">
        <v>47</v>
      </c>
      <c r="M6355" t="n">
        <v>78.7</v>
      </c>
      <c r="N6355" t="n">
        <v>74</v>
      </c>
      <c r="O6355" t="n">
        <v>83.2</v>
      </c>
      <c r="P6355" t="n">
        <v>63</v>
      </c>
      <c r="Q6355" t="n">
        <v>76.40000000000001</v>
      </c>
      <c r="R6355" t="n">
        <v>70</v>
      </c>
      <c r="AH6355" t="inlineStr">
        <is>
          <t>Quelle: Balearic Properties</t>
        </is>
      </c>
    </row>
    <row r="6356">
      <c r="A6356" t="n">
        <v>6169</v>
      </c>
      <c r="B6356" t="inlineStr">
        <is>
          <t>Spacious apartment for sale close to the beach in Puerto Pollensa, Mallorca</t>
        </is>
      </c>
      <c r="C6356" t="inlineStr">
        <is>
          <t>https://www.balearic-properties.com/en/property/id/817142-apartment-beach-puerto-pollensa-mallorca-html</t>
        </is>
      </c>
      <c r="E6356" t="n">
        <v>3</v>
      </c>
      <c r="G6356" t="n">
        <v>0</v>
      </c>
      <c r="H6356" t="n">
        <v>220</v>
      </c>
      <c r="J6356" t="inlineStr">
        <is>
          <t>Port de Pollença</t>
        </is>
      </c>
      <c r="S6356" t="n">
        <v>375000</v>
      </c>
      <c r="T6356" t="n">
        <v>1705</v>
      </c>
      <c r="AH6356" t="inlineStr">
        <is>
          <t>Quelle: Balearic Properties</t>
        </is>
      </c>
    </row>
    <row r="6357">
      <c r="A6357" t="n">
        <v>6170</v>
      </c>
      <c r="B6357" t="inlineStr">
        <is>
          <t>Charming town house with peaceful terraces for sale in Palma, Mallorca</t>
        </is>
      </c>
      <c r="C6357" t="inlineStr">
        <is>
          <t>https://www.balearic-properties.com/en/property/id/313077-townhouse-peaceful-terraces-palma-mallorca-html</t>
        </is>
      </c>
      <c r="E6357" t="n">
        <v>4</v>
      </c>
      <c r="G6357" t="n">
        <v>0</v>
      </c>
      <c r="H6357" t="n">
        <v>269</v>
      </c>
      <c r="J6357" t="inlineStr">
        <is>
          <t>El Terreno</t>
        </is>
      </c>
      <c r="AH6357" t="inlineStr">
        <is>
          <t>Quelle: Balearic Properties</t>
        </is>
      </c>
    </row>
    <row r="6358">
      <c r="A6358" t="n">
        <v>6171</v>
      </c>
      <c r="B6358" t="inlineStr">
        <is>
          <t>Spacious lake view apartment for sale in Alcudia, Mallorca</t>
        </is>
      </c>
      <c r="C6358" t="inlineStr">
        <is>
          <t>https://www.balearic-properties.com/en/property/id/816237-spacious-lakeview-apartment-alcudia-mallorca-html</t>
        </is>
      </c>
      <c r="E6358" t="n">
        <v>2</v>
      </c>
      <c r="G6358" t="n">
        <v>0</v>
      </c>
      <c r="H6358" t="n">
        <v>114</v>
      </c>
      <c r="J6358" t="inlineStr">
        <is>
          <t>Puerto de Alcúdia</t>
        </is>
      </c>
      <c r="AH6358" t="inlineStr">
        <is>
          <t>Quelle: Balearic Properties</t>
        </is>
      </c>
    </row>
    <row r="6359">
      <c r="A6359" t="n">
        <v>6172</v>
      </c>
      <c r="B6359" t="inlineStr">
        <is>
          <t>Exceptional one-storey villa with amazing views close to Pollensa, Mallorca</t>
        </is>
      </c>
      <c r="C6359" t="inlineStr">
        <is>
          <t>https://www.balearic-properties.com/en/property/id/769013-villa-pollensa-html</t>
        </is>
      </c>
      <c r="E6359" t="n">
        <v>3</v>
      </c>
      <c r="G6359" t="n">
        <v>2137</v>
      </c>
      <c r="H6359" t="n">
        <v>249</v>
      </c>
      <c r="J6359" t="inlineStr">
        <is>
          <t>Pollença</t>
        </is>
      </c>
      <c r="AH6359" t="inlineStr">
        <is>
          <t>Quelle: Balearic Properties</t>
        </is>
      </c>
    </row>
    <row r="6360">
      <c r="A6360" t="n">
        <v>6173</v>
      </c>
      <c r="B6360" t="inlineStr">
        <is>
          <t>Gorgeous Mallorca country home with luxury finishes for sale in Pollensa, Mallorca</t>
        </is>
      </c>
      <c r="C6360" t="inlineStr">
        <is>
          <t>https://www.balearic-properties.com/en/property/id/812747-luxury-mallorcan-country-house-html</t>
        </is>
      </c>
      <c r="E6360" t="n">
        <v>5</v>
      </c>
      <c r="G6360" t="n">
        <v>21400</v>
      </c>
      <c r="H6360" t="n">
        <v>450</v>
      </c>
      <c r="J6360" t="inlineStr">
        <is>
          <t>Pollença</t>
        </is>
      </c>
      <c r="K6360" t="n">
        <v>60.6</v>
      </c>
      <c r="L6360" t="n">
        <v>47</v>
      </c>
      <c r="M6360" t="n">
        <v>78.7</v>
      </c>
      <c r="N6360" t="n">
        <v>74</v>
      </c>
      <c r="O6360" t="n">
        <v>83.2</v>
      </c>
      <c r="P6360" t="n">
        <v>63</v>
      </c>
      <c r="Q6360" t="n">
        <v>76.40000000000001</v>
      </c>
      <c r="R6360" t="n">
        <v>70</v>
      </c>
      <c r="AH6360" t="inlineStr">
        <is>
          <t>Quelle: Balearic Properties</t>
        </is>
      </c>
    </row>
    <row r="6361">
      <c r="A6361" t="n">
        <v>6174</v>
      </c>
      <c r="B6361" t="inlineStr">
        <is>
          <t>Spacious family home with sea views for sale in Cala Blava, Mallorca</t>
        </is>
      </c>
      <c r="C6361" t="inlineStr">
        <is>
          <t>https://www.balearic-properties.com/en/property/id/817167-villa-seaviews-cala-blava-llucmajor-mallorca-html</t>
        </is>
      </c>
      <c r="E6361" t="n">
        <v>4</v>
      </c>
      <c r="G6361" t="n">
        <v>1851</v>
      </c>
      <c r="H6361" t="n">
        <v>327</v>
      </c>
      <c r="J6361" t="inlineStr">
        <is>
          <t>Cala Blava</t>
        </is>
      </c>
      <c r="AH6361" t="inlineStr">
        <is>
          <t>Quelle: Balearic Properties</t>
        </is>
      </c>
    </row>
    <row r="6362">
      <c r="A6362" t="n">
        <v>6175</v>
      </c>
      <c r="B6362" t="inlineStr">
        <is>
          <t>Renovated village house with magnificent views for sale in Pollensa, Mallorca</t>
        </is>
      </c>
      <c r="C6362" t="inlineStr">
        <is>
          <t>https://www.balearic-properties.com/en/property/id/817069-renovated-townhouse-magnificent-views-pollensa-mallorca-html</t>
        </is>
      </c>
      <c r="E6362" t="n">
        <v>3</v>
      </c>
      <c r="G6362" t="n">
        <v>100</v>
      </c>
      <c r="H6362" t="n">
        <v>170</v>
      </c>
      <c r="J6362" t="inlineStr">
        <is>
          <t>Pollença Pueblo</t>
        </is>
      </c>
      <c r="AH6362" t="inlineStr">
        <is>
          <t>Quelle: Balearic Properties</t>
        </is>
      </c>
    </row>
    <row r="6363">
      <c r="A6363" t="n">
        <v>6176</v>
      </c>
      <c r="B6363" t="inlineStr">
        <is>
          <t>Smart duplex penthouse for sale near the beach and promenade in Portixol, Mallorca</t>
        </is>
      </c>
      <c r="C6363" t="inlineStr">
        <is>
          <t>https://www.balearic-properties.com/en/property/id/815839-modern-duplex-penthouse-near-portixol-promenade-palma-mallorca-html</t>
        </is>
      </c>
      <c r="E6363" t="n">
        <v>3</v>
      </c>
      <c r="G6363" t="n">
        <v>0</v>
      </c>
      <c r="H6363" t="n">
        <v>115</v>
      </c>
      <c r="J6363" t="inlineStr">
        <is>
          <t>Portixol</t>
        </is>
      </c>
      <c r="S6363" t="n">
        <v>750000</v>
      </c>
      <c r="T6363" t="n">
        <v>6522</v>
      </c>
      <c r="AH6363" t="inlineStr">
        <is>
          <t>Quelle: Balearic Properties</t>
        </is>
      </c>
    </row>
    <row r="6364">
      <c r="A6364" t="n">
        <v>6177</v>
      </c>
      <c r="B6364" t="inlineStr">
        <is>
          <t>Formentor property: Elegant villa with sea views for sale in a private location next to the beach</t>
        </is>
      </c>
      <c r="C6364" t="inlineStr">
        <is>
          <t>https://www.balearic-properties.com/en/property/id/530565-frontline-villa-formentor-html</t>
        </is>
      </c>
      <c r="E6364" t="n">
        <v>6</v>
      </c>
      <c r="G6364" t="n">
        <v>8564</v>
      </c>
      <c r="H6364" t="n">
        <v>730</v>
      </c>
      <c r="J6364" t="inlineStr">
        <is>
          <t>Formentor</t>
        </is>
      </c>
      <c r="K6364" t="n">
        <v>68.8</v>
      </c>
      <c r="L6364" t="n">
        <v>55</v>
      </c>
      <c r="M6364" t="n">
        <v>86.90000000000001</v>
      </c>
      <c r="N6364" t="n">
        <v>82</v>
      </c>
      <c r="O6364" t="n">
        <v>91.40000000000001</v>
      </c>
      <c r="P6364" t="n">
        <v>71</v>
      </c>
      <c r="Q6364" t="n">
        <v>84.59999999999999</v>
      </c>
      <c r="R6364" t="n">
        <v>78</v>
      </c>
      <c r="AH6364" t="inlineStr">
        <is>
          <t>Quelle: Balearic Properties</t>
        </is>
      </c>
    </row>
    <row r="6365">
      <c r="A6365" t="n">
        <v>6178</v>
      </c>
      <c r="B6365" t="inlineStr">
        <is>
          <t>Stylish villa with rental license for sale in Gotmar, Puerto Pollensa, Mallorca</t>
        </is>
      </c>
      <c r="C6365" t="inlineStr">
        <is>
          <t>https://www.balearic-properties.com/en/property/id/266048-holiday-villa-puerto-pllensa-html</t>
        </is>
      </c>
      <c r="E6365" t="n">
        <v>5</v>
      </c>
      <c r="G6365" t="n">
        <v>1156</v>
      </c>
      <c r="H6365" t="n">
        <v>327</v>
      </c>
      <c r="J6365" t="inlineStr">
        <is>
          <t>Gotmar</t>
        </is>
      </c>
      <c r="K6365" t="n">
        <v>66.2</v>
      </c>
      <c r="L6365" t="n">
        <v>50</v>
      </c>
      <c r="M6365" t="n">
        <v>84.3</v>
      </c>
      <c r="N6365" t="n">
        <v>77</v>
      </c>
      <c r="O6365" t="n">
        <v>88.8</v>
      </c>
      <c r="P6365" t="n">
        <v>66</v>
      </c>
      <c r="Q6365" t="n">
        <v>82</v>
      </c>
      <c r="R6365" t="n">
        <v>73</v>
      </c>
      <c r="AH6365" t="inlineStr">
        <is>
          <t>Quelle: Balearic Properties</t>
        </is>
      </c>
    </row>
    <row r="6366">
      <c r="A6366" t="n">
        <v>6179</v>
      </c>
      <c r="B6366" t="inlineStr">
        <is>
          <t>Penthouse apartment with pool and terrace for sale in Palma, Mallorca</t>
        </is>
      </c>
      <c r="C6366" t="inlineStr">
        <is>
          <t>https://www.balearic-properties.com/en/property/id/806429-deluxe-penthouse-private-pool-palma-html</t>
        </is>
      </c>
      <c r="E6366" t="n">
        <v>2</v>
      </c>
      <c r="G6366" t="n">
        <v>0</v>
      </c>
      <c r="H6366" t="n">
        <v>211</v>
      </c>
      <c r="J6366" t="inlineStr">
        <is>
          <t>Palma de Mallorca</t>
        </is>
      </c>
      <c r="AH6366" t="inlineStr">
        <is>
          <t>Quelle: Balearic Properties</t>
        </is>
      </c>
    </row>
    <row r="6367">
      <c r="A6367" t="n">
        <v>6180</v>
      </c>
      <c r="B6367" t="inlineStr">
        <is>
          <t>Attractive hillside villa for sale near the golf course in Puntiró, Mallorca</t>
        </is>
      </c>
      <c r="C6367" t="inlineStr">
        <is>
          <t>https://www.balearic-properties.com/en/property/id/711492-villa-pool-views-palma-mallorca-html</t>
        </is>
      </c>
      <c r="E6367" t="n">
        <v>4</v>
      </c>
      <c r="G6367" t="n">
        <v>8300</v>
      </c>
      <c r="H6367" t="n">
        <v>300</v>
      </c>
      <c r="J6367" t="inlineStr">
        <is>
          <t>Puntiró</t>
        </is>
      </c>
      <c r="AH6367" t="inlineStr">
        <is>
          <t>Quelle: Balearic Properties</t>
        </is>
      </c>
    </row>
    <row r="6368">
      <c r="A6368" t="n">
        <v>6181</v>
      </c>
      <c r="B6368" t="inlineStr">
        <is>
          <t>Elegant second floor apartment for sale in Palma, Mallorca</t>
        </is>
      </c>
      <c r="C6368" t="inlineStr">
        <is>
          <t>https://www.balearic-properties.com/en/property/id/806428-elegant-second-floor-apartment-for-sale-palma-mallorca-html</t>
        </is>
      </c>
      <c r="E6368" t="n">
        <v>3</v>
      </c>
      <c r="G6368" t="n">
        <v>0</v>
      </c>
      <c r="H6368" t="n">
        <v>120</v>
      </c>
      <c r="J6368" t="inlineStr">
        <is>
          <t>Palma de Mallorca</t>
        </is>
      </c>
      <c r="AH6368" t="inlineStr">
        <is>
          <t>Quelle: Balearic Properties</t>
        </is>
      </c>
    </row>
    <row r="6369">
      <c r="A6369" t="n">
        <v>6182</v>
      </c>
      <c r="B6369" t="inlineStr">
        <is>
          <t>Outstanding contemporary villa with pool for sale close to Pollensa, Mallorca</t>
        </is>
      </c>
      <c r="C6369" t="inlineStr">
        <is>
          <t>https://www.balearic-properties.com/en/property/id/816951-modern-villa-salt-water-pool-pollensa-html</t>
        </is>
      </c>
      <c r="E6369" t="n">
        <v>3</v>
      </c>
      <c r="G6369" t="n">
        <v>1000</v>
      </c>
      <c r="H6369" t="n">
        <v>224</v>
      </c>
      <c r="J6369" t="inlineStr">
        <is>
          <t>Pollença</t>
        </is>
      </c>
      <c r="AH6369" t="inlineStr">
        <is>
          <t>Quelle: Balearic Properties</t>
        </is>
      </c>
    </row>
    <row r="6370">
      <c r="A6370" t="n">
        <v>6183</v>
      </c>
      <c r="B6370" t="inlineStr">
        <is>
          <t>Picturesque stone villa with holiday license for sale in Valldemossa, Mallorca</t>
        </is>
      </c>
      <c r="C6370" t="inlineStr">
        <is>
          <t>https://www.balearic-properties.com/en/property/id/817011-villa-holiday-license-valldemossa-mallorca-html</t>
        </is>
      </c>
      <c r="E6370" t="n">
        <v>5</v>
      </c>
      <c r="G6370" t="n">
        <v>1023</v>
      </c>
      <c r="H6370" t="n">
        <v>539</v>
      </c>
      <c r="J6370" t="inlineStr">
        <is>
          <t>Valldemossa</t>
        </is>
      </c>
      <c r="K6370" t="n">
        <v>27.2</v>
      </c>
      <c r="L6370" t="n">
        <v>32</v>
      </c>
      <c r="M6370" t="n">
        <v>69.90000000000001</v>
      </c>
      <c r="N6370" t="n">
        <v>64</v>
      </c>
      <c r="O6370" t="n">
        <v>45.5</v>
      </c>
      <c r="P6370" t="n">
        <v>44</v>
      </c>
      <c r="Q6370" t="n">
        <v>67.59999999999999</v>
      </c>
      <c r="R6370" t="n">
        <v>61</v>
      </c>
      <c r="S6370" t="n">
        <v>2150000</v>
      </c>
      <c r="T6370" t="n">
        <v>3989</v>
      </c>
      <c r="U6370" t="n">
        <v>2102</v>
      </c>
      <c r="AH6370" t="inlineStr">
        <is>
          <t>Quelle: Balearic Properties</t>
        </is>
      </c>
    </row>
    <row r="6371">
      <c r="A6371" t="n">
        <v>6184</v>
      </c>
      <c r="B6371" t="inlineStr">
        <is>
          <t>Rustic country home with fabulous views for sale in Selva, Mallorca</t>
        </is>
      </c>
      <c r="C6371" t="inlineStr">
        <is>
          <t>https://www.balearic-properties.com/en/property/id/816977-rustic-country-home-fabulous-views-selva-mallorca-html</t>
        </is>
      </c>
      <c r="E6371" t="n">
        <v>3</v>
      </c>
      <c r="G6371" t="n">
        <v>17704</v>
      </c>
      <c r="H6371" t="n">
        <v>252</v>
      </c>
      <c r="J6371" t="inlineStr">
        <is>
          <t>Selva</t>
        </is>
      </c>
      <c r="AH6371" t="inlineStr">
        <is>
          <t>Quelle: Balearic Properties</t>
        </is>
      </c>
    </row>
    <row r="6372">
      <c r="A6372" t="n">
        <v>6185</v>
      </c>
      <c r="B6372" t="inlineStr">
        <is>
          <t>Classic village house with mountain views for sale in the heart of Pollensa, Mallorca</t>
        </is>
      </c>
      <c r="C6372" t="inlineStr">
        <is>
          <t>https://www.balearic-properties.com/en/property/id/815882-townhouse-views-pollensa-mallorca-html</t>
        </is>
      </c>
      <c r="E6372" t="n">
        <v>5</v>
      </c>
      <c r="G6372" t="n">
        <v>147</v>
      </c>
      <c r="H6372" t="n">
        <v>379</v>
      </c>
      <c r="J6372" t="inlineStr">
        <is>
          <t>Pollença</t>
        </is>
      </c>
      <c r="K6372" t="n">
        <v>60.6</v>
      </c>
      <c r="L6372" t="n">
        <v>47</v>
      </c>
      <c r="M6372" t="n">
        <v>78.7</v>
      </c>
      <c r="N6372" t="n">
        <v>74</v>
      </c>
      <c r="O6372" t="n">
        <v>83.2</v>
      </c>
      <c r="P6372" t="n">
        <v>63</v>
      </c>
      <c r="Q6372" t="n">
        <v>76.40000000000001</v>
      </c>
      <c r="R6372" t="n">
        <v>70</v>
      </c>
      <c r="AH6372" t="inlineStr">
        <is>
          <t>Quelle: Balearic Properties</t>
        </is>
      </c>
    </row>
    <row r="6373">
      <c r="A6373" t="n">
        <v>6186</v>
      </c>
      <c r="B6373" t="inlineStr">
        <is>
          <t>Seafront apartment for sale in Puerto Pollensa, Mallorca</t>
        </is>
      </c>
      <c r="C6373" t="inlineStr">
        <is>
          <t>https://www.balearic-properties.com/en/property/id/815665-seafront-apartment-puerto-pollensa-mallorca-html</t>
        </is>
      </c>
      <c r="E6373" t="n">
        <v>4</v>
      </c>
      <c r="G6373" t="n">
        <v>0</v>
      </c>
      <c r="H6373" t="n">
        <v>146</v>
      </c>
      <c r="J6373" t="inlineStr">
        <is>
          <t>Port de Pollença</t>
        </is>
      </c>
      <c r="AH6373" t="inlineStr">
        <is>
          <t>Quelle: Balearic Properties</t>
        </is>
      </c>
    </row>
    <row r="6374">
      <c r="A6374" t="n">
        <v>6187</v>
      </c>
      <c r="B6374" t="inlineStr">
        <is>
          <t>Fantastic penthouse apartment for sale by the sea in Puerto Pollensa, Mallorca</t>
        </is>
      </c>
      <c r="C6374" t="inlineStr">
        <is>
          <t>https://www.balearic-properties.com/en/property/id/809995-fantastic-penthouse-seafront-puerto-pollensa-html</t>
        </is>
      </c>
      <c r="E6374" t="n">
        <v>3</v>
      </c>
      <c r="G6374" t="n">
        <v>0</v>
      </c>
      <c r="H6374" t="n">
        <v>123</v>
      </c>
      <c r="J6374" t="inlineStr">
        <is>
          <t>Port de Pollença</t>
        </is>
      </c>
      <c r="AH6374" t="inlineStr">
        <is>
          <t>Quelle: Balearic Properties</t>
        </is>
      </c>
    </row>
    <row r="6375">
      <c r="A6375" t="n">
        <v>6188</v>
      </c>
      <c r="B6375" t="inlineStr">
        <is>
          <t>Elegantly designed villa for sale, just steps away from the beach in Puerto Pollensa, Mallorca</t>
        </is>
      </c>
      <c r="C6375" t="inlineStr">
        <is>
          <t>https://www.balearic-properties.com/en/property/id/703224-premium-villa-pool-puerto-pollensa</t>
        </is>
      </c>
      <c r="E6375" t="n">
        <v>4</v>
      </c>
      <c r="G6375" t="n">
        <v>251</v>
      </c>
      <c r="H6375" t="n">
        <v>256</v>
      </c>
      <c r="J6375" t="inlineStr">
        <is>
          <t>Port de Pollença</t>
        </is>
      </c>
      <c r="AH6375" t="inlineStr">
        <is>
          <t>Quelle: Balearic Properties</t>
        </is>
      </c>
    </row>
    <row r="6376">
      <c r="A6376" t="n">
        <v>6189</v>
      </c>
      <c r="B6376" t="inlineStr">
        <is>
          <t>Charming town house for sale in central Pollensa, Mallorca</t>
        </is>
      </c>
      <c r="C6376" t="inlineStr">
        <is>
          <t>https://www.balearic-properties.com/en/property/id/742395-modern-townhouse-pollensa-html</t>
        </is>
      </c>
      <c r="E6376" t="n">
        <v>4</v>
      </c>
      <c r="G6376" t="n">
        <v>67</v>
      </c>
      <c r="H6376" t="n">
        <v>157</v>
      </c>
      <c r="J6376" t="inlineStr">
        <is>
          <t>Pollença</t>
        </is>
      </c>
      <c r="AH6376" t="inlineStr">
        <is>
          <t>Quelle: Balearic Properties</t>
        </is>
      </c>
    </row>
    <row r="6377">
      <c r="A6377" t="n">
        <v>6190</v>
      </c>
      <c r="B6377" t="inlineStr">
        <is>
          <t>Apartment for sale on the seafront in Puerto Pollensa, Mallorca</t>
        </is>
      </c>
      <c r="C6377" t="inlineStr">
        <is>
          <t>https://www.balearic-properties.com/en/property/id/816973-front-line-apartment-puerto-pollensa-mallorca-html</t>
        </is>
      </c>
      <c r="E6377" t="n">
        <v>4</v>
      </c>
      <c r="G6377" t="n">
        <v>0</v>
      </c>
      <c r="H6377" t="n">
        <v>180</v>
      </c>
      <c r="J6377" t="inlineStr">
        <is>
          <t>Port de Pollença</t>
        </is>
      </c>
      <c r="K6377" t="n">
        <v>66.90000000000001</v>
      </c>
      <c r="L6377" t="n">
        <v>52</v>
      </c>
      <c r="M6377" t="n">
        <v>85</v>
      </c>
      <c r="N6377" t="n">
        <v>78</v>
      </c>
      <c r="O6377" t="n">
        <v>89.5</v>
      </c>
      <c r="P6377" t="n">
        <v>68</v>
      </c>
      <c r="Q6377" t="n">
        <v>82.7</v>
      </c>
      <c r="R6377" t="n">
        <v>75</v>
      </c>
      <c r="S6377" t="n">
        <v>1500000</v>
      </c>
      <c r="T6377" t="n">
        <v>8333</v>
      </c>
      <c r="AH6377" t="inlineStr">
        <is>
          <t>Quelle: Balearic Properties</t>
        </is>
      </c>
    </row>
    <row r="6378">
      <c r="A6378" t="n">
        <v>6191</v>
      </c>
      <c r="B6378" t="inlineStr">
        <is>
          <t>Wonderful sea view villa for sale in Puerto Pollensa, Mallorca</t>
        </is>
      </c>
      <c r="C6378" t="inlineStr">
        <is>
          <t>https://www.balearic-properties.com/en/property/id/758034-puerto-pollensa-villa-html</t>
        </is>
      </c>
      <c r="E6378" t="n">
        <v>5</v>
      </c>
      <c r="G6378" t="n">
        <v>884</v>
      </c>
      <c r="H6378" t="n">
        <v>270</v>
      </c>
      <c r="J6378" t="inlineStr">
        <is>
          <t>Port de Pollença</t>
        </is>
      </c>
      <c r="K6378" t="n">
        <v>66.90000000000001</v>
      </c>
      <c r="L6378" t="n">
        <v>52</v>
      </c>
      <c r="M6378" t="n">
        <v>85</v>
      </c>
      <c r="N6378" t="n">
        <v>78</v>
      </c>
      <c r="O6378" t="n">
        <v>89.5</v>
      </c>
      <c r="P6378" t="n">
        <v>68</v>
      </c>
      <c r="Q6378" t="n">
        <v>82.7</v>
      </c>
      <c r="R6378" t="n">
        <v>75</v>
      </c>
      <c r="AH6378" t="inlineStr">
        <is>
          <t>Quelle: Balearic Properties</t>
        </is>
      </c>
    </row>
    <row r="6379">
      <c r="A6379" t="n">
        <v>6192</v>
      </c>
      <c r="B6379" t="inlineStr">
        <is>
          <t>Front line luxury villa with incredible views, for sale in Port Adriano, Mallorca</t>
        </is>
      </c>
      <c r="C6379" t="inlineStr">
        <is>
          <t>https://www.balearic-properties.com/en/property/id/738553-new-villa-port-adriano-html</t>
        </is>
      </c>
      <c r="E6379" t="n">
        <v>5</v>
      </c>
      <c r="G6379" t="n">
        <v>1007</v>
      </c>
      <c r="H6379" t="n">
        <v>606</v>
      </c>
      <c r="J6379" t="inlineStr">
        <is>
          <t>Santa Ponsa</t>
        </is>
      </c>
      <c r="K6379" t="n">
        <v>31.1</v>
      </c>
      <c r="L6379" t="n">
        <v>28</v>
      </c>
      <c r="M6379" t="n">
        <v>73.90000000000001</v>
      </c>
      <c r="N6379" t="n">
        <v>61</v>
      </c>
      <c r="O6379" t="n">
        <v>15.2</v>
      </c>
      <c r="P6379" t="n">
        <v>19</v>
      </c>
      <c r="Q6379" t="n">
        <v>71.59999999999999</v>
      </c>
      <c r="R6379" t="n">
        <v>57</v>
      </c>
      <c r="S6379" t="n">
        <v>8600000</v>
      </c>
      <c r="T6379" t="n">
        <v>14191</v>
      </c>
      <c r="U6379" t="n">
        <v>8540</v>
      </c>
      <c r="AH6379" t="inlineStr">
        <is>
          <t>Quelle: Balearic Properties</t>
        </is>
      </c>
    </row>
    <row r="6380">
      <c r="A6380" t="n">
        <v>6193</v>
      </c>
      <c r="B6380" t="inlineStr">
        <is>
          <t>Delightful village house with pool and garden for sale in Puigpunyent, Mallorca</t>
        </is>
      </c>
      <c r="C6380" t="inlineStr">
        <is>
          <t>https://www.balearic-properties.com/en/property/id/815432-village-house-pool-puigpunyent-html</t>
        </is>
      </c>
      <c r="E6380" t="n">
        <v>5</v>
      </c>
      <c r="G6380" t="n">
        <v>223</v>
      </c>
      <c r="H6380" t="n">
        <v>281</v>
      </c>
      <c r="J6380" t="inlineStr">
        <is>
          <t>Puigpunyent</t>
        </is>
      </c>
      <c r="K6380" t="n">
        <v>26.5</v>
      </c>
      <c r="L6380" t="n">
        <v>32</v>
      </c>
      <c r="M6380" t="n">
        <v>69.3</v>
      </c>
      <c r="N6380" t="n">
        <v>65</v>
      </c>
      <c r="O6380" t="n">
        <v>42.1</v>
      </c>
      <c r="P6380" t="n">
        <v>43</v>
      </c>
      <c r="Q6380" t="n">
        <v>67</v>
      </c>
      <c r="R6380" t="n">
        <v>61</v>
      </c>
      <c r="AH6380" t="inlineStr">
        <is>
          <t>Quelle: Balearic Properties</t>
        </is>
      </c>
    </row>
    <row r="6381">
      <c r="A6381" t="n">
        <v>6194</v>
      </c>
      <c r="B6381" t="inlineStr">
        <is>
          <t>State-of-the-art sea view villa for sale in Alcanada, Mallorca</t>
        </is>
      </c>
      <c r="C6381" t="inlineStr">
        <is>
          <t>https://www.balearic-properties.com/en/property/id/802110-villa-seaviews-alcanada-alcudia-mallorca-html</t>
        </is>
      </c>
      <c r="E6381" t="n">
        <v>5</v>
      </c>
      <c r="G6381" t="n">
        <v>850</v>
      </c>
      <c r="H6381" t="n">
        <v>700</v>
      </c>
      <c r="J6381" t="inlineStr">
        <is>
          <t>Alcanada</t>
        </is>
      </c>
      <c r="K6381" t="n">
        <v>64.2</v>
      </c>
      <c r="L6381" t="n">
        <v>48</v>
      </c>
      <c r="M6381" t="n">
        <v>82.3</v>
      </c>
      <c r="N6381" t="n">
        <v>75</v>
      </c>
      <c r="O6381" t="n">
        <v>86.8</v>
      </c>
      <c r="P6381" t="n">
        <v>64</v>
      </c>
      <c r="Q6381" t="n">
        <v>80</v>
      </c>
      <c r="R6381" t="n">
        <v>71</v>
      </c>
      <c r="S6381" t="n">
        <v>4300000</v>
      </c>
      <c r="T6381" t="n">
        <v>6143</v>
      </c>
      <c r="U6381" t="n">
        <v>5059</v>
      </c>
      <c r="AH6381" t="inlineStr">
        <is>
          <t>Quelle: Balearic Properties</t>
        </is>
      </c>
    </row>
    <row r="6382">
      <c r="A6382" t="n">
        <v>6195</v>
      </c>
      <c r="B6382" t="inlineStr">
        <is>
          <t>Modern semi-detached villa with sea view for sale in Sol de Mallorca</t>
        </is>
      </c>
      <c r="C6382" t="inlineStr">
        <is>
          <t>https://www.balearic-properties.com/en/property/id/816021-beautiful-new-villa-beach-mallorca-html</t>
        </is>
      </c>
      <c r="E6382" t="n">
        <v>4</v>
      </c>
      <c r="G6382" t="n">
        <v>1084</v>
      </c>
      <c r="H6382" t="n">
        <v>435</v>
      </c>
      <c r="J6382" t="inlineStr">
        <is>
          <t>Sol de Mallorca</t>
        </is>
      </c>
      <c r="AH6382" t="inlineStr">
        <is>
          <t>Quelle: Balearic Properties</t>
        </is>
      </c>
    </row>
    <row r="6383">
      <c r="A6383" t="n">
        <v>6196</v>
      </c>
      <c r="B6383" t="inlineStr">
        <is>
          <t>Luxury new build villa close to the beach for sale in Sol de Mallorca</t>
        </is>
      </c>
      <c r="C6383" t="inlineStr">
        <is>
          <t>https://www.balearic-properties.com/en/property/id/815875-beautiful-new-villa-beach-mallorca-html</t>
        </is>
      </c>
      <c r="E6383" t="n">
        <v>4</v>
      </c>
      <c r="G6383" t="n">
        <v>1564</v>
      </c>
      <c r="H6383" t="n">
        <v>493</v>
      </c>
      <c r="J6383" t="inlineStr">
        <is>
          <t>Sol de Mallorca</t>
        </is>
      </c>
      <c r="AH6383" t="inlineStr">
        <is>
          <t>Quelle: Balearic Properties</t>
        </is>
      </c>
    </row>
    <row r="6384">
      <c r="A6384" t="n">
        <v>6197</v>
      </c>
      <c r="B6384" t="inlineStr">
        <is>
          <t>Luxury new build villa with pool, for sale close to the beach in Sol de Mallorca</t>
        </is>
      </c>
      <c r="C6384" t="inlineStr">
        <is>
          <t>https://www.balearic-properties.com/en/property/id/815733-beautiful-new-build-villa-near-the-beach-sol-de-mallorca-html</t>
        </is>
      </c>
      <c r="E6384" t="n">
        <v>4</v>
      </c>
      <c r="G6384" t="n">
        <v>611</v>
      </c>
      <c r="H6384" t="n">
        <v>426</v>
      </c>
      <c r="J6384" t="inlineStr">
        <is>
          <t>Sol de Mallorca</t>
        </is>
      </c>
      <c r="AH6384" t="inlineStr">
        <is>
          <t>Quelle: Balearic Properties</t>
        </is>
      </c>
    </row>
    <row r="6385">
      <c r="A6385" t="n">
        <v>6198</v>
      </c>
      <c r="B6385" t="inlineStr">
        <is>
          <t>Nautical front line apartment for sale in Son Serra de Marina, Mallorca</t>
        </is>
      </c>
      <c r="C6385" t="inlineStr">
        <is>
          <t>https://www.balearic-properties.com/en/property/id/811585-frontline-apartment-views-son-serra-mallorca-html</t>
        </is>
      </c>
      <c r="E6385" t="n">
        <v>2</v>
      </c>
      <c r="G6385" t="n">
        <v>0</v>
      </c>
      <c r="H6385" t="n">
        <v>92</v>
      </c>
      <c r="J6385" t="inlineStr">
        <is>
          <t>Son Serra de Marina</t>
        </is>
      </c>
      <c r="AH6385" t="inlineStr">
        <is>
          <t>Quelle: Balearic Properties</t>
        </is>
      </c>
    </row>
    <row r="6386">
      <c r="A6386" t="n">
        <v>6199</v>
      </c>
      <c r="B6386" t="inlineStr">
        <is>
          <t>Rustic newly built house with guest apartment, for sale in Calvià, Mallorca</t>
        </is>
      </c>
      <c r="C6386" t="inlineStr">
        <is>
          <t>https://www.balearic-properties.com/en/property/id/756924-villa-calvia-html</t>
        </is>
      </c>
      <c r="E6386" t="n">
        <v>4</v>
      </c>
      <c r="G6386" t="n">
        <v>6000</v>
      </c>
      <c r="H6386" t="n">
        <v>439</v>
      </c>
      <c r="J6386" t="inlineStr">
        <is>
          <t>Calvià</t>
        </is>
      </c>
      <c r="AH6386" t="inlineStr">
        <is>
          <t>Quelle: Balearic Properties</t>
        </is>
      </c>
    </row>
    <row r="6387">
      <c r="A6387" t="n">
        <v>6200</v>
      </c>
      <c r="B6387" t="inlineStr">
        <is>
          <t>Beautiful country estate on the outskirts of Pina village near Algaida, Mallorca</t>
        </is>
      </c>
      <c r="C6387" t="inlineStr">
        <is>
          <t>https://www.balearic-properties.com/en/property/id/815403-country-home-pina-algaida-mallorca-html</t>
        </is>
      </c>
      <c r="E6387" t="n">
        <v>3</v>
      </c>
      <c r="G6387" t="n">
        <v>42000</v>
      </c>
      <c r="H6387" t="n">
        <v>340</v>
      </c>
      <c r="J6387" t="inlineStr">
        <is>
          <t>Pina</t>
        </is>
      </c>
      <c r="K6387" t="n">
        <v>25.4</v>
      </c>
      <c r="L6387" t="n">
        <v>25</v>
      </c>
      <c r="M6387" t="n">
        <v>42.2</v>
      </c>
      <c r="N6387" t="n">
        <v>42</v>
      </c>
      <c r="O6387" t="n">
        <v>59.7</v>
      </c>
      <c r="P6387" t="n">
        <v>50</v>
      </c>
      <c r="Q6387" t="n">
        <v>39.9</v>
      </c>
      <c r="R6387" t="n">
        <v>38</v>
      </c>
      <c r="S6387" t="n">
        <v>1495000</v>
      </c>
      <c r="T6387" t="n">
        <v>4397</v>
      </c>
      <c r="U6387" t="n">
        <v>36</v>
      </c>
      <c r="AH6387" t="inlineStr">
        <is>
          <t>Quelle: Balearic Properties</t>
        </is>
      </c>
    </row>
    <row r="6388">
      <c r="A6388" t="n">
        <v>6201</v>
      </c>
      <c r="B6388" t="inlineStr">
        <is>
          <t>Charming village house with high potential for sale in Pollensa, Mallorca</t>
        </is>
      </c>
      <c r="C6388" t="inlineStr">
        <is>
          <t>https://www.balearic-properties.com/en/property/id/812830-townhouse-pool-potential-center-pollensa</t>
        </is>
      </c>
      <c r="E6388" t="n">
        <v>5</v>
      </c>
      <c r="G6388" t="n">
        <v>210</v>
      </c>
      <c r="H6388" t="n">
        <v>233</v>
      </c>
      <c r="J6388" t="inlineStr">
        <is>
          <t>Pollença Pueblo</t>
        </is>
      </c>
      <c r="K6388" t="n">
        <v>60.6</v>
      </c>
      <c r="L6388" t="n">
        <v>47</v>
      </c>
      <c r="M6388" t="n">
        <v>78.7</v>
      </c>
      <c r="N6388" t="n">
        <v>74</v>
      </c>
      <c r="O6388" t="n">
        <v>83.2</v>
      </c>
      <c r="P6388" t="n">
        <v>63</v>
      </c>
      <c r="Q6388" t="n">
        <v>76.40000000000001</v>
      </c>
      <c r="R6388" t="n">
        <v>70</v>
      </c>
      <c r="S6388" t="n">
        <v>605000</v>
      </c>
      <c r="T6388" t="n">
        <v>2597</v>
      </c>
      <c r="U6388" t="n">
        <v>2881</v>
      </c>
      <c r="AH6388" t="inlineStr">
        <is>
          <t>Quelle: Balearic Properties</t>
        </is>
      </c>
    </row>
    <row r="6389">
      <c r="A6389" t="n">
        <v>6202</v>
      </c>
      <c r="B6389" t="inlineStr">
        <is>
          <t>Attractive country finca with holiday license for sale near Porto Cristo, Mallorca</t>
        </is>
      </c>
      <c r="C6389" t="inlineStr">
        <is>
          <t>https://www.balearic-properties.com/en/property/id/813129-finca-holiday-license-porto-cristo-mallorca-html</t>
        </is>
      </c>
      <c r="E6389" t="n">
        <v>3</v>
      </c>
      <c r="G6389" t="n">
        <v>15080</v>
      </c>
      <c r="H6389" t="n">
        <v>316</v>
      </c>
      <c r="J6389" t="inlineStr">
        <is>
          <t>Porto Cristo</t>
        </is>
      </c>
      <c r="AH6389" t="inlineStr">
        <is>
          <t>Quelle: Balearic Properties</t>
        </is>
      </c>
    </row>
    <row r="6390">
      <c r="A6390" t="n">
        <v>6203</v>
      </c>
      <c r="B6390" t="inlineStr">
        <is>
          <t>Remarkable village house with a holiday license for sale in the centre of Sóller, Mallorca</t>
        </is>
      </c>
      <c r="C6390" t="inlineStr">
        <is>
          <t>https://www.balearic-properties.com/en/property/id/808460-remarkable-village-house-with-rental-license-centre-of-soller-mallorca-html</t>
        </is>
      </c>
      <c r="E6390" t="n">
        <v>8</v>
      </c>
      <c r="G6390" t="n">
        <v>402</v>
      </c>
      <c r="H6390" t="n">
        <v>749</v>
      </c>
      <c r="J6390" t="inlineStr">
        <is>
          <t>Sóller</t>
        </is>
      </c>
      <c r="K6390" t="n">
        <v>32.5</v>
      </c>
      <c r="L6390" t="n">
        <v>38</v>
      </c>
      <c r="M6390" t="n">
        <v>75.2</v>
      </c>
      <c r="N6390" t="n">
        <v>70</v>
      </c>
      <c r="O6390" t="n">
        <v>52.1</v>
      </c>
      <c r="P6390" t="n">
        <v>51</v>
      </c>
      <c r="Q6390" t="n">
        <v>72.90000000000001</v>
      </c>
      <c r="R6390" t="n">
        <v>67</v>
      </c>
      <c r="S6390" t="n">
        <v>3200000</v>
      </c>
      <c r="T6390" t="n">
        <v>4272</v>
      </c>
      <c r="U6390" t="n">
        <v>7960</v>
      </c>
      <c r="AH6390" t="inlineStr">
        <is>
          <t>Quelle: Balearic Properties</t>
        </is>
      </c>
    </row>
    <row r="6391">
      <c r="A6391" t="n">
        <v>6204</v>
      </c>
      <c r="B6391" t="inlineStr">
        <is>
          <t>Newly built penthouse with sea views for sale in Palma, Mallorca</t>
        </is>
      </c>
      <c r="C6391" t="inlineStr">
        <is>
          <t>https://www.balearic-properties.com/en/property/id/806452-new-penthouse-sea-palma-mallorca-html</t>
        </is>
      </c>
      <c r="E6391" t="n">
        <v>2</v>
      </c>
      <c r="G6391" t="n">
        <v>0</v>
      </c>
      <c r="H6391" t="n">
        <v>161</v>
      </c>
      <c r="J6391" t="inlineStr">
        <is>
          <t>Palma de Mallorca</t>
        </is>
      </c>
      <c r="AH6391" t="inlineStr">
        <is>
          <t>Quelle: Balearic Properties</t>
        </is>
      </c>
    </row>
    <row r="6392">
      <c r="A6392" t="n">
        <v>6205</v>
      </c>
      <c r="B6392" t="inlineStr">
        <is>
          <t>Apartment in walking distance to the harbour for sale in Palma, Mallorca</t>
        </is>
      </c>
      <c r="C6392" t="inlineStr">
        <is>
          <t>https://www.balearic-properties.com/en/property/id/806444-apartment-harbour-sea-palma-html</t>
        </is>
      </c>
      <c r="E6392" t="n">
        <v>2</v>
      </c>
      <c r="G6392" t="n">
        <v>0</v>
      </c>
      <c r="H6392" t="n">
        <v>88</v>
      </c>
      <c r="J6392" t="inlineStr">
        <is>
          <t>Palma de Mallorca</t>
        </is>
      </c>
      <c r="AH6392" t="inlineStr">
        <is>
          <t>Quelle: Balearic Properties</t>
        </is>
      </c>
    </row>
    <row r="6393">
      <c r="A6393" t="n">
        <v>6206</v>
      </c>
      <c r="B6393" t="inlineStr">
        <is>
          <t>Apartment close to City Centre for sale in Palma, Mallorca</t>
        </is>
      </c>
      <c r="C6393" t="inlineStr">
        <is>
          <t>https://www.balearic-properties.com/en/property/id/806402-apartment-city-centre-palma-mallorca-html</t>
        </is>
      </c>
      <c r="E6393" t="n">
        <v>2</v>
      </c>
      <c r="G6393" t="n">
        <v>0</v>
      </c>
      <c r="H6393" t="n">
        <v>85</v>
      </c>
      <c r="J6393" t="inlineStr">
        <is>
          <t>Palma de Mallorca</t>
        </is>
      </c>
      <c r="AH6393" t="inlineStr">
        <is>
          <t>Quelle: Balearic Properties</t>
        </is>
      </c>
    </row>
    <row r="6394">
      <c r="A6394" t="n">
        <v>6207</v>
      </c>
      <c r="B6394" t="inlineStr">
        <is>
          <t>Apartments in new development for sale in Palma, Mallorca</t>
        </is>
      </c>
      <c r="C6394" t="inlineStr">
        <is>
          <t>https://www.balearic-properties.com/en/property/id/806401-apartment-new-palma-sea-html</t>
        </is>
      </c>
      <c r="E6394" t="n">
        <v>2</v>
      </c>
      <c r="G6394" t="n">
        <v>0</v>
      </c>
      <c r="H6394" t="n">
        <v>88</v>
      </c>
      <c r="J6394" t="inlineStr">
        <is>
          <t>Palma de Mallorca</t>
        </is>
      </c>
      <c r="AH6394" t="inlineStr">
        <is>
          <t>Quelle: Balearic Properties</t>
        </is>
      </c>
    </row>
    <row r="6395">
      <c r="A6395" t="n">
        <v>6208</v>
      </c>
      <c r="B6395" t="inlineStr">
        <is>
          <t>Modern country house project for sale near Santanyí, Mallorca</t>
        </is>
      </c>
      <c r="C6395" t="inlineStr">
        <is>
          <t>https://www.balearic-properties.com/en/property/id/811315-modern-project-for-sale-santanyi-html</t>
        </is>
      </c>
      <c r="E6395" t="n">
        <v>4</v>
      </c>
      <c r="G6395" t="n">
        <v>21000</v>
      </c>
      <c r="H6395" t="n">
        <v>450</v>
      </c>
      <c r="J6395" t="inlineStr">
        <is>
          <t>Alqueria Blanca</t>
        </is>
      </c>
      <c r="AH6395" t="inlineStr">
        <is>
          <t>Quelle: Balearic Properties</t>
        </is>
      </c>
    </row>
    <row r="6396">
      <c r="A6396" t="n">
        <v>6209</v>
      </c>
      <c r="B6396" t="inlineStr">
        <is>
          <t>Modern penthouse with partial sea views for sale in Palmanova, Mallorca</t>
        </is>
      </c>
      <c r="C6396" t="inlineStr">
        <is>
          <t>https://www.balearic-properties.com/en/property/id/813314-modern-penthouse-with-partial-sea-views-for-sale-in-palmanova-mallorca</t>
        </is>
      </c>
      <c r="E6396" t="n">
        <v>3</v>
      </c>
      <c r="G6396" t="n">
        <v>0</v>
      </c>
      <c r="H6396" t="n">
        <v>103</v>
      </c>
      <c r="J6396" t="inlineStr">
        <is>
          <t>Palmanova</t>
        </is>
      </c>
      <c r="AH6396" t="inlineStr">
        <is>
          <t>Quelle: Balearic Properties</t>
        </is>
      </c>
    </row>
    <row r="6397">
      <c r="A6397" t="n">
        <v>6210</v>
      </c>
      <c r="B6397" t="inlineStr">
        <is>
          <t>Charming villa with private pool and large garden for sale in Costa de la Calma, Mallorca</t>
        </is>
      </c>
      <c r="C6397" t="inlineStr">
        <is>
          <t>https://www.balearic-properties.com/en/property/id/812922-villa-near-santa-ponsa-costa-de-la-calma-mallorca-html</t>
        </is>
      </c>
      <c r="E6397" t="n">
        <v>4</v>
      </c>
      <c r="G6397" t="n">
        <v>978</v>
      </c>
      <c r="H6397" t="n">
        <v>254</v>
      </c>
      <c r="J6397" t="inlineStr">
        <is>
          <t>Costa de la Calma</t>
        </is>
      </c>
      <c r="S6397" t="n">
        <v>965000</v>
      </c>
      <c r="T6397" t="n">
        <v>3799</v>
      </c>
      <c r="U6397" t="n">
        <v>987</v>
      </c>
      <c r="AH6397" t="inlineStr">
        <is>
          <t>Quelle: Balearic Properties</t>
        </is>
      </c>
    </row>
    <row r="6398">
      <c r="A6398" t="n">
        <v>6211</v>
      </c>
      <c r="B6398" t="inlineStr">
        <is>
          <t>Modern finca with amazing outside area for sale in Colonia de Sant Jordi, Mallorca</t>
        </is>
      </c>
      <c r="C6398" t="inlineStr">
        <is>
          <t>https://www.balearic-properties.com/en/property/id/812603-etv-license-finca-mallorca-html</t>
        </is>
      </c>
      <c r="E6398" t="n">
        <v>6</v>
      </c>
      <c r="G6398" t="n">
        <v>21656</v>
      </c>
      <c r="H6398" t="n">
        <v>1003</v>
      </c>
      <c r="J6398" t="inlineStr">
        <is>
          <t>Colònia de Sant Jordi</t>
        </is>
      </c>
      <c r="K6398" t="n">
        <v>46.5</v>
      </c>
      <c r="L6398" t="n">
        <v>41</v>
      </c>
      <c r="M6398" t="n">
        <v>8.199999999999999</v>
      </c>
      <c r="N6398" t="n">
        <v>12</v>
      </c>
      <c r="O6398" t="n">
        <v>84.7</v>
      </c>
      <c r="P6398" t="n">
        <v>68</v>
      </c>
      <c r="Q6398" t="n">
        <v>7.4</v>
      </c>
      <c r="R6398" t="n">
        <v>10</v>
      </c>
      <c r="AH6398" t="inlineStr">
        <is>
          <t>Quelle: Balearic Properties</t>
        </is>
      </c>
    </row>
    <row r="6399">
      <c r="A6399" t="n">
        <v>6212</v>
      </c>
      <c r="B6399" t="inlineStr">
        <is>
          <t>Traditional villa with guest apartment for sale in the north of Mallorca</t>
        </is>
      </c>
      <c r="C6399" t="inlineStr">
        <is>
          <t>https://www.balearic-properties.com/en/property/id/806650-traditional-villa-north-mallorca-html</t>
        </is>
      </c>
      <c r="E6399" t="n">
        <v>5</v>
      </c>
      <c r="G6399" t="n">
        <v>2150</v>
      </c>
      <c r="H6399" t="n">
        <v>391</v>
      </c>
      <c r="J6399" t="inlineStr">
        <is>
          <t>Pollença</t>
        </is>
      </c>
      <c r="K6399" t="n">
        <v>60.6</v>
      </c>
      <c r="L6399" t="n">
        <v>47</v>
      </c>
      <c r="M6399" t="n">
        <v>78.7</v>
      </c>
      <c r="N6399" t="n">
        <v>74</v>
      </c>
      <c r="O6399" t="n">
        <v>83.2</v>
      </c>
      <c r="P6399" t="n">
        <v>63</v>
      </c>
      <c r="Q6399" t="n">
        <v>76.40000000000001</v>
      </c>
      <c r="R6399" t="n">
        <v>70</v>
      </c>
      <c r="AH6399" t="inlineStr">
        <is>
          <t>Quelle: Balearic Properties</t>
        </is>
      </c>
    </row>
    <row r="6400">
      <c r="A6400" t="n">
        <v>6213</v>
      </c>
      <c r="B6400" t="inlineStr">
        <is>
          <t>Brand new apartment close to the sea for sale in Palma, Mallorca</t>
        </is>
      </c>
      <c r="C6400" t="inlineStr">
        <is>
          <t>https://www.balearic-properties.com/en/property/id/806399-new-apartment-palma-pool-html</t>
        </is>
      </c>
      <c r="E6400" t="n">
        <v>2</v>
      </c>
      <c r="G6400" t="n">
        <v>0</v>
      </c>
      <c r="H6400" t="n">
        <v>110</v>
      </c>
      <c r="J6400" t="inlineStr">
        <is>
          <t>Palma de Mallorca</t>
        </is>
      </c>
      <c r="AH6400" t="inlineStr">
        <is>
          <t>Quelle: Balearic Properties</t>
        </is>
      </c>
    </row>
    <row r="6401">
      <c r="A6401" t="n">
        <v>6214</v>
      </c>
      <c r="B6401" t="inlineStr">
        <is>
          <t>Country home with holiday license for sale in Pollensa, Mallorca</t>
        </is>
      </c>
      <c r="C6401" t="inlineStr">
        <is>
          <t>https://www.balearic-properties.com/en/property/id/812967-country-home-rental-license-pollensa-html</t>
        </is>
      </c>
      <c r="E6401" t="n">
        <v>5</v>
      </c>
      <c r="G6401" t="n">
        <v>4500</v>
      </c>
      <c r="H6401" t="n">
        <v>283</v>
      </c>
      <c r="J6401" t="inlineStr">
        <is>
          <t>Pollença</t>
        </is>
      </c>
      <c r="K6401" t="n">
        <v>60.6</v>
      </c>
      <c r="L6401" t="n">
        <v>47</v>
      </c>
      <c r="M6401" t="n">
        <v>78.7</v>
      </c>
      <c r="N6401" t="n">
        <v>74</v>
      </c>
      <c r="O6401" t="n">
        <v>83.2</v>
      </c>
      <c r="P6401" t="n">
        <v>63</v>
      </c>
      <c r="Q6401" t="n">
        <v>76.40000000000001</v>
      </c>
      <c r="R6401" t="n">
        <v>70</v>
      </c>
      <c r="S6401" t="n">
        <v>995000</v>
      </c>
      <c r="T6401" t="n">
        <v>3516</v>
      </c>
      <c r="U6401" t="n">
        <v>221</v>
      </c>
      <c r="AH6401" t="inlineStr">
        <is>
          <t>Quelle: Balearic Properties</t>
        </is>
      </c>
    </row>
    <row r="6402">
      <c r="A6402" t="n">
        <v>6215</v>
      </c>
      <c r="B6402" t="inlineStr">
        <is>
          <t>Detached village house with pool for sale in the centre of Galilea, Mallorca</t>
        </is>
      </c>
      <c r="C6402" t="inlineStr">
        <is>
          <t>https://www.balearic-properties.com/en/property/id/812448-village-house-pool-galilea-puigpunyent-mallorca-html</t>
        </is>
      </c>
      <c r="E6402" t="n">
        <v>2</v>
      </c>
      <c r="G6402" t="n">
        <v>1130</v>
      </c>
      <c r="H6402" t="n">
        <v>177</v>
      </c>
      <c r="J6402" t="inlineStr">
        <is>
          <t>Galilea</t>
        </is>
      </c>
      <c r="AH6402" t="inlineStr">
        <is>
          <t>Quelle: Balearic Properties</t>
        </is>
      </c>
    </row>
    <row r="6403">
      <c r="A6403" t="n">
        <v>6216</v>
      </c>
      <c r="B6403" t="inlineStr">
        <is>
          <t>Spacious country house for sale in Santa Eugenia, Mallorca</t>
        </is>
      </c>
      <c r="C6403" t="inlineStr">
        <is>
          <t>https://www.balearic-properties.com/en/property/id/564195-country-house-santa-eugenia-mallorca-html</t>
        </is>
      </c>
      <c r="E6403" t="n">
        <v>5</v>
      </c>
      <c r="G6403" t="n">
        <v>14000</v>
      </c>
      <c r="H6403" t="n">
        <v>625</v>
      </c>
      <c r="J6403" t="inlineStr">
        <is>
          <t>Santa Eugènia</t>
        </is>
      </c>
      <c r="K6403" t="n">
        <v>28.5</v>
      </c>
      <c r="L6403" t="n">
        <v>25</v>
      </c>
      <c r="M6403" t="n">
        <v>48.2</v>
      </c>
      <c r="N6403" t="n">
        <v>48</v>
      </c>
      <c r="O6403" t="n">
        <v>51.1</v>
      </c>
      <c r="P6403" t="n">
        <v>42</v>
      </c>
      <c r="Q6403" t="n">
        <v>45.9</v>
      </c>
      <c r="R6403" t="n">
        <v>44</v>
      </c>
      <c r="AH6403" t="inlineStr">
        <is>
          <t>Quelle: Balearic Properties</t>
        </is>
      </c>
    </row>
    <row r="6404">
      <c r="A6404" t="n">
        <v>6217</v>
      </c>
      <c r="B6404" t="inlineStr">
        <is>
          <t>Stunning country house with holiday license for sale in Selva, Mallorca</t>
        </is>
      </c>
      <c r="C6404" t="inlineStr">
        <is>
          <t>https://www.balearic-properties.com/en/property/id/812564-finca-pool-holiday-license-selva-mallorca-html</t>
        </is>
      </c>
      <c r="E6404" t="n">
        <v>4</v>
      </c>
      <c r="G6404" t="n">
        <v>15000</v>
      </c>
      <c r="H6404" t="n">
        <v>566</v>
      </c>
      <c r="J6404" t="inlineStr">
        <is>
          <t>Selva</t>
        </is>
      </c>
      <c r="AH6404" t="inlineStr">
        <is>
          <t>Quelle: Balearic Properties</t>
        </is>
      </c>
    </row>
    <row r="6405">
      <c r="A6405" t="n">
        <v>6218</v>
      </c>
      <c r="B6405" t="inlineStr">
        <is>
          <t>Historic country house for sale near Caimari, Mallorca</t>
        </is>
      </c>
      <c r="C6405" t="inlineStr">
        <is>
          <t>https://www.balearic-properties.com/en/property/id/768044-mallorca-house-caimari-html</t>
        </is>
      </c>
      <c r="E6405" t="n">
        <v>6</v>
      </c>
      <c r="G6405" t="n">
        <v>22100</v>
      </c>
      <c r="H6405" t="n">
        <v>759</v>
      </c>
      <c r="J6405" t="inlineStr">
        <is>
          <t>Caimari</t>
        </is>
      </c>
      <c r="K6405" t="n">
        <v>44.6</v>
      </c>
      <c r="L6405" t="n">
        <v>41</v>
      </c>
      <c r="M6405" t="n">
        <v>62.7</v>
      </c>
      <c r="N6405" t="n">
        <v>68</v>
      </c>
      <c r="O6405" t="n">
        <v>67.2</v>
      </c>
      <c r="P6405" t="n">
        <v>58</v>
      </c>
      <c r="Q6405" t="n">
        <v>60.4</v>
      </c>
      <c r="R6405" t="n">
        <v>64</v>
      </c>
      <c r="AH6405" t="inlineStr">
        <is>
          <t>Quelle: Balearic Properties</t>
        </is>
      </c>
    </row>
    <row r="6406">
      <c r="A6406" t="n">
        <v>6219</v>
      </c>
      <c r="B6406" t="inlineStr">
        <is>
          <t>New build project for sale in a quiet area in Ses Salines, Mallorca</t>
        </is>
      </c>
      <c r="C6406" t="inlineStr">
        <is>
          <t>https://www.balearic-properties.com/en/property/id/811309-project-rustic-ses-salines-html</t>
        </is>
      </c>
      <c r="E6406" t="n">
        <v>4</v>
      </c>
      <c r="G6406" t="n">
        <v>14200</v>
      </c>
      <c r="H6406" t="n">
        <v>350</v>
      </c>
      <c r="J6406" t="inlineStr">
        <is>
          <t>Ses Salines</t>
        </is>
      </c>
      <c r="K6406" t="n">
        <v>44.5</v>
      </c>
      <c r="L6406" t="n">
        <v>39</v>
      </c>
      <c r="M6406" t="n">
        <v>2.4</v>
      </c>
      <c r="N6406" t="n">
        <v>5</v>
      </c>
      <c r="O6406" t="n">
        <v>82.7</v>
      </c>
      <c r="P6406" t="n">
        <v>67</v>
      </c>
      <c r="Q6406" t="n">
        <v>2</v>
      </c>
      <c r="R6406" t="n">
        <v>5</v>
      </c>
      <c r="S6406" t="n">
        <v>2490000</v>
      </c>
      <c r="T6406" t="n">
        <v>7114</v>
      </c>
      <c r="U6406" t="n">
        <v>175</v>
      </c>
      <c r="AH6406" t="inlineStr">
        <is>
          <t>Quelle: Balearic Properties</t>
        </is>
      </c>
    </row>
    <row r="6407">
      <c r="A6407" t="n">
        <v>6220</v>
      </c>
      <c r="B6407" t="inlineStr">
        <is>
          <t>Modern penthouse with community pool on roof top for sale in Palma, Mallorca</t>
        </is>
      </c>
      <c r="C6407" t="inlineStr">
        <is>
          <t>https://www.balearic-properties.com/en/property/id/812463-penthouse-pool-palma-mallorca-html</t>
        </is>
      </c>
      <c r="E6407" t="n">
        <v>3</v>
      </c>
      <c r="G6407" t="n">
        <v>0</v>
      </c>
      <c r="H6407" t="n">
        <v>143</v>
      </c>
      <c r="J6407" t="inlineStr">
        <is>
          <t>Palma de Mallorca</t>
        </is>
      </c>
      <c r="K6407" t="n">
        <v>9.699999999999999</v>
      </c>
      <c r="L6407" t="n">
        <v>14</v>
      </c>
      <c r="M6407" t="n">
        <v>52.5</v>
      </c>
      <c r="N6407" t="n">
        <v>47</v>
      </c>
      <c r="O6407" t="n">
        <v>32.1</v>
      </c>
      <c r="P6407" t="n">
        <v>36</v>
      </c>
      <c r="Q6407" t="n">
        <v>50.2</v>
      </c>
      <c r="R6407" t="n">
        <v>44</v>
      </c>
      <c r="S6407" t="n">
        <v>1344200</v>
      </c>
      <c r="T6407" t="n">
        <v>9400</v>
      </c>
      <c r="AH6407" t="inlineStr">
        <is>
          <t>Quelle: Balearic Properties</t>
        </is>
      </c>
    </row>
    <row r="6408">
      <c r="A6408" t="n">
        <v>6221</v>
      </c>
      <c r="B6408" t="inlineStr">
        <is>
          <t>Modern apartments close to sea for sale in Palma, Mallorca</t>
        </is>
      </c>
      <c r="C6408" t="inlineStr">
        <is>
          <t>https://www.balearic-properties.com/en/property/id/812305-modern-apartments-close-to-sea-for-sale-in-palma-mallorca</t>
        </is>
      </c>
      <c r="E6408" t="n">
        <v>3</v>
      </c>
      <c r="G6408" t="n">
        <v>0</v>
      </c>
      <c r="H6408" t="n">
        <v>144</v>
      </c>
      <c r="J6408" t="inlineStr">
        <is>
          <t>Palma de Mallorca</t>
        </is>
      </c>
      <c r="S6408" t="n">
        <v>692900</v>
      </c>
      <c r="T6408" t="n">
        <v>4812</v>
      </c>
      <c r="AH6408" t="inlineStr">
        <is>
          <t>Quelle: Balearic Properties</t>
        </is>
      </c>
    </row>
    <row r="6409">
      <c r="A6409" t="n">
        <v>6222</v>
      </c>
      <c r="B6409" t="inlineStr">
        <is>
          <t>Luxurious apartments for sale close to harbour in Palma, Mallorca</t>
        </is>
      </c>
      <c r="C6409" t="inlineStr">
        <is>
          <t>https://www.balearic-properties.com/en/property/id/811644-luxurious-apartments-palma-pool-html</t>
        </is>
      </c>
      <c r="E6409" t="n">
        <v>3</v>
      </c>
      <c r="G6409" t="n">
        <v>0</v>
      </c>
      <c r="H6409" t="n">
        <v>130</v>
      </c>
      <c r="J6409" t="inlineStr">
        <is>
          <t>Palma de Mallorca</t>
        </is>
      </c>
      <c r="S6409" t="n">
        <v>615900</v>
      </c>
      <c r="T6409" t="n">
        <v>4738</v>
      </c>
      <c r="AH6409" t="inlineStr">
        <is>
          <t>Quelle: Balearic Properties</t>
        </is>
      </c>
    </row>
    <row r="6410">
      <c r="A6410" t="n">
        <v>6223</v>
      </c>
      <c r="B6410" t="inlineStr">
        <is>
          <t>Modern villa with a stunning sea view for sale in Cas Català</t>
        </is>
      </c>
      <c r="C6410" t="inlineStr">
        <is>
          <t>https://www.balearic-properties.com/en/property/id/811490-modern-villa-seaview-mallorca-html</t>
        </is>
      </c>
      <c r="E6410" t="n">
        <v>4</v>
      </c>
      <c r="G6410" t="n">
        <v>1001</v>
      </c>
      <c r="H6410" t="n">
        <v>292</v>
      </c>
      <c r="J6410" t="inlineStr">
        <is>
          <t>Cas Català</t>
        </is>
      </c>
      <c r="AH6410" t="inlineStr">
        <is>
          <t>Quelle: Balearic Properties</t>
        </is>
      </c>
    </row>
    <row r="6411">
      <c r="A6411" t="n">
        <v>6224</v>
      </c>
      <c r="B6411" t="inlineStr">
        <is>
          <t>Outstanding designer town house for sale in Alcúdia old town, Mallorca</t>
        </is>
      </c>
      <c r="C6411" t="inlineStr">
        <is>
          <t>https://www.balearic-properties.com/en/property/id/811581-town-house-alcudia-mallorca-html</t>
        </is>
      </c>
      <c r="E6411" t="n">
        <v>4</v>
      </c>
      <c r="G6411" t="n">
        <v>139</v>
      </c>
      <c r="H6411" t="n">
        <v>215</v>
      </c>
      <c r="J6411" t="inlineStr">
        <is>
          <t>Alcúdia</t>
        </is>
      </c>
      <c r="AH6411" t="inlineStr">
        <is>
          <t>Quelle: Balearic Properties</t>
        </is>
      </c>
    </row>
    <row r="6412">
      <c r="A6412" t="n">
        <v>6225</v>
      </c>
      <c r="B6412" t="inlineStr">
        <is>
          <t>Excellent penthouse apartment with rental license for sale in Son Serra de Marina, Mallorca</t>
        </is>
      </c>
      <c r="C6412" t="inlineStr">
        <is>
          <t>https://www.balearic-properties.com/en/property/id/811626-frontline-penthouse-son-serra-html</t>
        </is>
      </c>
      <c r="E6412" t="n">
        <v>4</v>
      </c>
      <c r="G6412" t="n">
        <v>0</v>
      </c>
      <c r="H6412" t="n">
        <v>287</v>
      </c>
      <c r="J6412" t="inlineStr">
        <is>
          <t>Son Serra de Marina</t>
        </is>
      </c>
      <c r="S6412" t="n">
        <v>695000</v>
      </c>
      <c r="T6412" t="n">
        <v>2422</v>
      </c>
      <c r="AH6412" t="inlineStr">
        <is>
          <t>Quelle: Balearic Properties</t>
        </is>
      </c>
    </row>
    <row r="6413">
      <c r="A6413" t="n">
        <v>6226</v>
      </c>
      <c r="B6413" t="inlineStr">
        <is>
          <t>Traditional village house for sale in the centre of Selva, Mallorca</t>
        </is>
      </c>
      <c r="C6413" t="inlineStr">
        <is>
          <t>https://www.balearic-properties.com/en/property/id/810692-townhouse-centre-selva-mallorca-html</t>
        </is>
      </c>
      <c r="E6413" t="n">
        <v>2</v>
      </c>
      <c r="G6413" t="n">
        <v>53</v>
      </c>
      <c r="H6413" t="n">
        <v>112</v>
      </c>
      <c r="J6413" t="inlineStr">
        <is>
          <t>Selva</t>
        </is>
      </c>
      <c r="AH6413" t="inlineStr">
        <is>
          <t>Quelle: Balearic Properties</t>
        </is>
      </c>
    </row>
    <row r="6414">
      <c r="A6414" t="n">
        <v>6227</v>
      </c>
      <c r="B6414" t="inlineStr">
        <is>
          <t>Sea view apartment with community pool for sale near Palma, Mallorca</t>
        </is>
      </c>
      <c r="C6414" t="inlineStr">
        <is>
          <t>https://www.balearic-properties.com/en/property/id/811195-sea-view-apartment-palma-mallorca-html</t>
        </is>
      </c>
      <c r="E6414" t="n">
        <v>3</v>
      </c>
      <c r="G6414" t="n">
        <v>0</v>
      </c>
      <c r="H6414" t="n">
        <v>140</v>
      </c>
      <c r="J6414" t="inlineStr">
        <is>
          <t>Génova</t>
        </is>
      </c>
      <c r="S6414" t="n">
        <v>720000</v>
      </c>
      <c r="T6414" t="n">
        <v>5143</v>
      </c>
      <c r="AH6414" t="inlineStr">
        <is>
          <t>Quelle: Balearic Properties</t>
        </is>
      </c>
    </row>
    <row r="6415">
      <c r="A6415" t="n">
        <v>6228</v>
      </c>
      <c r="B6415" t="inlineStr">
        <is>
          <t>Luxury townhouses for sale in the centre of Campanet, Mallorca</t>
        </is>
      </c>
      <c r="C6415" t="inlineStr">
        <is>
          <t>https://www.balearic-properties.com/en/property/id/803398-luxury-houses-campanet-html</t>
        </is>
      </c>
      <c r="E6415" t="n">
        <v>4</v>
      </c>
      <c r="G6415" t="n">
        <v>228</v>
      </c>
      <c r="H6415" t="n">
        <v>349</v>
      </c>
      <c r="J6415" t="inlineStr">
        <is>
          <t>Campanet</t>
        </is>
      </c>
      <c r="AH6415" t="inlineStr">
        <is>
          <t>Quelle: Balearic Properties</t>
        </is>
      </c>
    </row>
    <row r="6416">
      <c r="A6416" t="n">
        <v>6229</v>
      </c>
      <c r="B6416" t="inlineStr">
        <is>
          <t>Recently refurbished apartment for sale in Pollensa, Mallorca</t>
        </is>
      </c>
      <c r="C6416" t="inlineStr">
        <is>
          <t>https://www.balearic-properties.com/en/property/id/810870-modernised-apartment-pollensa-mallorca-html</t>
        </is>
      </c>
      <c r="E6416" t="n">
        <v>3</v>
      </c>
      <c r="G6416" t="n">
        <v>0</v>
      </c>
      <c r="H6416" t="n">
        <v>180</v>
      </c>
      <c r="J6416" t="inlineStr">
        <is>
          <t>Pollença Pueblo</t>
        </is>
      </c>
      <c r="S6416" t="n">
        <v>450000</v>
      </c>
      <c r="T6416" t="n">
        <v>2500</v>
      </c>
      <c r="AH6416" t="inlineStr">
        <is>
          <t>Quelle: Balearic Properties</t>
        </is>
      </c>
    </row>
    <row r="6417">
      <c r="A6417" t="n">
        <v>6230</v>
      </c>
      <c r="B6417" t="inlineStr">
        <is>
          <t>Modern penthouse with partial sea views for sale in Palmanova, Mallorca</t>
        </is>
      </c>
      <c r="C6417" t="inlineStr">
        <is>
          <t>https://www.balearic-properties.com/en/property/id/810832-modern-penthouse-with-partial-sea-views-for-sale-in-palmanova-mallorca</t>
        </is>
      </c>
      <c r="E6417" t="n">
        <v>3</v>
      </c>
      <c r="G6417" t="n">
        <v>0</v>
      </c>
      <c r="H6417" t="n">
        <v>115</v>
      </c>
      <c r="J6417" t="inlineStr">
        <is>
          <t>Palmanova</t>
        </is>
      </c>
      <c r="S6417" t="n">
        <v>890000</v>
      </c>
      <c r="T6417" t="n">
        <v>7739</v>
      </c>
      <c r="AH6417" t="inlineStr">
        <is>
          <t>Quelle: Balearic Properties</t>
        </is>
      </c>
    </row>
    <row r="6418">
      <c r="A6418" t="n">
        <v>6231</v>
      </c>
      <c r="B6418" t="inlineStr">
        <is>
          <t>Duplex apartment for sale in a historic palace in Palma, Mallorca</t>
        </is>
      </c>
      <c r="C6418" t="inlineStr">
        <is>
          <t>https://www.balearic-properties.com/en/property/id/811012-apartment-luxury-renovated-palma-html</t>
        </is>
      </c>
      <c r="E6418" t="n">
        <v>3</v>
      </c>
      <c r="G6418" t="n">
        <v>0</v>
      </c>
      <c r="H6418" t="n">
        <v>226</v>
      </c>
      <c r="J6418" t="inlineStr">
        <is>
          <t>Palma Casco Antiguo</t>
        </is>
      </c>
      <c r="AH6418" t="inlineStr">
        <is>
          <t>Quelle: Balearic Properties</t>
        </is>
      </c>
    </row>
    <row r="6419">
      <c r="A6419" t="n">
        <v>6232</v>
      </c>
      <c r="B6419" t="inlineStr">
        <is>
          <t>Picturesque village house for sale in the centre of Búger, Mallorca</t>
        </is>
      </c>
      <c r="C6419" t="inlineStr">
        <is>
          <t>https://www.balearic-properties.com/en/property/id/810666-picturesuqe-house-garden-buger-mallorca-html</t>
        </is>
      </c>
      <c r="E6419" t="n">
        <v>3</v>
      </c>
      <c r="G6419" t="n">
        <v>240</v>
      </c>
      <c r="H6419" t="n">
        <v>256</v>
      </c>
      <c r="J6419" t="inlineStr">
        <is>
          <t>Búger</t>
        </is>
      </c>
      <c r="AH6419" t="inlineStr">
        <is>
          <t>Quelle: Balearic Properties</t>
        </is>
      </c>
    </row>
    <row r="6420">
      <c r="A6420" t="n">
        <v>6233</v>
      </c>
      <c r="B6420" t="inlineStr">
        <is>
          <t>Beachfront apartment for sale in Portixol, Palma, Mallorca</t>
        </is>
      </c>
      <c r="C6420" t="inlineStr">
        <is>
          <t>https://www.balearic-properties.com/en/property/id/811179-beachfront-apartment-portixol-palma-mallorca-html</t>
        </is>
      </c>
      <c r="E6420" t="n">
        <v>3</v>
      </c>
      <c r="G6420" t="n">
        <v>0</v>
      </c>
      <c r="H6420" t="n">
        <v>180</v>
      </c>
      <c r="J6420" t="inlineStr">
        <is>
          <t>Portixol</t>
        </is>
      </c>
      <c r="AH6420" t="inlineStr">
        <is>
          <t>Quelle: Balearic Properties</t>
        </is>
      </c>
    </row>
    <row r="6421">
      <c r="A6421" t="n">
        <v>6234</v>
      </c>
      <c r="B6421" t="inlineStr">
        <is>
          <t>Beautiful finca with pool for sale in Santa Maria, Mallorca</t>
        </is>
      </c>
      <c r="C6421" t="inlineStr">
        <is>
          <t>https://www.balearic-properties.com/en/property/id/810853-beautiful-finca-with-pool-santa-maria-mallorca-html</t>
        </is>
      </c>
      <c r="E6421" t="n">
        <v>3</v>
      </c>
      <c r="G6421" t="n">
        <v>15518</v>
      </c>
      <c r="H6421" t="n">
        <v>381</v>
      </c>
      <c r="J6421" t="inlineStr">
        <is>
          <t>Santa Maria del Camí</t>
        </is>
      </c>
      <c r="AH6421" t="inlineStr">
        <is>
          <t>Quelle: Balearic Properties</t>
        </is>
      </c>
    </row>
    <row r="6422">
      <c r="A6422" t="n">
        <v>6235</v>
      </c>
      <c r="B6422" t="inlineStr">
        <is>
          <t>Fabulous villa with holiday rental license for sale in Cala San Vicente, Mallorca</t>
        </is>
      </c>
      <c r="C6422" t="inlineStr">
        <is>
          <t>https://www.balearic-properties.com/en/property/id/811104-villa-holiday-rental-license-cala-san-vicente-mallorca-html</t>
        </is>
      </c>
      <c r="E6422" t="n">
        <v>5</v>
      </c>
      <c r="G6422" t="n">
        <v>557</v>
      </c>
      <c r="H6422" t="n">
        <v>380</v>
      </c>
      <c r="J6422" t="inlineStr">
        <is>
          <t>Cala Sant Vicenç</t>
        </is>
      </c>
      <c r="K6422" t="n">
        <v>66.5</v>
      </c>
      <c r="L6422" t="n">
        <v>52</v>
      </c>
      <c r="M6422" t="n">
        <v>84.59999999999999</v>
      </c>
      <c r="N6422" t="n">
        <v>79</v>
      </c>
      <c r="O6422" t="n">
        <v>89.09999999999999</v>
      </c>
      <c r="P6422" t="n">
        <v>68</v>
      </c>
      <c r="Q6422" t="n">
        <v>82.3</v>
      </c>
      <c r="R6422" t="n">
        <v>75</v>
      </c>
      <c r="AH6422" t="inlineStr">
        <is>
          <t>Quelle: Balearic Properties</t>
        </is>
      </c>
    </row>
    <row r="6423">
      <c r="A6423" t="n">
        <v>6236</v>
      </c>
      <c r="B6423" t="inlineStr">
        <is>
          <t>Amazing finca with tennis court for sale in Binissalem, Mallorca</t>
        </is>
      </c>
      <c r="C6423" t="inlineStr">
        <is>
          <t>https://www.balearic-properties.com/en/property/id/807931-finca-holiday-license-binissalem-mallorca-html</t>
        </is>
      </c>
      <c r="E6423" t="n">
        <v>4</v>
      </c>
      <c r="G6423" t="n">
        <v>4058</v>
      </c>
      <c r="H6423" t="n">
        <v>248</v>
      </c>
      <c r="J6423" t="inlineStr">
        <is>
          <t>Binissalem</t>
        </is>
      </c>
      <c r="AH6423" t="inlineStr">
        <is>
          <t>Quelle: Balearic Properties</t>
        </is>
      </c>
    </row>
    <row r="6424">
      <c r="A6424" t="n">
        <v>6237</v>
      </c>
      <c r="B6424" t="inlineStr">
        <is>
          <t>Outstanding villa with large garden and sea views in Cala Vinyes, Mallorca</t>
        </is>
      </c>
      <c r="C6424" t="inlineStr">
        <is>
          <t>https://www.balearic-properties.com/en/property/id/810803-villa-see-view-mallorca-html</t>
        </is>
      </c>
      <c r="E6424" t="n">
        <v>4</v>
      </c>
      <c r="G6424" t="n">
        <v>1564</v>
      </c>
      <c r="H6424" t="n">
        <v>365</v>
      </c>
      <c r="J6424" t="inlineStr">
        <is>
          <t>Cala Vinyes</t>
        </is>
      </c>
      <c r="K6424" t="n">
        <v>31.5</v>
      </c>
      <c r="L6424" t="n">
        <v>31</v>
      </c>
      <c r="M6424" t="n">
        <v>74.3</v>
      </c>
      <c r="N6424" t="n">
        <v>64</v>
      </c>
      <c r="O6424" t="n">
        <v>20.4</v>
      </c>
      <c r="P6424" t="n">
        <v>25</v>
      </c>
      <c r="Q6424" t="n">
        <v>72</v>
      </c>
      <c r="R6424" t="n">
        <v>60</v>
      </c>
      <c r="S6424" t="n">
        <v>1975000</v>
      </c>
      <c r="T6424" t="n">
        <v>5411</v>
      </c>
      <c r="U6424" t="n">
        <v>1263</v>
      </c>
      <c r="AH6424" t="inlineStr">
        <is>
          <t>Quelle: Balearic Properties</t>
        </is>
      </c>
    </row>
    <row r="6425">
      <c r="A6425" t="n">
        <v>6238</v>
      </c>
      <c r="B6425" t="inlineStr">
        <is>
          <t>Frontline apartment for sale in Puerto Pollensa, Mallorca</t>
        </is>
      </c>
      <c r="C6425" t="inlineStr">
        <is>
          <t>https://www.balearic-properties.com/en/property/id/810982-frontline-apartment-puerto-pollensa-mallorca-html</t>
        </is>
      </c>
      <c r="E6425" t="n">
        <v>2</v>
      </c>
      <c r="G6425" t="n">
        <v>0</v>
      </c>
      <c r="H6425" t="n">
        <v>0</v>
      </c>
      <c r="J6425" t="inlineStr">
        <is>
          <t>Port de Pollença</t>
        </is>
      </c>
      <c r="AH6425" t="inlineStr">
        <is>
          <t>Quelle: Balearic Properties</t>
        </is>
      </c>
    </row>
    <row r="6426">
      <c r="A6426" t="n">
        <v>6239</v>
      </c>
      <c r="B6426" t="inlineStr">
        <is>
          <t>Semi-detached house with community pool for sale in Puerto Alcudia, Mallorca</t>
        </is>
      </c>
      <c r="C6426" t="inlineStr">
        <is>
          <t>https://www.balearic-properties.com/en/property/id/810703-semi-detached-duplex-in-puerto-de-alcudia-mallorca-html</t>
        </is>
      </c>
      <c r="E6426" t="n">
        <v>3</v>
      </c>
      <c r="G6426" t="n">
        <v>230</v>
      </c>
      <c r="H6426" t="n">
        <v>0</v>
      </c>
      <c r="J6426" t="inlineStr">
        <is>
          <t>Puerto de Alcúdia</t>
        </is>
      </c>
      <c r="AH6426" t="inlineStr">
        <is>
          <t>Quelle: Balearic Properties</t>
        </is>
      </c>
    </row>
    <row r="6427">
      <c r="A6427" t="n">
        <v>6240</v>
      </c>
      <c r="B6427" t="inlineStr">
        <is>
          <t>Modern frontline villa with pool and spa for sale in Cala Pi, Llucmajor, Mallorca</t>
        </is>
      </c>
      <c r="C6427" t="inlineStr">
        <is>
          <t>https://www.balearic-properties.com/en/property/id/810961-frontline-villa-pool-spa-llucmajor-mallorca-html</t>
        </is>
      </c>
      <c r="E6427" t="n">
        <v>5</v>
      </c>
      <c r="G6427" t="n">
        <v>1400</v>
      </c>
      <c r="H6427" t="n">
        <v>550</v>
      </c>
      <c r="J6427" t="inlineStr">
        <is>
          <t>Cala Pi</t>
        </is>
      </c>
      <c r="K6427" t="n">
        <v>35.3</v>
      </c>
      <c r="L6427" t="n">
        <v>35</v>
      </c>
      <c r="M6427" t="n">
        <v>31.1</v>
      </c>
      <c r="N6427" t="n">
        <v>34</v>
      </c>
      <c r="O6427" t="n">
        <v>73.5</v>
      </c>
      <c r="P6427" t="n">
        <v>62</v>
      </c>
      <c r="Q6427" t="n">
        <v>28.8</v>
      </c>
      <c r="R6427" t="n">
        <v>30</v>
      </c>
      <c r="AH6427" t="inlineStr">
        <is>
          <t>Quelle: Balearic Properties</t>
        </is>
      </c>
    </row>
    <row r="6428">
      <c r="A6428" t="n">
        <v>6241</v>
      </c>
      <c r="B6428" t="inlineStr">
        <is>
          <t>Frontline penthouse with sea views and holiday license for sale in Puerto Pollensa, Mallorca</t>
        </is>
      </c>
      <c r="C6428" t="inlineStr">
        <is>
          <t>https://www.balearic-properties.com/en/property/id/809931-penthouse-beachfront-license-puerto-pollensa-html</t>
        </is>
      </c>
      <c r="E6428" t="n">
        <v>2</v>
      </c>
      <c r="G6428" t="n">
        <v>0</v>
      </c>
      <c r="H6428" t="n">
        <v>130</v>
      </c>
      <c r="J6428" t="inlineStr">
        <is>
          <t>Port de Pollença</t>
        </is>
      </c>
      <c r="AH6428" t="inlineStr">
        <is>
          <t>Quelle: Balearic Properties</t>
        </is>
      </c>
    </row>
    <row r="6429">
      <c r="A6429" t="n">
        <v>6242</v>
      </c>
      <c r="B6429" t="inlineStr">
        <is>
          <t>Beautiful countryside finca with rental license for sale near Moscari, Mallorca</t>
        </is>
      </c>
      <c r="C6429" t="inlineStr">
        <is>
          <t>https://www.balearic-properties.com/en/property/id/793946-country-finca-moscari-html</t>
        </is>
      </c>
      <c r="E6429" t="n">
        <v>6</v>
      </c>
      <c r="G6429" t="n">
        <v>17000</v>
      </c>
      <c r="H6429" t="n">
        <v>572</v>
      </c>
      <c r="J6429" t="inlineStr">
        <is>
          <t>Moscari</t>
        </is>
      </c>
      <c r="K6429" t="n">
        <v>48.8</v>
      </c>
      <c r="L6429" t="n">
        <v>40</v>
      </c>
      <c r="M6429" t="n">
        <v>66.90000000000001</v>
      </c>
      <c r="N6429" t="n">
        <v>67</v>
      </c>
      <c r="O6429" t="n">
        <v>71.40000000000001</v>
      </c>
      <c r="P6429" t="n">
        <v>56</v>
      </c>
      <c r="Q6429" t="n">
        <v>64.59999999999999</v>
      </c>
      <c r="R6429" t="n">
        <v>63</v>
      </c>
      <c r="AH6429" t="inlineStr">
        <is>
          <t>Quelle: Balearic Properties</t>
        </is>
      </c>
    </row>
    <row r="6430">
      <c r="A6430" t="n">
        <v>6243</v>
      </c>
      <c r="B6430" t="inlineStr">
        <is>
          <t>Seafront apartment for sale on the Pine Walk in Puerto Pollensa, Mallorca</t>
        </is>
      </c>
      <c r="C6430" t="inlineStr">
        <is>
          <t>https://www.balearic-properties.com/en/property/id/805271-frontline-apartment-puerto-pollensa-html</t>
        </is>
      </c>
      <c r="E6430" t="n">
        <v>3</v>
      </c>
      <c r="G6430" t="n">
        <v>0</v>
      </c>
      <c r="H6430" t="n">
        <v>110</v>
      </c>
      <c r="J6430" t="inlineStr">
        <is>
          <t>Pine Walk</t>
        </is>
      </c>
      <c r="AH6430" t="inlineStr">
        <is>
          <t>Quelle: Balearic Properties</t>
        </is>
      </c>
    </row>
    <row r="6431">
      <c r="A6431" t="n">
        <v>6244</v>
      </c>
      <c r="B6431" t="inlineStr">
        <is>
          <t>Frontline ground floor apartment for sale on the Pine Walk in Puerto Pollensa, Mallorca</t>
        </is>
      </c>
      <c r="C6431" t="inlineStr">
        <is>
          <t>https://www.balearic-properties.com/en/property/id/810717-frontline-apartment-puerto-pollensa-html</t>
        </is>
      </c>
      <c r="E6431" t="n">
        <v>2</v>
      </c>
      <c r="G6431" t="n">
        <v>0</v>
      </c>
      <c r="H6431" t="n">
        <v>132</v>
      </c>
      <c r="J6431" t="inlineStr">
        <is>
          <t>Pine Walk</t>
        </is>
      </c>
      <c r="AH6431" t="inlineStr">
        <is>
          <t>Quelle: Balearic Properties</t>
        </is>
      </c>
    </row>
    <row r="6432">
      <c r="A6432" t="n">
        <v>6245</v>
      </c>
      <c r="B6432" t="inlineStr">
        <is>
          <t>Delightful country house with private pool for sale in Selva, Mallorca</t>
        </is>
      </c>
      <c r="C6432" t="inlineStr">
        <is>
          <t>https://www.balearic-properties.com/en/property/id/810675-country-house-pool-selva-mallorca-html</t>
        </is>
      </c>
      <c r="E6432" t="n">
        <v>4</v>
      </c>
      <c r="G6432" t="n">
        <v>14000</v>
      </c>
      <c r="H6432" t="n">
        <v>373</v>
      </c>
      <c r="J6432" t="inlineStr">
        <is>
          <t>Selva</t>
        </is>
      </c>
      <c r="AH6432" t="inlineStr">
        <is>
          <t>Quelle: Balearic Properties</t>
        </is>
      </c>
    </row>
    <row r="6433">
      <c r="A6433" t="n">
        <v>6246</v>
      </c>
      <c r="B6433" t="inlineStr">
        <is>
          <t>Three bedroom country finca with holiday rental license for sale near Artá, Mallorca</t>
        </is>
      </c>
      <c r="C6433" t="inlineStr">
        <is>
          <t>https://www.balearic-properties.com/en/property/id/792646-finca-etv-arta-html</t>
        </is>
      </c>
      <c r="E6433" t="n">
        <v>3</v>
      </c>
      <c r="G6433" t="n">
        <v>31991</v>
      </c>
      <c r="H6433" t="n">
        <v>340</v>
      </c>
      <c r="J6433" t="inlineStr">
        <is>
          <t>Artà</t>
        </is>
      </c>
      <c r="AH6433" t="inlineStr">
        <is>
          <t>Quelle: Balearic Properties</t>
        </is>
      </c>
    </row>
    <row r="6434">
      <c r="A6434" t="n">
        <v>6247</v>
      </c>
      <c r="B6434" t="inlineStr">
        <is>
          <t>Modern family villa with panoramic views for sale in Calvia, Mallorca</t>
        </is>
      </c>
      <c r="C6434" t="inlineStr">
        <is>
          <t>https://www.balearic-properties.com/en/property/id/810645-modern-villa-pool-calvia-html</t>
        </is>
      </c>
      <c r="E6434" t="n">
        <v>4</v>
      </c>
      <c r="G6434" t="n">
        <v>1200</v>
      </c>
      <c r="H6434" t="n">
        <v>418</v>
      </c>
      <c r="J6434" t="inlineStr">
        <is>
          <t>Calvià</t>
        </is>
      </c>
      <c r="K6434" t="n">
        <v>31.1</v>
      </c>
      <c r="L6434" t="n">
        <v>28</v>
      </c>
      <c r="M6434" t="n">
        <v>73.90000000000001</v>
      </c>
      <c r="N6434" t="n">
        <v>61</v>
      </c>
      <c r="O6434" t="n">
        <v>19.4</v>
      </c>
      <c r="P6434" t="n">
        <v>22</v>
      </c>
      <c r="Q6434" t="n">
        <v>71.59999999999999</v>
      </c>
      <c r="R6434" t="n">
        <v>58</v>
      </c>
      <c r="S6434" t="n">
        <v>1950000</v>
      </c>
      <c r="T6434" t="n">
        <v>4665</v>
      </c>
      <c r="U6434" t="n">
        <v>1625</v>
      </c>
      <c r="AH6434" t="inlineStr">
        <is>
          <t>Quelle: Balearic Properties</t>
        </is>
      </c>
    </row>
    <row r="6435">
      <c r="A6435" t="n">
        <v>6248</v>
      </c>
      <c r="B6435" t="inlineStr">
        <is>
          <t>Luxurious hillside villa with rental license for sale in Canyamel, Mallorca</t>
        </is>
      </c>
      <c r="C6435" t="inlineStr">
        <is>
          <t>https://www.balearic-properties.com/en/property/id/809873-seaview-villa-rental-license-canyamel-mallorca-html</t>
        </is>
      </c>
      <c r="E6435" t="n">
        <v>5</v>
      </c>
      <c r="G6435" t="n">
        <v>1055</v>
      </c>
      <c r="H6435" t="n">
        <v>597</v>
      </c>
      <c r="J6435" t="inlineStr">
        <is>
          <t>Canyamel</t>
        </is>
      </c>
      <c r="K6435" t="n">
        <v>74.7</v>
      </c>
      <c r="L6435" t="n">
        <v>65</v>
      </c>
      <c r="M6435" t="n">
        <v>70.09999999999999</v>
      </c>
      <c r="N6435" t="n">
        <v>68</v>
      </c>
      <c r="O6435" t="n">
        <v>108.9</v>
      </c>
      <c r="P6435" t="n">
        <v>90</v>
      </c>
      <c r="Q6435" t="n">
        <v>67.8</v>
      </c>
      <c r="R6435" t="n">
        <v>65</v>
      </c>
      <c r="S6435" t="n">
        <v>2900000</v>
      </c>
      <c r="T6435" t="n">
        <v>4858</v>
      </c>
      <c r="U6435" t="n">
        <v>2749</v>
      </c>
      <c r="AH6435" t="inlineStr">
        <is>
          <t>Quelle: Balearic Properties</t>
        </is>
      </c>
    </row>
    <row r="6436">
      <c r="A6436" t="n">
        <v>6249</v>
      </c>
      <c r="B6436" t="inlineStr">
        <is>
          <t>Exemplary luxury villa with sea views for sale in Cala Murada, Mallorca</t>
        </is>
      </c>
      <c r="C6436" t="inlineStr">
        <is>
          <t>https://www.balearic-properties.com/en/property/id/802091-luxury-sea-view-villa-manacor-mallorca-html</t>
        </is>
      </c>
      <c r="E6436" t="n">
        <v>5</v>
      </c>
      <c r="G6436" t="n">
        <v>34000</v>
      </c>
      <c r="H6436" t="n">
        <v>0</v>
      </c>
      <c r="J6436" t="inlineStr">
        <is>
          <t>Cala Murada</t>
        </is>
      </c>
      <c r="K6436" t="n">
        <v>59.7</v>
      </c>
      <c r="L6436" t="n">
        <v>55</v>
      </c>
      <c r="M6436" t="n">
        <v>29.7</v>
      </c>
      <c r="N6436" t="n">
        <v>40</v>
      </c>
      <c r="O6436" t="n">
        <v>97.90000000000001</v>
      </c>
      <c r="P6436" t="n">
        <v>82</v>
      </c>
      <c r="Q6436" t="n">
        <v>39.1</v>
      </c>
      <c r="R6436" t="n">
        <v>41</v>
      </c>
      <c r="AH6436" t="inlineStr">
        <is>
          <t>Quelle: Balearic Properties</t>
        </is>
      </c>
    </row>
    <row r="6437">
      <c r="A6437" t="n">
        <v>6250</v>
      </c>
      <c r="B6437" t="inlineStr">
        <is>
          <t>Unique villa with holiday rental license for sale in Valldemossa, Mallorca</t>
        </is>
      </c>
      <c r="C6437" t="inlineStr">
        <is>
          <t>https://www.balearic-properties.com/en/property/id/810376-villa-rental-license-valldemossa-mallorca-html</t>
        </is>
      </c>
      <c r="E6437" t="n">
        <v>9</v>
      </c>
      <c r="G6437" t="n">
        <v>3494</v>
      </c>
      <c r="H6437" t="n">
        <v>981</v>
      </c>
      <c r="J6437" t="inlineStr">
        <is>
          <t>Valldemossa</t>
        </is>
      </c>
      <c r="K6437" t="n">
        <v>27.2</v>
      </c>
      <c r="L6437" t="n">
        <v>32</v>
      </c>
      <c r="M6437" t="n">
        <v>69.90000000000001</v>
      </c>
      <c r="N6437" t="n">
        <v>64</v>
      </c>
      <c r="O6437" t="n">
        <v>45.5</v>
      </c>
      <c r="P6437" t="n">
        <v>44</v>
      </c>
      <c r="Q6437" t="n">
        <v>67.59999999999999</v>
      </c>
      <c r="R6437" t="n">
        <v>61</v>
      </c>
      <c r="AH6437" t="inlineStr">
        <is>
          <t>Quelle: Balearic Properties</t>
        </is>
      </c>
    </row>
    <row r="6438">
      <c r="A6438" t="n">
        <v>6251</v>
      </c>
      <c r="B6438" t="inlineStr">
        <is>
          <t>Mediterranean style villa for sale in the historic town of Calvià, Mallorca</t>
        </is>
      </c>
      <c r="C6438" t="inlineStr">
        <is>
          <t>https://www.balearic-properties.com/en/property/id/810303-mediterranean-stone-villa-pool-calvia-mallorca-html</t>
        </is>
      </c>
      <c r="E6438" t="n">
        <v>4</v>
      </c>
      <c r="G6438" t="n">
        <v>1420</v>
      </c>
      <c r="H6438" t="n">
        <v>485</v>
      </c>
      <c r="J6438" t="inlineStr">
        <is>
          <t>Calvià</t>
        </is>
      </c>
      <c r="AH6438" t="inlineStr">
        <is>
          <t>Quelle: Balearic Properties</t>
        </is>
      </c>
    </row>
    <row r="6439">
      <c r="A6439" t="n">
        <v>6252</v>
      </c>
      <c r="B6439" t="inlineStr">
        <is>
          <t>Fantastic luxury villa with breath-taking sea views, for sale in Puerto Andratx, Mallorca</t>
        </is>
      </c>
      <c r="C6439" t="inlineStr">
        <is>
          <t>https://www.balearic-properties.com/en/property/id/810503-luxury-villa-sea-views-mallorca-html</t>
        </is>
      </c>
      <c r="E6439" t="n">
        <v>4</v>
      </c>
      <c r="G6439" t="n">
        <v>1062</v>
      </c>
      <c r="H6439" t="n">
        <v>435</v>
      </c>
      <c r="J6439" t="inlineStr">
        <is>
          <t>Puerto Andratx</t>
        </is>
      </c>
      <c r="K6439" t="n">
        <v>43.5</v>
      </c>
      <c r="L6439" t="n">
        <v>38</v>
      </c>
      <c r="M6439" t="n">
        <v>86.2</v>
      </c>
      <c r="N6439" t="n">
        <v>71</v>
      </c>
      <c r="O6439" t="n">
        <v>6.3</v>
      </c>
      <c r="P6439" t="n">
        <v>11</v>
      </c>
      <c r="Q6439" t="n">
        <v>83.90000000000001</v>
      </c>
      <c r="R6439" t="n">
        <v>68</v>
      </c>
      <c r="S6439" t="n">
        <v>3450000</v>
      </c>
      <c r="T6439" t="n">
        <v>7931</v>
      </c>
      <c r="U6439" t="n">
        <v>3249</v>
      </c>
      <c r="AH6439" t="inlineStr">
        <is>
          <t>Quelle: Balearic Properties</t>
        </is>
      </c>
    </row>
    <row r="6440">
      <c r="A6440" t="n">
        <v>6253</v>
      </c>
      <c r="B6440" t="inlineStr">
        <is>
          <t>Lovely 2 bedroom apartment for sale in Pollensa, Mallorca</t>
        </is>
      </c>
      <c r="C6440" t="inlineStr">
        <is>
          <t>https://www.balearic-properties.com/en/property/id/810332-2-bedroom-apartment-pollensa-html</t>
        </is>
      </c>
      <c r="E6440" t="n">
        <v>2</v>
      </c>
      <c r="G6440" t="n">
        <v>0</v>
      </c>
      <c r="H6440" t="n">
        <v>86</v>
      </c>
      <c r="J6440" t="inlineStr">
        <is>
          <t>Pollença</t>
        </is>
      </c>
      <c r="AH6440" t="inlineStr">
        <is>
          <t>Quelle: Balearic Properties</t>
        </is>
      </c>
    </row>
    <row r="6441">
      <c r="A6441" t="n">
        <v>6254</v>
      </c>
      <c r="B6441" t="inlineStr">
        <is>
          <t>Country home with incredible views for sale in Sóller, Mallorca</t>
        </is>
      </c>
      <c r="C6441" t="inlineStr">
        <is>
          <t>https://www.balearic-properties.com/en/property/id/809852-traditional-country-house-views-soller-html</t>
        </is>
      </c>
      <c r="E6441" t="n">
        <v>3</v>
      </c>
      <c r="G6441" t="n">
        <v>9578</v>
      </c>
      <c r="H6441" t="n">
        <v>364</v>
      </c>
      <c r="J6441" t="inlineStr">
        <is>
          <t>Sóller</t>
        </is>
      </c>
      <c r="AH6441" t="inlineStr">
        <is>
          <t>Quelle: Balearic Properties</t>
        </is>
      </c>
    </row>
    <row r="6442">
      <c r="A6442" t="n">
        <v>6255</v>
      </c>
      <c r="B6442" t="inlineStr">
        <is>
          <t>Unique town house with pool for sale in the centre of Fornalutx, Mallorca</t>
        </is>
      </c>
      <c r="C6442" t="inlineStr">
        <is>
          <t>https://www.balearic-properties.com/en/property/id/809003-unique-townhouse-pool-fornalutx-mallorca-html</t>
        </is>
      </c>
      <c r="E6442" t="n">
        <v>2</v>
      </c>
      <c r="G6442" t="n">
        <v>106</v>
      </c>
      <c r="H6442" t="n">
        <v>265</v>
      </c>
      <c r="J6442" t="inlineStr">
        <is>
          <t>Fornalutx</t>
        </is>
      </c>
      <c r="S6442" t="n">
        <v>980000</v>
      </c>
      <c r="T6442" t="n">
        <v>3698</v>
      </c>
      <c r="U6442" t="n">
        <v>9245</v>
      </c>
      <c r="AH6442" t="inlineStr">
        <is>
          <t>Quelle: Balearic Properties</t>
        </is>
      </c>
    </row>
    <row r="6443">
      <c r="A6443" t="n">
        <v>6256</v>
      </c>
      <c r="B6443" t="inlineStr">
        <is>
          <t>Villa with pool and guest apartment for sale in Bonanova, Palma, Mallorca</t>
        </is>
      </c>
      <c r="C6443" t="inlineStr">
        <is>
          <t>https://www.balearic-properties.com/en/property/id/809354-villa-pool-guest-apartment-bonanova-palma-html</t>
        </is>
      </c>
      <c r="E6443" t="n">
        <v>4</v>
      </c>
      <c r="G6443" t="n">
        <v>1658</v>
      </c>
      <c r="H6443" t="n">
        <v>334</v>
      </c>
      <c r="J6443" t="inlineStr">
        <is>
          <t>La Bonanova</t>
        </is>
      </c>
      <c r="AH6443" t="inlineStr">
        <is>
          <t>Quelle: Balearic Properties</t>
        </is>
      </c>
    </row>
    <row r="6444">
      <c r="A6444" t="n">
        <v>6257</v>
      </c>
      <c r="B6444" t="inlineStr">
        <is>
          <t>Villa on the frontline to the coast with panoramic sea views in Bahia Azul, Mallorca</t>
        </is>
      </c>
      <c r="C6444" t="inlineStr">
        <is>
          <t>https://www.balearic-properties.com/en/property/id/806913-villa-direct-sea-llucmajor-mallorca-html</t>
        </is>
      </c>
      <c r="E6444" t="n">
        <v>3</v>
      </c>
      <c r="G6444" t="n">
        <v>610</v>
      </c>
      <c r="H6444" t="n">
        <v>350</v>
      </c>
      <c r="J6444" t="inlineStr">
        <is>
          <t>Bahia Azul</t>
        </is>
      </c>
      <c r="AH6444" t="inlineStr">
        <is>
          <t>Quelle: Balearic Properties</t>
        </is>
      </c>
    </row>
    <row r="6445">
      <c r="A6445" t="n">
        <v>6258</v>
      </c>
      <c r="B6445" t="inlineStr">
        <is>
          <t>Villa with private garden and pool for sale in Portals Nous, Mallorca</t>
        </is>
      </c>
      <c r="C6445" t="inlineStr">
        <is>
          <t>https://www.balearic-properties.com/en/property/id/808833-villa-garden-pool-mallorca-html</t>
        </is>
      </c>
      <c r="E6445" t="n">
        <v>4</v>
      </c>
      <c r="G6445" t="n">
        <v>1720</v>
      </c>
      <c r="H6445" t="n">
        <v>305</v>
      </c>
      <c r="J6445" t="inlineStr">
        <is>
          <t>Portals Nous</t>
        </is>
      </c>
      <c r="AH6445" t="inlineStr">
        <is>
          <t>Quelle: Balearic Properties</t>
        </is>
      </c>
    </row>
    <row r="6446">
      <c r="A6446" t="n">
        <v>6259</v>
      </c>
      <c r="B6446" t="inlineStr">
        <is>
          <t>Exclusive penthouse with sea views for sale in Portals Nous, Mallorca</t>
        </is>
      </c>
      <c r="C6446" t="inlineStr">
        <is>
          <t>https://www.balearic-properties.com/en/property/id/809347-penthouse-sea-renovation-mallorca-html</t>
        </is>
      </c>
      <c r="E6446" t="n">
        <v>3</v>
      </c>
      <c r="G6446" t="n">
        <v>0</v>
      </c>
      <c r="H6446" t="n">
        <v>120</v>
      </c>
      <c r="J6446" t="inlineStr">
        <is>
          <t>Portals Nous</t>
        </is>
      </c>
      <c r="AH6446" t="inlineStr">
        <is>
          <t>Quelle: Balearic Properties</t>
        </is>
      </c>
    </row>
    <row r="6447">
      <c r="A6447" t="n">
        <v>6260</v>
      </c>
      <c r="B6447" t="inlineStr">
        <is>
          <t>House with holiday rental license for sale in Puerto Pollensa, Mallorca</t>
        </is>
      </c>
      <c r="C6447" t="inlineStr">
        <is>
          <t>https://www.balearic-properties.com/en/property/id/808626-house-rental-license-puerto-pollensa-html</t>
        </is>
      </c>
      <c r="E6447" t="n">
        <v>3</v>
      </c>
      <c r="G6447" t="n">
        <v>184</v>
      </c>
      <c r="H6447" t="n">
        <v>123</v>
      </c>
      <c r="J6447" t="inlineStr">
        <is>
          <t>Port de Pollença</t>
        </is>
      </c>
      <c r="S6447" t="n">
        <v>795000</v>
      </c>
      <c r="T6447" t="n">
        <v>6463</v>
      </c>
      <c r="U6447" t="n">
        <v>4321</v>
      </c>
      <c r="AH6447" t="inlineStr">
        <is>
          <t>Quelle: Balearic Properties</t>
        </is>
      </c>
    </row>
    <row r="6448">
      <c r="A6448" t="n">
        <v>6261</v>
      </c>
      <c r="B6448" t="inlineStr">
        <is>
          <t>Semi-detached villa with beautiful views for sale in Bendinat, Mallorca</t>
        </is>
      </c>
      <c r="C6448" t="inlineStr">
        <is>
          <t>https://www.balearic-properties.com/en/property/id/808903-townhouse-bendinat-mallorca-html</t>
        </is>
      </c>
      <c r="E6448" t="n">
        <v>3</v>
      </c>
      <c r="G6448" t="n">
        <v>300</v>
      </c>
      <c r="H6448" t="n">
        <v>170</v>
      </c>
      <c r="J6448" t="inlineStr">
        <is>
          <t>Bendinat</t>
        </is>
      </c>
      <c r="S6448" t="n">
        <v>750000</v>
      </c>
      <c r="T6448" t="n">
        <v>4412</v>
      </c>
      <c r="U6448" t="n">
        <v>2500</v>
      </c>
      <c r="AH6448" t="inlineStr">
        <is>
          <t>Quelle: Balearic Properties</t>
        </is>
      </c>
    </row>
    <row r="6449">
      <c r="A6449" t="n">
        <v>6262</v>
      </c>
      <c r="B6449" t="inlineStr">
        <is>
          <t>Charming coutryside villa for sale in La Font, Pollensa, Mallorca</t>
        </is>
      </c>
      <c r="C6449" t="inlineStr">
        <is>
          <t>https://www.balearic-properties.com/en/property/id/782661-mallorca-villa-pollensa-html</t>
        </is>
      </c>
      <c r="E6449" t="n">
        <v>4</v>
      </c>
      <c r="G6449" t="n">
        <v>1790</v>
      </c>
      <c r="H6449" t="n">
        <v>539</v>
      </c>
      <c r="J6449" t="inlineStr">
        <is>
          <t>La Font</t>
        </is>
      </c>
      <c r="AH6449" t="inlineStr">
        <is>
          <t>Quelle: Balearic Properties</t>
        </is>
      </c>
    </row>
    <row r="6450">
      <c r="A6450" t="n">
        <v>6263</v>
      </c>
      <c r="B6450" t="inlineStr">
        <is>
          <t>Contemporary village house for sale in Fornalutx, Mallorca</t>
        </is>
      </c>
      <c r="C6450" t="inlineStr">
        <is>
          <t>https://www.balearic-properties.com/en/property/id/809008-contemporary-village-house-fornalutx-mallorca-html</t>
        </is>
      </c>
      <c r="E6450" t="n">
        <v>4</v>
      </c>
      <c r="G6450" t="n">
        <v>89</v>
      </c>
      <c r="H6450" t="n">
        <v>325</v>
      </c>
      <c r="J6450" t="inlineStr">
        <is>
          <t>Fornalutx</t>
        </is>
      </c>
      <c r="S6450" t="n">
        <v>980000</v>
      </c>
      <c r="T6450" t="n">
        <v>3015</v>
      </c>
      <c r="U6450" t="n">
        <v>11011</v>
      </c>
      <c r="AH6450" t="inlineStr">
        <is>
          <t>Quelle: Balearic Properties</t>
        </is>
      </c>
    </row>
    <row r="6451">
      <c r="A6451" t="n">
        <v>6264</v>
      </c>
      <c r="B6451" t="inlineStr">
        <is>
          <t>Charming town house with mountain views for sale in Sóller, Mallorca</t>
        </is>
      </c>
      <c r="C6451" t="inlineStr">
        <is>
          <t>https://www.balearic-properties.com/en/property/id/808979-townhouse-mountain-views-soller-mallorca-html</t>
        </is>
      </c>
      <c r="E6451" t="n">
        <v>6</v>
      </c>
      <c r="G6451" t="n">
        <v>195</v>
      </c>
      <c r="H6451" t="n">
        <v>300</v>
      </c>
      <c r="J6451" t="inlineStr">
        <is>
          <t>Sóller</t>
        </is>
      </c>
      <c r="K6451" t="n">
        <v>32.5</v>
      </c>
      <c r="L6451" t="n">
        <v>38</v>
      </c>
      <c r="M6451" t="n">
        <v>75.2</v>
      </c>
      <c r="N6451" t="n">
        <v>70</v>
      </c>
      <c r="O6451" t="n">
        <v>52.1</v>
      </c>
      <c r="P6451" t="n">
        <v>51</v>
      </c>
      <c r="Q6451" t="n">
        <v>72.90000000000001</v>
      </c>
      <c r="R6451" t="n">
        <v>67</v>
      </c>
      <c r="S6451" t="n">
        <v>650000</v>
      </c>
      <c r="T6451" t="n">
        <v>2167</v>
      </c>
      <c r="U6451" t="n">
        <v>3333</v>
      </c>
      <c r="AH6451" t="inlineStr">
        <is>
          <t>Quelle: Balearic Properties</t>
        </is>
      </c>
    </row>
    <row r="6452">
      <c r="A6452" t="n">
        <v>6265</v>
      </c>
      <c r="B6452" t="inlineStr">
        <is>
          <t>Large town house with garage for sale in Sóller, Mallorca</t>
        </is>
      </c>
      <c r="C6452" t="inlineStr">
        <is>
          <t>https://www.balearic-properties.com/en/property/id/808529-large-townhouse-garage-soller-mallorca-html</t>
        </is>
      </c>
      <c r="E6452" t="n">
        <v>6</v>
      </c>
      <c r="G6452" t="n">
        <v>321</v>
      </c>
      <c r="H6452" t="n">
        <v>349</v>
      </c>
      <c r="J6452" t="inlineStr">
        <is>
          <t>Sóller</t>
        </is>
      </c>
      <c r="K6452" t="n">
        <v>32.5</v>
      </c>
      <c r="L6452" t="n">
        <v>38</v>
      </c>
      <c r="M6452" t="n">
        <v>75.2</v>
      </c>
      <c r="N6452" t="n">
        <v>70</v>
      </c>
      <c r="O6452" t="n">
        <v>52.1</v>
      </c>
      <c r="P6452" t="n">
        <v>51</v>
      </c>
      <c r="Q6452" t="n">
        <v>72.90000000000001</v>
      </c>
      <c r="R6452" t="n">
        <v>67</v>
      </c>
      <c r="S6452" t="n">
        <v>620000</v>
      </c>
      <c r="T6452" t="n">
        <v>1777</v>
      </c>
      <c r="U6452" t="n">
        <v>1931</v>
      </c>
      <c r="AH6452" t="inlineStr">
        <is>
          <t>Quelle: Balearic Properties</t>
        </is>
      </c>
    </row>
    <row r="6453">
      <c r="A6453" t="n">
        <v>6266</v>
      </c>
      <c r="B6453" t="inlineStr">
        <is>
          <t>Town house or commercial property for sale in Sóller, Mallorca</t>
        </is>
      </c>
      <c r="C6453" t="inlineStr">
        <is>
          <t>https://www.balearic-properties.com/en/property/id/809263-townhouse-commercial-property-soller-mallorca-html</t>
        </is>
      </c>
      <c r="E6453" t="n">
        <v>1</v>
      </c>
      <c r="G6453" t="n">
        <v>425</v>
      </c>
      <c r="H6453" t="n">
        <v>350</v>
      </c>
      <c r="J6453" t="inlineStr">
        <is>
          <t>Sóller</t>
        </is>
      </c>
      <c r="AH6453" t="inlineStr">
        <is>
          <t>Quelle: Balearic Properties</t>
        </is>
      </c>
    </row>
    <row r="6454">
      <c r="A6454" t="n">
        <v>6267</v>
      </c>
      <c r="B6454" t="inlineStr">
        <is>
          <t>Sunny apartment for sale in first line to Puerto Portals, Mallorca</t>
        </is>
      </c>
      <c r="C6454" t="inlineStr">
        <is>
          <t>https://www.balearic-properties.com/en/property/id/756853-apartment-pool-sea-view-puerto-portals-mallorca-html</t>
        </is>
      </c>
      <c r="E6454" t="n">
        <v>3</v>
      </c>
      <c r="G6454" t="n">
        <v>0</v>
      </c>
      <c r="H6454" t="n">
        <v>108</v>
      </c>
      <c r="J6454" t="inlineStr">
        <is>
          <t>Puerto Portals</t>
        </is>
      </c>
      <c r="AH6454" t="inlineStr">
        <is>
          <t>Quelle: Balearic Properties</t>
        </is>
      </c>
    </row>
    <row r="6455">
      <c r="A6455" t="n">
        <v>6268</v>
      </c>
      <c r="B6455" t="inlineStr">
        <is>
          <t>Luxury town house renovation project for sale in Campanet, Mallorca</t>
        </is>
      </c>
      <c r="C6455" t="inlineStr">
        <is>
          <t>https://www.balearic-properties.com/en/property/id/799302-luxury-townhouse-renovation-project-campanet-mallorca-html</t>
        </is>
      </c>
      <c r="E6455" t="n">
        <v>4</v>
      </c>
      <c r="G6455" t="n">
        <v>387</v>
      </c>
      <c r="H6455" t="n">
        <v>210</v>
      </c>
      <c r="J6455" t="inlineStr">
        <is>
          <t>Campanet</t>
        </is>
      </c>
      <c r="S6455" t="n">
        <v>295000</v>
      </c>
      <c r="T6455" t="n">
        <v>1405</v>
      </c>
      <c r="U6455" t="n">
        <v>762</v>
      </c>
      <c r="AH6455" t="inlineStr">
        <is>
          <t>Quelle: Balearic Properties</t>
        </is>
      </c>
    </row>
    <row r="6456">
      <c r="A6456" t="n">
        <v>6269</v>
      </c>
      <c r="B6456" t="inlineStr">
        <is>
          <t>Beautifully renovated village house for sale in Caimari, Mallorca</t>
        </is>
      </c>
      <c r="C6456" t="inlineStr">
        <is>
          <t>https://www.balearic-properties.com/en/property/id/808614-renovated-village-house-caimari-html</t>
        </is>
      </c>
      <c r="E6456" t="n">
        <v>3</v>
      </c>
      <c r="G6456" t="n">
        <v>340</v>
      </c>
      <c r="H6456" t="n">
        <v>261</v>
      </c>
      <c r="J6456" t="inlineStr">
        <is>
          <t>Caimari</t>
        </is>
      </c>
      <c r="AH6456" t="inlineStr">
        <is>
          <t>Quelle: Balearic Properties</t>
        </is>
      </c>
    </row>
    <row r="6457">
      <c r="A6457" t="n">
        <v>6270</v>
      </c>
      <c r="B6457" t="inlineStr">
        <is>
          <t>Villa with rental license between Sa Pobla and Pollensa, Mallorca</t>
        </is>
      </c>
      <c r="C6457" t="inlineStr">
        <is>
          <t>https://www.balearic-properties.com/en/property/id/808416-charming-villa-pollensa-html</t>
        </is>
      </c>
      <c r="E6457" t="n">
        <v>3</v>
      </c>
      <c r="G6457" t="n">
        <v>1080</v>
      </c>
      <c r="H6457" t="n">
        <v>0</v>
      </c>
      <c r="J6457" t="inlineStr">
        <is>
          <t>Pollença</t>
        </is>
      </c>
      <c r="AH6457" t="inlineStr">
        <is>
          <t>Quelle: Balearic Properties</t>
        </is>
      </c>
    </row>
    <row r="6458">
      <c r="A6458" t="n">
        <v>6271</v>
      </c>
      <c r="B6458" t="inlineStr">
        <is>
          <t>Spacious house with pool for sale in the centre of Moscari, Mallorca</t>
        </is>
      </c>
      <c r="C6458" t="inlineStr">
        <is>
          <t>https://www.balearic-properties.com/en/property/id/808171-house-moscari-mallorca-html</t>
        </is>
      </c>
      <c r="E6458" t="n">
        <v>4</v>
      </c>
      <c r="G6458" t="n">
        <v>368</v>
      </c>
      <c r="H6458" t="n">
        <v>349</v>
      </c>
      <c r="J6458" t="inlineStr">
        <is>
          <t>Moscari</t>
        </is>
      </c>
      <c r="AH6458" t="inlineStr">
        <is>
          <t>Quelle: Balearic Properties</t>
        </is>
      </c>
    </row>
    <row r="6459">
      <c r="A6459" t="n">
        <v>6272</v>
      </c>
      <c r="B6459" t="inlineStr">
        <is>
          <t>Charming country home for sale in easy reach of Alcúdia and Pollensa, Mallorca</t>
        </is>
      </c>
      <c r="C6459" t="inlineStr">
        <is>
          <t>https://www.balearic-properties.com/en/property/id/501080-charming-finca-alcudia-pollensa-html</t>
        </is>
      </c>
      <c r="E6459" t="n">
        <v>4</v>
      </c>
      <c r="G6459" t="n">
        <v>24998</v>
      </c>
      <c r="H6459" t="n">
        <v>375</v>
      </c>
      <c r="J6459" t="inlineStr">
        <is>
          <t>Pollença</t>
        </is>
      </c>
      <c r="AH6459" t="inlineStr">
        <is>
          <t>Quelle: Balearic Properties</t>
        </is>
      </c>
    </row>
    <row r="6460">
      <c r="A6460" t="n">
        <v>6273</v>
      </c>
      <c r="B6460" t="inlineStr">
        <is>
          <t>Apartment for sale in Puerto Pollensa, Mallorca</t>
        </is>
      </c>
      <c r="C6460" t="inlineStr">
        <is>
          <t>https://www.balearic-properties.com/en/property/id/446322-puerto-pollensa-apartment-html</t>
        </is>
      </c>
      <c r="E6460" t="n">
        <v>2</v>
      </c>
      <c r="G6460" t="n">
        <v>0</v>
      </c>
      <c r="H6460" t="n">
        <v>76</v>
      </c>
      <c r="J6460" t="inlineStr">
        <is>
          <t>Port de Pollença</t>
        </is>
      </c>
      <c r="AH6460" t="inlineStr">
        <is>
          <t>Quelle: Balearic Properties</t>
        </is>
      </c>
    </row>
    <row r="6461">
      <c r="A6461" t="n">
        <v>6274</v>
      </c>
      <c r="B6461" t="inlineStr">
        <is>
          <t>Beautiful Country Estate with sea views and total privacy for sale in Pollensa, Mallorca</t>
        </is>
      </c>
      <c r="C6461" t="inlineStr">
        <is>
          <t>https://www.balearic-properties.com/en/property/id/703118-mallorca-manor-pollensa-html</t>
        </is>
      </c>
      <c r="E6461" t="n">
        <v>8</v>
      </c>
      <c r="G6461" t="n">
        <v>3567059</v>
      </c>
      <c r="H6461" t="n">
        <v>1255</v>
      </c>
      <c r="J6461" t="inlineStr">
        <is>
          <t>Pollença</t>
        </is>
      </c>
      <c r="K6461" t="n">
        <v>60.6</v>
      </c>
      <c r="L6461" t="n">
        <v>47</v>
      </c>
      <c r="M6461" t="n">
        <v>78.7</v>
      </c>
      <c r="N6461" t="n">
        <v>74</v>
      </c>
      <c r="O6461" t="n">
        <v>83.2</v>
      </c>
      <c r="P6461" t="n">
        <v>63</v>
      </c>
      <c r="Q6461" t="n">
        <v>76.40000000000001</v>
      </c>
      <c r="R6461" t="n">
        <v>70</v>
      </c>
      <c r="AH6461" t="inlineStr">
        <is>
          <t>Quelle: Balearic Properties</t>
        </is>
      </c>
    </row>
    <row r="6462">
      <c r="A6462" t="n">
        <v>6275</v>
      </c>
      <c r="B6462" t="inlineStr">
        <is>
          <t>Modern and luxurious villa for sale in Sol de Mallorca</t>
        </is>
      </c>
      <c r="C6462" t="inlineStr">
        <is>
          <t>https://www.balearic-properties.com/en/property/id/808352-luxus-villa-mallorca-html</t>
        </is>
      </c>
      <c r="E6462" t="n">
        <v>6</v>
      </c>
      <c r="G6462" t="n">
        <v>2657</v>
      </c>
      <c r="H6462" t="n">
        <v>930</v>
      </c>
      <c r="J6462" t="inlineStr">
        <is>
          <t>Sol de Mallorca</t>
        </is>
      </c>
      <c r="K6462" t="n">
        <v>32.2</v>
      </c>
      <c r="L6462" t="n">
        <v>31</v>
      </c>
      <c r="M6462" t="n">
        <v>75</v>
      </c>
      <c r="N6462" t="n">
        <v>64</v>
      </c>
      <c r="O6462" t="n">
        <v>21.2</v>
      </c>
      <c r="P6462" t="n">
        <v>25</v>
      </c>
      <c r="Q6462" t="n">
        <v>72.7</v>
      </c>
      <c r="R6462" t="n">
        <v>60</v>
      </c>
      <c r="S6462" t="n">
        <v>6200000</v>
      </c>
      <c r="T6462" t="n">
        <v>6667</v>
      </c>
      <c r="U6462" t="n">
        <v>2333</v>
      </c>
      <c r="AH6462" t="inlineStr">
        <is>
          <t>Quelle: Balearic Properties</t>
        </is>
      </c>
    </row>
    <row r="6463">
      <c r="A6463" t="n">
        <v>6276</v>
      </c>
      <c r="B6463" t="inlineStr">
        <is>
          <t>Traditional townhouse with terrace, for sale in Sóller, Mallorca</t>
        </is>
      </c>
      <c r="C6463" t="inlineStr">
        <is>
          <t>https://www.balearic-properties.com/en/property/id/807968-traditional-townhouse-terrace-soller-mallorca-html</t>
        </is>
      </c>
      <c r="E6463" t="n">
        <v>4</v>
      </c>
      <c r="G6463" t="n">
        <v>111</v>
      </c>
      <c r="H6463" t="n">
        <v>235</v>
      </c>
      <c r="J6463" t="inlineStr">
        <is>
          <t>Sóller</t>
        </is>
      </c>
      <c r="AH6463" t="inlineStr">
        <is>
          <t>Quelle: Balearic Properties</t>
        </is>
      </c>
    </row>
    <row r="6464">
      <c r="A6464" t="n">
        <v>6277</v>
      </c>
      <c r="B6464" t="inlineStr">
        <is>
          <t>Immaculately restored town house for sale in Pollensa, Mallorca</t>
        </is>
      </c>
      <c r="C6464" t="inlineStr">
        <is>
          <t>https://www.balearic-properties.com/en/property/id/802888-stunning-townhouse-pollensa-mallorca-html</t>
        </is>
      </c>
      <c r="E6464" t="n">
        <v>3</v>
      </c>
      <c r="G6464" t="n">
        <v>171</v>
      </c>
      <c r="H6464" t="n">
        <v>230</v>
      </c>
      <c r="J6464" t="inlineStr">
        <is>
          <t>Pollença</t>
        </is>
      </c>
      <c r="AH6464" t="inlineStr">
        <is>
          <t>Quelle: Balearic Properties</t>
        </is>
      </c>
    </row>
    <row r="6465">
      <c r="A6465" t="n">
        <v>6278</v>
      </c>
      <c r="B6465" t="inlineStr">
        <is>
          <t>Luxurious townhouse under construction, for sale in Santanyi, Mallorca</t>
        </is>
      </c>
      <c r="C6465" t="inlineStr">
        <is>
          <t>https://www.balearic-properties.com/en/property/id/808017-luxurious-townhouse-construction-mallorca-html</t>
        </is>
      </c>
      <c r="E6465" t="n">
        <v>3</v>
      </c>
      <c r="G6465" t="n">
        <v>293</v>
      </c>
      <c r="H6465" t="n">
        <v>301</v>
      </c>
      <c r="J6465" t="inlineStr">
        <is>
          <t>Santanyí</t>
        </is>
      </c>
      <c r="AH6465" t="inlineStr">
        <is>
          <t>Quelle: Balearic Properties</t>
        </is>
      </c>
    </row>
    <row r="6466">
      <c r="A6466" t="n">
        <v>6279</v>
      </c>
      <c r="B6466" t="inlineStr">
        <is>
          <t>Luxurious townhouse with lift for sale in Santanyi, Mallorca</t>
        </is>
      </c>
      <c r="C6466" t="inlineStr">
        <is>
          <t>https://www.balearic-properties.com/en/property/id/808014-luxurious-townhouse-with-lift-for-sale-in-santanyi-mallorca</t>
        </is>
      </c>
      <c r="E6466" t="n">
        <v>3</v>
      </c>
      <c r="G6466" t="n">
        <v>337</v>
      </c>
      <c r="H6466" t="n">
        <v>348</v>
      </c>
      <c r="J6466" t="inlineStr">
        <is>
          <t>Santanyí</t>
        </is>
      </c>
      <c r="AH6466" t="inlineStr">
        <is>
          <t>Quelle: Balearic Properties</t>
        </is>
      </c>
    </row>
    <row r="6467">
      <c r="A6467" t="n">
        <v>6280</v>
      </c>
      <c r="B6467" t="inlineStr">
        <is>
          <t>Newly built townhouse with pool for sale in Santanyi, Mallorca</t>
        </is>
      </c>
      <c r="C6467" t="inlineStr">
        <is>
          <t>https://www.balearic-properties.com/en/property/id/808016-new-townhouse-pool-mallorca-html</t>
        </is>
      </c>
      <c r="E6467" t="n">
        <v>3</v>
      </c>
      <c r="G6467" t="n">
        <v>330</v>
      </c>
      <c r="H6467" t="n">
        <v>348</v>
      </c>
      <c r="J6467" t="inlineStr">
        <is>
          <t>Santanyí</t>
        </is>
      </c>
      <c r="AH6467" t="inlineStr">
        <is>
          <t>Quelle: Balearic Properties</t>
        </is>
      </c>
    </row>
    <row r="6468">
      <c r="A6468" t="n">
        <v>6281</v>
      </c>
      <c r="B6468" t="inlineStr">
        <is>
          <t>Modern townhouse with salt water pool for sale in Santanyi, Mallorca</t>
        </is>
      </c>
      <c r="C6468" t="inlineStr">
        <is>
          <t>https://www.balearic-properties.com/en/property/id/808012-modern-townhouse-pool-mallorca-html</t>
        </is>
      </c>
      <c r="E6468" t="n">
        <v>3</v>
      </c>
      <c r="G6468" t="n">
        <v>363</v>
      </c>
      <c r="H6468" t="n">
        <v>370</v>
      </c>
      <c r="J6468" t="inlineStr">
        <is>
          <t>Santanyí</t>
        </is>
      </c>
      <c r="AH6468" t="inlineStr">
        <is>
          <t>Quelle: Balearic Properties</t>
        </is>
      </c>
    </row>
    <row r="6469">
      <c r="A6469" t="n">
        <v>6282</v>
      </c>
      <c r="B6469" t="inlineStr">
        <is>
          <t>Apartment with incredible sea views for sale in Puerto Pollensa, Mallorca</t>
        </is>
      </c>
      <c r="C6469" t="inlineStr">
        <is>
          <t>https://www.balearic-properties.com/en/property/id/805993-apartment-sea-views-puerto-pollensa-html</t>
        </is>
      </c>
      <c r="E6469" t="n">
        <v>2</v>
      </c>
      <c r="G6469" t="n">
        <v>0</v>
      </c>
      <c r="H6469" t="n">
        <v>75</v>
      </c>
      <c r="J6469" t="inlineStr">
        <is>
          <t>Port de Pollença</t>
        </is>
      </c>
      <c r="AH6469" t="inlineStr">
        <is>
          <t>Quelle: Balearic Properties</t>
        </is>
      </c>
    </row>
    <row r="6470">
      <c r="A6470" t="n">
        <v>6283</v>
      </c>
      <c r="B6470" t="inlineStr">
        <is>
          <t>Unique top floor apartment for sale in Pollensa Old Town, Mallorca</t>
        </is>
      </c>
      <c r="C6470" t="inlineStr">
        <is>
          <t>https://www.balearic-properties.com/en/property/id/806466-apartment-private-roof-terrace-pollensa-html</t>
        </is>
      </c>
      <c r="E6470" t="n">
        <v>2</v>
      </c>
      <c r="G6470" t="n">
        <v>0</v>
      </c>
      <c r="H6470" t="n">
        <v>115</v>
      </c>
      <c r="J6470" t="inlineStr">
        <is>
          <t>Pollença</t>
        </is>
      </c>
      <c r="AH6470" t="inlineStr">
        <is>
          <t>Quelle: Balearic Properties</t>
        </is>
      </c>
    </row>
    <row r="6471">
      <c r="A6471" t="n">
        <v>6284</v>
      </c>
      <c r="B6471" t="inlineStr">
        <is>
          <t>Rustic country home with covered pool for sale in Montuiri, Mallorca</t>
        </is>
      </c>
      <c r="C6471" t="inlineStr">
        <is>
          <t>https://www.balearic-properties.com/en/property/id/807862-country-home-covered-pool-montuiri-mallorca-html</t>
        </is>
      </c>
      <c r="E6471" t="n">
        <v>2</v>
      </c>
      <c r="G6471" t="n">
        <v>5043</v>
      </c>
      <c r="H6471" t="n">
        <v>337</v>
      </c>
      <c r="J6471" t="inlineStr">
        <is>
          <t>Montuïri</t>
        </is>
      </c>
      <c r="AH6471" t="inlineStr">
        <is>
          <t>Quelle: Balearic Properties</t>
        </is>
      </c>
    </row>
    <row r="6472">
      <c r="A6472" t="n">
        <v>6285</v>
      </c>
      <c r="B6472" t="inlineStr">
        <is>
          <t>Sea view villa with pool for sale in Puerto Pollensa, Mallorca</t>
        </is>
      </c>
      <c r="C6472" t="inlineStr">
        <is>
          <t>https://www.balearic-properties.com/en/property/id/163601-mallorca-villa-puerto-pollensa-html</t>
        </is>
      </c>
      <c r="E6472" t="n">
        <v>5</v>
      </c>
      <c r="G6472" t="n">
        <v>1200</v>
      </c>
      <c r="H6472" t="n">
        <v>280</v>
      </c>
      <c r="J6472" t="inlineStr">
        <is>
          <t>Llenaire</t>
        </is>
      </c>
      <c r="K6472" t="n">
        <v>63.2</v>
      </c>
      <c r="L6472" t="n">
        <v>48</v>
      </c>
      <c r="M6472" t="n">
        <v>81.3</v>
      </c>
      <c r="N6472" t="n">
        <v>75</v>
      </c>
      <c r="O6472" t="n">
        <v>85.8</v>
      </c>
      <c r="P6472" t="n">
        <v>64</v>
      </c>
      <c r="Q6472" t="n">
        <v>79</v>
      </c>
      <c r="R6472" t="n">
        <v>71</v>
      </c>
      <c r="AH6472" t="inlineStr">
        <is>
          <t>Quelle: Balearic Properties</t>
        </is>
      </c>
    </row>
    <row r="6473">
      <c r="A6473" t="n">
        <v>6286</v>
      </c>
      <c r="B6473" t="inlineStr">
        <is>
          <t>Wonderful country villa with holiday license for sale in Muro, Mallorca</t>
        </is>
      </c>
      <c r="C6473" t="inlineStr">
        <is>
          <t>https://www.balearic-properties.com/en/property/id/807924-country-villa-holiday-license-muro-mallorca-html</t>
        </is>
      </c>
      <c r="E6473" t="n">
        <v>5</v>
      </c>
      <c r="G6473" t="n">
        <v>9228</v>
      </c>
      <c r="H6473" t="n">
        <v>593</v>
      </c>
      <c r="J6473" t="inlineStr">
        <is>
          <t>Muro</t>
        </is>
      </c>
      <c r="K6473" t="n">
        <v>58.2</v>
      </c>
      <c r="L6473" t="n">
        <v>46</v>
      </c>
      <c r="M6473" t="n">
        <v>60.2</v>
      </c>
      <c r="N6473" t="n">
        <v>64</v>
      </c>
      <c r="O6473" t="n">
        <v>80.8</v>
      </c>
      <c r="P6473" t="n">
        <v>62</v>
      </c>
      <c r="Q6473" t="n">
        <v>57.9</v>
      </c>
      <c r="R6473" t="n">
        <v>61</v>
      </c>
      <c r="AH6473" t="inlineStr">
        <is>
          <t>Quelle: Balearic Properties</t>
        </is>
      </c>
    </row>
    <row r="6474">
      <c r="A6474" t="n">
        <v>6287</v>
      </c>
      <c r="B6474" t="inlineStr">
        <is>
          <t>Marvelous penthouse with private roof terrace for sale in Cas Catala, Mallorca</t>
        </is>
      </c>
      <c r="C6474" t="inlineStr">
        <is>
          <t>https://www.balearic-properties.com/en/property/id/807469-palma-penthouse-roof-terrace-html</t>
        </is>
      </c>
      <c r="E6474" t="n">
        <v>4</v>
      </c>
      <c r="G6474" t="n">
        <v>0</v>
      </c>
      <c r="H6474" t="n">
        <v>285</v>
      </c>
      <c r="J6474" t="inlineStr">
        <is>
          <t>Cas Català</t>
        </is>
      </c>
      <c r="AH6474" t="inlineStr">
        <is>
          <t>Quelle: Balearic Properties</t>
        </is>
      </c>
    </row>
    <row r="6475">
      <c r="A6475" t="n">
        <v>6288</v>
      </c>
      <c r="B6475" t="inlineStr">
        <is>
          <t>Top Designer-villa with sea views for sale in Puig de Ros, Mallorca</t>
        </is>
      </c>
      <c r="C6475" t="inlineStr">
        <is>
          <t>https://www.balearic-properties.com/en/property/id/808002-designer-villa-sea-llucmajor-html</t>
        </is>
      </c>
      <c r="E6475" t="n">
        <v>4</v>
      </c>
      <c r="G6475" t="n">
        <v>910</v>
      </c>
      <c r="H6475" t="n">
        <v>320</v>
      </c>
      <c r="J6475" t="inlineStr">
        <is>
          <t>Puig de Ros</t>
        </is>
      </c>
      <c r="AH6475" t="inlineStr">
        <is>
          <t>Quelle: Balearic Properties</t>
        </is>
      </c>
    </row>
    <row r="6476">
      <c r="A6476" t="n">
        <v>6289</v>
      </c>
      <c r="B6476" t="inlineStr">
        <is>
          <t>Stunning country estate with sea views for sale near Pollença. Exclusive to Balearic Properties</t>
        </is>
      </c>
      <c r="C6476" t="inlineStr">
        <is>
          <t>https://www.balearic-properties.com/en/property/id/582809-country-house-pollensa-html</t>
        </is>
      </c>
      <c r="E6476" t="n">
        <v>5</v>
      </c>
      <c r="G6476" t="n">
        <v>22000</v>
      </c>
      <c r="H6476" t="n">
        <v>533</v>
      </c>
      <c r="J6476" t="inlineStr">
        <is>
          <t>Pollença</t>
        </is>
      </c>
      <c r="K6476" t="n">
        <v>60.6</v>
      </c>
      <c r="L6476" t="n">
        <v>47</v>
      </c>
      <c r="M6476" t="n">
        <v>78.7</v>
      </c>
      <c r="N6476" t="n">
        <v>74</v>
      </c>
      <c r="O6476" t="n">
        <v>83.2</v>
      </c>
      <c r="P6476" t="n">
        <v>63</v>
      </c>
      <c r="Q6476" t="n">
        <v>76.40000000000001</v>
      </c>
      <c r="R6476" t="n">
        <v>70</v>
      </c>
      <c r="S6476" t="n">
        <v>5500000</v>
      </c>
      <c r="T6476" t="n">
        <v>10319</v>
      </c>
      <c r="U6476" t="n">
        <v>250</v>
      </c>
      <c r="AH6476" t="inlineStr">
        <is>
          <t>Quelle: Balearic Properties</t>
        </is>
      </c>
    </row>
    <row r="6477">
      <c r="A6477" t="n">
        <v>6290</v>
      </c>
      <c r="B6477" t="inlineStr">
        <is>
          <t>Beautiful villa with pool and spa for sale in Alcudia, Mallorca</t>
        </is>
      </c>
      <c r="C6477" t="inlineStr">
        <is>
          <t>https://www.balearic-properties.com/en/property/id/807022-villa-pool-spa-alcudia-mallorca-html</t>
        </is>
      </c>
      <c r="E6477" t="n">
        <v>3</v>
      </c>
      <c r="G6477" t="n">
        <v>559</v>
      </c>
      <c r="H6477" t="n">
        <v>452</v>
      </c>
      <c r="J6477" t="inlineStr">
        <is>
          <t>Barcarés</t>
        </is>
      </c>
      <c r="AH6477" t="inlineStr">
        <is>
          <t>Quelle: Balearic Properties</t>
        </is>
      </c>
    </row>
    <row r="6478">
      <c r="A6478" t="n">
        <v>6291</v>
      </c>
      <c r="B6478" t="inlineStr">
        <is>
          <t>Beachfront town house to renovate for sale in Puerto de Soller, Mallorca</t>
        </is>
      </c>
      <c r="C6478" t="inlineStr">
        <is>
          <t>https://www.balearic-properties.com/en/property/id/802484-town-house-port-soller-html</t>
        </is>
      </c>
      <c r="E6478" t="n">
        <v>6</v>
      </c>
      <c r="G6478" t="n">
        <v>294</v>
      </c>
      <c r="H6478" t="n">
        <v>331</v>
      </c>
      <c r="J6478" t="inlineStr">
        <is>
          <t>Port de Sóller</t>
        </is>
      </c>
      <c r="K6478" t="n">
        <v>36.3</v>
      </c>
      <c r="L6478" t="n">
        <v>42</v>
      </c>
      <c r="M6478" t="n">
        <v>79.09999999999999</v>
      </c>
      <c r="N6478" t="n">
        <v>75</v>
      </c>
      <c r="O6478" t="n">
        <v>56</v>
      </c>
      <c r="P6478" t="n">
        <v>55</v>
      </c>
      <c r="Q6478" t="n">
        <v>76.8</v>
      </c>
      <c r="R6478" t="n">
        <v>71</v>
      </c>
      <c r="S6478" t="n">
        <v>2900000</v>
      </c>
      <c r="T6478" t="n">
        <v>8761</v>
      </c>
      <c r="U6478" t="n">
        <v>9864</v>
      </c>
      <c r="AH6478" t="inlineStr">
        <is>
          <t>Quelle: Balearic Properties</t>
        </is>
      </c>
    </row>
    <row r="6479">
      <c r="A6479" t="n">
        <v>6292</v>
      </c>
      <c r="B6479" t="inlineStr">
        <is>
          <t>Charming finca with rustic interiors for sale near Muro, Mallorca</t>
        </is>
      </c>
      <c r="C6479" t="inlineStr">
        <is>
          <t>https://www.balearic-properties.com/en/property/id/806718-finca-muro-views-html</t>
        </is>
      </c>
      <c r="E6479" t="n">
        <v>5</v>
      </c>
      <c r="G6479" t="n">
        <v>14163</v>
      </c>
      <c r="H6479" t="n">
        <v>345</v>
      </c>
      <c r="J6479" t="inlineStr">
        <is>
          <t>Muro</t>
        </is>
      </c>
      <c r="K6479" t="n">
        <v>58.2</v>
      </c>
      <c r="L6479" t="n">
        <v>46</v>
      </c>
      <c r="M6479" t="n">
        <v>60.2</v>
      </c>
      <c r="N6479" t="n">
        <v>64</v>
      </c>
      <c r="O6479" t="n">
        <v>80.8</v>
      </c>
      <c r="P6479" t="n">
        <v>62</v>
      </c>
      <c r="Q6479" t="n">
        <v>57.9</v>
      </c>
      <c r="R6479" t="n">
        <v>61</v>
      </c>
      <c r="AH6479" t="inlineStr">
        <is>
          <t>Quelle: Balearic Properties</t>
        </is>
      </c>
    </row>
    <row r="6480">
      <c r="A6480" t="n">
        <v>6293</v>
      </c>
      <c r="B6480" t="inlineStr">
        <is>
          <t>Newly built penthouse with private roof top terrace for sale in Palma, Mallorca</t>
        </is>
      </c>
      <c r="C6480" t="inlineStr">
        <is>
          <t>https://www.balearic-properties.com/en/property/id/807714-new-apartment-pool-palma-html</t>
        </is>
      </c>
      <c r="E6480" t="n">
        <v>3</v>
      </c>
      <c r="G6480" t="n">
        <v>0</v>
      </c>
      <c r="H6480" t="n">
        <v>154</v>
      </c>
      <c r="J6480" t="inlineStr">
        <is>
          <t>Palma de Mallorca</t>
        </is>
      </c>
      <c r="AH6480" t="inlineStr">
        <is>
          <t>Quelle: Balearic Properties</t>
        </is>
      </c>
    </row>
    <row r="6481">
      <c r="A6481" t="n">
        <v>6294</v>
      </c>
      <c r="B6481" t="inlineStr">
        <is>
          <t>First floor apartment with lift for sale in central Puerto Pollensa, Mallorca</t>
        </is>
      </c>
      <c r="C6481" t="inlineStr">
        <is>
          <t>https://www.balearic-properties.com/en/property/id/807456-modern-apartment-pollensa-central-html</t>
        </is>
      </c>
      <c r="E6481" t="n">
        <v>3</v>
      </c>
      <c r="G6481" t="n">
        <v>0</v>
      </c>
      <c r="H6481" t="n">
        <v>106</v>
      </c>
      <c r="J6481" t="inlineStr">
        <is>
          <t>Port de Pollença</t>
        </is>
      </c>
      <c r="AH6481" t="inlineStr">
        <is>
          <t>Quelle: Balearic Properties</t>
        </is>
      </c>
    </row>
    <row r="6482">
      <c r="A6482" t="n">
        <v>6295</v>
      </c>
      <c r="B6482" t="inlineStr">
        <is>
          <t>Luxurious apartment for sale in Palma, Mallorca</t>
        </is>
      </c>
      <c r="C6482" t="inlineStr">
        <is>
          <t>https://www.balearic-properties.com/en/property/id/807517-luxurious-apartment-terrace-palma-html</t>
        </is>
      </c>
      <c r="E6482" t="n">
        <v>1</v>
      </c>
      <c r="G6482" t="n">
        <v>0</v>
      </c>
      <c r="H6482" t="n">
        <v>73</v>
      </c>
      <c r="J6482" t="inlineStr">
        <is>
          <t>Palma Casco Antiguo</t>
        </is>
      </c>
      <c r="S6482" t="n">
        <v>670000</v>
      </c>
      <c r="T6482" t="n">
        <v>9178</v>
      </c>
      <c r="AH6482" t="inlineStr">
        <is>
          <t>Quelle: Balearic Properties</t>
        </is>
      </c>
    </row>
    <row r="6483">
      <c r="A6483" t="n">
        <v>6296</v>
      </c>
      <c r="B6483" t="inlineStr">
        <is>
          <t>Outstanding country mansion with hotel license for sale in Sóller, Mallorca</t>
        </is>
      </c>
      <c r="C6483" t="inlineStr">
        <is>
          <t>https://www.balearic-properties.com/en/property/id/807727-country-mansion-hotel-license-deia-soller-html</t>
        </is>
      </c>
      <c r="E6483" t="n">
        <v>8</v>
      </c>
      <c r="G6483" t="n">
        <v>6148</v>
      </c>
      <c r="H6483" t="n">
        <v>641</v>
      </c>
      <c r="J6483" t="inlineStr">
        <is>
          <t>Sóller</t>
        </is>
      </c>
      <c r="K6483" t="n">
        <v>32.5</v>
      </c>
      <c r="L6483" t="n">
        <v>38</v>
      </c>
      <c r="M6483" t="n">
        <v>75.2</v>
      </c>
      <c r="N6483" t="n">
        <v>70</v>
      </c>
      <c r="O6483" t="n">
        <v>52.1</v>
      </c>
      <c r="P6483" t="n">
        <v>51</v>
      </c>
      <c r="Q6483" t="n">
        <v>72.90000000000001</v>
      </c>
      <c r="R6483" t="n">
        <v>67</v>
      </c>
      <c r="AH6483" t="inlineStr">
        <is>
          <t>Quelle: Balearic Properties</t>
        </is>
      </c>
    </row>
    <row r="6484">
      <c r="A6484" t="n">
        <v>6297</v>
      </c>
      <c r="B6484" t="inlineStr">
        <is>
          <t>Newly renovated townhouse for sale in Pollensa old town, Mallorca</t>
        </is>
      </c>
      <c r="C6484" t="inlineStr">
        <is>
          <t>https://www.balearic-properties.com/en/property/id/802817-town-house-for-sale-in-pollensa</t>
        </is>
      </c>
      <c r="E6484" t="n">
        <v>3</v>
      </c>
      <c r="G6484" t="n">
        <v>142</v>
      </c>
      <c r="H6484" t="n">
        <v>171</v>
      </c>
      <c r="J6484" t="inlineStr">
        <is>
          <t>Pollença</t>
        </is>
      </c>
      <c r="AH6484" t="inlineStr">
        <is>
          <t>Quelle: Balearic Properties</t>
        </is>
      </c>
    </row>
    <row r="6485">
      <c r="A6485" t="n">
        <v>6298</v>
      </c>
      <c r="B6485" t="inlineStr">
        <is>
          <t>Charming country home for sale on the outskirts of Bunyola, Mallorca</t>
        </is>
      </c>
      <c r="C6485" t="inlineStr">
        <is>
          <t>https://www.balearic-properties.com/en/property/id/807631-rustic-finca-pool-bunyola-mallorca-html</t>
        </is>
      </c>
      <c r="E6485" t="n">
        <v>3</v>
      </c>
      <c r="G6485" t="n">
        <v>3000</v>
      </c>
      <c r="H6485" t="n">
        <v>300</v>
      </c>
      <c r="J6485" t="inlineStr">
        <is>
          <t>Bunyola</t>
        </is>
      </c>
      <c r="S6485" t="n">
        <v>699000</v>
      </c>
      <c r="T6485" t="n">
        <v>2330</v>
      </c>
      <c r="U6485" t="n">
        <v>233</v>
      </c>
      <c r="AH6485" t="inlineStr">
        <is>
          <t>Quelle: Balearic Properties</t>
        </is>
      </c>
    </row>
    <row r="6486">
      <c r="A6486" t="n">
        <v>6299</v>
      </c>
      <c r="B6486" t="inlineStr">
        <is>
          <t>Newly built apartment with stunning sea views for sale in Sant Agusti, Mallorca</t>
        </is>
      </c>
      <c r="C6486" t="inlineStr">
        <is>
          <t>https://www.balearic-properties.com/en/property/id/807290-newly-built-apartment-mallorca-html</t>
        </is>
      </c>
      <c r="E6486" t="n">
        <v>2</v>
      </c>
      <c r="G6486" t="n">
        <v>0</v>
      </c>
      <c r="H6486" t="n">
        <v>154</v>
      </c>
      <c r="J6486" t="inlineStr">
        <is>
          <t>Sant Agustí</t>
        </is>
      </c>
      <c r="K6486" t="n">
        <v>19.9</v>
      </c>
      <c r="L6486" t="n">
        <v>20</v>
      </c>
      <c r="M6486" t="n">
        <v>62.6</v>
      </c>
      <c r="N6486" t="n">
        <v>53</v>
      </c>
      <c r="O6486" t="n">
        <v>25.1</v>
      </c>
      <c r="P6486" t="n">
        <v>24</v>
      </c>
      <c r="Q6486" t="n">
        <v>60.3</v>
      </c>
      <c r="R6486" t="n">
        <v>50</v>
      </c>
      <c r="S6486" t="n">
        <v>1463000</v>
      </c>
      <c r="T6486" t="n">
        <v>9500</v>
      </c>
      <c r="AH6486" t="inlineStr">
        <is>
          <t>Quelle: Balearic Properties</t>
        </is>
      </c>
    </row>
    <row r="6487">
      <c r="A6487" t="n">
        <v>6300</v>
      </c>
      <c r="B6487" t="inlineStr">
        <is>
          <t>Newly built apartments with sea views for sale in Sant Agusti, Mallorca</t>
        </is>
      </c>
      <c r="C6487" t="inlineStr">
        <is>
          <t>https://www.balearic-properties.com/en/property/id/807286-new-apartment-sea-mallorca-html</t>
        </is>
      </c>
      <c r="E6487" t="n">
        <v>2</v>
      </c>
      <c r="G6487" t="n">
        <v>0</v>
      </c>
      <c r="H6487" t="n">
        <v>94</v>
      </c>
      <c r="J6487" t="inlineStr">
        <is>
          <t>Sant Agustí</t>
        </is>
      </c>
      <c r="S6487" t="n">
        <v>855000</v>
      </c>
      <c r="T6487" t="n">
        <v>9096</v>
      </c>
      <c r="AH6487" t="inlineStr">
        <is>
          <t>Quelle: Balearic Properties</t>
        </is>
      </c>
    </row>
    <row r="6488">
      <c r="A6488" t="n">
        <v>6301</v>
      </c>
      <c r="B6488" t="inlineStr">
        <is>
          <t>Newly built apartment with private garden for sale in Palma, Mallorca</t>
        </is>
      </c>
      <c r="C6488" t="inlineStr">
        <is>
          <t>https://www.balearic-properties.com/en/property/id/807172-apartment-pool-palma-html</t>
        </is>
      </c>
      <c r="E6488" t="n">
        <v>3</v>
      </c>
      <c r="G6488" t="n">
        <v>0</v>
      </c>
      <c r="H6488" t="n">
        <v>107</v>
      </c>
      <c r="J6488" t="inlineStr">
        <is>
          <t>Palma de Mallorca</t>
        </is>
      </c>
      <c r="AH6488" t="inlineStr">
        <is>
          <t>Quelle: Balearic Properties</t>
        </is>
      </c>
    </row>
    <row r="6489">
      <c r="A6489" t="n">
        <v>6302</v>
      </c>
      <c r="B6489" t="inlineStr">
        <is>
          <t>Chic, modern apartment for sale in Palma, Mallorca</t>
        </is>
      </c>
      <c r="C6489" t="inlineStr">
        <is>
          <t>https://www.balearic-properties.com/en/property/id/806398-modern-apartment-central-palma-html</t>
        </is>
      </c>
      <c r="E6489" t="n">
        <v>3</v>
      </c>
      <c r="G6489" t="n">
        <v>0</v>
      </c>
      <c r="H6489" t="n">
        <v>150</v>
      </c>
      <c r="J6489" t="inlineStr">
        <is>
          <t>Palma de Mallorca</t>
        </is>
      </c>
      <c r="AH6489" t="inlineStr">
        <is>
          <t>Quelle: Balearic Properties</t>
        </is>
      </c>
    </row>
    <row r="6490">
      <c r="A6490" t="n">
        <v>6303</v>
      </c>
      <c r="B6490" t="inlineStr">
        <is>
          <t>Enchanting rural home for sale in Valldemossa, Mallorca</t>
        </is>
      </c>
      <c r="C6490" t="inlineStr">
        <is>
          <t>https://www.balearic-properties.com/en/property/id/806263-country-finca-magnificent-views-valldemossa-html</t>
        </is>
      </c>
      <c r="E6490" t="n">
        <v>4</v>
      </c>
      <c r="G6490" t="n">
        <v>1737</v>
      </c>
      <c r="H6490" t="n">
        <v>200</v>
      </c>
      <c r="J6490" t="inlineStr">
        <is>
          <t>Valldemossa</t>
        </is>
      </c>
      <c r="K6490" t="n">
        <v>27.2</v>
      </c>
      <c r="L6490" t="n">
        <v>32</v>
      </c>
      <c r="M6490" t="n">
        <v>69.90000000000001</v>
      </c>
      <c r="N6490" t="n">
        <v>64</v>
      </c>
      <c r="O6490" t="n">
        <v>45.5</v>
      </c>
      <c r="P6490" t="n">
        <v>44</v>
      </c>
      <c r="Q6490" t="n">
        <v>67.59999999999999</v>
      </c>
      <c r="R6490" t="n">
        <v>61</v>
      </c>
      <c r="S6490" t="n">
        <v>1600000</v>
      </c>
      <c r="T6490" t="n">
        <v>8000</v>
      </c>
      <c r="U6490" t="n">
        <v>921</v>
      </c>
      <c r="AH6490" t="inlineStr">
        <is>
          <t>Quelle: Balearic Properties</t>
        </is>
      </c>
    </row>
    <row r="6491">
      <c r="A6491" t="n">
        <v>6304</v>
      </c>
      <c r="B6491" t="inlineStr">
        <is>
          <t>Gorgeous contemporary apartment for sale in Palma, Mallorca</t>
        </is>
      </c>
      <c r="C6491" t="inlineStr">
        <is>
          <t>https://www.balearic-properties.com/en/property/id/806396-contemporary-apartment-palma-html</t>
        </is>
      </c>
      <c r="E6491" t="n">
        <v>3</v>
      </c>
      <c r="G6491" t="n">
        <v>0</v>
      </c>
      <c r="H6491" t="n">
        <v>150</v>
      </c>
      <c r="J6491" t="inlineStr">
        <is>
          <t>Palma de Mallorca</t>
        </is>
      </c>
      <c r="AH6491" t="inlineStr">
        <is>
          <t>Quelle: Balearic Properties</t>
        </is>
      </c>
    </row>
    <row r="6492">
      <c r="A6492" t="n">
        <v>6305</v>
      </c>
      <c r="B6492" t="inlineStr">
        <is>
          <t>Beautiful villa for sale just a few minutes away from Puerto Pollensa, Mallorca</t>
        </is>
      </c>
      <c r="C6492" t="inlineStr">
        <is>
          <t>https://www.balearic-properties.com/en/property/id/806721-attractive-villa-holiday-licence-puerto-pollensa-html</t>
        </is>
      </c>
      <c r="E6492" t="n">
        <v>4</v>
      </c>
      <c r="G6492" t="n">
        <v>1232</v>
      </c>
      <c r="H6492" t="n">
        <v>279</v>
      </c>
      <c r="J6492" t="inlineStr">
        <is>
          <t>Port de Pollença</t>
        </is>
      </c>
      <c r="AH6492" t="inlineStr">
        <is>
          <t>Quelle: Balearic Properties</t>
        </is>
      </c>
    </row>
    <row r="6493">
      <c r="A6493" t="n">
        <v>6306</v>
      </c>
      <c r="B6493" t="inlineStr">
        <is>
          <t>Wonderful villa with heated pool for sale in Old Bendinat, Mallorca</t>
        </is>
      </c>
      <c r="C6493" t="inlineStr">
        <is>
          <t>https://www.balearic-properties.com/en/property/id/804080-villa-heated-pool-bendinat-html</t>
        </is>
      </c>
      <c r="E6493" t="n">
        <v>5</v>
      </c>
      <c r="G6493" t="n">
        <v>882</v>
      </c>
      <c r="H6493" t="n">
        <v>400</v>
      </c>
      <c r="J6493" t="inlineStr">
        <is>
          <t>Bendinat</t>
        </is>
      </c>
      <c r="K6493" t="n">
        <v>23.1</v>
      </c>
      <c r="L6493" t="n">
        <v>22</v>
      </c>
      <c r="M6493" t="n">
        <v>65.8</v>
      </c>
      <c r="N6493" t="n">
        <v>55</v>
      </c>
      <c r="O6493" t="n">
        <v>23.2</v>
      </c>
      <c r="P6493" t="n">
        <v>23</v>
      </c>
      <c r="Q6493" t="n">
        <v>63.5</v>
      </c>
      <c r="R6493" t="n">
        <v>51</v>
      </c>
      <c r="AH6493" t="inlineStr">
        <is>
          <t>Quelle: Balearic Properties</t>
        </is>
      </c>
    </row>
    <row r="6494">
      <c r="A6494" t="n">
        <v>6307</v>
      </c>
      <c r="B6494" t="inlineStr">
        <is>
          <t>Fantastic villa with sea views for sale in Puerto Andratx, Mallorca</t>
        </is>
      </c>
      <c r="C6494" t="inlineStr">
        <is>
          <t>https://www.balearic-properties.com/en/property/id/806941-villa-sea-andratx-mallorca-html</t>
        </is>
      </c>
      <c r="E6494" t="n">
        <v>4</v>
      </c>
      <c r="G6494" t="n">
        <v>1570</v>
      </c>
      <c r="H6494" t="n">
        <v>466</v>
      </c>
      <c r="J6494" t="inlineStr">
        <is>
          <t>Puerto Andratx</t>
        </is>
      </c>
      <c r="AH6494" t="inlineStr">
        <is>
          <t>Quelle: Balearic Properties</t>
        </is>
      </c>
    </row>
    <row r="6495">
      <c r="A6495" t="n">
        <v>6308</v>
      </c>
      <c r="B6495" t="inlineStr">
        <is>
          <t>Penthouse with private pool and terrace for sale in Palma, Mallorca</t>
        </is>
      </c>
      <c r="C6495" t="inlineStr">
        <is>
          <t>https://www.balearic-properties.com/en/property/id/806395-deluxe-penthouse-private-pool-palma-html</t>
        </is>
      </c>
      <c r="E6495" t="n">
        <v>3</v>
      </c>
      <c r="G6495" t="n">
        <v>0</v>
      </c>
      <c r="H6495" t="n">
        <v>332</v>
      </c>
      <c r="J6495" t="inlineStr">
        <is>
          <t>Palma de Mallorca</t>
        </is>
      </c>
      <c r="AH6495" t="inlineStr">
        <is>
          <t>Quelle: Balearic Properties</t>
        </is>
      </c>
    </row>
    <row r="6496">
      <c r="A6496" t="n">
        <v>6309</v>
      </c>
      <c r="B6496" t="inlineStr">
        <is>
          <t>Luxury penthouse with private pool in Puerto Andratx, Mallorca</t>
        </is>
      </c>
      <c r="C6496" t="inlineStr">
        <is>
          <t>https://www.balearic-properties.com/en/property/id/806927-luxury-penthouse-pool-mallorca-html</t>
        </is>
      </c>
      <c r="E6496" t="n">
        <v>3</v>
      </c>
      <c r="G6496" t="n">
        <v>0</v>
      </c>
      <c r="H6496" t="n">
        <v>175</v>
      </c>
      <c r="J6496" t="inlineStr">
        <is>
          <t>Puerto Andratx</t>
        </is>
      </c>
      <c r="K6496" t="n">
        <v>43.5</v>
      </c>
      <c r="L6496" t="n">
        <v>38</v>
      </c>
      <c r="M6496" t="n">
        <v>86.2</v>
      </c>
      <c r="N6496" t="n">
        <v>71</v>
      </c>
      <c r="O6496" t="n">
        <v>6.3</v>
      </c>
      <c r="P6496" t="n">
        <v>11</v>
      </c>
      <c r="Q6496" t="n">
        <v>83.90000000000001</v>
      </c>
      <c r="R6496" t="n">
        <v>68</v>
      </c>
      <c r="S6496" t="n">
        <v>2300000</v>
      </c>
      <c r="T6496" t="n">
        <v>13143</v>
      </c>
      <c r="AH6496" t="inlineStr">
        <is>
          <t>Quelle: Balearic Properties</t>
        </is>
      </c>
    </row>
    <row r="6497">
      <c r="A6497" t="n">
        <v>6310</v>
      </c>
      <c r="B6497" t="inlineStr">
        <is>
          <t>Immaculate villa for sale, close to Pollensa in the north of Mallorca</t>
        </is>
      </c>
      <c r="C6497" t="inlineStr">
        <is>
          <t>https://www.balearic-properties.com/en/property/id/805775-detached-villa-pool-north-mallorca-html</t>
        </is>
      </c>
      <c r="E6497" t="n">
        <v>3</v>
      </c>
      <c r="G6497" t="n">
        <v>1042</v>
      </c>
      <c r="H6497" t="n">
        <v>0</v>
      </c>
      <c r="J6497" t="inlineStr">
        <is>
          <t>Pollença</t>
        </is>
      </c>
      <c r="AH6497" t="inlineStr">
        <is>
          <t>Quelle: Balearic Properties</t>
        </is>
      </c>
    </row>
    <row r="6498">
      <c r="A6498" t="n">
        <v>6311</v>
      </c>
      <c r="B6498" t="inlineStr">
        <is>
          <t>Impressive estate for sale in the stunning countryside near Alaró, Mallorca</t>
        </is>
      </c>
      <c r="C6498" t="inlineStr">
        <is>
          <t>https://www.balearic-properties.com/en/property/id/804247-country-estate-privacy-alaro-html</t>
        </is>
      </c>
      <c r="E6498" t="n">
        <v>6</v>
      </c>
      <c r="G6498" t="n">
        <v>50100</v>
      </c>
      <c r="H6498" t="n">
        <v>827</v>
      </c>
      <c r="J6498" t="inlineStr">
        <is>
          <t>Alaró</t>
        </is>
      </c>
      <c r="K6498" t="n">
        <v>33.4</v>
      </c>
      <c r="L6498" t="n">
        <v>33</v>
      </c>
      <c r="M6498" t="n">
        <v>76.09999999999999</v>
      </c>
      <c r="N6498" t="n">
        <v>66</v>
      </c>
      <c r="O6498" t="n">
        <v>55.9</v>
      </c>
      <c r="P6498" t="n">
        <v>49</v>
      </c>
      <c r="Q6498" t="n">
        <v>73.8</v>
      </c>
      <c r="R6498" t="n">
        <v>62</v>
      </c>
      <c r="AH6498" t="inlineStr">
        <is>
          <t>Quelle: Balearic Properties</t>
        </is>
      </c>
    </row>
    <row r="6499">
      <c r="A6499" t="n">
        <v>6312</v>
      </c>
      <c r="B6499" t="inlineStr">
        <is>
          <t>Frontline apartment project for sale in Palma, Mallorca</t>
        </is>
      </c>
      <c r="C6499" t="inlineStr">
        <is>
          <t>https://www.balearic-properties.com/en/property/id/793560-apartment-marina-frontline-html</t>
        </is>
      </c>
      <c r="E6499" t="n">
        <v>3</v>
      </c>
      <c r="G6499" t="n">
        <v>0</v>
      </c>
      <c r="H6499" t="n">
        <v>135</v>
      </c>
      <c r="J6499" t="inlineStr">
        <is>
          <t>Palma de Mallorca</t>
        </is>
      </c>
      <c r="K6499" t="n">
        <v>9.699999999999999</v>
      </c>
      <c r="L6499" t="n">
        <v>14</v>
      </c>
      <c r="M6499" t="n">
        <v>52.5</v>
      </c>
      <c r="N6499" t="n">
        <v>47</v>
      </c>
      <c r="O6499" t="n">
        <v>32.1</v>
      </c>
      <c r="P6499" t="n">
        <v>36</v>
      </c>
      <c r="Q6499" t="n">
        <v>50.2</v>
      </c>
      <c r="R6499" t="n">
        <v>44</v>
      </c>
      <c r="S6499" t="n">
        <v>1500000</v>
      </c>
      <c r="T6499" t="n">
        <v>11111</v>
      </c>
      <c r="AH6499" t="inlineStr">
        <is>
          <t>Quelle: Balearic Properties</t>
        </is>
      </c>
    </row>
    <row r="6500">
      <c r="A6500" t="n">
        <v>6313</v>
      </c>
      <c r="B6500" t="inlineStr">
        <is>
          <t>Luxurious town house with garden and pool for sale in Santanyi, Mallorca</t>
        </is>
      </c>
      <c r="C6500" t="inlineStr">
        <is>
          <t>https://www.balearic-properties.com/en/property/id/793499-townhouses-santanyi-pool-modern-html</t>
        </is>
      </c>
      <c r="E6500" t="n">
        <v>3</v>
      </c>
      <c r="G6500" t="n">
        <v>303</v>
      </c>
      <c r="H6500" t="n">
        <v>278</v>
      </c>
      <c r="J6500" t="inlineStr">
        <is>
          <t>Santanyí</t>
        </is>
      </c>
      <c r="AH6500" t="inlineStr">
        <is>
          <t>Quelle: Balearic Properties</t>
        </is>
      </c>
    </row>
    <row r="6501">
      <c r="A6501" t="n">
        <v>6314</v>
      </c>
      <c r="B6501" t="inlineStr">
        <is>
          <t>Semi-detached villa with amazing sea views for sale in Puerto Pollensa, Mallorca</t>
        </is>
      </c>
      <c r="C6501" t="inlineStr">
        <is>
          <t>https://www.balearic-properties.com/en/property/id/433740-villa-sea-views-puerto-pollensa-html</t>
        </is>
      </c>
      <c r="E6501" t="n">
        <v>3</v>
      </c>
      <c r="G6501" t="n">
        <v>0</v>
      </c>
      <c r="H6501" t="n">
        <v>118</v>
      </c>
      <c r="J6501" t="inlineStr">
        <is>
          <t>Port de Pollença</t>
        </is>
      </c>
      <c r="AH6501" t="inlineStr">
        <is>
          <t>Quelle: Balearic Properties</t>
        </is>
      </c>
    </row>
    <row r="6502">
      <c r="A6502" t="n">
        <v>6315</v>
      </c>
      <c r="B6502" t="inlineStr">
        <is>
          <t>Imposing villa set on a big plot for sale near Pollensa, Mallorca</t>
        </is>
      </c>
      <c r="C6502" t="inlineStr">
        <is>
          <t>https://www.balearic-properties.com/en/property/id/565705-villa-big-plot-pollensa-html</t>
        </is>
      </c>
      <c r="E6502" t="n">
        <v>4</v>
      </c>
      <c r="G6502" t="n">
        <v>3450</v>
      </c>
      <c r="H6502" t="n">
        <v>259</v>
      </c>
      <c r="J6502" t="inlineStr">
        <is>
          <t>Pollença</t>
        </is>
      </c>
      <c r="AH6502" t="inlineStr">
        <is>
          <t>Quelle: Balearic Properties</t>
        </is>
      </c>
    </row>
    <row r="6503">
      <c r="A6503" t="n">
        <v>6316</v>
      </c>
      <c r="B6503" t="inlineStr">
        <is>
          <t>Mediterranean style villa for sale in Santa Ponsa, Mallorca</t>
        </is>
      </c>
      <c r="C6503" t="inlineStr">
        <is>
          <t>https://www.balearic-properties.com/en/property/id/802188-exclusive-villa-santa-ponsa-html</t>
        </is>
      </c>
      <c r="E6503" t="n">
        <v>3</v>
      </c>
      <c r="G6503" t="n">
        <v>4607</v>
      </c>
      <c r="H6503" t="n">
        <v>560</v>
      </c>
      <c r="J6503" t="inlineStr">
        <is>
          <t>Santa Ponsa</t>
        </is>
      </c>
      <c r="AH6503" t="inlineStr">
        <is>
          <t>Quelle: Balearic Properties</t>
        </is>
      </c>
    </row>
    <row r="6504">
      <c r="A6504" t="n">
        <v>6317</v>
      </c>
      <c r="B6504" t="inlineStr">
        <is>
          <t>Modern town house with pool for sale in Ariany, Mallorca</t>
        </is>
      </c>
      <c r="C6504" t="inlineStr">
        <is>
          <t>https://www.balearic-properties.com/en/property/id/806217-modern-townhouse-pool-ariany-html</t>
        </is>
      </c>
      <c r="E6504" t="n">
        <v>3</v>
      </c>
      <c r="G6504" t="n">
        <v>240</v>
      </c>
      <c r="H6504" t="n">
        <v>160</v>
      </c>
      <c r="J6504" t="inlineStr">
        <is>
          <t>Ariany</t>
        </is>
      </c>
      <c r="AH6504" t="inlineStr">
        <is>
          <t>Quelle: Balearic Properties</t>
        </is>
      </c>
    </row>
    <row r="6505">
      <c r="A6505" t="n">
        <v>6318</v>
      </c>
      <c r="B6505" t="inlineStr">
        <is>
          <t>Luxurious town house with garden and pool for sale in Santanyi, Mallorca</t>
        </is>
      </c>
      <c r="C6505" t="inlineStr">
        <is>
          <t>https://www.balearic-properties.com/en/property/id/805891-townhouses-santanyi-project-html</t>
        </is>
      </c>
      <c r="E6505" t="n">
        <v>3</v>
      </c>
      <c r="G6505" t="n">
        <v>301</v>
      </c>
      <c r="H6505" t="n">
        <v>300</v>
      </c>
      <c r="J6505" t="inlineStr">
        <is>
          <t>Santanyí</t>
        </is>
      </c>
      <c r="AH6505" t="inlineStr">
        <is>
          <t>Quelle: Balearic Properties</t>
        </is>
      </c>
    </row>
    <row r="6506">
      <c r="A6506" t="n">
        <v>6319</v>
      </c>
      <c r="B6506" t="inlineStr">
        <is>
          <t>Unique seafront property for sale in Llucmajor, Mallorca</t>
        </is>
      </c>
      <c r="C6506" t="inlineStr">
        <is>
          <t>https://www.balearic-properties.com/en/property/id/804687-unique-seafront-property-llucmajor-html</t>
        </is>
      </c>
      <c r="E6506" t="n">
        <v>6</v>
      </c>
      <c r="G6506" t="n">
        <v>875</v>
      </c>
      <c r="H6506" t="n">
        <v>430</v>
      </c>
      <c r="J6506" t="inlineStr">
        <is>
          <t>Llucmajor</t>
        </is>
      </c>
      <c r="K6506" t="n">
        <v>22</v>
      </c>
      <c r="L6506" t="n">
        <v>21</v>
      </c>
      <c r="M6506" t="n">
        <v>28.2</v>
      </c>
      <c r="N6506" t="n">
        <v>33</v>
      </c>
      <c r="O6506" t="n">
        <v>60.2</v>
      </c>
      <c r="P6506" t="n">
        <v>48</v>
      </c>
      <c r="Q6506" t="n">
        <v>25.9</v>
      </c>
      <c r="R6506" t="n">
        <v>29</v>
      </c>
      <c r="S6506" t="n">
        <v>1895000</v>
      </c>
      <c r="T6506" t="n">
        <v>4407</v>
      </c>
      <c r="U6506" t="n">
        <v>2166</v>
      </c>
      <c r="AH6506" t="inlineStr">
        <is>
          <t>Quelle: Balearic Properties</t>
        </is>
      </c>
    </row>
    <row r="6507">
      <c r="A6507" t="n">
        <v>6320</v>
      </c>
      <c r="B6507" t="inlineStr">
        <is>
          <t>Attractive villa with lots of character completely renovated in Bonanova, Mallorca</t>
        </is>
      </c>
      <c r="C6507" t="inlineStr">
        <is>
          <t>https://www.balearic-properties.com/en/property/id/711528-villa-pool-garden-palma-html</t>
        </is>
      </c>
      <c r="E6507" t="n">
        <v>5</v>
      </c>
      <c r="G6507" t="n">
        <v>2000</v>
      </c>
      <c r="H6507" t="n">
        <v>800</v>
      </c>
      <c r="J6507" t="inlineStr">
        <is>
          <t>La Bonanova</t>
        </is>
      </c>
      <c r="K6507" t="n">
        <v>19.2</v>
      </c>
      <c r="L6507" t="n">
        <v>21</v>
      </c>
      <c r="M6507" t="n">
        <v>62</v>
      </c>
      <c r="N6507" t="n">
        <v>54</v>
      </c>
      <c r="O6507" t="n">
        <v>26.6</v>
      </c>
      <c r="P6507" t="n">
        <v>27</v>
      </c>
      <c r="Q6507" t="n">
        <v>59.7</v>
      </c>
      <c r="R6507" t="n">
        <v>51</v>
      </c>
      <c r="S6507" t="n">
        <v>2295000</v>
      </c>
      <c r="T6507" t="n">
        <v>2869</v>
      </c>
      <c r="U6507" t="n">
        <v>1148</v>
      </c>
      <c r="AH6507" t="inlineStr">
        <is>
          <t>Quelle: Balearic Properties</t>
        </is>
      </c>
    </row>
    <row r="6508">
      <c r="A6508" t="n">
        <v>6321</v>
      </c>
      <c r="B6508" t="inlineStr">
        <is>
          <t>Centrally located apartment for sale in Pollensa old town, Mallorca</t>
        </is>
      </c>
      <c r="C6508" t="inlineStr">
        <is>
          <t>https://www.balearic-properties.com/en/property/id/805614-centrally-located-apartment-pollensa-html</t>
        </is>
      </c>
      <c r="E6508" t="n">
        <v>2</v>
      </c>
      <c r="G6508" t="n">
        <v>0</v>
      </c>
      <c r="H6508" t="n">
        <v>68</v>
      </c>
      <c r="J6508" t="inlineStr">
        <is>
          <t>Pollença</t>
        </is>
      </c>
      <c r="AH6508" t="inlineStr">
        <is>
          <t>Quelle: Balearic Properties</t>
        </is>
      </c>
    </row>
    <row r="6509">
      <c r="A6509" t="n">
        <v>6322</v>
      </c>
      <c r="B6509" t="inlineStr">
        <is>
          <t>Two bedroom apartment for sale in the centre of Pollensa, Mallorca</t>
        </is>
      </c>
      <c r="C6509" t="inlineStr">
        <is>
          <t>https://www.balearic-properties.com/en/property/id/805612-apartment-central-pollensa-html</t>
        </is>
      </c>
      <c r="E6509" t="n">
        <v>2</v>
      </c>
      <c r="G6509" t="n">
        <v>0</v>
      </c>
      <c r="H6509" t="n">
        <v>68</v>
      </c>
      <c r="J6509" t="inlineStr">
        <is>
          <t>Pollença</t>
        </is>
      </c>
      <c r="AH6509" t="inlineStr">
        <is>
          <t>Quelle: Balearic Properties</t>
        </is>
      </c>
    </row>
    <row r="6510">
      <c r="A6510" t="n">
        <v>6323</v>
      </c>
      <c r="B6510" t="inlineStr">
        <is>
          <t>Contemporary-style town house with pool for sale in the centre of Pollensa, Mallorca</t>
        </is>
      </c>
      <c r="C6510" t="inlineStr">
        <is>
          <t>https://www.balearic-properties.com/en/property/id/804309-townhouse-pool-pollensa-html</t>
        </is>
      </c>
      <c r="E6510" t="n">
        <v>3</v>
      </c>
      <c r="G6510" t="n">
        <v>112</v>
      </c>
      <c r="H6510" t="n">
        <v>176</v>
      </c>
      <c r="J6510" t="inlineStr">
        <is>
          <t>Pollença</t>
        </is>
      </c>
      <c r="AH6510" t="inlineStr">
        <is>
          <t>Quelle: Balearic Properties</t>
        </is>
      </c>
    </row>
    <row r="6511">
      <c r="A6511" t="n">
        <v>6324</v>
      </c>
      <c r="B6511" t="inlineStr">
        <is>
          <t>Delightful garden apartment for sale in Puerto Pollensa, Mallorca</t>
        </is>
      </c>
      <c r="C6511" t="inlineStr">
        <is>
          <t>https://www.balearic-properties.com/en/property/id/638585-apartment-garden-puerto-pollensa-html</t>
        </is>
      </c>
      <c r="E6511" t="n">
        <v>2</v>
      </c>
      <c r="G6511" t="n">
        <v>0</v>
      </c>
      <c r="H6511" t="n">
        <v>86</v>
      </c>
      <c r="J6511" t="inlineStr">
        <is>
          <t>Port de Pollença</t>
        </is>
      </c>
      <c r="AH6511" t="inlineStr">
        <is>
          <t>Quelle: Balearic Properties</t>
        </is>
      </c>
    </row>
    <row r="6512">
      <c r="A6512" t="n">
        <v>6325</v>
      </c>
      <c r="B6512" t="inlineStr">
        <is>
          <t>Modern luxury finca for sale in an exclusive location near Petra, Mallorca</t>
        </is>
      </c>
      <c r="C6512" t="inlineStr">
        <is>
          <t>https://www.balearic-properties.com/en/property/id/805541-finca-modern-luxury-petra-html</t>
        </is>
      </c>
      <c r="E6512" t="n">
        <v>6</v>
      </c>
      <c r="G6512" t="n">
        <v>14000</v>
      </c>
      <c r="H6512" t="n">
        <v>700</v>
      </c>
      <c r="J6512" t="inlineStr">
        <is>
          <t>Petra</t>
        </is>
      </c>
      <c r="K6512" t="n">
        <v>45.9</v>
      </c>
      <c r="L6512" t="n">
        <v>42</v>
      </c>
      <c r="M6512" t="n">
        <v>41.3</v>
      </c>
      <c r="N6512" t="n">
        <v>45</v>
      </c>
      <c r="O6512" t="n">
        <v>84</v>
      </c>
      <c r="P6512" t="n">
        <v>66</v>
      </c>
      <c r="Q6512" t="n">
        <v>39</v>
      </c>
      <c r="R6512" t="n">
        <v>41</v>
      </c>
      <c r="AH6512" t="inlineStr">
        <is>
          <t>Quelle: Balearic Properties</t>
        </is>
      </c>
    </row>
    <row r="6513">
      <c r="A6513" t="n">
        <v>6326</v>
      </c>
      <c r="B6513" t="inlineStr">
        <is>
          <t>Attractive villa for sale just 100m from the sea in Alcudia, Mallorca</t>
        </is>
      </c>
      <c r="C6513" t="inlineStr">
        <is>
          <t>https://www.balearic-properties.com/en/property/id/804220-villa-near-sea-alcudia-html</t>
        </is>
      </c>
      <c r="E6513" t="n">
        <v>3</v>
      </c>
      <c r="G6513" t="n">
        <v>518</v>
      </c>
      <c r="H6513" t="n">
        <v>205</v>
      </c>
      <c r="J6513" t="inlineStr">
        <is>
          <t>Sa Marina</t>
        </is>
      </c>
      <c r="AH6513" t="inlineStr">
        <is>
          <t>Quelle: Balearic Properties</t>
        </is>
      </c>
    </row>
    <row r="6514">
      <c r="A6514" t="n">
        <v>6327</v>
      </c>
      <c r="B6514" t="inlineStr">
        <is>
          <t>A great investment opportunity for sale in the very centre of Deia, Mallorca</t>
        </is>
      </c>
      <c r="C6514" t="inlineStr">
        <is>
          <t>https://www.balearic-properties.com/en/property/id/805095-investment-opportunity-apartment-centre-deia-html</t>
        </is>
      </c>
      <c r="E6514" t="n">
        <v>2</v>
      </c>
      <c r="G6514" t="n">
        <v>0</v>
      </c>
      <c r="H6514" t="n">
        <v>110</v>
      </c>
      <c r="J6514" t="inlineStr">
        <is>
          <t>Deià</t>
        </is>
      </c>
      <c r="AH6514" t="inlineStr">
        <is>
          <t>Quelle: Balearic Properties</t>
        </is>
      </c>
    </row>
    <row r="6515">
      <c r="A6515" t="n">
        <v>6328</v>
      </c>
      <c r="B6515" t="inlineStr">
        <is>
          <t>Frontline apartment for sale in Puerto Pollensa, Mallorca</t>
        </is>
      </c>
      <c r="C6515" t="inlineStr">
        <is>
          <t>https://www.balearic-properties.com/en/property/id/801925-puerto-pollensa-frontline-apartment-html</t>
        </is>
      </c>
      <c r="E6515" t="n">
        <v>5</v>
      </c>
      <c r="G6515" t="n">
        <v>0</v>
      </c>
      <c r="H6515" t="n">
        <v>255</v>
      </c>
      <c r="J6515" t="inlineStr">
        <is>
          <t>Port de Pollença</t>
        </is>
      </c>
      <c r="K6515" t="n">
        <v>66.90000000000001</v>
      </c>
      <c r="L6515" t="n">
        <v>52</v>
      </c>
      <c r="M6515" t="n">
        <v>85</v>
      </c>
      <c r="N6515" t="n">
        <v>78</v>
      </c>
      <c r="O6515" t="n">
        <v>89.5</v>
      </c>
      <c r="P6515" t="n">
        <v>68</v>
      </c>
      <c r="Q6515" t="n">
        <v>82.7</v>
      </c>
      <c r="R6515" t="n">
        <v>75</v>
      </c>
      <c r="S6515" t="n">
        <v>1950000</v>
      </c>
      <c r="T6515" t="n">
        <v>7647</v>
      </c>
      <c r="AH6515" t="inlineStr">
        <is>
          <t>Quelle: Balearic Properties</t>
        </is>
      </c>
    </row>
    <row r="6516">
      <c r="A6516" t="n">
        <v>6329</v>
      </c>
      <c r="B6516" t="inlineStr">
        <is>
          <t>Brand new apartment with sea views for sale in Bonanova, Mallorca</t>
        </is>
      </c>
      <c r="C6516" t="inlineStr">
        <is>
          <t>https://www.balearic-properties.com/en/property/id/804876-modern-new-apartment-palma-html</t>
        </is>
      </c>
      <c r="E6516" t="n">
        <v>3</v>
      </c>
      <c r="G6516" t="n">
        <v>0</v>
      </c>
      <c r="H6516" t="n">
        <v>132</v>
      </c>
      <c r="J6516" t="inlineStr">
        <is>
          <t>Palma de Mallorca</t>
        </is>
      </c>
      <c r="AH6516" t="inlineStr">
        <is>
          <t>Quelle: Balearic Properties</t>
        </is>
      </c>
    </row>
    <row r="6517">
      <c r="A6517" t="n">
        <v>6330</v>
      </c>
      <c r="B6517" t="inlineStr">
        <is>
          <t>Grand manor house for sale, walking distance from Alaró, Mallorca</t>
        </is>
      </c>
      <c r="C6517" t="inlineStr">
        <is>
          <t>https://www.balearic-properties.com/en/property/id/804531-manor-house-large-plot-alaro-mallorca-html</t>
        </is>
      </c>
      <c r="E6517" t="n">
        <v>11</v>
      </c>
      <c r="G6517" t="n">
        <v>940000</v>
      </c>
      <c r="H6517" t="n">
        <v>1500</v>
      </c>
      <c r="J6517" t="inlineStr">
        <is>
          <t>Alaró</t>
        </is>
      </c>
      <c r="K6517" t="n">
        <v>33.4</v>
      </c>
      <c r="L6517" t="n">
        <v>33</v>
      </c>
      <c r="M6517" t="n">
        <v>76.09999999999999</v>
      </c>
      <c r="N6517" t="n">
        <v>66</v>
      </c>
      <c r="O6517" t="n">
        <v>55.9</v>
      </c>
      <c r="P6517" t="n">
        <v>49</v>
      </c>
      <c r="Q6517" t="n">
        <v>73.8</v>
      </c>
      <c r="R6517" t="n">
        <v>62</v>
      </c>
      <c r="S6517" t="n">
        <v>5950000</v>
      </c>
      <c r="T6517" t="n">
        <v>3967</v>
      </c>
      <c r="U6517" t="n">
        <v>6</v>
      </c>
      <c r="AH6517" t="inlineStr">
        <is>
          <t>Quelle: Balearic Properties</t>
        </is>
      </c>
    </row>
    <row r="6518">
      <c r="A6518" t="n">
        <v>6331</v>
      </c>
      <c r="B6518" t="inlineStr">
        <is>
          <t>Enchanting town house with pool for sale in Pollensa, Mallorca</t>
        </is>
      </c>
      <c r="C6518" t="inlineStr">
        <is>
          <t>https://www.balearic-properties.com/en/property/id/804010-townhouse-pool-pollensa-html</t>
        </is>
      </c>
      <c r="E6518" t="n">
        <v>3</v>
      </c>
      <c r="G6518" t="n">
        <v>300</v>
      </c>
      <c r="H6518" t="n">
        <v>142</v>
      </c>
      <c r="J6518" t="inlineStr">
        <is>
          <t>Pollença</t>
        </is>
      </c>
      <c r="AH6518" t="inlineStr">
        <is>
          <t>Quelle: Balearic Properties</t>
        </is>
      </c>
    </row>
    <row r="6519">
      <c r="A6519" t="n">
        <v>6332</v>
      </c>
      <c r="B6519" t="inlineStr">
        <is>
          <t>Frontline villa for sale with optional mooring in Portals Vells, Mallorca</t>
        </is>
      </c>
      <c r="C6519" t="inlineStr">
        <is>
          <t>https://www.balearic-properties.com/en/property/id/803729-frontline-villa-portals-vells-calvia-html</t>
        </is>
      </c>
      <c r="E6519" t="n">
        <v>3</v>
      </c>
      <c r="G6519" t="n">
        <v>350</v>
      </c>
      <c r="H6519" t="n">
        <v>230</v>
      </c>
      <c r="J6519" t="inlineStr">
        <is>
          <t>Portals Vells</t>
        </is>
      </c>
      <c r="AH6519" t="inlineStr">
        <is>
          <t>Quelle: Balearic Properties</t>
        </is>
      </c>
    </row>
    <row r="6520">
      <c r="A6520" t="n">
        <v>6333</v>
      </c>
      <c r="B6520" t="inlineStr">
        <is>
          <t>Brand new villa for sale in the sought-after area Bonaire, Mallorca</t>
        </is>
      </c>
      <c r="C6520" t="inlineStr">
        <is>
          <t>https://www.balearic-properties.com/en/property/id/793570-new-sea-view-villa-bonaire-html</t>
        </is>
      </c>
      <c r="E6520" t="n">
        <v>4</v>
      </c>
      <c r="G6520" t="n">
        <v>380</v>
      </c>
      <c r="H6520" t="n">
        <v>0</v>
      </c>
      <c r="J6520" t="inlineStr">
        <is>
          <t>Bonaire</t>
        </is>
      </c>
      <c r="S6520" t="n">
        <v>810000</v>
      </c>
      <c r="U6520" t="n">
        <v>2132</v>
      </c>
      <c r="AH6520" t="inlineStr">
        <is>
          <t>Quelle: Balearic Properties</t>
        </is>
      </c>
    </row>
    <row r="6521">
      <c r="A6521" t="n">
        <v>6334</v>
      </c>
      <c r="B6521" t="inlineStr">
        <is>
          <t>Frontline apartment with sea views for sale in Palmanova, Mallorca</t>
        </is>
      </c>
      <c r="C6521" t="inlineStr">
        <is>
          <t>https://www.balearic-properties.com/en/property/id/803730-front-line-apartment-sea-views-html</t>
        </is>
      </c>
      <c r="E6521" t="n">
        <v>2</v>
      </c>
      <c r="G6521" t="n">
        <v>0</v>
      </c>
      <c r="H6521" t="n">
        <v>117</v>
      </c>
      <c r="J6521" t="inlineStr">
        <is>
          <t>Palmanova</t>
        </is>
      </c>
      <c r="AH6521" t="inlineStr">
        <is>
          <t>Quelle: Balearic Properties</t>
        </is>
      </c>
    </row>
    <row r="6522">
      <c r="A6522" t="n">
        <v>6335</v>
      </c>
      <c r="B6522" t="inlineStr">
        <is>
          <t>Fantastic Mallorcan finca for sale in the hills near Felanitx, Mallorca</t>
        </is>
      </c>
      <c r="C6522" t="inlineStr">
        <is>
          <t>https://www.balearic-properties.com/en/property/id/804075-luxury-finca-felanitx-html</t>
        </is>
      </c>
      <c r="E6522" t="n">
        <v>4</v>
      </c>
      <c r="G6522" t="n">
        <v>76000</v>
      </c>
      <c r="H6522" t="n">
        <v>640</v>
      </c>
      <c r="J6522" t="inlineStr">
        <is>
          <t>Felanitx</t>
        </is>
      </c>
      <c r="AH6522" t="inlineStr">
        <is>
          <t>Quelle: Balearic Properties</t>
        </is>
      </c>
    </row>
    <row r="6523">
      <c r="A6523" t="n">
        <v>6336</v>
      </c>
      <c r="B6523" t="inlineStr">
        <is>
          <t>Traditional farmhouse on a huge scale for sale in Alaro, Mallorca</t>
        </is>
      </c>
      <c r="C6523" t="inlineStr">
        <is>
          <t>https://www.balearic-properties.com/en/property/id/803966-huge-estate-alaro-html</t>
        </is>
      </c>
      <c r="E6523" t="n">
        <v>10</v>
      </c>
      <c r="G6523" t="n">
        <v>1475711</v>
      </c>
      <c r="H6523" t="n">
        <v>1808</v>
      </c>
      <c r="J6523" t="inlineStr">
        <is>
          <t>Alaró</t>
        </is>
      </c>
      <c r="K6523" t="n">
        <v>33.4</v>
      </c>
      <c r="L6523" t="n">
        <v>33</v>
      </c>
      <c r="M6523" t="n">
        <v>76.09999999999999</v>
      </c>
      <c r="N6523" t="n">
        <v>66</v>
      </c>
      <c r="O6523" t="n">
        <v>55.9</v>
      </c>
      <c r="P6523" t="n">
        <v>49</v>
      </c>
      <c r="Q6523" t="n">
        <v>73.8</v>
      </c>
      <c r="R6523" t="n">
        <v>62</v>
      </c>
      <c r="AH6523" t="inlineStr">
        <is>
          <t>Quelle: Balearic Properties</t>
        </is>
      </c>
    </row>
    <row r="6524">
      <c r="A6524" t="n">
        <v>6337</v>
      </c>
      <c r="B6524" t="inlineStr">
        <is>
          <t>Ultra-modern villa for sale in Alcúdia, Mallorca</t>
        </is>
      </c>
      <c r="C6524" t="inlineStr">
        <is>
          <t>https://www.balearic-properties.com/en/property/id/774142-luxury-villa-bonaire-html</t>
        </is>
      </c>
      <c r="E6524" t="n">
        <v>6</v>
      </c>
      <c r="G6524" t="n">
        <v>1943</v>
      </c>
      <c r="H6524" t="n">
        <v>687</v>
      </c>
      <c r="J6524" t="inlineStr">
        <is>
          <t>Bonaire</t>
        </is>
      </c>
      <c r="K6524" t="n">
        <v>64.40000000000001</v>
      </c>
      <c r="L6524" t="n">
        <v>54</v>
      </c>
      <c r="M6524" t="n">
        <v>82.5</v>
      </c>
      <c r="N6524" t="n">
        <v>80</v>
      </c>
      <c r="O6524" t="n">
        <v>87</v>
      </c>
      <c r="P6524" t="n">
        <v>70</v>
      </c>
      <c r="Q6524" t="n">
        <v>80.2</v>
      </c>
      <c r="R6524" t="n">
        <v>77</v>
      </c>
      <c r="AH6524" t="inlineStr">
        <is>
          <t>Quelle: Balearic Properties</t>
        </is>
      </c>
    </row>
    <row r="6525">
      <c r="A6525" t="n">
        <v>6338</v>
      </c>
      <c r="B6525" t="inlineStr">
        <is>
          <t>Stunning villa with views of Palma Bay for sale in Costa d`en Blanes, Mallorca</t>
        </is>
      </c>
      <c r="C6525" t="inlineStr">
        <is>
          <t>https://www.balearic-properties.com/en/property/id/795298-stunning-villa-views-of-palma-bay-costa-den-blanes-html</t>
        </is>
      </c>
      <c r="E6525" t="n">
        <v>6</v>
      </c>
      <c r="G6525" t="n">
        <v>1000</v>
      </c>
      <c r="H6525" t="n">
        <v>600</v>
      </c>
      <c r="J6525" t="inlineStr">
        <is>
          <t>Costa D´en Blanes</t>
        </is>
      </c>
      <c r="K6525" t="n">
        <v>23.3</v>
      </c>
      <c r="L6525" t="n">
        <v>21</v>
      </c>
      <c r="M6525" t="n">
        <v>66.09999999999999</v>
      </c>
      <c r="N6525" t="n">
        <v>54</v>
      </c>
      <c r="O6525" t="n">
        <v>21</v>
      </c>
      <c r="P6525" t="n">
        <v>21</v>
      </c>
      <c r="Q6525" t="n">
        <v>63.8</v>
      </c>
      <c r="R6525" t="n">
        <v>51</v>
      </c>
      <c r="AH6525" t="inlineStr">
        <is>
          <t>Quelle: Balearic Properties</t>
        </is>
      </c>
    </row>
    <row r="6526">
      <c r="A6526" t="n">
        <v>6339</v>
      </c>
      <c r="B6526" t="inlineStr">
        <is>
          <t>Front line luxury villa for sale in Bon Aire, Mallorca</t>
        </is>
      </c>
      <c r="C6526" t="inlineStr">
        <is>
          <t>https://www.balearic-properties.com/en/property/id/723528-frontline-beach-bonaire-html</t>
        </is>
      </c>
      <c r="E6526" t="n">
        <v>7</v>
      </c>
      <c r="G6526" t="n">
        <v>1046</v>
      </c>
      <c r="H6526" t="n">
        <v>465</v>
      </c>
      <c r="J6526" t="inlineStr">
        <is>
          <t>Mal Pas</t>
        </is>
      </c>
      <c r="K6526" t="n">
        <v>63.3</v>
      </c>
      <c r="L6526" t="n">
        <v>51</v>
      </c>
      <c r="M6526" t="n">
        <v>81.40000000000001</v>
      </c>
      <c r="N6526" t="n">
        <v>78</v>
      </c>
      <c r="O6526" t="n">
        <v>85.90000000000001</v>
      </c>
      <c r="P6526" t="n">
        <v>67</v>
      </c>
      <c r="Q6526" t="n">
        <v>79.09999999999999</v>
      </c>
      <c r="R6526" t="n">
        <v>74</v>
      </c>
      <c r="AH6526" t="inlineStr">
        <is>
          <t>Quelle: Balearic Properties</t>
        </is>
      </c>
    </row>
    <row r="6527">
      <c r="A6527" t="n">
        <v>6340</v>
      </c>
      <c r="B6527" t="inlineStr">
        <is>
          <t>Town house investment opportunity for sale in Pollensa, Mallorca</t>
        </is>
      </c>
      <c r="C6527" t="inlineStr">
        <is>
          <t>https://www.balearic-properties.com/en/property/id/803145-property-investment-renovation-pollensa-html</t>
        </is>
      </c>
      <c r="E6527" t="n">
        <v>4</v>
      </c>
      <c r="G6527" t="n">
        <v>192</v>
      </c>
      <c r="H6527" t="n">
        <v>256</v>
      </c>
      <c r="J6527" t="inlineStr">
        <is>
          <t>Pollença</t>
        </is>
      </c>
      <c r="S6527" t="n">
        <v>395000</v>
      </c>
      <c r="T6527" t="n">
        <v>1543</v>
      </c>
      <c r="U6527" t="n">
        <v>2057</v>
      </c>
      <c r="AH6527" t="inlineStr">
        <is>
          <t>Quelle: Balearic Properties</t>
        </is>
      </c>
    </row>
    <row r="6528">
      <c r="A6528" t="n">
        <v>6341</v>
      </c>
      <c r="B6528" t="inlineStr">
        <is>
          <t>Designer hillside villa for sale only 15 minutes from Palma, Mallorca</t>
        </is>
      </c>
      <c r="C6528" t="inlineStr">
        <is>
          <t>https://www.balearic-properties.com/en/property/id/781129-luxury-villa-bunyola-mallorca-html</t>
        </is>
      </c>
      <c r="E6528" t="n">
        <v>4</v>
      </c>
      <c r="G6528" t="n">
        <v>992</v>
      </c>
      <c r="H6528" t="n">
        <v>302</v>
      </c>
      <c r="J6528" t="inlineStr">
        <is>
          <t>Bunyola</t>
        </is>
      </c>
      <c r="AH6528" t="inlineStr">
        <is>
          <t>Quelle: Balearic Properties</t>
        </is>
      </c>
    </row>
    <row r="6529">
      <c r="A6529" t="n">
        <v>6342</v>
      </c>
      <c r="B6529" t="inlineStr">
        <is>
          <t>Newly built, sea view apartment for sale in Bonanova, Mallorca</t>
        </is>
      </c>
      <c r="C6529" t="inlineStr">
        <is>
          <t>https://www.balearic-properties.com/en/property/id/802497-modern-apartment-palma-html</t>
        </is>
      </c>
      <c r="E6529" t="n">
        <v>3</v>
      </c>
      <c r="G6529" t="n">
        <v>0</v>
      </c>
      <c r="H6529" t="n">
        <v>132</v>
      </c>
      <c r="J6529" t="inlineStr">
        <is>
          <t>Palma de Mallorca</t>
        </is>
      </c>
      <c r="AH6529" t="inlineStr">
        <is>
          <t>Quelle: Balearic Properties</t>
        </is>
      </c>
    </row>
    <row r="6530">
      <c r="A6530" t="n">
        <v>6343</v>
      </c>
      <c r="B6530" t="inlineStr">
        <is>
          <t>Huge townhouse with excellent prospects for sale in the centre of Campanet, Mallorca</t>
        </is>
      </c>
      <c r="C6530" t="inlineStr">
        <is>
          <t>https://www.balearic-properties.com/en/property/id/766635-huge-townhouse-renovation-campanet-html</t>
        </is>
      </c>
      <c r="E6530" t="n">
        <v>5</v>
      </c>
      <c r="G6530" t="n">
        <v>142</v>
      </c>
      <c r="H6530" t="n">
        <v>455</v>
      </c>
      <c r="J6530" t="inlineStr">
        <is>
          <t>Campanet</t>
        </is>
      </c>
      <c r="K6530" t="n">
        <v>46.9</v>
      </c>
      <c r="L6530" t="n">
        <v>38</v>
      </c>
      <c r="M6530" t="n">
        <v>65</v>
      </c>
      <c r="N6530" t="n">
        <v>65</v>
      </c>
      <c r="O6530" t="n">
        <v>69.5</v>
      </c>
      <c r="P6530" t="n">
        <v>54</v>
      </c>
      <c r="Q6530" t="n">
        <v>62.7</v>
      </c>
      <c r="R6530" t="n">
        <v>61</v>
      </c>
      <c r="AH6530" t="inlineStr">
        <is>
          <t>Quelle: Balearic Properties</t>
        </is>
      </c>
    </row>
    <row r="6531">
      <c r="A6531" t="n">
        <v>6344</v>
      </c>
      <c r="B6531" t="inlineStr">
        <is>
          <t>Rustic villa with holiday rental license for sale in Pollensa, Mallorca</t>
        </is>
      </c>
      <c r="C6531" t="inlineStr">
        <is>
          <t>https://www.balearic-properties.com/en/property/id/803326-villa-rental-license-pollensa-html</t>
        </is>
      </c>
      <c r="E6531" t="n">
        <v>3</v>
      </c>
      <c r="G6531" t="n">
        <v>3793</v>
      </c>
      <c r="H6531" t="n">
        <v>241</v>
      </c>
      <c r="J6531" t="inlineStr">
        <is>
          <t>Pollença</t>
        </is>
      </c>
      <c r="AH6531" t="inlineStr">
        <is>
          <t>Quelle: Balearic Properties</t>
        </is>
      </c>
    </row>
    <row r="6532">
      <c r="A6532" t="n">
        <v>6345</v>
      </c>
      <c r="B6532" t="inlineStr">
        <is>
          <t>Charming villa for sale by the sea in Son Serra de Marina, Mallorca</t>
        </is>
      </c>
      <c r="C6532" t="inlineStr">
        <is>
          <t>https://www.balearic-properties.com/en/property/id/803538-seaview-villa-son-serra-de-marina-html</t>
        </is>
      </c>
      <c r="E6532" t="n">
        <v>3</v>
      </c>
      <c r="G6532" t="n">
        <v>600</v>
      </c>
      <c r="H6532" t="n">
        <v>264</v>
      </c>
      <c r="J6532" t="inlineStr">
        <is>
          <t>Son Serra de Marina</t>
        </is>
      </c>
      <c r="AH6532" t="inlineStr">
        <is>
          <t>Quelle: Balearic Properties</t>
        </is>
      </c>
    </row>
    <row r="6533">
      <c r="A6533" t="n">
        <v>6346</v>
      </c>
      <c r="B6533" t="inlineStr">
        <is>
          <t>Grand villa by the sea for sale in Capdepera, Mallorca</t>
        </is>
      </c>
      <c r="C6533" t="inlineStr">
        <is>
          <t>https://www.balearic-properties.com/en/property/id/803021-villa-sea-views-capdepera-html</t>
        </is>
      </c>
      <c r="E6533" t="n">
        <v>9</v>
      </c>
      <c r="G6533" t="n">
        <v>5638</v>
      </c>
      <c r="H6533" t="n">
        <v>755</v>
      </c>
      <c r="J6533" t="inlineStr">
        <is>
          <t>Capdepera</t>
        </is>
      </c>
      <c r="K6533" t="n">
        <v>74.40000000000001</v>
      </c>
      <c r="L6533" t="n">
        <v>63</v>
      </c>
      <c r="M6533" t="n">
        <v>69.8</v>
      </c>
      <c r="N6533" t="n">
        <v>66</v>
      </c>
      <c r="O6533" t="n">
        <v>108.6</v>
      </c>
      <c r="P6533" t="n">
        <v>88</v>
      </c>
      <c r="Q6533" t="n">
        <v>67.5</v>
      </c>
      <c r="R6533" t="n">
        <v>63</v>
      </c>
      <c r="AH6533" t="inlineStr">
        <is>
          <t>Quelle: Balearic Properties</t>
        </is>
      </c>
    </row>
    <row r="6534">
      <c r="A6534" t="n">
        <v>6347</v>
      </c>
      <c r="B6534" t="inlineStr">
        <is>
          <t>Spectacular seafront house for sale in Colonia Sant Jordi, Mallorca</t>
        </is>
      </c>
      <c r="C6534" t="inlineStr">
        <is>
          <t>https://www.balearic-properties.com/en/property/id/803236-seafront-house-colonia-sant-jordi-html</t>
        </is>
      </c>
      <c r="E6534" t="n">
        <v>10</v>
      </c>
      <c r="G6534" t="n">
        <v>356</v>
      </c>
      <c r="H6534" t="n">
        <v>1200</v>
      </c>
      <c r="J6534" t="inlineStr">
        <is>
          <t>Colònia de Sant Jordi</t>
        </is>
      </c>
      <c r="K6534" t="n">
        <v>46.5</v>
      </c>
      <c r="L6534" t="n">
        <v>41</v>
      </c>
      <c r="M6534" t="n">
        <v>8.199999999999999</v>
      </c>
      <c r="N6534" t="n">
        <v>12</v>
      </c>
      <c r="O6534" t="n">
        <v>84.7</v>
      </c>
      <c r="P6534" t="n">
        <v>68</v>
      </c>
      <c r="Q6534" t="n">
        <v>7.4</v>
      </c>
      <c r="R6534" t="n">
        <v>10</v>
      </c>
      <c r="AH6534" t="inlineStr">
        <is>
          <t>Quelle: Balearic Properties</t>
        </is>
      </c>
    </row>
    <row r="6535">
      <c r="A6535" t="n">
        <v>6348</v>
      </c>
      <c r="B6535" t="inlineStr">
        <is>
          <t>Sea view town house for sale in Cas Catala, Mallorca</t>
        </is>
      </c>
      <c r="C6535" t="inlineStr">
        <is>
          <t>https://www.balearic-properties.com/en/property/id/803099-townhouse-sea-views-cas-catala-html</t>
        </is>
      </c>
      <c r="E6535" t="n">
        <v>5</v>
      </c>
      <c r="G6535" t="n">
        <v>0</v>
      </c>
      <c r="H6535" t="n">
        <v>296</v>
      </c>
      <c r="J6535" t="inlineStr">
        <is>
          <t>Cas Català</t>
        </is>
      </c>
      <c r="K6535" t="n">
        <v>20</v>
      </c>
      <c r="L6535" t="n">
        <v>22</v>
      </c>
      <c r="M6535" t="n">
        <v>62.8</v>
      </c>
      <c r="N6535" t="n">
        <v>55</v>
      </c>
      <c r="O6535" t="n">
        <v>23.7</v>
      </c>
      <c r="P6535" t="n">
        <v>23</v>
      </c>
      <c r="Q6535" t="n">
        <v>60.5</v>
      </c>
      <c r="R6535" t="n">
        <v>51</v>
      </c>
      <c r="AH6535" t="inlineStr">
        <is>
          <t>Quelle: Balearic Properties</t>
        </is>
      </c>
    </row>
    <row r="6536">
      <c r="A6536" t="n">
        <v>6349</v>
      </c>
      <c r="B6536" t="inlineStr">
        <is>
          <t>Modern duplex apartment for sale in Cala Vinyes, Mallorca</t>
        </is>
      </c>
      <c r="C6536" t="inlineStr">
        <is>
          <t>https://www.balearic-properties.com/en/property/id/803147-duplex-cala-vinyes-html</t>
        </is>
      </c>
      <c r="E6536" t="n">
        <v>3</v>
      </c>
      <c r="G6536" t="n">
        <v>0</v>
      </c>
      <c r="H6536" t="n">
        <v>160</v>
      </c>
      <c r="J6536" t="inlineStr">
        <is>
          <t>Cala Vinyes</t>
        </is>
      </c>
      <c r="AH6536" t="inlineStr">
        <is>
          <t>Quelle: Balearic Properties</t>
        </is>
      </c>
    </row>
    <row r="6537">
      <c r="A6537" t="n">
        <v>6350</v>
      </c>
      <c r="B6537" t="inlineStr">
        <is>
          <t>Modern sea view villa for sale in Bendinat, Mallorca</t>
        </is>
      </c>
      <c r="C6537" t="inlineStr">
        <is>
          <t>https://www.balearic-properties.com/en/property/id/799154-sea-view-villa-bendinat-html</t>
        </is>
      </c>
      <c r="E6537" t="n">
        <v>3</v>
      </c>
      <c r="G6537" t="n">
        <v>1124</v>
      </c>
      <c r="H6537" t="n">
        <v>470000</v>
      </c>
      <c r="J6537" t="inlineStr">
        <is>
          <t>Bendinat</t>
        </is>
      </c>
      <c r="K6537" t="n">
        <v>23.1</v>
      </c>
      <c r="L6537" t="n">
        <v>22</v>
      </c>
      <c r="M6537" t="n">
        <v>65.8</v>
      </c>
      <c r="N6537" t="n">
        <v>55</v>
      </c>
      <c r="O6537" t="n">
        <v>23.2</v>
      </c>
      <c r="P6537" t="n">
        <v>23</v>
      </c>
      <c r="Q6537" t="n">
        <v>63.5</v>
      </c>
      <c r="R6537" t="n">
        <v>51</v>
      </c>
      <c r="S6537" t="n">
        <v>3700000</v>
      </c>
      <c r="T6537" t="n">
        <v>8</v>
      </c>
      <c r="U6537" t="n">
        <v>3292</v>
      </c>
      <c r="AH6537" t="inlineStr">
        <is>
          <t>Quelle: Balearic Properties</t>
        </is>
      </c>
    </row>
    <row r="6538">
      <c r="A6538" t="n">
        <v>6351</v>
      </c>
      <c r="B6538" t="inlineStr">
        <is>
          <t>Fabulous apartment for sale in the centre of Palma, Mallorca</t>
        </is>
      </c>
      <c r="C6538" t="inlineStr">
        <is>
          <t>https://www.balearic-properties.com/en/property/id/802668-apartment-central-palma-html</t>
        </is>
      </c>
      <c r="E6538" t="n">
        <v>1</v>
      </c>
      <c r="G6538" t="n">
        <v>0</v>
      </c>
      <c r="H6538" t="n">
        <v>100</v>
      </c>
      <c r="J6538" t="inlineStr">
        <is>
          <t>Palma Casco Antiguo</t>
        </is>
      </c>
      <c r="S6538" t="n">
        <v>575000</v>
      </c>
      <c r="T6538" t="n">
        <v>5750</v>
      </c>
      <c r="AH6538" t="inlineStr">
        <is>
          <t>Quelle: Balearic Properties</t>
        </is>
      </c>
    </row>
    <row r="6539">
      <c r="A6539" t="n">
        <v>6352</v>
      </c>
      <c r="B6539" t="inlineStr">
        <is>
          <t>Luxurious new apartment for sale in the centre of Palma, Mallorca</t>
        </is>
      </c>
      <c r="C6539" t="inlineStr">
        <is>
          <t>https://www.balearic-properties.com/en/property/id/802669-luxury-apartment-palma-html</t>
        </is>
      </c>
      <c r="E6539" t="n">
        <v>2</v>
      </c>
      <c r="G6539" t="n">
        <v>0</v>
      </c>
      <c r="H6539" t="n">
        <v>0</v>
      </c>
      <c r="J6539" t="inlineStr">
        <is>
          <t>Palma Casco Antiguo</t>
        </is>
      </c>
      <c r="AH6539" t="inlineStr">
        <is>
          <t>Quelle: Balearic Properties</t>
        </is>
      </c>
    </row>
    <row r="6540">
      <c r="A6540" t="n">
        <v>6353</v>
      </c>
      <c r="B6540" t="inlineStr">
        <is>
          <t>Lavish new apartment for sale in the heart of Palma, Mallorca</t>
        </is>
      </c>
      <c r="C6540" t="inlineStr">
        <is>
          <t>https://www.balearic-properties.com/en/property/id/802670-lavish-apartment-palma-html</t>
        </is>
      </c>
      <c r="E6540" t="n">
        <v>2</v>
      </c>
      <c r="G6540" t="n">
        <v>0</v>
      </c>
      <c r="H6540" t="n">
        <v>0</v>
      </c>
      <c r="J6540" t="inlineStr">
        <is>
          <t>Palma Casco Antiguo</t>
        </is>
      </c>
      <c r="AH6540" t="inlineStr">
        <is>
          <t>Quelle: Balearic Properties</t>
        </is>
      </c>
    </row>
    <row r="6541">
      <c r="A6541" t="n">
        <v>6354</v>
      </c>
      <c r="B6541" t="inlineStr">
        <is>
          <t>New penthouse for sale in the centre of Palma, Mallorca</t>
        </is>
      </c>
      <c r="C6541" t="inlineStr">
        <is>
          <t>https://www.balearic-properties.com/en/property/id/802671-luxury-penthouse-palma-html</t>
        </is>
      </c>
      <c r="E6541" t="n">
        <v>3</v>
      </c>
      <c r="G6541" t="n">
        <v>0</v>
      </c>
      <c r="H6541" t="n">
        <v>0</v>
      </c>
      <c r="J6541" t="inlineStr">
        <is>
          <t>Palma Casco Antiguo</t>
        </is>
      </c>
      <c r="AH6541" t="inlineStr">
        <is>
          <t>Quelle: Balearic Properties</t>
        </is>
      </c>
    </row>
    <row r="6542">
      <c r="A6542" t="n">
        <v>6355</v>
      </c>
      <c r="B6542" t="inlineStr">
        <is>
          <t>Super villa for sale close to the beach in Cala San Vicente, Mallorca</t>
        </is>
      </c>
      <c r="C6542" t="inlineStr">
        <is>
          <t>https://www.balearic-properties.com/en/property/id/526964-mallorca-villa-cala-san-vicente-html</t>
        </is>
      </c>
      <c r="E6542" t="n">
        <v>4</v>
      </c>
      <c r="G6542" t="n">
        <v>432</v>
      </c>
      <c r="H6542" t="n">
        <v>205</v>
      </c>
      <c r="J6542" t="inlineStr">
        <is>
          <t>Pollença</t>
        </is>
      </c>
      <c r="AH6542" t="inlineStr">
        <is>
          <t>Quelle: Balearic Properties</t>
        </is>
      </c>
    </row>
    <row r="6543">
      <c r="A6543" t="n">
        <v>6356</v>
      </c>
      <c r="B6543" t="inlineStr">
        <is>
          <t>Duplex apartment for sale near the beach in Puerto Pollensa, Mallorca</t>
        </is>
      </c>
      <c r="C6543" t="inlineStr">
        <is>
          <t>https://www.balearic-properties.com/en/property/id/801935-duplex-beach-pollensa-html</t>
        </is>
      </c>
      <c r="E6543" t="n">
        <v>4</v>
      </c>
      <c r="G6543" t="n">
        <v>0</v>
      </c>
      <c r="H6543" t="n">
        <v>140</v>
      </c>
      <c r="J6543" t="inlineStr">
        <is>
          <t>Port de Pollença</t>
        </is>
      </c>
      <c r="AH6543" t="inlineStr">
        <is>
          <t>Quelle: Balearic Properties</t>
        </is>
      </c>
    </row>
    <row r="6544">
      <c r="A6544" t="n">
        <v>6357</v>
      </c>
      <c r="B6544" t="inlineStr">
        <is>
          <t>Newly built townhouse for sale in Santa Catalina, Palma de Mallorca</t>
        </is>
      </c>
      <c r="C6544" t="inlineStr">
        <is>
          <t>https://www.balearic-properties.com/en/property/id/798459-townhouse-santa-catalina-html</t>
        </is>
      </c>
      <c r="E6544" t="n">
        <v>6</v>
      </c>
      <c r="G6544" t="n">
        <v>123</v>
      </c>
      <c r="H6544" t="n">
        <v>329</v>
      </c>
      <c r="J6544" t="inlineStr">
        <is>
          <t>Palma de Mallorca</t>
        </is>
      </c>
      <c r="K6544" t="n">
        <v>9.699999999999999</v>
      </c>
      <c r="L6544" t="n">
        <v>14</v>
      </c>
      <c r="M6544" t="n">
        <v>52.5</v>
      </c>
      <c r="N6544" t="n">
        <v>47</v>
      </c>
      <c r="O6544" t="n">
        <v>32.1</v>
      </c>
      <c r="P6544" t="n">
        <v>36</v>
      </c>
      <c r="Q6544" t="n">
        <v>50.2</v>
      </c>
      <c r="R6544" t="n">
        <v>44</v>
      </c>
      <c r="S6544" t="n">
        <v>1850000</v>
      </c>
      <c r="T6544" t="n">
        <v>5623</v>
      </c>
      <c r="U6544" t="n">
        <v>15041</v>
      </c>
      <c r="AH6544" t="inlineStr">
        <is>
          <t>Quelle: Balearic Properties</t>
        </is>
      </c>
    </row>
    <row r="6545">
      <c r="A6545" t="n">
        <v>6358</v>
      </c>
      <c r="B6545" t="inlineStr">
        <is>
          <t>Stunning Mallorcan style country home with fantastic views for sale in Deia</t>
        </is>
      </c>
      <c r="C6545" t="inlineStr">
        <is>
          <t>https://www.balearic-properties.com/en/property/id/778682-finca-luxury-deia-html</t>
        </is>
      </c>
      <c r="E6545" t="n">
        <v>6</v>
      </c>
      <c r="G6545" t="n">
        <v>6100</v>
      </c>
      <c r="H6545" t="n">
        <v>869</v>
      </c>
      <c r="J6545" t="inlineStr">
        <is>
          <t>Deià</t>
        </is>
      </c>
      <c r="K6545" t="n">
        <v>37.1</v>
      </c>
      <c r="L6545" t="n">
        <v>45</v>
      </c>
      <c r="M6545" t="n">
        <v>79.90000000000001</v>
      </c>
      <c r="N6545" t="n">
        <v>78</v>
      </c>
      <c r="O6545" t="n">
        <v>55.4</v>
      </c>
      <c r="P6545" t="n">
        <v>57</v>
      </c>
      <c r="Q6545" t="n">
        <v>77.5</v>
      </c>
      <c r="R6545" t="n">
        <v>74</v>
      </c>
      <c r="AH6545" t="inlineStr">
        <is>
          <t>Quelle: Balearic Properties</t>
        </is>
      </c>
    </row>
    <row r="6546">
      <c r="A6546" t="n">
        <v>6359</v>
      </c>
      <c r="B6546" t="inlineStr">
        <is>
          <t>Residential complex of villas with sea view for sale in Colonia San Pere, Mallorca</t>
        </is>
      </c>
      <c r="C6546" t="inlineStr">
        <is>
          <t>https://www.balearic-properties.com/en/property/id/792373-villa-colonia-san-pere-html</t>
        </is>
      </c>
      <c r="E6546" t="n">
        <v>3</v>
      </c>
      <c r="G6546" t="n">
        <v>271</v>
      </c>
      <c r="H6546" t="n">
        <v>338</v>
      </c>
      <c r="J6546" t="inlineStr">
        <is>
          <t>Colònia de Sant Pere</t>
        </is>
      </c>
      <c r="AH6546" t="inlineStr">
        <is>
          <t>Quelle: Balearic Properties</t>
        </is>
      </c>
    </row>
    <row r="6547">
      <c r="A6547" t="n">
        <v>6360</v>
      </c>
      <c r="B6547" t="inlineStr">
        <is>
          <t>Frontline modern villa with views for sale in Canyamel, Mallorca</t>
        </is>
      </c>
      <c r="C6547" t="inlineStr">
        <is>
          <t>https://www.balearic-properties.com/en/property/id/722232-frontline-villa-canyamel-html</t>
        </is>
      </c>
      <c r="E6547" t="n">
        <v>5</v>
      </c>
      <c r="G6547" t="n">
        <v>1305</v>
      </c>
      <c r="H6547" t="n">
        <v>467</v>
      </c>
      <c r="J6547" t="inlineStr">
        <is>
          <t>Canyamel</t>
        </is>
      </c>
      <c r="K6547" t="n">
        <v>74.7</v>
      </c>
      <c r="L6547" t="n">
        <v>65</v>
      </c>
      <c r="M6547" t="n">
        <v>70.09999999999999</v>
      </c>
      <c r="N6547" t="n">
        <v>68</v>
      </c>
      <c r="O6547" t="n">
        <v>108.9</v>
      </c>
      <c r="P6547" t="n">
        <v>90</v>
      </c>
      <c r="Q6547" t="n">
        <v>67.8</v>
      </c>
      <c r="R6547" t="n">
        <v>65</v>
      </c>
      <c r="AH6547" t="inlineStr">
        <is>
          <t>Quelle: Balearic Properties</t>
        </is>
      </c>
    </row>
    <row r="6548">
      <c r="A6548" t="n">
        <v>6361</v>
      </c>
      <c r="B6548" t="inlineStr">
        <is>
          <t>Frontline apartment for sale in Palma, Mallorca</t>
        </is>
      </c>
      <c r="C6548" t="inlineStr">
        <is>
          <t>https://www.balearic-properties.com/en/property/id/793278-penthouse-marina-frontline-html</t>
        </is>
      </c>
      <c r="E6548" t="n">
        <v>3</v>
      </c>
      <c r="G6548" t="n">
        <v>0</v>
      </c>
      <c r="H6548" t="n">
        <v>127</v>
      </c>
      <c r="J6548" t="inlineStr">
        <is>
          <t>Palma de Mallorca</t>
        </is>
      </c>
      <c r="AH6548" t="inlineStr">
        <is>
          <t>Quelle: Balearic Properties</t>
        </is>
      </c>
    </row>
    <row r="6549">
      <c r="A6549" t="n">
        <v>6362</v>
      </c>
      <c r="B6549" t="inlineStr">
        <is>
          <t>Renovated town house for sale in Costitx, Mallorca</t>
        </is>
      </c>
      <c r="C6549" t="inlineStr">
        <is>
          <t>https://www.balearic-properties.com/en/property/id/799915-costitx-renovated-townhouse-html</t>
        </is>
      </c>
      <c r="E6549" t="n">
        <v>3</v>
      </c>
      <c r="G6549" t="n">
        <v>0</v>
      </c>
      <c r="H6549" t="n">
        <v>0</v>
      </c>
      <c r="J6549" t="inlineStr">
        <is>
          <t>Costitx</t>
        </is>
      </c>
      <c r="AH6549" t="inlineStr">
        <is>
          <t>Quelle: Balearic Properties</t>
        </is>
      </c>
    </row>
    <row r="6550">
      <c r="A6550" t="n">
        <v>6363</v>
      </c>
      <c r="B6550" t="inlineStr">
        <is>
          <t>One of a kind country home for sale near Porto Colom, Mallorca</t>
        </is>
      </c>
      <c r="C6550" t="inlineStr">
        <is>
          <t>https://www.balearic-properties.com/en/property/id/799481-country-home-porto-colom-html</t>
        </is>
      </c>
      <c r="E6550" t="n">
        <v>4</v>
      </c>
      <c r="G6550" t="n">
        <v>26000</v>
      </c>
      <c r="H6550" t="n">
        <v>444</v>
      </c>
      <c r="J6550" t="inlineStr">
        <is>
          <t>Portocolom</t>
        </is>
      </c>
      <c r="K6550" t="n">
        <v>58.9</v>
      </c>
      <c r="L6550" t="n">
        <v>53</v>
      </c>
      <c r="M6550" t="n">
        <v>24.7</v>
      </c>
      <c r="N6550" t="n">
        <v>34</v>
      </c>
      <c r="O6550" t="n">
        <v>97.09999999999999</v>
      </c>
      <c r="P6550" t="n">
        <v>80</v>
      </c>
      <c r="Q6550" t="n">
        <v>26.2</v>
      </c>
      <c r="R6550" t="n">
        <v>36</v>
      </c>
      <c r="S6550" t="n">
        <v>4200000</v>
      </c>
      <c r="T6550" t="n">
        <v>9459</v>
      </c>
      <c r="U6550" t="n">
        <v>162</v>
      </c>
      <c r="AH6550" t="inlineStr">
        <is>
          <t>Quelle: Balearic Properties</t>
        </is>
      </c>
    </row>
    <row r="6551">
      <c r="A6551" t="n">
        <v>6364</v>
      </c>
      <c r="B6551" t="inlineStr">
        <is>
          <t>Excellent semi-detached townhouse for sale in Palma, Mallorca</t>
        </is>
      </c>
      <c r="C6551" t="inlineStr">
        <is>
          <t>https://www.balearic-properties.com/en/property/id/792402-palma-townhouse-pool-garden-html</t>
        </is>
      </c>
      <c r="E6551" t="n">
        <v>4</v>
      </c>
      <c r="G6551" t="n">
        <v>0</v>
      </c>
      <c r="H6551" t="n">
        <v>240</v>
      </c>
      <c r="J6551" t="inlineStr">
        <is>
          <t>Palma de Mallorca</t>
        </is>
      </c>
      <c r="AH6551" t="inlineStr">
        <is>
          <t>Quelle: Balearic Properties</t>
        </is>
      </c>
    </row>
    <row r="6552">
      <c r="A6552" t="n">
        <v>6365</v>
      </c>
      <c r="B6552" t="inlineStr">
        <is>
          <t>Four bedroom villa with sea views for sale in Nova Santa Ponsa, Mallorca</t>
        </is>
      </c>
      <c r="C6552" t="inlineStr">
        <is>
          <t>https://www.balearic-properties.com/en/property/id/799092-villa-sea-views-santa-ponsa-html</t>
        </is>
      </c>
      <c r="E6552" t="n">
        <v>4</v>
      </c>
      <c r="G6552" t="n">
        <v>926</v>
      </c>
      <c r="H6552" t="n">
        <v>352</v>
      </c>
      <c r="J6552" t="inlineStr">
        <is>
          <t>Santa Ponsa</t>
        </is>
      </c>
      <c r="K6552" t="n">
        <v>31.1</v>
      </c>
      <c r="L6552" t="n">
        <v>28</v>
      </c>
      <c r="M6552" t="n">
        <v>73.90000000000001</v>
      </c>
      <c r="N6552" t="n">
        <v>61</v>
      </c>
      <c r="O6552" t="n">
        <v>15.2</v>
      </c>
      <c r="P6552" t="n">
        <v>19</v>
      </c>
      <c r="Q6552" t="n">
        <v>71.59999999999999</v>
      </c>
      <c r="R6552" t="n">
        <v>57</v>
      </c>
      <c r="S6552" t="n">
        <v>1800000</v>
      </c>
      <c r="T6552" t="n">
        <v>5114</v>
      </c>
      <c r="U6552" t="n">
        <v>1944</v>
      </c>
      <c r="AH6552" t="inlineStr">
        <is>
          <t>Quelle: Balearic Properties</t>
        </is>
      </c>
    </row>
    <row r="6553">
      <c r="A6553" t="n">
        <v>6366</v>
      </c>
      <c r="B6553" t="inlineStr">
        <is>
          <t>Extensive country property for sale in Alaró, Mallorca</t>
        </is>
      </c>
      <c r="C6553" t="inlineStr">
        <is>
          <t>https://www.balearic-properties.com/en/property/id/797126-alaro-agrotourism-finca-html</t>
        </is>
      </c>
      <c r="E6553" t="n">
        <v>11</v>
      </c>
      <c r="G6553" t="n">
        <v>364000</v>
      </c>
      <c r="H6553" t="n">
        <v>1000</v>
      </c>
      <c r="J6553" t="inlineStr">
        <is>
          <t>Alaró</t>
        </is>
      </c>
      <c r="K6553" t="n">
        <v>33.4</v>
      </c>
      <c r="L6553" t="n">
        <v>33</v>
      </c>
      <c r="M6553" t="n">
        <v>76.09999999999999</v>
      </c>
      <c r="N6553" t="n">
        <v>66</v>
      </c>
      <c r="O6553" t="n">
        <v>55.9</v>
      </c>
      <c r="P6553" t="n">
        <v>49</v>
      </c>
      <c r="Q6553" t="n">
        <v>73.8</v>
      </c>
      <c r="R6553" t="n">
        <v>62</v>
      </c>
      <c r="AH6553" t="inlineStr">
        <is>
          <t>Quelle: Balearic Properties</t>
        </is>
      </c>
    </row>
    <row r="6554">
      <c r="A6554" t="n">
        <v>6367</v>
      </c>
      <c r="B6554" t="inlineStr">
        <is>
          <t>Three bedroom villa for sale in a quiet neighbourhood of Pollensa, Mallorca</t>
        </is>
      </c>
      <c r="C6554" t="inlineStr">
        <is>
          <t>https://www.balearic-properties.com/en/property/id/798002-villa-pool-crestatx-pollensa-html</t>
        </is>
      </c>
      <c r="E6554" t="n">
        <v>3</v>
      </c>
      <c r="G6554" t="n">
        <v>2249</v>
      </c>
      <c r="H6554" t="n">
        <v>254</v>
      </c>
      <c r="J6554" t="inlineStr">
        <is>
          <t>Sa Pobla</t>
        </is>
      </c>
      <c r="AH6554" t="inlineStr">
        <is>
          <t>Quelle: Balearic Properties</t>
        </is>
      </c>
    </row>
    <row r="6555">
      <c r="A6555" t="n">
        <v>6368</v>
      </c>
      <c r="B6555" t="inlineStr">
        <is>
          <t>Southwest facing frontline apartment for sale in Portixol, Mallorca</t>
        </is>
      </c>
      <c r="C6555" t="inlineStr">
        <is>
          <t>https://www.balearic-properties.com/en/property/id/798364-sea-front-apartment-portixol-html</t>
        </is>
      </c>
      <c r="E6555" t="n">
        <v>4</v>
      </c>
      <c r="G6555" t="n">
        <v>0</v>
      </c>
      <c r="H6555" t="n">
        <v>221</v>
      </c>
      <c r="J6555" t="inlineStr">
        <is>
          <t>Portixol</t>
        </is>
      </c>
      <c r="K6555" t="n">
        <v>8.5</v>
      </c>
      <c r="L6555" t="n">
        <v>13</v>
      </c>
      <c r="M6555" t="n">
        <v>51.2</v>
      </c>
      <c r="N6555" t="n">
        <v>46</v>
      </c>
      <c r="O6555" t="n">
        <v>37.4</v>
      </c>
      <c r="P6555" t="n">
        <v>34</v>
      </c>
      <c r="Q6555" t="n">
        <v>48.9</v>
      </c>
      <c r="R6555" t="n">
        <v>42</v>
      </c>
      <c r="S6555" t="n">
        <v>2395000</v>
      </c>
      <c r="T6555" t="n">
        <v>10837</v>
      </c>
      <c r="AH6555" t="inlineStr">
        <is>
          <t>Quelle: Balearic Properties</t>
        </is>
      </c>
    </row>
    <row r="6556">
      <c r="A6556" t="n">
        <v>6369</v>
      </c>
      <c r="B6556" t="inlineStr">
        <is>
          <t>Penthouse apartment with city views for sale in Palma, Mallorca</t>
        </is>
      </c>
      <c r="C6556" t="inlineStr">
        <is>
          <t>https://www.balearic-properties.com/en/property/id/798794-palma-penthouse-terrace-html</t>
        </is>
      </c>
      <c r="E6556" t="n">
        <v>4</v>
      </c>
      <c r="G6556" t="n">
        <v>0</v>
      </c>
      <c r="H6556" t="n">
        <v>182</v>
      </c>
      <c r="J6556" t="inlineStr">
        <is>
          <t>Palma City Centre</t>
        </is>
      </c>
      <c r="AH6556" t="inlineStr">
        <is>
          <t>Quelle: Balearic Properties</t>
        </is>
      </c>
    </row>
    <row r="6557">
      <c r="A6557" t="n">
        <v>6370</v>
      </c>
      <c r="B6557" t="inlineStr">
        <is>
          <t>Holiday rental villa with sea views for sale in Gotmar, Puerto Pollensa, Mallorca</t>
        </is>
      </c>
      <c r="C6557" t="inlineStr">
        <is>
          <t>https://www.balearic-properties.com/en/property/id/790575-rental-villa-puerto-pollensa-html</t>
        </is>
      </c>
      <c r="E6557" t="n">
        <v>4</v>
      </c>
      <c r="G6557" t="n">
        <v>1753</v>
      </c>
      <c r="H6557" t="n">
        <v>395</v>
      </c>
      <c r="J6557" t="inlineStr">
        <is>
          <t>Port de Pollença</t>
        </is>
      </c>
      <c r="AH6557" t="inlineStr">
        <is>
          <t>Quelle: Balearic Properties</t>
        </is>
      </c>
    </row>
    <row r="6558">
      <c r="A6558" t="n">
        <v>6371</v>
      </c>
      <c r="B6558" t="inlineStr">
        <is>
          <t>Pretty country villa for sale in Pollensa, Mallorca</t>
        </is>
      </c>
      <c r="C6558" t="inlineStr">
        <is>
          <t>https://www.balearic-properties.com/en/property/id/797535-pollensa-country-villa-html</t>
        </is>
      </c>
      <c r="E6558" t="n">
        <v>3</v>
      </c>
      <c r="G6558" t="n">
        <v>13577</v>
      </c>
      <c r="H6558" t="n">
        <v>274</v>
      </c>
      <c r="J6558" t="inlineStr">
        <is>
          <t>Pollença</t>
        </is>
      </c>
      <c r="S6558" t="n">
        <v>848000</v>
      </c>
      <c r="T6558" t="n">
        <v>3095</v>
      </c>
      <c r="U6558" t="n">
        <v>62</v>
      </c>
      <c r="AH6558" t="inlineStr">
        <is>
          <t>Quelle: Balearic Properties</t>
        </is>
      </c>
    </row>
    <row r="6559">
      <c r="A6559" t="n">
        <v>6372</v>
      </c>
      <c r="B6559" t="inlineStr">
        <is>
          <t>Fantastic house with garden and independant plot for sale in Palma, Mallorca</t>
        </is>
      </c>
      <c r="C6559" t="inlineStr">
        <is>
          <t>https://www.balearic-properties.com/en/property/id/787507-palma-house-garden-html</t>
        </is>
      </c>
      <c r="E6559" t="n">
        <v>4</v>
      </c>
      <c r="G6559" t="n">
        <v>810</v>
      </c>
      <c r="H6559" t="n">
        <v>272</v>
      </c>
      <c r="J6559" t="inlineStr">
        <is>
          <t>Palma de Mallorca</t>
        </is>
      </c>
      <c r="AH6559" t="inlineStr">
        <is>
          <t>Quelle: Balearic Properties</t>
        </is>
      </c>
    </row>
    <row r="6560">
      <c r="A6560" t="n">
        <v>6373</v>
      </c>
      <c r="B6560" t="inlineStr">
        <is>
          <t>Luxurious country property for sale in Santa Margalida, Mallorca</t>
        </is>
      </c>
      <c r="C6560" t="inlineStr">
        <is>
          <t>https://www.balearic-properties.com/en/property/id/796110-santa-margalida-country-house-html</t>
        </is>
      </c>
      <c r="E6560" t="n">
        <v>4</v>
      </c>
      <c r="G6560" t="n">
        <v>16872</v>
      </c>
      <c r="H6560" t="n">
        <v>0</v>
      </c>
      <c r="J6560" t="inlineStr">
        <is>
          <t>Santa Margalida</t>
        </is>
      </c>
      <c r="AH6560" t="inlineStr">
        <is>
          <t>Quelle: Balearic Properties</t>
        </is>
      </c>
    </row>
    <row r="6561">
      <c r="A6561" t="n">
        <v>6374</v>
      </c>
      <c r="B6561" t="inlineStr">
        <is>
          <t>Impressive country mansion for sale near Santanyi, east Mallorca</t>
        </is>
      </c>
      <c r="C6561" t="inlineStr">
        <is>
          <t>https://www.balearic-properties.com/en/property/id/795511-country-mansion-santanyi-mallorca-html</t>
        </is>
      </c>
      <c r="E6561" t="n">
        <v>12</v>
      </c>
      <c r="G6561" t="n">
        <v>33000</v>
      </c>
      <c r="H6561" t="n">
        <v>799</v>
      </c>
      <c r="J6561" t="inlineStr">
        <is>
          <t>Santanyí</t>
        </is>
      </c>
      <c r="K6561" t="n">
        <v>45.4</v>
      </c>
      <c r="L6561" t="n">
        <v>39</v>
      </c>
      <c r="M6561" t="n">
        <v>9</v>
      </c>
      <c r="N6561" t="n">
        <v>13</v>
      </c>
      <c r="O6561" t="n">
        <v>83.59999999999999</v>
      </c>
      <c r="P6561" t="n">
        <v>67</v>
      </c>
      <c r="Q6561" t="n">
        <v>9.699999999999999</v>
      </c>
      <c r="R6561" t="n">
        <v>15</v>
      </c>
      <c r="AH6561" t="inlineStr">
        <is>
          <t>Quelle: Balearic Properties</t>
        </is>
      </c>
    </row>
    <row r="6562">
      <c r="A6562" t="n">
        <v>6375</v>
      </c>
      <c r="B6562" t="inlineStr">
        <is>
          <t>3 bedroom house with communal pool for sale in Santa Ponsa, Mallorca</t>
        </is>
      </c>
      <c r="C6562" t="inlineStr">
        <is>
          <t>https://www.balearic-properties.com/en/property/id/796362-house-garden-santa-ponsa-html</t>
        </is>
      </c>
      <c r="E6562" t="n">
        <v>3</v>
      </c>
      <c r="G6562" t="n">
        <v>0</v>
      </c>
      <c r="H6562" t="n">
        <v>420</v>
      </c>
      <c r="J6562" t="inlineStr">
        <is>
          <t>Santa Ponsa</t>
        </is>
      </c>
      <c r="AH6562" t="inlineStr">
        <is>
          <t>Quelle: Balearic Properties</t>
        </is>
      </c>
    </row>
    <row r="6563">
      <c r="A6563" t="n">
        <v>6376</v>
      </c>
      <c r="B6563" t="inlineStr">
        <is>
          <t>Three bedroom apartment for sale just 50m from the beach in Puerto Pollensa, Mallorca</t>
        </is>
      </c>
      <c r="C6563" t="inlineStr">
        <is>
          <t>https://www.balearic-properties.com/en/property/id/793762-apartment-central-puerto-pollensa-html</t>
        </is>
      </c>
      <c r="E6563" t="n">
        <v>3</v>
      </c>
      <c r="G6563" t="n">
        <v>0</v>
      </c>
      <c r="H6563" t="n">
        <v>130</v>
      </c>
      <c r="J6563" t="inlineStr">
        <is>
          <t>Port de Pollença</t>
        </is>
      </c>
      <c r="AH6563" t="inlineStr">
        <is>
          <t>Quelle: Balearic Properties</t>
        </is>
      </c>
    </row>
    <row r="6564">
      <c r="A6564" t="n">
        <v>6377</v>
      </c>
      <c r="B6564" t="inlineStr">
        <is>
          <t>Very special town house with pool for sale in Pollensa, Mallorca</t>
        </is>
      </c>
      <c r="C6564" t="inlineStr">
        <is>
          <t>https://www.balearic-properties.com/en/property/id/790464-pollensa-house-pool-html</t>
        </is>
      </c>
      <c r="E6564" t="n">
        <v>4</v>
      </c>
      <c r="G6564" t="n">
        <v>146</v>
      </c>
      <c r="H6564" t="n">
        <v>271</v>
      </c>
      <c r="J6564" t="inlineStr">
        <is>
          <t>Pollença</t>
        </is>
      </c>
      <c r="AH6564" t="inlineStr">
        <is>
          <t>Quelle: Balearic Properties</t>
        </is>
      </c>
    </row>
    <row r="6565">
      <c r="A6565" t="n">
        <v>6378</v>
      </c>
      <c r="B6565" t="inlineStr">
        <is>
          <t>Frontline villa with holiday rental license for sale in Alcanada, Alcúdia, Mallorca</t>
        </is>
      </c>
      <c r="C6565" t="inlineStr">
        <is>
          <t>https://www.balearic-properties.com/en/property/id/761794-villa-alcanada-etv-html</t>
        </is>
      </c>
      <c r="E6565" t="n">
        <v>6</v>
      </c>
      <c r="G6565" t="n">
        <v>800</v>
      </c>
      <c r="H6565" t="n">
        <v>727</v>
      </c>
      <c r="J6565" t="inlineStr">
        <is>
          <t>Alcúdia</t>
        </is>
      </c>
      <c r="K6565" t="n">
        <v>61.6</v>
      </c>
      <c r="L6565" t="n">
        <v>47</v>
      </c>
      <c r="M6565" t="n">
        <v>79.7</v>
      </c>
      <c r="N6565" t="n">
        <v>74</v>
      </c>
      <c r="O6565" t="n">
        <v>84.2</v>
      </c>
      <c r="P6565" t="n">
        <v>63</v>
      </c>
      <c r="Q6565" t="n">
        <v>77.40000000000001</v>
      </c>
      <c r="R6565" t="n">
        <v>70</v>
      </c>
      <c r="AH6565" t="inlineStr">
        <is>
          <t>Quelle: Balearic Properties</t>
        </is>
      </c>
    </row>
    <row r="6566">
      <c r="A6566" t="n">
        <v>6379</v>
      </c>
      <c r="B6566" t="inlineStr">
        <is>
          <t>Charming and attractive house for sale in the centre of Sa Pobla, Mallorca</t>
        </is>
      </c>
      <c r="C6566" t="inlineStr">
        <is>
          <t>https://www.balearic-properties.com/en/property/id/793679-townhouse-centre-sa-pobla-mallorca-html</t>
        </is>
      </c>
      <c r="E6566" t="n">
        <v>4</v>
      </c>
      <c r="G6566" t="n">
        <v>169</v>
      </c>
      <c r="H6566" t="n">
        <v>284</v>
      </c>
      <c r="J6566" t="inlineStr">
        <is>
          <t>Sa Pobla</t>
        </is>
      </c>
      <c r="AH6566" t="inlineStr">
        <is>
          <t>Quelle: Balearic Properties</t>
        </is>
      </c>
    </row>
    <row r="6567">
      <c r="A6567" t="n">
        <v>6380</v>
      </c>
      <c r="B6567" t="inlineStr">
        <is>
          <t>Incredible sea view villa for sale in Bonaire, Mallorca</t>
        </is>
      </c>
      <c r="C6567" t="inlineStr">
        <is>
          <t>https://www.balearic-properties.com/en/property/id/792319-seaview-villa-bonaire-html</t>
        </is>
      </c>
      <c r="E6567" t="n">
        <v>3</v>
      </c>
      <c r="G6567" t="n">
        <v>684</v>
      </c>
      <c r="H6567" t="n">
        <v>348</v>
      </c>
      <c r="J6567" t="inlineStr">
        <is>
          <t>Bonaire</t>
        </is>
      </c>
      <c r="AH6567" t="inlineStr">
        <is>
          <t>Quelle: Balearic Properties</t>
        </is>
      </c>
    </row>
    <row r="6568">
      <c r="A6568" t="n">
        <v>6381</v>
      </c>
      <c r="B6568" t="inlineStr">
        <is>
          <t>Luxury villa for sale, next to the golf course in Santa Ponsa, Mallorca</t>
        </is>
      </c>
      <c r="C6568" t="inlineStr">
        <is>
          <t>https://www.balearic-properties.com/en/property/id/794923-villa-luxury-spa-html</t>
        </is>
      </c>
      <c r="E6568" t="n">
        <v>6</v>
      </c>
      <c r="G6568" t="n">
        <v>2135</v>
      </c>
      <c r="H6568" t="n">
        <v>1051</v>
      </c>
      <c r="J6568" t="inlineStr">
        <is>
          <t>Santa Ponsa</t>
        </is>
      </c>
      <c r="K6568" t="n">
        <v>31.1</v>
      </c>
      <c r="L6568" t="n">
        <v>28</v>
      </c>
      <c r="M6568" t="n">
        <v>73.90000000000001</v>
      </c>
      <c r="N6568" t="n">
        <v>61</v>
      </c>
      <c r="O6568" t="n">
        <v>15.2</v>
      </c>
      <c r="P6568" t="n">
        <v>19</v>
      </c>
      <c r="Q6568" t="n">
        <v>71.59999999999999</v>
      </c>
      <c r="R6568" t="n">
        <v>57</v>
      </c>
      <c r="AH6568" t="inlineStr">
        <is>
          <t>Quelle: Balearic Properties</t>
        </is>
      </c>
    </row>
    <row r="6569">
      <c r="A6569" t="n">
        <v>6382</v>
      </c>
      <c r="B6569" t="inlineStr">
        <is>
          <t>Magnificent sea view villa for sale in Bendinat, Mallorca</t>
        </is>
      </c>
      <c r="C6569" t="inlineStr">
        <is>
          <t>https://www.balearic-properties.com/en/property/id/794801-luxury-villa-bendinat-html</t>
        </is>
      </c>
      <c r="E6569" t="n">
        <v>7</v>
      </c>
      <c r="G6569" t="n">
        <v>1679</v>
      </c>
      <c r="H6569" t="n">
        <v>621</v>
      </c>
      <c r="J6569" t="inlineStr">
        <is>
          <t>Old Bendinat</t>
        </is>
      </c>
      <c r="K6569" t="n">
        <v>23.1</v>
      </c>
      <c r="L6569" t="n">
        <v>22</v>
      </c>
      <c r="M6569" t="n">
        <v>65.8</v>
      </c>
      <c r="N6569" t="n">
        <v>55</v>
      </c>
      <c r="O6569" t="n">
        <v>23.2</v>
      </c>
      <c r="P6569" t="n">
        <v>23</v>
      </c>
      <c r="Q6569" t="n">
        <v>63.5</v>
      </c>
      <c r="R6569" t="n">
        <v>51</v>
      </c>
      <c r="AH6569" t="inlineStr">
        <is>
          <t>Quelle: Balearic Properties</t>
        </is>
      </c>
    </row>
    <row r="6570">
      <c r="A6570" t="n">
        <v>6383</v>
      </c>
      <c r="B6570" t="inlineStr">
        <is>
          <t>Stylish apartment for sale in the centre of Palma, Mallorca</t>
        </is>
      </c>
      <c r="C6570" t="inlineStr">
        <is>
          <t>https://www.balearic-properties.com/en/property/id/793909-palma-designer-apartment-html</t>
        </is>
      </c>
      <c r="E6570" t="n">
        <v>2</v>
      </c>
      <c r="G6570" t="n">
        <v>0</v>
      </c>
      <c r="H6570" t="n">
        <v>129</v>
      </c>
      <c r="J6570" t="inlineStr">
        <is>
          <t>Palma de Mallorca</t>
        </is>
      </c>
      <c r="AH6570" t="inlineStr">
        <is>
          <t>Quelle: Balearic Properties</t>
        </is>
      </c>
    </row>
    <row r="6571">
      <c r="A6571" t="n">
        <v>6384</v>
      </c>
      <c r="B6571" t="inlineStr">
        <is>
          <t>Newly built luxury villa with frontline views for sale in Bonaire, Mallorca</t>
        </is>
      </c>
      <c r="C6571" t="inlineStr">
        <is>
          <t>https://www.balearic-properties.com/en/property/id/774728-luxury-villa-bonaire-html</t>
        </is>
      </c>
      <c r="E6571" t="n">
        <v>4</v>
      </c>
      <c r="G6571" t="n">
        <v>1497</v>
      </c>
      <c r="H6571" t="n">
        <v>708</v>
      </c>
      <c r="J6571" t="inlineStr">
        <is>
          <t>Bonaire</t>
        </is>
      </c>
      <c r="AH6571" t="inlineStr">
        <is>
          <t>Quelle: Balearic Properties</t>
        </is>
      </c>
    </row>
    <row r="6572">
      <c r="A6572" t="n">
        <v>6385</v>
      </c>
      <c r="B6572" t="inlineStr">
        <is>
          <t>Two storey apartment for sale just minutes from the centre of Puerto Pollensa, Mallorca</t>
        </is>
      </c>
      <c r="C6572" t="inlineStr">
        <is>
          <t>https://www.balearic-properties.com/en/property/id/785700-apartment-central-puerto-pollensa-html</t>
        </is>
      </c>
      <c r="E6572" t="n">
        <v>2</v>
      </c>
      <c r="G6572" t="n">
        <v>0</v>
      </c>
      <c r="H6572" t="n">
        <v>90</v>
      </c>
      <c r="J6572" t="inlineStr">
        <is>
          <t>Port de Pollença</t>
        </is>
      </c>
      <c r="AH6572" t="inlineStr">
        <is>
          <t>Quelle: Balearic Properties</t>
        </is>
      </c>
    </row>
    <row r="6573">
      <c r="A6573" t="n">
        <v>6386</v>
      </c>
      <c r="B6573" t="inlineStr">
        <is>
          <t>Sea view villa for sale in Bonaire, Alcúdia, Mallorca</t>
        </is>
      </c>
      <c r="C6573" t="inlineStr">
        <is>
          <t>https://www.balearic-properties.com/en/property/id/793332-bonaire-seaview-villa-html</t>
        </is>
      </c>
      <c r="E6573" t="n">
        <v>4</v>
      </c>
      <c r="G6573" t="n">
        <v>1228</v>
      </c>
      <c r="H6573" t="n">
        <v>712</v>
      </c>
      <c r="J6573" t="inlineStr">
        <is>
          <t>Bonaire</t>
        </is>
      </c>
      <c r="AH6573" t="inlineStr">
        <is>
          <t>Quelle: Balearic Properties</t>
        </is>
      </c>
    </row>
    <row r="6574">
      <c r="A6574" t="n">
        <v>6387</v>
      </c>
      <c r="B6574" t="inlineStr">
        <is>
          <t>New development of chic &amp; contemporary town houses for sale in Santanyí, Mallorca</t>
        </is>
      </c>
      <c r="C6574" t="inlineStr">
        <is>
          <t>https://www.balearic-properties.com/en/property/id/793497-townhouses-santanyi-project-html</t>
        </is>
      </c>
      <c r="E6574" t="n">
        <v>3</v>
      </c>
      <c r="G6574" t="n">
        <v>323</v>
      </c>
      <c r="H6574" t="n">
        <v>270</v>
      </c>
      <c r="J6574" t="inlineStr">
        <is>
          <t>Santanyí</t>
        </is>
      </c>
      <c r="AH6574" t="inlineStr">
        <is>
          <t>Quelle: Balearic Properties</t>
        </is>
      </c>
    </row>
    <row r="6575">
      <c r="A6575" t="n">
        <v>6388</v>
      </c>
      <c r="B6575" t="inlineStr">
        <is>
          <t>Modern villa under construction in Santanyi, Mallorca</t>
        </is>
      </c>
      <c r="C6575" t="inlineStr">
        <is>
          <t>https://www.balearic-properties.com/en/property/id/792361-new-villa-construction-santanyi-html</t>
        </is>
      </c>
      <c r="E6575" t="n">
        <v>4</v>
      </c>
      <c r="G6575" t="n">
        <v>323</v>
      </c>
      <c r="H6575" t="n">
        <v>210</v>
      </c>
      <c r="J6575" t="inlineStr">
        <is>
          <t>Santanyí</t>
        </is>
      </c>
      <c r="AH6575" t="inlineStr">
        <is>
          <t>Quelle: Balearic Properties</t>
        </is>
      </c>
    </row>
    <row r="6576">
      <c r="A6576" t="n">
        <v>6389</v>
      </c>
      <c r="B6576" t="inlineStr">
        <is>
          <t>Modern, brand new townhouses for sale in Puerto de Andratx, Mallorca</t>
        </is>
      </c>
      <c r="C6576" t="inlineStr">
        <is>
          <t>https://www.balearic-properties.com/en/property/id/784676-townhouses-puerto-andratx-html</t>
        </is>
      </c>
      <c r="E6576" t="n">
        <v>3</v>
      </c>
      <c r="G6576" t="n">
        <v>0</v>
      </c>
      <c r="H6576" t="n">
        <v>172</v>
      </c>
      <c r="J6576" t="inlineStr">
        <is>
          <t>Puerto Andratx</t>
        </is>
      </c>
      <c r="AH6576" t="inlineStr">
        <is>
          <t>Quelle: Balearic Properties</t>
        </is>
      </c>
    </row>
    <row r="6577">
      <c r="A6577" t="n">
        <v>6390</v>
      </c>
      <c r="B6577" t="inlineStr">
        <is>
          <t>Modern, brand new townhouses for sale in Puerto de Andratx, Mallorca</t>
        </is>
      </c>
      <c r="C6577" t="inlineStr">
        <is>
          <t>https://www.balearic-properties.com/en/property/id/784677-townhouses-puerto-andratx-html</t>
        </is>
      </c>
      <c r="E6577" t="n">
        <v>3</v>
      </c>
      <c r="G6577" t="n">
        <v>0</v>
      </c>
      <c r="H6577" t="n">
        <v>174</v>
      </c>
      <c r="J6577" t="inlineStr">
        <is>
          <t>Puerto Andratx</t>
        </is>
      </c>
      <c r="AH6577" t="inlineStr">
        <is>
          <t>Quelle: Balearic Properties</t>
        </is>
      </c>
    </row>
    <row r="6578">
      <c r="A6578" t="n">
        <v>6391</v>
      </c>
      <c r="B6578" t="inlineStr">
        <is>
          <t>Modern, brand new townhouses for sale in Puerto de Andratx, Mallorca</t>
        </is>
      </c>
      <c r="C6578" t="inlineStr">
        <is>
          <t>https://www.balearic-properties.com/en/property/id/790216-townhouses-puerto-andratx-html</t>
        </is>
      </c>
      <c r="E6578" t="n">
        <v>3</v>
      </c>
      <c r="G6578" t="n">
        <v>0</v>
      </c>
      <c r="H6578" t="n">
        <v>172</v>
      </c>
      <c r="J6578" t="inlineStr">
        <is>
          <t>Puerto Andratx</t>
        </is>
      </c>
      <c r="AH6578" t="inlineStr">
        <is>
          <t>Quelle: Balearic Properties</t>
        </is>
      </c>
    </row>
    <row r="6579">
      <c r="A6579" t="n">
        <v>6392</v>
      </c>
      <c r="B6579" t="inlineStr">
        <is>
          <t>Newly built apartment within walking distance of town for sale in Puerto Pollensa, Mallorca</t>
        </is>
      </c>
      <c r="C6579" t="inlineStr">
        <is>
          <t>https://www.balearic-properties.com/en/property/id/783544-apartment-pollensa-gotmar-html</t>
        </is>
      </c>
      <c r="E6579" t="n">
        <v>3</v>
      </c>
      <c r="G6579" t="n">
        <v>78</v>
      </c>
      <c r="H6579" t="n">
        <v>106</v>
      </c>
      <c r="J6579" t="inlineStr">
        <is>
          <t>Port de Pollença</t>
        </is>
      </c>
      <c r="AH6579" t="inlineStr">
        <is>
          <t>Quelle: Balearic Properties</t>
        </is>
      </c>
    </row>
    <row r="6580">
      <c r="A6580" t="n">
        <v>6393</v>
      </c>
      <c r="B6580" t="inlineStr">
        <is>
          <t>Newly built apartments  within walking distance of town for sale in Puerto Pollensa, Mallorca</t>
        </is>
      </c>
      <c r="C6580" t="inlineStr">
        <is>
          <t>https://www.balearic-properties.com/en/property/id/783629-apartment-pollensa-gotmar-html</t>
        </is>
      </c>
      <c r="E6580" t="n">
        <v>2</v>
      </c>
      <c r="G6580" t="n">
        <v>200</v>
      </c>
      <c r="H6580" t="n">
        <v>88</v>
      </c>
      <c r="J6580" t="inlineStr">
        <is>
          <t>Port de Pollença</t>
        </is>
      </c>
      <c r="AH6580" t="inlineStr">
        <is>
          <t>Quelle: Balearic Properties</t>
        </is>
      </c>
    </row>
    <row r="6581">
      <c r="A6581" t="n">
        <v>6394</v>
      </c>
      <c r="B6581" t="inlineStr">
        <is>
          <t>Newly built apartment within walking distance of town for sale in Puerto Pollensa, Mallorca</t>
        </is>
      </c>
      <c r="C6581" t="inlineStr">
        <is>
          <t>https://www.balearic-properties.com/en/property/id/783681-apartment-pollensa-gotmar-html</t>
        </is>
      </c>
      <c r="E6581" t="n">
        <v>3</v>
      </c>
      <c r="G6581" t="n">
        <v>0</v>
      </c>
      <c r="H6581" t="n">
        <v>106</v>
      </c>
      <c r="J6581" t="inlineStr">
        <is>
          <t>Port de Pollença</t>
        </is>
      </c>
      <c r="AH6581" t="inlineStr">
        <is>
          <t>Quelle: Balearic Properties</t>
        </is>
      </c>
    </row>
    <row r="6582">
      <c r="A6582" t="n">
        <v>6395</v>
      </c>
      <c r="B6582" t="inlineStr">
        <is>
          <t>Contemporary three bedroom villa for sale in Bon Aire, Alcúdia, Mallorca</t>
        </is>
      </c>
      <c r="C6582" t="inlineStr">
        <is>
          <t>https://www.balearic-properties.com/en/property/id/789663-villa-bon-aire-html</t>
        </is>
      </c>
      <c r="E6582" t="n">
        <v>3</v>
      </c>
      <c r="G6582" t="n">
        <v>574</v>
      </c>
      <c r="H6582" t="n">
        <v>168</v>
      </c>
      <c r="J6582" t="inlineStr">
        <is>
          <t>Bonaire</t>
        </is>
      </c>
      <c r="AH6582" t="inlineStr">
        <is>
          <t>Quelle: Balearic Properties</t>
        </is>
      </c>
    </row>
    <row r="6583">
      <c r="A6583" t="n">
        <v>6396</v>
      </c>
      <c r="B6583" t="inlineStr">
        <is>
          <t>Traditional country villa for sale in a peaceful area of Pollensa, Mallorca</t>
        </is>
      </c>
      <c r="C6583" t="inlineStr">
        <is>
          <t>https://www.balearic-properties.com/en/property/id/733778-pollensa-villa-holiday-license-html</t>
        </is>
      </c>
      <c r="E6583" t="n">
        <v>3</v>
      </c>
      <c r="G6583" t="n">
        <v>3600</v>
      </c>
      <c r="H6583" t="n">
        <v>200</v>
      </c>
      <c r="J6583" t="inlineStr">
        <is>
          <t>Pollença</t>
        </is>
      </c>
      <c r="AH6583" t="inlineStr">
        <is>
          <t>Quelle: Balearic Properties</t>
        </is>
      </c>
    </row>
    <row r="6584">
      <c r="A6584" t="n">
        <v>6397</v>
      </c>
      <c r="B6584" t="inlineStr">
        <is>
          <t>Finca with magnificent views of the countryside and mountains for sale in Campos, Mallorca</t>
        </is>
      </c>
      <c r="C6584" t="inlineStr">
        <is>
          <t>https://www.balearic-properties.com/en/property/id/787346-house-pool-private-porreres-html</t>
        </is>
      </c>
      <c r="E6584" t="n">
        <v>3</v>
      </c>
      <c r="G6584" t="n">
        <v>17000</v>
      </c>
      <c r="H6584" t="n">
        <v>300</v>
      </c>
      <c r="J6584" t="inlineStr">
        <is>
          <t>Porreres</t>
        </is>
      </c>
      <c r="AH6584" t="inlineStr">
        <is>
          <t>Quelle: Balearic Properties</t>
        </is>
      </c>
    </row>
    <row r="6585">
      <c r="A6585" t="n">
        <v>6398</v>
      </c>
      <c r="B6585" t="inlineStr">
        <is>
          <t>Charming finca with pool and landscaped garden in Es Capdella, Mallorca</t>
        </is>
      </c>
      <c r="C6585" t="inlineStr">
        <is>
          <t>https://www.balearic-properties.com/en/property/id/787870-finca-plot-capdella-mallorca-html</t>
        </is>
      </c>
      <c r="E6585" t="n">
        <v>6</v>
      </c>
      <c r="G6585" t="n">
        <v>15000</v>
      </c>
      <c r="H6585" t="n">
        <v>300</v>
      </c>
      <c r="J6585" t="inlineStr">
        <is>
          <t>Capdellà</t>
        </is>
      </c>
      <c r="K6585" t="n">
        <v>34.8</v>
      </c>
      <c r="L6585" t="n">
        <v>33</v>
      </c>
      <c r="M6585" t="n">
        <v>77.5</v>
      </c>
      <c r="N6585" t="n">
        <v>66</v>
      </c>
      <c r="O6585" t="n">
        <v>13.6</v>
      </c>
      <c r="P6585" t="n">
        <v>19</v>
      </c>
      <c r="Q6585" t="n">
        <v>75.2</v>
      </c>
      <c r="R6585" t="n">
        <v>63</v>
      </c>
      <c r="AH6585" t="inlineStr">
        <is>
          <t>Quelle: Balearic Properties</t>
        </is>
      </c>
    </row>
    <row r="6586">
      <c r="A6586" t="n">
        <v>6399</v>
      </c>
      <c r="B6586" t="inlineStr">
        <is>
          <t>Four bedroom apartment for sale in a residential building near the sea in Puerto Pollensa, Mallorca</t>
        </is>
      </c>
      <c r="C6586" t="inlineStr">
        <is>
          <t>https://www.balearic-properties.com/en/property/id/787497-puerto-pollensa-apartment-html</t>
        </is>
      </c>
      <c r="E6586" t="n">
        <v>4</v>
      </c>
      <c r="G6586" t="n">
        <v>180</v>
      </c>
      <c r="H6586" t="n">
        <v>180</v>
      </c>
      <c r="J6586" t="inlineStr">
        <is>
          <t>Port de Pollença</t>
        </is>
      </c>
      <c r="AH6586" t="inlineStr">
        <is>
          <t>Quelle: Balearic Properties</t>
        </is>
      </c>
    </row>
    <row r="6587">
      <c r="A6587" t="n">
        <v>6400</v>
      </c>
      <c r="B6587" t="inlineStr">
        <is>
          <t>Quintessential three bedroom Mallorcan town house with great potential for sale in Pollensa, Mallorca</t>
        </is>
      </c>
      <c r="C6587" t="inlineStr">
        <is>
          <t>https://www.balearic-properties.com/en/property/id/788764-townhouse-central-pollensa-html</t>
        </is>
      </c>
      <c r="E6587" t="n">
        <v>3</v>
      </c>
      <c r="G6587" t="n">
        <v>125</v>
      </c>
      <c r="H6587" t="n">
        <v>184</v>
      </c>
      <c r="J6587" t="inlineStr">
        <is>
          <t>Pollença Pueblo</t>
        </is>
      </c>
      <c r="AH6587" t="inlineStr">
        <is>
          <t>Quelle: Balearic Properties</t>
        </is>
      </c>
    </row>
    <row r="6588">
      <c r="A6588" t="n">
        <v>6401</v>
      </c>
      <c r="B6588" t="inlineStr">
        <is>
          <t>Renovated townhouse with touristic license for sale in Colonia San Jordi, Mallorca</t>
        </is>
      </c>
      <c r="C6588" t="inlineStr">
        <is>
          <t>https://www.balearic-properties.com/en/property/id/788392-townhouse-colonia-san-jordi-html</t>
        </is>
      </c>
      <c r="E6588" t="n">
        <v>5</v>
      </c>
      <c r="G6588" t="n">
        <v>290</v>
      </c>
      <c r="H6588" t="n">
        <v>255</v>
      </c>
      <c r="J6588" t="inlineStr">
        <is>
          <t>Colònia de Sant Jordi</t>
        </is>
      </c>
      <c r="K6588" t="n">
        <v>46.5</v>
      </c>
      <c r="L6588" t="n">
        <v>41</v>
      </c>
      <c r="M6588" t="n">
        <v>8.199999999999999</v>
      </c>
      <c r="N6588" t="n">
        <v>12</v>
      </c>
      <c r="O6588" t="n">
        <v>84.7</v>
      </c>
      <c r="P6588" t="n">
        <v>68</v>
      </c>
      <c r="Q6588" t="n">
        <v>7.4</v>
      </c>
      <c r="R6588" t="n">
        <v>10</v>
      </c>
      <c r="AH6588" t="inlineStr">
        <is>
          <t>Quelle: Balearic Properties</t>
        </is>
      </c>
    </row>
    <row r="6589">
      <c r="A6589" t="n">
        <v>6402</v>
      </c>
      <c r="B6589" t="inlineStr">
        <is>
          <t>Renovated townhouse with sea views for sale in Costa den Blanes, Mallorca</t>
        </is>
      </c>
      <c r="C6589" t="inlineStr">
        <is>
          <t>https://www.balearic-properties.com/en/property/id/788717-house-sea-view-mallorca-html</t>
        </is>
      </c>
      <c r="E6589" t="n">
        <v>3</v>
      </c>
      <c r="G6589" t="n">
        <v>0</v>
      </c>
      <c r="H6589" t="n">
        <v>95</v>
      </c>
      <c r="J6589" t="inlineStr">
        <is>
          <t>Costa D´en Blanes</t>
        </is>
      </c>
      <c r="AH6589" t="inlineStr">
        <is>
          <t>Quelle: Balearic Properties</t>
        </is>
      </c>
    </row>
    <row r="6590">
      <c r="A6590" t="n">
        <v>6403</v>
      </c>
      <c r="B6590" t="inlineStr">
        <is>
          <t>Apartment in walking distance to the beach for sale in El Molinar, Mallorca</t>
        </is>
      </c>
      <c r="C6590" t="inlineStr">
        <is>
          <t>https://www.balearic-properties.com/en/property/id/788647-renovated-apartment-sea-beach-mallorca-html</t>
        </is>
      </c>
      <c r="E6590" t="n">
        <v>3</v>
      </c>
      <c r="G6590" t="n">
        <v>0</v>
      </c>
      <c r="H6590" t="n">
        <v>95</v>
      </c>
      <c r="J6590" t="inlineStr">
        <is>
          <t>El Molinar</t>
        </is>
      </c>
      <c r="AH6590" t="inlineStr">
        <is>
          <t>Quelle: Balearic Properties</t>
        </is>
      </c>
    </row>
    <row r="6591">
      <c r="A6591" t="n">
        <v>6404</v>
      </c>
      <c r="B6591" t="inlineStr">
        <is>
          <t>Magnificent villa with panoramic views for sale in Canyamel, Mallorca</t>
        </is>
      </c>
      <c r="C6591" t="inlineStr">
        <is>
          <t>https://www.balearic-properties.com/en/property/id/694749-impressive-villa-canyamel-html</t>
        </is>
      </c>
      <c r="E6591" t="n">
        <v>5</v>
      </c>
      <c r="G6591" t="n">
        <v>1440</v>
      </c>
      <c r="H6591" t="n">
        <v>443</v>
      </c>
      <c r="J6591" t="inlineStr">
        <is>
          <t>Canyamel</t>
        </is>
      </c>
      <c r="K6591" t="n">
        <v>74.7</v>
      </c>
      <c r="L6591" t="n">
        <v>65</v>
      </c>
      <c r="M6591" t="n">
        <v>70.09999999999999</v>
      </c>
      <c r="N6591" t="n">
        <v>68</v>
      </c>
      <c r="O6591" t="n">
        <v>108.9</v>
      </c>
      <c r="P6591" t="n">
        <v>90</v>
      </c>
      <c r="Q6591" t="n">
        <v>67.8</v>
      </c>
      <c r="R6591" t="n">
        <v>65</v>
      </c>
      <c r="AH6591" t="inlineStr">
        <is>
          <t>Quelle: Balearic Properties</t>
        </is>
      </c>
    </row>
    <row r="6592">
      <c r="A6592" t="n">
        <v>6405</v>
      </c>
      <c r="B6592" t="inlineStr">
        <is>
          <t>Villa in the countryside for sale with spectacular views over the sea in Marratxi, Mallorca</t>
        </is>
      </c>
      <c r="C6592" t="inlineStr">
        <is>
          <t>https://www.balearic-properties.com/en/property/id/784234-villa-pool-garden-mallorca-html</t>
        </is>
      </c>
      <c r="E6592" t="n">
        <v>4</v>
      </c>
      <c r="G6592" t="n">
        <v>16300</v>
      </c>
      <c r="H6592" t="n">
        <v>540</v>
      </c>
      <c r="J6592" t="inlineStr">
        <is>
          <t>Marratxí</t>
        </is>
      </c>
      <c r="AH6592" t="inlineStr">
        <is>
          <t>Quelle: Balearic Properties</t>
        </is>
      </c>
    </row>
    <row r="6593">
      <c r="A6593" t="n">
        <v>6406</v>
      </c>
      <c r="B6593" t="inlineStr">
        <is>
          <t>Renovated townhouse in a sought after area San Agustin, Mallorca</t>
        </is>
      </c>
      <c r="C6593" t="inlineStr">
        <is>
          <t>https://www.balearic-properties.com/en/property/id/788156-townhouse-renovated-palma-html</t>
        </is>
      </c>
      <c r="E6593" t="n">
        <v>5</v>
      </c>
      <c r="G6593" t="n">
        <v>0</v>
      </c>
      <c r="H6593" t="n">
        <v>210</v>
      </c>
      <c r="J6593" t="inlineStr">
        <is>
          <t>Sant Agustí</t>
        </is>
      </c>
      <c r="K6593" t="n">
        <v>19.9</v>
      </c>
      <c r="L6593" t="n">
        <v>20</v>
      </c>
      <c r="M6593" t="n">
        <v>62.6</v>
      </c>
      <c r="N6593" t="n">
        <v>53</v>
      </c>
      <c r="O6593" t="n">
        <v>25.1</v>
      </c>
      <c r="P6593" t="n">
        <v>24</v>
      </c>
      <c r="Q6593" t="n">
        <v>60.3</v>
      </c>
      <c r="R6593" t="n">
        <v>50</v>
      </c>
      <c r="AH6593" t="inlineStr">
        <is>
          <t>Quelle: Balearic Properties</t>
        </is>
      </c>
    </row>
    <row r="6594">
      <c r="A6594" t="n">
        <v>6407</v>
      </c>
      <c r="B6594" t="inlineStr">
        <is>
          <t>Wonderful stone-built country home for sale in Sineu, Mallorca</t>
        </is>
      </c>
      <c r="C6594" t="inlineStr">
        <is>
          <t>https://www.balearic-properties.com/en/property/id/787495-sineu-country-house-holiday-license-html</t>
        </is>
      </c>
      <c r="E6594" t="n">
        <v>6</v>
      </c>
      <c r="G6594" t="n">
        <v>15207</v>
      </c>
      <c r="H6594" t="n">
        <v>275</v>
      </c>
      <c r="J6594" t="inlineStr">
        <is>
          <t>Sineu</t>
        </is>
      </c>
      <c r="K6594" t="n">
        <v>34.8</v>
      </c>
      <c r="L6594" t="n">
        <v>35</v>
      </c>
      <c r="M6594" t="n">
        <v>42.6</v>
      </c>
      <c r="N6594" t="n">
        <v>44</v>
      </c>
      <c r="O6594" t="n">
        <v>66.59999999999999</v>
      </c>
      <c r="P6594" t="n">
        <v>56</v>
      </c>
      <c r="Q6594" t="n">
        <v>40.3</v>
      </c>
      <c r="R6594" t="n">
        <v>40</v>
      </c>
      <c r="AH6594" t="inlineStr">
        <is>
          <t>Quelle: Balearic Properties</t>
        </is>
      </c>
    </row>
    <row r="6595">
      <c r="A6595" t="n">
        <v>6408</v>
      </c>
      <c r="B6595" t="inlineStr">
        <is>
          <t>Wonderful sea view villa for sale in Costa d´en Blanes, Mallorca</t>
        </is>
      </c>
      <c r="C6595" t="inlineStr">
        <is>
          <t>https://www.balearic-properties.com/en/property/id/785039-costa-den-blanes-villa-sea-view-html</t>
        </is>
      </c>
      <c r="E6595" t="n">
        <v>4</v>
      </c>
      <c r="G6595" t="n">
        <v>980</v>
      </c>
      <c r="H6595" t="n">
        <v>439</v>
      </c>
      <c r="J6595" t="inlineStr">
        <is>
          <t>Costa D´en Blanes</t>
        </is>
      </c>
      <c r="AH6595" t="inlineStr">
        <is>
          <t>Quelle: Balearic Properties</t>
        </is>
      </c>
    </row>
    <row r="6596">
      <c r="A6596" t="n">
        <v>6409</v>
      </c>
      <c r="B6596" t="inlineStr">
        <is>
          <t>Stunning country estate for sale in Pollença EXCLUSIVE WITH BALEARIC PROPERTIES</t>
        </is>
      </c>
      <c r="C6596" t="inlineStr">
        <is>
          <t>https://www.balearic-properties.com/en/property/id/771937-country-house-pollensa-html</t>
        </is>
      </c>
      <c r="E6596" t="n">
        <v>5</v>
      </c>
      <c r="G6596" t="n">
        <v>22000</v>
      </c>
      <c r="H6596" t="n">
        <v>533</v>
      </c>
      <c r="J6596" t="inlineStr">
        <is>
          <t>Pollença</t>
        </is>
      </c>
      <c r="K6596" t="n">
        <v>60.6</v>
      </c>
      <c r="L6596" t="n">
        <v>47</v>
      </c>
      <c r="M6596" t="n">
        <v>78.7</v>
      </c>
      <c r="N6596" t="n">
        <v>74</v>
      </c>
      <c r="O6596" t="n">
        <v>83.2</v>
      </c>
      <c r="P6596" t="n">
        <v>63</v>
      </c>
      <c r="Q6596" t="n">
        <v>76.40000000000001</v>
      </c>
      <c r="R6596" t="n">
        <v>70</v>
      </c>
      <c r="AH6596" t="inlineStr">
        <is>
          <t>Quelle: Balearic Properties</t>
        </is>
      </c>
    </row>
    <row r="6597">
      <c r="A6597" t="n">
        <v>6410</v>
      </c>
      <c r="B6597" t="inlineStr">
        <is>
          <t>Charming villa in a quiet location for sale in Pollensa, Mallorca</t>
        </is>
      </c>
      <c r="C6597" t="inlineStr">
        <is>
          <t>https://www.balearic-properties.com/en/property/id/780384-villa-crestatx-pollensa-html</t>
        </is>
      </c>
      <c r="E6597" t="n">
        <v>3</v>
      </c>
      <c r="G6597" t="n">
        <v>2021</v>
      </c>
      <c r="H6597" t="n">
        <v>314</v>
      </c>
      <c r="J6597" t="inlineStr">
        <is>
          <t>Pollença</t>
        </is>
      </c>
      <c r="AH6597" t="inlineStr">
        <is>
          <t>Quelle: Balearic Properties</t>
        </is>
      </c>
    </row>
    <row r="6598">
      <c r="A6598" t="n">
        <v>6411</v>
      </c>
      <c r="B6598" t="inlineStr">
        <is>
          <t>First floor apartment in a great location for sale just off the beach in Puerto Pollensa, Mallorca</t>
        </is>
      </c>
      <c r="C6598" t="inlineStr">
        <is>
          <t>https://www.balearic-properties.com/en/property/id/784685-apartment-puerto-pollensa-html</t>
        </is>
      </c>
      <c r="E6598" t="n">
        <v>2</v>
      </c>
      <c r="G6598" t="n">
        <v>0</v>
      </c>
      <c r="H6598" t="n">
        <v>75</v>
      </c>
      <c r="J6598" t="inlineStr">
        <is>
          <t>Llenaire</t>
        </is>
      </c>
      <c r="AH6598" t="inlineStr">
        <is>
          <t>Quelle: Balearic Properties</t>
        </is>
      </c>
    </row>
    <row r="6599">
      <c r="A6599" t="n">
        <v>6412</v>
      </c>
      <c r="B6599" t="inlineStr">
        <is>
          <t>Villa in prime location with great views for sale in Bendinat, Mallorca</t>
        </is>
      </c>
      <c r="C6599" t="inlineStr">
        <is>
          <t>https://www.balearic-properties.com/en/property/id/774042-villa-sea-bendinat-html</t>
        </is>
      </c>
      <c r="E6599" t="n">
        <v>5</v>
      </c>
      <c r="G6599" t="n">
        <v>1135</v>
      </c>
      <c r="H6599" t="n">
        <v>440</v>
      </c>
      <c r="J6599" t="inlineStr">
        <is>
          <t>Bendinat</t>
        </is>
      </c>
      <c r="K6599" t="n">
        <v>23.1</v>
      </c>
      <c r="L6599" t="n">
        <v>22</v>
      </c>
      <c r="M6599" t="n">
        <v>65.8</v>
      </c>
      <c r="N6599" t="n">
        <v>55</v>
      </c>
      <c r="O6599" t="n">
        <v>23.2</v>
      </c>
      <c r="P6599" t="n">
        <v>23</v>
      </c>
      <c r="Q6599" t="n">
        <v>63.5</v>
      </c>
      <c r="R6599" t="n">
        <v>51</v>
      </c>
      <c r="AH6599" t="inlineStr">
        <is>
          <t>Quelle: Balearic Properties</t>
        </is>
      </c>
    </row>
    <row r="6600">
      <c r="A6600" t="n">
        <v>6413</v>
      </c>
      <c r="B6600" t="inlineStr">
        <is>
          <t>Spacious country house with rental license for sale near Pollensa, Mallorca</t>
        </is>
      </c>
      <c r="C6600" t="inlineStr">
        <is>
          <t>https://www.balearic-properties.com/en/property/id/760625-finca-etv-pollensa-html</t>
        </is>
      </c>
      <c r="E6600" t="n">
        <v>6</v>
      </c>
      <c r="G6600" t="n">
        <v>14623</v>
      </c>
      <c r="H6600" t="n">
        <v>354</v>
      </c>
      <c r="J6600" t="inlineStr">
        <is>
          <t>Pollença</t>
        </is>
      </c>
      <c r="K6600" t="n">
        <v>60.6</v>
      </c>
      <c r="L6600" t="n">
        <v>47</v>
      </c>
      <c r="M6600" t="n">
        <v>78.7</v>
      </c>
      <c r="N6600" t="n">
        <v>74</v>
      </c>
      <c r="O6600" t="n">
        <v>83.2</v>
      </c>
      <c r="P6600" t="n">
        <v>63</v>
      </c>
      <c r="Q6600" t="n">
        <v>76.40000000000001</v>
      </c>
      <c r="R6600" t="n">
        <v>70</v>
      </c>
      <c r="AH6600" t="inlineStr">
        <is>
          <t>Quelle: Balearic Properties</t>
        </is>
      </c>
    </row>
    <row r="6601">
      <c r="A6601" t="n">
        <v>6414</v>
      </c>
      <c r="B6601" t="inlineStr">
        <is>
          <t>Villa with magnificent sea views for sale in Costa de la Calma, Mallorca</t>
        </is>
      </c>
      <c r="C6601" t="inlineStr">
        <is>
          <t>https://www.balearic-properties.com/en/property/id/784195-villa-costa-calma-mallorca-html</t>
        </is>
      </c>
      <c r="E6601" t="n">
        <v>4</v>
      </c>
      <c r="G6601" t="n">
        <v>850</v>
      </c>
      <c r="H6601" t="n">
        <v>300</v>
      </c>
      <c r="J6601" t="inlineStr">
        <is>
          <t>Costa de la Calma</t>
        </is>
      </c>
      <c r="AH6601" t="inlineStr">
        <is>
          <t>Quelle: Balearic Properties</t>
        </is>
      </c>
    </row>
    <row r="6602">
      <c r="A6602" t="n">
        <v>6415</v>
      </c>
      <c r="B6602" t="inlineStr">
        <is>
          <t>Traditional town house for sale in near the Calvari in Pollensa, Mallorca</t>
        </is>
      </c>
      <c r="C6602" t="inlineStr">
        <is>
          <t>https://www.balearic-properties.com/en/property/id/783633-townhouse-hillside-pollensa-html</t>
        </is>
      </c>
      <c r="E6602" t="n">
        <v>3</v>
      </c>
      <c r="G6602" t="n">
        <v>260</v>
      </c>
      <c r="H6602" t="n">
        <v>182</v>
      </c>
      <c r="J6602" t="inlineStr">
        <is>
          <t>Pollença Pueblo</t>
        </is>
      </c>
      <c r="AH6602" t="inlineStr">
        <is>
          <t>Quelle: Balearic Properties</t>
        </is>
      </c>
    </row>
    <row r="6603">
      <c r="A6603" t="n">
        <v>6416</v>
      </c>
      <c r="B6603" t="inlineStr">
        <is>
          <t>Brand new apartments and penthouses in walking distance to town for sale in Puerto Pollensa, Mallorca</t>
        </is>
      </c>
      <c r="C6603" t="inlineStr">
        <is>
          <t>https://www.balearic-properties.com/en/property/id/783628-apartment-pollensa-gotmar-html</t>
        </is>
      </c>
      <c r="E6603" t="n">
        <v>2</v>
      </c>
      <c r="G6603" t="n">
        <v>61</v>
      </c>
      <c r="H6603" t="n">
        <v>72</v>
      </c>
      <c r="J6603" t="inlineStr">
        <is>
          <t>Port de Pollença</t>
        </is>
      </c>
      <c r="AH6603" t="inlineStr">
        <is>
          <t>Quelle: Balearic Properties</t>
        </is>
      </c>
    </row>
    <row r="6604">
      <c r="A6604" t="n">
        <v>6417</v>
      </c>
      <c r="B6604" t="inlineStr">
        <is>
          <t>Newly built apartments within walking distance of town for sale in Puerto Pollensa, Mallorca</t>
        </is>
      </c>
      <c r="C6604" t="inlineStr">
        <is>
          <t>https://www.balearic-properties.com/en/property/id/783689-apartment-pollensa-gotmar-html</t>
        </is>
      </c>
      <c r="E6604" t="n">
        <v>3</v>
      </c>
      <c r="G6604" t="n">
        <v>0</v>
      </c>
      <c r="H6604" t="n">
        <v>148</v>
      </c>
      <c r="J6604" t="inlineStr">
        <is>
          <t>Port de Pollença</t>
        </is>
      </c>
      <c r="AH6604" t="inlineStr">
        <is>
          <t>Quelle: Balearic Properties</t>
        </is>
      </c>
    </row>
    <row r="6605">
      <c r="A6605" t="n">
        <v>6418</v>
      </c>
      <c r="B6605" t="inlineStr">
        <is>
          <t>Villa with a lot of potential for sale in Santa Ponsa, Mallorca</t>
        </is>
      </c>
      <c r="C6605" t="inlineStr">
        <is>
          <t>https://www.balearic-properties.com/en/property/id/782515-villa-santa-ponsa-html</t>
        </is>
      </c>
      <c r="E6605" t="n">
        <v>3</v>
      </c>
      <c r="G6605" t="n">
        <v>918</v>
      </c>
      <c r="H6605" t="n">
        <v>150</v>
      </c>
      <c r="J6605" t="inlineStr">
        <is>
          <t>Santa Ponsa</t>
        </is>
      </c>
      <c r="AH6605" t="inlineStr">
        <is>
          <t>Quelle: Balearic Properties</t>
        </is>
      </c>
    </row>
    <row r="6606">
      <c r="A6606" t="n">
        <v>6419</v>
      </c>
      <c r="B6606" t="inlineStr">
        <is>
          <t>Four bedroom Mallorcan villa for sale near Alcudia, Mallorca</t>
        </is>
      </c>
      <c r="C6606" t="inlineStr">
        <is>
          <t>https://www.balearic-properties.com/en/property/id/782046-villa-legal-alcudia-html</t>
        </is>
      </c>
      <c r="E6606" t="n">
        <v>4</v>
      </c>
      <c r="G6606" t="n">
        <v>7000</v>
      </c>
      <c r="H6606" t="n">
        <v>292</v>
      </c>
      <c r="J6606" t="inlineStr">
        <is>
          <t>Alcúdia</t>
        </is>
      </c>
      <c r="AH6606" t="inlineStr">
        <is>
          <t>Quelle: Balearic Properties</t>
        </is>
      </c>
    </row>
    <row r="6607">
      <c r="A6607" t="n">
        <v>6420</v>
      </c>
      <c r="B6607" t="inlineStr">
        <is>
          <t>Renovated apartment with sea view for sale in Puerto Portals, Mallorca</t>
        </is>
      </c>
      <c r="C6607" t="inlineStr">
        <is>
          <t>https://www.balearic-properties.com/en/property/id/782513-apartment-portals-html</t>
        </is>
      </c>
      <c r="E6607" t="n">
        <v>3</v>
      </c>
      <c r="G6607" t="n">
        <v>0</v>
      </c>
      <c r="H6607" t="n">
        <v>90</v>
      </c>
      <c r="J6607" t="inlineStr">
        <is>
          <t>Puerto Portals</t>
        </is>
      </c>
      <c r="AH6607" t="inlineStr">
        <is>
          <t>Quelle: Balearic Properties</t>
        </is>
      </c>
    </row>
    <row r="6608">
      <c r="A6608" t="n">
        <v>6421</v>
      </c>
      <c r="B6608" t="inlineStr">
        <is>
          <t>Frontline apartment for sale in Puerto Pollensa, Mallorca</t>
        </is>
      </c>
      <c r="C6608" t="inlineStr">
        <is>
          <t>https://www.balearic-properties.com/en/property/id/782366-apartment-puerto-pollensa-html</t>
        </is>
      </c>
      <c r="E6608" t="n">
        <v>1</v>
      </c>
      <c r="G6608" t="n">
        <v>0</v>
      </c>
      <c r="H6608" t="n">
        <v>60</v>
      </c>
      <c r="J6608" t="inlineStr">
        <is>
          <t>Port de Pollença</t>
        </is>
      </c>
      <c r="AH6608" t="inlineStr">
        <is>
          <t>Quelle: Balearic Properties</t>
        </is>
      </c>
    </row>
    <row r="6609">
      <c r="A6609" t="n">
        <v>6422</v>
      </c>
      <c r="B6609" t="inlineStr">
        <is>
          <t>Apartment with direct access to the sea for sale in Cala Vinyes, Mallorca</t>
        </is>
      </c>
      <c r="C6609" t="inlineStr">
        <is>
          <t>https://www.balearic-properties.com/en/property/id/773160-apartment-cala-vinyes-html</t>
        </is>
      </c>
      <c r="E6609" t="n">
        <v>2</v>
      </c>
      <c r="G6609" t="n">
        <v>0</v>
      </c>
      <c r="H6609" t="n">
        <v>135</v>
      </c>
      <c r="J6609" t="inlineStr">
        <is>
          <t>Cala Vinyes</t>
        </is>
      </c>
      <c r="AH6609" t="inlineStr">
        <is>
          <t>Quelle: Balearic Properties</t>
        </is>
      </c>
    </row>
    <row r="6610">
      <c r="A6610" t="n">
        <v>6423</v>
      </c>
      <c r="B6610" t="inlineStr">
        <is>
          <t>Rustic finca with picturesque garden for sale in Andratx, Mallorca</t>
        </is>
      </c>
      <c r="C6610" t="inlineStr">
        <is>
          <t>https://www.balearic-properties.com/en/property/id/781882-country-house-andratx-html</t>
        </is>
      </c>
      <c r="E6610" t="n">
        <v>5</v>
      </c>
      <c r="G6610" t="n">
        <v>30000</v>
      </c>
      <c r="H6610" t="n">
        <v>419</v>
      </c>
      <c r="J6610" t="inlineStr">
        <is>
          <t>Andratx</t>
        </is>
      </c>
      <c r="K6610" t="n">
        <v>40.3</v>
      </c>
      <c r="L6610" t="n">
        <v>36</v>
      </c>
      <c r="M6610" t="n">
        <v>83</v>
      </c>
      <c r="N6610" t="n">
        <v>68</v>
      </c>
      <c r="O6610" t="n">
        <v>2.7</v>
      </c>
      <c r="P6610" t="n">
        <v>7</v>
      </c>
      <c r="Q6610" t="n">
        <v>80.7</v>
      </c>
      <c r="R6610" t="n">
        <v>65</v>
      </c>
      <c r="AH6610" t="inlineStr">
        <is>
          <t>Quelle: Balearic Properties</t>
        </is>
      </c>
    </row>
    <row r="6611">
      <c r="A6611" t="n">
        <v>6424</v>
      </c>
      <c r="B6611" t="inlineStr">
        <is>
          <t>This beautiful villa, located very close to the beach, for sale in Puerto de Alcudia, Mallorca</t>
        </is>
      </c>
      <c r="C6611" t="inlineStr">
        <is>
          <t>https://www.balearic-properties.com/en/property/id/780588-beach-villa-alcudia-html</t>
        </is>
      </c>
      <c r="E6611" t="n">
        <v>3</v>
      </c>
      <c r="G6611" t="n">
        <v>592</v>
      </c>
      <c r="H6611" t="n">
        <v>135</v>
      </c>
      <c r="J6611" t="inlineStr">
        <is>
          <t>Puerto de Alcúdia</t>
        </is>
      </c>
      <c r="AH6611" t="inlineStr">
        <is>
          <t>Quelle: Balearic Properties</t>
        </is>
      </c>
    </row>
    <row r="6612">
      <c r="A6612" t="n">
        <v>6425</v>
      </c>
      <c r="B6612" t="inlineStr">
        <is>
          <t>Impressive villa with amazing view for sale in Son Vida, Palma de Mallorca</t>
        </is>
      </c>
      <c r="C6612" t="inlineStr">
        <is>
          <t>https://www.balearic-properties.com/en/property/id/773138-villa-son-vida-palma-html</t>
        </is>
      </c>
      <c r="E6612" t="n">
        <v>5</v>
      </c>
      <c r="G6612" t="n">
        <v>3000</v>
      </c>
      <c r="H6612" t="n">
        <v>850</v>
      </c>
      <c r="J6612" t="inlineStr">
        <is>
          <t>Son Vida</t>
        </is>
      </c>
      <c r="K6612" t="n">
        <v>19.2</v>
      </c>
      <c r="L6612" t="n">
        <v>22</v>
      </c>
      <c r="M6612" t="n">
        <v>61.9</v>
      </c>
      <c r="N6612" t="n">
        <v>55</v>
      </c>
      <c r="O6612" t="n">
        <v>31</v>
      </c>
      <c r="P6612" t="n">
        <v>31</v>
      </c>
      <c r="Q6612" t="n">
        <v>59.6</v>
      </c>
      <c r="R6612" t="n">
        <v>51</v>
      </c>
      <c r="AH6612" t="inlineStr">
        <is>
          <t>Quelle: Balearic Properties</t>
        </is>
      </c>
    </row>
    <row r="6613">
      <c r="A6613" t="n">
        <v>6426</v>
      </c>
      <c r="B6613" t="inlineStr">
        <is>
          <t>Apartments for sale in a new residential development of Santa Ponsa, Mallorca</t>
        </is>
      </c>
      <c r="C6613" t="inlineStr">
        <is>
          <t>https://www.balearic-properties.com/en/property/id/781226-apartment-santa-ponsa-development-html</t>
        </is>
      </c>
      <c r="E6613" t="n">
        <v>3</v>
      </c>
      <c r="G6613" t="n">
        <v>0</v>
      </c>
      <c r="H6613" t="n">
        <v>241</v>
      </c>
      <c r="J6613" t="inlineStr">
        <is>
          <t>Santa Ponsa</t>
        </is>
      </c>
      <c r="AH6613" t="inlineStr">
        <is>
          <t>Quelle: Balearic Properties</t>
        </is>
      </c>
    </row>
    <row r="6614">
      <c r="A6614" t="n">
        <v>6427</v>
      </c>
      <c r="B6614" t="inlineStr">
        <is>
          <t>Apartments for sale in the residential development of Santa Ponsa, Mallorca</t>
        </is>
      </c>
      <c r="C6614" t="inlineStr">
        <is>
          <t>https://www.balearic-properties.com/en/property/id/781235-apartment-santa-ponsa-development-html</t>
        </is>
      </c>
      <c r="E6614" t="n">
        <v>3</v>
      </c>
      <c r="G6614" t="n">
        <v>0</v>
      </c>
      <c r="H6614" t="n">
        <v>218</v>
      </c>
      <c r="J6614" t="inlineStr">
        <is>
          <t>Santa Ponsa</t>
        </is>
      </c>
      <c r="AH6614" t="inlineStr">
        <is>
          <t>Quelle: Balearic Properties</t>
        </is>
      </c>
    </row>
    <row r="6615">
      <c r="A6615" t="n">
        <v>6428</v>
      </c>
      <c r="B6615" t="inlineStr">
        <is>
          <t>Apartments for sale in the residential development of Santa Ponsa, Mallorca</t>
        </is>
      </c>
      <c r="C6615" t="inlineStr">
        <is>
          <t>https://www.balearic-properties.com/en/property/id/781236-apartment-santa-ponsa-development-html</t>
        </is>
      </c>
      <c r="E6615" t="n">
        <v>3</v>
      </c>
      <c r="G6615" t="n">
        <v>0</v>
      </c>
      <c r="H6615" t="n">
        <v>163</v>
      </c>
      <c r="J6615" t="inlineStr">
        <is>
          <t>Santa Ponsa</t>
        </is>
      </c>
      <c r="AH6615" t="inlineStr">
        <is>
          <t>Quelle: Balearic Properties</t>
        </is>
      </c>
    </row>
    <row r="6616">
      <c r="A6616" t="n">
        <v>6429</v>
      </c>
      <c r="B6616" t="inlineStr">
        <is>
          <t>Apartments for sale in the residential development of Santa Ponsa, Mallorca</t>
        </is>
      </c>
      <c r="C6616" t="inlineStr">
        <is>
          <t>https://www.balearic-properties.com/en/property/id/781239-apartment-santa-ponsa-development-html</t>
        </is>
      </c>
      <c r="E6616" t="n">
        <v>4</v>
      </c>
      <c r="G6616" t="n">
        <v>0</v>
      </c>
      <c r="H6616" t="n">
        <v>306</v>
      </c>
      <c r="J6616" t="inlineStr">
        <is>
          <t>Santa Ponsa</t>
        </is>
      </c>
      <c r="AH6616" t="inlineStr">
        <is>
          <t>Quelle: Balearic Properties</t>
        </is>
      </c>
    </row>
    <row r="6617">
      <c r="A6617" t="n">
        <v>6430</v>
      </c>
      <c r="B6617" t="inlineStr">
        <is>
          <t>Apartments for sale in the residential development of Santa Ponsa, Mallorca</t>
        </is>
      </c>
      <c r="C6617" t="inlineStr">
        <is>
          <t>https://www.balearic-properties.com/en/property/id/781240-apartment-santa-ponsa-development-html</t>
        </is>
      </c>
      <c r="E6617" t="n">
        <v>4</v>
      </c>
      <c r="G6617" t="n">
        <v>0</v>
      </c>
      <c r="H6617" t="n">
        <v>287</v>
      </c>
      <c r="J6617" t="inlineStr">
        <is>
          <t>Santa Ponsa</t>
        </is>
      </c>
      <c r="AH6617" t="inlineStr">
        <is>
          <t>Quelle: Balearic Properties</t>
        </is>
      </c>
    </row>
    <row r="6618">
      <c r="A6618" t="n">
        <v>6431</v>
      </c>
      <c r="B6618" t="inlineStr">
        <is>
          <t>Impressive villa for sale in Costa d´en Blanes, Mallorca</t>
        </is>
      </c>
      <c r="C6618" t="inlineStr">
        <is>
          <t>https://www.balearic-properties.com/en/property/id/781146-mallorca-villa-calvia-html</t>
        </is>
      </c>
      <c r="E6618" t="n">
        <v>4</v>
      </c>
      <c r="G6618" t="n">
        <v>820</v>
      </c>
      <c r="H6618" t="n">
        <v>619</v>
      </c>
      <c r="J6618" t="inlineStr">
        <is>
          <t>Costa D´en Blanes</t>
        </is>
      </c>
      <c r="AH6618" t="inlineStr">
        <is>
          <t>Quelle: Balearic Properties</t>
        </is>
      </c>
    </row>
    <row r="6619">
      <c r="A6619" t="n">
        <v>6432</v>
      </c>
      <c r="B6619" t="inlineStr">
        <is>
          <t>Apartment with private garden for sale in Santa Ponsa, Mallorca</t>
        </is>
      </c>
      <c r="C6619" t="inlineStr">
        <is>
          <t>https://www.balearic-properties.com/en/property/id/781237-apartment-santa-ponsa-development-html</t>
        </is>
      </c>
      <c r="E6619" t="n">
        <v>3</v>
      </c>
      <c r="G6619" t="n">
        <v>0</v>
      </c>
      <c r="H6619" t="n">
        <v>218</v>
      </c>
      <c r="J6619" t="inlineStr">
        <is>
          <t>Santa Ponsa</t>
        </is>
      </c>
      <c r="AH6619" t="inlineStr">
        <is>
          <t>Quelle: Balearic Properties</t>
        </is>
      </c>
    </row>
    <row r="6620">
      <c r="A6620" t="n">
        <v>6433</v>
      </c>
      <c r="B6620" t="inlineStr">
        <is>
          <t>Charming country villa with holiday rental license for sale near Llubi, Mallorca</t>
        </is>
      </c>
      <c r="C6620" t="inlineStr">
        <is>
          <t>https://www.balearic-properties.com/en/property/id/780965-mallorca-finca-llubi-html</t>
        </is>
      </c>
      <c r="E6620" t="n">
        <v>3</v>
      </c>
      <c r="G6620" t="n">
        <v>19056</v>
      </c>
      <c r="H6620" t="n">
        <v>311</v>
      </c>
      <c r="J6620" t="inlineStr">
        <is>
          <t>Llubí</t>
        </is>
      </c>
      <c r="AH6620" t="inlineStr">
        <is>
          <t>Quelle: Balearic Properties</t>
        </is>
      </c>
    </row>
    <row r="6621">
      <c r="A6621" t="n">
        <v>6434</v>
      </c>
      <c r="B6621" t="inlineStr">
        <is>
          <t>Luxurious duplex apartment with sea views for sale in Palma</t>
        </is>
      </c>
      <c r="C6621" t="inlineStr">
        <is>
          <t>https://www.balearic-properties.com/en/property/id/780828-apartment-palma-mallorca-html</t>
        </is>
      </c>
      <c r="E6621" t="n">
        <v>4</v>
      </c>
      <c r="G6621" t="n">
        <v>0</v>
      </c>
      <c r="H6621" t="n">
        <v>490</v>
      </c>
      <c r="J6621" t="inlineStr">
        <is>
          <t>Palma de Mallorca</t>
        </is>
      </c>
      <c r="AH6621" t="inlineStr">
        <is>
          <t>Quelle: Balearic Properties</t>
        </is>
      </c>
    </row>
    <row r="6622">
      <c r="A6622" t="n">
        <v>6435</v>
      </c>
      <c r="B6622" t="inlineStr">
        <is>
          <t>Brand new development with top quality townhouses for sale in Genova, Palma de Mallorca</t>
        </is>
      </c>
      <c r="C6622" t="inlineStr">
        <is>
          <t>https://www.balearic-properties.com/en/property/id/780194-townhouse-genova-palma-html</t>
        </is>
      </c>
      <c r="E6622" t="n">
        <v>3</v>
      </c>
      <c r="G6622" t="n">
        <v>211</v>
      </c>
      <c r="H6622" t="n">
        <v>147</v>
      </c>
      <c r="J6622" t="inlineStr">
        <is>
          <t>Palma de Mallorca</t>
        </is>
      </c>
      <c r="AH6622" t="inlineStr">
        <is>
          <t>Quelle: Balearic Properties</t>
        </is>
      </c>
    </row>
    <row r="6623">
      <c r="A6623" t="n">
        <v>6436</v>
      </c>
      <c r="B6623" t="inlineStr">
        <is>
          <t>Brand new development with top quality townhouses for sale in Genova, Palma de Mallorca</t>
        </is>
      </c>
      <c r="C6623" t="inlineStr">
        <is>
          <t>https://www.balearic-properties.com/en/property/id/780196-townhouse-genova-palma-html</t>
        </is>
      </c>
      <c r="E6623" t="n">
        <v>3</v>
      </c>
      <c r="G6623" t="n">
        <v>215</v>
      </c>
      <c r="H6623" t="n">
        <v>148</v>
      </c>
      <c r="J6623" t="inlineStr">
        <is>
          <t>Palma de Mallorca</t>
        </is>
      </c>
      <c r="AH6623" t="inlineStr">
        <is>
          <t>Quelle: Balearic Properties</t>
        </is>
      </c>
    </row>
    <row r="6624">
      <c r="A6624" t="n">
        <v>6437</v>
      </c>
      <c r="B6624" t="inlineStr">
        <is>
          <t>Wonderful penthouse with large terrace for sale in La Bonanova, Palma de Mallorca</t>
        </is>
      </c>
      <c r="C6624" t="inlineStr">
        <is>
          <t>https://www.balearic-properties.com/en/property/id/775676-penthouse-bonanova-palma-html</t>
        </is>
      </c>
      <c r="E6624" t="n">
        <v>3</v>
      </c>
      <c r="G6624" t="n">
        <v>0</v>
      </c>
      <c r="H6624" t="n">
        <v>190</v>
      </c>
      <c r="J6624" t="inlineStr">
        <is>
          <t>La Bonanova</t>
        </is>
      </c>
      <c r="AH6624" t="inlineStr">
        <is>
          <t>Quelle: Balearic Properties</t>
        </is>
      </c>
    </row>
    <row r="6625">
      <c r="A6625" t="n">
        <v>6438</v>
      </c>
      <c r="B6625" t="inlineStr">
        <is>
          <t>Seafront apartment for sale in Cala Vinyas, Mallorca</t>
        </is>
      </c>
      <c r="C6625" t="inlineStr">
        <is>
          <t>https://www.balearic-properties.com/en/property/id/779906-mallorca-apartment-cala-vinyas-html</t>
        </is>
      </c>
      <c r="E6625" t="n">
        <v>4</v>
      </c>
      <c r="G6625" t="n">
        <v>0</v>
      </c>
      <c r="H6625" t="n">
        <v>165</v>
      </c>
      <c r="J6625" t="inlineStr">
        <is>
          <t>Cala Vinyes</t>
        </is>
      </c>
      <c r="AH6625" t="inlineStr">
        <is>
          <t>Quelle: Balearic Properties</t>
        </is>
      </c>
    </row>
    <row r="6626">
      <c r="A6626" t="n">
        <v>6439</v>
      </c>
      <c r="B6626" t="inlineStr">
        <is>
          <t>Spacious villa within residential community for sale in Santa Ponsa, Mallorca</t>
        </is>
      </c>
      <c r="C6626" t="inlineStr">
        <is>
          <t>https://www.balearic-properties.com/en/property/id/777786-villa-santa-ponsa-html</t>
        </is>
      </c>
      <c r="E6626" t="n">
        <v>6</v>
      </c>
      <c r="G6626" t="n">
        <v>500</v>
      </c>
      <c r="H6626" t="n">
        <v>480</v>
      </c>
      <c r="J6626" t="inlineStr">
        <is>
          <t>Santa Ponsa</t>
        </is>
      </c>
      <c r="K6626" t="n">
        <v>31.1</v>
      </c>
      <c r="L6626" t="n">
        <v>28</v>
      </c>
      <c r="M6626" t="n">
        <v>73.90000000000001</v>
      </c>
      <c r="N6626" t="n">
        <v>61</v>
      </c>
      <c r="O6626" t="n">
        <v>15.2</v>
      </c>
      <c r="P6626" t="n">
        <v>19</v>
      </c>
      <c r="Q6626" t="n">
        <v>71.59999999999999</v>
      </c>
      <c r="R6626" t="n">
        <v>57</v>
      </c>
      <c r="AH6626" t="inlineStr">
        <is>
          <t>Quelle: Balearic Properties</t>
        </is>
      </c>
    </row>
    <row r="6627">
      <c r="A6627" t="n">
        <v>6440</v>
      </c>
      <c r="B6627" t="inlineStr">
        <is>
          <t>Fantastic town house with pool for sale in Pollensa, Mallorca</t>
        </is>
      </c>
      <c r="C6627" t="inlineStr">
        <is>
          <t>https://www.balearic-properties.com/en/property/id/778770-renovated-townhouse-pollensa-html</t>
        </is>
      </c>
      <c r="E6627" t="n">
        <v>2</v>
      </c>
      <c r="G6627" t="n">
        <v>0</v>
      </c>
      <c r="H6627" t="n">
        <v>125</v>
      </c>
      <c r="J6627" t="inlineStr">
        <is>
          <t>Pollença</t>
        </is>
      </c>
      <c r="AH6627" t="inlineStr">
        <is>
          <t>Quelle: Balearic Properties</t>
        </is>
      </c>
    </row>
    <row r="6628">
      <c r="A6628" t="n">
        <v>6441</v>
      </c>
      <c r="B6628" t="inlineStr">
        <is>
          <t>Traditional town house for sale in Pollensa, Mallorca</t>
        </is>
      </c>
      <c r="C6628" t="inlineStr">
        <is>
          <t>https://www.balearic-properties.com/en/property/id/778069-mallorca-house-pollensa-html</t>
        </is>
      </c>
      <c r="E6628" t="n">
        <v>4</v>
      </c>
      <c r="G6628" t="n">
        <v>90</v>
      </c>
      <c r="H6628" t="n">
        <v>240</v>
      </c>
      <c r="J6628" t="inlineStr">
        <is>
          <t>Pollença Pueblo</t>
        </is>
      </c>
      <c r="AH6628" t="inlineStr">
        <is>
          <t>Quelle: Balearic Properties</t>
        </is>
      </c>
    </row>
    <row r="6629">
      <c r="A6629" t="n">
        <v>6442</v>
      </c>
      <c r="B6629" t="inlineStr">
        <is>
          <t>Ground floor apartment for sale near Port Adriano, Mallorca</t>
        </is>
      </c>
      <c r="C6629" t="inlineStr">
        <is>
          <t>https://www.balearic-properties.com/en/property/id/770432-apartment-santa-ponsa-html</t>
        </is>
      </c>
      <c r="E6629" t="n">
        <v>2</v>
      </c>
      <c r="G6629" t="n">
        <v>0</v>
      </c>
      <c r="H6629" t="n">
        <v>181</v>
      </c>
      <c r="J6629" t="inlineStr">
        <is>
          <t>Santa Ponsa</t>
        </is>
      </c>
      <c r="AH6629" t="inlineStr">
        <is>
          <t>Quelle: Balearic Properties</t>
        </is>
      </c>
    </row>
    <row r="6630">
      <c r="A6630" t="n">
        <v>6443</v>
      </c>
      <c r="B6630" t="inlineStr">
        <is>
          <t>Finca with garden and pool for sale in Puerto Andratx, Mallorca</t>
        </is>
      </c>
      <c r="C6630" t="inlineStr">
        <is>
          <t>https://www.balearic-properties.com/en/property/id/775500-finca-puerto-andratx-html</t>
        </is>
      </c>
      <c r="E6630" t="n">
        <v>3</v>
      </c>
      <c r="G6630" t="n">
        <v>2160</v>
      </c>
      <c r="H6630" t="n">
        <v>236</v>
      </c>
      <c r="J6630" t="inlineStr">
        <is>
          <t>Andratx</t>
        </is>
      </c>
      <c r="AH6630" t="inlineStr">
        <is>
          <t>Quelle: Balearic Properties</t>
        </is>
      </c>
    </row>
    <row r="6631">
      <c r="A6631" t="n">
        <v>6444</v>
      </c>
      <c r="B6631" t="inlineStr">
        <is>
          <t>Brand new residential community of apartments for sale in Genova, Palma de Mallorca</t>
        </is>
      </c>
      <c r="C6631" t="inlineStr">
        <is>
          <t>https://www.balearic-properties.com/en/property/id/776595-apartments-genova-html</t>
        </is>
      </c>
      <c r="E6631" t="n">
        <v>4</v>
      </c>
      <c r="G6631" t="n">
        <v>0</v>
      </c>
      <c r="H6631" t="n">
        <v>0</v>
      </c>
      <c r="J6631" t="inlineStr">
        <is>
          <t>Palma de Mallorca</t>
        </is>
      </c>
      <c r="AH6631" t="inlineStr">
        <is>
          <t>Quelle: Balearic Properties</t>
        </is>
      </c>
    </row>
    <row r="6632">
      <c r="A6632" t="n">
        <v>6445</v>
      </c>
      <c r="B6632" t="inlineStr">
        <is>
          <t>Villa with holiday rental license for sale in Pollensa, Mallorca</t>
        </is>
      </c>
      <c r="C6632" t="inlineStr">
        <is>
          <t>https://www.balearic-properties.com/en/property/id/774609-villa-pollensa-etv-html</t>
        </is>
      </c>
      <c r="E6632" t="n">
        <v>5</v>
      </c>
      <c r="G6632" t="n">
        <v>1835</v>
      </c>
      <c r="H6632" t="n">
        <v>333</v>
      </c>
      <c r="J6632" t="inlineStr">
        <is>
          <t>Pollença</t>
        </is>
      </c>
      <c r="K6632" t="n">
        <v>60.6</v>
      </c>
      <c r="L6632" t="n">
        <v>47</v>
      </c>
      <c r="M6632" t="n">
        <v>78.7</v>
      </c>
      <c r="N6632" t="n">
        <v>74</v>
      </c>
      <c r="O6632" t="n">
        <v>83.2</v>
      </c>
      <c r="P6632" t="n">
        <v>63</v>
      </c>
      <c r="Q6632" t="n">
        <v>76.40000000000001</v>
      </c>
      <c r="R6632" t="n">
        <v>70</v>
      </c>
      <c r="AH6632" t="inlineStr">
        <is>
          <t>Quelle: Balearic Properties</t>
        </is>
      </c>
    </row>
    <row r="6633">
      <c r="A6633" t="n">
        <v>6446</v>
      </c>
      <c r="B6633" t="inlineStr">
        <is>
          <t>Unique opportunity: Recently reformed townhouse for sale in Molinar / Portixol, Mallorca</t>
        </is>
      </c>
      <c r="C6633" t="inlineStr">
        <is>
          <t>https://www.balearic-properties.com/en/property/id/773156-mallorca-townhouse-portixol-html</t>
        </is>
      </c>
      <c r="E6633" t="n">
        <v>3</v>
      </c>
      <c r="G6633" t="n">
        <v>151</v>
      </c>
      <c r="H6633" t="n">
        <v>325</v>
      </c>
      <c r="J6633" t="inlineStr">
        <is>
          <t>Portixol</t>
        </is>
      </c>
      <c r="AH6633" t="inlineStr">
        <is>
          <t>Quelle: Balearic Properties</t>
        </is>
      </c>
    </row>
    <row r="6634">
      <c r="A6634" t="n">
        <v>6447</v>
      </c>
      <c r="B6634" t="inlineStr">
        <is>
          <t>Top floor duplex with sea views for sale in Puerto Pollensa, Mallorca</t>
        </is>
      </c>
      <c r="C6634" t="inlineStr">
        <is>
          <t>https://www.balearic-properties.com/en/property/id/768985-puerto-pollensa-apartment-html</t>
        </is>
      </c>
      <c r="E6634" t="n">
        <v>4</v>
      </c>
      <c r="G6634" t="n">
        <v>0</v>
      </c>
      <c r="H6634" t="n">
        <v>213</v>
      </c>
      <c r="J6634" t="inlineStr">
        <is>
          <t>Port de Pollença</t>
        </is>
      </c>
      <c r="AH6634" t="inlineStr">
        <is>
          <t>Quelle: Balearic Properties</t>
        </is>
      </c>
    </row>
    <row r="6635">
      <c r="A6635" t="n">
        <v>6448</v>
      </c>
      <c r="B6635" t="inlineStr">
        <is>
          <t>Villa distributed on three floors with sea views for sale in Bendinat Golf</t>
        </is>
      </c>
      <c r="C6635" t="inlineStr">
        <is>
          <t>https://www.balearic-properties.com/en/property/id/773905-villa-golf-mallorca-sea-html</t>
        </is>
      </c>
      <c r="E6635" t="n">
        <v>6</v>
      </c>
      <c r="G6635" t="n">
        <v>1051</v>
      </c>
      <c r="H6635" t="n">
        <v>889</v>
      </c>
      <c r="J6635" t="inlineStr">
        <is>
          <t>Bendinat</t>
        </is>
      </c>
      <c r="K6635" t="n">
        <v>23.1</v>
      </c>
      <c r="L6635" t="n">
        <v>22</v>
      </c>
      <c r="M6635" t="n">
        <v>65.8</v>
      </c>
      <c r="N6635" t="n">
        <v>55</v>
      </c>
      <c r="O6635" t="n">
        <v>23.2</v>
      </c>
      <c r="P6635" t="n">
        <v>23</v>
      </c>
      <c r="Q6635" t="n">
        <v>63.5</v>
      </c>
      <c r="R6635" t="n">
        <v>51</v>
      </c>
      <c r="AH6635" t="inlineStr">
        <is>
          <t>Quelle: Balearic Properties</t>
        </is>
      </c>
    </row>
    <row r="6636">
      <c r="A6636" t="n">
        <v>6449</v>
      </c>
      <c r="B6636" t="inlineStr">
        <is>
          <t>Apartment in great location overlooking the port of Palma de Mallorca</t>
        </is>
      </c>
      <c r="C6636" t="inlineStr">
        <is>
          <t>https://www.balearic-properties.com/en/property/id/773199-apartment-palma-mallorca-html</t>
        </is>
      </c>
      <c r="E6636" t="n">
        <v>3</v>
      </c>
      <c r="G6636" t="n">
        <v>0</v>
      </c>
      <c r="H6636" t="n">
        <v>190</v>
      </c>
      <c r="J6636" t="inlineStr">
        <is>
          <t>Palma de Mallorca</t>
        </is>
      </c>
      <c r="AH6636" t="inlineStr">
        <is>
          <t>Quelle: Balearic Properties</t>
        </is>
      </c>
    </row>
    <row r="6637">
      <c r="A6637" t="n">
        <v>6450</v>
      </c>
      <c r="B6637" t="inlineStr">
        <is>
          <t>Stylish country finca for sale in Binissalem, Mallorca</t>
        </is>
      </c>
      <c r="C6637" t="inlineStr">
        <is>
          <t>https://www.balearic-properties.com/en/property/id/771617-mallorca-finca-binissalem-html</t>
        </is>
      </c>
      <c r="E6637" t="n">
        <v>5</v>
      </c>
      <c r="G6637" t="n">
        <v>14000</v>
      </c>
      <c r="H6637" t="n">
        <v>320</v>
      </c>
      <c r="J6637" t="inlineStr">
        <is>
          <t>Binissalem</t>
        </is>
      </c>
      <c r="K6637" t="n">
        <v>31.5</v>
      </c>
      <c r="L6637" t="n">
        <v>29</v>
      </c>
      <c r="M6637" t="n">
        <v>74.3</v>
      </c>
      <c r="N6637" t="n">
        <v>62</v>
      </c>
      <c r="O6637" t="n">
        <v>54.1</v>
      </c>
      <c r="P6637" t="n">
        <v>45</v>
      </c>
      <c r="Q6637" t="n">
        <v>72</v>
      </c>
      <c r="R6637" t="n">
        <v>58</v>
      </c>
      <c r="AH6637" t="inlineStr">
        <is>
          <t>Quelle: Balearic Properties</t>
        </is>
      </c>
    </row>
    <row r="6638">
      <c r="A6638" t="n">
        <v>6451</v>
      </c>
      <c r="B6638" t="inlineStr">
        <is>
          <t>Impressive country estate for sale in Santa Maria, Mallorca</t>
        </is>
      </c>
      <c r="C6638" t="inlineStr">
        <is>
          <t>https://www.balearic-properties.com/en/property/id/761009-country-estate-santa-maria-html</t>
        </is>
      </c>
      <c r="E6638" t="n">
        <v>6</v>
      </c>
      <c r="G6638" t="n">
        <v>10654</v>
      </c>
      <c r="H6638" t="n">
        <v>474</v>
      </c>
      <c r="J6638" t="inlineStr">
        <is>
          <t>Santa Maria del Camí</t>
        </is>
      </c>
      <c r="K6638" t="n">
        <v>23.5</v>
      </c>
      <c r="L6638" t="n">
        <v>21</v>
      </c>
      <c r="M6638" t="n">
        <v>66.3</v>
      </c>
      <c r="N6638" t="n">
        <v>54</v>
      </c>
      <c r="O6638" t="n">
        <v>46.1</v>
      </c>
      <c r="P6638" t="n">
        <v>37</v>
      </c>
      <c r="Q6638" t="n">
        <v>64</v>
      </c>
      <c r="R6638" t="n">
        <v>51</v>
      </c>
      <c r="AH6638" t="inlineStr">
        <is>
          <t>Quelle: Balearic Properties</t>
        </is>
      </c>
    </row>
    <row r="6639">
      <c r="A6639" t="n">
        <v>6452</v>
      </c>
      <c r="B6639" t="inlineStr">
        <is>
          <t>Impeccable apartment with ETV licence for sale in Puerto Pollensa, Mallorca</t>
        </is>
      </c>
      <c r="C6639" t="inlineStr">
        <is>
          <t>https://www.balearic-properties.com/en/property/id/769469-puerto-pollensa-apartment-html</t>
        </is>
      </c>
      <c r="E6639" t="n">
        <v>3</v>
      </c>
      <c r="G6639" t="n">
        <v>0</v>
      </c>
      <c r="H6639" t="n">
        <v>130</v>
      </c>
      <c r="J6639" t="inlineStr">
        <is>
          <t>Port de Pollença</t>
        </is>
      </c>
      <c r="AH6639" t="inlineStr">
        <is>
          <t>Quelle: Balearic Properties</t>
        </is>
      </c>
    </row>
    <row r="6640">
      <c r="A6640" t="n">
        <v>6453</v>
      </c>
      <c r="B6640" t="inlineStr">
        <is>
          <t>Unique town house with pool for sale in the heart of Pollensa, Mallorca</t>
        </is>
      </c>
      <c r="C6640" t="inlineStr">
        <is>
          <t>https://www.balearic-properties.com/en/property/id/675952-townhouse-calvario-pollensa-html</t>
        </is>
      </c>
      <c r="E6640" t="n">
        <v>3</v>
      </c>
      <c r="G6640" t="n">
        <v>209</v>
      </c>
      <c r="H6640" t="n">
        <v>204</v>
      </c>
      <c r="J6640" t="inlineStr">
        <is>
          <t>Pollença</t>
        </is>
      </c>
      <c r="AH6640" t="inlineStr">
        <is>
          <t>Quelle: Balearic Properties</t>
        </is>
      </c>
    </row>
    <row r="6641">
      <c r="A6641" t="n">
        <v>6454</v>
      </c>
      <c r="B6641" t="inlineStr">
        <is>
          <t>Bright apartment for sale in La Calatrava - Palma, Mallorca</t>
        </is>
      </c>
      <c r="C6641" t="inlineStr">
        <is>
          <t>https://www.balearic-properties.com/en/property/id/769058-apartment-palma-html</t>
        </is>
      </c>
      <c r="E6641" t="n">
        <v>2</v>
      </c>
      <c r="G6641" t="n">
        <v>0</v>
      </c>
      <c r="H6641" t="n">
        <v>170</v>
      </c>
      <c r="J6641" t="inlineStr">
        <is>
          <t>Palma de Mallorca</t>
        </is>
      </c>
      <c r="AH6641" t="inlineStr">
        <is>
          <t>Quelle: Balearic Properties</t>
        </is>
      </c>
    </row>
    <row r="6642">
      <c r="A6642" t="n">
        <v>6455</v>
      </c>
      <c r="B6642" t="inlineStr">
        <is>
          <t>Luxury sea view villa for sale in Alcanada, Alcúdia, Mallorca</t>
        </is>
      </c>
      <c r="C6642" t="inlineStr">
        <is>
          <t>https://www.balearic-properties.com/en/property/id/769611-mallorca-villa-alcudia-html</t>
        </is>
      </c>
      <c r="E6642" t="n">
        <v>6</v>
      </c>
      <c r="G6642" t="n">
        <v>488</v>
      </c>
      <c r="H6642" t="n">
        <v>366</v>
      </c>
      <c r="J6642" t="inlineStr">
        <is>
          <t>Alcanada</t>
        </is>
      </c>
      <c r="K6642" t="n">
        <v>64.2</v>
      </c>
      <c r="L6642" t="n">
        <v>48</v>
      </c>
      <c r="M6642" t="n">
        <v>82.3</v>
      </c>
      <c r="N6642" t="n">
        <v>75</v>
      </c>
      <c r="O6642" t="n">
        <v>86.8</v>
      </c>
      <c r="P6642" t="n">
        <v>64</v>
      </c>
      <c r="Q6642" t="n">
        <v>80</v>
      </c>
      <c r="R6642" t="n">
        <v>71</v>
      </c>
      <c r="AH6642" t="inlineStr">
        <is>
          <t>Quelle: Balearic Properties</t>
        </is>
      </c>
    </row>
    <row r="6643">
      <c r="A6643" t="n">
        <v>6456</v>
      </c>
      <c r="B6643" t="inlineStr">
        <is>
          <t>Amazing townhouse with gorgeous terrace for sale in Santa Catalina, Palma, Mallorca</t>
        </is>
      </c>
      <c r="C6643" t="inlineStr">
        <is>
          <t>https://www.balearic-properties.com/en/property/id/764742-palma-house-pool-mallorca-html</t>
        </is>
      </c>
      <c r="E6643" t="n">
        <v>3</v>
      </c>
      <c r="G6643" t="n">
        <v>0</v>
      </c>
      <c r="H6643" t="n">
        <v>290</v>
      </c>
      <c r="J6643" t="inlineStr">
        <is>
          <t>Santa Catalina</t>
        </is>
      </c>
      <c r="AH6643" t="inlineStr">
        <is>
          <t>Quelle: Balearic Properties</t>
        </is>
      </c>
    </row>
    <row r="6644">
      <c r="A6644" t="n">
        <v>6457</v>
      </c>
      <c r="B6644" t="inlineStr">
        <is>
          <t>Villa with southwest orientation in Palmanova, Mallorca</t>
        </is>
      </c>
      <c r="C6644" t="inlineStr">
        <is>
          <t>https://www.balearic-properties.com/en/property/id/768628-villa-palmanova-html</t>
        </is>
      </c>
      <c r="E6644" t="n">
        <v>5</v>
      </c>
      <c r="G6644" t="n">
        <v>2800</v>
      </c>
      <c r="H6644" t="n">
        <v>520</v>
      </c>
      <c r="J6644" t="inlineStr">
        <is>
          <t>Palmanova</t>
        </is>
      </c>
      <c r="K6644" t="n">
        <v>25.9</v>
      </c>
      <c r="L6644" t="n">
        <v>24</v>
      </c>
      <c r="M6644" t="n">
        <v>68.59999999999999</v>
      </c>
      <c r="N6644" t="n">
        <v>57</v>
      </c>
      <c r="O6644" t="n">
        <v>18.5</v>
      </c>
      <c r="P6644" t="n">
        <v>21</v>
      </c>
      <c r="Q6644" t="n">
        <v>66.3</v>
      </c>
      <c r="R6644" t="n">
        <v>54</v>
      </c>
      <c r="AH6644" t="inlineStr">
        <is>
          <t>Quelle: Balearic Properties</t>
        </is>
      </c>
    </row>
    <row r="6645">
      <c r="A6645" t="n">
        <v>6458</v>
      </c>
      <c r="B6645" t="inlineStr">
        <is>
          <t>Duplex-apartment in the heart of Santa Catalina Palma, Mallorca</t>
        </is>
      </c>
      <c r="C6645" t="inlineStr">
        <is>
          <t>https://www.balearic-properties.com/en/property/id/768382-duplex-santa-catalina-html</t>
        </is>
      </c>
      <c r="E6645" t="n">
        <v>3</v>
      </c>
      <c r="G6645" t="n">
        <v>0</v>
      </c>
      <c r="H6645" t="n">
        <v>172</v>
      </c>
      <c r="J6645" t="inlineStr">
        <is>
          <t>Santa Catalina</t>
        </is>
      </c>
      <c r="AH6645" t="inlineStr">
        <is>
          <t>Quelle: Balearic Properties</t>
        </is>
      </c>
    </row>
    <row r="6646">
      <c r="A6646" t="n">
        <v>6459</v>
      </c>
      <c r="B6646" t="inlineStr">
        <is>
          <t>Spacious apartment for sale in Pollensa, Mallorca</t>
        </is>
      </c>
      <c r="C6646" t="inlineStr">
        <is>
          <t>https://www.balearic-properties.com/en/property/id/765268-mallorca-apartment-pollensa-html</t>
        </is>
      </c>
      <c r="E6646" t="n">
        <v>3</v>
      </c>
      <c r="G6646" t="n">
        <v>0</v>
      </c>
      <c r="H6646" t="n">
        <v>112</v>
      </c>
      <c r="J6646" t="inlineStr">
        <is>
          <t>Pollença Pueblo</t>
        </is>
      </c>
      <c r="AH6646" t="inlineStr">
        <is>
          <t>Quelle: Balearic Properties</t>
        </is>
      </c>
    </row>
    <row r="6647">
      <c r="A6647" t="n">
        <v>6460</v>
      </c>
      <c r="B6647" t="inlineStr">
        <is>
          <t>House for sale in Puerto Pollensa, Mallorca</t>
        </is>
      </c>
      <c r="C6647" t="inlineStr">
        <is>
          <t>https://www.balearic-properties.com/en/property/id/766488-puerto-pollensa-house-html</t>
        </is>
      </c>
      <c r="E6647" t="n">
        <v>4</v>
      </c>
      <c r="G6647" t="n">
        <v>363</v>
      </c>
      <c r="H6647" t="n">
        <v>120</v>
      </c>
      <c r="J6647" t="inlineStr">
        <is>
          <t>Port de Pollença</t>
        </is>
      </c>
      <c r="AH6647" t="inlineStr">
        <is>
          <t>Quelle: Balearic Properties</t>
        </is>
      </c>
    </row>
    <row r="6648">
      <c r="A6648" t="n">
        <v>6461</v>
      </c>
      <c r="B6648" t="inlineStr">
        <is>
          <t>Hacienda style property for sale in Santa Maria, Mallorca</t>
        </is>
      </c>
      <c r="C6648" t="inlineStr">
        <is>
          <t>https://www.balearic-properties.com/en/property/id/759118-country-house-santa-maria-html</t>
        </is>
      </c>
      <c r="E6648" t="n">
        <v>6</v>
      </c>
      <c r="G6648" t="n">
        <v>25500</v>
      </c>
      <c r="H6648" t="n">
        <v>0</v>
      </c>
      <c r="J6648" t="inlineStr">
        <is>
          <t>Santa Maria del Camí</t>
        </is>
      </c>
      <c r="K6648" t="n">
        <v>23.5</v>
      </c>
      <c r="L6648" t="n">
        <v>21</v>
      </c>
      <c r="M6648" t="n">
        <v>66.3</v>
      </c>
      <c r="N6648" t="n">
        <v>54</v>
      </c>
      <c r="O6648" t="n">
        <v>46.1</v>
      </c>
      <c r="P6648" t="n">
        <v>37</v>
      </c>
      <c r="Q6648" t="n">
        <v>64</v>
      </c>
      <c r="R6648" t="n">
        <v>51</v>
      </c>
      <c r="AH6648" t="inlineStr">
        <is>
          <t>Quelle: Balearic Properties</t>
        </is>
      </c>
    </row>
    <row r="6649">
      <c r="A6649" t="n">
        <v>6462</v>
      </c>
      <c r="B6649" t="inlineStr">
        <is>
          <t>Villa with beautiful views for sale in Bunyola, Mallorca</t>
        </is>
      </c>
      <c r="C6649" t="inlineStr">
        <is>
          <t>https://www.balearic-properties.com/en/property/id/766532-villa-bunyola-html</t>
        </is>
      </c>
      <c r="E6649" t="n">
        <v>5</v>
      </c>
      <c r="G6649" t="n">
        <v>2000</v>
      </c>
      <c r="H6649" t="n">
        <v>626</v>
      </c>
      <c r="J6649" t="inlineStr">
        <is>
          <t>Bunyola</t>
        </is>
      </c>
      <c r="K6649" t="n">
        <v>26.3</v>
      </c>
      <c r="L6649" t="n">
        <v>25</v>
      </c>
      <c r="M6649" t="n">
        <v>69.09999999999999</v>
      </c>
      <c r="N6649" t="n">
        <v>58</v>
      </c>
      <c r="O6649" t="n">
        <v>48.9</v>
      </c>
      <c r="P6649" t="n">
        <v>41</v>
      </c>
      <c r="Q6649" t="n">
        <v>66.8</v>
      </c>
      <c r="R6649" t="n">
        <v>54</v>
      </c>
      <c r="AH6649" t="inlineStr">
        <is>
          <t>Quelle: Balearic Properties</t>
        </is>
      </c>
    </row>
    <row r="6650">
      <c r="A6650" t="n">
        <v>6463</v>
      </c>
      <c r="B6650" t="inlineStr">
        <is>
          <t>Beautiful sea view villa for sale in Costa d''en Blanes, Mallorca</t>
        </is>
      </c>
      <c r="C6650" t="inlineStr">
        <is>
          <t>https://www.balearic-properties.com/en/property/id/764521-villa-luxury-costa-blanes-html</t>
        </is>
      </c>
      <c r="E6650" t="n">
        <v>3</v>
      </c>
      <c r="G6650" t="n">
        <v>818</v>
      </c>
      <c r="H6650" t="n">
        <v>317</v>
      </c>
      <c r="J6650" t="inlineStr">
        <is>
          <t>Costa D´en Blanes</t>
        </is>
      </c>
      <c r="AH6650" t="inlineStr">
        <is>
          <t>Quelle: Balearic Properties</t>
        </is>
      </c>
    </row>
    <row r="6651">
      <c r="A6651" t="n">
        <v>6464</v>
      </c>
      <c r="B6651" t="inlineStr">
        <is>
          <t>Beautiful townhouse with large garden for sale in Puigpunyent, Mallorca</t>
        </is>
      </c>
      <c r="C6651" t="inlineStr">
        <is>
          <t>https://www.balearic-properties.com/en/property/id/765913-house-garden-mountains-puigpunyent-html</t>
        </is>
      </c>
      <c r="E6651" t="n">
        <v>4</v>
      </c>
      <c r="G6651" t="n">
        <v>443</v>
      </c>
      <c r="H6651" t="n">
        <v>294</v>
      </c>
      <c r="J6651" t="inlineStr">
        <is>
          <t>Puigpunyent</t>
        </is>
      </c>
      <c r="AH6651" t="inlineStr">
        <is>
          <t>Quelle: Balearic Properties</t>
        </is>
      </c>
    </row>
    <row r="6652">
      <c r="A6652" t="n">
        <v>6465</v>
      </c>
      <c r="B6652" t="inlineStr">
        <is>
          <t>Ground floor apartment with community pool for sale in Bendinat, Mallorca</t>
        </is>
      </c>
      <c r="C6652" t="inlineStr">
        <is>
          <t>https://www.balearic-properties.com/en/property/id/765912-apartment-bendinat-sale-html</t>
        </is>
      </c>
      <c r="E6652" t="n">
        <v>2</v>
      </c>
      <c r="G6652" t="n">
        <v>60</v>
      </c>
      <c r="H6652" t="n">
        <v>115</v>
      </c>
      <c r="J6652" t="inlineStr">
        <is>
          <t>Bendinat</t>
        </is>
      </c>
      <c r="AH6652" t="inlineStr">
        <is>
          <t>Quelle: Balearic Properties</t>
        </is>
      </c>
    </row>
    <row r="6653">
      <c r="A6653" t="n">
        <v>6466</v>
      </c>
      <c r="B6653" t="inlineStr">
        <is>
          <t>Penthouse for sale in Palma, Mallorca near Palacio Congresos</t>
        </is>
      </c>
      <c r="C6653" t="inlineStr">
        <is>
          <t>https://www.balearic-properties.com/en/property/id/764951-palma-apartamento-html</t>
        </is>
      </c>
      <c r="E6653" t="n">
        <v>4</v>
      </c>
      <c r="G6653" t="n">
        <v>0</v>
      </c>
      <c r="H6653" t="n">
        <v>250</v>
      </c>
      <c r="J6653" t="inlineStr">
        <is>
          <t>Palma de Mallorca</t>
        </is>
      </c>
      <c r="AH6653" t="inlineStr">
        <is>
          <t>Quelle: Balearic Properties</t>
        </is>
      </c>
    </row>
    <row r="6654">
      <c r="A6654" t="n">
        <v>6467</v>
      </c>
      <c r="B6654" t="inlineStr">
        <is>
          <t>Brand new penthouse for sale in Palma, Mallorca</t>
        </is>
      </c>
      <c r="C6654" t="inlineStr">
        <is>
          <t>https://www.balearic-properties.com/en/property/id/764814-penthouse-palma-html</t>
        </is>
      </c>
      <c r="E6654" t="n">
        <v>2</v>
      </c>
      <c r="G6654" t="n">
        <v>0</v>
      </c>
      <c r="H6654" t="n">
        <v>177</v>
      </c>
      <c r="J6654" t="inlineStr">
        <is>
          <t>Palma de Mallorca</t>
        </is>
      </c>
      <c r="AH6654" t="inlineStr">
        <is>
          <t>Quelle: Balearic Properties</t>
        </is>
      </c>
    </row>
    <row r="6655">
      <c r="A6655" t="n">
        <v>6468</v>
      </c>
      <c r="B6655" t="inlineStr">
        <is>
          <t>Duplex apartment for sale in Puerto Alcudia, Mallorca</t>
        </is>
      </c>
      <c r="C6655" t="inlineStr">
        <is>
          <t>https://www.balearic-properties.com/en/property/id/763886-duplex-puerto-alcudia-html</t>
        </is>
      </c>
      <c r="E6655" t="n">
        <v>3</v>
      </c>
      <c r="G6655" t="n">
        <v>0</v>
      </c>
      <c r="H6655" t="n">
        <v>113</v>
      </c>
      <c r="J6655" t="inlineStr">
        <is>
          <t>Puerto de Alcúdia</t>
        </is>
      </c>
      <c r="AH6655" t="inlineStr">
        <is>
          <t>Quelle: Balearic Properties</t>
        </is>
      </c>
    </row>
    <row r="6656">
      <c r="A6656" t="n">
        <v>6469</v>
      </c>
      <c r="B6656" t="inlineStr">
        <is>
          <t>Lovely four bedroom country house for sale in Moscari, Mallorca</t>
        </is>
      </c>
      <c r="C6656" t="inlineStr">
        <is>
          <t>https://www.balearic-properties.com/en/property/id/763846-country-home-moscari-html</t>
        </is>
      </c>
      <c r="E6656" t="n">
        <v>4</v>
      </c>
      <c r="G6656" t="n">
        <v>14200</v>
      </c>
      <c r="H6656" t="n">
        <v>605</v>
      </c>
      <c r="J6656" t="inlineStr">
        <is>
          <t>Moscari</t>
        </is>
      </c>
      <c r="AH6656" t="inlineStr">
        <is>
          <t>Quelle: Balearic Properties</t>
        </is>
      </c>
    </row>
    <row r="6657">
      <c r="A6657" t="n">
        <v>6470</v>
      </c>
      <c r="B6657" t="inlineStr">
        <is>
          <t>Country house for sale in Caimari, Mallorca</t>
        </is>
      </c>
      <c r="C6657" t="inlineStr">
        <is>
          <t>https://www.balearic-properties.com/en/property/id/735712-finca-etv-caimari-html</t>
        </is>
      </c>
      <c r="E6657" t="n">
        <v>7</v>
      </c>
      <c r="G6657" t="n">
        <v>855</v>
      </c>
      <c r="H6657" t="n">
        <v>389</v>
      </c>
      <c r="J6657" t="inlineStr">
        <is>
          <t>Caimari</t>
        </is>
      </c>
      <c r="K6657" t="n">
        <v>44.6</v>
      </c>
      <c r="L6657" t="n">
        <v>41</v>
      </c>
      <c r="M6657" t="n">
        <v>62.7</v>
      </c>
      <c r="N6657" t="n">
        <v>68</v>
      </c>
      <c r="O6657" t="n">
        <v>67.2</v>
      </c>
      <c r="P6657" t="n">
        <v>58</v>
      </c>
      <c r="Q6657" t="n">
        <v>60.4</v>
      </c>
      <c r="R6657" t="n">
        <v>64</v>
      </c>
      <c r="AH6657" t="inlineStr">
        <is>
          <t>Quelle: Balearic Properties</t>
        </is>
      </c>
    </row>
    <row r="6658">
      <c r="A6658" t="n">
        <v>6471</v>
      </c>
      <c r="B6658" t="inlineStr">
        <is>
          <t>Rustic Mallorca finca for sale just outside Palma de Mallorca</t>
        </is>
      </c>
      <c r="C6658" t="inlineStr">
        <is>
          <t>https://www.balearic-properties.com/en/property/id/674093-sa-cabaneta-finca-etv-html</t>
        </is>
      </c>
      <c r="E6658" t="n">
        <v>6</v>
      </c>
      <c r="G6658" t="n">
        <v>3786</v>
      </c>
      <c r="H6658" t="n">
        <v>400</v>
      </c>
      <c r="J6658" t="inlineStr">
        <is>
          <t>Sa Cabaneta</t>
        </is>
      </c>
      <c r="K6658" t="n">
        <v>13.6</v>
      </c>
      <c r="L6658" t="n">
        <v>19</v>
      </c>
      <c r="M6658" t="n">
        <v>56.8</v>
      </c>
      <c r="N6658" t="n">
        <v>52</v>
      </c>
      <c r="O6658" t="n">
        <v>42.9</v>
      </c>
      <c r="P6658" t="n">
        <v>38</v>
      </c>
      <c r="Q6658" t="n">
        <v>54.5</v>
      </c>
      <c r="R6658" t="n">
        <v>48</v>
      </c>
      <c r="AH6658" t="inlineStr">
        <is>
          <t>Quelle: Balearic Properties</t>
        </is>
      </c>
    </row>
    <row r="6659">
      <c r="A6659" t="n">
        <v>6472</v>
      </c>
      <c r="B6659" t="inlineStr">
        <is>
          <t>Villa situated on one of the best plots in Costa D'en Blanes, Mallorca</t>
        </is>
      </c>
      <c r="C6659" t="inlineStr">
        <is>
          <t>https://www.balearic-properties.com/en/property/id/761805-villa-costadenblanes-html</t>
        </is>
      </c>
      <c r="E6659" t="n">
        <v>4</v>
      </c>
      <c r="G6659" t="n">
        <v>0</v>
      </c>
      <c r="H6659" t="n">
        <v>480</v>
      </c>
      <c r="J6659" t="inlineStr">
        <is>
          <t>Costa D´en Blanes</t>
        </is>
      </c>
      <c r="AH6659" t="inlineStr">
        <is>
          <t>Quelle: Balearic Properties</t>
        </is>
      </c>
    </row>
    <row r="6660">
      <c r="A6660" t="n">
        <v>6473</v>
      </c>
      <c r="B6660" t="inlineStr">
        <is>
          <t>Hacienda style country manor for sale near Llubi, Mallorca</t>
        </is>
      </c>
      <c r="C6660" t="inlineStr">
        <is>
          <t>https://www.balearic-properties.com/en/property/id/761792-country-estate-llubi-html</t>
        </is>
      </c>
      <c r="E6660" t="n">
        <v>12</v>
      </c>
      <c r="G6660" t="n">
        <v>80000</v>
      </c>
      <c r="H6660" t="n">
        <v>1243</v>
      </c>
      <c r="J6660" t="inlineStr">
        <is>
          <t>Llubí</t>
        </is>
      </c>
      <c r="K6660" t="n">
        <v>46.1</v>
      </c>
      <c r="L6660" t="n">
        <v>38</v>
      </c>
      <c r="M6660" t="n">
        <v>50.9</v>
      </c>
      <c r="N6660" t="n">
        <v>54</v>
      </c>
      <c r="O6660" t="n">
        <v>68.7</v>
      </c>
      <c r="P6660" t="n">
        <v>54</v>
      </c>
      <c r="Q6660" t="n">
        <v>48.6</v>
      </c>
      <c r="R6660" t="n">
        <v>50</v>
      </c>
      <c r="AH6660" t="inlineStr">
        <is>
          <t>Quelle: Balearic Properties</t>
        </is>
      </c>
    </row>
    <row r="6661">
      <c r="A6661" t="n">
        <v>6474</v>
      </c>
      <c r="B6661" t="inlineStr">
        <is>
          <t>Well preserved historic estate for sale near Selva, Mallorca</t>
        </is>
      </c>
      <c r="C6661" t="inlineStr">
        <is>
          <t>https://www.balearic-properties.com/en/property/id/683340-manor-selva-campanet-html</t>
        </is>
      </c>
      <c r="E6661" t="n">
        <v>5</v>
      </c>
      <c r="G6661" t="n">
        <v>180000</v>
      </c>
      <c r="H6661" t="n">
        <v>951</v>
      </c>
      <c r="J6661" t="inlineStr">
        <is>
          <t>Selva</t>
        </is>
      </c>
      <c r="K6661" t="n">
        <v>44.5</v>
      </c>
      <c r="L6661" t="n">
        <v>41</v>
      </c>
      <c r="M6661" t="n">
        <v>62.6</v>
      </c>
      <c r="N6661" t="n">
        <v>67</v>
      </c>
      <c r="O6661" t="n">
        <v>67.09999999999999</v>
      </c>
      <c r="P6661" t="n">
        <v>57</v>
      </c>
      <c r="Q6661" t="n">
        <v>60.3</v>
      </c>
      <c r="R6661" t="n">
        <v>64</v>
      </c>
      <c r="AH6661" t="inlineStr">
        <is>
          <t>Quelle: Balearic Properties</t>
        </is>
      </c>
    </row>
    <row r="6662">
      <c r="A6662" t="n">
        <v>6475</v>
      </c>
      <c r="B6662" t="inlineStr">
        <is>
          <t>Stately villa for sale in a quiet area of Puerto Pollensa, Mallorca</t>
        </is>
      </c>
      <c r="C6662" t="inlineStr">
        <is>
          <t>https://www.balearic-properties.com/en/property/id/761199-puerto-pollensa-villa-html</t>
        </is>
      </c>
      <c r="E6662" t="n">
        <v>5</v>
      </c>
      <c r="G6662" t="n">
        <v>1500</v>
      </c>
      <c r="H6662" t="n">
        <v>380</v>
      </c>
      <c r="J6662" t="inlineStr">
        <is>
          <t>Port de Pollença</t>
        </is>
      </c>
      <c r="K6662" t="n">
        <v>66.90000000000001</v>
      </c>
      <c r="L6662" t="n">
        <v>52</v>
      </c>
      <c r="M6662" t="n">
        <v>85</v>
      </c>
      <c r="N6662" t="n">
        <v>78</v>
      </c>
      <c r="O6662" t="n">
        <v>89.5</v>
      </c>
      <c r="P6662" t="n">
        <v>68</v>
      </c>
      <c r="Q6662" t="n">
        <v>82.7</v>
      </c>
      <c r="R6662" t="n">
        <v>75</v>
      </c>
      <c r="AH6662" t="inlineStr">
        <is>
          <t>Quelle: Balearic Properties</t>
        </is>
      </c>
    </row>
    <row r="6663">
      <c r="A6663" t="n">
        <v>6476</v>
      </c>
      <c r="B6663" t="inlineStr">
        <is>
          <t>Outstanding country villa for sale in Sant Llorenç de Cardassar, Mallorca</t>
        </is>
      </c>
      <c r="C6663" t="inlineStr">
        <is>
          <t>https://www.balearic-properties.com/en/property/id/760821-country-house-cardassar-html</t>
        </is>
      </c>
      <c r="E6663" t="n">
        <v>4</v>
      </c>
      <c r="G6663" t="n">
        <v>22000</v>
      </c>
      <c r="H6663" t="n">
        <v>850</v>
      </c>
      <c r="J6663" t="inlineStr">
        <is>
          <t>Sant Llorenç des Cardassar</t>
        </is>
      </c>
      <c r="AH6663" t="inlineStr">
        <is>
          <t>Quelle: Balearic Properties</t>
        </is>
      </c>
    </row>
    <row r="6664">
      <c r="A6664" t="n">
        <v>6477</v>
      </c>
      <c r="B6664" t="inlineStr">
        <is>
          <t>Modern town house with rental license for sale in Pollensa, Mallorca</t>
        </is>
      </c>
      <c r="C6664" t="inlineStr">
        <is>
          <t>https://www.balearic-properties.com/en/property/id/760924-mallorca-townhouse-pollensa-html</t>
        </is>
      </c>
      <c r="E6664" t="n">
        <v>3</v>
      </c>
      <c r="G6664" t="n">
        <v>70</v>
      </c>
      <c r="H6664" t="n">
        <v>120</v>
      </c>
      <c r="J6664" t="inlineStr">
        <is>
          <t>Pollença Pueblo</t>
        </is>
      </c>
      <c r="AH6664" t="inlineStr">
        <is>
          <t>Quelle: Balearic Properties</t>
        </is>
      </c>
    </row>
    <row r="6665">
      <c r="A6665" t="n">
        <v>6478</v>
      </c>
      <c r="B6665" t="inlineStr">
        <is>
          <t>Ground floor apartment for sale in Puerto Alcudia, Mallorca</t>
        </is>
      </c>
      <c r="C6665" t="inlineStr">
        <is>
          <t>https://www.balearic-properties.com/en/property/id/224931-puerto-alcudia-apartment-html</t>
        </is>
      </c>
      <c r="E6665" t="n">
        <v>2</v>
      </c>
      <c r="G6665" t="n">
        <v>0</v>
      </c>
      <c r="H6665" t="n">
        <v>100</v>
      </c>
      <c r="J6665" t="inlineStr">
        <is>
          <t>Puerto de Alcúdia</t>
        </is>
      </c>
      <c r="AH6665" t="inlineStr">
        <is>
          <t>Quelle: Balearic Properties</t>
        </is>
      </c>
    </row>
    <row r="6666">
      <c r="A6666" t="n">
        <v>6479</v>
      </c>
      <c r="B6666" t="inlineStr">
        <is>
          <t>Beautiful and bright apartment in downtown area of Palma, Mallorca</t>
        </is>
      </c>
      <c r="C6666" t="inlineStr">
        <is>
          <t>https://www.balearic-properties.com/en/property/id/760718-apartment-palma-html</t>
        </is>
      </c>
      <c r="E6666" t="n">
        <v>4</v>
      </c>
      <c r="G6666" t="n">
        <v>0</v>
      </c>
      <c r="H6666" t="n">
        <v>200</v>
      </c>
      <c r="J6666" t="inlineStr">
        <is>
          <t>Palma de Mallorca</t>
        </is>
      </c>
      <c r="AH6666" t="inlineStr">
        <is>
          <t>Quelle: Balearic Properties</t>
        </is>
      </c>
    </row>
    <row r="6667">
      <c r="A6667" t="n">
        <v>6480</v>
      </c>
      <c r="B6667" t="inlineStr">
        <is>
          <t>Townhouse for sale in Pollensa, Mallorca</t>
        </is>
      </c>
      <c r="C6667" t="inlineStr">
        <is>
          <t>https://www.balearic-properties.com/en/property/id/738098-townhouse-pollensa-html</t>
        </is>
      </c>
      <c r="E6667" t="n">
        <v>7</v>
      </c>
      <c r="G6667" t="n">
        <v>173</v>
      </c>
      <c r="H6667" t="n">
        <v>407</v>
      </c>
      <c r="J6667" t="inlineStr">
        <is>
          <t>Pollença</t>
        </is>
      </c>
      <c r="K6667" t="n">
        <v>60.6</v>
      </c>
      <c r="L6667" t="n">
        <v>47</v>
      </c>
      <c r="M6667" t="n">
        <v>78.7</v>
      </c>
      <c r="N6667" t="n">
        <v>74</v>
      </c>
      <c r="O6667" t="n">
        <v>83.2</v>
      </c>
      <c r="P6667" t="n">
        <v>63</v>
      </c>
      <c r="Q6667" t="n">
        <v>76.40000000000001</v>
      </c>
      <c r="R6667" t="n">
        <v>70</v>
      </c>
      <c r="AH6667" t="inlineStr">
        <is>
          <t>Quelle: Balearic Properties</t>
        </is>
      </c>
    </row>
    <row r="6668">
      <c r="A6668" t="n">
        <v>6481</v>
      </c>
      <c r="B6668" t="inlineStr">
        <is>
          <t>Magnificent country mansion for sale near Pollensa, Mallorca</t>
        </is>
      </c>
      <c r="C6668" t="inlineStr">
        <is>
          <t>https://www.balearic-properties.com/en/property/id/758218-pollensa-country-mansion-html</t>
        </is>
      </c>
      <c r="E6668" t="n">
        <v>7</v>
      </c>
      <c r="G6668" t="n">
        <v>281000</v>
      </c>
      <c r="H6668" t="n">
        <v>1272</v>
      </c>
      <c r="J6668" t="inlineStr">
        <is>
          <t>Pollença</t>
        </is>
      </c>
      <c r="K6668" t="n">
        <v>60.6</v>
      </c>
      <c r="L6668" t="n">
        <v>47</v>
      </c>
      <c r="M6668" t="n">
        <v>78.7</v>
      </c>
      <c r="N6668" t="n">
        <v>74</v>
      </c>
      <c r="O6668" t="n">
        <v>83.2</v>
      </c>
      <c r="P6668" t="n">
        <v>63</v>
      </c>
      <c r="Q6668" t="n">
        <v>76.40000000000001</v>
      </c>
      <c r="R6668" t="n">
        <v>70</v>
      </c>
      <c r="AH6668" t="inlineStr">
        <is>
          <t>Quelle: Balearic Properties</t>
        </is>
      </c>
    </row>
    <row r="6669">
      <c r="A6669" t="n">
        <v>6482</v>
      </c>
      <c r="B6669" t="inlineStr">
        <is>
          <t>Villa for sale in Port Andratx, Mallorca</t>
        </is>
      </c>
      <c r="C6669" t="inlineStr">
        <is>
          <t>https://www.balearic-properties.com/en/property/id/757183-villa-port-andratx-html</t>
        </is>
      </c>
      <c r="E6669" t="n">
        <v>5</v>
      </c>
      <c r="G6669" t="n">
        <v>1040</v>
      </c>
      <c r="H6669" t="n">
        <v>416</v>
      </c>
      <c r="J6669" t="inlineStr">
        <is>
          <t>Puerto Andratx</t>
        </is>
      </c>
      <c r="K6669" t="n">
        <v>43.5</v>
      </c>
      <c r="L6669" t="n">
        <v>38</v>
      </c>
      <c r="M6669" t="n">
        <v>86.2</v>
      </c>
      <c r="N6669" t="n">
        <v>71</v>
      </c>
      <c r="O6669" t="n">
        <v>6.3</v>
      </c>
      <c r="P6669" t="n">
        <v>11</v>
      </c>
      <c r="Q6669" t="n">
        <v>83.90000000000001</v>
      </c>
      <c r="R6669" t="n">
        <v>68</v>
      </c>
      <c r="AH6669" t="inlineStr">
        <is>
          <t>Quelle: Balearic Properties</t>
        </is>
      </c>
    </row>
    <row r="6670">
      <c r="A6670" t="n">
        <v>6483</v>
      </c>
      <c r="B6670" t="inlineStr">
        <is>
          <t>Country home for sale in Puntiró, Mallorca</t>
        </is>
      </c>
      <c r="C6670" t="inlineStr">
        <is>
          <t>https://www.balearic-properties.com/en/property/id/755917-finca-puntiro-html</t>
        </is>
      </c>
      <c r="E6670" t="n">
        <v>6</v>
      </c>
      <c r="G6670" t="n">
        <v>82000</v>
      </c>
      <c r="H6670" t="n">
        <v>1400</v>
      </c>
      <c r="J6670" t="inlineStr">
        <is>
          <t>Puntiró</t>
        </is>
      </c>
      <c r="K6670" t="n">
        <v>16.7</v>
      </c>
      <c r="L6670" t="n">
        <v>21</v>
      </c>
      <c r="M6670" t="n">
        <v>53.4</v>
      </c>
      <c r="N6670" t="n">
        <v>52</v>
      </c>
      <c r="O6670" t="n">
        <v>47</v>
      </c>
      <c r="P6670" t="n">
        <v>43</v>
      </c>
      <c r="Q6670" t="n">
        <v>51.1</v>
      </c>
      <c r="R6670" t="n">
        <v>48</v>
      </c>
      <c r="AH6670" t="inlineStr">
        <is>
          <t>Quelle: Balearic Properties</t>
        </is>
      </c>
    </row>
    <row r="6671">
      <c r="A6671" t="n">
        <v>6484</v>
      </c>
      <c r="B6671" t="inlineStr">
        <is>
          <t>Villa for sale in Son Vida, Mallorca</t>
        </is>
      </c>
      <c r="C6671" t="inlineStr">
        <is>
          <t>https://www.balearic-properties.com/en/property/id/754255-villa-son-vida-html</t>
        </is>
      </c>
      <c r="E6671" t="n">
        <v>5</v>
      </c>
      <c r="G6671" t="n">
        <v>2000</v>
      </c>
      <c r="H6671" t="n">
        <v>430</v>
      </c>
      <c r="J6671" t="inlineStr">
        <is>
          <t>Son Vida</t>
        </is>
      </c>
      <c r="K6671" t="n">
        <v>19.2</v>
      </c>
      <c r="L6671" t="n">
        <v>22</v>
      </c>
      <c r="M6671" t="n">
        <v>61.9</v>
      </c>
      <c r="N6671" t="n">
        <v>55</v>
      </c>
      <c r="O6671" t="n">
        <v>31</v>
      </c>
      <c r="P6671" t="n">
        <v>31</v>
      </c>
      <c r="Q6671" t="n">
        <v>59.6</v>
      </c>
      <c r="R6671" t="n">
        <v>51</v>
      </c>
      <c r="AH6671" t="inlineStr">
        <is>
          <t>Quelle: Balearic Properties</t>
        </is>
      </c>
    </row>
    <row r="6672">
      <c r="A6672" t="n">
        <v>6485</v>
      </c>
      <c r="B6672" t="inlineStr">
        <is>
          <t>House for sale in Southwest of Mallorca</t>
        </is>
      </c>
      <c r="C6672" t="inlineStr">
        <is>
          <t>https://www.balearic-properties.com/en/property/id/754043-townhouse-bendinat-sale-html</t>
        </is>
      </c>
      <c r="E6672" t="n">
        <v>3</v>
      </c>
      <c r="G6672" t="n">
        <v>245</v>
      </c>
      <c r="H6672" t="n">
        <v>190</v>
      </c>
      <c r="J6672" t="inlineStr">
        <is>
          <t>Bendinat</t>
        </is>
      </c>
      <c r="AH6672" t="inlineStr">
        <is>
          <t>Quelle: Balearic Properties</t>
        </is>
      </c>
    </row>
    <row r="6673">
      <c r="A6673" t="n">
        <v>6486</v>
      </c>
      <c r="B6673" t="inlineStr">
        <is>
          <t>Fantastic investment town house with superb views for sale in Palma, Mallorca</t>
        </is>
      </c>
      <c r="C6673" t="inlineStr">
        <is>
          <t>https://www.balearic-properties.com/en/property/id/750725-central-townhouse-palma-html</t>
        </is>
      </c>
      <c r="E6673" t="n">
        <v>7</v>
      </c>
      <c r="G6673" t="n">
        <v>0</v>
      </c>
      <c r="H6673" t="n">
        <v>470</v>
      </c>
      <c r="J6673" t="inlineStr">
        <is>
          <t>Palma Casco Antiguo</t>
        </is>
      </c>
      <c r="K6673" t="n">
        <v>9.699999999999999</v>
      </c>
      <c r="L6673" t="n">
        <v>14</v>
      </c>
      <c r="M6673" t="n">
        <v>52.5</v>
      </c>
      <c r="N6673" t="n">
        <v>47</v>
      </c>
      <c r="O6673" t="n">
        <v>32.1</v>
      </c>
      <c r="P6673" t="n">
        <v>36</v>
      </c>
      <c r="Q6673" t="n">
        <v>50.2</v>
      </c>
      <c r="R6673" t="n">
        <v>44</v>
      </c>
      <c r="AH6673" t="inlineStr">
        <is>
          <t>Quelle: Balearic Properties</t>
        </is>
      </c>
    </row>
    <row r="6674">
      <c r="A6674" t="n">
        <v>6487</v>
      </c>
      <c r="B6674" t="inlineStr">
        <is>
          <t>Newly built villa with sea views for sale in Portals Nous</t>
        </is>
      </c>
      <c r="C6674" t="inlineStr">
        <is>
          <t>https://www.balearic-properties.com/en/property/id/749512-villa-pool-portals-nous-html</t>
        </is>
      </c>
      <c r="E6674" t="n">
        <v>4</v>
      </c>
      <c r="G6674" t="n">
        <v>1109</v>
      </c>
      <c r="H6674" t="n">
        <v>952</v>
      </c>
      <c r="J6674" t="inlineStr">
        <is>
          <t>Portals Nous</t>
        </is>
      </c>
      <c r="AH6674" t="inlineStr">
        <is>
          <t>Quelle: Balearic Properties</t>
        </is>
      </c>
    </row>
    <row r="6675">
      <c r="A6675" t="n">
        <v>6488</v>
      </c>
      <c r="B6675" t="inlineStr">
        <is>
          <t>Fantastic duplex in historical centre of Pollensa, Mallorca</t>
        </is>
      </c>
      <c r="C6675" t="inlineStr">
        <is>
          <t>https://www.balearic-properties.com/en/property/id/744630-duplex-apartment-pollensa-html</t>
        </is>
      </c>
      <c r="E6675" t="n">
        <v>5</v>
      </c>
      <c r="G6675" t="n">
        <v>0</v>
      </c>
      <c r="H6675" t="n">
        <v>143</v>
      </c>
      <c r="J6675" t="inlineStr">
        <is>
          <t>Pollença</t>
        </is>
      </c>
      <c r="K6675" t="n">
        <v>60.6</v>
      </c>
      <c r="L6675" t="n">
        <v>47</v>
      </c>
      <c r="M6675" t="n">
        <v>78.7</v>
      </c>
      <c r="N6675" t="n">
        <v>74</v>
      </c>
      <c r="O6675" t="n">
        <v>83.2</v>
      </c>
      <c r="P6675" t="n">
        <v>63</v>
      </c>
      <c r="Q6675" t="n">
        <v>76.40000000000001</v>
      </c>
      <c r="R6675" t="n">
        <v>70</v>
      </c>
      <c r="AH6675" t="inlineStr">
        <is>
          <t>Quelle: Balearic Properties</t>
        </is>
      </c>
    </row>
    <row r="6676">
      <c r="A6676" t="n">
        <v>6489</v>
      </c>
      <c r="B6676" t="inlineStr">
        <is>
          <t>Villa surrounded by green for sale in Costa den Blanes, Mallorca</t>
        </is>
      </c>
      <c r="C6676" t="inlineStr">
        <is>
          <t>https://www.balearic-properties.com/en/property/id/750627-villa-sea-view-mallorca-html</t>
        </is>
      </c>
      <c r="E6676" t="n">
        <v>5</v>
      </c>
      <c r="G6676" t="n">
        <v>750</v>
      </c>
      <c r="H6676" t="n">
        <v>227</v>
      </c>
      <c r="J6676" t="inlineStr">
        <is>
          <t>Costa D´en Blanes</t>
        </is>
      </c>
      <c r="K6676" t="n">
        <v>23.3</v>
      </c>
      <c r="L6676" t="n">
        <v>21</v>
      </c>
      <c r="M6676" t="n">
        <v>66.09999999999999</v>
      </c>
      <c r="N6676" t="n">
        <v>54</v>
      </c>
      <c r="O6676" t="n">
        <v>21</v>
      </c>
      <c r="P6676" t="n">
        <v>21</v>
      </c>
      <c r="Q6676" t="n">
        <v>63.8</v>
      </c>
      <c r="R6676" t="n">
        <v>51</v>
      </c>
      <c r="AH6676" t="inlineStr">
        <is>
          <t>Quelle: Balearic Properties</t>
        </is>
      </c>
    </row>
    <row r="6677">
      <c r="A6677" t="n">
        <v>6490</v>
      </c>
      <c r="B6677" t="inlineStr">
        <is>
          <t>Wonderful property with plot of 7.000 m2 for sale in Bunyola, Mallorca</t>
        </is>
      </c>
      <c r="C6677" t="inlineStr">
        <is>
          <t>https://www.balearic-properties.com/en/property/id/748455-villa-tramuntana-bunyola-html</t>
        </is>
      </c>
      <c r="E6677" t="n">
        <v>4</v>
      </c>
      <c r="G6677" t="n">
        <v>7000</v>
      </c>
      <c r="H6677" t="n">
        <v>400</v>
      </c>
      <c r="J6677" t="inlineStr">
        <is>
          <t>Bunyola</t>
        </is>
      </c>
      <c r="AH6677" t="inlineStr">
        <is>
          <t>Quelle: Balearic Properties</t>
        </is>
      </c>
    </row>
    <row r="6678">
      <c r="A6678" t="n">
        <v>6491</v>
      </c>
      <c r="B6678" t="inlineStr">
        <is>
          <t>Beautiful country house for sale in Felanitx, Mallorca</t>
        </is>
      </c>
      <c r="C6678" t="inlineStr">
        <is>
          <t>https://www.balearic-properties.com/en/property/id/284169-country-private-house-felanitx-html</t>
        </is>
      </c>
      <c r="E6678" t="n">
        <v>6</v>
      </c>
      <c r="G6678" t="n">
        <v>32000</v>
      </c>
      <c r="H6678" t="n">
        <v>600</v>
      </c>
      <c r="J6678" t="inlineStr">
        <is>
          <t>Felanitx</t>
        </is>
      </c>
      <c r="K6678" t="n">
        <v>45</v>
      </c>
      <c r="L6678" t="n">
        <v>40</v>
      </c>
      <c r="M6678" t="n">
        <v>26.8</v>
      </c>
      <c r="N6678" t="n">
        <v>30</v>
      </c>
      <c r="O6678" t="n">
        <v>83.2</v>
      </c>
      <c r="P6678" t="n">
        <v>68</v>
      </c>
      <c r="Q6678" t="n">
        <v>24.5</v>
      </c>
      <c r="R6678" t="n">
        <v>26</v>
      </c>
      <c r="AH6678" t="inlineStr">
        <is>
          <t>Quelle: Balearic Properties</t>
        </is>
      </c>
    </row>
    <row r="6679">
      <c r="A6679" t="n">
        <v>6492</v>
      </c>
      <c r="B6679" t="inlineStr">
        <is>
          <t>Interesting town house near the centre of town for sale in Pollensa, Mallorca</t>
        </is>
      </c>
      <c r="C6679" t="inlineStr">
        <is>
          <t>https://www.balearic-properties.com/en/property/id/748439-town-house-pollensa-html</t>
        </is>
      </c>
      <c r="E6679" t="n">
        <v>3</v>
      </c>
      <c r="G6679" t="n">
        <v>133</v>
      </c>
      <c r="H6679" t="n">
        <v>198</v>
      </c>
      <c r="J6679" t="inlineStr">
        <is>
          <t>Pollença</t>
        </is>
      </c>
      <c r="AH6679" t="inlineStr">
        <is>
          <t>Quelle: Balearic Properties</t>
        </is>
      </c>
    </row>
    <row r="6680">
      <c r="A6680" t="n">
        <v>6493</v>
      </c>
      <c r="B6680" t="inlineStr">
        <is>
          <t>Villa for sale in Puerto Andratx, Mallorca</t>
        </is>
      </c>
      <c r="C6680" t="inlineStr">
        <is>
          <t>https://www.balearic-properties.com/en/property/id/745096-villa-puerto-andratx-html</t>
        </is>
      </c>
      <c r="E6680" t="n">
        <v>5</v>
      </c>
      <c r="G6680" t="n">
        <v>1450</v>
      </c>
      <c r="H6680" t="n">
        <v>925</v>
      </c>
      <c r="J6680" t="inlineStr">
        <is>
          <t>Puerto Andratx</t>
        </is>
      </c>
      <c r="K6680" t="n">
        <v>43.5</v>
      </c>
      <c r="L6680" t="n">
        <v>38</v>
      </c>
      <c r="M6680" t="n">
        <v>86.2</v>
      </c>
      <c r="N6680" t="n">
        <v>71</v>
      </c>
      <c r="O6680" t="n">
        <v>6.3</v>
      </c>
      <c r="P6680" t="n">
        <v>11</v>
      </c>
      <c r="Q6680" t="n">
        <v>83.90000000000001</v>
      </c>
      <c r="R6680" t="n">
        <v>68</v>
      </c>
      <c r="AH6680" t="inlineStr">
        <is>
          <t>Quelle: Balearic Properties</t>
        </is>
      </c>
    </row>
    <row r="6681">
      <c r="A6681" t="n">
        <v>6494</v>
      </c>
      <c r="B6681" t="inlineStr">
        <is>
          <t>First sea line apartment for sale in Palma, Mallorca</t>
        </is>
      </c>
      <c r="C6681" t="inlineStr">
        <is>
          <t>https://www.balearic-properties.com/en/property/id/743382-apartment-palma-pool-sea-html</t>
        </is>
      </c>
      <c r="E6681" t="n">
        <v>4</v>
      </c>
      <c r="G6681" t="n">
        <v>0</v>
      </c>
      <c r="H6681" t="n">
        <v>300</v>
      </c>
      <c r="J6681" t="inlineStr">
        <is>
          <t>Paseo Marítimo</t>
        </is>
      </c>
      <c r="AH6681" t="inlineStr">
        <is>
          <t>Quelle: Balearic Properties</t>
        </is>
      </c>
    </row>
    <row r="6682">
      <c r="A6682" t="n">
        <v>6495</v>
      </c>
      <c r="B6682" t="inlineStr">
        <is>
          <t>Country house for sale near Pollença, Mallorca</t>
        </is>
      </c>
      <c r="C6682" t="inlineStr">
        <is>
          <t>https://www.balearic-properties.com/en/property/id/372051-country-house-pollensa-html</t>
        </is>
      </c>
      <c r="E6682" t="n">
        <v>4</v>
      </c>
      <c r="G6682" t="n">
        <v>145</v>
      </c>
      <c r="H6682" t="n">
        <v>208</v>
      </c>
      <c r="J6682" t="inlineStr">
        <is>
          <t>Pollença</t>
        </is>
      </c>
      <c r="AH6682" t="inlineStr">
        <is>
          <t>Quelle: Balearic Properties</t>
        </is>
      </c>
    </row>
    <row r="6683">
      <c r="A6683" t="n">
        <v>6496</v>
      </c>
      <c r="B6683" t="inlineStr">
        <is>
          <t>Outstanding contemporary country home for sale in Pollensa, Mallorca</t>
        </is>
      </c>
      <c r="C6683" t="inlineStr">
        <is>
          <t>https://www.balearic-properties.com/en/property/id/525426-finca-countryside-pollensa-html</t>
        </is>
      </c>
      <c r="E6683" t="n">
        <v>6</v>
      </c>
      <c r="G6683" t="n">
        <v>8047</v>
      </c>
      <c r="H6683" t="n">
        <v>230</v>
      </c>
      <c r="J6683" t="inlineStr">
        <is>
          <t>Pollença</t>
        </is>
      </c>
      <c r="K6683" t="n">
        <v>60.6</v>
      </c>
      <c r="L6683" t="n">
        <v>47</v>
      </c>
      <c r="M6683" t="n">
        <v>78.7</v>
      </c>
      <c r="N6683" t="n">
        <v>74</v>
      </c>
      <c r="O6683" t="n">
        <v>83.2</v>
      </c>
      <c r="P6683" t="n">
        <v>63</v>
      </c>
      <c r="Q6683" t="n">
        <v>76.40000000000001</v>
      </c>
      <c r="R6683" t="n">
        <v>70</v>
      </c>
      <c r="AH6683" t="inlineStr">
        <is>
          <t>Quelle: Balearic Properties</t>
        </is>
      </c>
    </row>
    <row r="6684">
      <c r="A6684" t="n">
        <v>6497</v>
      </c>
      <c r="B6684" t="inlineStr">
        <is>
          <t>Country finca with rental licence for sale in Pollensa, Mallorca</t>
        </is>
      </c>
      <c r="C6684" t="inlineStr">
        <is>
          <t>https://www.balearic-properties.com/en/property/id/718442-rental-licence-house-pollensa-html</t>
        </is>
      </c>
      <c r="E6684" t="n">
        <v>3</v>
      </c>
      <c r="G6684" t="n">
        <v>1876</v>
      </c>
      <c r="H6684" t="n">
        <v>244</v>
      </c>
      <c r="J6684" t="inlineStr">
        <is>
          <t>Pollença</t>
        </is>
      </c>
      <c r="AH6684" t="inlineStr">
        <is>
          <t>Quelle: Balearic Properties</t>
        </is>
      </c>
    </row>
    <row r="6685">
      <c r="A6685" t="n">
        <v>6498</v>
      </c>
      <c r="B6685" t="inlineStr">
        <is>
          <t>Country house for sale in Campos, Mallorca</t>
        </is>
      </c>
      <c r="C6685" t="inlineStr">
        <is>
          <t>https://www.balearic-properties.com/en/property/id/724670-country-house-campos-html</t>
        </is>
      </c>
      <c r="E6685" t="n">
        <v>5</v>
      </c>
      <c r="G6685" t="n">
        <v>17670</v>
      </c>
      <c r="H6685" t="n">
        <v>600</v>
      </c>
      <c r="J6685" t="inlineStr">
        <is>
          <t>Campos</t>
        </is>
      </c>
      <c r="K6685" t="n">
        <v>32.9</v>
      </c>
      <c r="L6685" t="n">
        <v>28</v>
      </c>
      <c r="M6685" t="n">
        <v>14.6</v>
      </c>
      <c r="N6685" t="n">
        <v>18</v>
      </c>
      <c r="O6685" t="n">
        <v>71.09999999999999</v>
      </c>
      <c r="P6685" t="n">
        <v>56</v>
      </c>
      <c r="Q6685" t="n">
        <v>12.3</v>
      </c>
      <c r="R6685" t="n">
        <v>14</v>
      </c>
      <c r="AH6685" t="inlineStr">
        <is>
          <t>Quelle: Balearic Properties</t>
        </is>
      </c>
    </row>
    <row r="6686">
      <c r="A6686" t="n">
        <v>6499</v>
      </c>
      <c r="B6686" t="inlineStr">
        <is>
          <t>Investment property for sale in Soller, Mallorca</t>
        </is>
      </c>
      <c r="C6686" t="inlineStr">
        <is>
          <t>https://www.balearic-properties.com/en/property/id/720720-investment-house-soller-html</t>
        </is>
      </c>
      <c r="E6686" t="n">
        <v>14</v>
      </c>
      <c r="G6686" t="n">
        <v>68000</v>
      </c>
      <c r="H6686" t="n">
        <v>2000</v>
      </c>
      <c r="J6686" t="inlineStr">
        <is>
          <t>Sóller</t>
        </is>
      </c>
      <c r="K6686" t="n">
        <v>32.5</v>
      </c>
      <c r="L6686" t="n">
        <v>38</v>
      </c>
      <c r="M6686" t="n">
        <v>75.2</v>
      </c>
      <c r="N6686" t="n">
        <v>70</v>
      </c>
      <c r="O6686" t="n">
        <v>52.1</v>
      </c>
      <c r="P6686" t="n">
        <v>51</v>
      </c>
      <c r="Q6686" t="n">
        <v>72.90000000000001</v>
      </c>
      <c r="R6686" t="n">
        <v>67</v>
      </c>
      <c r="AH6686" t="inlineStr">
        <is>
          <t>Quelle: Balearic Properties</t>
        </is>
      </c>
    </row>
    <row r="6687">
      <c r="A6687" t="n">
        <v>6500</v>
      </c>
      <c r="B6687" t="inlineStr">
        <is>
          <t>Contemporary semi detached villa on the beach in Puerto Alcudia, Mallorca</t>
        </is>
      </c>
      <c r="C6687" t="inlineStr">
        <is>
          <t>https://www.balearic-properties.com/en/property/id/721133-modern-villa-mallorca-html</t>
        </is>
      </c>
      <c r="E6687" t="n">
        <v>4</v>
      </c>
      <c r="G6687" t="n">
        <v>311</v>
      </c>
      <c r="H6687" t="n">
        <v>287</v>
      </c>
      <c r="J6687" t="inlineStr">
        <is>
          <t>Puerto de Alcúdia</t>
        </is>
      </c>
      <c r="AH6687" t="inlineStr">
        <is>
          <t>Quelle: Balearic Properties</t>
        </is>
      </c>
    </row>
    <row r="6688">
      <c r="A6688" t="n">
        <v>6501</v>
      </c>
      <c r="B6688" t="inlineStr">
        <is>
          <t>Country house for sale in Pollença, Mallorca</t>
        </is>
      </c>
      <c r="C6688" t="inlineStr">
        <is>
          <t>https://www.balearic-properties.com/en/property/id/648378-finca-pollensa-html</t>
        </is>
      </c>
      <c r="E6688" t="n">
        <v>5</v>
      </c>
      <c r="G6688" t="n">
        <v>135000</v>
      </c>
      <c r="H6688" t="n">
        <v>700</v>
      </c>
      <c r="J6688" t="inlineStr">
        <is>
          <t>Pollença</t>
        </is>
      </c>
      <c r="K6688" t="n">
        <v>60.6</v>
      </c>
      <c r="L6688" t="n">
        <v>47</v>
      </c>
      <c r="M6688" t="n">
        <v>78.7</v>
      </c>
      <c r="N6688" t="n">
        <v>74</v>
      </c>
      <c r="O6688" t="n">
        <v>83.2</v>
      </c>
      <c r="P6688" t="n">
        <v>63</v>
      </c>
      <c r="Q6688" t="n">
        <v>76.40000000000001</v>
      </c>
      <c r="R6688" t="n">
        <v>70</v>
      </c>
      <c r="AH6688" t="inlineStr">
        <is>
          <t>Quelle: Balearic Properties</t>
        </is>
      </c>
    </row>
    <row r="6689">
      <c r="A6689" t="n">
        <v>6502</v>
      </c>
      <c r="B6689" t="inlineStr">
        <is>
          <t>Magnificent country property for sale near Artà, Mallorca</t>
        </is>
      </c>
      <c r="C6689" t="inlineStr">
        <is>
          <t>https://www.balearic-properties.com/en/property/id/704839-country-house-arta-html</t>
        </is>
      </c>
      <c r="E6689" t="n">
        <v>5</v>
      </c>
      <c r="G6689" t="n">
        <v>24000</v>
      </c>
      <c r="H6689" t="n">
        <v>400</v>
      </c>
      <c r="J6689" t="inlineStr">
        <is>
          <t>Artà</t>
        </is>
      </c>
      <c r="K6689" t="n">
        <v>68.3</v>
      </c>
      <c r="L6689" t="n">
        <v>61</v>
      </c>
      <c r="M6689" t="n">
        <v>63.7</v>
      </c>
      <c r="N6689" t="n">
        <v>64</v>
      </c>
      <c r="O6689" t="n">
        <v>102.5</v>
      </c>
      <c r="P6689" t="n">
        <v>86</v>
      </c>
      <c r="Q6689" t="n">
        <v>61.4</v>
      </c>
      <c r="R6689" t="n">
        <v>61</v>
      </c>
      <c r="AH6689" t="inlineStr">
        <is>
          <t>Quelle: Balearic Properties</t>
        </is>
      </c>
    </row>
    <row r="6690">
      <c r="A6690" t="n">
        <v>6503</v>
      </c>
      <c r="B6690" t="inlineStr">
        <is>
          <t>Traditional country property with rental license for sale in Pollensa, Mallorca</t>
        </is>
      </c>
      <c r="C6690" t="inlineStr">
        <is>
          <t>https://www.balearic-properties.com/en/property/id/652177-country-home-guest-house-pollensa-html</t>
        </is>
      </c>
      <c r="E6690" t="n">
        <v>6</v>
      </c>
      <c r="G6690" t="n">
        <v>18500</v>
      </c>
      <c r="H6690" t="n">
        <v>526</v>
      </c>
      <c r="J6690" t="inlineStr">
        <is>
          <t>Pollença</t>
        </is>
      </c>
      <c r="K6690" t="n">
        <v>60.6</v>
      </c>
      <c r="L6690" t="n">
        <v>47</v>
      </c>
      <c r="M6690" t="n">
        <v>78.7</v>
      </c>
      <c r="N6690" t="n">
        <v>74</v>
      </c>
      <c r="O6690" t="n">
        <v>83.2</v>
      </c>
      <c r="P6690" t="n">
        <v>63</v>
      </c>
      <c r="Q6690" t="n">
        <v>76.40000000000001</v>
      </c>
      <c r="R6690" t="n">
        <v>70</v>
      </c>
      <c r="AH6690" t="inlineStr">
        <is>
          <t>Quelle: Balearic Properties</t>
        </is>
      </c>
    </row>
    <row r="6691">
      <c r="A6691" t="n">
        <v>6504</v>
      </c>
      <c r="B6691" t="inlineStr">
        <is>
          <t>Country villa for sale in Pollensa, Mallorca</t>
        </is>
      </c>
      <c r="C6691" t="inlineStr">
        <is>
          <t>https://www.balearic-properties.com/en/property/id/203263-country-house-pollensa-html</t>
        </is>
      </c>
      <c r="E6691" t="n">
        <v>5</v>
      </c>
      <c r="G6691" t="n">
        <v>41200</v>
      </c>
      <c r="H6691" t="n">
        <v>320</v>
      </c>
      <c r="J6691" t="inlineStr">
        <is>
          <t>Pollença</t>
        </is>
      </c>
      <c r="K6691" t="n">
        <v>60.6</v>
      </c>
      <c r="L6691" t="n">
        <v>47</v>
      </c>
      <c r="M6691" t="n">
        <v>78.7</v>
      </c>
      <c r="N6691" t="n">
        <v>74</v>
      </c>
      <c r="O6691" t="n">
        <v>83.2</v>
      </c>
      <c r="P6691" t="n">
        <v>63</v>
      </c>
      <c r="Q6691" t="n">
        <v>76.40000000000001</v>
      </c>
      <c r="R6691" t="n">
        <v>70</v>
      </c>
      <c r="AH6691" t="inlineStr">
        <is>
          <t>Quelle: Balearic Properties</t>
        </is>
      </c>
    </row>
    <row r="6692">
      <c r="A6692" t="n">
        <v>6505</v>
      </c>
      <c r="B6692" t="inlineStr">
        <is>
          <t>Villa for sale in El Toro, Mallorca</t>
        </is>
      </c>
      <c r="C6692" t="inlineStr">
        <is>
          <t>https://www.balearic-properties.com/en/property/id/701951-villa-el-toro-html</t>
        </is>
      </c>
      <c r="E6692" t="n">
        <v>5</v>
      </c>
      <c r="G6692" t="n">
        <v>780</v>
      </c>
      <c r="H6692" t="n">
        <v>230</v>
      </c>
      <c r="J6692" t="inlineStr">
        <is>
          <t>El Toro - Port Adriano</t>
        </is>
      </c>
      <c r="K6692" t="n">
        <v>34.7</v>
      </c>
      <c r="L6692" t="n">
        <v>32</v>
      </c>
      <c r="M6692" t="n">
        <v>77.40000000000001</v>
      </c>
      <c r="N6692" t="n">
        <v>65</v>
      </c>
      <c r="O6692" t="n">
        <v>18.7</v>
      </c>
      <c r="P6692" t="n">
        <v>23</v>
      </c>
      <c r="Q6692" t="n">
        <v>75.09999999999999</v>
      </c>
      <c r="R6692" t="n">
        <v>61</v>
      </c>
      <c r="AH6692" t="inlineStr">
        <is>
          <t>Quelle: Balearic Properties</t>
        </is>
      </c>
    </row>
    <row r="6693">
      <c r="A6693" t="n">
        <v>6506</v>
      </c>
      <c r="B6693" t="inlineStr">
        <is>
          <t>Charming finca with agroturismo license for sale near Petra, Mallorca</t>
        </is>
      </c>
      <c r="C6693" t="inlineStr">
        <is>
          <t>https://www.balearic-properties.com/en/property/id/645639-mallorca-finca-petra-html</t>
        </is>
      </c>
      <c r="E6693" t="n">
        <v>7</v>
      </c>
      <c r="G6693" t="n">
        <v>70000</v>
      </c>
      <c r="H6693" t="n">
        <v>520</v>
      </c>
      <c r="J6693" t="inlineStr">
        <is>
          <t>Petra</t>
        </is>
      </c>
      <c r="K6693" t="n">
        <v>45.9</v>
      </c>
      <c r="L6693" t="n">
        <v>42</v>
      </c>
      <c r="M6693" t="n">
        <v>41.3</v>
      </c>
      <c r="N6693" t="n">
        <v>45</v>
      </c>
      <c r="O6693" t="n">
        <v>84</v>
      </c>
      <c r="P6693" t="n">
        <v>66</v>
      </c>
      <c r="Q6693" t="n">
        <v>39</v>
      </c>
      <c r="R6693" t="n">
        <v>41</v>
      </c>
      <c r="AH6693" t="inlineStr">
        <is>
          <t>Quelle: Balearic Properties</t>
        </is>
      </c>
    </row>
    <row r="6694">
      <c r="A6694" t="n">
        <v>6507</v>
      </c>
      <c r="B6694" t="inlineStr">
        <is>
          <t>Mansion for sale in Selva, Mallorca</t>
        </is>
      </c>
      <c r="C6694" t="inlineStr">
        <is>
          <t>https://www.balearic-properties.com/en/property/id/700225-house-selva-html</t>
        </is>
      </c>
      <c r="E6694" t="n">
        <v>7</v>
      </c>
      <c r="G6694" t="n">
        <v>1210</v>
      </c>
      <c r="H6694" t="n">
        <v>800</v>
      </c>
      <c r="J6694" t="inlineStr">
        <is>
          <t>Selva</t>
        </is>
      </c>
      <c r="K6694" t="n">
        <v>44.5</v>
      </c>
      <c r="L6694" t="n">
        <v>41</v>
      </c>
      <c r="M6694" t="n">
        <v>62.6</v>
      </c>
      <c r="N6694" t="n">
        <v>67</v>
      </c>
      <c r="O6694" t="n">
        <v>67.09999999999999</v>
      </c>
      <c r="P6694" t="n">
        <v>57</v>
      </c>
      <c r="Q6694" t="n">
        <v>60.3</v>
      </c>
      <c r="R6694" t="n">
        <v>64</v>
      </c>
      <c r="AH6694" t="inlineStr">
        <is>
          <t>Quelle: Balearic Properties</t>
        </is>
      </c>
    </row>
    <row r="6695">
      <c r="A6695" t="n">
        <v>6508</v>
      </c>
      <c r="B6695" t="inlineStr">
        <is>
          <t>Historical mansion for sale from the 13th century near Algaida, Mallorca</t>
        </is>
      </c>
      <c r="C6695" t="inlineStr">
        <is>
          <t>https://www.balearic-properties.com/en/property/id/698521-historical-villa-randa-html</t>
        </is>
      </c>
      <c r="E6695" t="n">
        <v>20</v>
      </c>
      <c r="G6695" t="n">
        <v>200000</v>
      </c>
      <c r="H6695" t="n">
        <v>5000</v>
      </c>
      <c r="J6695" t="inlineStr">
        <is>
          <t>Randa</t>
        </is>
      </c>
      <c r="K6695" t="n">
        <v>24.7</v>
      </c>
      <c r="L6695" t="n">
        <v>24</v>
      </c>
      <c r="M6695" t="n">
        <v>33.1</v>
      </c>
      <c r="N6695" t="n">
        <v>37</v>
      </c>
      <c r="O6695" t="n">
        <v>62.9</v>
      </c>
      <c r="P6695" t="n">
        <v>51</v>
      </c>
      <c r="Q6695" t="n">
        <v>30.8</v>
      </c>
      <c r="R6695" t="n">
        <v>34</v>
      </c>
      <c r="AH6695" t="inlineStr">
        <is>
          <t>Quelle: Balearic Properties</t>
        </is>
      </c>
    </row>
    <row r="6696">
      <c r="A6696" t="n">
        <v>6509</v>
      </c>
      <c r="B6696" t="inlineStr">
        <is>
          <t>Modern house near the beach in the north of Mallorca</t>
        </is>
      </c>
      <c r="C6696" t="inlineStr">
        <is>
          <t>https://www.balearic-properties.com/en/property/id/652145-beach-mallorca-villa-html</t>
        </is>
      </c>
      <c r="E6696" t="n">
        <v>3</v>
      </c>
      <c r="G6696" t="n">
        <v>250</v>
      </c>
      <c r="H6696" t="n">
        <v>190</v>
      </c>
      <c r="J6696" t="inlineStr">
        <is>
          <t>Muro</t>
        </is>
      </c>
      <c r="AH6696" t="inlineStr">
        <is>
          <t>Quelle: Balearic Properties</t>
        </is>
      </c>
    </row>
    <row r="6697">
      <c r="A6697" t="n">
        <v>6510</v>
      </c>
      <c r="B6697" t="inlineStr">
        <is>
          <t>Superbly priced detached villa with private pool for sale in the north of Mallorca</t>
        </is>
      </c>
      <c r="C6697" t="inlineStr">
        <is>
          <t>https://www.balearic-properties.com/en/property/id/641039-villa-mallorca-pollensa-html</t>
        </is>
      </c>
      <c r="E6697" t="n">
        <v>4</v>
      </c>
      <c r="G6697" t="n">
        <v>1682</v>
      </c>
      <c r="H6697" t="n">
        <v>430</v>
      </c>
      <c r="J6697" t="inlineStr">
        <is>
          <t>Pollença</t>
        </is>
      </c>
      <c r="AH6697" t="inlineStr">
        <is>
          <t>Quelle: Balearic Properties</t>
        </is>
      </c>
    </row>
    <row r="6698">
      <c r="A6698" t="n">
        <v>6511</v>
      </c>
      <c r="B6698" t="inlineStr">
        <is>
          <t>Light flooded apartment with 3 bedrooms and 3 bathrooms in the old town of Palma</t>
        </is>
      </c>
      <c r="C6698" t="inlineStr">
        <is>
          <t>https://www.balearic-properties.com/en/property/id/637755-apartment-oldtown-palma-html</t>
        </is>
      </c>
      <c r="E6698" t="n">
        <v>3</v>
      </c>
      <c r="G6698" t="n">
        <v>0</v>
      </c>
      <c r="H6698" t="n">
        <v>195</v>
      </c>
      <c r="J6698" t="inlineStr">
        <is>
          <t>Palma de Mallorca</t>
        </is>
      </c>
      <c r="AH6698" t="inlineStr">
        <is>
          <t>Quelle: Balearic Properties</t>
        </is>
      </c>
    </row>
    <row r="6699">
      <c r="A6699" t="n">
        <v>6512</v>
      </c>
      <c r="B6699" t="inlineStr">
        <is>
          <t>Villa Llenaire is a modern country villa available for rent near Pollensa, Mallorca</t>
        </is>
      </c>
      <c r="C6699" t="inlineStr">
        <is>
          <t>https://www.balearic-properties.com/en/property/id/632546-villa-rental-pollensa-html</t>
        </is>
      </c>
      <c r="E6699" t="n">
        <v>4</v>
      </c>
      <c r="G6699" t="n">
        <v>17757</v>
      </c>
      <c r="H6699" t="n">
        <v>480</v>
      </c>
      <c r="J6699" t="inlineStr">
        <is>
          <t>Pollença</t>
        </is>
      </c>
      <c r="AH6699" t="inlineStr">
        <is>
          <t>Quelle: Balearic Properties</t>
        </is>
      </c>
    </row>
    <row r="6700">
      <c r="A6700" t="n">
        <v>6513</v>
      </c>
      <c r="B6700" t="inlineStr">
        <is>
          <t>Town house converted into an architectural jewel for sale, Pollensa, Mallorca</t>
        </is>
      </c>
      <c r="C6700" t="inlineStr">
        <is>
          <t>https://www.balearic-properties.com/en/property/id/546378-pollensa-luxury-townhouse-html</t>
        </is>
      </c>
      <c r="E6700" t="n">
        <v>4</v>
      </c>
      <c r="G6700" t="n">
        <v>303</v>
      </c>
      <c r="H6700" t="n">
        <v>537</v>
      </c>
      <c r="J6700" t="inlineStr">
        <is>
          <t>Pollença Pueblo</t>
        </is>
      </c>
      <c r="AH6700" t="inlineStr">
        <is>
          <t>Quelle: Balearic Properties</t>
        </is>
      </c>
    </row>
    <row r="6701">
      <c r="A6701" t="n">
        <v>6514</v>
      </c>
      <c r="B6701" t="inlineStr">
        <is>
          <t>Ideal duplex home with holiday rental license for sale in Cala Sant Vicente, Mallorca</t>
        </is>
      </c>
      <c r="C6701" t="inlineStr">
        <is>
          <t>https://www.balearic-properties.com/en/property/id/533472-duplex-holiday-rentals-san-vicente-html</t>
        </is>
      </c>
      <c r="E6701" t="n">
        <v>3</v>
      </c>
      <c r="G6701" t="n">
        <v>0</v>
      </c>
      <c r="H6701" t="n">
        <v>111</v>
      </c>
      <c r="J6701" t="inlineStr">
        <is>
          <t>Pollença</t>
        </is>
      </c>
      <c r="AH6701" t="inlineStr">
        <is>
          <t>Quelle: Balearic Properties</t>
        </is>
      </c>
    </row>
    <row r="6702">
      <c r="A6702" t="n">
        <v>6515</v>
      </c>
      <c r="B6702" t="inlineStr">
        <is>
          <t>Magnificent villa in elevated position near Pollensa, Mallorca</t>
        </is>
      </c>
      <c r="C6702" t="inlineStr">
        <is>
          <t>https://www.balearic-properties.com/en/property/id/478721-panoramic-villa-pollensa-html</t>
        </is>
      </c>
      <c r="E6702" t="n">
        <v>4</v>
      </c>
      <c r="G6702" t="n">
        <v>1800</v>
      </c>
      <c r="H6702" t="n">
        <v>490</v>
      </c>
      <c r="J6702" t="inlineStr">
        <is>
          <t>Pollença</t>
        </is>
      </c>
      <c r="AH6702" t="inlineStr">
        <is>
          <t>Quelle: Balearic Properties</t>
        </is>
      </c>
    </row>
    <row r="6703">
      <c r="A6703" t="n">
        <v>6516</v>
      </c>
      <c r="B6703" t="inlineStr">
        <is>
          <t>Amazing country property for sale close to Pollensa, Mallorca</t>
        </is>
      </c>
      <c r="C6703" t="inlineStr">
        <is>
          <t>https://www.balearic-properties.com/en/property/id/458320-country-home-pollensa-html</t>
        </is>
      </c>
      <c r="E6703" t="n">
        <v>7</v>
      </c>
      <c r="G6703" t="n">
        <v>16000</v>
      </c>
      <c r="H6703" t="n">
        <v>590</v>
      </c>
      <c r="J6703" t="inlineStr">
        <is>
          <t>Pollença</t>
        </is>
      </c>
      <c r="K6703" t="n">
        <v>60.6</v>
      </c>
      <c r="L6703" t="n">
        <v>47</v>
      </c>
      <c r="M6703" t="n">
        <v>78.7</v>
      </c>
      <c r="N6703" t="n">
        <v>74</v>
      </c>
      <c r="O6703" t="n">
        <v>83.2</v>
      </c>
      <c r="P6703" t="n">
        <v>63</v>
      </c>
      <c r="Q6703" t="n">
        <v>76.40000000000001</v>
      </c>
      <c r="R6703" t="n">
        <v>70</v>
      </c>
      <c r="AH6703" t="inlineStr">
        <is>
          <t>Quelle: Balearic Properties</t>
        </is>
      </c>
    </row>
    <row r="6704">
      <c r="A6704" t="n">
        <v>6517</v>
      </c>
      <c r="B6704" t="inlineStr">
        <is>
          <t>Town house for sale in Pollença, Mallorca</t>
        </is>
      </c>
      <c r="C6704" t="inlineStr">
        <is>
          <t>https://www.balearic-properties.com/en/property/id/365371-house-pollensa-html</t>
        </is>
      </c>
      <c r="E6704" t="n">
        <v>4</v>
      </c>
      <c r="G6704" t="n">
        <v>0</v>
      </c>
      <c r="H6704" t="n">
        <v>146</v>
      </c>
      <c r="J6704" t="inlineStr">
        <is>
          <t>Pollença</t>
        </is>
      </c>
      <c r="AH6704" t="inlineStr">
        <is>
          <t>Quelle: Balearic Properties</t>
        </is>
      </c>
    </row>
    <row r="6705">
      <c r="A6705" t="n">
        <v>6518</v>
      </c>
      <c r="B6705" t="inlineStr">
        <is>
          <t>Spacious villa with lovely garden for sale in Alcanada, Alcudia, Mallorca</t>
        </is>
      </c>
      <c r="C6705" t="inlineStr">
        <is>
          <t>https://www.balearic-properties.com/en/property/id/193791-villa-alcanada-mallorca-html</t>
        </is>
      </c>
      <c r="E6705" t="n">
        <v>6</v>
      </c>
      <c r="G6705" t="n">
        <v>800</v>
      </c>
      <c r="H6705" t="n">
        <v>345</v>
      </c>
      <c r="J6705" t="inlineStr">
        <is>
          <t>Alcanada</t>
        </is>
      </c>
      <c r="K6705" t="n">
        <v>64.2</v>
      </c>
      <c r="L6705" t="n">
        <v>48</v>
      </c>
      <c r="M6705" t="n">
        <v>82.3</v>
      </c>
      <c r="N6705" t="n">
        <v>75</v>
      </c>
      <c r="O6705" t="n">
        <v>86.8</v>
      </c>
      <c r="P6705" t="n">
        <v>64</v>
      </c>
      <c r="Q6705" t="n">
        <v>80</v>
      </c>
      <c r="R6705" t="n">
        <v>71</v>
      </c>
      <c r="AH6705" t="inlineStr">
        <is>
          <t>Quelle: Balearic Properties</t>
        </is>
      </c>
    </row>
    <row r="6706">
      <c r="A6706" t="n">
        <v>6519</v>
      </c>
      <c r="B6706" t="inlineStr">
        <is>
          <t>Outstanding Santa maria del cami country home</t>
        </is>
      </c>
      <c r="C6706" t="inlineStr">
        <is>
          <t>https://www.balearic-properties.com/en/property/id/804515-outstanding-santa-maria-del-cami-country-home</t>
        </is>
      </c>
      <c r="E6706" t="n">
        <v>2</v>
      </c>
      <c r="G6706" t="n">
        <v>17000</v>
      </c>
      <c r="H6706" t="n">
        <v>700</v>
      </c>
      <c r="J6706" t="inlineStr">
        <is>
          <t>Santa Maria del Camí</t>
        </is>
      </c>
      <c r="AH6706" t="inlineStr">
        <is>
          <t>Quelle: Balearic Properties</t>
        </is>
      </c>
    </row>
    <row r="6707">
      <c r="A6707" t="n">
        <v>6520</v>
      </c>
      <c r="B6707" t="inlineStr">
        <is>
          <t>Outstanding designer house for sale in the heart of Alaró, Mallorca</t>
        </is>
      </c>
      <c r="C6707" t="inlineStr">
        <is>
          <t>https://www.balearic-properties.com/en/property/id/816168-luxury-townhouse-with-generous-garden-in-the-heart-of-alaro</t>
        </is>
      </c>
      <c r="E6707" t="n">
        <v>7</v>
      </c>
      <c r="G6707" t="n">
        <v>663</v>
      </c>
      <c r="H6707" t="n">
        <v>640</v>
      </c>
      <c r="J6707" t="inlineStr">
        <is>
          <t>Alaró</t>
        </is>
      </c>
      <c r="K6707" t="n">
        <v>33.4</v>
      </c>
      <c r="L6707" t="n">
        <v>33</v>
      </c>
      <c r="M6707" t="n">
        <v>76.09999999999999</v>
      </c>
      <c r="N6707" t="n">
        <v>66</v>
      </c>
      <c r="O6707" t="n">
        <v>55.9</v>
      </c>
      <c r="P6707" t="n">
        <v>49</v>
      </c>
      <c r="Q6707" t="n">
        <v>73.8</v>
      </c>
      <c r="R6707" t="n">
        <v>62</v>
      </c>
      <c r="AH6707" t="inlineStr">
        <is>
          <t>Quelle: Balearic Properties</t>
        </is>
      </c>
    </row>
    <row r="6708">
      <c r="A6708" t="n">
        <v>6521</v>
      </c>
      <c r="B6708" t="inlineStr">
        <is>
          <t>Outstanding corner penthouse for sale in Puerto Pollensa, Mallorca</t>
        </is>
      </c>
      <c r="C6708" t="inlineStr">
        <is>
          <t>https://www.balearic-properties.com/en/property/id/817213-beautiful-penthouse-centre-of-puerto-pollensa-meters-from-the-beach-puerto-pollensa-mallorca-html</t>
        </is>
      </c>
      <c r="E6708" t="n">
        <v>4</v>
      </c>
      <c r="G6708" t="n">
        <v>0</v>
      </c>
      <c r="H6708" t="n">
        <v>185</v>
      </c>
      <c r="J6708" t="inlineStr">
        <is>
          <t>Port de Pollença</t>
        </is>
      </c>
      <c r="AH6708" t="inlineStr">
        <is>
          <t>Quelle: Balearic Properties</t>
        </is>
      </c>
    </row>
    <row r="6709">
      <c r="A6709" t="n">
        <v>6522</v>
      </c>
      <c r="B6709" t="inlineStr">
        <is>
          <t>FIRST LINE TO THE SEA SUPERB PENTHOUSE WITH PRIVATE POOL IN PALMA DE MALLORCA</t>
        </is>
      </c>
      <c r="C6709" t="inlineStr">
        <is>
          <t>https://www.balearic-properties.com/en/property/id/826982-first-line-to-the-sea-superb-penthouse-with-private-pool-in-palma-de-mallorca</t>
        </is>
      </c>
      <c r="E6709" t="n">
        <v>3</v>
      </c>
      <c r="G6709" t="n">
        <v>0</v>
      </c>
      <c r="H6709" t="n">
        <v>0</v>
      </c>
      <c r="J6709" t="inlineStr">
        <is>
          <t>Palma de Mallorca</t>
        </is>
      </c>
      <c r="AH6709" t="inlineStr">
        <is>
          <t>Quelle: Balearic Properties</t>
        </is>
      </c>
    </row>
    <row r="6710">
      <c r="A6710" t="n">
        <v>6523</v>
      </c>
      <c r="B6710" t="inlineStr">
        <is>
          <t>Apartment for sale, close to the beach in Puerto Pollensa, Mallorca</t>
        </is>
      </c>
      <c r="C6710" t="inlineStr">
        <is>
          <t>https://www.balearic-properties.com/en/property/id/827686-apartment-beach-puerto-pollensa-mallorca-html</t>
        </is>
      </c>
      <c r="E6710" t="n">
        <v>3</v>
      </c>
      <c r="G6710" t="n">
        <v>0</v>
      </c>
      <c r="H6710" t="n">
        <v>99</v>
      </c>
      <c r="J6710" t="inlineStr">
        <is>
          <t>Port de Pollença</t>
        </is>
      </c>
      <c r="AH6710" t="inlineStr">
        <is>
          <t>Quelle: Balearic Properties</t>
        </is>
      </c>
    </row>
    <row r="6711">
      <c r="A6711" t="n">
        <v>6524</v>
      </c>
      <c r="B6711" t="inlineStr">
        <is>
          <t>Renovated village house with pool for sale in the centre of Pollensa, Mallorca</t>
        </is>
      </c>
      <c r="C6711" t="inlineStr">
        <is>
          <t>https://www.balearic-properties.com/en/property/id/831031-renovated-village-house-with-pool-for-sale-in-the-centre-of-pollensa-mallorca</t>
        </is>
      </c>
      <c r="E6711" t="n">
        <v>3</v>
      </c>
      <c r="G6711" t="n">
        <v>0</v>
      </c>
      <c r="H6711" t="n">
        <v>0</v>
      </c>
      <c r="J6711" t="inlineStr">
        <is>
          <t>Pollença</t>
        </is>
      </c>
      <c r="AH6711" t="inlineStr">
        <is>
          <t>Quelle: Balearic Properties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Bewertungssystem Einstellungen (blau = anpassbar)</t>
        </is>
      </c>
    </row>
    <row r="4">
      <c r="A4" t="inlineStr">
        <is>
          <t>GEWICHTE (Summe = 100)</t>
        </is>
      </c>
    </row>
    <row r="5">
      <c r="A5" t="inlineStr">
        <is>
          <t>Zimmer &amp; Platz</t>
        </is>
      </c>
      <c r="B5" t="n">
        <v>20</v>
      </c>
    </row>
    <row r="6">
      <c r="A6" t="inlineStr">
        <is>
          <t>Erreichbarkeit (Flughafen/Daia/Andratx/Ses Salines)</t>
        </is>
      </c>
      <c r="B6" t="n">
        <v>10</v>
      </c>
    </row>
    <row r="7">
      <c r="A7" t="inlineStr">
        <is>
          <t>Grundstück &amp; Garten</t>
        </is>
      </c>
      <c r="B7" t="n">
        <v>15</v>
      </c>
    </row>
    <row r="8">
      <c r="A8" t="inlineStr">
        <is>
          <t>Vermietlizenz</t>
        </is>
      </c>
      <c r="B8" t="n">
        <v>10</v>
      </c>
    </row>
    <row r="9">
      <c r="A9" t="inlineStr">
        <is>
          <t>Preis/Budget</t>
        </is>
      </c>
      <c r="B9" t="n">
        <v>15</v>
      </c>
    </row>
    <row r="10">
      <c r="A10" t="inlineStr">
        <is>
          <t>Charme / Ästhetik (1-5, manuell)</t>
        </is>
      </c>
      <c r="B10" t="n">
        <v>10</v>
      </c>
    </row>
    <row r="11">
      <c r="A11" t="inlineStr">
        <is>
          <t>Renovierung (0-100)</t>
        </is>
      </c>
      <c r="B11" t="n">
        <v>0</v>
      </c>
    </row>
    <row r="12">
      <c r="A12" t="inlineStr">
        <is>
          <t>Bewirtschaftung (1-5, 5=pflegeleicht)</t>
        </is>
      </c>
      <c r="B12" t="n">
        <v>5</v>
      </c>
    </row>
    <row r="13">
      <c r="A13" t="inlineStr">
        <is>
          <t>Preis-Leistung (€/m²)</t>
        </is>
      </c>
      <c r="B13" t="n">
        <v>15</v>
      </c>
    </row>
    <row r="14">
      <c r="A14" t="inlineStr">
        <is>
          <t>Summe</t>
        </is>
      </c>
      <c r="B14">
        <f>SUM(B5:B13)</f>
        <v/>
      </c>
    </row>
    <row r="16">
      <c r="A16" t="inlineStr">
        <is>
          <t>ERREICHBARKEIT (Minuten)</t>
        </is>
      </c>
      <c r="B16" t="inlineStr">
        <is>
          <t>Ideal</t>
        </is>
      </c>
      <c r="C16" t="inlineStr">
        <is>
          <t>Akzeptabel</t>
        </is>
      </c>
      <c r="D16" t="inlineStr">
        <is>
          <t>Dealbreaker</t>
        </is>
      </c>
      <c r="E16" t="inlineStr">
        <is>
          <t>Gewicht intern</t>
        </is>
      </c>
    </row>
    <row r="17">
      <c r="A17" t="inlineStr">
        <is>
          <t>Flughafen</t>
        </is>
      </c>
      <c r="B17" t="n">
        <v>20</v>
      </c>
      <c r="C17" t="n">
        <v>35</v>
      </c>
      <c r="D17" t="n">
        <v>50</v>
      </c>
      <c r="E17" t="n">
        <v>25</v>
      </c>
    </row>
    <row r="18">
      <c r="A18" t="inlineStr">
        <is>
          <t>Daia (Hotel Corazón)</t>
        </is>
      </c>
      <c r="B18" t="n">
        <v>20</v>
      </c>
      <c r="C18" t="n">
        <v>40</v>
      </c>
      <c r="D18" t="n">
        <v>70</v>
      </c>
      <c r="E18" t="n">
        <v>40</v>
      </c>
    </row>
    <row r="19">
      <c r="A19" t="inlineStr">
        <is>
          <t>Andratx</t>
        </is>
      </c>
      <c r="B19" t="n">
        <v>30</v>
      </c>
      <c r="C19" t="n">
        <v>45</v>
      </c>
      <c r="D19" t="n">
        <v>60</v>
      </c>
      <c r="E19" t="n">
        <v>15</v>
      </c>
    </row>
    <row r="20">
      <c r="A20" t="inlineStr">
        <is>
          <t>Ses Salines</t>
        </is>
      </c>
      <c r="B20" t="n">
        <v>15</v>
      </c>
      <c r="C20" t="n">
        <v>30</v>
      </c>
      <c r="D20" t="n">
        <v>45</v>
      </c>
      <c r="E20" t="n">
        <v>20</v>
      </c>
    </row>
    <row r="22">
      <c r="A22" t="inlineStr">
        <is>
          <t>ZIMMER</t>
        </is>
      </c>
    </row>
    <row r="23">
      <c r="A23" t="inlineStr">
        <is>
          <t>Minimum Zimmer</t>
        </is>
      </c>
      <c r="B23" t="n">
        <v>5</v>
      </c>
    </row>
    <row r="24">
      <c r="A24" t="inlineStr">
        <is>
          <t>Ideal Zimmer</t>
        </is>
      </c>
      <c r="B24" t="n">
        <v>8</v>
      </c>
    </row>
    <row r="26">
      <c r="A26" t="inlineStr">
        <is>
          <t>GRUNDSTÜCK &amp; GARTEN</t>
        </is>
      </c>
    </row>
    <row r="27">
      <c r="A27" t="inlineStr">
        <is>
          <t>Min Grundstück (m²)</t>
        </is>
      </c>
      <c r="B27" t="n">
        <v>3000</v>
      </c>
    </row>
    <row r="28">
      <c r="A28" t="inlineStr">
        <is>
          <t>Ideal Grundstück (m²)</t>
        </is>
      </c>
      <c r="B28" t="n">
        <v>15000</v>
      </c>
    </row>
    <row r="29">
      <c r="A29" t="inlineStr">
        <is>
          <t>Min Garten/Rasen (m²)</t>
        </is>
      </c>
      <c r="B29" t="n">
        <v>1000</v>
      </c>
    </row>
    <row r="30">
      <c r="A30" t="inlineStr">
        <is>
          <t>Ideal Garten/Rasen (m²)</t>
        </is>
      </c>
      <c r="B30" t="n">
        <v>5000</v>
      </c>
    </row>
    <row r="32">
      <c r="A32" t="inlineStr">
        <is>
          <t>VALUE</t>
        </is>
      </c>
    </row>
    <row r="33">
      <c r="A33" t="inlineStr">
        <is>
          <t>Ziel €/m² (bebaut)</t>
        </is>
      </c>
      <c r="B33" t="n">
        <v>5000</v>
      </c>
    </row>
    <row r="34">
      <c r="A34" t="inlineStr">
        <is>
          <t>Max €/m² (bebaut)</t>
        </is>
      </c>
      <c r="B34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Rangliste (automatisch aus 'Objekte')</t>
        </is>
      </c>
    </row>
    <row r="3">
      <c r="A3" t="inlineStr">
        <is>
          <t>Rang</t>
        </is>
      </c>
      <c r="B3" t="inlineStr">
        <is>
          <t>Name</t>
        </is>
      </c>
      <c r="C3" t="inlineStr">
        <is>
          <t>Score</t>
        </is>
      </c>
      <c r="D3" t="inlineStr">
        <is>
          <t>Erreichb.</t>
        </is>
      </c>
      <c r="E3" t="inlineStr">
        <is>
          <t>Flugh.(min)</t>
        </is>
      </c>
      <c r="F3" t="inlineStr">
        <is>
          <t>Daia (min)</t>
        </is>
      </c>
      <c r="G3" t="inlineStr">
        <is>
          <t>Andratx (min)</t>
        </is>
      </c>
      <c r="H3" t="inlineStr">
        <is>
          <t>Zimmer</t>
        </is>
      </c>
      <c r="I3" t="inlineStr">
        <is>
          <t>Grundstück</t>
        </is>
      </c>
      <c r="J3" t="inlineStr">
        <is>
          <t>Garten</t>
        </is>
      </c>
      <c r="K3" t="inlineStr">
        <is>
          <t>Preis (€)</t>
        </is>
      </c>
      <c r="L3" t="inlineStr">
        <is>
          <t>Lizenz</t>
        </is>
      </c>
      <c r="M3" t="inlineStr">
        <is>
          <t>Charme</t>
        </is>
      </c>
      <c r="N3" t="inlineStr">
        <is>
          <t>Bewirtsch.</t>
        </is>
      </c>
      <c r="O3" t="inlineStr">
        <is>
          <t>Kommentar</t>
        </is>
      </c>
      <c r="P3" t="inlineStr">
        <is>
          <t>URL</t>
        </is>
      </c>
      <c r="Q3" t="inlineStr">
        <is>
          <t>Reno-Score</t>
        </is>
      </c>
      <c r="R3" t="inlineStr">
        <is>
          <t>Baujahr</t>
        </is>
      </c>
    </row>
    <row r="4">
      <c r="A4" t="n">
        <v>1</v>
      </c>
      <c r="B4">
        <f>IFERROR(INDEX(Objekte!$B$2:$B$201,MATCH($A4,Objekte!$Z$2:$Z$201,0)),"")</f>
        <v/>
      </c>
      <c r="C4">
        <f>IFERROR(INDEX(Objekte!$X$2:$X$201,MATCH($A4,Objekte!$Z$2:$Z$201,0)),"")</f>
        <v/>
      </c>
      <c r="D4">
        <f>IFERROR(INDEX(Objekte!$W$2:$W$201,MATCH($A4,Objekte!$Z$2:$Z$201,0)),"")</f>
        <v/>
      </c>
      <c r="E4">
        <f>IFERROR(INDEX(Objekte!$L$2:$L$201,MATCH($A4,Objekte!$Z$2:$Z$201,0)),"")</f>
        <v/>
      </c>
      <c r="F4">
        <f>IFERROR(INDEX(Objekte!$N$2:$N$201,MATCH($A4,Objekte!$Z$2:$Z$201,0)),"")</f>
        <v/>
      </c>
      <c r="G4">
        <f>IFERROR(INDEX(Objekte!$P$2:$P$201,MATCH($A4,Objekte!$Z$2:$Z$201,0)),"")</f>
        <v/>
      </c>
      <c r="H4">
        <f>IFERROR(INDEX(Objekte!$E$2:$E$201,MATCH($A4,Objekte!$Z$2:$Z$201,0)),"")</f>
        <v/>
      </c>
      <c r="I4">
        <f>IFERROR(INDEX(Objekte!$G$2:$G$201,MATCH($A4,Objekte!$Z$2:$Z$201,0)),"")</f>
        <v/>
      </c>
      <c r="J4">
        <f>IFERROR(INDEX(Objekte!$I$2:$I$201,MATCH($A4,Objekte!$Z$2:$Z$201,0)),"")</f>
        <v/>
      </c>
      <c r="K4">
        <f>IFERROR(INDEX(Objekte!$Q$2:$Q$201,MATCH($A4,Objekte!$Z$2:$Z$201,0)),"")</f>
        <v/>
      </c>
      <c r="L4">
        <f>IFERROR(INDEX(Objekte!$V$2:$V$201,MATCH($A4,Objekte!$Z$2:$Z$201,0)),"")</f>
        <v/>
      </c>
      <c r="M4">
        <f>IFERROR(INDEX(Objekte!$D$2:$D$201,MATCH($A4,Objekte!$Z$2:$Z$201,0)),"")</f>
        <v/>
      </c>
      <c r="N4">
        <f>IFERROR(INDEX(Objekte!$U$2:$U$201,MATCH($A4,Objekte!$Z$2:$Z$201,0)),"")</f>
        <v/>
      </c>
      <c r="O4">
        <f>IFERROR(INDEX(Objekte!$AF$2:$AF$201,MATCH($A4,Objekte!$Z$2:$Z$201,0)),"")</f>
        <v/>
      </c>
      <c r="P4">
        <f>IFERROR(INDEX(Objekte!$C$2:$C$201,MATCH($A4,Objekte!$Z$2:$Z$201,0)),"")</f>
        <v/>
      </c>
      <c r="Q4">
        <f>IFERROR(INDEX(Objekte!$AD$2:$AD$201,MATCH($A4,Objekte!$Z$2:$Z$201,0)),"")</f>
        <v/>
      </c>
      <c r="R4">
        <f>IFERROR(INDEX(Objekte!$AB$2:$AB$201,MATCH($A4,Objekte!$Z$2:$Z$201,0)),"")</f>
        <v/>
      </c>
    </row>
    <row r="5">
      <c r="A5" t="n">
        <v>2</v>
      </c>
      <c r="B5">
        <f>IFERROR(INDEX(Objekte!$B$2:$B$201,MATCH($A5,Objekte!$Z$2:$Z$201,0)),"")</f>
        <v/>
      </c>
      <c r="C5">
        <f>IFERROR(INDEX(Objekte!$X$2:$X$201,MATCH($A5,Objekte!$Z$2:$Z$201,0)),"")</f>
        <v/>
      </c>
      <c r="D5">
        <f>IFERROR(INDEX(Objekte!$W$2:$W$201,MATCH($A5,Objekte!$Z$2:$Z$201,0)),"")</f>
        <v/>
      </c>
      <c r="E5">
        <f>IFERROR(INDEX(Objekte!$L$2:$L$201,MATCH($A5,Objekte!$Z$2:$Z$201,0)),"")</f>
        <v/>
      </c>
      <c r="F5">
        <f>IFERROR(INDEX(Objekte!$N$2:$N$201,MATCH($A5,Objekte!$Z$2:$Z$201,0)),"")</f>
        <v/>
      </c>
      <c r="G5">
        <f>IFERROR(INDEX(Objekte!$P$2:$P$201,MATCH($A5,Objekte!$Z$2:$Z$201,0)),"")</f>
        <v/>
      </c>
      <c r="H5">
        <f>IFERROR(INDEX(Objekte!$E$2:$E$201,MATCH($A5,Objekte!$Z$2:$Z$201,0)),"")</f>
        <v/>
      </c>
      <c r="I5">
        <f>IFERROR(INDEX(Objekte!$G$2:$G$201,MATCH($A5,Objekte!$Z$2:$Z$201,0)),"")</f>
        <v/>
      </c>
      <c r="J5">
        <f>IFERROR(INDEX(Objekte!$I$2:$I$201,MATCH($A5,Objekte!$Z$2:$Z$201,0)),"")</f>
        <v/>
      </c>
      <c r="K5">
        <f>IFERROR(INDEX(Objekte!$Q$2:$Q$201,MATCH($A5,Objekte!$Z$2:$Z$201,0)),"")</f>
        <v/>
      </c>
      <c r="L5">
        <f>IFERROR(INDEX(Objekte!$V$2:$V$201,MATCH($A5,Objekte!$Z$2:$Z$201,0)),"")</f>
        <v/>
      </c>
      <c r="M5">
        <f>IFERROR(INDEX(Objekte!$D$2:$D$201,MATCH($A5,Objekte!$Z$2:$Z$201,0)),"")</f>
        <v/>
      </c>
      <c r="N5">
        <f>IFERROR(INDEX(Objekte!$U$2:$U$201,MATCH($A5,Objekte!$Z$2:$Z$201,0)),"")</f>
        <v/>
      </c>
      <c r="O5">
        <f>IFERROR(INDEX(Objekte!$AF$2:$AF$201,MATCH($A5,Objekte!$Z$2:$Z$201,0)),"")</f>
        <v/>
      </c>
      <c r="P5">
        <f>IFERROR(INDEX(Objekte!$C$2:$C$201,MATCH($A5,Objekte!$Z$2:$Z$201,0)),"")</f>
        <v/>
      </c>
      <c r="Q5">
        <f>IFERROR(INDEX(Objekte!$AD$2:$AD$201,MATCH($A5,Objekte!$Z$2:$Z$201,0)),"")</f>
        <v/>
      </c>
      <c r="R5">
        <f>IFERROR(INDEX(Objekte!$AB$2:$AB$201,MATCH($A5,Objekte!$Z$2:$Z$201,0)),"")</f>
        <v/>
      </c>
    </row>
    <row r="6">
      <c r="A6" t="n">
        <v>3</v>
      </c>
      <c r="B6">
        <f>IFERROR(INDEX(Objekte!$B$2:$B$201,MATCH($A6,Objekte!$Z$2:$Z$201,0)),"")</f>
        <v/>
      </c>
      <c r="C6">
        <f>IFERROR(INDEX(Objekte!$X$2:$X$201,MATCH($A6,Objekte!$Z$2:$Z$201,0)),"")</f>
        <v/>
      </c>
      <c r="D6">
        <f>IFERROR(INDEX(Objekte!$W$2:$W$201,MATCH($A6,Objekte!$Z$2:$Z$201,0)),"")</f>
        <v/>
      </c>
      <c r="E6">
        <f>IFERROR(INDEX(Objekte!$L$2:$L$201,MATCH($A6,Objekte!$Z$2:$Z$201,0)),"")</f>
        <v/>
      </c>
      <c r="F6">
        <f>IFERROR(INDEX(Objekte!$N$2:$N$201,MATCH($A6,Objekte!$Z$2:$Z$201,0)),"")</f>
        <v/>
      </c>
      <c r="G6">
        <f>IFERROR(INDEX(Objekte!$P$2:$P$201,MATCH($A6,Objekte!$Z$2:$Z$201,0)),"")</f>
        <v/>
      </c>
      <c r="H6">
        <f>IFERROR(INDEX(Objekte!$E$2:$E$201,MATCH($A6,Objekte!$Z$2:$Z$201,0)),"")</f>
        <v/>
      </c>
      <c r="I6">
        <f>IFERROR(INDEX(Objekte!$G$2:$G$201,MATCH($A6,Objekte!$Z$2:$Z$201,0)),"")</f>
        <v/>
      </c>
      <c r="J6">
        <f>IFERROR(INDEX(Objekte!$I$2:$I$201,MATCH($A6,Objekte!$Z$2:$Z$201,0)),"")</f>
        <v/>
      </c>
      <c r="K6">
        <f>IFERROR(INDEX(Objekte!$Q$2:$Q$201,MATCH($A6,Objekte!$Z$2:$Z$201,0)),"")</f>
        <v/>
      </c>
      <c r="L6">
        <f>IFERROR(INDEX(Objekte!$V$2:$V$201,MATCH($A6,Objekte!$Z$2:$Z$201,0)),"")</f>
        <v/>
      </c>
      <c r="M6">
        <f>IFERROR(INDEX(Objekte!$D$2:$D$201,MATCH($A6,Objekte!$Z$2:$Z$201,0)),"")</f>
        <v/>
      </c>
      <c r="N6">
        <f>IFERROR(INDEX(Objekte!$U$2:$U$201,MATCH($A6,Objekte!$Z$2:$Z$201,0)),"")</f>
        <v/>
      </c>
      <c r="O6">
        <f>IFERROR(INDEX(Objekte!$AF$2:$AF$201,MATCH($A6,Objekte!$Z$2:$Z$201,0)),"")</f>
        <v/>
      </c>
      <c r="P6">
        <f>IFERROR(INDEX(Objekte!$C$2:$C$201,MATCH($A6,Objekte!$Z$2:$Z$201,0)),"")</f>
        <v/>
      </c>
      <c r="Q6">
        <f>IFERROR(INDEX(Objekte!$AD$2:$AD$201,MATCH($A6,Objekte!$Z$2:$Z$201,0)),"")</f>
        <v/>
      </c>
      <c r="R6">
        <f>IFERROR(INDEX(Objekte!$AB$2:$AB$201,MATCH($A6,Objekte!$Z$2:$Z$201,0)),"")</f>
        <v/>
      </c>
    </row>
    <row r="7">
      <c r="A7" t="n">
        <v>4</v>
      </c>
      <c r="B7">
        <f>IFERROR(INDEX(Objekte!$B$2:$B$201,MATCH($A7,Objekte!$Z$2:$Z$201,0)),"")</f>
        <v/>
      </c>
      <c r="C7">
        <f>IFERROR(INDEX(Objekte!$X$2:$X$201,MATCH($A7,Objekte!$Z$2:$Z$201,0)),"")</f>
        <v/>
      </c>
      <c r="D7">
        <f>IFERROR(INDEX(Objekte!$W$2:$W$201,MATCH($A7,Objekte!$Z$2:$Z$201,0)),"")</f>
        <v/>
      </c>
      <c r="E7">
        <f>IFERROR(INDEX(Objekte!$L$2:$L$201,MATCH($A7,Objekte!$Z$2:$Z$201,0)),"")</f>
        <v/>
      </c>
      <c r="F7">
        <f>IFERROR(INDEX(Objekte!$N$2:$N$201,MATCH($A7,Objekte!$Z$2:$Z$201,0)),"")</f>
        <v/>
      </c>
      <c r="G7">
        <f>IFERROR(INDEX(Objekte!$P$2:$P$201,MATCH($A7,Objekte!$Z$2:$Z$201,0)),"")</f>
        <v/>
      </c>
      <c r="H7">
        <f>IFERROR(INDEX(Objekte!$E$2:$E$201,MATCH($A7,Objekte!$Z$2:$Z$201,0)),"")</f>
        <v/>
      </c>
      <c r="I7">
        <f>IFERROR(INDEX(Objekte!$G$2:$G$201,MATCH($A7,Objekte!$Z$2:$Z$201,0)),"")</f>
        <v/>
      </c>
      <c r="J7">
        <f>IFERROR(INDEX(Objekte!$I$2:$I$201,MATCH($A7,Objekte!$Z$2:$Z$201,0)),"")</f>
        <v/>
      </c>
      <c r="K7">
        <f>IFERROR(INDEX(Objekte!$Q$2:$Q$201,MATCH($A7,Objekte!$Z$2:$Z$201,0)),"")</f>
        <v/>
      </c>
      <c r="L7">
        <f>IFERROR(INDEX(Objekte!$V$2:$V$201,MATCH($A7,Objekte!$Z$2:$Z$201,0)),"")</f>
        <v/>
      </c>
      <c r="M7">
        <f>IFERROR(INDEX(Objekte!$D$2:$D$201,MATCH($A7,Objekte!$Z$2:$Z$201,0)),"")</f>
        <v/>
      </c>
      <c r="N7">
        <f>IFERROR(INDEX(Objekte!$U$2:$U$201,MATCH($A7,Objekte!$Z$2:$Z$201,0)),"")</f>
        <v/>
      </c>
      <c r="O7">
        <f>IFERROR(INDEX(Objekte!$AF$2:$AF$201,MATCH($A7,Objekte!$Z$2:$Z$201,0)),"")</f>
        <v/>
      </c>
      <c r="P7">
        <f>IFERROR(INDEX(Objekte!$C$2:$C$201,MATCH($A7,Objekte!$Z$2:$Z$201,0)),"")</f>
        <v/>
      </c>
      <c r="Q7">
        <f>IFERROR(INDEX(Objekte!$AD$2:$AD$201,MATCH($A7,Objekte!$Z$2:$Z$201,0)),"")</f>
        <v/>
      </c>
      <c r="R7">
        <f>IFERROR(INDEX(Objekte!$AB$2:$AB$201,MATCH($A7,Objekte!$Z$2:$Z$201,0)),"")</f>
        <v/>
      </c>
    </row>
    <row r="8">
      <c r="A8" t="n">
        <v>5</v>
      </c>
      <c r="B8">
        <f>IFERROR(INDEX(Objekte!$B$2:$B$201,MATCH($A8,Objekte!$Z$2:$Z$201,0)),"")</f>
        <v/>
      </c>
      <c r="C8">
        <f>IFERROR(INDEX(Objekte!$X$2:$X$201,MATCH($A8,Objekte!$Z$2:$Z$201,0)),"")</f>
        <v/>
      </c>
      <c r="D8">
        <f>IFERROR(INDEX(Objekte!$W$2:$W$201,MATCH($A8,Objekte!$Z$2:$Z$201,0)),"")</f>
        <v/>
      </c>
      <c r="E8">
        <f>IFERROR(INDEX(Objekte!$L$2:$L$201,MATCH($A8,Objekte!$Z$2:$Z$201,0)),"")</f>
        <v/>
      </c>
      <c r="F8">
        <f>IFERROR(INDEX(Objekte!$N$2:$N$201,MATCH($A8,Objekte!$Z$2:$Z$201,0)),"")</f>
        <v/>
      </c>
      <c r="G8">
        <f>IFERROR(INDEX(Objekte!$P$2:$P$201,MATCH($A8,Objekte!$Z$2:$Z$201,0)),"")</f>
        <v/>
      </c>
      <c r="H8">
        <f>IFERROR(INDEX(Objekte!$E$2:$E$201,MATCH($A8,Objekte!$Z$2:$Z$201,0)),"")</f>
        <v/>
      </c>
      <c r="I8">
        <f>IFERROR(INDEX(Objekte!$G$2:$G$201,MATCH($A8,Objekte!$Z$2:$Z$201,0)),"")</f>
        <v/>
      </c>
      <c r="J8">
        <f>IFERROR(INDEX(Objekte!$I$2:$I$201,MATCH($A8,Objekte!$Z$2:$Z$201,0)),"")</f>
        <v/>
      </c>
      <c r="K8">
        <f>IFERROR(INDEX(Objekte!$Q$2:$Q$201,MATCH($A8,Objekte!$Z$2:$Z$201,0)),"")</f>
        <v/>
      </c>
      <c r="L8">
        <f>IFERROR(INDEX(Objekte!$V$2:$V$201,MATCH($A8,Objekte!$Z$2:$Z$201,0)),"")</f>
        <v/>
      </c>
      <c r="M8">
        <f>IFERROR(INDEX(Objekte!$D$2:$D$201,MATCH($A8,Objekte!$Z$2:$Z$201,0)),"")</f>
        <v/>
      </c>
      <c r="N8">
        <f>IFERROR(INDEX(Objekte!$U$2:$U$201,MATCH($A8,Objekte!$Z$2:$Z$201,0)),"")</f>
        <v/>
      </c>
      <c r="O8">
        <f>IFERROR(INDEX(Objekte!$AF$2:$AF$201,MATCH($A8,Objekte!$Z$2:$Z$201,0)),"")</f>
        <v/>
      </c>
      <c r="P8">
        <f>IFERROR(INDEX(Objekte!$C$2:$C$201,MATCH($A8,Objekte!$Z$2:$Z$201,0)),"")</f>
        <v/>
      </c>
      <c r="Q8">
        <f>IFERROR(INDEX(Objekte!$AD$2:$AD$201,MATCH($A8,Objekte!$Z$2:$Z$201,0)),"")</f>
        <v/>
      </c>
      <c r="R8">
        <f>IFERROR(INDEX(Objekte!$AB$2:$AB$201,MATCH($A8,Objekte!$Z$2:$Z$201,0)),"")</f>
        <v/>
      </c>
    </row>
    <row r="9">
      <c r="A9" t="n">
        <v>6</v>
      </c>
      <c r="B9">
        <f>IFERROR(INDEX(Objekte!$B$2:$B$201,MATCH($A9,Objekte!$Z$2:$Z$201,0)),"")</f>
        <v/>
      </c>
      <c r="C9">
        <f>IFERROR(INDEX(Objekte!$X$2:$X$201,MATCH($A9,Objekte!$Z$2:$Z$201,0)),"")</f>
        <v/>
      </c>
      <c r="D9">
        <f>IFERROR(INDEX(Objekte!$W$2:$W$201,MATCH($A9,Objekte!$Z$2:$Z$201,0)),"")</f>
        <v/>
      </c>
      <c r="E9">
        <f>IFERROR(INDEX(Objekte!$L$2:$L$201,MATCH($A9,Objekte!$Z$2:$Z$201,0)),"")</f>
        <v/>
      </c>
      <c r="F9">
        <f>IFERROR(INDEX(Objekte!$N$2:$N$201,MATCH($A9,Objekte!$Z$2:$Z$201,0)),"")</f>
        <v/>
      </c>
      <c r="G9">
        <f>IFERROR(INDEX(Objekte!$P$2:$P$201,MATCH($A9,Objekte!$Z$2:$Z$201,0)),"")</f>
        <v/>
      </c>
      <c r="H9">
        <f>IFERROR(INDEX(Objekte!$E$2:$E$201,MATCH($A9,Objekte!$Z$2:$Z$201,0)),"")</f>
        <v/>
      </c>
      <c r="I9">
        <f>IFERROR(INDEX(Objekte!$G$2:$G$201,MATCH($A9,Objekte!$Z$2:$Z$201,0)),"")</f>
        <v/>
      </c>
      <c r="J9">
        <f>IFERROR(INDEX(Objekte!$I$2:$I$201,MATCH($A9,Objekte!$Z$2:$Z$201,0)),"")</f>
        <v/>
      </c>
      <c r="K9">
        <f>IFERROR(INDEX(Objekte!$Q$2:$Q$201,MATCH($A9,Objekte!$Z$2:$Z$201,0)),"")</f>
        <v/>
      </c>
      <c r="L9">
        <f>IFERROR(INDEX(Objekte!$V$2:$V$201,MATCH($A9,Objekte!$Z$2:$Z$201,0)),"")</f>
        <v/>
      </c>
      <c r="M9">
        <f>IFERROR(INDEX(Objekte!$D$2:$D$201,MATCH($A9,Objekte!$Z$2:$Z$201,0)),"")</f>
        <v/>
      </c>
      <c r="N9">
        <f>IFERROR(INDEX(Objekte!$U$2:$U$201,MATCH($A9,Objekte!$Z$2:$Z$201,0)),"")</f>
        <v/>
      </c>
      <c r="O9">
        <f>IFERROR(INDEX(Objekte!$AF$2:$AF$201,MATCH($A9,Objekte!$Z$2:$Z$201,0)),"")</f>
        <v/>
      </c>
      <c r="P9">
        <f>IFERROR(INDEX(Objekte!$C$2:$C$201,MATCH($A9,Objekte!$Z$2:$Z$201,0)),"")</f>
        <v/>
      </c>
      <c r="Q9">
        <f>IFERROR(INDEX(Objekte!$AD$2:$AD$201,MATCH($A9,Objekte!$Z$2:$Z$201,0)),"")</f>
        <v/>
      </c>
      <c r="R9">
        <f>IFERROR(INDEX(Objekte!$AB$2:$AB$201,MATCH($A9,Objekte!$Z$2:$Z$201,0)),"")</f>
        <v/>
      </c>
    </row>
    <row r="10">
      <c r="A10" t="n">
        <v>7</v>
      </c>
      <c r="B10">
        <f>IFERROR(INDEX(Objekte!$B$2:$B$201,MATCH($A10,Objekte!$Z$2:$Z$201,0)),"")</f>
        <v/>
      </c>
      <c r="C10">
        <f>IFERROR(INDEX(Objekte!$X$2:$X$201,MATCH($A10,Objekte!$Z$2:$Z$201,0)),"")</f>
        <v/>
      </c>
      <c r="D10">
        <f>IFERROR(INDEX(Objekte!$W$2:$W$201,MATCH($A10,Objekte!$Z$2:$Z$201,0)),"")</f>
        <v/>
      </c>
      <c r="E10">
        <f>IFERROR(INDEX(Objekte!$L$2:$L$201,MATCH($A10,Objekte!$Z$2:$Z$201,0)),"")</f>
        <v/>
      </c>
      <c r="F10">
        <f>IFERROR(INDEX(Objekte!$N$2:$N$201,MATCH($A10,Objekte!$Z$2:$Z$201,0)),"")</f>
        <v/>
      </c>
      <c r="G10">
        <f>IFERROR(INDEX(Objekte!$P$2:$P$201,MATCH($A10,Objekte!$Z$2:$Z$201,0)),"")</f>
        <v/>
      </c>
      <c r="H10">
        <f>IFERROR(INDEX(Objekte!$E$2:$E$201,MATCH($A10,Objekte!$Z$2:$Z$201,0)),"")</f>
        <v/>
      </c>
      <c r="I10">
        <f>IFERROR(INDEX(Objekte!$G$2:$G$201,MATCH($A10,Objekte!$Z$2:$Z$201,0)),"")</f>
        <v/>
      </c>
      <c r="J10">
        <f>IFERROR(INDEX(Objekte!$I$2:$I$201,MATCH($A10,Objekte!$Z$2:$Z$201,0)),"")</f>
        <v/>
      </c>
      <c r="K10">
        <f>IFERROR(INDEX(Objekte!$Q$2:$Q$201,MATCH($A10,Objekte!$Z$2:$Z$201,0)),"")</f>
        <v/>
      </c>
      <c r="L10">
        <f>IFERROR(INDEX(Objekte!$V$2:$V$201,MATCH($A10,Objekte!$Z$2:$Z$201,0)),"")</f>
        <v/>
      </c>
      <c r="M10">
        <f>IFERROR(INDEX(Objekte!$D$2:$D$201,MATCH($A10,Objekte!$Z$2:$Z$201,0)),"")</f>
        <v/>
      </c>
      <c r="N10">
        <f>IFERROR(INDEX(Objekte!$U$2:$U$201,MATCH($A10,Objekte!$Z$2:$Z$201,0)),"")</f>
        <v/>
      </c>
      <c r="O10">
        <f>IFERROR(INDEX(Objekte!$AF$2:$AF$201,MATCH($A10,Objekte!$Z$2:$Z$201,0)),"")</f>
        <v/>
      </c>
      <c r="P10">
        <f>IFERROR(INDEX(Objekte!$C$2:$C$201,MATCH($A10,Objekte!$Z$2:$Z$201,0)),"")</f>
        <v/>
      </c>
      <c r="Q10">
        <f>IFERROR(INDEX(Objekte!$AD$2:$AD$201,MATCH($A10,Objekte!$Z$2:$Z$201,0)),"")</f>
        <v/>
      </c>
      <c r="R10">
        <f>IFERROR(INDEX(Objekte!$AB$2:$AB$201,MATCH($A10,Objekte!$Z$2:$Z$201,0)),"")</f>
        <v/>
      </c>
    </row>
    <row r="11">
      <c r="A11" t="n">
        <v>8</v>
      </c>
      <c r="B11">
        <f>IFERROR(INDEX(Objekte!$B$2:$B$201,MATCH($A11,Objekte!$Z$2:$Z$201,0)),"")</f>
        <v/>
      </c>
      <c r="C11">
        <f>IFERROR(INDEX(Objekte!$X$2:$X$201,MATCH($A11,Objekte!$Z$2:$Z$201,0)),"")</f>
        <v/>
      </c>
      <c r="D11">
        <f>IFERROR(INDEX(Objekte!$W$2:$W$201,MATCH($A11,Objekte!$Z$2:$Z$201,0)),"")</f>
        <v/>
      </c>
      <c r="E11">
        <f>IFERROR(INDEX(Objekte!$L$2:$L$201,MATCH($A11,Objekte!$Z$2:$Z$201,0)),"")</f>
        <v/>
      </c>
      <c r="F11">
        <f>IFERROR(INDEX(Objekte!$N$2:$N$201,MATCH($A11,Objekte!$Z$2:$Z$201,0)),"")</f>
        <v/>
      </c>
      <c r="G11">
        <f>IFERROR(INDEX(Objekte!$P$2:$P$201,MATCH($A11,Objekte!$Z$2:$Z$201,0)),"")</f>
        <v/>
      </c>
      <c r="H11">
        <f>IFERROR(INDEX(Objekte!$E$2:$E$201,MATCH($A11,Objekte!$Z$2:$Z$201,0)),"")</f>
        <v/>
      </c>
      <c r="I11">
        <f>IFERROR(INDEX(Objekte!$G$2:$G$201,MATCH($A11,Objekte!$Z$2:$Z$201,0)),"")</f>
        <v/>
      </c>
      <c r="J11">
        <f>IFERROR(INDEX(Objekte!$I$2:$I$201,MATCH($A11,Objekte!$Z$2:$Z$201,0)),"")</f>
        <v/>
      </c>
      <c r="K11">
        <f>IFERROR(INDEX(Objekte!$Q$2:$Q$201,MATCH($A11,Objekte!$Z$2:$Z$201,0)),"")</f>
        <v/>
      </c>
      <c r="L11">
        <f>IFERROR(INDEX(Objekte!$V$2:$V$201,MATCH($A11,Objekte!$Z$2:$Z$201,0)),"")</f>
        <v/>
      </c>
      <c r="M11">
        <f>IFERROR(INDEX(Objekte!$D$2:$D$201,MATCH($A11,Objekte!$Z$2:$Z$201,0)),"")</f>
        <v/>
      </c>
      <c r="N11">
        <f>IFERROR(INDEX(Objekte!$U$2:$U$201,MATCH($A11,Objekte!$Z$2:$Z$201,0)),"")</f>
        <v/>
      </c>
      <c r="O11">
        <f>IFERROR(INDEX(Objekte!$AF$2:$AF$201,MATCH($A11,Objekte!$Z$2:$Z$201,0)),"")</f>
        <v/>
      </c>
      <c r="P11">
        <f>IFERROR(INDEX(Objekte!$C$2:$C$201,MATCH($A11,Objekte!$Z$2:$Z$201,0)),"")</f>
        <v/>
      </c>
      <c r="Q11">
        <f>IFERROR(INDEX(Objekte!$AD$2:$AD$201,MATCH($A11,Objekte!$Z$2:$Z$201,0)),"")</f>
        <v/>
      </c>
      <c r="R11">
        <f>IFERROR(INDEX(Objekte!$AB$2:$AB$201,MATCH($A11,Objekte!$Z$2:$Z$201,0)),"")</f>
        <v/>
      </c>
    </row>
    <row r="12">
      <c r="A12" t="n">
        <v>9</v>
      </c>
      <c r="B12">
        <f>IFERROR(INDEX(Objekte!$B$2:$B$201,MATCH($A12,Objekte!$Z$2:$Z$201,0)),"")</f>
        <v/>
      </c>
      <c r="C12">
        <f>IFERROR(INDEX(Objekte!$X$2:$X$201,MATCH($A12,Objekte!$Z$2:$Z$201,0)),"")</f>
        <v/>
      </c>
      <c r="D12">
        <f>IFERROR(INDEX(Objekte!$W$2:$W$201,MATCH($A12,Objekte!$Z$2:$Z$201,0)),"")</f>
        <v/>
      </c>
      <c r="E12">
        <f>IFERROR(INDEX(Objekte!$L$2:$L$201,MATCH($A12,Objekte!$Z$2:$Z$201,0)),"")</f>
        <v/>
      </c>
      <c r="F12">
        <f>IFERROR(INDEX(Objekte!$N$2:$N$201,MATCH($A12,Objekte!$Z$2:$Z$201,0)),"")</f>
        <v/>
      </c>
      <c r="G12">
        <f>IFERROR(INDEX(Objekte!$P$2:$P$201,MATCH($A12,Objekte!$Z$2:$Z$201,0)),"")</f>
        <v/>
      </c>
      <c r="H12">
        <f>IFERROR(INDEX(Objekte!$E$2:$E$201,MATCH($A12,Objekte!$Z$2:$Z$201,0)),"")</f>
        <v/>
      </c>
      <c r="I12">
        <f>IFERROR(INDEX(Objekte!$G$2:$G$201,MATCH($A12,Objekte!$Z$2:$Z$201,0)),"")</f>
        <v/>
      </c>
      <c r="J12">
        <f>IFERROR(INDEX(Objekte!$I$2:$I$201,MATCH($A12,Objekte!$Z$2:$Z$201,0)),"")</f>
        <v/>
      </c>
      <c r="K12">
        <f>IFERROR(INDEX(Objekte!$Q$2:$Q$201,MATCH($A12,Objekte!$Z$2:$Z$201,0)),"")</f>
        <v/>
      </c>
      <c r="L12">
        <f>IFERROR(INDEX(Objekte!$V$2:$V$201,MATCH($A12,Objekte!$Z$2:$Z$201,0)),"")</f>
        <v/>
      </c>
      <c r="M12">
        <f>IFERROR(INDEX(Objekte!$D$2:$D$201,MATCH($A12,Objekte!$Z$2:$Z$201,0)),"")</f>
        <v/>
      </c>
      <c r="N12">
        <f>IFERROR(INDEX(Objekte!$U$2:$U$201,MATCH($A12,Objekte!$Z$2:$Z$201,0)),"")</f>
        <v/>
      </c>
      <c r="O12">
        <f>IFERROR(INDEX(Objekte!$AF$2:$AF$201,MATCH($A12,Objekte!$Z$2:$Z$201,0)),"")</f>
        <v/>
      </c>
      <c r="P12">
        <f>IFERROR(INDEX(Objekte!$C$2:$C$201,MATCH($A12,Objekte!$Z$2:$Z$201,0)),"")</f>
        <v/>
      </c>
      <c r="Q12">
        <f>IFERROR(INDEX(Objekte!$AD$2:$AD$201,MATCH($A12,Objekte!$Z$2:$Z$201,0)),"")</f>
        <v/>
      </c>
      <c r="R12">
        <f>IFERROR(INDEX(Objekte!$AB$2:$AB$201,MATCH($A12,Objekte!$Z$2:$Z$201,0)),"")</f>
        <v/>
      </c>
    </row>
    <row r="13">
      <c r="A13" t="n">
        <v>10</v>
      </c>
      <c r="B13">
        <f>IFERROR(INDEX(Objekte!$B$2:$B$201,MATCH($A13,Objekte!$Z$2:$Z$201,0)),"")</f>
        <v/>
      </c>
      <c r="C13">
        <f>IFERROR(INDEX(Objekte!$X$2:$X$201,MATCH($A13,Objekte!$Z$2:$Z$201,0)),"")</f>
        <v/>
      </c>
      <c r="D13">
        <f>IFERROR(INDEX(Objekte!$W$2:$W$201,MATCH($A13,Objekte!$Z$2:$Z$201,0)),"")</f>
        <v/>
      </c>
      <c r="E13">
        <f>IFERROR(INDEX(Objekte!$L$2:$L$201,MATCH($A13,Objekte!$Z$2:$Z$201,0)),"")</f>
        <v/>
      </c>
      <c r="F13">
        <f>IFERROR(INDEX(Objekte!$N$2:$N$201,MATCH($A13,Objekte!$Z$2:$Z$201,0)),"")</f>
        <v/>
      </c>
      <c r="G13">
        <f>IFERROR(INDEX(Objekte!$P$2:$P$201,MATCH($A13,Objekte!$Z$2:$Z$201,0)),"")</f>
        <v/>
      </c>
      <c r="H13">
        <f>IFERROR(INDEX(Objekte!$E$2:$E$201,MATCH($A13,Objekte!$Z$2:$Z$201,0)),"")</f>
        <v/>
      </c>
      <c r="I13">
        <f>IFERROR(INDEX(Objekte!$G$2:$G$201,MATCH($A13,Objekte!$Z$2:$Z$201,0)),"")</f>
        <v/>
      </c>
      <c r="J13">
        <f>IFERROR(INDEX(Objekte!$I$2:$I$201,MATCH($A13,Objekte!$Z$2:$Z$201,0)),"")</f>
        <v/>
      </c>
      <c r="K13">
        <f>IFERROR(INDEX(Objekte!$Q$2:$Q$201,MATCH($A13,Objekte!$Z$2:$Z$201,0)),"")</f>
        <v/>
      </c>
      <c r="L13">
        <f>IFERROR(INDEX(Objekte!$V$2:$V$201,MATCH($A13,Objekte!$Z$2:$Z$201,0)),"")</f>
        <v/>
      </c>
      <c r="M13">
        <f>IFERROR(INDEX(Objekte!$D$2:$D$201,MATCH($A13,Objekte!$Z$2:$Z$201,0)),"")</f>
        <v/>
      </c>
      <c r="N13">
        <f>IFERROR(INDEX(Objekte!$U$2:$U$201,MATCH($A13,Objekte!$Z$2:$Z$201,0)),"")</f>
        <v/>
      </c>
      <c r="O13">
        <f>IFERROR(INDEX(Objekte!$AF$2:$AF$201,MATCH($A13,Objekte!$Z$2:$Z$201,0)),"")</f>
        <v/>
      </c>
      <c r="P13">
        <f>IFERROR(INDEX(Objekte!$C$2:$C$201,MATCH($A13,Objekte!$Z$2:$Z$201,0)),"")</f>
        <v/>
      </c>
      <c r="Q13">
        <f>IFERROR(INDEX(Objekte!$AD$2:$AD$201,MATCH($A13,Objekte!$Z$2:$Z$201,0)),"")</f>
        <v/>
      </c>
      <c r="R13">
        <f>IFERROR(INDEX(Objekte!$AB$2:$AB$201,MATCH($A13,Objekte!$Z$2:$Z$201,0)),"")</f>
        <v/>
      </c>
    </row>
    <row r="14">
      <c r="A14" t="n">
        <v>11</v>
      </c>
      <c r="B14">
        <f>IFERROR(INDEX(Objekte!$B$2:$B$201,MATCH($A14,Objekte!$Z$2:$Z$201,0)),"")</f>
        <v/>
      </c>
      <c r="C14">
        <f>IFERROR(INDEX(Objekte!$X$2:$X$201,MATCH($A14,Objekte!$Z$2:$Z$201,0)),"")</f>
        <v/>
      </c>
      <c r="D14">
        <f>IFERROR(INDEX(Objekte!$W$2:$W$201,MATCH($A14,Objekte!$Z$2:$Z$201,0)),"")</f>
        <v/>
      </c>
      <c r="E14">
        <f>IFERROR(INDEX(Objekte!$L$2:$L$201,MATCH($A14,Objekte!$Z$2:$Z$201,0)),"")</f>
        <v/>
      </c>
      <c r="F14">
        <f>IFERROR(INDEX(Objekte!$N$2:$N$201,MATCH($A14,Objekte!$Z$2:$Z$201,0)),"")</f>
        <v/>
      </c>
      <c r="G14">
        <f>IFERROR(INDEX(Objekte!$P$2:$P$201,MATCH($A14,Objekte!$Z$2:$Z$201,0)),"")</f>
        <v/>
      </c>
      <c r="H14">
        <f>IFERROR(INDEX(Objekte!$E$2:$E$201,MATCH($A14,Objekte!$Z$2:$Z$201,0)),"")</f>
        <v/>
      </c>
      <c r="I14">
        <f>IFERROR(INDEX(Objekte!$G$2:$G$201,MATCH($A14,Objekte!$Z$2:$Z$201,0)),"")</f>
        <v/>
      </c>
      <c r="J14">
        <f>IFERROR(INDEX(Objekte!$I$2:$I$201,MATCH($A14,Objekte!$Z$2:$Z$201,0)),"")</f>
        <v/>
      </c>
      <c r="K14">
        <f>IFERROR(INDEX(Objekte!$Q$2:$Q$201,MATCH($A14,Objekte!$Z$2:$Z$201,0)),"")</f>
        <v/>
      </c>
      <c r="L14">
        <f>IFERROR(INDEX(Objekte!$V$2:$V$201,MATCH($A14,Objekte!$Z$2:$Z$201,0)),"")</f>
        <v/>
      </c>
      <c r="M14">
        <f>IFERROR(INDEX(Objekte!$D$2:$D$201,MATCH($A14,Objekte!$Z$2:$Z$201,0)),"")</f>
        <v/>
      </c>
      <c r="N14">
        <f>IFERROR(INDEX(Objekte!$U$2:$U$201,MATCH($A14,Objekte!$Z$2:$Z$201,0)),"")</f>
        <v/>
      </c>
      <c r="O14">
        <f>IFERROR(INDEX(Objekte!$AF$2:$AF$201,MATCH($A14,Objekte!$Z$2:$Z$201,0)),"")</f>
        <v/>
      </c>
      <c r="P14">
        <f>IFERROR(INDEX(Objekte!$C$2:$C$201,MATCH($A14,Objekte!$Z$2:$Z$201,0)),"")</f>
        <v/>
      </c>
      <c r="Q14">
        <f>IFERROR(INDEX(Objekte!$AD$2:$AD$201,MATCH($A14,Objekte!$Z$2:$Z$201,0)),"")</f>
        <v/>
      </c>
      <c r="R14">
        <f>IFERROR(INDEX(Objekte!$AB$2:$AB$201,MATCH($A14,Objekte!$Z$2:$Z$201,0)),"")</f>
        <v/>
      </c>
    </row>
    <row r="15">
      <c r="A15" t="n">
        <v>12</v>
      </c>
      <c r="B15">
        <f>IFERROR(INDEX(Objekte!$B$2:$B$201,MATCH($A15,Objekte!$Z$2:$Z$201,0)),"")</f>
        <v/>
      </c>
      <c r="C15">
        <f>IFERROR(INDEX(Objekte!$X$2:$X$201,MATCH($A15,Objekte!$Z$2:$Z$201,0)),"")</f>
        <v/>
      </c>
      <c r="D15">
        <f>IFERROR(INDEX(Objekte!$W$2:$W$201,MATCH($A15,Objekte!$Z$2:$Z$201,0)),"")</f>
        <v/>
      </c>
      <c r="E15">
        <f>IFERROR(INDEX(Objekte!$L$2:$L$201,MATCH($A15,Objekte!$Z$2:$Z$201,0)),"")</f>
        <v/>
      </c>
      <c r="F15">
        <f>IFERROR(INDEX(Objekte!$N$2:$N$201,MATCH($A15,Objekte!$Z$2:$Z$201,0)),"")</f>
        <v/>
      </c>
      <c r="G15">
        <f>IFERROR(INDEX(Objekte!$P$2:$P$201,MATCH($A15,Objekte!$Z$2:$Z$201,0)),"")</f>
        <v/>
      </c>
      <c r="H15">
        <f>IFERROR(INDEX(Objekte!$E$2:$E$201,MATCH($A15,Objekte!$Z$2:$Z$201,0)),"")</f>
        <v/>
      </c>
      <c r="I15">
        <f>IFERROR(INDEX(Objekte!$G$2:$G$201,MATCH($A15,Objekte!$Z$2:$Z$201,0)),"")</f>
        <v/>
      </c>
      <c r="J15">
        <f>IFERROR(INDEX(Objekte!$I$2:$I$201,MATCH($A15,Objekte!$Z$2:$Z$201,0)),"")</f>
        <v/>
      </c>
      <c r="K15">
        <f>IFERROR(INDEX(Objekte!$Q$2:$Q$201,MATCH($A15,Objekte!$Z$2:$Z$201,0)),"")</f>
        <v/>
      </c>
      <c r="L15">
        <f>IFERROR(INDEX(Objekte!$V$2:$V$201,MATCH($A15,Objekte!$Z$2:$Z$201,0)),"")</f>
        <v/>
      </c>
      <c r="M15">
        <f>IFERROR(INDEX(Objekte!$D$2:$D$201,MATCH($A15,Objekte!$Z$2:$Z$201,0)),"")</f>
        <v/>
      </c>
      <c r="N15">
        <f>IFERROR(INDEX(Objekte!$U$2:$U$201,MATCH($A15,Objekte!$Z$2:$Z$201,0)),"")</f>
        <v/>
      </c>
      <c r="O15">
        <f>IFERROR(INDEX(Objekte!$AF$2:$AF$201,MATCH($A15,Objekte!$Z$2:$Z$201,0)),"")</f>
        <v/>
      </c>
      <c r="P15">
        <f>IFERROR(INDEX(Objekte!$C$2:$C$201,MATCH($A15,Objekte!$Z$2:$Z$201,0)),"")</f>
        <v/>
      </c>
      <c r="Q15">
        <f>IFERROR(INDEX(Objekte!$AD$2:$AD$201,MATCH($A15,Objekte!$Z$2:$Z$201,0)),"")</f>
        <v/>
      </c>
      <c r="R15">
        <f>IFERROR(INDEX(Objekte!$AB$2:$AB$201,MATCH($A15,Objekte!$Z$2:$Z$201,0)),"")</f>
        <v/>
      </c>
    </row>
    <row r="16">
      <c r="A16" t="n">
        <v>13</v>
      </c>
      <c r="B16">
        <f>IFERROR(INDEX(Objekte!$B$2:$B$201,MATCH($A16,Objekte!$Z$2:$Z$201,0)),"")</f>
        <v/>
      </c>
      <c r="C16">
        <f>IFERROR(INDEX(Objekte!$X$2:$X$201,MATCH($A16,Objekte!$Z$2:$Z$201,0)),"")</f>
        <v/>
      </c>
      <c r="D16">
        <f>IFERROR(INDEX(Objekte!$W$2:$W$201,MATCH($A16,Objekte!$Z$2:$Z$201,0)),"")</f>
        <v/>
      </c>
      <c r="E16">
        <f>IFERROR(INDEX(Objekte!$L$2:$L$201,MATCH($A16,Objekte!$Z$2:$Z$201,0)),"")</f>
        <v/>
      </c>
      <c r="F16">
        <f>IFERROR(INDEX(Objekte!$N$2:$N$201,MATCH($A16,Objekte!$Z$2:$Z$201,0)),"")</f>
        <v/>
      </c>
      <c r="G16">
        <f>IFERROR(INDEX(Objekte!$P$2:$P$201,MATCH($A16,Objekte!$Z$2:$Z$201,0)),"")</f>
        <v/>
      </c>
      <c r="H16">
        <f>IFERROR(INDEX(Objekte!$E$2:$E$201,MATCH($A16,Objekte!$Z$2:$Z$201,0)),"")</f>
        <v/>
      </c>
      <c r="I16">
        <f>IFERROR(INDEX(Objekte!$G$2:$G$201,MATCH($A16,Objekte!$Z$2:$Z$201,0)),"")</f>
        <v/>
      </c>
      <c r="J16">
        <f>IFERROR(INDEX(Objekte!$I$2:$I$201,MATCH($A16,Objekte!$Z$2:$Z$201,0)),"")</f>
        <v/>
      </c>
      <c r="K16">
        <f>IFERROR(INDEX(Objekte!$Q$2:$Q$201,MATCH($A16,Objekte!$Z$2:$Z$201,0)),"")</f>
        <v/>
      </c>
      <c r="L16">
        <f>IFERROR(INDEX(Objekte!$V$2:$V$201,MATCH($A16,Objekte!$Z$2:$Z$201,0)),"")</f>
        <v/>
      </c>
      <c r="M16">
        <f>IFERROR(INDEX(Objekte!$D$2:$D$201,MATCH($A16,Objekte!$Z$2:$Z$201,0)),"")</f>
        <v/>
      </c>
      <c r="N16">
        <f>IFERROR(INDEX(Objekte!$U$2:$U$201,MATCH($A16,Objekte!$Z$2:$Z$201,0)),"")</f>
        <v/>
      </c>
      <c r="O16">
        <f>IFERROR(INDEX(Objekte!$AF$2:$AF$201,MATCH($A16,Objekte!$Z$2:$Z$201,0)),"")</f>
        <v/>
      </c>
      <c r="P16">
        <f>IFERROR(INDEX(Objekte!$C$2:$C$201,MATCH($A16,Objekte!$Z$2:$Z$201,0)),"")</f>
        <v/>
      </c>
      <c r="Q16">
        <f>IFERROR(INDEX(Objekte!$AD$2:$AD$201,MATCH($A16,Objekte!$Z$2:$Z$201,0)),"")</f>
        <v/>
      </c>
      <c r="R16">
        <f>IFERROR(INDEX(Objekte!$AB$2:$AB$201,MATCH($A16,Objekte!$Z$2:$Z$201,0)),"")</f>
        <v/>
      </c>
    </row>
    <row r="17">
      <c r="A17" t="n">
        <v>14</v>
      </c>
      <c r="B17">
        <f>IFERROR(INDEX(Objekte!$B$2:$B$201,MATCH($A17,Objekte!$Z$2:$Z$201,0)),"")</f>
        <v/>
      </c>
      <c r="C17">
        <f>IFERROR(INDEX(Objekte!$X$2:$X$201,MATCH($A17,Objekte!$Z$2:$Z$201,0)),"")</f>
        <v/>
      </c>
      <c r="D17">
        <f>IFERROR(INDEX(Objekte!$W$2:$W$201,MATCH($A17,Objekte!$Z$2:$Z$201,0)),"")</f>
        <v/>
      </c>
      <c r="E17">
        <f>IFERROR(INDEX(Objekte!$L$2:$L$201,MATCH($A17,Objekte!$Z$2:$Z$201,0)),"")</f>
        <v/>
      </c>
      <c r="F17">
        <f>IFERROR(INDEX(Objekte!$N$2:$N$201,MATCH($A17,Objekte!$Z$2:$Z$201,0)),"")</f>
        <v/>
      </c>
      <c r="G17">
        <f>IFERROR(INDEX(Objekte!$P$2:$P$201,MATCH($A17,Objekte!$Z$2:$Z$201,0)),"")</f>
        <v/>
      </c>
      <c r="H17">
        <f>IFERROR(INDEX(Objekte!$E$2:$E$201,MATCH($A17,Objekte!$Z$2:$Z$201,0)),"")</f>
        <v/>
      </c>
      <c r="I17">
        <f>IFERROR(INDEX(Objekte!$G$2:$G$201,MATCH($A17,Objekte!$Z$2:$Z$201,0)),"")</f>
        <v/>
      </c>
      <c r="J17">
        <f>IFERROR(INDEX(Objekte!$I$2:$I$201,MATCH($A17,Objekte!$Z$2:$Z$201,0)),"")</f>
        <v/>
      </c>
      <c r="K17">
        <f>IFERROR(INDEX(Objekte!$Q$2:$Q$201,MATCH($A17,Objekte!$Z$2:$Z$201,0)),"")</f>
        <v/>
      </c>
      <c r="L17">
        <f>IFERROR(INDEX(Objekte!$V$2:$V$201,MATCH($A17,Objekte!$Z$2:$Z$201,0)),"")</f>
        <v/>
      </c>
      <c r="M17">
        <f>IFERROR(INDEX(Objekte!$D$2:$D$201,MATCH($A17,Objekte!$Z$2:$Z$201,0)),"")</f>
        <v/>
      </c>
      <c r="N17">
        <f>IFERROR(INDEX(Objekte!$U$2:$U$201,MATCH($A17,Objekte!$Z$2:$Z$201,0)),"")</f>
        <v/>
      </c>
      <c r="O17">
        <f>IFERROR(INDEX(Objekte!$AF$2:$AF$201,MATCH($A17,Objekte!$Z$2:$Z$201,0)),"")</f>
        <v/>
      </c>
      <c r="P17">
        <f>IFERROR(INDEX(Objekte!$C$2:$C$201,MATCH($A17,Objekte!$Z$2:$Z$201,0)),"")</f>
        <v/>
      </c>
      <c r="Q17">
        <f>IFERROR(INDEX(Objekte!$AD$2:$AD$201,MATCH($A17,Objekte!$Z$2:$Z$201,0)),"")</f>
        <v/>
      </c>
      <c r="R17">
        <f>IFERROR(INDEX(Objekte!$AB$2:$AB$201,MATCH($A17,Objekte!$Z$2:$Z$201,0)),"")</f>
        <v/>
      </c>
    </row>
    <row r="18">
      <c r="A18" t="n">
        <v>15</v>
      </c>
      <c r="B18">
        <f>IFERROR(INDEX(Objekte!$B$2:$B$201,MATCH($A18,Objekte!$Z$2:$Z$201,0)),"")</f>
        <v/>
      </c>
      <c r="C18">
        <f>IFERROR(INDEX(Objekte!$X$2:$X$201,MATCH($A18,Objekte!$Z$2:$Z$201,0)),"")</f>
        <v/>
      </c>
      <c r="D18">
        <f>IFERROR(INDEX(Objekte!$W$2:$W$201,MATCH($A18,Objekte!$Z$2:$Z$201,0)),"")</f>
        <v/>
      </c>
      <c r="E18">
        <f>IFERROR(INDEX(Objekte!$L$2:$L$201,MATCH($A18,Objekte!$Z$2:$Z$201,0)),"")</f>
        <v/>
      </c>
      <c r="F18">
        <f>IFERROR(INDEX(Objekte!$N$2:$N$201,MATCH($A18,Objekte!$Z$2:$Z$201,0)),"")</f>
        <v/>
      </c>
      <c r="G18">
        <f>IFERROR(INDEX(Objekte!$P$2:$P$201,MATCH($A18,Objekte!$Z$2:$Z$201,0)),"")</f>
        <v/>
      </c>
      <c r="H18">
        <f>IFERROR(INDEX(Objekte!$E$2:$E$201,MATCH($A18,Objekte!$Z$2:$Z$201,0)),"")</f>
        <v/>
      </c>
      <c r="I18">
        <f>IFERROR(INDEX(Objekte!$G$2:$G$201,MATCH($A18,Objekte!$Z$2:$Z$201,0)),"")</f>
        <v/>
      </c>
      <c r="J18">
        <f>IFERROR(INDEX(Objekte!$I$2:$I$201,MATCH($A18,Objekte!$Z$2:$Z$201,0)),"")</f>
        <v/>
      </c>
      <c r="K18">
        <f>IFERROR(INDEX(Objekte!$Q$2:$Q$201,MATCH($A18,Objekte!$Z$2:$Z$201,0)),"")</f>
        <v/>
      </c>
      <c r="L18">
        <f>IFERROR(INDEX(Objekte!$V$2:$V$201,MATCH($A18,Objekte!$Z$2:$Z$201,0)),"")</f>
        <v/>
      </c>
      <c r="M18">
        <f>IFERROR(INDEX(Objekte!$D$2:$D$201,MATCH($A18,Objekte!$Z$2:$Z$201,0)),"")</f>
        <v/>
      </c>
      <c r="N18">
        <f>IFERROR(INDEX(Objekte!$U$2:$U$201,MATCH($A18,Objekte!$Z$2:$Z$201,0)),"")</f>
        <v/>
      </c>
      <c r="O18">
        <f>IFERROR(INDEX(Objekte!$AF$2:$AF$201,MATCH($A18,Objekte!$Z$2:$Z$201,0)),"")</f>
        <v/>
      </c>
      <c r="P18">
        <f>IFERROR(INDEX(Objekte!$C$2:$C$201,MATCH($A18,Objekte!$Z$2:$Z$201,0)),"")</f>
        <v/>
      </c>
      <c r="Q18">
        <f>IFERROR(INDEX(Objekte!$AD$2:$AD$201,MATCH($A18,Objekte!$Z$2:$Z$201,0)),"")</f>
        <v/>
      </c>
      <c r="R18">
        <f>IFERROR(INDEX(Objekte!$AB$2:$AB$201,MATCH($A18,Objekte!$Z$2:$Z$201,0)),"")</f>
        <v/>
      </c>
    </row>
    <row r="19">
      <c r="A19" t="n">
        <v>16</v>
      </c>
      <c r="B19">
        <f>IFERROR(INDEX(Objekte!$B$2:$B$201,MATCH($A19,Objekte!$Z$2:$Z$201,0)),"")</f>
        <v/>
      </c>
      <c r="C19">
        <f>IFERROR(INDEX(Objekte!$X$2:$X$201,MATCH($A19,Objekte!$Z$2:$Z$201,0)),"")</f>
        <v/>
      </c>
      <c r="D19">
        <f>IFERROR(INDEX(Objekte!$W$2:$W$201,MATCH($A19,Objekte!$Z$2:$Z$201,0)),"")</f>
        <v/>
      </c>
      <c r="E19">
        <f>IFERROR(INDEX(Objekte!$L$2:$L$201,MATCH($A19,Objekte!$Z$2:$Z$201,0)),"")</f>
        <v/>
      </c>
      <c r="F19">
        <f>IFERROR(INDEX(Objekte!$N$2:$N$201,MATCH($A19,Objekte!$Z$2:$Z$201,0)),"")</f>
        <v/>
      </c>
      <c r="G19">
        <f>IFERROR(INDEX(Objekte!$P$2:$P$201,MATCH($A19,Objekte!$Z$2:$Z$201,0)),"")</f>
        <v/>
      </c>
      <c r="H19">
        <f>IFERROR(INDEX(Objekte!$E$2:$E$201,MATCH($A19,Objekte!$Z$2:$Z$201,0)),"")</f>
        <v/>
      </c>
      <c r="I19">
        <f>IFERROR(INDEX(Objekte!$G$2:$G$201,MATCH($A19,Objekte!$Z$2:$Z$201,0)),"")</f>
        <v/>
      </c>
      <c r="J19">
        <f>IFERROR(INDEX(Objekte!$I$2:$I$201,MATCH($A19,Objekte!$Z$2:$Z$201,0)),"")</f>
        <v/>
      </c>
      <c r="K19">
        <f>IFERROR(INDEX(Objekte!$Q$2:$Q$201,MATCH($A19,Objekte!$Z$2:$Z$201,0)),"")</f>
        <v/>
      </c>
      <c r="L19">
        <f>IFERROR(INDEX(Objekte!$V$2:$V$201,MATCH($A19,Objekte!$Z$2:$Z$201,0)),"")</f>
        <v/>
      </c>
      <c r="M19">
        <f>IFERROR(INDEX(Objekte!$D$2:$D$201,MATCH($A19,Objekte!$Z$2:$Z$201,0)),"")</f>
        <v/>
      </c>
      <c r="N19">
        <f>IFERROR(INDEX(Objekte!$U$2:$U$201,MATCH($A19,Objekte!$Z$2:$Z$201,0)),"")</f>
        <v/>
      </c>
      <c r="O19">
        <f>IFERROR(INDEX(Objekte!$AF$2:$AF$201,MATCH($A19,Objekte!$Z$2:$Z$201,0)),"")</f>
        <v/>
      </c>
      <c r="P19">
        <f>IFERROR(INDEX(Objekte!$C$2:$C$201,MATCH($A19,Objekte!$Z$2:$Z$201,0)),"")</f>
        <v/>
      </c>
      <c r="Q19">
        <f>IFERROR(INDEX(Objekte!$AD$2:$AD$201,MATCH($A19,Objekte!$Z$2:$Z$201,0)),"")</f>
        <v/>
      </c>
      <c r="R19">
        <f>IFERROR(INDEX(Objekte!$AB$2:$AB$201,MATCH($A19,Objekte!$Z$2:$Z$201,0)),"")</f>
        <v/>
      </c>
    </row>
    <row r="20">
      <c r="A20" t="n">
        <v>17</v>
      </c>
      <c r="B20">
        <f>IFERROR(INDEX(Objekte!$B$2:$B$201,MATCH($A20,Objekte!$Z$2:$Z$201,0)),"")</f>
        <v/>
      </c>
      <c r="C20">
        <f>IFERROR(INDEX(Objekte!$X$2:$X$201,MATCH($A20,Objekte!$Z$2:$Z$201,0)),"")</f>
        <v/>
      </c>
      <c r="D20">
        <f>IFERROR(INDEX(Objekte!$W$2:$W$201,MATCH($A20,Objekte!$Z$2:$Z$201,0)),"")</f>
        <v/>
      </c>
      <c r="E20">
        <f>IFERROR(INDEX(Objekte!$L$2:$L$201,MATCH($A20,Objekte!$Z$2:$Z$201,0)),"")</f>
        <v/>
      </c>
      <c r="F20">
        <f>IFERROR(INDEX(Objekte!$N$2:$N$201,MATCH($A20,Objekte!$Z$2:$Z$201,0)),"")</f>
        <v/>
      </c>
      <c r="G20">
        <f>IFERROR(INDEX(Objekte!$P$2:$P$201,MATCH($A20,Objekte!$Z$2:$Z$201,0)),"")</f>
        <v/>
      </c>
      <c r="H20">
        <f>IFERROR(INDEX(Objekte!$E$2:$E$201,MATCH($A20,Objekte!$Z$2:$Z$201,0)),"")</f>
        <v/>
      </c>
      <c r="I20">
        <f>IFERROR(INDEX(Objekte!$G$2:$G$201,MATCH($A20,Objekte!$Z$2:$Z$201,0)),"")</f>
        <v/>
      </c>
      <c r="J20">
        <f>IFERROR(INDEX(Objekte!$I$2:$I$201,MATCH($A20,Objekte!$Z$2:$Z$201,0)),"")</f>
        <v/>
      </c>
      <c r="K20">
        <f>IFERROR(INDEX(Objekte!$Q$2:$Q$201,MATCH($A20,Objekte!$Z$2:$Z$201,0)),"")</f>
        <v/>
      </c>
      <c r="L20">
        <f>IFERROR(INDEX(Objekte!$V$2:$V$201,MATCH($A20,Objekte!$Z$2:$Z$201,0)),"")</f>
        <v/>
      </c>
      <c r="M20">
        <f>IFERROR(INDEX(Objekte!$D$2:$D$201,MATCH($A20,Objekte!$Z$2:$Z$201,0)),"")</f>
        <v/>
      </c>
      <c r="N20">
        <f>IFERROR(INDEX(Objekte!$U$2:$U$201,MATCH($A20,Objekte!$Z$2:$Z$201,0)),"")</f>
        <v/>
      </c>
      <c r="O20">
        <f>IFERROR(INDEX(Objekte!$AF$2:$AF$201,MATCH($A20,Objekte!$Z$2:$Z$201,0)),"")</f>
        <v/>
      </c>
      <c r="P20">
        <f>IFERROR(INDEX(Objekte!$C$2:$C$201,MATCH($A20,Objekte!$Z$2:$Z$201,0)),"")</f>
        <v/>
      </c>
      <c r="Q20">
        <f>IFERROR(INDEX(Objekte!$AD$2:$AD$201,MATCH($A20,Objekte!$Z$2:$Z$201,0)),"")</f>
        <v/>
      </c>
      <c r="R20">
        <f>IFERROR(INDEX(Objekte!$AB$2:$AB$201,MATCH($A20,Objekte!$Z$2:$Z$201,0)),"")</f>
        <v/>
      </c>
    </row>
    <row r="21">
      <c r="A21" t="n">
        <v>18</v>
      </c>
      <c r="B21">
        <f>IFERROR(INDEX(Objekte!$B$2:$B$201,MATCH($A21,Objekte!$Z$2:$Z$201,0)),"")</f>
        <v/>
      </c>
      <c r="C21">
        <f>IFERROR(INDEX(Objekte!$X$2:$X$201,MATCH($A21,Objekte!$Z$2:$Z$201,0)),"")</f>
        <v/>
      </c>
      <c r="D21">
        <f>IFERROR(INDEX(Objekte!$W$2:$W$201,MATCH($A21,Objekte!$Z$2:$Z$201,0)),"")</f>
        <v/>
      </c>
      <c r="E21">
        <f>IFERROR(INDEX(Objekte!$L$2:$L$201,MATCH($A21,Objekte!$Z$2:$Z$201,0)),"")</f>
        <v/>
      </c>
      <c r="F21">
        <f>IFERROR(INDEX(Objekte!$N$2:$N$201,MATCH($A21,Objekte!$Z$2:$Z$201,0)),"")</f>
        <v/>
      </c>
      <c r="G21">
        <f>IFERROR(INDEX(Objekte!$P$2:$P$201,MATCH($A21,Objekte!$Z$2:$Z$201,0)),"")</f>
        <v/>
      </c>
      <c r="H21">
        <f>IFERROR(INDEX(Objekte!$E$2:$E$201,MATCH($A21,Objekte!$Z$2:$Z$201,0)),"")</f>
        <v/>
      </c>
      <c r="I21">
        <f>IFERROR(INDEX(Objekte!$G$2:$G$201,MATCH($A21,Objekte!$Z$2:$Z$201,0)),"")</f>
        <v/>
      </c>
      <c r="J21">
        <f>IFERROR(INDEX(Objekte!$I$2:$I$201,MATCH($A21,Objekte!$Z$2:$Z$201,0)),"")</f>
        <v/>
      </c>
      <c r="K21">
        <f>IFERROR(INDEX(Objekte!$Q$2:$Q$201,MATCH($A21,Objekte!$Z$2:$Z$201,0)),"")</f>
        <v/>
      </c>
      <c r="L21">
        <f>IFERROR(INDEX(Objekte!$V$2:$V$201,MATCH($A21,Objekte!$Z$2:$Z$201,0)),"")</f>
        <v/>
      </c>
      <c r="M21">
        <f>IFERROR(INDEX(Objekte!$D$2:$D$201,MATCH($A21,Objekte!$Z$2:$Z$201,0)),"")</f>
        <v/>
      </c>
      <c r="N21">
        <f>IFERROR(INDEX(Objekte!$U$2:$U$201,MATCH($A21,Objekte!$Z$2:$Z$201,0)),"")</f>
        <v/>
      </c>
      <c r="O21">
        <f>IFERROR(INDEX(Objekte!$AF$2:$AF$201,MATCH($A21,Objekte!$Z$2:$Z$201,0)),"")</f>
        <v/>
      </c>
      <c r="P21">
        <f>IFERROR(INDEX(Objekte!$C$2:$C$201,MATCH($A21,Objekte!$Z$2:$Z$201,0)),"")</f>
        <v/>
      </c>
      <c r="Q21">
        <f>IFERROR(INDEX(Objekte!$AD$2:$AD$201,MATCH($A21,Objekte!$Z$2:$Z$201,0)),"")</f>
        <v/>
      </c>
      <c r="R21">
        <f>IFERROR(INDEX(Objekte!$AB$2:$AB$201,MATCH($A21,Objekte!$Z$2:$Z$201,0)),"")</f>
        <v/>
      </c>
    </row>
    <row r="22">
      <c r="A22" t="n">
        <v>19</v>
      </c>
      <c r="B22">
        <f>IFERROR(INDEX(Objekte!$B$2:$B$201,MATCH($A22,Objekte!$Z$2:$Z$201,0)),"")</f>
        <v/>
      </c>
      <c r="C22">
        <f>IFERROR(INDEX(Objekte!$X$2:$X$201,MATCH($A22,Objekte!$Z$2:$Z$201,0)),"")</f>
        <v/>
      </c>
      <c r="D22">
        <f>IFERROR(INDEX(Objekte!$W$2:$W$201,MATCH($A22,Objekte!$Z$2:$Z$201,0)),"")</f>
        <v/>
      </c>
      <c r="E22">
        <f>IFERROR(INDEX(Objekte!$L$2:$L$201,MATCH($A22,Objekte!$Z$2:$Z$201,0)),"")</f>
        <v/>
      </c>
      <c r="F22">
        <f>IFERROR(INDEX(Objekte!$N$2:$N$201,MATCH($A22,Objekte!$Z$2:$Z$201,0)),"")</f>
        <v/>
      </c>
      <c r="G22">
        <f>IFERROR(INDEX(Objekte!$P$2:$P$201,MATCH($A22,Objekte!$Z$2:$Z$201,0)),"")</f>
        <v/>
      </c>
      <c r="H22">
        <f>IFERROR(INDEX(Objekte!$E$2:$E$201,MATCH($A22,Objekte!$Z$2:$Z$201,0)),"")</f>
        <v/>
      </c>
      <c r="I22">
        <f>IFERROR(INDEX(Objekte!$G$2:$G$201,MATCH($A22,Objekte!$Z$2:$Z$201,0)),"")</f>
        <v/>
      </c>
      <c r="J22">
        <f>IFERROR(INDEX(Objekte!$I$2:$I$201,MATCH($A22,Objekte!$Z$2:$Z$201,0)),"")</f>
        <v/>
      </c>
      <c r="K22">
        <f>IFERROR(INDEX(Objekte!$Q$2:$Q$201,MATCH($A22,Objekte!$Z$2:$Z$201,0)),"")</f>
        <v/>
      </c>
      <c r="L22">
        <f>IFERROR(INDEX(Objekte!$V$2:$V$201,MATCH($A22,Objekte!$Z$2:$Z$201,0)),"")</f>
        <v/>
      </c>
      <c r="M22">
        <f>IFERROR(INDEX(Objekte!$D$2:$D$201,MATCH($A22,Objekte!$Z$2:$Z$201,0)),"")</f>
        <v/>
      </c>
      <c r="N22">
        <f>IFERROR(INDEX(Objekte!$U$2:$U$201,MATCH($A22,Objekte!$Z$2:$Z$201,0)),"")</f>
        <v/>
      </c>
      <c r="O22">
        <f>IFERROR(INDEX(Objekte!$AF$2:$AF$201,MATCH($A22,Objekte!$Z$2:$Z$201,0)),"")</f>
        <v/>
      </c>
      <c r="P22">
        <f>IFERROR(INDEX(Objekte!$C$2:$C$201,MATCH($A22,Objekte!$Z$2:$Z$201,0)),"")</f>
        <v/>
      </c>
      <c r="Q22">
        <f>IFERROR(INDEX(Objekte!$AD$2:$AD$201,MATCH($A22,Objekte!$Z$2:$Z$201,0)),"")</f>
        <v/>
      </c>
      <c r="R22">
        <f>IFERROR(INDEX(Objekte!$AB$2:$AB$201,MATCH($A22,Objekte!$Z$2:$Z$201,0)),"")</f>
        <v/>
      </c>
    </row>
    <row r="23">
      <c r="A23" t="n">
        <v>20</v>
      </c>
      <c r="B23">
        <f>IFERROR(INDEX(Objekte!$B$2:$B$201,MATCH($A23,Objekte!$Z$2:$Z$201,0)),"")</f>
        <v/>
      </c>
      <c r="C23">
        <f>IFERROR(INDEX(Objekte!$X$2:$X$201,MATCH($A23,Objekte!$Z$2:$Z$201,0)),"")</f>
        <v/>
      </c>
      <c r="D23">
        <f>IFERROR(INDEX(Objekte!$W$2:$W$201,MATCH($A23,Objekte!$Z$2:$Z$201,0)),"")</f>
        <v/>
      </c>
      <c r="E23">
        <f>IFERROR(INDEX(Objekte!$L$2:$L$201,MATCH($A23,Objekte!$Z$2:$Z$201,0)),"")</f>
        <v/>
      </c>
      <c r="F23">
        <f>IFERROR(INDEX(Objekte!$N$2:$N$201,MATCH($A23,Objekte!$Z$2:$Z$201,0)),"")</f>
        <v/>
      </c>
      <c r="G23">
        <f>IFERROR(INDEX(Objekte!$P$2:$P$201,MATCH($A23,Objekte!$Z$2:$Z$201,0)),"")</f>
        <v/>
      </c>
      <c r="H23">
        <f>IFERROR(INDEX(Objekte!$E$2:$E$201,MATCH($A23,Objekte!$Z$2:$Z$201,0)),"")</f>
        <v/>
      </c>
      <c r="I23">
        <f>IFERROR(INDEX(Objekte!$G$2:$G$201,MATCH($A23,Objekte!$Z$2:$Z$201,0)),"")</f>
        <v/>
      </c>
      <c r="J23">
        <f>IFERROR(INDEX(Objekte!$I$2:$I$201,MATCH($A23,Objekte!$Z$2:$Z$201,0)),"")</f>
        <v/>
      </c>
      <c r="K23">
        <f>IFERROR(INDEX(Objekte!$Q$2:$Q$201,MATCH($A23,Objekte!$Z$2:$Z$201,0)),"")</f>
        <v/>
      </c>
      <c r="L23">
        <f>IFERROR(INDEX(Objekte!$V$2:$V$201,MATCH($A23,Objekte!$Z$2:$Z$201,0)),"")</f>
        <v/>
      </c>
      <c r="M23">
        <f>IFERROR(INDEX(Objekte!$D$2:$D$201,MATCH($A23,Objekte!$Z$2:$Z$201,0)),"")</f>
        <v/>
      </c>
      <c r="N23">
        <f>IFERROR(INDEX(Objekte!$U$2:$U$201,MATCH($A23,Objekte!$Z$2:$Z$201,0)),"")</f>
        <v/>
      </c>
      <c r="O23">
        <f>IFERROR(INDEX(Objekte!$AF$2:$AF$201,MATCH($A23,Objekte!$Z$2:$Z$201,0)),"")</f>
        <v/>
      </c>
      <c r="P23">
        <f>IFERROR(INDEX(Objekte!$C$2:$C$201,MATCH($A23,Objekte!$Z$2:$Z$201,0)),"")</f>
        <v/>
      </c>
      <c r="Q23">
        <f>IFERROR(INDEX(Objekte!$AD$2:$AD$201,MATCH($A23,Objekte!$Z$2:$Z$201,0)),"")</f>
        <v/>
      </c>
      <c r="R23">
        <f>IFERROR(INDEX(Objekte!$AB$2:$AB$201,MATCH($A23,Objekte!$Z$2:$Z$201,0)),"")</f>
        <v/>
      </c>
    </row>
    <row r="24">
      <c r="A24" t="n">
        <v>21</v>
      </c>
      <c r="B24">
        <f>IFERROR(INDEX(Objekte!$B$2:$B$201,MATCH($A24,Objekte!$Z$2:$Z$201,0)),"")</f>
        <v/>
      </c>
      <c r="C24">
        <f>IFERROR(INDEX(Objekte!$X$2:$X$201,MATCH($A24,Objekte!$Z$2:$Z$201,0)),"")</f>
        <v/>
      </c>
      <c r="D24">
        <f>IFERROR(INDEX(Objekte!$W$2:$W$201,MATCH($A24,Objekte!$Z$2:$Z$201,0)),"")</f>
        <v/>
      </c>
      <c r="E24">
        <f>IFERROR(INDEX(Objekte!$L$2:$L$201,MATCH($A24,Objekte!$Z$2:$Z$201,0)),"")</f>
        <v/>
      </c>
      <c r="F24">
        <f>IFERROR(INDEX(Objekte!$N$2:$N$201,MATCH($A24,Objekte!$Z$2:$Z$201,0)),"")</f>
        <v/>
      </c>
      <c r="G24">
        <f>IFERROR(INDEX(Objekte!$P$2:$P$201,MATCH($A24,Objekte!$Z$2:$Z$201,0)),"")</f>
        <v/>
      </c>
      <c r="H24">
        <f>IFERROR(INDEX(Objekte!$E$2:$E$201,MATCH($A24,Objekte!$Z$2:$Z$201,0)),"")</f>
        <v/>
      </c>
      <c r="I24">
        <f>IFERROR(INDEX(Objekte!$G$2:$G$201,MATCH($A24,Objekte!$Z$2:$Z$201,0)),"")</f>
        <v/>
      </c>
      <c r="J24">
        <f>IFERROR(INDEX(Objekte!$I$2:$I$201,MATCH($A24,Objekte!$Z$2:$Z$201,0)),"")</f>
        <v/>
      </c>
      <c r="K24">
        <f>IFERROR(INDEX(Objekte!$Q$2:$Q$201,MATCH($A24,Objekte!$Z$2:$Z$201,0)),"")</f>
        <v/>
      </c>
      <c r="L24">
        <f>IFERROR(INDEX(Objekte!$V$2:$V$201,MATCH($A24,Objekte!$Z$2:$Z$201,0)),"")</f>
        <v/>
      </c>
      <c r="M24">
        <f>IFERROR(INDEX(Objekte!$D$2:$D$201,MATCH($A24,Objekte!$Z$2:$Z$201,0)),"")</f>
        <v/>
      </c>
      <c r="N24">
        <f>IFERROR(INDEX(Objekte!$U$2:$U$201,MATCH($A24,Objekte!$Z$2:$Z$201,0)),"")</f>
        <v/>
      </c>
      <c r="O24">
        <f>IFERROR(INDEX(Objekte!$AF$2:$AF$201,MATCH($A24,Objekte!$Z$2:$Z$201,0)),"")</f>
        <v/>
      </c>
      <c r="P24">
        <f>IFERROR(INDEX(Objekte!$C$2:$C$201,MATCH($A24,Objekte!$Z$2:$Z$201,0)),"")</f>
        <v/>
      </c>
      <c r="Q24">
        <f>IFERROR(INDEX(Objekte!$AD$2:$AD$201,MATCH($A24,Objekte!$Z$2:$Z$201,0)),"")</f>
        <v/>
      </c>
      <c r="R24">
        <f>IFERROR(INDEX(Objekte!$AB$2:$AB$201,MATCH($A24,Objekte!$Z$2:$Z$201,0)),"")</f>
        <v/>
      </c>
    </row>
    <row r="25">
      <c r="A25" t="n">
        <v>22</v>
      </c>
      <c r="B25">
        <f>IFERROR(INDEX(Objekte!$B$2:$B$201,MATCH($A25,Objekte!$Z$2:$Z$201,0)),"")</f>
        <v/>
      </c>
      <c r="C25">
        <f>IFERROR(INDEX(Objekte!$X$2:$X$201,MATCH($A25,Objekte!$Z$2:$Z$201,0)),"")</f>
        <v/>
      </c>
      <c r="D25">
        <f>IFERROR(INDEX(Objekte!$W$2:$W$201,MATCH($A25,Objekte!$Z$2:$Z$201,0)),"")</f>
        <v/>
      </c>
      <c r="E25">
        <f>IFERROR(INDEX(Objekte!$L$2:$L$201,MATCH($A25,Objekte!$Z$2:$Z$201,0)),"")</f>
        <v/>
      </c>
      <c r="F25">
        <f>IFERROR(INDEX(Objekte!$N$2:$N$201,MATCH($A25,Objekte!$Z$2:$Z$201,0)),"")</f>
        <v/>
      </c>
      <c r="G25">
        <f>IFERROR(INDEX(Objekte!$P$2:$P$201,MATCH($A25,Objekte!$Z$2:$Z$201,0)),"")</f>
        <v/>
      </c>
      <c r="H25">
        <f>IFERROR(INDEX(Objekte!$E$2:$E$201,MATCH($A25,Objekte!$Z$2:$Z$201,0)),"")</f>
        <v/>
      </c>
      <c r="I25">
        <f>IFERROR(INDEX(Objekte!$G$2:$G$201,MATCH($A25,Objekte!$Z$2:$Z$201,0)),"")</f>
        <v/>
      </c>
      <c r="J25">
        <f>IFERROR(INDEX(Objekte!$I$2:$I$201,MATCH($A25,Objekte!$Z$2:$Z$201,0)),"")</f>
        <v/>
      </c>
      <c r="K25">
        <f>IFERROR(INDEX(Objekte!$Q$2:$Q$201,MATCH($A25,Objekte!$Z$2:$Z$201,0)),"")</f>
        <v/>
      </c>
      <c r="L25">
        <f>IFERROR(INDEX(Objekte!$V$2:$V$201,MATCH($A25,Objekte!$Z$2:$Z$201,0)),"")</f>
        <v/>
      </c>
      <c r="M25">
        <f>IFERROR(INDEX(Objekte!$D$2:$D$201,MATCH($A25,Objekte!$Z$2:$Z$201,0)),"")</f>
        <v/>
      </c>
      <c r="N25">
        <f>IFERROR(INDEX(Objekte!$U$2:$U$201,MATCH($A25,Objekte!$Z$2:$Z$201,0)),"")</f>
        <v/>
      </c>
      <c r="O25">
        <f>IFERROR(INDEX(Objekte!$AF$2:$AF$201,MATCH($A25,Objekte!$Z$2:$Z$201,0)),"")</f>
        <v/>
      </c>
      <c r="P25">
        <f>IFERROR(INDEX(Objekte!$C$2:$C$201,MATCH($A25,Objekte!$Z$2:$Z$201,0)),"")</f>
        <v/>
      </c>
      <c r="Q25">
        <f>IFERROR(INDEX(Objekte!$AD$2:$AD$201,MATCH($A25,Objekte!$Z$2:$Z$201,0)),"")</f>
        <v/>
      </c>
      <c r="R25">
        <f>IFERROR(INDEX(Objekte!$AB$2:$AB$201,MATCH($A25,Objekte!$Z$2:$Z$201,0)),"")</f>
        <v/>
      </c>
    </row>
    <row r="26">
      <c r="A26" t="n">
        <v>23</v>
      </c>
      <c r="B26">
        <f>IFERROR(INDEX(Objekte!$B$2:$B$201,MATCH($A26,Objekte!$Z$2:$Z$201,0)),"")</f>
        <v/>
      </c>
      <c r="C26">
        <f>IFERROR(INDEX(Objekte!$X$2:$X$201,MATCH($A26,Objekte!$Z$2:$Z$201,0)),"")</f>
        <v/>
      </c>
      <c r="D26">
        <f>IFERROR(INDEX(Objekte!$W$2:$W$201,MATCH($A26,Objekte!$Z$2:$Z$201,0)),"")</f>
        <v/>
      </c>
      <c r="E26">
        <f>IFERROR(INDEX(Objekte!$L$2:$L$201,MATCH($A26,Objekte!$Z$2:$Z$201,0)),"")</f>
        <v/>
      </c>
      <c r="F26">
        <f>IFERROR(INDEX(Objekte!$N$2:$N$201,MATCH($A26,Objekte!$Z$2:$Z$201,0)),"")</f>
        <v/>
      </c>
      <c r="G26">
        <f>IFERROR(INDEX(Objekte!$P$2:$P$201,MATCH($A26,Objekte!$Z$2:$Z$201,0)),"")</f>
        <v/>
      </c>
      <c r="H26">
        <f>IFERROR(INDEX(Objekte!$E$2:$E$201,MATCH($A26,Objekte!$Z$2:$Z$201,0)),"")</f>
        <v/>
      </c>
      <c r="I26">
        <f>IFERROR(INDEX(Objekte!$G$2:$G$201,MATCH($A26,Objekte!$Z$2:$Z$201,0)),"")</f>
        <v/>
      </c>
      <c r="J26">
        <f>IFERROR(INDEX(Objekte!$I$2:$I$201,MATCH($A26,Objekte!$Z$2:$Z$201,0)),"")</f>
        <v/>
      </c>
      <c r="K26">
        <f>IFERROR(INDEX(Objekte!$Q$2:$Q$201,MATCH($A26,Objekte!$Z$2:$Z$201,0)),"")</f>
        <v/>
      </c>
      <c r="L26">
        <f>IFERROR(INDEX(Objekte!$V$2:$V$201,MATCH($A26,Objekte!$Z$2:$Z$201,0)),"")</f>
        <v/>
      </c>
      <c r="M26">
        <f>IFERROR(INDEX(Objekte!$D$2:$D$201,MATCH($A26,Objekte!$Z$2:$Z$201,0)),"")</f>
        <v/>
      </c>
      <c r="N26">
        <f>IFERROR(INDEX(Objekte!$U$2:$U$201,MATCH($A26,Objekte!$Z$2:$Z$201,0)),"")</f>
        <v/>
      </c>
      <c r="O26">
        <f>IFERROR(INDEX(Objekte!$AF$2:$AF$201,MATCH($A26,Objekte!$Z$2:$Z$201,0)),"")</f>
        <v/>
      </c>
      <c r="P26">
        <f>IFERROR(INDEX(Objekte!$C$2:$C$201,MATCH($A26,Objekte!$Z$2:$Z$201,0)),"")</f>
        <v/>
      </c>
      <c r="Q26">
        <f>IFERROR(INDEX(Objekte!$AD$2:$AD$201,MATCH($A26,Objekte!$Z$2:$Z$201,0)),"")</f>
        <v/>
      </c>
      <c r="R26">
        <f>IFERROR(INDEX(Objekte!$AB$2:$AB$201,MATCH($A26,Objekte!$Z$2:$Z$201,0)),"")</f>
        <v/>
      </c>
    </row>
    <row r="27">
      <c r="A27" t="n">
        <v>24</v>
      </c>
      <c r="B27">
        <f>IFERROR(INDEX(Objekte!$B$2:$B$201,MATCH($A27,Objekte!$Z$2:$Z$201,0)),"")</f>
        <v/>
      </c>
      <c r="C27">
        <f>IFERROR(INDEX(Objekte!$X$2:$X$201,MATCH($A27,Objekte!$Z$2:$Z$201,0)),"")</f>
        <v/>
      </c>
      <c r="D27">
        <f>IFERROR(INDEX(Objekte!$W$2:$W$201,MATCH($A27,Objekte!$Z$2:$Z$201,0)),"")</f>
        <v/>
      </c>
      <c r="E27">
        <f>IFERROR(INDEX(Objekte!$L$2:$L$201,MATCH($A27,Objekte!$Z$2:$Z$201,0)),"")</f>
        <v/>
      </c>
      <c r="F27">
        <f>IFERROR(INDEX(Objekte!$N$2:$N$201,MATCH($A27,Objekte!$Z$2:$Z$201,0)),"")</f>
        <v/>
      </c>
      <c r="G27">
        <f>IFERROR(INDEX(Objekte!$P$2:$P$201,MATCH($A27,Objekte!$Z$2:$Z$201,0)),"")</f>
        <v/>
      </c>
      <c r="H27">
        <f>IFERROR(INDEX(Objekte!$E$2:$E$201,MATCH($A27,Objekte!$Z$2:$Z$201,0)),"")</f>
        <v/>
      </c>
      <c r="I27">
        <f>IFERROR(INDEX(Objekte!$G$2:$G$201,MATCH($A27,Objekte!$Z$2:$Z$201,0)),"")</f>
        <v/>
      </c>
      <c r="J27">
        <f>IFERROR(INDEX(Objekte!$I$2:$I$201,MATCH($A27,Objekte!$Z$2:$Z$201,0)),"")</f>
        <v/>
      </c>
      <c r="K27">
        <f>IFERROR(INDEX(Objekte!$Q$2:$Q$201,MATCH($A27,Objekte!$Z$2:$Z$201,0)),"")</f>
        <v/>
      </c>
      <c r="L27">
        <f>IFERROR(INDEX(Objekte!$V$2:$V$201,MATCH($A27,Objekte!$Z$2:$Z$201,0)),"")</f>
        <v/>
      </c>
      <c r="M27">
        <f>IFERROR(INDEX(Objekte!$D$2:$D$201,MATCH($A27,Objekte!$Z$2:$Z$201,0)),"")</f>
        <v/>
      </c>
      <c r="N27">
        <f>IFERROR(INDEX(Objekte!$U$2:$U$201,MATCH($A27,Objekte!$Z$2:$Z$201,0)),"")</f>
        <v/>
      </c>
      <c r="O27">
        <f>IFERROR(INDEX(Objekte!$AF$2:$AF$201,MATCH($A27,Objekte!$Z$2:$Z$201,0)),"")</f>
        <v/>
      </c>
      <c r="P27">
        <f>IFERROR(INDEX(Objekte!$C$2:$C$201,MATCH($A27,Objekte!$Z$2:$Z$201,0)),"")</f>
        <v/>
      </c>
      <c r="Q27">
        <f>IFERROR(INDEX(Objekte!$AD$2:$AD$201,MATCH($A27,Objekte!$Z$2:$Z$201,0)),"")</f>
        <v/>
      </c>
      <c r="R27">
        <f>IFERROR(INDEX(Objekte!$AB$2:$AB$201,MATCH($A27,Objekte!$Z$2:$Z$201,0)),"")</f>
        <v/>
      </c>
    </row>
    <row r="28">
      <c r="A28" t="n">
        <v>25</v>
      </c>
      <c r="B28">
        <f>IFERROR(INDEX(Objekte!$B$2:$B$201,MATCH($A28,Objekte!$Z$2:$Z$201,0)),"")</f>
        <v/>
      </c>
      <c r="C28">
        <f>IFERROR(INDEX(Objekte!$X$2:$X$201,MATCH($A28,Objekte!$Z$2:$Z$201,0)),"")</f>
        <v/>
      </c>
      <c r="D28">
        <f>IFERROR(INDEX(Objekte!$W$2:$W$201,MATCH($A28,Objekte!$Z$2:$Z$201,0)),"")</f>
        <v/>
      </c>
      <c r="E28">
        <f>IFERROR(INDEX(Objekte!$L$2:$L$201,MATCH($A28,Objekte!$Z$2:$Z$201,0)),"")</f>
        <v/>
      </c>
      <c r="F28">
        <f>IFERROR(INDEX(Objekte!$N$2:$N$201,MATCH($A28,Objekte!$Z$2:$Z$201,0)),"")</f>
        <v/>
      </c>
      <c r="G28">
        <f>IFERROR(INDEX(Objekte!$P$2:$P$201,MATCH($A28,Objekte!$Z$2:$Z$201,0)),"")</f>
        <v/>
      </c>
      <c r="H28">
        <f>IFERROR(INDEX(Objekte!$E$2:$E$201,MATCH($A28,Objekte!$Z$2:$Z$201,0)),"")</f>
        <v/>
      </c>
      <c r="I28">
        <f>IFERROR(INDEX(Objekte!$G$2:$G$201,MATCH($A28,Objekte!$Z$2:$Z$201,0)),"")</f>
        <v/>
      </c>
      <c r="J28">
        <f>IFERROR(INDEX(Objekte!$I$2:$I$201,MATCH($A28,Objekte!$Z$2:$Z$201,0)),"")</f>
        <v/>
      </c>
      <c r="K28">
        <f>IFERROR(INDEX(Objekte!$Q$2:$Q$201,MATCH($A28,Objekte!$Z$2:$Z$201,0)),"")</f>
        <v/>
      </c>
      <c r="L28">
        <f>IFERROR(INDEX(Objekte!$V$2:$V$201,MATCH($A28,Objekte!$Z$2:$Z$201,0)),"")</f>
        <v/>
      </c>
      <c r="M28">
        <f>IFERROR(INDEX(Objekte!$D$2:$D$201,MATCH($A28,Objekte!$Z$2:$Z$201,0)),"")</f>
        <v/>
      </c>
      <c r="N28">
        <f>IFERROR(INDEX(Objekte!$U$2:$U$201,MATCH($A28,Objekte!$Z$2:$Z$201,0)),"")</f>
        <v/>
      </c>
      <c r="O28">
        <f>IFERROR(INDEX(Objekte!$AF$2:$AF$201,MATCH($A28,Objekte!$Z$2:$Z$201,0)),"")</f>
        <v/>
      </c>
      <c r="P28">
        <f>IFERROR(INDEX(Objekte!$C$2:$C$201,MATCH($A28,Objekte!$Z$2:$Z$201,0)),"")</f>
        <v/>
      </c>
      <c r="Q28">
        <f>IFERROR(INDEX(Objekte!$AD$2:$AD$201,MATCH($A28,Objekte!$Z$2:$Z$201,0)),"")</f>
        <v/>
      </c>
      <c r="R28">
        <f>IFERROR(INDEX(Objekte!$AB$2:$AB$201,MATCH($A28,Objekte!$Z$2:$Z$201,0)),"")</f>
        <v/>
      </c>
    </row>
    <row r="29">
      <c r="A29" t="n">
        <v>26</v>
      </c>
      <c r="B29">
        <f>IFERROR(INDEX(Objekte!$B$2:$B$201,MATCH($A29,Objekte!$Z$2:$Z$201,0)),"")</f>
        <v/>
      </c>
      <c r="C29">
        <f>IFERROR(INDEX(Objekte!$X$2:$X$201,MATCH($A29,Objekte!$Z$2:$Z$201,0)),"")</f>
        <v/>
      </c>
      <c r="D29">
        <f>IFERROR(INDEX(Objekte!$W$2:$W$201,MATCH($A29,Objekte!$Z$2:$Z$201,0)),"")</f>
        <v/>
      </c>
      <c r="E29">
        <f>IFERROR(INDEX(Objekte!$L$2:$L$201,MATCH($A29,Objekte!$Z$2:$Z$201,0)),"")</f>
        <v/>
      </c>
      <c r="F29">
        <f>IFERROR(INDEX(Objekte!$N$2:$N$201,MATCH($A29,Objekte!$Z$2:$Z$201,0)),"")</f>
        <v/>
      </c>
      <c r="G29">
        <f>IFERROR(INDEX(Objekte!$P$2:$P$201,MATCH($A29,Objekte!$Z$2:$Z$201,0)),"")</f>
        <v/>
      </c>
      <c r="H29">
        <f>IFERROR(INDEX(Objekte!$E$2:$E$201,MATCH($A29,Objekte!$Z$2:$Z$201,0)),"")</f>
        <v/>
      </c>
      <c r="I29">
        <f>IFERROR(INDEX(Objekte!$G$2:$G$201,MATCH($A29,Objekte!$Z$2:$Z$201,0)),"")</f>
        <v/>
      </c>
      <c r="J29">
        <f>IFERROR(INDEX(Objekte!$I$2:$I$201,MATCH($A29,Objekte!$Z$2:$Z$201,0)),"")</f>
        <v/>
      </c>
      <c r="K29">
        <f>IFERROR(INDEX(Objekte!$Q$2:$Q$201,MATCH($A29,Objekte!$Z$2:$Z$201,0)),"")</f>
        <v/>
      </c>
      <c r="L29">
        <f>IFERROR(INDEX(Objekte!$V$2:$V$201,MATCH($A29,Objekte!$Z$2:$Z$201,0)),"")</f>
        <v/>
      </c>
      <c r="M29">
        <f>IFERROR(INDEX(Objekte!$D$2:$D$201,MATCH($A29,Objekte!$Z$2:$Z$201,0)),"")</f>
        <v/>
      </c>
      <c r="N29">
        <f>IFERROR(INDEX(Objekte!$U$2:$U$201,MATCH($A29,Objekte!$Z$2:$Z$201,0)),"")</f>
        <v/>
      </c>
      <c r="O29">
        <f>IFERROR(INDEX(Objekte!$AF$2:$AF$201,MATCH($A29,Objekte!$Z$2:$Z$201,0)),"")</f>
        <v/>
      </c>
      <c r="P29">
        <f>IFERROR(INDEX(Objekte!$C$2:$C$201,MATCH($A29,Objekte!$Z$2:$Z$201,0)),"")</f>
        <v/>
      </c>
      <c r="Q29">
        <f>IFERROR(INDEX(Objekte!$AD$2:$AD$201,MATCH($A29,Objekte!$Z$2:$Z$201,0)),"")</f>
        <v/>
      </c>
      <c r="R29">
        <f>IFERROR(INDEX(Objekte!$AB$2:$AB$201,MATCH($A29,Objekte!$Z$2:$Z$201,0)),"")</f>
        <v/>
      </c>
    </row>
    <row r="30">
      <c r="A30" t="n">
        <v>27</v>
      </c>
      <c r="B30">
        <f>IFERROR(INDEX(Objekte!$B$2:$B$201,MATCH($A30,Objekte!$Z$2:$Z$201,0)),"")</f>
        <v/>
      </c>
      <c r="C30">
        <f>IFERROR(INDEX(Objekte!$X$2:$X$201,MATCH($A30,Objekte!$Z$2:$Z$201,0)),"")</f>
        <v/>
      </c>
      <c r="D30">
        <f>IFERROR(INDEX(Objekte!$W$2:$W$201,MATCH($A30,Objekte!$Z$2:$Z$201,0)),"")</f>
        <v/>
      </c>
      <c r="E30">
        <f>IFERROR(INDEX(Objekte!$L$2:$L$201,MATCH($A30,Objekte!$Z$2:$Z$201,0)),"")</f>
        <v/>
      </c>
      <c r="F30">
        <f>IFERROR(INDEX(Objekte!$N$2:$N$201,MATCH($A30,Objekte!$Z$2:$Z$201,0)),"")</f>
        <v/>
      </c>
      <c r="G30">
        <f>IFERROR(INDEX(Objekte!$P$2:$P$201,MATCH($A30,Objekte!$Z$2:$Z$201,0)),"")</f>
        <v/>
      </c>
      <c r="H30">
        <f>IFERROR(INDEX(Objekte!$E$2:$E$201,MATCH($A30,Objekte!$Z$2:$Z$201,0)),"")</f>
        <v/>
      </c>
      <c r="I30">
        <f>IFERROR(INDEX(Objekte!$G$2:$G$201,MATCH($A30,Objekte!$Z$2:$Z$201,0)),"")</f>
        <v/>
      </c>
      <c r="J30">
        <f>IFERROR(INDEX(Objekte!$I$2:$I$201,MATCH($A30,Objekte!$Z$2:$Z$201,0)),"")</f>
        <v/>
      </c>
      <c r="K30">
        <f>IFERROR(INDEX(Objekte!$Q$2:$Q$201,MATCH($A30,Objekte!$Z$2:$Z$201,0)),"")</f>
        <v/>
      </c>
      <c r="L30">
        <f>IFERROR(INDEX(Objekte!$V$2:$V$201,MATCH($A30,Objekte!$Z$2:$Z$201,0)),"")</f>
        <v/>
      </c>
      <c r="M30">
        <f>IFERROR(INDEX(Objekte!$D$2:$D$201,MATCH($A30,Objekte!$Z$2:$Z$201,0)),"")</f>
        <v/>
      </c>
      <c r="N30">
        <f>IFERROR(INDEX(Objekte!$U$2:$U$201,MATCH($A30,Objekte!$Z$2:$Z$201,0)),"")</f>
        <v/>
      </c>
      <c r="O30">
        <f>IFERROR(INDEX(Objekte!$AF$2:$AF$201,MATCH($A30,Objekte!$Z$2:$Z$201,0)),"")</f>
        <v/>
      </c>
      <c r="P30">
        <f>IFERROR(INDEX(Objekte!$C$2:$C$201,MATCH($A30,Objekte!$Z$2:$Z$201,0)),"")</f>
        <v/>
      </c>
      <c r="Q30">
        <f>IFERROR(INDEX(Objekte!$AD$2:$AD$201,MATCH($A30,Objekte!$Z$2:$Z$201,0)),"")</f>
        <v/>
      </c>
      <c r="R30">
        <f>IFERROR(INDEX(Objekte!$AB$2:$AB$201,MATCH($A30,Objekte!$Z$2:$Z$201,0)),"")</f>
        <v/>
      </c>
    </row>
    <row r="31">
      <c r="A31" t="n">
        <v>28</v>
      </c>
      <c r="B31">
        <f>IFERROR(INDEX(Objekte!$B$2:$B$201,MATCH($A31,Objekte!$Z$2:$Z$201,0)),"")</f>
        <v/>
      </c>
      <c r="C31">
        <f>IFERROR(INDEX(Objekte!$X$2:$X$201,MATCH($A31,Objekte!$Z$2:$Z$201,0)),"")</f>
        <v/>
      </c>
      <c r="D31">
        <f>IFERROR(INDEX(Objekte!$W$2:$W$201,MATCH($A31,Objekte!$Z$2:$Z$201,0)),"")</f>
        <v/>
      </c>
      <c r="E31">
        <f>IFERROR(INDEX(Objekte!$L$2:$L$201,MATCH($A31,Objekte!$Z$2:$Z$201,0)),"")</f>
        <v/>
      </c>
      <c r="F31">
        <f>IFERROR(INDEX(Objekte!$N$2:$N$201,MATCH($A31,Objekte!$Z$2:$Z$201,0)),"")</f>
        <v/>
      </c>
      <c r="G31">
        <f>IFERROR(INDEX(Objekte!$P$2:$P$201,MATCH($A31,Objekte!$Z$2:$Z$201,0)),"")</f>
        <v/>
      </c>
      <c r="H31">
        <f>IFERROR(INDEX(Objekte!$E$2:$E$201,MATCH($A31,Objekte!$Z$2:$Z$201,0)),"")</f>
        <v/>
      </c>
      <c r="I31">
        <f>IFERROR(INDEX(Objekte!$G$2:$G$201,MATCH($A31,Objekte!$Z$2:$Z$201,0)),"")</f>
        <v/>
      </c>
      <c r="J31">
        <f>IFERROR(INDEX(Objekte!$I$2:$I$201,MATCH($A31,Objekte!$Z$2:$Z$201,0)),"")</f>
        <v/>
      </c>
      <c r="K31">
        <f>IFERROR(INDEX(Objekte!$Q$2:$Q$201,MATCH($A31,Objekte!$Z$2:$Z$201,0)),"")</f>
        <v/>
      </c>
      <c r="L31">
        <f>IFERROR(INDEX(Objekte!$V$2:$V$201,MATCH($A31,Objekte!$Z$2:$Z$201,0)),"")</f>
        <v/>
      </c>
      <c r="M31">
        <f>IFERROR(INDEX(Objekte!$D$2:$D$201,MATCH($A31,Objekte!$Z$2:$Z$201,0)),"")</f>
        <v/>
      </c>
      <c r="N31">
        <f>IFERROR(INDEX(Objekte!$U$2:$U$201,MATCH($A31,Objekte!$Z$2:$Z$201,0)),"")</f>
        <v/>
      </c>
      <c r="O31">
        <f>IFERROR(INDEX(Objekte!$AF$2:$AF$201,MATCH($A31,Objekte!$Z$2:$Z$201,0)),"")</f>
        <v/>
      </c>
      <c r="P31">
        <f>IFERROR(INDEX(Objekte!$C$2:$C$201,MATCH($A31,Objekte!$Z$2:$Z$201,0)),"")</f>
        <v/>
      </c>
      <c r="Q31">
        <f>IFERROR(INDEX(Objekte!$AD$2:$AD$201,MATCH($A31,Objekte!$Z$2:$Z$201,0)),"")</f>
        <v/>
      </c>
      <c r="R31">
        <f>IFERROR(INDEX(Objekte!$AB$2:$AB$201,MATCH($A31,Objekte!$Z$2:$Z$201,0)),"")</f>
        <v/>
      </c>
    </row>
    <row r="32">
      <c r="A32" t="n">
        <v>29</v>
      </c>
      <c r="B32">
        <f>IFERROR(INDEX(Objekte!$B$2:$B$201,MATCH($A32,Objekte!$Z$2:$Z$201,0)),"")</f>
        <v/>
      </c>
      <c r="C32">
        <f>IFERROR(INDEX(Objekte!$X$2:$X$201,MATCH($A32,Objekte!$Z$2:$Z$201,0)),"")</f>
        <v/>
      </c>
      <c r="D32">
        <f>IFERROR(INDEX(Objekte!$W$2:$W$201,MATCH($A32,Objekte!$Z$2:$Z$201,0)),"")</f>
        <v/>
      </c>
      <c r="E32">
        <f>IFERROR(INDEX(Objekte!$L$2:$L$201,MATCH($A32,Objekte!$Z$2:$Z$201,0)),"")</f>
        <v/>
      </c>
      <c r="F32">
        <f>IFERROR(INDEX(Objekte!$N$2:$N$201,MATCH($A32,Objekte!$Z$2:$Z$201,0)),"")</f>
        <v/>
      </c>
      <c r="G32">
        <f>IFERROR(INDEX(Objekte!$P$2:$P$201,MATCH($A32,Objekte!$Z$2:$Z$201,0)),"")</f>
        <v/>
      </c>
      <c r="H32">
        <f>IFERROR(INDEX(Objekte!$E$2:$E$201,MATCH($A32,Objekte!$Z$2:$Z$201,0)),"")</f>
        <v/>
      </c>
      <c r="I32">
        <f>IFERROR(INDEX(Objekte!$G$2:$G$201,MATCH($A32,Objekte!$Z$2:$Z$201,0)),"")</f>
        <v/>
      </c>
      <c r="J32">
        <f>IFERROR(INDEX(Objekte!$I$2:$I$201,MATCH($A32,Objekte!$Z$2:$Z$201,0)),"")</f>
        <v/>
      </c>
      <c r="K32">
        <f>IFERROR(INDEX(Objekte!$Q$2:$Q$201,MATCH($A32,Objekte!$Z$2:$Z$201,0)),"")</f>
        <v/>
      </c>
      <c r="L32">
        <f>IFERROR(INDEX(Objekte!$V$2:$V$201,MATCH($A32,Objekte!$Z$2:$Z$201,0)),"")</f>
        <v/>
      </c>
      <c r="M32">
        <f>IFERROR(INDEX(Objekte!$D$2:$D$201,MATCH($A32,Objekte!$Z$2:$Z$201,0)),"")</f>
        <v/>
      </c>
      <c r="N32">
        <f>IFERROR(INDEX(Objekte!$U$2:$U$201,MATCH($A32,Objekte!$Z$2:$Z$201,0)),"")</f>
        <v/>
      </c>
      <c r="O32">
        <f>IFERROR(INDEX(Objekte!$AF$2:$AF$201,MATCH($A32,Objekte!$Z$2:$Z$201,0)),"")</f>
        <v/>
      </c>
      <c r="P32">
        <f>IFERROR(INDEX(Objekte!$C$2:$C$201,MATCH($A32,Objekte!$Z$2:$Z$201,0)),"")</f>
        <v/>
      </c>
      <c r="Q32">
        <f>IFERROR(INDEX(Objekte!$AD$2:$AD$201,MATCH($A32,Objekte!$Z$2:$Z$201,0)),"")</f>
        <v/>
      </c>
      <c r="R32">
        <f>IFERROR(INDEX(Objekte!$AB$2:$AB$201,MATCH($A32,Objekte!$Z$2:$Z$201,0)),"")</f>
        <v/>
      </c>
    </row>
    <row r="33">
      <c r="A33" t="n">
        <v>30</v>
      </c>
      <c r="B33">
        <f>IFERROR(INDEX(Objekte!$B$2:$B$201,MATCH($A33,Objekte!$Z$2:$Z$201,0)),"")</f>
        <v/>
      </c>
      <c r="C33">
        <f>IFERROR(INDEX(Objekte!$X$2:$X$201,MATCH($A33,Objekte!$Z$2:$Z$201,0)),"")</f>
        <v/>
      </c>
      <c r="D33">
        <f>IFERROR(INDEX(Objekte!$W$2:$W$201,MATCH($A33,Objekte!$Z$2:$Z$201,0)),"")</f>
        <v/>
      </c>
      <c r="E33">
        <f>IFERROR(INDEX(Objekte!$L$2:$L$201,MATCH($A33,Objekte!$Z$2:$Z$201,0)),"")</f>
        <v/>
      </c>
      <c r="F33">
        <f>IFERROR(INDEX(Objekte!$N$2:$N$201,MATCH($A33,Objekte!$Z$2:$Z$201,0)),"")</f>
        <v/>
      </c>
      <c r="G33">
        <f>IFERROR(INDEX(Objekte!$P$2:$P$201,MATCH($A33,Objekte!$Z$2:$Z$201,0)),"")</f>
        <v/>
      </c>
      <c r="H33">
        <f>IFERROR(INDEX(Objekte!$E$2:$E$201,MATCH($A33,Objekte!$Z$2:$Z$201,0)),"")</f>
        <v/>
      </c>
      <c r="I33">
        <f>IFERROR(INDEX(Objekte!$G$2:$G$201,MATCH($A33,Objekte!$Z$2:$Z$201,0)),"")</f>
        <v/>
      </c>
      <c r="J33">
        <f>IFERROR(INDEX(Objekte!$I$2:$I$201,MATCH($A33,Objekte!$Z$2:$Z$201,0)),"")</f>
        <v/>
      </c>
      <c r="K33">
        <f>IFERROR(INDEX(Objekte!$Q$2:$Q$201,MATCH($A33,Objekte!$Z$2:$Z$201,0)),"")</f>
        <v/>
      </c>
      <c r="L33">
        <f>IFERROR(INDEX(Objekte!$V$2:$V$201,MATCH($A33,Objekte!$Z$2:$Z$201,0)),"")</f>
        <v/>
      </c>
      <c r="M33">
        <f>IFERROR(INDEX(Objekte!$D$2:$D$201,MATCH($A33,Objekte!$Z$2:$Z$201,0)),"")</f>
        <v/>
      </c>
      <c r="N33">
        <f>IFERROR(INDEX(Objekte!$U$2:$U$201,MATCH($A33,Objekte!$Z$2:$Z$201,0)),"")</f>
        <v/>
      </c>
      <c r="O33">
        <f>IFERROR(INDEX(Objekte!$AF$2:$AF$201,MATCH($A33,Objekte!$Z$2:$Z$201,0)),"")</f>
        <v/>
      </c>
      <c r="P33">
        <f>IFERROR(INDEX(Objekte!$C$2:$C$201,MATCH($A33,Objekte!$Z$2:$Z$201,0)),"")</f>
        <v/>
      </c>
      <c r="Q33">
        <f>IFERROR(INDEX(Objekte!$AD$2:$AD$201,MATCH($A33,Objekte!$Z$2:$Z$201,0)),"")</f>
        <v/>
      </c>
      <c r="R33">
        <f>IFERROR(INDEX(Objekte!$AB$2:$AB$201,MATCH($A33,Objekte!$Z$2:$Z$201,0)),"")</f>
        <v/>
      </c>
    </row>
    <row r="34">
      <c r="A34" t="n">
        <v>31</v>
      </c>
      <c r="B34">
        <f>IFERROR(INDEX(Objekte!$B$2:$B$201,MATCH($A34,Objekte!$Z$2:$Z$201,0)),"")</f>
        <v/>
      </c>
      <c r="C34">
        <f>IFERROR(INDEX(Objekte!$X$2:$X$201,MATCH($A34,Objekte!$Z$2:$Z$201,0)),"")</f>
        <v/>
      </c>
      <c r="D34">
        <f>IFERROR(INDEX(Objekte!$W$2:$W$201,MATCH($A34,Objekte!$Z$2:$Z$201,0)),"")</f>
        <v/>
      </c>
      <c r="E34">
        <f>IFERROR(INDEX(Objekte!$L$2:$L$201,MATCH($A34,Objekte!$Z$2:$Z$201,0)),"")</f>
        <v/>
      </c>
      <c r="F34">
        <f>IFERROR(INDEX(Objekte!$N$2:$N$201,MATCH($A34,Objekte!$Z$2:$Z$201,0)),"")</f>
        <v/>
      </c>
      <c r="G34">
        <f>IFERROR(INDEX(Objekte!$P$2:$P$201,MATCH($A34,Objekte!$Z$2:$Z$201,0)),"")</f>
        <v/>
      </c>
      <c r="H34">
        <f>IFERROR(INDEX(Objekte!$E$2:$E$201,MATCH($A34,Objekte!$Z$2:$Z$201,0)),"")</f>
        <v/>
      </c>
      <c r="I34">
        <f>IFERROR(INDEX(Objekte!$G$2:$G$201,MATCH($A34,Objekte!$Z$2:$Z$201,0)),"")</f>
        <v/>
      </c>
      <c r="J34">
        <f>IFERROR(INDEX(Objekte!$I$2:$I$201,MATCH($A34,Objekte!$Z$2:$Z$201,0)),"")</f>
        <v/>
      </c>
      <c r="K34">
        <f>IFERROR(INDEX(Objekte!$Q$2:$Q$201,MATCH($A34,Objekte!$Z$2:$Z$201,0)),"")</f>
        <v/>
      </c>
      <c r="L34">
        <f>IFERROR(INDEX(Objekte!$V$2:$V$201,MATCH($A34,Objekte!$Z$2:$Z$201,0)),"")</f>
        <v/>
      </c>
      <c r="M34">
        <f>IFERROR(INDEX(Objekte!$D$2:$D$201,MATCH($A34,Objekte!$Z$2:$Z$201,0)),"")</f>
        <v/>
      </c>
      <c r="N34">
        <f>IFERROR(INDEX(Objekte!$U$2:$U$201,MATCH($A34,Objekte!$Z$2:$Z$201,0)),"")</f>
        <v/>
      </c>
      <c r="O34">
        <f>IFERROR(INDEX(Objekte!$AF$2:$AF$201,MATCH($A34,Objekte!$Z$2:$Z$201,0)),"")</f>
        <v/>
      </c>
      <c r="P34">
        <f>IFERROR(INDEX(Objekte!$C$2:$C$201,MATCH($A34,Objekte!$Z$2:$Z$201,0)),"")</f>
        <v/>
      </c>
      <c r="Q34">
        <f>IFERROR(INDEX(Objekte!$AD$2:$AD$201,MATCH($A34,Objekte!$Z$2:$Z$201,0)),"")</f>
        <v/>
      </c>
      <c r="R34">
        <f>IFERROR(INDEX(Objekte!$AB$2:$AB$201,MATCH($A34,Objekte!$Z$2:$Z$201,0)),"")</f>
        <v/>
      </c>
    </row>
    <row r="35">
      <c r="A35" t="n">
        <v>32</v>
      </c>
      <c r="B35">
        <f>IFERROR(INDEX(Objekte!$B$2:$B$201,MATCH($A35,Objekte!$Z$2:$Z$201,0)),"")</f>
        <v/>
      </c>
      <c r="C35">
        <f>IFERROR(INDEX(Objekte!$X$2:$X$201,MATCH($A35,Objekte!$Z$2:$Z$201,0)),"")</f>
        <v/>
      </c>
      <c r="D35">
        <f>IFERROR(INDEX(Objekte!$W$2:$W$201,MATCH($A35,Objekte!$Z$2:$Z$201,0)),"")</f>
        <v/>
      </c>
      <c r="E35">
        <f>IFERROR(INDEX(Objekte!$L$2:$L$201,MATCH($A35,Objekte!$Z$2:$Z$201,0)),"")</f>
        <v/>
      </c>
      <c r="F35">
        <f>IFERROR(INDEX(Objekte!$N$2:$N$201,MATCH($A35,Objekte!$Z$2:$Z$201,0)),"")</f>
        <v/>
      </c>
      <c r="G35">
        <f>IFERROR(INDEX(Objekte!$P$2:$P$201,MATCH($A35,Objekte!$Z$2:$Z$201,0)),"")</f>
        <v/>
      </c>
      <c r="H35">
        <f>IFERROR(INDEX(Objekte!$E$2:$E$201,MATCH($A35,Objekte!$Z$2:$Z$201,0)),"")</f>
        <v/>
      </c>
      <c r="I35">
        <f>IFERROR(INDEX(Objekte!$G$2:$G$201,MATCH($A35,Objekte!$Z$2:$Z$201,0)),"")</f>
        <v/>
      </c>
      <c r="J35">
        <f>IFERROR(INDEX(Objekte!$I$2:$I$201,MATCH($A35,Objekte!$Z$2:$Z$201,0)),"")</f>
        <v/>
      </c>
      <c r="K35">
        <f>IFERROR(INDEX(Objekte!$Q$2:$Q$201,MATCH($A35,Objekte!$Z$2:$Z$201,0)),"")</f>
        <v/>
      </c>
      <c r="L35">
        <f>IFERROR(INDEX(Objekte!$V$2:$V$201,MATCH($A35,Objekte!$Z$2:$Z$201,0)),"")</f>
        <v/>
      </c>
      <c r="M35">
        <f>IFERROR(INDEX(Objekte!$D$2:$D$201,MATCH($A35,Objekte!$Z$2:$Z$201,0)),"")</f>
        <v/>
      </c>
      <c r="N35">
        <f>IFERROR(INDEX(Objekte!$U$2:$U$201,MATCH($A35,Objekte!$Z$2:$Z$201,0)),"")</f>
        <v/>
      </c>
      <c r="O35">
        <f>IFERROR(INDEX(Objekte!$AF$2:$AF$201,MATCH($A35,Objekte!$Z$2:$Z$201,0)),"")</f>
        <v/>
      </c>
      <c r="P35">
        <f>IFERROR(INDEX(Objekte!$C$2:$C$201,MATCH($A35,Objekte!$Z$2:$Z$201,0)),"")</f>
        <v/>
      </c>
      <c r="Q35">
        <f>IFERROR(INDEX(Objekte!$AD$2:$AD$201,MATCH($A35,Objekte!$Z$2:$Z$201,0)),"")</f>
        <v/>
      </c>
      <c r="R35">
        <f>IFERROR(INDEX(Objekte!$AB$2:$AB$201,MATCH($A35,Objekte!$Z$2:$Z$201,0)),"")</f>
        <v/>
      </c>
    </row>
    <row r="36">
      <c r="A36" t="n">
        <v>33</v>
      </c>
      <c r="B36">
        <f>IFERROR(INDEX(Objekte!$B$2:$B$201,MATCH($A36,Objekte!$Z$2:$Z$201,0)),"")</f>
        <v/>
      </c>
      <c r="C36">
        <f>IFERROR(INDEX(Objekte!$X$2:$X$201,MATCH($A36,Objekte!$Z$2:$Z$201,0)),"")</f>
        <v/>
      </c>
      <c r="D36">
        <f>IFERROR(INDEX(Objekte!$W$2:$W$201,MATCH($A36,Objekte!$Z$2:$Z$201,0)),"")</f>
        <v/>
      </c>
      <c r="E36">
        <f>IFERROR(INDEX(Objekte!$L$2:$L$201,MATCH($A36,Objekte!$Z$2:$Z$201,0)),"")</f>
        <v/>
      </c>
      <c r="F36">
        <f>IFERROR(INDEX(Objekte!$N$2:$N$201,MATCH($A36,Objekte!$Z$2:$Z$201,0)),"")</f>
        <v/>
      </c>
      <c r="G36">
        <f>IFERROR(INDEX(Objekte!$P$2:$P$201,MATCH($A36,Objekte!$Z$2:$Z$201,0)),"")</f>
        <v/>
      </c>
      <c r="H36">
        <f>IFERROR(INDEX(Objekte!$E$2:$E$201,MATCH($A36,Objekte!$Z$2:$Z$201,0)),"")</f>
        <v/>
      </c>
      <c r="I36">
        <f>IFERROR(INDEX(Objekte!$G$2:$G$201,MATCH($A36,Objekte!$Z$2:$Z$201,0)),"")</f>
        <v/>
      </c>
      <c r="J36">
        <f>IFERROR(INDEX(Objekte!$I$2:$I$201,MATCH($A36,Objekte!$Z$2:$Z$201,0)),"")</f>
        <v/>
      </c>
      <c r="K36">
        <f>IFERROR(INDEX(Objekte!$Q$2:$Q$201,MATCH($A36,Objekte!$Z$2:$Z$201,0)),"")</f>
        <v/>
      </c>
      <c r="L36">
        <f>IFERROR(INDEX(Objekte!$V$2:$V$201,MATCH($A36,Objekte!$Z$2:$Z$201,0)),"")</f>
        <v/>
      </c>
      <c r="M36">
        <f>IFERROR(INDEX(Objekte!$D$2:$D$201,MATCH($A36,Objekte!$Z$2:$Z$201,0)),"")</f>
        <v/>
      </c>
      <c r="N36">
        <f>IFERROR(INDEX(Objekte!$U$2:$U$201,MATCH($A36,Objekte!$Z$2:$Z$201,0)),"")</f>
        <v/>
      </c>
      <c r="O36">
        <f>IFERROR(INDEX(Objekte!$AF$2:$AF$201,MATCH($A36,Objekte!$Z$2:$Z$201,0)),"")</f>
        <v/>
      </c>
      <c r="P36">
        <f>IFERROR(INDEX(Objekte!$C$2:$C$201,MATCH($A36,Objekte!$Z$2:$Z$201,0)),"")</f>
        <v/>
      </c>
      <c r="Q36">
        <f>IFERROR(INDEX(Objekte!$AD$2:$AD$201,MATCH($A36,Objekte!$Z$2:$Z$201,0)),"")</f>
        <v/>
      </c>
      <c r="R36">
        <f>IFERROR(INDEX(Objekte!$AB$2:$AB$201,MATCH($A36,Objekte!$Z$2:$Z$201,0)),"")</f>
        <v/>
      </c>
    </row>
    <row r="37">
      <c r="A37" t="n">
        <v>34</v>
      </c>
      <c r="B37">
        <f>IFERROR(INDEX(Objekte!$B$2:$B$201,MATCH($A37,Objekte!$Z$2:$Z$201,0)),"")</f>
        <v/>
      </c>
      <c r="C37">
        <f>IFERROR(INDEX(Objekte!$X$2:$X$201,MATCH($A37,Objekte!$Z$2:$Z$201,0)),"")</f>
        <v/>
      </c>
      <c r="D37">
        <f>IFERROR(INDEX(Objekte!$W$2:$W$201,MATCH($A37,Objekte!$Z$2:$Z$201,0)),"")</f>
        <v/>
      </c>
      <c r="E37">
        <f>IFERROR(INDEX(Objekte!$L$2:$L$201,MATCH($A37,Objekte!$Z$2:$Z$201,0)),"")</f>
        <v/>
      </c>
      <c r="F37">
        <f>IFERROR(INDEX(Objekte!$N$2:$N$201,MATCH($A37,Objekte!$Z$2:$Z$201,0)),"")</f>
        <v/>
      </c>
      <c r="G37">
        <f>IFERROR(INDEX(Objekte!$P$2:$P$201,MATCH($A37,Objekte!$Z$2:$Z$201,0)),"")</f>
        <v/>
      </c>
      <c r="H37">
        <f>IFERROR(INDEX(Objekte!$E$2:$E$201,MATCH($A37,Objekte!$Z$2:$Z$201,0)),"")</f>
        <v/>
      </c>
      <c r="I37">
        <f>IFERROR(INDEX(Objekte!$G$2:$G$201,MATCH($A37,Objekte!$Z$2:$Z$201,0)),"")</f>
        <v/>
      </c>
      <c r="J37">
        <f>IFERROR(INDEX(Objekte!$I$2:$I$201,MATCH($A37,Objekte!$Z$2:$Z$201,0)),"")</f>
        <v/>
      </c>
      <c r="K37">
        <f>IFERROR(INDEX(Objekte!$Q$2:$Q$201,MATCH($A37,Objekte!$Z$2:$Z$201,0)),"")</f>
        <v/>
      </c>
      <c r="L37">
        <f>IFERROR(INDEX(Objekte!$V$2:$V$201,MATCH($A37,Objekte!$Z$2:$Z$201,0)),"")</f>
        <v/>
      </c>
      <c r="M37">
        <f>IFERROR(INDEX(Objekte!$D$2:$D$201,MATCH($A37,Objekte!$Z$2:$Z$201,0)),"")</f>
        <v/>
      </c>
      <c r="N37">
        <f>IFERROR(INDEX(Objekte!$U$2:$U$201,MATCH($A37,Objekte!$Z$2:$Z$201,0)),"")</f>
        <v/>
      </c>
      <c r="O37">
        <f>IFERROR(INDEX(Objekte!$AF$2:$AF$201,MATCH($A37,Objekte!$Z$2:$Z$201,0)),"")</f>
        <v/>
      </c>
      <c r="P37">
        <f>IFERROR(INDEX(Objekte!$C$2:$C$201,MATCH($A37,Objekte!$Z$2:$Z$201,0)),"")</f>
        <v/>
      </c>
      <c r="Q37">
        <f>IFERROR(INDEX(Objekte!$AD$2:$AD$201,MATCH($A37,Objekte!$Z$2:$Z$201,0)),"")</f>
        <v/>
      </c>
      <c r="R37">
        <f>IFERROR(INDEX(Objekte!$AB$2:$AB$201,MATCH($A37,Objekte!$Z$2:$Z$201,0)),"")</f>
        <v/>
      </c>
    </row>
    <row r="38">
      <c r="A38" t="n">
        <v>35</v>
      </c>
      <c r="B38">
        <f>IFERROR(INDEX(Objekte!$B$2:$B$201,MATCH($A38,Objekte!$Z$2:$Z$201,0)),"")</f>
        <v/>
      </c>
      <c r="C38">
        <f>IFERROR(INDEX(Objekte!$X$2:$X$201,MATCH($A38,Objekte!$Z$2:$Z$201,0)),"")</f>
        <v/>
      </c>
      <c r="D38">
        <f>IFERROR(INDEX(Objekte!$W$2:$W$201,MATCH($A38,Objekte!$Z$2:$Z$201,0)),"")</f>
        <v/>
      </c>
      <c r="E38">
        <f>IFERROR(INDEX(Objekte!$L$2:$L$201,MATCH($A38,Objekte!$Z$2:$Z$201,0)),"")</f>
        <v/>
      </c>
      <c r="F38">
        <f>IFERROR(INDEX(Objekte!$N$2:$N$201,MATCH($A38,Objekte!$Z$2:$Z$201,0)),"")</f>
        <v/>
      </c>
      <c r="G38">
        <f>IFERROR(INDEX(Objekte!$P$2:$P$201,MATCH($A38,Objekte!$Z$2:$Z$201,0)),"")</f>
        <v/>
      </c>
      <c r="H38">
        <f>IFERROR(INDEX(Objekte!$E$2:$E$201,MATCH($A38,Objekte!$Z$2:$Z$201,0)),"")</f>
        <v/>
      </c>
      <c r="I38">
        <f>IFERROR(INDEX(Objekte!$G$2:$G$201,MATCH($A38,Objekte!$Z$2:$Z$201,0)),"")</f>
        <v/>
      </c>
      <c r="J38">
        <f>IFERROR(INDEX(Objekte!$I$2:$I$201,MATCH($A38,Objekte!$Z$2:$Z$201,0)),"")</f>
        <v/>
      </c>
      <c r="K38">
        <f>IFERROR(INDEX(Objekte!$Q$2:$Q$201,MATCH($A38,Objekte!$Z$2:$Z$201,0)),"")</f>
        <v/>
      </c>
      <c r="L38">
        <f>IFERROR(INDEX(Objekte!$V$2:$V$201,MATCH($A38,Objekte!$Z$2:$Z$201,0)),"")</f>
        <v/>
      </c>
      <c r="M38">
        <f>IFERROR(INDEX(Objekte!$D$2:$D$201,MATCH($A38,Objekte!$Z$2:$Z$201,0)),"")</f>
        <v/>
      </c>
      <c r="N38">
        <f>IFERROR(INDEX(Objekte!$U$2:$U$201,MATCH($A38,Objekte!$Z$2:$Z$201,0)),"")</f>
        <v/>
      </c>
      <c r="O38">
        <f>IFERROR(INDEX(Objekte!$AF$2:$AF$201,MATCH($A38,Objekte!$Z$2:$Z$201,0)),"")</f>
        <v/>
      </c>
      <c r="P38">
        <f>IFERROR(INDEX(Objekte!$C$2:$C$201,MATCH($A38,Objekte!$Z$2:$Z$201,0)),"")</f>
        <v/>
      </c>
      <c r="Q38">
        <f>IFERROR(INDEX(Objekte!$AD$2:$AD$201,MATCH($A38,Objekte!$Z$2:$Z$201,0)),"")</f>
        <v/>
      </c>
      <c r="R38">
        <f>IFERROR(INDEX(Objekte!$AB$2:$AB$201,MATCH($A38,Objekte!$Z$2:$Z$201,0)),"")</f>
        <v/>
      </c>
    </row>
    <row r="39">
      <c r="A39" t="n">
        <v>36</v>
      </c>
      <c r="B39">
        <f>IFERROR(INDEX(Objekte!$B$2:$B$201,MATCH($A39,Objekte!$Z$2:$Z$201,0)),"")</f>
        <v/>
      </c>
      <c r="C39">
        <f>IFERROR(INDEX(Objekte!$X$2:$X$201,MATCH($A39,Objekte!$Z$2:$Z$201,0)),"")</f>
        <v/>
      </c>
      <c r="D39">
        <f>IFERROR(INDEX(Objekte!$W$2:$W$201,MATCH($A39,Objekte!$Z$2:$Z$201,0)),"")</f>
        <v/>
      </c>
      <c r="E39">
        <f>IFERROR(INDEX(Objekte!$L$2:$L$201,MATCH($A39,Objekte!$Z$2:$Z$201,0)),"")</f>
        <v/>
      </c>
      <c r="F39">
        <f>IFERROR(INDEX(Objekte!$N$2:$N$201,MATCH($A39,Objekte!$Z$2:$Z$201,0)),"")</f>
        <v/>
      </c>
      <c r="G39">
        <f>IFERROR(INDEX(Objekte!$P$2:$P$201,MATCH($A39,Objekte!$Z$2:$Z$201,0)),"")</f>
        <v/>
      </c>
      <c r="H39">
        <f>IFERROR(INDEX(Objekte!$E$2:$E$201,MATCH($A39,Objekte!$Z$2:$Z$201,0)),"")</f>
        <v/>
      </c>
      <c r="I39">
        <f>IFERROR(INDEX(Objekte!$G$2:$G$201,MATCH($A39,Objekte!$Z$2:$Z$201,0)),"")</f>
        <v/>
      </c>
      <c r="J39">
        <f>IFERROR(INDEX(Objekte!$I$2:$I$201,MATCH($A39,Objekte!$Z$2:$Z$201,0)),"")</f>
        <v/>
      </c>
      <c r="K39">
        <f>IFERROR(INDEX(Objekte!$Q$2:$Q$201,MATCH($A39,Objekte!$Z$2:$Z$201,0)),"")</f>
        <v/>
      </c>
      <c r="L39">
        <f>IFERROR(INDEX(Objekte!$V$2:$V$201,MATCH($A39,Objekte!$Z$2:$Z$201,0)),"")</f>
        <v/>
      </c>
      <c r="M39">
        <f>IFERROR(INDEX(Objekte!$D$2:$D$201,MATCH($A39,Objekte!$Z$2:$Z$201,0)),"")</f>
        <v/>
      </c>
      <c r="N39">
        <f>IFERROR(INDEX(Objekte!$U$2:$U$201,MATCH($A39,Objekte!$Z$2:$Z$201,0)),"")</f>
        <v/>
      </c>
      <c r="O39">
        <f>IFERROR(INDEX(Objekte!$AF$2:$AF$201,MATCH($A39,Objekte!$Z$2:$Z$201,0)),"")</f>
        <v/>
      </c>
      <c r="P39">
        <f>IFERROR(INDEX(Objekte!$C$2:$C$201,MATCH($A39,Objekte!$Z$2:$Z$201,0)),"")</f>
        <v/>
      </c>
      <c r="Q39">
        <f>IFERROR(INDEX(Objekte!$AD$2:$AD$201,MATCH($A39,Objekte!$Z$2:$Z$201,0)),"")</f>
        <v/>
      </c>
      <c r="R39">
        <f>IFERROR(INDEX(Objekte!$AB$2:$AB$201,MATCH($A39,Objekte!$Z$2:$Z$201,0)),"")</f>
        <v/>
      </c>
    </row>
    <row r="40">
      <c r="A40" t="n">
        <v>37</v>
      </c>
      <c r="B40">
        <f>IFERROR(INDEX(Objekte!$B$2:$B$201,MATCH($A40,Objekte!$Z$2:$Z$201,0)),"")</f>
        <v/>
      </c>
      <c r="C40">
        <f>IFERROR(INDEX(Objekte!$X$2:$X$201,MATCH($A40,Objekte!$Z$2:$Z$201,0)),"")</f>
        <v/>
      </c>
      <c r="D40">
        <f>IFERROR(INDEX(Objekte!$W$2:$W$201,MATCH($A40,Objekte!$Z$2:$Z$201,0)),"")</f>
        <v/>
      </c>
      <c r="E40">
        <f>IFERROR(INDEX(Objekte!$L$2:$L$201,MATCH($A40,Objekte!$Z$2:$Z$201,0)),"")</f>
        <v/>
      </c>
      <c r="F40">
        <f>IFERROR(INDEX(Objekte!$N$2:$N$201,MATCH($A40,Objekte!$Z$2:$Z$201,0)),"")</f>
        <v/>
      </c>
      <c r="G40">
        <f>IFERROR(INDEX(Objekte!$P$2:$P$201,MATCH($A40,Objekte!$Z$2:$Z$201,0)),"")</f>
        <v/>
      </c>
      <c r="H40">
        <f>IFERROR(INDEX(Objekte!$E$2:$E$201,MATCH($A40,Objekte!$Z$2:$Z$201,0)),"")</f>
        <v/>
      </c>
      <c r="I40">
        <f>IFERROR(INDEX(Objekte!$G$2:$G$201,MATCH($A40,Objekte!$Z$2:$Z$201,0)),"")</f>
        <v/>
      </c>
      <c r="J40">
        <f>IFERROR(INDEX(Objekte!$I$2:$I$201,MATCH($A40,Objekte!$Z$2:$Z$201,0)),"")</f>
        <v/>
      </c>
      <c r="K40">
        <f>IFERROR(INDEX(Objekte!$Q$2:$Q$201,MATCH($A40,Objekte!$Z$2:$Z$201,0)),"")</f>
        <v/>
      </c>
      <c r="L40">
        <f>IFERROR(INDEX(Objekte!$V$2:$V$201,MATCH($A40,Objekte!$Z$2:$Z$201,0)),"")</f>
        <v/>
      </c>
      <c r="M40">
        <f>IFERROR(INDEX(Objekte!$D$2:$D$201,MATCH($A40,Objekte!$Z$2:$Z$201,0)),"")</f>
        <v/>
      </c>
      <c r="N40">
        <f>IFERROR(INDEX(Objekte!$U$2:$U$201,MATCH($A40,Objekte!$Z$2:$Z$201,0)),"")</f>
        <v/>
      </c>
      <c r="O40">
        <f>IFERROR(INDEX(Objekte!$AF$2:$AF$201,MATCH($A40,Objekte!$Z$2:$Z$201,0)),"")</f>
        <v/>
      </c>
      <c r="P40">
        <f>IFERROR(INDEX(Objekte!$C$2:$C$201,MATCH($A40,Objekte!$Z$2:$Z$201,0)),"")</f>
        <v/>
      </c>
      <c r="Q40">
        <f>IFERROR(INDEX(Objekte!$AD$2:$AD$201,MATCH($A40,Objekte!$Z$2:$Z$201,0)),"")</f>
        <v/>
      </c>
      <c r="R40">
        <f>IFERROR(INDEX(Objekte!$AB$2:$AB$201,MATCH($A40,Objekte!$Z$2:$Z$201,0)),"")</f>
        <v/>
      </c>
    </row>
    <row r="41">
      <c r="A41" t="n">
        <v>38</v>
      </c>
      <c r="B41">
        <f>IFERROR(INDEX(Objekte!$B$2:$B$201,MATCH($A41,Objekte!$Z$2:$Z$201,0)),"")</f>
        <v/>
      </c>
      <c r="C41">
        <f>IFERROR(INDEX(Objekte!$X$2:$X$201,MATCH($A41,Objekte!$Z$2:$Z$201,0)),"")</f>
        <v/>
      </c>
      <c r="D41">
        <f>IFERROR(INDEX(Objekte!$W$2:$W$201,MATCH($A41,Objekte!$Z$2:$Z$201,0)),"")</f>
        <v/>
      </c>
      <c r="E41">
        <f>IFERROR(INDEX(Objekte!$L$2:$L$201,MATCH($A41,Objekte!$Z$2:$Z$201,0)),"")</f>
        <v/>
      </c>
      <c r="F41">
        <f>IFERROR(INDEX(Objekte!$N$2:$N$201,MATCH($A41,Objekte!$Z$2:$Z$201,0)),"")</f>
        <v/>
      </c>
      <c r="G41">
        <f>IFERROR(INDEX(Objekte!$P$2:$P$201,MATCH($A41,Objekte!$Z$2:$Z$201,0)),"")</f>
        <v/>
      </c>
      <c r="H41">
        <f>IFERROR(INDEX(Objekte!$E$2:$E$201,MATCH($A41,Objekte!$Z$2:$Z$201,0)),"")</f>
        <v/>
      </c>
      <c r="I41">
        <f>IFERROR(INDEX(Objekte!$G$2:$G$201,MATCH($A41,Objekte!$Z$2:$Z$201,0)),"")</f>
        <v/>
      </c>
      <c r="J41">
        <f>IFERROR(INDEX(Objekte!$I$2:$I$201,MATCH($A41,Objekte!$Z$2:$Z$201,0)),"")</f>
        <v/>
      </c>
      <c r="K41">
        <f>IFERROR(INDEX(Objekte!$Q$2:$Q$201,MATCH($A41,Objekte!$Z$2:$Z$201,0)),"")</f>
        <v/>
      </c>
      <c r="L41">
        <f>IFERROR(INDEX(Objekte!$V$2:$V$201,MATCH($A41,Objekte!$Z$2:$Z$201,0)),"")</f>
        <v/>
      </c>
      <c r="M41">
        <f>IFERROR(INDEX(Objekte!$D$2:$D$201,MATCH($A41,Objekte!$Z$2:$Z$201,0)),"")</f>
        <v/>
      </c>
      <c r="N41">
        <f>IFERROR(INDEX(Objekte!$U$2:$U$201,MATCH($A41,Objekte!$Z$2:$Z$201,0)),"")</f>
        <v/>
      </c>
      <c r="O41">
        <f>IFERROR(INDEX(Objekte!$AF$2:$AF$201,MATCH($A41,Objekte!$Z$2:$Z$201,0)),"")</f>
        <v/>
      </c>
      <c r="P41">
        <f>IFERROR(INDEX(Objekte!$C$2:$C$201,MATCH($A41,Objekte!$Z$2:$Z$201,0)),"")</f>
        <v/>
      </c>
      <c r="Q41">
        <f>IFERROR(INDEX(Objekte!$AD$2:$AD$201,MATCH($A41,Objekte!$Z$2:$Z$201,0)),"")</f>
        <v/>
      </c>
      <c r="R41">
        <f>IFERROR(INDEX(Objekte!$AB$2:$AB$201,MATCH($A41,Objekte!$Z$2:$Z$201,0)),"")</f>
        <v/>
      </c>
    </row>
    <row r="42">
      <c r="A42" t="n">
        <v>39</v>
      </c>
      <c r="B42">
        <f>IFERROR(INDEX(Objekte!$B$2:$B$201,MATCH($A42,Objekte!$Z$2:$Z$201,0)),"")</f>
        <v/>
      </c>
      <c r="C42">
        <f>IFERROR(INDEX(Objekte!$X$2:$X$201,MATCH($A42,Objekte!$Z$2:$Z$201,0)),"")</f>
        <v/>
      </c>
      <c r="D42">
        <f>IFERROR(INDEX(Objekte!$W$2:$W$201,MATCH($A42,Objekte!$Z$2:$Z$201,0)),"")</f>
        <v/>
      </c>
      <c r="E42">
        <f>IFERROR(INDEX(Objekte!$L$2:$L$201,MATCH($A42,Objekte!$Z$2:$Z$201,0)),"")</f>
        <v/>
      </c>
      <c r="F42">
        <f>IFERROR(INDEX(Objekte!$N$2:$N$201,MATCH($A42,Objekte!$Z$2:$Z$201,0)),"")</f>
        <v/>
      </c>
      <c r="G42">
        <f>IFERROR(INDEX(Objekte!$P$2:$P$201,MATCH($A42,Objekte!$Z$2:$Z$201,0)),"")</f>
        <v/>
      </c>
      <c r="H42">
        <f>IFERROR(INDEX(Objekte!$E$2:$E$201,MATCH($A42,Objekte!$Z$2:$Z$201,0)),"")</f>
        <v/>
      </c>
      <c r="I42">
        <f>IFERROR(INDEX(Objekte!$G$2:$G$201,MATCH($A42,Objekte!$Z$2:$Z$201,0)),"")</f>
        <v/>
      </c>
      <c r="J42">
        <f>IFERROR(INDEX(Objekte!$I$2:$I$201,MATCH($A42,Objekte!$Z$2:$Z$201,0)),"")</f>
        <v/>
      </c>
      <c r="K42">
        <f>IFERROR(INDEX(Objekte!$Q$2:$Q$201,MATCH($A42,Objekte!$Z$2:$Z$201,0)),"")</f>
        <v/>
      </c>
      <c r="L42">
        <f>IFERROR(INDEX(Objekte!$V$2:$V$201,MATCH($A42,Objekte!$Z$2:$Z$201,0)),"")</f>
        <v/>
      </c>
      <c r="M42">
        <f>IFERROR(INDEX(Objekte!$D$2:$D$201,MATCH($A42,Objekte!$Z$2:$Z$201,0)),"")</f>
        <v/>
      </c>
      <c r="N42">
        <f>IFERROR(INDEX(Objekte!$U$2:$U$201,MATCH($A42,Objekte!$Z$2:$Z$201,0)),"")</f>
        <v/>
      </c>
      <c r="O42">
        <f>IFERROR(INDEX(Objekte!$AF$2:$AF$201,MATCH($A42,Objekte!$Z$2:$Z$201,0)),"")</f>
        <v/>
      </c>
      <c r="P42">
        <f>IFERROR(INDEX(Objekte!$C$2:$C$201,MATCH($A42,Objekte!$Z$2:$Z$201,0)),"")</f>
        <v/>
      </c>
      <c r="Q42">
        <f>IFERROR(INDEX(Objekte!$AD$2:$AD$201,MATCH($A42,Objekte!$Z$2:$Z$201,0)),"")</f>
        <v/>
      </c>
      <c r="R42">
        <f>IFERROR(INDEX(Objekte!$AB$2:$AB$201,MATCH($A42,Objekte!$Z$2:$Z$201,0)),"")</f>
        <v/>
      </c>
    </row>
    <row r="43">
      <c r="A43" t="n">
        <v>40</v>
      </c>
      <c r="B43">
        <f>IFERROR(INDEX(Objekte!$B$2:$B$201,MATCH($A43,Objekte!$Z$2:$Z$201,0)),"")</f>
        <v/>
      </c>
      <c r="C43">
        <f>IFERROR(INDEX(Objekte!$X$2:$X$201,MATCH($A43,Objekte!$Z$2:$Z$201,0)),"")</f>
        <v/>
      </c>
      <c r="D43">
        <f>IFERROR(INDEX(Objekte!$W$2:$W$201,MATCH($A43,Objekte!$Z$2:$Z$201,0)),"")</f>
        <v/>
      </c>
      <c r="E43">
        <f>IFERROR(INDEX(Objekte!$L$2:$L$201,MATCH($A43,Objekte!$Z$2:$Z$201,0)),"")</f>
        <v/>
      </c>
      <c r="F43">
        <f>IFERROR(INDEX(Objekte!$N$2:$N$201,MATCH($A43,Objekte!$Z$2:$Z$201,0)),"")</f>
        <v/>
      </c>
      <c r="G43">
        <f>IFERROR(INDEX(Objekte!$P$2:$P$201,MATCH($A43,Objekte!$Z$2:$Z$201,0)),"")</f>
        <v/>
      </c>
      <c r="H43">
        <f>IFERROR(INDEX(Objekte!$E$2:$E$201,MATCH($A43,Objekte!$Z$2:$Z$201,0)),"")</f>
        <v/>
      </c>
      <c r="I43">
        <f>IFERROR(INDEX(Objekte!$G$2:$G$201,MATCH($A43,Objekte!$Z$2:$Z$201,0)),"")</f>
        <v/>
      </c>
      <c r="J43">
        <f>IFERROR(INDEX(Objekte!$I$2:$I$201,MATCH($A43,Objekte!$Z$2:$Z$201,0)),"")</f>
        <v/>
      </c>
      <c r="K43">
        <f>IFERROR(INDEX(Objekte!$Q$2:$Q$201,MATCH($A43,Objekte!$Z$2:$Z$201,0)),"")</f>
        <v/>
      </c>
      <c r="L43">
        <f>IFERROR(INDEX(Objekte!$V$2:$V$201,MATCH($A43,Objekte!$Z$2:$Z$201,0)),"")</f>
        <v/>
      </c>
      <c r="M43">
        <f>IFERROR(INDEX(Objekte!$D$2:$D$201,MATCH($A43,Objekte!$Z$2:$Z$201,0)),"")</f>
        <v/>
      </c>
      <c r="N43">
        <f>IFERROR(INDEX(Objekte!$U$2:$U$201,MATCH($A43,Objekte!$Z$2:$Z$201,0)),"")</f>
        <v/>
      </c>
      <c r="O43">
        <f>IFERROR(INDEX(Objekte!$AF$2:$AF$201,MATCH($A43,Objekte!$Z$2:$Z$201,0)),"")</f>
        <v/>
      </c>
      <c r="P43">
        <f>IFERROR(INDEX(Objekte!$C$2:$C$201,MATCH($A43,Objekte!$Z$2:$Z$201,0)),"")</f>
        <v/>
      </c>
      <c r="Q43">
        <f>IFERROR(INDEX(Objekte!$AD$2:$AD$201,MATCH($A43,Objekte!$Z$2:$Z$201,0)),"")</f>
        <v/>
      </c>
      <c r="R43">
        <f>IFERROR(INDEX(Objekte!$AB$2:$AB$201,MATCH($A43,Objekte!$Z$2:$Z$201,0)),"")</f>
        <v/>
      </c>
    </row>
    <row r="44">
      <c r="A44" t="n">
        <v>41</v>
      </c>
      <c r="B44">
        <f>IFERROR(INDEX(Objekte!$B$2:$B$201,MATCH($A44,Objekte!$Z$2:$Z$201,0)),"")</f>
        <v/>
      </c>
      <c r="C44">
        <f>IFERROR(INDEX(Objekte!$X$2:$X$201,MATCH($A44,Objekte!$Z$2:$Z$201,0)),"")</f>
        <v/>
      </c>
      <c r="D44">
        <f>IFERROR(INDEX(Objekte!$W$2:$W$201,MATCH($A44,Objekte!$Z$2:$Z$201,0)),"")</f>
        <v/>
      </c>
      <c r="E44">
        <f>IFERROR(INDEX(Objekte!$L$2:$L$201,MATCH($A44,Objekte!$Z$2:$Z$201,0)),"")</f>
        <v/>
      </c>
      <c r="F44">
        <f>IFERROR(INDEX(Objekte!$N$2:$N$201,MATCH($A44,Objekte!$Z$2:$Z$201,0)),"")</f>
        <v/>
      </c>
      <c r="G44">
        <f>IFERROR(INDEX(Objekte!$P$2:$P$201,MATCH($A44,Objekte!$Z$2:$Z$201,0)),"")</f>
        <v/>
      </c>
      <c r="H44">
        <f>IFERROR(INDEX(Objekte!$E$2:$E$201,MATCH($A44,Objekte!$Z$2:$Z$201,0)),"")</f>
        <v/>
      </c>
      <c r="I44">
        <f>IFERROR(INDEX(Objekte!$G$2:$G$201,MATCH($A44,Objekte!$Z$2:$Z$201,0)),"")</f>
        <v/>
      </c>
      <c r="J44">
        <f>IFERROR(INDEX(Objekte!$I$2:$I$201,MATCH($A44,Objekte!$Z$2:$Z$201,0)),"")</f>
        <v/>
      </c>
      <c r="K44">
        <f>IFERROR(INDEX(Objekte!$Q$2:$Q$201,MATCH($A44,Objekte!$Z$2:$Z$201,0)),"")</f>
        <v/>
      </c>
      <c r="L44">
        <f>IFERROR(INDEX(Objekte!$V$2:$V$201,MATCH($A44,Objekte!$Z$2:$Z$201,0)),"")</f>
        <v/>
      </c>
      <c r="M44">
        <f>IFERROR(INDEX(Objekte!$D$2:$D$201,MATCH($A44,Objekte!$Z$2:$Z$201,0)),"")</f>
        <v/>
      </c>
      <c r="N44">
        <f>IFERROR(INDEX(Objekte!$U$2:$U$201,MATCH($A44,Objekte!$Z$2:$Z$201,0)),"")</f>
        <v/>
      </c>
      <c r="O44">
        <f>IFERROR(INDEX(Objekte!$AF$2:$AF$201,MATCH($A44,Objekte!$Z$2:$Z$201,0)),"")</f>
        <v/>
      </c>
      <c r="P44">
        <f>IFERROR(INDEX(Objekte!$C$2:$C$201,MATCH($A44,Objekte!$Z$2:$Z$201,0)),"")</f>
        <v/>
      </c>
      <c r="Q44">
        <f>IFERROR(INDEX(Objekte!$AD$2:$AD$201,MATCH($A44,Objekte!$Z$2:$Z$201,0)),"")</f>
        <v/>
      </c>
      <c r="R44">
        <f>IFERROR(INDEX(Objekte!$AB$2:$AB$201,MATCH($A44,Objekte!$Z$2:$Z$201,0)),"")</f>
        <v/>
      </c>
    </row>
    <row r="45">
      <c r="A45" t="n">
        <v>42</v>
      </c>
      <c r="B45">
        <f>IFERROR(INDEX(Objekte!$B$2:$B$201,MATCH($A45,Objekte!$Z$2:$Z$201,0)),"")</f>
        <v/>
      </c>
      <c r="C45">
        <f>IFERROR(INDEX(Objekte!$X$2:$X$201,MATCH($A45,Objekte!$Z$2:$Z$201,0)),"")</f>
        <v/>
      </c>
      <c r="D45">
        <f>IFERROR(INDEX(Objekte!$W$2:$W$201,MATCH($A45,Objekte!$Z$2:$Z$201,0)),"")</f>
        <v/>
      </c>
      <c r="E45">
        <f>IFERROR(INDEX(Objekte!$L$2:$L$201,MATCH($A45,Objekte!$Z$2:$Z$201,0)),"")</f>
        <v/>
      </c>
      <c r="F45">
        <f>IFERROR(INDEX(Objekte!$N$2:$N$201,MATCH($A45,Objekte!$Z$2:$Z$201,0)),"")</f>
        <v/>
      </c>
      <c r="G45">
        <f>IFERROR(INDEX(Objekte!$P$2:$P$201,MATCH($A45,Objekte!$Z$2:$Z$201,0)),"")</f>
        <v/>
      </c>
      <c r="H45">
        <f>IFERROR(INDEX(Objekte!$E$2:$E$201,MATCH($A45,Objekte!$Z$2:$Z$201,0)),"")</f>
        <v/>
      </c>
      <c r="I45">
        <f>IFERROR(INDEX(Objekte!$G$2:$G$201,MATCH($A45,Objekte!$Z$2:$Z$201,0)),"")</f>
        <v/>
      </c>
      <c r="J45">
        <f>IFERROR(INDEX(Objekte!$I$2:$I$201,MATCH($A45,Objekte!$Z$2:$Z$201,0)),"")</f>
        <v/>
      </c>
      <c r="K45">
        <f>IFERROR(INDEX(Objekte!$Q$2:$Q$201,MATCH($A45,Objekte!$Z$2:$Z$201,0)),"")</f>
        <v/>
      </c>
      <c r="L45">
        <f>IFERROR(INDEX(Objekte!$V$2:$V$201,MATCH($A45,Objekte!$Z$2:$Z$201,0)),"")</f>
        <v/>
      </c>
      <c r="M45">
        <f>IFERROR(INDEX(Objekte!$D$2:$D$201,MATCH($A45,Objekte!$Z$2:$Z$201,0)),"")</f>
        <v/>
      </c>
      <c r="N45">
        <f>IFERROR(INDEX(Objekte!$U$2:$U$201,MATCH($A45,Objekte!$Z$2:$Z$201,0)),"")</f>
        <v/>
      </c>
      <c r="O45">
        <f>IFERROR(INDEX(Objekte!$AF$2:$AF$201,MATCH($A45,Objekte!$Z$2:$Z$201,0)),"")</f>
        <v/>
      </c>
      <c r="P45">
        <f>IFERROR(INDEX(Objekte!$C$2:$C$201,MATCH($A45,Objekte!$Z$2:$Z$201,0)),"")</f>
        <v/>
      </c>
      <c r="Q45">
        <f>IFERROR(INDEX(Objekte!$AD$2:$AD$201,MATCH($A45,Objekte!$Z$2:$Z$201,0)),"")</f>
        <v/>
      </c>
      <c r="R45">
        <f>IFERROR(INDEX(Objekte!$AB$2:$AB$201,MATCH($A45,Objekte!$Z$2:$Z$201,0)),"")</f>
        <v/>
      </c>
    </row>
    <row r="46">
      <c r="A46" t="n">
        <v>43</v>
      </c>
      <c r="B46">
        <f>IFERROR(INDEX(Objekte!$B$2:$B$201,MATCH($A46,Objekte!$Z$2:$Z$201,0)),"")</f>
        <v/>
      </c>
      <c r="C46">
        <f>IFERROR(INDEX(Objekte!$X$2:$X$201,MATCH($A46,Objekte!$Z$2:$Z$201,0)),"")</f>
        <v/>
      </c>
      <c r="D46">
        <f>IFERROR(INDEX(Objekte!$W$2:$W$201,MATCH($A46,Objekte!$Z$2:$Z$201,0)),"")</f>
        <v/>
      </c>
      <c r="E46">
        <f>IFERROR(INDEX(Objekte!$L$2:$L$201,MATCH($A46,Objekte!$Z$2:$Z$201,0)),"")</f>
        <v/>
      </c>
      <c r="F46">
        <f>IFERROR(INDEX(Objekte!$N$2:$N$201,MATCH($A46,Objekte!$Z$2:$Z$201,0)),"")</f>
        <v/>
      </c>
      <c r="G46">
        <f>IFERROR(INDEX(Objekte!$P$2:$P$201,MATCH($A46,Objekte!$Z$2:$Z$201,0)),"")</f>
        <v/>
      </c>
      <c r="H46">
        <f>IFERROR(INDEX(Objekte!$E$2:$E$201,MATCH($A46,Objekte!$Z$2:$Z$201,0)),"")</f>
        <v/>
      </c>
      <c r="I46">
        <f>IFERROR(INDEX(Objekte!$G$2:$G$201,MATCH($A46,Objekte!$Z$2:$Z$201,0)),"")</f>
        <v/>
      </c>
      <c r="J46">
        <f>IFERROR(INDEX(Objekte!$I$2:$I$201,MATCH($A46,Objekte!$Z$2:$Z$201,0)),"")</f>
        <v/>
      </c>
      <c r="K46">
        <f>IFERROR(INDEX(Objekte!$Q$2:$Q$201,MATCH($A46,Objekte!$Z$2:$Z$201,0)),"")</f>
        <v/>
      </c>
      <c r="L46">
        <f>IFERROR(INDEX(Objekte!$V$2:$V$201,MATCH($A46,Objekte!$Z$2:$Z$201,0)),"")</f>
        <v/>
      </c>
      <c r="M46">
        <f>IFERROR(INDEX(Objekte!$D$2:$D$201,MATCH($A46,Objekte!$Z$2:$Z$201,0)),"")</f>
        <v/>
      </c>
      <c r="N46">
        <f>IFERROR(INDEX(Objekte!$U$2:$U$201,MATCH($A46,Objekte!$Z$2:$Z$201,0)),"")</f>
        <v/>
      </c>
      <c r="O46">
        <f>IFERROR(INDEX(Objekte!$AF$2:$AF$201,MATCH($A46,Objekte!$Z$2:$Z$201,0)),"")</f>
        <v/>
      </c>
      <c r="P46">
        <f>IFERROR(INDEX(Objekte!$C$2:$C$201,MATCH($A46,Objekte!$Z$2:$Z$201,0)),"")</f>
        <v/>
      </c>
      <c r="Q46">
        <f>IFERROR(INDEX(Objekte!$AD$2:$AD$201,MATCH($A46,Objekte!$Z$2:$Z$201,0)),"")</f>
        <v/>
      </c>
      <c r="R46">
        <f>IFERROR(INDEX(Objekte!$AB$2:$AB$201,MATCH($A46,Objekte!$Z$2:$Z$201,0)),"")</f>
        <v/>
      </c>
    </row>
    <row r="47">
      <c r="A47" t="n">
        <v>44</v>
      </c>
      <c r="B47">
        <f>IFERROR(INDEX(Objekte!$B$2:$B$201,MATCH($A47,Objekte!$Z$2:$Z$201,0)),"")</f>
        <v/>
      </c>
      <c r="C47">
        <f>IFERROR(INDEX(Objekte!$X$2:$X$201,MATCH($A47,Objekte!$Z$2:$Z$201,0)),"")</f>
        <v/>
      </c>
      <c r="D47">
        <f>IFERROR(INDEX(Objekte!$W$2:$W$201,MATCH($A47,Objekte!$Z$2:$Z$201,0)),"")</f>
        <v/>
      </c>
      <c r="E47">
        <f>IFERROR(INDEX(Objekte!$L$2:$L$201,MATCH($A47,Objekte!$Z$2:$Z$201,0)),"")</f>
        <v/>
      </c>
      <c r="F47">
        <f>IFERROR(INDEX(Objekte!$N$2:$N$201,MATCH($A47,Objekte!$Z$2:$Z$201,0)),"")</f>
        <v/>
      </c>
      <c r="G47">
        <f>IFERROR(INDEX(Objekte!$P$2:$P$201,MATCH($A47,Objekte!$Z$2:$Z$201,0)),"")</f>
        <v/>
      </c>
      <c r="H47">
        <f>IFERROR(INDEX(Objekte!$E$2:$E$201,MATCH($A47,Objekte!$Z$2:$Z$201,0)),"")</f>
        <v/>
      </c>
      <c r="I47">
        <f>IFERROR(INDEX(Objekte!$G$2:$G$201,MATCH($A47,Objekte!$Z$2:$Z$201,0)),"")</f>
        <v/>
      </c>
      <c r="J47">
        <f>IFERROR(INDEX(Objekte!$I$2:$I$201,MATCH($A47,Objekte!$Z$2:$Z$201,0)),"")</f>
        <v/>
      </c>
      <c r="K47">
        <f>IFERROR(INDEX(Objekte!$Q$2:$Q$201,MATCH($A47,Objekte!$Z$2:$Z$201,0)),"")</f>
        <v/>
      </c>
      <c r="L47">
        <f>IFERROR(INDEX(Objekte!$V$2:$V$201,MATCH($A47,Objekte!$Z$2:$Z$201,0)),"")</f>
        <v/>
      </c>
      <c r="M47">
        <f>IFERROR(INDEX(Objekte!$D$2:$D$201,MATCH($A47,Objekte!$Z$2:$Z$201,0)),"")</f>
        <v/>
      </c>
      <c r="N47">
        <f>IFERROR(INDEX(Objekte!$U$2:$U$201,MATCH($A47,Objekte!$Z$2:$Z$201,0)),"")</f>
        <v/>
      </c>
      <c r="O47">
        <f>IFERROR(INDEX(Objekte!$AF$2:$AF$201,MATCH($A47,Objekte!$Z$2:$Z$201,0)),"")</f>
        <v/>
      </c>
      <c r="P47">
        <f>IFERROR(INDEX(Objekte!$C$2:$C$201,MATCH($A47,Objekte!$Z$2:$Z$201,0)),"")</f>
        <v/>
      </c>
      <c r="Q47">
        <f>IFERROR(INDEX(Objekte!$AD$2:$AD$201,MATCH($A47,Objekte!$Z$2:$Z$201,0)),"")</f>
        <v/>
      </c>
      <c r="R47">
        <f>IFERROR(INDEX(Objekte!$AB$2:$AB$201,MATCH($A47,Objekte!$Z$2:$Z$201,0)),"")</f>
        <v/>
      </c>
    </row>
    <row r="48">
      <c r="A48" t="n">
        <v>45</v>
      </c>
      <c r="B48">
        <f>IFERROR(INDEX(Objekte!$B$2:$B$201,MATCH($A48,Objekte!$Z$2:$Z$201,0)),"")</f>
        <v/>
      </c>
      <c r="C48">
        <f>IFERROR(INDEX(Objekte!$X$2:$X$201,MATCH($A48,Objekte!$Z$2:$Z$201,0)),"")</f>
        <v/>
      </c>
      <c r="D48">
        <f>IFERROR(INDEX(Objekte!$W$2:$W$201,MATCH($A48,Objekte!$Z$2:$Z$201,0)),"")</f>
        <v/>
      </c>
      <c r="E48">
        <f>IFERROR(INDEX(Objekte!$L$2:$L$201,MATCH($A48,Objekte!$Z$2:$Z$201,0)),"")</f>
        <v/>
      </c>
      <c r="F48">
        <f>IFERROR(INDEX(Objekte!$N$2:$N$201,MATCH($A48,Objekte!$Z$2:$Z$201,0)),"")</f>
        <v/>
      </c>
      <c r="G48">
        <f>IFERROR(INDEX(Objekte!$P$2:$P$201,MATCH($A48,Objekte!$Z$2:$Z$201,0)),"")</f>
        <v/>
      </c>
      <c r="H48">
        <f>IFERROR(INDEX(Objekte!$E$2:$E$201,MATCH($A48,Objekte!$Z$2:$Z$201,0)),"")</f>
        <v/>
      </c>
      <c r="I48">
        <f>IFERROR(INDEX(Objekte!$G$2:$G$201,MATCH($A48,Objekte!$Z$2:$Z$201,0)),"")</f>
        <v/>
      </c>
      <c r="J48">
        <f>IFERROR(INDEX(Objekte!$I$2:$I$201,MATCH($A48,Objekte!$Z$2:$Z$201,0)),"")</f>
        <v/>
      </c>
      <c r="K48">
        <f>IFERROR(INDEX(Objekte!$Q$2:$Q$201,MATCH($A48,Objekte!$Z$2:$Z$201,0)),"")</f>
        <v/>
      </c>
      <c r="L48">
        <f>IFERROR(INDEX(Objekte!$V$2:$V$201,MATCH($A48,Objekte!$Z$2:$Z$201,0)),"")</f>
        <v/>
      </c>
      <c r="M48">
        <f>IFERROR(INDEX(Objekte!$D$2:$D$201,MATCH($A48,Objekte!$Z$2:$Z$201,0)),"")</f>
        <v/>
      </c>
      <c r="N48">
        <f>IFERROR(INDEX(Objekte!$U$2:$U$201,MATCH($A48,Objekte!$Z$2:$Z$201,0)),"")</f>
        <v/>
      </c>
      <c r="O48">
        <f>IFERROR(INDEX(Objekte!$AF$2:$AF$201,MATCH($A48,Objekte!$Z$2:$Z$201,0)),"")</f>
        <v/>
      </c>
      <c r="P48">
        <f>IFERROR(INDEX(Objekte!$C$2:$C$201,MATCH($A48,Objekte!$Z$2:$Z$201,0)),"")</f>
        <v/>
      </c>
      <c r="Q48">
        <f>IFERROR(INDEX(Objekte!$AD$2:$AD$201,MATCH($A48,Objekte!$Z$2:$Z$201,0)),"")</f>
        <v/>
      </c>
      <c r="R48">
        <f>IFERROR(INDEX(Objekte!$AB$2:$AB$201,MATCH($A48,Objekte!$Z$2:$Z$201,0)),"")</f>
        <v/>
      </c>
    </row>
    <row r="49">
      <c r="A49" t="n">
        <v>46</v>
      </c>
      <c r="B49">
        <f>IFERROR(INDEX(Objekte!$B$2:$B$201,MATCH($A49,Objekte!$Z$2:$Z$201,0)),"")</f>
        <v/>
      </c>
      <c r="C49">
        <f>IFERROR(INDEX(Objekte!$X$2:$X$201,MATCH($A49,Objekte!$Z$2:$Z$201,0)),"")</f>
        <v/>
      </c>
      <c r="D49">
        <f>IFERROR(INDEX(Objekte!$W$2:$W$201,MATCH($A49,Objekte!$Z$2:$Z$201,0)),"")</f>
        <v/>
      </c>
      <c r="E49">
        <f>IFERROR(INDEX(Objekte!$L$2:$L$201,MATCH($A49,Objekte!$Z$2:$Z$201,0)),"")</f>
        <v/>
      </c>
      <c r="F49">
        <f>IFERROR(INDEX(Objekte!$N$2:$N$201,MATCH($A49,Objekte!$Z$2:$Z$201,0)),"")</f>
        <v/>
      </c>
      <c r="G49">
        <f>IFERROR(INDEX(Objekte!$P$2:$P$201,MATCH($A49,Objekte!$Z$2:$Z$201,0)),"")</f>
        <v/>
      </c>
      <c r="H49">
        <f>IFERROR(INDEX(Objekte!$E$2:$E$201,MATCH($A49,Objekte!$Z$2:$Z$201,0)),"")</f>
        <v/>
      </c>
      <c r="I49">
        <f>IFERROR(INDEX(Objekte!$G$2:$G$201,MATCH($A49,Objekte!$Z$2:$Z$201,0)),"")</f>
        <v/>
      </c>
      <c r="J49">
        <f>IFERROR(INDEX(Objekte!$I$2:$I$201,MATCH($A49,Objekte!$Z$2:$Z$201,0)),"")</f>
        <v/>
      </c>
      <c r="K49">
        <f>IFERROR(INDEX(Objekte!$Q$2:$Q$201,MATCH($A49,Objekte!$Z$2:$Z$201,0)),"")</f>
        <v/>
      </c>
      <c r="L49">
        <f>IFERROR(INDEX(Objekte!$V$2:$V$201,MATCH($A49,Objekte!$Z$2:$Z$201,0)),"")</f>
        <v/>
      </c>
      <c r="M49">
        <f>IFERROR(INDEX(Objekte!$D$2:$D$201,MATCH($A49,Objekte!$Z$2:$Z$201,0)),"")</f>
        <v/>
      </c>
      <c r="N49">
        <f>IFERROR(INDEX(Objekte!$U$2:$U$201,MATCH($A49,Objekte!$Z$2:$Z$201,0)),"")</f>
        <v/>
      </c>
      <c r="O49">
        <f>IFERROR(INDEX(Objekte!$AF$2:$AF$201,MATCH($A49,Objekte!$Z$2:$Z$201,0)),"")</f>
        <v/>
      </c>
      <c r="P49">
        <f>IFERROR(INDEX(Objekte!$C$2:$C$201,MATCH($A49,Objekte!$Z$2:$Z$201,0)),"")</f>
        <v/>
      </c>
      <c r="Q49">
        <f>IFERROR(INDEX(Objekte!$AD$2:$AD$201,MATCH($A49,Objekte!$Z$2:$Z$201,0)),"")</f>
        <v/>
      </c>
      <c r="R49">
        <f>IFERROR(INDEX(Objekte!$AB$2:$AB$201,MATCH($A49,Objekte!$Z$2:$Z$201,0)),"")</f>
        <v/>
      </c>
    </row>
    <row r="50">
      <c r="A50" t="n">
        <v>47</v>
      </c>
      <c r="B50">
        <f>IFERROR(INDEX(Objekte!$B$2:$B$201,MATCH($A50,Objekte!$Z$2:$Z$201,0)),"")</f>
        <v/>
      </c>
      <c r="C50">
        <f>IFERROR(INDEX(Objekte!$X$2:$X$201,MATCH($A50,Objekte!$Z$2:$Z$201,0)),"")</f>
        <v/>
      </c>
      <c r="D50">
        <f>IFERROR(INDEX(Objekte!$W$2:$W$201,MATCH($A50,Objekte!$Z$2:$Z$201,0)),"")</f>
        <v/>
      </c>
      <c r="E50">
        <f>IFERROR(INDEX(Objekte!$L$2:$L$201,MATCH($A50,Objekte!$Z$2:$Z$201,0)),"")</f>
        <v/>
      </c>
      <c r="F50">
        <f>IFERROR(INDEX(Objekte!$N$2:$N$201,MATCH($A50,Objekte!$Z$2:$Z$201,0)),"")</f>
        <v/>
      </c>
      <c r="G50">
        <f>IFERROR(INDEX(Objekte!$P$2:$P$201,MATCH($A50,Objekte!$Z$2:$Z$201,0)),"")</f>
        <v/>
      </c>
      <c r="H50">
        <f>IFERROR(INDEX(Objekte!$E$2:$E$201,MATCH($A50,Objekte!$Z$2:$Z$201,0)),"")</f>
        <v/>
      </c>
      <c r="I50">
        <f>IFERROR(INDEX(Objekte!$G$2:$G$201,MATCH($A50,Objekte!$Z$2:$Z$201,0)),"")</f>
        <v/>
      </c>
      <c r="J50">
        <f>IFERROR(INDEX(Objekte!$I$2:$I$201,MATCH($A50,Objekte!$Z$2:$Z$201,0)),"")</f>
        <v/>
      </c>
      <c r="K50">
        <f>IFERROR(INDEX(Objekte!$Q$2:$Q$201,MATCH($A50,Objekte!$Z$2:$Z$201,0)),"")</f>
        <v/>
      </c>
      <c r="L50">
        <f>IFERROR(INDEX(Objekte!$V$2:$V$201,MATCH($A50,Objekte!$Z$2:$Z$201,0)),"")</f>
        <v/>
      </c>
      <c r="M50">
        <f>IFERROR(INDEX(Objekte!$D$2:$D$201,MATCH($A50,Objekte!$Z$2:$Z$201,0)),"")</f>
        <v/>
      </c>
      <c r="N50">
        <f>IFERROR(INDEX(Objekte!$U$2:$U$201,MATCH($A50,Objekte!$Z$2:$Z$201,0)),"")</f>
        <v/>
      </c>
      <c r="O50">
        <f>IFERROR(INDEX(Objekte!$AF$2:$AF$201,MATCH($A50,Objekte!$Z$2:$Z$201,0)),"")</f>
        <v/>
      </c>
      <c r="P50">
        <f>IFERROR(INDEX(Objekte!$C$2:$C$201,MATCH($A50,Objekte!$Z$2:$Z$201,0)),"")</f>
        <v/>
      </c>
      <c r="Q50">
        <f>IFERROR(INDEX(Objekte!$AD$2:$AD$201,MATCH($A50,Objekte!$Z$2:$Z$201,0)),"")</f>
        <v/>
      </c>
      <c r="R50">
        <f>IFERROR(INDEX(Objekte!$AB$2:$AB$201,MATCH($A50,Objekte!$Z$2:$Z$201,0)),"")</f>
        <v/>
      </c>
    </row>
    <row r="51">
      <c r="B51">
        <f>IFERROR(INDEX(Objekte!$B$2:$B$201,MATCH($A51,Objekte!$Z$2:$Z$201,0)),"")</f>
        <v/>
      </c>
      <c r="C51">
        <f>IFERROR(INDEX(Objekte!$X$2:$X$201,MATCH($A51,Objekte!$Z$2:$Z$201,0)),"")</f>
        <v/>
      </c>
      <c r="D51">
        <f>IFERROR(INDEX(Objekte!$W$2:$W$201,MATCH($A51,Objekte!$Z$2:$Z$201,0)),"")</f>
        <v/>
      </c>
      <c r="E51">
        <f>IFERROR(INDEX(Objekte!$L$2:$L$201,MATCH($A51,Objekte!$Z$2:$Z$201,0)),"")</f>
        <v/>
      </c>
      <c r="F51">
        <f>IFERROR(INDEX(Objekte!$N$2:$N$201,MATCH($A51,Objekte!$Z$2:$Z$201,0)),"")</f>
        <v/>
      </c>
      <c r="G51">
        <f>IFERROR(INDEX(Objekte!$P$2:$P$201,MATCH($A51,Objekte!$Z$2:$Z$201,0)),"")</f>
        <v/>
      </c>
      <c r="H51">
        <f>IFERROR(INDEX(Objekte!$E$2:$E$201,MATCH($A51,Objekte!$Z$2:$Z$201,0)),"")</f>
        <v/>
      </c>
      <c r="I51">
        <f>IFERROR(INDEX(Objekte!$G$2:$G$201,MATCH($A51,Objekte!$Z$2:$Z$201,0)),"")</f>
        <v/>
      </c>
      <c r="J51">
        <f>IFERROR(INDEX(Objekte!$I$2:$I$201,MATCH($A51,Objekte!$Z$2:$Z$201,0)),"")</f>
        <v/>
      </c>
      <c r="K51">
        <f>IFERROR(INDEX(Objekte!$Q$2:$Q$201,MATCH($A51,Objekte!$Z$2:$Z$201,0)),"")</f>
        <v/>
      </c>
      <c r="L51">
        <f>IFERROR(INDEX(Objekte!$V$2:$V$201,MATCH($A51,Objekte!$Z$2:$Z$201,0)),"")</f>
        <v/>
      </c>
      <c r="M51">
        <f>IFERROR(INDEX(Objekte!$D$2:$D$201,MATCH($A51,Objekte!$Z$2:$Z$201,0)),"")</f>
        <v/>
      </c>
      <c r="N51">
        <f>IFERROR(INDEX(Objekte!$U$2:$U$201,MATCH($A51,Objekte!$Z$2:$Z$201,0)),"")</f>
        <v/>
      </c>
      <c r="O51">
        <f>IFERROR(INDEX(Objekte!$AF$2:$AF$201,MATCH($A51,Objekte!$Z$2:$Z$201,0)),"")</f>
        <v/>
      </c>
      <c r="P51">
        <f>IFERROR(INDEX(Objekte!$C$2:$C$201,MATCH($A51,Objekte!$Z$2:$Z$201,0)),"")</f>
        <v/>
      </c>
      <c r="Q51">
        <f>IFERROR(INDEX(Objekte!$AD$2:$AD$201,MATCH($A51,Objekte!$Z$2:$Z$201,0)),"")</f>
        <v/>
      </c>
      <c r="R51">
        <f>IFERROR(INDEX(Objekte!$AB$2:$AB$201,MATCH($A51,Objekte!$Z$2:$Z$201,0)),"")</f>
        <v/>
      </c>
    </row>
    <row r="52">
      <c r="B52">
        <f>IFERROR(INDEX(Objekte!$B$2:$B$201,MATCH($A52,Objekte!$Z$2:$Z$201,0)),"")</f>
        <v/>
      </c>
      <c r="C52">
        <f>IFERROR(INDEX(Objekte!$X$2:$X$201,MATCH($A52,Objekte!$Z$2:$Z$201,0)),"")</f>
        <v/>
      </c>
      <c r="D52">
        <f>IFERROR(INDEX(Objekte!$W$2:$W$201,MATCH($A52,Objekte!$Z$2:$Z$201,0)),"")</f>
        <v/>
      </c>
      <c r="E52">
        <f>IFERROR(INDEX(Objekte!$L$2:$L$201,MATCH($A52,Objekte!$Z$2:$Z$201,0)),"")</f>
        <v/>
      </c>
      <c r="F52">
        <f>IFERROR(INDEX(Objekte!$N$2:$N$201,MATCH($A52,Objekte!$Z$2:$Z$201,0)),"")</f>
        <v/>
      </c>
      <c r="G52">
        <f>IFERROR(INDEX(Objekte!$P$2:$P$201,MATCH($A52,Objekte!$Z$2:$Z$201,0)),"")</f>
        <v/>
      </c>
      <c r="H52">
        <f>IFERROR(INDEX(Objekte!$E$2:$E$201,MATCH($A52,Objekte!$Z$2:$Z$201,0)),"")</f>
        <v/>
      </c>
      <c r="I52">
        <f>IFERROR(INDEX(Objekte!$G$2:$G$201,MATCH($A52,Objekte!$Z$2:$Z$201,0)),"")</f>
        <v/>
      </c>
      <c r="J52">
        <f>IFERROR(INDEX(Objekte!$I$2:$I$201,MATCH($A52,Objekte!$Z$2:$Z$201,0)),"")</f>
        <v/>
      </c>
      <c r="K52">
        <f>IFERROR(INDEX(Objekte!$Q$2:$Q$201,MATCH($A52,Objekte!$Z$2:$Z$201,0)),"")</f>
        <v/>
      </c>
      <c r="L52">
        <f>IFERROR(INDEX(Objekte!$V$2:$V$201,MATCH($A52,Objekte!$Z$2:$Z$201,0)),"")</f>
        <v/>
      </c>
      <c r="M52">
        <f>IFERROR(INDEX(Objekte!$D$2:$D$201,MATCH($A52,Objekte!$Z$2:$Z$201,0)),"")</f>
        <v/>
      </c>
      <c r="N52">
        <f>IFERROR(INDEX(Objekte!$U$2:$U$201,MATCH($A52,Objekte!$Z$2:$Z$201,0)),"")</f>
        <v/>
      </c>
      <c r="O52">
        <f>IFERROR(INDEX(Objekte!$AF$2:$AF$201,MATCH($A52,Objekte!$Z$2:$Z$201,0)),"")</f>
        <v/>
      </c>
      <c r="P52">
        <f>IFERROR(INDEX(Objekte!$C$2:$C$201,MATCH($A52,Objekte!$Z$2:$Z$201,0)),"")</f>
        <v/>
      </c>
      <c r="Q52">
        <f>IFERROR(INDEX(Objekte!$AD$2:$AD$201,MATCH($A52,Objekte!$Z$2:$Z$201,0)),"")</f>
        <v/>
      </c>
      <c r="R52">
        <f>IFERROR(INDEX(Objekte!$AB$2:$AB$201,MATCH($A52,Objekte!$Z$2:$Z$201,0)),"")</f>
        <v/>
      </c>
    </row>
    <row r="53">
      <c r="B53">
        <f>IFERROR(INDEX(Objekte!$B$2:$B$201,MATCH($A53,Objekte!$Z$2:$Z$201,0)),"")</f>
        <v/>
      </c>
      <c r="C53">
        <f>IFERROR(INDEX(Objekte!$X$2:$X$201,MATCH($A53,Objekte!$Z$2:$Z$201,0)),"")</f>
        <v/>
      </c>
      <c r="D53">
        <f>IFERROR(INDEX(Objekte!$W$2:$W$201,MATCH($A53,Objekte!$Z$2:$Z$201,0)),"")</f>
        <v/>
      </c>
      <c r="E53">
        <f>IFERROR(INDEX(Objekte!$L$2:$L$201,MATCH($A53,Objekte!$Z$2:$Z$201,0)),"")</f>
        <v/>
      </c>
      <c r="F53">
        <f>IFERROR(INDEX(Objekte!$N$2:$N$201,MATCH($A53,Objekte!$Z$2:$Z$201,0)),"")</f>
        <v/>
      </c>
      <c r="G53">
        <f>IFERROR(INDEX(Objekte!$P$2:$P$201,MATCH($A53,Objekte!$Z$2:$Z$201,0)),"")</f>
        <v/>
      </c>
      <c r="H53">
        <f>IFERROR(INDEX(Objekte!$E$2:$E$201,MATCH($A53,Objekte!$Z$2:$Z$201,0)),"")</f>
        <v/>
      </c>
      <c r="I53">
        <f>IFERROR(INDEX(Objekte!$G$2:$G$201,MATCH($A53,Objekte!$Z$2:$Z$201,0)),"")</f>
        <v/>
      </c>
      <c r="J53">
        <f>IFERROR(INDEX(Objekte!$I$2:$I$201,MATCH($A53,Objekte!$Z$2:$Z$201,0)),"")</f>
        <v/>
      </c>
      <c r="K53">
        <f>IFERROR(INDEX(Objekte!$Q$2:$Q$201,MATCH($A53,Objekte!$Z$2:$Z$201,0)),"")</f>
        <v/>
      </c>
      <c r="L53">
        <f>IFERROR(INDEX(Objekte!$V$2:$V$201,MATCH($A53,Objekte!$Z$2:$Z$201,0)),"")</f>
        <v/>
      </c>
      <c r="M53">
        <f>IFERROR(INDEX(Objekte!$D$2:$D$201,MATCH($A53,Objekte!$Z$2:$Z$201,0)),"")</f>
        <v/>
      </c>
      <c r="N53">
        <f>IFERROR(INDEX(Objekte!$U$2:$U$201,MATCH($A53,Objekte!$Z$2:$Z$201,0)),"")</f>
        <v/>
      </c>
      <c r="O53">
        <f>IFERROR(INDEX(Objekte!$AF$2:$AF$201,MATCH($A53,Objekte!$Z$2:$Z$201,0)),"")</f>
        <v/>
      </c>
      <c r="P53">
        <f>IFERROR(INDEX(Objekte!$C$2:$C$201,MATCH($A53,Objekte!$Z$2:$Z$201,0)),"")</f>
        <v/>
      </c>
      <c r="Q53">
        <f>IFERROR(INDEX(Objekte!$AD$2:$AD$201,MATCH($A53,Objekte!$Z$2:$Z$201,0)),"")</f>
        <v/>
      </c>
      <c r="R53">
        <f>IFERROR(INDEX(Objekte!$AB$2:$AB$201,MATCH($A53,Objekte!$Z$2:$Z$201,0)),"")</f>
        <v/>
      </c>
    </row>
    <row r="54">
      <c r="Q54">
        <f>IFERROR(INDEX(Objekte!$AD$2:$AD$201,MATCH($A54,Objekte!$Z$2:$Z$201,0)),"")</f>
        <v/>
      </c>
      <c r="R54">
        <f>IFERROR(INDEX(Objekte!$AB$2:$AB$201,MATCH($A54,Objekte!$Z$2:$Z$201,0)),"")</f>
        <v/>
      </c>
    </row>
    <row r="55">
      <c r="Q55">
        <f>IFERROR(INDEX(Objekte!$AD$2:$AD$201,MATCH($A55,Objekte!$Z$2:$Z$201,0)),"")</f>
        <v/>
      </c>
      <c r="R55">
        <f>IFERROR(INDEX(Objekte!$AB$2:$AB$201,MATCH($A55,Objekte!$Z$2:$Z$201,0)),"")</f>
        <v/>
      </c>
    </row>
    <row r="56">
      <c r="Q56">
        <f>IFERROR(INDEX(Objekte!$AD$2:$AD$201,MATCH($A56,Objekte!$Z$2:$Z$201,0)),"")</f>
        <v/>
      </c>
      <c r="R56">
        <f>IFERROR(INDEX(Objekte!$AB$2:$AB$201,MATCH($A56,Objekte!$Z$2:$Z$201,0)),"")</f>
        <v/>
      </c>
    </row>
    <row r="57">
      <c r="Q57">
        <f>IFERROR(INDEX(Objekte!$AD$2:$AD$201,MATCH($A57,Objekte!$Z$2:$Z$201,0)),"")</f>
        <v/>
      </c>
      <c r="R57">
        <f>IFERROR(INDEX(Objekte!$AB$2:$AB$201,MATCH($A57,Objekte!$Z$2:$Z$201,0)),"")</f>
        <v/>
      </c>
    </row>
    <row r="58">
      <c r="Q58">
        <f>IFERROR(INDEX(Objekte!$AD$2:$AD$201,MATCH($A58,Objekte!$Z$2:$Z$201,0)),"")</f>
        <v/>
      </c>
      <c r="R58">
        <f>IFERROR(INDEX(Objekte!$AB$2:$AB$201,MATCH($A58,Objekte!$Z$2:$Z$201,0)),"")</f>
        <v/>
      </c>
    </row>
    <row r="59">
      <c r="Q59">
        <f>IFERROR(INDEX(Objekte!$AD$2:$AD$201,MATCH($A59,Objekte!$Z$2:$Z$201,0)),"")</f>
        <v/>
      </c>
      <c r="R59">
        <f>IFERROR(INDEX(Objekte!$AB$2:$AB$201,MATCH($A59,Objekte!$Z$2:$Z$201,0)),"")</f>
        <v/>
      </c>
    </row>
    <row r="60">
      <c r="Q60">
        <f>IFERROR(INDEX(Objekte!$AD$2:$AD$201,MATCH($A60,Objekte!$Z$2:$Z$201,0)),"")</f>
        <v/>
      </c>
      <c r="R60">
        <f>IFERROR(INDEX(Objekte!$AB$2:$AB$201,MATCH($A60,Objekte!$Z$2:$Z$201,0)),"")</f>
        <v/>
      </c>
    </row>
    <row r="61">
      <c r="Q61">
        <f>IFERROR(INDEX(Objekte!$AD$2:$AD$201,MATCH($A61,Objekte!$Z$2:$Z$201,0)),"")</f>
        <v/>
      </c>
      <c r="R61">
        <f>IFERROR(INDEX(Objekte!$AB$2:$AB$201,MATCH($A61,Objekte!$Z$2:$Z$201,0)),"")</f>
        <v/>
      </c>
    </row>
    <row r="62">
      <c r="Q62">
        <f>IFERROR(INDEX(Objekte!$AD$2:$AD$201,MATCH($A62,Objekte!$Z$2:$Z$201,0)),"")</f>
        <v/>
      </c>
      <c r="R62">
        <f>IFERROR(INDEX(Objekte!$AB$2:$AB$201,MATCH($A62,Objekte!$Z$2:$Z$201,0)),"")</f>
        <v/>
      </c>
    </row>
    <row r="63">
      <c r="Q63">
        <f>IFERROR(INDEX(Objekte!$AD$2:$AD$201,MATCH($A63,Objekte!$Z$2:$Z$201,0)),"")</f>
        <v/>
      </c>
      <c r="R63">
        <f>IFERROR(INDEX(Objekte!$AB$2:$AB$201,MATCH($A63,Objekte!$Z$2:$Z$201,0)),"")</f>
        <v/>
      </c>
    </row>
    <row r="64">
      <c r="Q64">
        <f>IFERROR(INDEX(Objekte!$AD$2:$AD$201,MATCH($A64,Objekte!$Z$2:$Z$201,0)),"")</f>
        <v/>
      </c>
      <c r="R64">
        <f>IFERROR(INDEX(Objekte!$AB$2:$AB$201,MATCH($A64,Objekte!$Z$2:$Z$201,0)),"")</f>
        <v/>
      </c>
    </row>
    <row r="65">
      <c r="Q65">
        <f>IFERROR(INDEX(Objekte!$AD$2:$AD$201,MATCH($A65,Objekte!$Z$2:$Z$201,0)),"")</f>
        <v/>
      </c>
      <c r="R65">
        <f>IFERROR(INDEX(Objekte!$AB$2:$AB$201,MATCH($A65,Objekte!$Z$2:$Z$201,0)),"")</f>
        <v/>
      </c>
    </row>
    <row r="66">
      <c r="Q66">
        <f>IFERROR(INDEX(Objekte!$AD$2:$AD$201,MATCH($A66,Objekte!$Z$2:$Z$201,0)),"")</f>
        <v/>
      </c>
      <c r="R66">
        <f>IFERROR(INDEX(Objekte!$AB$2:$AB$201,MATCH($A66,Objekte!$Z$2:$Z$201,0)),"")</f>
        <v/>
      </c>
    </row>
    <row r="67">
      <c r="Q67">
        <f>IFERROR(INDEX(Objekte!$AD$2:$AD$201,MATCH($A67,Objekte!$Z$2:$Z$201,0)),"")</f>
        <v/>
      </c>
      <c r="R67">
        <f>IFERROR(INDEX(Objekte!$AB$2:$AB$201,MATCH($A67,Objekte!$Z$2:$Z$201,0)),"")</f>
        <v/>
      </c>
    </row>
    <row r="68">
      <c r="Q68">
        <f>IFERROR(INDEX(Objekte!$AD$2:$AD$201,MATCH($A68,Objekte!$Z$2:$Z$201,0)),"")</f>
        <v/>
      </c>
      <c r="R68">
        <f>IFERROR(INDEX(Objekte!$AB$2:$AB$201,MATCH($A68,Objekte!$Z$2:$Z$201,0)),"")</f>
        <v/>
      </c>
    </row>
    <row r="69">
      <c r="Q69">
        <f>IFERROR(INDEX(Objekte!$AD$2:$AD$201,MATCH($A69,Objekte!$Z$2:$Z$201,0)),"")</f>
        <v/>
      </c>
      <c r="R69">
        <f>IFERROR(INDEX(Objekte!$AB$2:$AB$201,MATCH($A69,Objekte!$Z$2:$Z$201,0)),"")</f>
        <v/>
      </c>
    </row>
    <row r="70">
      <c r="Q70">
        <f>IFERROR(INDEX(Objekte!$AD$2:$AD$201,MATCH($A70,Objekte!$Z$2:$Z$201,0)),"")</f>
        <v/>
      </c>
      <c r="R70">
        <f>IFERROR(INDEX(Objekte!$AB$2:$AB$201,MATCH($A70,Objekte!$Z$2:$Z$201,0)),"")</f>
        <v/>
      </c>
    </row>
    <row r="71">
      <c r="Q71">
        <f>IFERROR(INDEX(Objekte!$AD$2:$AD$201,MATCH($A71,Objekte!$Z$2:$Z$201,0)),"")</f>
        <v/>
      </c>
      <c r="R71">
        <f>IFERROR(INDEX(Objekte!$AB$2:$AB$201,MATCH($A71,Objekte!$Z$2:$Z$201,0)),"")</f>
        <v/>
      </c>
    </row>
    <row r="72">
      <c r="Q72">
        <f>IFERROR(INDEX(Objekte!$AD$2:$AD$201,MATCH($A72,Objekte!$Z$2:$Z$201,0)),"")</f>
        <v/>
      </c>
      <c r="R72">
        <f>IFERROR(INDEX(Objekte!$AB$2:$AB$201,MATCH($A72,Objekte!$Z$2:$Z$201,0)),"")</f>
        <v/>
      </c>
    </row>
    <row r="73">
      <c r="Q73">
        <f>IFERROR(INDEX(Objekte!$AD$2:$AD$201,MATCH($A73,Objekte!$Z$2:$Z$201,0)),"")</f>
        <v/>
      </c>
      <c r="R73">
        <f>IFERROR(INDEX(Objekte!$AB$2:$AB$201,MATCH($A73,Objekte!$Z$2:$Z$201,0)),"")</f>
        <v/>
      </c>
    </row>
    <row r="74">
      <c r="Q74">
        <f>IFERROR(INDEX(Objekte!$AD$2:$AD$201,MATCH($A74,Objekte!$Z$2:$Z$201,0)),"")</f>
        <v/>
      </c>
      <c r="R74">
        <f>IFERROR(INDEX(Objekte!$AB$2:$AB$201,MATCH($A74,Objekte!$Z$2:$Z$201,0)),"")</f>
        <v/>
      </c>
    </row>
    <row r="75">
      <c r="Q75">
        <f>IFERROR(INDEX(Objekte!$AD$2:$AD$201,MATCH($A75,Objekte!$Z$2:$Z$201,0)),"")</f>
        <v/>
      </c>
      <c r="R75">
        <f>IFERROR(INDEX(Objekte!$AB$2:$AB$201,MATCH($A75,Objekte!$Z$2:$Z$201,0)),"")</f>
        <v/>
      </c>
    </row>
    <row r="76">
      <c r="Q76">
        <f>IFERROR(INDEX(Objekte!$AD$2:$AD$201,MATCH($A76,Objekte!$Z$2:$Z$201,0)),"")</f>
        <v/>
      </c>
      <c r="R76">
        <f>IFERROR(INDEX(Objekte!$AB$2:$AB$201,MATCH($A76,Objekte!$Z$2:$Z$201,0)),"")</f>
        <v/>
      </c>
    </row>
    <row r="77">
      <c r="Q77">
        <f>IFERROR(INDEX(Objekte!$AD$2:$AD$201,MATCH($A77,Objekte!$Z$2:$Z$201,0)),"")</f>
        <v/>
      </c>
      <c r="R77">
        <f>IFERROR(INDEX(Objekte!$AB$2:$AB$201,MATCH($A77,Objekte!$Z$2:$Z$201,0)),"")</f>
        <v/>
      </c>
    </row>
    <row r="78">
      <c r="Q78">
        <f>IFERROR(INDEX(Objekte!$AD$2:$AD$201,MATCH($A78,Objekte!$Z$2:$Z$201,0)),"")</f>
        <v/>
      </c>
      <c r="R78">
        <f>IFERROR(INDEX(Objekte!$AB$2:$AB$201,MATCH($A78,Objekte!$Z$2:$Z$201,0)),"")</f>
        <v/>
      </c>
    </row>
    <row r="79">
      <c r="Q79">
        <f>IFERROR(INDEX(Objekte!$AD$2:$AD$201,MATCH($A79,Objekte!$Z$2:$Z$201,0)),"")</f>
        <v/>
      </c>
      <c r="R79">
        <f>IFERROR(INDEX(Objekte!$AB$2:$AB$201,MATCH($A79,Objekte!$Z$2:$Z$201,0)),"")</f>
        <v/>
      </c>
    </row>
    <row r="80">
      <c r="Q80">
        <f>IFERROR(INDEX(Objekte!$AD$2:$AD$201,MATCH($A80,Objekte!$Z$2:$Z$201,0)),"")</f>
        <v/>
      </c>
      <c r="R80">
        <f>IFERROR(INDEX(Objekte!$AB$2:$AB$201,MATCH($A80,Objekte!$Z$2:$Z$201,0)),"")</f>
        <v/>
      </c>
    </row>
    <row r="81">
      <c r="Q81">
        <f>IFERROR(INDEX(Objekte!$AD$2:$AD$201,MATCH($A81,Objekte!$Z$2:$Z$201,0)),"")</f>
        <v/>
      </c>
      <c r="R81">
        <f>IFERROR(INDEX(Objekte!$AB$2:$AB$201,MATCH($A81,Objekte!$Z$2:$Z$201,0)),"")</f>
        <v/>
      </c>
    </row>
    <row r="82">
      <c r="Q82">
        <f>IFERROR(INDEX(Objekte!$AD$2:$AD$201,MATCH($A82,Objekte!$Z$2:$Z$201,0)),"")</f>
        <v/>
      </c>
      <c r="R82">
        <f>IFERROR(INDEX(Objekte!$AB$2:$AB$201,MATCH($A82,Objekte!$Z$2:$Z$201,0)),"")</f>
        <v/>
      </c>
    </row>
    <row r="83">
      <c r="Q83">
        <f>IFERROR(INDEX(Objekte!$AD$2:$AD$201,MATCH($A83,Objekte!$Z$2:$Z$201,0)),"")</f>
        <v/>
      </c>
      <c r="R83">
        <f>IFERROR(INDEX(Objekte!$AB$2:$AB$201,MATCH($A83,Objekte!$Z$2:$Z$201,0)),"")</f>
        <v/>
      </c>
    </row>
    <row r="84">
      <c r="Q84">
        <f>IFERROR(INDEX(Objekte!$AD$2:$AD$201,MATCH($A84,Objekte!$Z$2:$Z$201,0)),"")</f>
        <v/>
      </c>
      <c r="R84">
        <f>IFERROR(INDEX(Objekte!$AB$2:$AB$201,MATCH($A84,Objekte!$Z$2:$Z$201,0)),"")</f>
        <v/>
      </c>
    </row>
    <row r="85">
      <c r="Q85">
        <f>IFERROR(INDEX(Objekte!$AD$2:$AD$201,MATCH($A85,Objekte!$Z$2:$Z$201,0)),"")</f>
        <v/>
      </c>
      <c r="R85">
        <f>IFERROR(INDEX(Objekte!$AB$2:$AB$201,MATCH($A85,Objekte!$Z$2:$Z$201,0)),"")</f>
        <v/>
      </c>
    </row>
    <row r="86">
      <c r="Q86">
        <f>IFERROR(INDEX(Objekte!$AD$2:$AD$201,MATCH($A86,Objekte!$Z$2:$Z$201,0)),"")</f>
        <v/>
      </c>
      <c r="R86">
        <f>IFERROR(INDEX(Objekte!$AB$2:$AB$201,MATCH($A86,Objekte!$Z$2:$Z$201,0)),"")</f>
        <v/>
      </c>
    </row>
    <row r="87">
      <c r="Q87">
        <f>IFERROR(INDEX(Objekte!$AD$2:$AD$201,MATCH($A87,Objekte!$Z$2:$Z$201,0)),"")</f>
        <v/>
      </c>
      <c r="R87">
        <f>IFERROR(INDEX(Objekte!$AB$2:$AB$201,MATCH($A87,Objekte!$Z$2:$Z$201,0)),"")</f>
        <v/>
      </c>
    </row>
    <row r="88">
      <c r="Q88">
        <f>IFERROR(INDEX(Objekte!$AD$2:$AD$201,MATCH($A88,Objekte!$Z$2:$Z$201,0)),"")</f>
        <v/>
      </c>
      <c r="R88">
        <f>IFERROR(INDEX(Objekte!$AB$2:$AB$201,MATCH($A88,Objekte!$Z$2:$Z$201,0)),"")</f>
        <v/>
      </c>
    </row>
    <row r="89">
      <c r="Q89">
        <f>IFERROR(INDEX(Objekte!$AD$2:$AD$201,MATCH($A89,Objekte!$Z$2:$Z$201,0)),"")</f>
        <v/>
      </c>
      <c r="R89">
        <f>IFERROR(INDEX(Objekte!$AB$2:$AB$201,MATCH($A89,Objekte!$Z$2:$Z$201,0)),"")</f>
        <v/>
      </c>
    </row>
    <row r="90">
      <c r="Q90">
        <f>IFERROR(INDEX(Objekte!$AD$2:$AD$201,MATCH($A90,Objekte!$Z$2:$Z$201,0)),"")</f>
        <v/>
      </c>
      <c r="R90">
        <f>IFERROR(INDEX(Objekte!$AB$2:$AB$201,MATCH($A90,Objekte!$Z$2:$Z$201,0)),"")</f>
        <v/>
      </c>
    </row>
    <row r="91">
      <c r="Q91">
        <f>IFERROR(INDEX(Objekte!$AD$2:$AD$201,MATCH($A91,Objekte!$Z$2:$Z$201,0)),"")</f>
        <v/>
      </c>
      <c r="R91">
        <f>IFERROR(INDEX(Objekte!$AB$2:$AB$201,MATCH($A91,Objekte!$Z$2:$Z$201,0)),"")</f>
        <v/>
      </c>
    </row>
    <row r="92">
      <c r="Q92">
        <f>IFERROR(INDEX(Objekte!$AD$2:$AD$201,MATCH($A92,Objekte!$Z$2:$Z$201,0)),"")</f>
        <v/>
      </c>
      <c r="R92">
        <f>IFERROR(INDEX(Objekte!$AB$2:$AB$201,MATCH($A92,Objekte!$Z$2:$Z$201,0)),"")</f>
        <v/>
      </c>
    </row>
    <row r="93">
      <c r="Q93">
        <f>IFERROR(INDEX(Objekte!$AD$2:$AD$201,MATCH($A93,Objekte!$Z$2:$Z$201,0)),"")</f>
        <v/>
      </c>
      <c r="R93">
        <f>IFERROR(INDEX(Objekte!$AB$2:$AB$201,MATCH($A93,Objekte!$Z$2:$Z$201,0)),"")</f>
        <v/>
      </c>
    </row>
    <row r="94">
      <c r="Q94">
        <f>IFERROR(INDEX(Objekte!$AD$2:$AD$201,MATCH($A94,Objekte!$Z$2:$Z$201,0)),"")</f>
        <v/>
      </c>
      <c r="R94">
        <f>IFERROR(INDEX(Objekte!$AB$2:$AB$201,MATCH($A94,Objekte!$Z$2:$Z$201,0)),"")</f>
        <v/>
      </c>
    </row>
    <row r="95">
      <c r="Q95">
        <f>IFERROR(INDEX(Objekte!$AD$2:$AD$201,MATCH($A95,Objekte!$Z$2:$Z$201,0)),"")</f>
        <v/>
      </c>
      <c r="R95">
        <f>IFERROR(INDEX(Objekte!$AB$2:$AB$201,MATCH($A95,Objekte!$Z$2:$Z$201,0)),"")</f>
        <v/>
      </c>
    </row>
    <row r="96">
      <c r="Q96">
        <f>IFERROR(INDEX(Objekte!$AD$2:$AD$201,MATCH($A96,Objekte!$Z$2:$Z$201,0)),"")</f>
        <v/>
      </c>
      <c r="R96">
        <f>IFERROR(INDEX(Objekte!$AB$2:$AB$201,MATCH($A96,Objekte!$Z$2:$Z$201,0)),"")</f>
        <v/>
      </c>
    </row>
    <row r="97">
      <c r="Q97">
        <f>IFERROR(INDEX(Objekte!$AD$2:$AD$201,MATCH($A97,Objekte!$Z$2:$Z$201,0)),"")</f>
        <v/>
      </c>
      <c r="R97">
        <f>IFERROR(INDEX(Objekte!$AB$2:$AB$201,MATCH($A97,Objekte!$Z$2:$Z$201,0)),"")</f>
        <v/>
      </c>
    </row>
    <row r="98">
      <c r="Q98">
        <f>IFERROR(INDEX(Objekte!$AD$2:$AD$201,MATCH($A98,Objekte!$Z$2:$Z$201,0)),"")</f>
        <v/>
      </c>
      <c r="R98">
        <f>IFERROR(INDEX(Objekte!$AB$2:$AB$201,MATCH($A98,Objekte!$Z$2:$Z$201,0)),"")</f>
        <v/>
      </c>
    </row>
    <row r="99">
      <c r="Q99">
        <f>IFERROR(INDEX(Objekte!$AD$2:$AD$201,MATCH($A99,Objekte!$Z$2:$Z$201,0)),"")</f>
        <v/>
      </c>
      <c r="R99">
        <f>IFERROR(INDEX(Objekte!$AB$2:$AB$201,MATCH($A99,Objekte!$Z$2:$Z$201,0)),"")</f>
        <v/>
      </c>
    </row>
    <row r="100">
      <c r="Q100">
        <f>IFERROR(INDEX(Objekte!$AD$2:$AD$201,MATCH($A100,Objekte!$Z$2:$Z$201,0)),"")</f>
        <v/>
      </c>
      <c r="R100">
        <f>IFERROR(INDEX(Objekte!$AB$2:$AB$201,MATCH($A100,Objekte!$Z$2:$Z$201,0)),"")</f>
        <v/>
      </c>
    </row>
    <row r="101">
      <c r="Q101">
        <f>IFERROR(INDEX(Objekte!$AD$2:$AD$201,MATCH($A101,Objekte!$Z$2:$Z$201,0)),"")</f>
        <v/>
      </c>
      <c r="R101">
        <f>IFERROR(INDEX(Objekte!$AB$2:$AB$201,MATCH($A101,Objekte!$Z$2:$Z$201,0)),"")</f>
        <v/>
      </c>
    </row>
    <row r="102">
      <c r="Q102">
        <f>IFERROR(INDEX(Objekte!$AD$2:$AD$201,MATCH($A102,Objekte!$Z$2:$Z$201,0)),"")</f>
        <v/>
      </c>
      <c r="R102">
        <f>IFERROR(INDEX(Objekte!$AB$2:$AB$201,MATCH($A102,Objekte!$Z$2:$Z$201,0)),"")</f>
        <v/>
      </c>
    </row>
    <row r="103">
      <c r="Q103">
        <f>IFERROR(INDEX(Objekte!$AD$2:$AD$201,MATCH($A103,Objekte!$Z$2:$Z$201,0)),"")</f>
        <v/>
      </c>
      <c r="R103">
        <f>IFERROR(INDEX(Objekte!$AB$2:$AB$201,MATCH($A103,Objekte!$Z$2:$Z$201,0)),"")</f>
        <v/>
      </c>
    </row>
    <row r="104">
      <c r="Q104">
        <f>IFERROR(INDEX(Objekte!$AD$2:$AD$201,MATCH($A104,Objekte!$Z$2:$Z$201,0)),"")</f>
        <v/>
      </c>
      <c r="R104">
        <f>IFERROR(INDEX(Objekte!$AB$2:$AB$201,MATCH($A104,Objekte!$Z$2:$Z$201,0)),"")</f>
        <v/>
      </c>
    </row>
    <row r="105">
      <c r="Q105">
        <f>IFERROR(INDEX(Objekte!$AD$2:$AD$201,MATCH($A105,Objekte!$Z$2:$Z$201,0)),"")</f>
        <v/>
      </c>
      <c r="R105">
        <f>IFERROR(INDEX(Objekte!$AB$2:$AB$201,MATCH($A105,Objekte!$Z$2:$Z$201,0)),"")</f>
        <v/>
      </c>
    </row>
    <row r="106">
      <c r="Q106">
        <f>IFERROR(INDEX(Objekte!$AD$2:$AD$201,MATCH($A106,Objekte!$Z$2:$Z$201,0)),"")</f>
        <v/>
      </c>
      <c r="R106">
        <f>IFERROR(INDEX(Objekte!$AB$2:$AB$201,MATCH($A106,Objekte!$Z$2:$Z$201,0)),"")</f>
        <v/>
      </c>
    </row>
    <row r="107">
      <c r="Q107">
        <f>IFERROR(INDEX(Objekte!$AD$2:$AD$201,MATCH($A107,Objekte!$Z$2:$Z$201,0)),"")</f>
        <v/>
      </c>
      <c r="R107">
        <f>IFERROR(INDEX(Objekte!$AB$2:$AB$201,MATCH($A107,Objekte!$Z$2:$Z$201,0)),"")</f>
        <v/>
      </c>
    </row>
    <row r="108">
      <c r="Q108">
        <f>IFERROR(INDEX(Objekte!$AD$2:$AD$201,MATCH($A108,Objekte!$Z$2:$Z$201,0)),"")</f>
        <v/>
      </c>
      <c r="R108">
        <f>IFERROR(INDEX(Objekte!$AB$2:$AB$201,MATCH($A108,Objekte!$Z$2:$Z$201,0)),"")</f>
        <v/>
      </c>
    </row>
    <row r="109">
      <c r="Q109">
        <f>IFERROR(INDEX(Objekte!$AD$2:$AD$201,MATCH($A109,Objekte!$Z$2:$Z$201,0)),"")</f>
        <v/>
      </c>
      <c r="R109">
        <f>IFERROR(INDEX(Objekte!$AB$2:$AB$201,MATCH($A109,Objekte!$Z$2:$Z$201,0)),"")</f>
        <v/>
      </c>
    </row>
    <row r="110">
      <c r="Q110">
        <f>IFERROR(INDEX(Objekte!$AD$2:$AD$201,MATCH($A110,Objekte!$Z$2:$Z$201,0)),"")</f>
        <v/>
      </c>
      <c r="R110">
        <f>IFERROR(INDEX(Objekte!$AB$2:$AB$201,MATCH($A110,Objekte!$Z$2:$Z$201,0)),"")</f>
        <v/>
      </c>
    </row>
    <row r="111">
      <c r="Q111">
        <f>IFERROR(INDEX(Objekte!$AD$2:$AD$201,MATCH($A111,Objekte!$Z$2:$Z$201,0)),"")</f>
        <v/>
      </c>
      <c r="R111">
        <f>IFERROR(INDEX(Objekte!$AB$2:$AB$201,MATCH($A111,Objekte!$Z$2:$Z$201,0)),"")</f>
        <v/>
      </c>
    </row>
    <row r="112">
      <c r="Q112">
        <f>IFERROR(INDEX(Objekte!$AD$2:$AD$201,MATCH($A112,Objekte!$Z$2:$Z$201,0)),"")</f>
        <v/>
      </c>
      <c r="R112">
        <f>IFERROR(INDEX(Objekte!$AB$2:$AB$201,MATCH($A112,Objekte!$Z$2:$Z$201,0)),"")</f>
        <v/>
      </c>
    </row>
    <row r="113">
      <c r="Q113">
        <f>IFERROR(INDEX(Objekte!$AD$2:$AD$201,MATCH($A113,Objekte!$Z$2:$Z$201,0)),"")</f>
        <v/>
      </c>
      <c r="R113">
        <f>IFERROR(INDEX(Objekte!$AB$2:$AB$201,MATCH($A113,Objekte!$Z$2:$Z$201,0)),"")</f>
        <v/>
      </c>
    </row>
    <row r="114">
      <c r="Q114">
        <f>IFERROR(INDEX(Objekte!$AD$2:$AD$201,MATCH($A114,Objekte!$Z$2:$Z$201,0)),"")</f>
        <v/>
      </c>
      <c r="R114">
        <f>IFERROR(INDEX(Objekte!$AB$2:$AB$201,MATCH($A114,Objekte!$Z$2:$Z$201,0)),"")</f>
        <v/>
      </c>
    </row>
    <row r="115">
      <c r="Q115">
        <f>IFERROR(INDEX(Objekte!$AD$2:$AD$201,MATCH($A115,Objekte!$Z$2:$Z$201,0)),"")</f>
        <v/>
      </c>
      <c r="R115">
        <f>IFERROR(INDEX(Objekte!$AB$2:$AB$201,MATCH($A115,Objekte!$Z$2:$Z$201,0)),"")</f>
        <v/>
      </c>
    </row>
    <row r="116">
      <c r="Q116">
        <f>IFERROR(INDEX(Objekte!$AD$2:$AD$201,MATCH($A116,Objekte!$Z$2:$Z$201,0)),"")</f>
        <v/>
      </c>
      <c r="R116">
        <f>IFERROR(INDEX(Objekte!$AB$2:$AB$201,MATCH($A116,Objekte!$Z$2:$Z$201,0)),"")</f>
        <v/>
      </c>
    </row>
    <row r="117">
      <c r="Q117">
        <f>IFERROR(INDEX(Objekte!$AD$2:$AD$201,MATCH($A117,Objekte!$Z$2:$Z$201,0)),"")</f>
        <v/>
      </c>
      <c r="R117">
        <f>IFERROR(INDEX(Objekte!$AB$2:$AB$201,MATCH($A117,Objekte!$Z$2:$Z$201,0)),"")</f>
        <v/>
      </c>
    </row>
    <row r="118">
      <c r="Q118">
        <f>IFERROR(INDEX(Objekte!$AD$2:$AD$201,MATCH($A118,Objekte!$Z$2:$Z$201,0)),"")</f>
        <v/>
      </c>
      <c r="R118">
        <f>IFERROR(INDEX(Objekte!$AB$2:$AB$201,MATCH($A118,Objekte!$Z$2:$Z$201,0)),"")</f>
        <v/>
      </c>
    </row>
    <row r="119">
      <c r="Q119">
        <f>IFERROR(INDEX(Objekte!$AD$2:$AD$201,MATCH($A119,Objekte!$Z$2:$Z$201,0)),"")</f>
        <v/>
      </c>
      <c r="R119">
        <f>IFERROR(INDEX(Objekte!$AB$2:$AB$201,MATCH($A119,Objekte!$Z$2:$Z$201,0)),"")</f>
        <v/>
      </c>
    </row>
    <row r="120">
      <c r="Q120">
        <f>IFERROR(INDEX(Objekte!$AD$2:$AD$201,MATCH($A120,Objekte!$Z$2:$Z$201,0)),"")</f>
        <v/>
      </c>
      <c r="R120">
        <f>IFERROR(INDEX(Objekte!$AB$2:$AB$201,MATCH($A120,Objekte!$Z$2:$Z$201,0)),"")</f>
        <v/>
      </c>
    </row>
    <row r="121">
      <c r="Q121">
        <f>IFERROR(INDEX(Objekte!$AD$2:$AD$201,MATCH($A121,Objekte!$Z$2:$Z$201,0)),"")</f>
        <v/>
      </c>
      <c r="R121">
        <f>IFERROR(INDEX(Objekte!$AB$2:$AB$201,MATCH($A121,Objekte!$Z$2:$Z$201,0)),"")</f>
        <v/>
      </c>
    </row>
    <row r="122">
      <c r="Q122">
        <f>IFERROR(INDEX(Objekte!$AD$2:$AD$201,MATCH($A122,Objekte!$Z$2:$Z$201,0)),"")</f>
        <v/>
      </c>
      <c r="R122">
        <f>IFERROR(INDEX(Objekte!$AB$2:$AB$201,MATCH($A122,Objekte!$Z$2:$Z$201,0)),"")</f>
        <v/>
      </c>
    </row>
    <row r="123">
      <c r="Q123">
        <f>IFERROR(INDEX(Objekte!$AD$2:$AD$201,MATCH($A123,Objekte!$Z$2:$Z$201,0)),"")</f>
        <v/>
      </c>
      <c r="R123">
        <f>IFERROR(INDEX(Objekte!$AB$2:$AB$201,MATCH($A123,Objekte!$Z$2:$Z$201,0)),"")</f>
        <v/>
      </c>
    </row>
    <row r="124">
      <c r="Q124">
        <f>IFERROR(INDEX(Objekte!$AD$2:$AD$201,MATCH($A124,Objekte!$Z$2:$Z$201,0)),"")</f>
        <v/>
      </c>
      <c r="R124">
        <f>IFERROR(INDEX(Objekte!$AB$2:$AB$201,MATCH($A124,Objekte!$Z$2:$Z$201,0)),"")</f>
        <v/>
      </c>
    </row>
    <row r="125">
      <c r="Q125">
        <f>IFERROR(INDEX(Objekte!$AD$2:$AD$201,MATCH($A125,Objekte!$Z$2:$Z$201,0)),"")</f>
        <v/>
      </c>
      <c r="R125">
        <f>IFERROR(INDEX(Objekte!$AB$2:$AB$201,MATCH($A125,Objekte!$Z$2:$Z$201,0)),"")</f>
        <v/>
      </c>
    </row>
    <row r="126">
      <c r="Q126">
        <f>IFERROR(INDEX(Objekte!$AD$2:$AD$201,MATCH($A126,Objekte!$Z$2:$Z$201,0)),"")</f>
        <v/>
      </c>
      <c r="R126">
        <f>IFERROR(INDEX(Objekte!$AB$2:$AB$201,MATCH($A126,Objekte!$Z$2:$Z$201,0)),"")</f>
        <v/>
      </c>
    </row>
    <row r="127">
      <c r="Q127">
        <f>IFERROR(INDEX(Objekte!$AD$2:$AD$201,MATCH($A127,Objekte!$Z$2:$Z$201,0)),"")</f>
        <v/>
      </c>
      <c r="R127">
        <f>IFERROR(INDEX(Objekte!$AB$2:$AB$201,MATCH($A127,Objekte!$Z$2:$Z$201,0)),"")</f>
        <v/>
      </c>
    </row>
    <row r="128">
      <c r="Q128">
        <f>IFERROR(INDEX(Objekte!$AD$2:$AD$201,MATCH($A128,Objekte!$Z$2:$Z$201,0)),"")</f>
        <v/>
      </c>
      <c r="R128">
        <f>IFERROR(INDEX(Objekte!$AB$2:$AB$201,MATCH($A128,Objekte!$Z$2:$Z$201,0)),"")</f>
        <v/>
      </c>
    </row>
    <row r="129">
      <c r="Q129">
        <f>IFERROR(INDEX(Objekte!$AD$2:$AD$201,MATCH($A129,Objekte!$Z$2:$Z$201,0)),"")</f>
        <v/>
      </c>
      <c r="R129">
        <f>IFERROR(INDEX(Objekte!$AB$2:$AB$201,MATCH($A129,Objekte!$Z$2:$Z$201,0)),"")</f>
        <v/>
      </c>
    </row>
    <row r="130">
      <c r="Q130">
        <f>IFERROR(INDEX(Objekte!$AD$2:$AD$201,MATCH($A130,Objekte!$Z$2:$Z$201,0)),"")</f>
        <v/>
      </c>
      <c r="R130">
        <f>IFERROR(INDEX(Objekte!$AB$2:$AB$201,MATCH($A130,Objekte!$Z$2:$Z$201,0)),"")</f>
        <v/>
      </c>
    </row>
    <row r="131">
      <c r="Q131">
        <f>IFERROR(INDEX(Objekte!$AD$2:$AD$201,MATCH($A131,Objekte!$Z$2:$Z$201,0)),"")</f>
        <v/>
      </c>
      <c r="R131">
        <f>IFERROR(INDEX(Objekte!$AB$2:$AB$201,MATCH($A131,Objekte!$Z$2:$Z$201,0)),"")</f>
        <v/>
      </c>
    </row>
    <row r="132">
      <c r="Q132">
        <f>IFERROR(INDEX(Objekte!$AD$2:$AD$201,MATCH($A132,Objekte!$Z$2:$Z$201,0)),"")</f>
        <v/>
      </c>
      <c r="R132">
        <f>IFERROR(INDEX(Objekte!$AB$2:$AB$201,MATCH($A132,Objekte!$Z$2:$Z$201,0)),"")</f>
        <v/>
      </c>
    </row>
    <row r="133">
      <c r="Q133">
        <f>IFERROR(INDEX(Objekte!$AD$2:$AD$201,MATCH($A133,Objekte!$Z$2:$Z$201,0)),"")</f>
        <v/>
      </c>
      <c r="R133">
        <f>IFERROR(INDEX(Objekte!$AB$2:$AB$201,MATCH($A133,Objekte!$Z$2:$Z$201,0)),"")</f>
        <v/>
      </c>
    </row>
    <row r="134">
      <c r="Q134">
        <f>IFERROR(INDEX(Objekte!$AD$2:$AD$201,MATCH($A134,Objekte!$Z$2:$Z$201,0)),"")</f>
        <v/>
      </c>
      <c r="R134">
        <f>IFERROR(INDEX(Objekte!$AB$2:$AB$201,MATCH($A134,Objekte!$Z$2:$Z$201,0)),"")</f>
        <v/>
      </c>
    </row>
    <row r="135">
      <c r="Q135">
        <f>IFERROR(INDEX(Objekte!$AD$2:$AD$201,MATCH($A135,Objekte!$Z$2:$Z$201,0)),"")</f>
        <v/>
      </c>
      <c r="R135">
        <f>IFERROR(INDEX(Objekte!$AB$2:$AB$201,MATCH($A135,Objekte!$Z$2:$Z$201,0)),"")</f>
        <v/>
      </c>
    </row>
    <row r="136">
      <c r="Q136">
        <f>IFERROR(INDEX(Objekte!$AD$2:$AD$201,MATCH($A136,Objekte!$Z$2:$Z$201,0)),"")</f>
        <v/>
      </c>
      <c r="R136">
        <f>IFERROR(INDEX(Objekte!$AB$2:$AB$201,MATCH($A136,Objekte!$Z$2:$Z$201,0)),"")</f>
        <v/>
      </c>
    </row>
    <row r="137">
      <c r="Q137">
        <f>IFERROR(INDEX(Objekte!$AD$2:$AD$201,MATCH($A137,Objekte!$Z$2:$Z$201,0)),"")</f>
        <v/>
      </c>
      <c r="R137">
        <f>IFERROR(INDEX(Objekte!$AB$2:$AB$201,MATCH($A137,Objekte!$Z$2:$Z$201,0)),"")</f>
        <v/>
      </c>
    </row>
    <row r="138">
      <c r="Q138">
        <f>IFERROR(INDEX(Objekte!$AD$2:$AD$201,MATCH($A138,Objekte!$Z$2:$Z$201,0)),"")</f>
        <v/>
      </c>
      <c r="R138">
        <f>IFERROR(INDEX(Objekte!$AB$2:$AB$201,MATCH($A138,Objekte!$Z$2:$Z$201,0)),"")</f>
        <v/>
      </c>
    </row>
    <row r="139">
      <c r="Q139">
        <f>IFERROR(INDEX(Objekte!$AD$2:$AD$201,MATCH($A139,Objekte!$Z$2:$Z$201,0)),"")</f>
        <v/>
      </c>
      <c r="R139">
        <f>IFERROR(INDEX(Objekte!$AB$2:$AB$201,MATCH($A139,Objekte!$Z$2:$Z$201,0)),"")</f>
        <v/>
      </c>
    </row>
    <row r="140">
      <c r="Q140">
        <f>IFERROR(INDEX(Objekte!$AD$2:$AD$201,MATCH($A140,Objekte!$Z$2:$Z$201,0)),"")</f>
        <v/>
      </c>
      <c r="R140">
        <f>IFERROR(INDEX(Objekte!$AB$2:$AB$201,MATCH($A140,Objekte!$Z$2:$Z$201,0)),"")</f>
        <v/>
      </c>
    </row>
    <row r="141">
      <c r="Q141">
        <f>IFERROR(INDEX(Objekte!$AD$2:$AD$201,MATCH($A141,Objekte!$Z$2:$Z$201,0)),"")</f>
        <v/>
      </c>
      <c r="R141">
        <f>IFERROR(INDEX(Objekte!$AB$2:$AB$201,MATCH($A141,Objekte!$Z$2:$Z$201,0)),"")</f>
        <v/>
      </c>
    </row>
    <row r="142">
      <c r="Q142">
        <f>IFERROR(INDEX(Objekte!$AD$2:$AD$201,MATCH($A142,Objekte!$Z$2:$Z$201,0)),"")</f>
        <v/>
      </c>
      <c r="R142">
        <f>IFERROR(INDEX(Objekte!$AB$2:$AB$201,MATCH($A142,Objekte!$Z$2:$Z$201,0)),"")</f>
        <v/>
      </c>
    </row>
    <row r="143">
      <c r="Q143">
        <f>IFERROR(INDEX(Objekte!$AD$2:$AD$201,MATCH($A143,Objekte!$Z$2:$Z$201,0)),"")</f>
        <v/>
      </c>
      <c r="R143">
        <f>IFERROR(INDEX(Objekte!$AB$2:$AB$201,MATCH($A143,Objekte!$Z$2:$Z$201,0)),"")</f>
        <v/>
      </c>
    </row>
    <row r="144">
      <c r="Q144">
        <f>IFERROR(INDEX(Objekte!$AD$2:$AD$201,MATCH($A144,Objekte!$Z$2:$Z$201,0)),"")</f>
        <v/>
      </c>
      <c r="R144">
        <f>IFERROR(INDEX(Objekte!$AB$2:$AB$201,MATCH($A144,Objekte!$Z$2:$Z$201,0)),"")</f>
        <v/>
      </c>
    </row>
    <row r="145">
      <c r="Q145">
        <f>IFERROR(INDEX(Objekte!$AD$2:$AD$201,MATCH($A145,Objekte!$Z$2:$Z$201,0)),"")</f>
        <v/>
      </c>
      <c r="R145">
        <f>IFERROR(INDEX(Objekte!$AB$2:$AB$201,MATCH($A145,Objekte!$Z$2:$Z$201,0)),"")</f>
        <v/>
      </c>
    </row>
    <row r="146">
      <c r="Q146">
        <f>IFERROR(INDEX(Objekte!$AD$2:$AD$201,MATCH($A146,Objekte!$Z$2:$Z$201,0)),"")</f>
        <v/>
      </c>
      <c r="R146">
        <f>IFERROR(INDEX(Objekte!$AB$2:$AB$201,MATCH($A146,Objekte!$Z$2:$Z$201,0)),"")</f>
        <v/>
      </c>
    </row>
    <row r="147">
      <c r="Q147">
        <f>IFERROR(INDEX(Objekte!$AD$2:$AD$201,MATCH($A147,Objekte!$Z$2:$Z$201,0)),"")</f>
        <v/>
      </c>
      <c r="R147">
        <f>IFERROR(INDEX(Objekte!$AB$2:$AB$201,MATCH($A147,Objekte!$Z$2:$Z$201,0)),"")</f>
        <v/>
      </c>
    </row>
    <row r="148">
      <c r="Q148">
        <f>IFERROR(INDEX(Objekte!$AD$2:$AD$201,MATCH($A148,Objekte!$Z$2:$Z$201,0)),"")</f>
        <v/>
      </c>
      <c r="R148">
        <f>IFERROR(INDEX(Objekte!$AB$2:$AB$201,MATCH($A148,Objekte!$Z$2:$Z$201,0)),"")</f>
        <v/>
      </c>
    </row>
    <row r="149">
      <c r="Q149">
        <f>IFERROR(INDEX(Objekte!$AD$2:$AD$201,MATCH($A149,Objekte!$Z$2:$Z$201,0)),"")</f>
        <v/>
      </c>
      <c r="R149">
        <f>IFERROR(INDEX(Objekte!$AB$2:$AB$201,MATCH($A149,Objekte!$Z$2:$Z$201,0)),"")</f>
        <v/>
      </c>
    </row>
    <row r="150">
      <c r="Q150">
        <f>IFERROR(INDEX(Objekte!$AD$2:$AD$201,MATCH($A150,Objekte!$Z$2:$Z$201,0)),"")</f>
        <v/>
      </c>
      <c r="R150">
        <f>IFERROR(INDEX(Objekte!$AB$2:$AB$201,MATCH($A150,Objekte!$Z$2:$Z$201,0)),"")</f>
        <v/>
      </c>
    </row>
    <row r="151">
      <c r="Q151">
        <f>IFERROR(INDEX(Objekte!$AD$2:$AD$201,MATCH($A151,Objekte!$Z$2:$Z$201,0)),"")</f>
        <v/>
      </c>
      <c r="R151">
        <f>IFERROR(INDEX(Objekte!$AB$2:$AB$201,MATCH($A151,Objekte!$Z$2:$Z$201,0)),"")</f>
        <v/>
      </c>
    </row>
    <row r="152">
      <c r="Q152">
        <f>IFERROR(INDEX(Objekte!$AD$2:$AD$201,MATCH($A152,Objekte!$Z$2:$Z$201,0)),"")</f>
        <v/>
      </c>
      <c r="R152">
        <f>IFERROR(INDEX(Objekte!$AB$2:$AB$201,MATCH($A152,Objekte!$Z$2:$Z$201,0)),"")</f>
        <v/>
      </c>
    </row>
    <row r="153">
      <c r="Q153">
        <f>IFERROR(INDEX(Objekte!$AD$2:$AD$201,MATCH($A153,Objekte!$Z$2:$Z$201,0)),"")</f>
        <v/>
      </c>
      <c r="R153">
        <f>IFERROR(INDEX(Objekte!$AB$2:$AB$201,MATCH($A153,Objekte!$Z$2:$Z$201,0)),"")</f>
        <v/>
      </c>
    </row>
    <row r="154">
      <c r="Q154">
        <f>IFERROR(INDEX(Objekte!$AD$2:$AD$201,MATCH($A154,Objekte!$Z$2:$Z$201,0)),"")</f>
        <v/>
      </c>
      <c r="R154">
        <f>IFERROR(INDEX(Objekte!$AB$2:$AB$201,MATCH($A154,Objekte!$Z$2:$Z$201,0)),"")</f>
        <v/>
      </c>
    </row>
    <row r="155">
      <c r="Q155">
        <f>IFERROR(INDEX(Objekte!$AD$2:$AD$201,MATCH($A155,Objekte!$Z$2:$Z$201,0)),"")</f>
        <v/>
      </c>
      <c r="R155">
        <f>IFERROR(INDEX(Objekte!$AB$2:$AB$201,MATCH($A155,Objekte!$Z$2:$Z$201,0)),"")</f>
        <v/>
      </c>
    </row>
    <row r="156">
      <c r="Q156">
        <f>IFERROR(INDEX(Objekte!$AD$2:$AD$201,MATCH($A156,Objekte!$Z$2:$Z$201,0)),"")</f>
        <v/>
      </c>
      <c r="R156">
        <f>IFERROR(INDEX(Objekte!$AB$2:$AB$201,MATCH($A156,Objekte!$Z$2:$Z$201,0)),"")</f>
        <v/>
      </c>
    </row>
    <row r="157">
      <c r="Q157">
        <f>IFERROR(INDEX(Objekte!$AD$2:$AD$201,MATCH($A157,Objekte!$Z$2:$Z$201,0)),"")</f>
        <v/>
      </c>
      <c r="R157">
        <f>IFERROR(INDEX(Objekte!$AB$2:$AB$201,MATCH($A157,Objekte!$Z$2:$Z$201,0)),"")</f>
        <v/>
      </c>
    </row>
    <row r="158">
      <c r="Q158">
        <f>IFERROR(INDEX(Objekte!$AD$2:$AD$201,MATCH($A158,Objekte!$Z$2:$Z$201,0)),"")</f>
        <v/>
      </c>
      <c r="R158">
        <f>IFERROR(INDEX(Objekte!$AB$2:$AB$201,MATCH($A158,Objekte!$Z$2:$Z$201,0)),"")</f>
        <v/>
      </c>
    </row>
    <row r="159">
      <c r="Q159">
        <f>IFERROR(INDEX(Objekte!$AD$2:$AD$201,MATCH($A159,Objekte!$Z$2:$Z$201,0)),"")</f>
        <v/>
      </c>
      <c r="R159">
        <f>IFERROR(INDEX(Objekte!$AB$2:$AB$201,MATCH($A159,Objekte!$Z$2:$Z$201,0)),"")</f>
        <v/>
      </c>
    </row>
    <row r="160">
      <c r="Q160">
        <f>IFERROR(INDEX(Objekte!$AD$2:$AD$201,MATCH($A160,Objekte!$Z$2:$Z$201,0)),"")</f>
        <v/>
      </c>
      <c r="R160">
        <f>IFERROR(INDEX(Objekte!$AB$2:$AB$201,MATCH($A160,Objekte!$Z$2:$Z$201,0)),"")</f>
        <v/>
      </c>
    </row>
    <row r="161">
      <c r="Q161">
        <f>IFERROR(INDEX(Objekte!$AD$2:$AD$201,MATCH($A161,Objekte!$Z$2:$Z$201,0)),"")</f>
        <v/>
      </c>
      <c r="R161">
        <f>IFERROR(INDEX(Objekte!$AB$2:$AB$201,MATCH($A161,Objekte!$Z$2:$Z$201,0)),"")</f>
        <v/>
      </c>
    </row>
    <row r="162">
      <c r="Q162">
        <f>IFERROR(INDEX(Objekte!$AD$2:$AD$201,MATCH($A162,Objekte!$Z$2:$Z$201,0)),"")</f>
        <v/>
      </c>
      <c r="R162">
        <f>IFERROR(INDEX(Objekte!$AB$2:$AB$201,MATCH($A162,Objekte!$Z$2:$Z$201,0)),"")</f>
        <v/>
      </c>
    </row>
    <row r="163">
      <c r="Q163">
        <f>IFERROR(INDEX(Objekte!$AD$2:$AD$201,MATCH($A163,Objekte!$Z$2:$Z$201,0)),"")</f>
        <v/>
      </c>
      <c r="R163">
        <f>IFERROR(INDEX(Objekte!$AB$2:$AB$201,MATCH($A163,Objekte!$Z$2:$Z$201,0)),"")</f>
        <v/>
      </c>
    </row>
    <row r="164">
      <c r="Q164">
        <f>IFERROR(INDEX(Objekte!$AD$2:$AD$201,MATCH($A164,Objekte!$Z$2:$Z$201,0)),"")</f>
        <v/>
      </c>
      <c r="R164">
        <f>IFERROR(INDEX(Objekte!$AB$2:$AB$201,MATCH($A164,Objekte!$Z$2:$Z$201,0)),"")</f>
        <v/>
      </c>
    </row>
    <row r="165">
      <c r="Q165">
        <f>IFERROR(INDEX(Objekte!$AD$2:$AD$201,MATCH($A165,Objekte!$Z$2:$Z$201,0)),"")</f>
        <v/>
      </c>
      <c r="R165">
        <f>IFERROR(INDEX(Objekte!$AB$2:$AB$201,MATCH($A165,Objekte!$Z$2:$Z$201,0)),"")</f>
        <v/>
      </c>
    </row>
    <row r="166">
      <c r="Q166">
        <f>IFERROR(INDEX(Objekte!$AD$2:$AD$201,MATCH($A166,Objekte!$Z$2:$Z$201,0)),"")</f>
        <v/>
      </c>
      <c r="R166">
        <f>IFERROR(INDEX(Objekte!$AB$2:$AB$201,MATCH($A166,Objekte!$Z$2:$Z$201,0)),"")</f>
        <v/>
      </c>
    </row>
    <row r="167">
      <c r="Q167">
        <f>IFERROR(INDEX(Objekte!$AD$2:$AD$201,MATCH($A167,Objekte!$Z$2:$Z$201,0)),"")</f>
        <v/>
      </c>
      <c r="R167">
        <f>IFERROR(INDEX(Objekte!$AB$2:$AB$201,MATCH($A167,Objekte!$Z$2:$Z$201,0)),"")</f>
        <v/>
      </c>
    </row>
    <row r="168">
      <c r="Q168">
        <f>IFERROR(INDEX(Objekte!$AD$2:$AD$201,MATCH($A168,Objekte!$Z$2:$Z$201,0)),"")</f>
        <v/>
      </c>
      <c r="R168">
        <f>IFERROR(INDEX(Objekte!$AB$2:$AB$201,MATCH($A168,Objekte!$Z$2:$Z$201,0)),"")</f>
        <v/>
      </c>
    </row>
    <row r="169">
      <c r="Q169">
        <f>IFERROR(INDEX(Objekte!$AD$2:$AD$201,MATCH($A169,Objekte!$Z$2:$Z$201,0)),"")</f>
        <v/>
      </c>
      <c r="R169">
        <f>IFERROR(INDEX(Objekte!$AB$2:$AB$201,MATCH($A169,Objekte!$Z$2:$Z$201,0)),"")</f>
        <v/>
      </c>
    </row>
    <row r="170">
      <c r="Q170">
        <f>IFERROR(INDEX(Objekte!$AD$2:$AD$201,MATCH($A170,Objekte!$Z$2:$Z$201,0)),"")</f>
        <v/>
      </c>
      <c r="R170">
        <f>IFERROR(INDEX(Objekte!$AB$2:$AB$201,MATCH($A170,Objekte!$Z$2:$Z$201,0)),"")</f>
        <v/>
      </c>
    </row>
    <row r="171">
      <c r="Q171">
        <f>IFERROR(INDEX(Objekte!$AD$2:$AD$201,MATCH($A171,Objekte!$Z$2:$Z$201,0)),"")</f>
        <v/>
      </c>
      <c r="R171">
        <f>IFERROR(INDEX(Objekte!$AB$2:$AB$201,MATCH($A171,Objekte!$Z$2:$Z$201,0)),"")</f>
        <v/>
      </c>
    </row>
    <row r="172">
      <c r="Q172">
        <f>IFERROR(INDEX(Objekte!$AD$2:$AD$201,MATCH($A172,Objekte!$Z$2:$Z$201,0)),"")</f>
        <v/>
      </c>
      <c r="R172">
        <f>IFERROR(INDEX(Objekte!$AB$2:$AB$201,MATCH($A172,Objekte!$Z$2:$Z$201,0)),"")</f>
        <v/>
      </c>
    </row>
    <row r="173">
      <c r="Q173">
        <f>IFERROR(INDEX(Objekte!$AD$2:$AD$201,MATCH($A173,Objekte!$Z$2:$Z$201,0)),"")</f>
        <v/>
      </c>
      <c r="R173">
        <f>IFERROR(INDEX(Objekte!$AB$2:$AB$201,MATCH($A173,Objekte!$Z$2:$Z$201,0)),"")</f>
        <v/>
      </c>
    </row>
    <row r="174">
      <c r="Q174">
        <f>IFERROR(INDEX(Objekte!$AD$2:$AD$201,MATCH($A174,Objekte!$Z$2:$Z$201,0)),"")</f>
        <v/>
      </c>
      <c r="R174">
        <f>IFERROR(INDEX(Objekte!$AB$2:$AB$201,MATCH($A174,Objekte!$Z$2:$Z$201,0)),"")</f>
        <v/>
      </c>
    </row>
    <row r="175">
      <c r="Q175">
        <f>IFERROR(INDEX(Objekte!$AD$2:$AD$201,MATCH($A175,Objekte!$Z$2:$Z$201,0)),"")</f>
        <v/>
      </c>
      <c r="R175">
        <f>IFERROR(INDEX(Objekte!$AB$2:$AB$201,MATCH($A175,Objekte!$Z$2:$Z$201,0)),"")</f>
        <v/>
      </c>
    </row>
    <row r="176">
      <c r="Q176">
        <f>IFERROR(INDEX(Objekte!$AD$2:$AD$201,MATCH($A176,Objekte!$Z$2:$Z$201,0)),"")</f>
        <v/>
      </c>
      <c r="R176">
        <f>IFERROR(INDEX(Objekte!$AB$2:$AB$201,MATCH($A176,Objekte!$Z$2:$Z$201,0)),"")</f>
        <v/>
      </c>
    </row>
    <row r="177">
      <c r="Q177">
        <f>IFERROR(INDEX(Objekte!$AD$2:$AD$201,MATCH($A177,Objekte!$Z$2:$Z$201,0)),"")</f>
        <v/>
      </c>
      <c r="R177">
        <f>IFERROR(INDEX(Objekte!$AB$2:$AB$201,MATCH($A177,Objekte!$Z$2:$Z$201,0)),"")</f>
        <v/>
      </c>
    </row>
    <row r="178">
      <c r="Q178">
        <f>IFERROR(INDEX(Objekte!$AD$2:$AD$201,MATCH($A178,Objekte!$Z$2:$Z$201,0)),"")</f>
        <v/>
      </c>
      <c r="R178">
        <f>IFERROR(INDEX(Objekte!$AB$2:$AB$201,MATCH($A178,Objekte!$Z$2:$Z$201,0)),"")</f>
        <v/>
      </c>
    </row>
    <row r="179">
      <c r="Q179">
        <f>IFERROR(INDEX(Objekte!$AD$2:$AD$201,MATCH($A179,Objekte!$Z$2:$Z$201,0)),"")</f>
        <v/>
      </c>
      <c r="R179">
        <f>IFERROR(INDEX(Objekte!$AB$2:$AB$201,MATCH($A179,Objekte!$Z$2:$Z$201,0)),"")</f>
        <v/>
      </c>
    </row>
    <row r="180">
      <c r="Q180">
        <f>IFERROR(INDEX(Objekte!$AD$2:$AD$201,MATCH($A180,Objekte!$Z$2:$Z$201,0)),"")</f>
        <v/>
      </c>
      <c r="R180">
        <f>IFERROR(INDEX(Objekte!$AB$2:$AB$201,MATCH($A180,Objekte!$Z$2:$Z$201,0)),"")</f>
        <v/>
      </c>
    </row>
    <row r="181">
      <c r="Q181">
        <f>IFERROR(INDEX(Objekte!$AD$2:$AD$201,MATCH($A181,Objekte!$Z$2:$Z$201,0)),"")</f>
        <v/>
      </c>
      <c r="R181">
        <f>IFERROR(INDEX(Objekte!$AB$2:$AB$201,MATCH($A181,Objekte!$Z$2:$Z$201,0)),"")</f>
        <v/>
      </c>
    </row>
    <row r="182">
      <c r="Q182">
        <f>IFERROR(INDEX(Objekte!$AD$2:$AD$201,MATCH($A182,Objekte!$Z$2:$Z$201,0)),"")</f>
        <v/>
      </c>
      <c r="R182">
        <f>IFERROR(INDEX(Objekte!$AB$2:$AB$201,MATCH($A182,Objekte!$Z$2:$Z$201,0)),"")</f>
        <v/>
      </c>
    </row>
    <row r="183">
      <c r="Q183">
        <f>IFERROR(INDEX(Objekte!$AD$2:$AD$201,MATCH($A183,Objekte!$Z$2:$Z$201,0)),"")</f>
        <v/>
      </c>
      <c r="R183">
        <f>IFERROR(INDEX(Objekte!$AB$2:$AB$201,MATCH($A183,Objekte!$Z$2:$Z$201,0)),"")</f>
        <v/>
      </c>
    </row>
    <row r="184">
      <c r="Q184">
        <f>IFERROR(INDEX(Objekte!$AD$2:$AD$201,MATCH($A184,Objekte!$Z$2:$Z$201,0)),"")</f>
        <v/>
      </c>
      <c r="R184">
        <f>IFERROR(INDEX(Objekte!$AB$2:$AB$201,MATCH($A184,Objekte!$Z$2:$Z$201,0)),"")</f>
        <v/>
      </c>
    </row>
    <row r="185">
      <c r="Q185">
        <f>IFERROR(INDEX(Objekte!$AD$2:$AD$201,MATCH($A185,Objekte!$Z$2:$Z$201,0)),"")</f>
        <v/>
      </c>
      <c r="R185">
        <f>IFERROR(INDEX(Objekte!$AB$2:$AB$201,MATCH($A185,Objekte!$Z$2:$Z$201,0)),"")</f>
        <v/>
      </c>
    </row>
    <row r="186">
      <c r="Q186">
        <f>IFERROR(INDEX(Objekte!$AD$2:$AD$201,MATCH($A186,Objekte!$Z$2:$Z$201,0)),"")</f>
        <v/>
      </c>
      <c r="R186">
        <f>IFERROR(INDEX(Objekte!$AB$2:$AB$201,MATCH($A186,Objekte!$Z$2:$Z$201,0)),"")</f>
        <v/>
      </c>
    </row>
    <row r="187">
      <c r="Q187">
        <f>IFERROR(INDEX(Objekte!$AD$2:$AD$201,MATCH($A187,Objekte!$Z$2:$Z$201,0)),"")</f>
        <v/>
      </c>
      <c r="R187">
        <f>IFERROR(INDEX(Objekte!$AB$2:$AB$201,MATCH($A187,Objekte!$Z$2:$Z$201,0)),"")</f>
        <v/>
      </c>
    </row>
    <row r="188">
      <c r="Q188">
        <f>IFERROR(INDEX(Objekte!$AD$2:$AD$201,MATCH($A188,Objekte!$Z$2:$Z$201,0)),"")</f>
        <v/>
      </c>
      <c r="R188">
        <f>IFERROR(INDEX(Objekte!$AB$2:$AB$201,MATCH($A188,Objekte!$Z$2:$Z$201,0)),"")</f>
        <v/>
      </c>
    </row>
    <row r="189">
      <c r="Q189">
        <f>IFERROR(INDEX(Objekte!$AD$2:$AD$201,MATCH($A189,Objekte!$Z$2:$Z$201,0)),"")</f>
        <v/>
      </c>
      <c r="R189">
        <f>IFERROR(INDEX(Objekte!$AB$2:$AB$201,MATCH($A189,Objekte!$Z$2:$Z$201,0)),"")</f>
        <v/>
      </c>
    </row>
    <row r="190">
      <c r="Q190">
        <f>IFERROR(INDEX(Objekte!$AD$2:$AD$201,MATCH($A190,Objekte!$Z$2:$Z$201,0)),"")</f>
        <v/>
      </c>
      <c r="R190">
        <f>IFERROR(INDEX(Objekte!$AB$2:$AB$201,MATCH($A190,Objekte!$Z$2:$Z$201,0)),"")</f>
        <v/>
      </c>
    </row>
    <row r="191">
      <c r="Q191">
        <f>IFERROR(INDEX(Objekte!$AD$2:$AD$201,MATCH($A191,Objekte!$Z$2:$Z$201,0)),"")</f>
        <v/>
      </c>
      <c r="R191">
        <f>IFERROR(INDEX(Objekte!$AB$2:$AB$201,MATCH($A191,Objekte!$Z$2:$Z$201,0)),"")</f>
        <v/>
      </c>
    </row>
    <row r="192">
      <c r="Q192">
        <f>IFERROR(INDEX(Objekte!$AD$2:$AD$201,MATCH($A192,Objekte!$Z$2:$Z$201,0)),"")</f>
        <v/>
      </c>
      <c r="R192">
        <f>IFERROR(INDEX(Objekte!$AB$2:$AB$201,MATCH($A192,Objekte!$Z$2:$Z$201,0)),"")</f>
        <v/>
      </c>
    </row>
    <row r="193">
      <c r="Q193">
        <f>IFERROR(INDEX(Objekte!$AD$2:$AD$201,MATCH($A193,Objekte!$Z$2:$Z$201,0)),"")</f>
        <v/>
      </c>
      <c r="R193">
        <f>IFERROR(INDEX(Objekte!$AB$2:$AB$201,MATCH($A193,Objekte!$Z$2:$Z$201,0)),"")</f>
        <v/>
      </c>
    </row>
    <row r="194">
      <c r="Q194">
        <f>IFERROR(INDEX(Objekte!$AD$2:$AD$201,MATCH($A194,Objekte!$Z$2:$Z$201,0)),"")</f>
        <v/>
      </c>
      <c r="R194">
        <f>IFERROR(INDEX(Objekte!$AB$2:$AB$201,MATCH($A194,Objekte!$Z$2:$Z$201,0)),"")</f>
        <v/>
      </c>
    </row>
    <row r="195">
      <c r="Q195">
        <f>IFERROR(INDEX(Objekte!$AD$2:$AD$201,MATCH($A195,Objekte!$Z$2:$Z$201,0)),"")</f>
        <v/>
      </c>
      <c r="R195">
        <f>IFERROR(INDEX(Objekte!$AB$2:$AB$201,MATCH($A195,Objekte!$Z$2:$Z$201,0)),"")</f>
        <v/>
      </c>
    </row>
    <row r="196">
      <c r="Q196">
        <f>IFERROR(INDEX(Objekte!$AD$2:$AD$201,MATCH($A196,Objekte!$Z$2:$Z$201,0)),"")</f>
        <v/>
      </c>
      <c r="R196">
        <f>IFERROR(INDEX(Objekte!$AB$2:$AB$201,MATCH($A196,Objekte!$Z$2:$Z$201,0)),"")</f>
        <v/>
      </c>
    </row>
    <row r="197">
      <c r="Q197">
        <f>IFERROR(INDEX(Objekte!$AD$2:$AD$201,MATCH($A197,Objekte!$Z$2:$Z$201,0)),"")</f>
        <v/>
      </c>
      <c r="R197">
        <f>IFERROR(INDEX(Objekte!$AB$2:$AB$201,MATCH($A197,Objekte!$Z$2:$Z$201,0)),"")</f>
        <v/>
      </c>
    </row>
    <row r="198">
      <c r="Q198">
        <f>IFERROR(INDEX(Objekte!$AD$2:$AD$201,MATCH($A198,Objekte!$Z$2:$Z$201,0)),"")</f>
        <v/>
      </c>
      <c r="R198">
        <f>IFERROR(INDEX(Objekte!$AB$2:$AB$201,MATCH($A198,Objekte!$Z$2:$Z$201,0)),"")</f>
        <v/>
      </c>
    </row>
    <row r="199">
      <c r="Q199">
        <f>IFERROR(INDEX(Objekte!$AD$2:$AD$201,MATCH($A199,Objekte!$Z$2:$Z$201,0)),"")</f>
        <v/>
      </c>
      <c r="R199">
        <f>IFERROR(INDEX(Objekte!$AB$2:$AB$201,MATCH($A199,Objekte!$Z$2:$Z$201,0)),"")</f>
        <v/>
      </c>
    </row>
    <row r="200">
      <c r="Q200">
        <f>IFERROR(INDEX(Objekte!$AD$2:$AD$201,MATCH($A200,Objekte!$Z$2:$Z$201,0)),"")</f>
        <v/>
      </c>
      <c r="R200">
        <f>IFERROR(INDEX(Objekte!$AB$2:$AB$201,MATCH($A200,Objekte!$Z$2:$Z$201,0)),"")</f>
        <v/>
      </c>
    </row>
    <row r="201">
      <c r="Q201">
        <f>IFERROR(INDEX(Objekte!$AD$2:$AD$201,MATCH($A201,Objekte!$Z$2:$Z$201,0)),"")</f>
        <v/>
      </c>
      <c r="R201">
        <f>IFERROR(INDEX(Objekte!$AB$2:$AB$201,MATCH($A201,Objekte!$Z$2:$Z$201,0)),"")</f>
        <v/>
      </c>
    </row>
    <row r="202">
      <c r="Q202">
        <f>IFERROR(INDEX(Objekte!$AD$2:$AD$201,MATCH($A202,Objekte!$Z$2:$Z$201,0)),"")</f>
        <v/>
      </c>
      <c r="R202">
        <f>IFERROR(INDEX(Objekte!$AB$2:$AB$201,MATCH($A202,Objekte!$Z$2:$Z$201,0)),"")</f>
        <v/>
      </c>
    </row>
    <row r="203">
      <c r="Q203">
        <f>IFERROR(INDEX(Objekte!$AD$2:$AD$201,MATCH($A203,Objekte!$Z$2:$Z$201,0)),"")</f>
        <v/>
      </c>
      <c r="R203">
        <f>IFERROR(INDEX(Objekte!$AB$2:$AB$201,MATCH($A203,Objekte!$Z$2:$Z$201,0)),"")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2026-02-12T19:35:26Z</dcterms:created>
  <dcterms:modified xmlns:dcterms="http://purl.org/dc/terms/" xmlns:xsi="http://www.w3.org/2001/XMLSchema-instance" xsi:type="dcterms:W3CDTF">2026-02-23T05:24:13Z</dcterms:modified>
</cp:coreProperties>
</file>