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kte" sheetId="1" state="visible" r:id="rId1"/>
    <sheet name="Einstellungen" sheetId="2" state="visible" r:id="rId2"/>
    <sheet name="Rangliste" sheetId="3" state="visible" r:id="rId3"/>
    <sheet name="Einstellungen v9-HTM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Ordnungsnummer</t>
        </is>
      </c>
      <c r="B1" s="1" t="inlineStr">
        <is>
          <t>Name</t>
        </is>
      </c>
      <c r="C1" s="1" t="inlineStr">
        <is>
          <t>Link Objekt (URL)</t>
        </is>
      </c>
      <c r="D1" s="1" t="inlineStr">
        <is>
          <t>Charme/Ästhetik (1-5)</t>
        </is>
      </c>
      <c r="E1" s="1" t="inlineStr">
        <is>
          <t>Zimmer</t>
        </is>
      </c>
      <c r="F1" s="1" t="inlineStr">
        <is>
          <t>Bäder</t>
        </is>
      </c>
      <c r="G1" s="1" t="inlineStr">
        <is>
          <t>Grundstücksgröße (m²)</t>
        </is>
      </c>
      <c r="H1" s="1" t="inlineStr">
        <is>
          <t>Bebaute Fläche (m²)</t>
        </is>
      </c>
      <c r="I1" s="1" t="inlineStr">
        <is>
          <t>Garten zu bewirtschaften (m²)</t>
        </is>
      </c>
      <c r="J1" s="1" t="inlineStr">
        <is>
          <t>Location</t>
        </is>
      </c>
      <c r="K1" s="1" t="inlineStr">
        <is>
          <t>Entfernung Flughafen (km)</t>
        </is>
      </c>
      <c r="L1" s="1" t="inlineStr">
        <is>
          <t>Entfernung Flughafen (min)</t>
        </is>
      </c>
      <c r="M1" s="1" t="inlineStr">
        <is>
          <t>Entfernung Daia Haus (km)</t>
        </is>
      </c>
      <c r="N1" s="1" t="inlineStr">
        <is>
          <t>Entfernung Daia Haus (min)</t>
        </is>
      </c>
      <c r="O1" s="1" t="inlineStr">
        <is>
          <t>Entfernung Andratx (km)</t>
        </is>
      </c>
      <c r="P1" s="1" t="inlineStr">
        <is>
          <t>Entfernung Andratx (min)</t>
        </is>
      </c>
      <c r="Q1" s="2" t="inlineStr">
        <is>
          <t>Entfernung Ses Salines (km)</t>
        </is>
      </c>
      <c r="R1" s="2" t="inlineStr">
        <is>
          <t>Entfernung Ses Salines (min)</t>
        </is>
      </c>
      <c r="S1" s="1" t="inlineStr">
        <is>
          <t>Preis (€)</t>
        </is>
      </c>
      <c r="T1" s="1" t="inlineStr">
        <is>
          <t>€/m² (bebaut)</t>
        </is>
      </c>
      <c r="U1" s="1" t="inlineStr">
        <is>
          <t>€/m² (Grundstück)</t>
        </is>
      </c>
      <c r="V1" s="1" t="inlineStr">
        <is>
          <t>Renovierung (0-100)</t>
        </is>
      </c>
      <c r="W1" s="1" t="inlineStr">
        <is>
          <t>Bewirtschaftung (1-5, 5=pflegeleicht)</t>
        </is>
      </c>
      <c r="X1" s="1" t="inlineStr">
        <is>
          <t>Vermietlizenz (100/50/0)</t>
        </is>
      </c>
      <c r="Y1" s="1" t="inlineStr">
        <is>
          <t>Erreichbarkeit (0-100)</t>
        </is>
      </c>
      <c r="Z1" s="1" t="inlineStr">
        <is>
          <t>Score (0-100)</t>
        </is>
      </c>
      <c r="AA1" s="1" t="inlineStr">
        <is>
          <t>SortKey (intern)</t>
        </is>
      </c>
      <c r="AB1" s="1" t="inlineStr">
        <is>
          <t>Rang</t>
        </is>
      </c>
      <c r="AC1" s="1" t="inlineStr">
        <is>
          <t>Gebäudestruktur</t>
        </is>
      </c>
      <c r="AD1" s="1" t="inlineStr">
        <is>
          <t>Baujahr (geschätzt)</t>
        </is>
      </c>
      <c r="AE1" t="inlineStr">
        <is>
          <t>Letzte Renovierung (geschätzt)</t>
        </is>
      </c>
      <c r="AF1" t="inlineStr">
        <is>
          <t>Reno-Score (0-100)</t>
        </is>
      </c>
      <c r="AG1" t="inlineStr">
        <is>
          <t>Reno-Begründung</t>
        </is>
      </c>
      <c r="AH1" t="inlineStr">
        <is>
          <t>Kommentar</t>
        </is>
      </c>
      <c r="AI1" t="inlineStr">
        <is>
          <t>Beschreibung</t>
        </is>
      </c>
      <c r="AJ1" t="inlineStr">
        <is>
          <t>Makler</t>
        </is>
      </c>
      <c r="AK1" t="inlineStr">
        <is>
          <t>Makler-Ref</t>
        </is>
      </c>
      <c r="AL1" t="inlineStr">
        <is>
          <t>Link Status</t>
        </is>
      </c>
    </row>
    <row r="2">
      <c r="A2" t="n">
        <v>1</v>
      </c>
      <c r="B2" t="inlineStr">
        <is>
          <t>Establiments — Das Volumen; 762m² zum Umdenken</t>
        </is>
      </c>
      <c r="C2" t="inlineStr">
        <is>
          <t>https://www.idealista.com/de/inmueble/106332052/mapa?utm_medium=socialmedia&amp;utm_campaign=private_sendadtofriend&amp;utm_source=copiedLink</t>
        </is>
      </c>
      <c r="D2" t="n">
        <v>4</v>
      </c>
      <c r="E2" t="n">
        <v>4</v>
      </c>
      <c r="F2" t="n">
        <v>5</v>
      </c>
      <c r="G2" t="n">
        <v>20262</v>
      </c>
      <c r="H2" t="n">
        <v>762</v>
      </c>
      <c r="I2" t="n">
        <v>19500</v>
      </c>
      <c r="J2" t="inlineStr">
        <is>
          <t>Establiments</t>
        </is>
      </c>
      <c r="K2" t="n">
        <v>16.5</v>
      </c>
      <c r="L2" t="n">
        <v>20</v>
      </c>
      <c r="M2" t="n">
        <v>30.5</v>
      </c>
      <c r="N2" t="n">
        <v>39</v>
      </c>
      <c r="O2" t="n">
        <v>34.1</v>
      </c>
      <c r="P2" t="n">
        <v>35</v>
      </c>
      <c r="Q2" t="n">
        <v>59.4</v>
      </c>
      <c r="R2" t="n">
        <v>53</v>
      </c>
      <c r="S2" t="n">
        <v>3600000</v>
      </c>
      <c r="T2" t="n">
        <v>4724</v>
      </c>
      <c r="U2" t="n">
        <v>178</v>
      </c>
      <c r="V2" t="n">
        <v>70</v>
      </c>
      <c r="W2" t="n">
        <v>3</v>
      </c>
      <c r="X2" t="n">
        <v>0</v>
      </c>
      <c r="Y2" t="n">
        <v>58.5</v>
      </c>
      <c r="Z2" t="n">
        <v>50</v>
      </c>
      <c r="AA2" t="n">
        <v>50020262781500.96</v>
      </c>
      <c r="AB2" t="n">
        <v>6</v>
      </c>
      <c r="AC2" t="inlineStr">
        <is>
          <t>Haupthaus (2 Stockwerke + Turm), große Terrassen</t>
        </is>
      </c>
      <c r="AD2" t="inlineStr">
        <is>
          <t>~1960s</t>
        </is>
      </c>
      <c r="AE2" t="inlineStr">
        <is>
          <t>~2022</t>
        </is>
      </c>
      <c r="AF2" t="n">
        <v>70</v>
      </c>
      <c r="AG2" t="inlineStr">
        <is>
          <t>Traditional country house, fully renovated with high-end kitchen (Gaggenau/Bora), modern open-plan layout. No build year listed suggests older structure. Excel comment notes 'Haupthaus (2 Stockwerke + Turm), große Terrassen'. Well-renovated but original structure is old. Old=4 → 70.</t>
        </is>
      </c>
      <c r="AI2" t="inlineStr">
        <is>
          <t>Riesig, tolle Lage — aber nur 4 Zimmer. Umbau nötig, dann ein Monster.</t>
        </is>
      </c>
      <c r="AJ2" t="inlineStr">
        <is>
          <t>Idealista</t>
        </is>
      </c>
      <c r="AK2" t="inlineStr">
        <is>
          <t>106332052</t>
        </is>
      </c>
      <c r="AL2" t="inlineStr">
        <is>
          <t>Aktiv</t>
        </is>
      </c>
    </row>
    <row r="3">
      <c r="A3" t="n">
        <v>2</v>
      </c>
      <c r="B3" t="inlineStr">
        <is>
          <t>Binissalem — Platz für alle; 8 Zimmer, endlose Gärten</t>
        </is>
      </c>
      <c r="C3" t="inlineStr">
        <is>
          <t>https://www.engelvoelkers.com/es/de/exposes/6971ac2a-f182-5703-a001-2c6f306cd2ae?utm_source=expose_sharing&amp;utm_medium=copy_link</t>
        </is>
      </c>
      <c r="D3" t="n">
        <v>4</v>
      </c>
      <c r="E3" t="n">
        <v>8</v>
      </c>
      <c r="F3" t="n">
        <v>6</v>
      </c>
      <c r="G3" t="n">
        <v>8261</v>
      </c>
      <c r="H3" t="n">
        <v>400</v>
      </c>
      <c r="I3" t="n">
        <v>7861</v>
      </c>
      <c r="J3" t="inlineStr">
        <is>
          <t>Binissalem</t>
        </is>
      </c>
      <c r="K3" t="n">
        <v>29</v>
      </c>
      <c r="L3" t="n">
        <v>24</v>
      </c>
      <c r="M3" t="n">
        <v>36.2</v>
      </c>
      <c r="N3" t="n">
        <v>42</v>
      </c>
      <c r="O3" t="n">
        <v>51.6</v>
      </c>
      <c r="P3" t="n">
        <v>42</v>
      </c>
      <c r="Q3" t="n">
        <v>71.90000000000001</v>
      </c>
      <c r="R3" t="n">
        <v>57</v>
      </c>
      <c r="S3" t="n">
        <v>3400000</v>
      </c>
      <c r="T3" t="n">
        <v>8500</v>
      </c>
      <c r="U3" t="n">
        <v>412</v>
      </c>
      <c r="V3" t="n">
        <v>72</v>
      </c>
      <c r="W3" t="n">
        <v>3</v>
      </c>
      <c r="X3" t="n">
        <v>0</v>
      </c>
      <c r="Y3" t="n">
        <v>49.3</v>
      </c>
      <c r="Z3" t="n">
        <v>57.5</v>
      </c>
      <c r="AA3" t="n">
        <v>57508261407861.96</v>
      </c>
      <c r="AB3" t="n">
        <v>3</v>
      </c>
      <c r="AC3" t="inlineStr">
        <is>
          <t>Haupthaus + 2 separate Gästehäuser</t>
        </is>
      </c>
      <c r="AD3" t="inlineStr">
        <is>
          <t>2002</t>
        </is>
      </c>
      <c r="AE3" t="inlineStr">
        <is>
          <t>~2022</t>
        </is>
      </c>
      <c r="AF3" t="n">
        <v>72</v>
      </c>
      <c r="AG3" t="inlineStr">
        <is>
          <t>Built 2002, comprehensively modernized with PV, Starlink, modern insulation. Condition rated 'Sehr gut'. Only 23 years old with full modernization. Excel: 'Sehr schön, evtl. Ausbaumöglichkeit'. Old=4 → 72.</t>
        </is>
      </c>
      <c r="AH3" t="inlineStr">
        <is>
          <t>Sehr schön, evtl. Ausbaumöglichkeit für zusätzliches Zimmer prüfen</t>
        </is>
      </c>
      <c r="AI3" t="inlineStr">
        <is>
          <t>Sommer im Garten, Großmutter zum Abendessen — alles nah, alles einfach.</t>
        </is>
      </c>
      <c r="AJ3" t="inlineStr">
        <is>
          <t>Engel &amp; Völkers</t>
        </is>
      </c>
      <c r="AL3" t="inlineStr">
        <is>
          <t>Aktiv</t>
        </is>
      </c>
    </row>
    <row r="4">
      <c r="A4" t="n">
        <v>3</v>
      </c>
      <c r="B4" t="inlineStr">
        <is>
          <t>Establiments — Charme-Refugium; altes Steinhaus mit Charakter</t>
        </is>
      </c>
      <c r="C4" t="inlineStr">
        <is>
          <t>https://www.idealista.com/de/inmueble/106744049/foto/1/?utm_medium=socialmedia&amp;utm_campaign=private_sendadtofriend&amp;utm_source=copiedLink</t>
        </is>
      </c>
      <c r="D4" t="n">
        <v>5</v>
      </c>
      <c r="E4" t="n">
        <v>7</v>
      </c>
      <c r="F4" t="n">
        <v>7</v>
      </c>
      <c r="G4" t="n">
        <v>14393</v>
      </c>
      <c r="H4" t="n">
        <v>601</v>
      </c>
      <c r="I4" t="n">
        <v>13792</v>
      </c>
      <c r="J4" t="inlineStr">
        <is>
          <t>Establiments</t>
        </is>
      </c>
      <c r="K4" t="n">
        <v>16.5</v>
      </c>
      <c r="L4" t="n">
        <v>20</v>
      </c>
      <c r="M4" t="n">
        <v>30.5</v>
      </c>
      <c r="N4" t="n">
        <v>39</v>
      </c>
      <c r="O4" t="n">
        <v>34.1</v>
      </c>
      <c r="P4" t="n">
        <v>35</v>
      </c>
      <c r="Q4" t="n">
        <v>59.4</v>
      </c>
      <c r="R4" t="n">
        <v>53</v>
      </c>
      <c r="S4" t="n">
        <v>4500000</v>
      </c>
      <c r="T4" t="n">
        <v>7488</v>
      </c>
      <c r="U4" t="n">
        <v>313</v>
      </c>
      <c r="V4" t="n">
        <v>62</v>
      </c>
      <c r="W4" t="n">
        <v>2</v>
      </c>
      <c r="X4" t="n">
        <v>0</v>
      </c>
      <c r="Y4" t="n">
        <v>58.5</v>
      </c>
      <c r="Z4" t="n">
        <v>58.6</v>
      </c>
      <c r="AA4" t="n">
        <v>58614393614792.96</v>
      </c>
      <c r="AB4" t="n">
        <v>2</v>
      </c>
      <c r="AC4" t="inlineStr">
        <is>
          <t>Haupthaus (5 SZ, 6 Bäder) + unabhängiges Gästehaus (2 SZ, 1 Bad)</t>
        </is>
      </c>
      <c r="AD4" t="inlineStr">
        <is>
          <t>1980</t>
        </is>
      </c>
      <c r="AE4" t="inlineStr">
        <is>
          <t>~2015</t>
        </is>
      </c>
      <c r="AF4" t="n">
        <v>62</v>
      </c>
      <c r="AG4" t="inlineStr">
        <is>
          <t>Built 1980 (45 years old), maintained in Mallorcan country house style with modern amenities (underfloor heating, designer kitchen). Excel: 'Gute Raumanzahl + Gästehaus, innen nicht ganz überzeugend'. Interior not fully convincing suggests renovation is partial. Old=4 → 62.</t>
        </is>
      </c>
      <c r="AH4" t="inlineStr">
        <is>
          <t>Gute Raumanzahl + Gästehaus, innen nicht ganz überzeugend</t>
        </is>
      </c>
      <c r="AI4" t="inlineStr">
        <is>
          <t>Alte Mauern, warmes Licht — ein Haus das die Kinder nie vergessen werden.</t>
        </is>
      </c>
      <c r="AJ4" t="inlineStr">
        <is>
          <t>Idealista</t>
        </is>
      </c>
      <c r="AK4" t="inlineStr">
        <is>
          <t>106744049</t>
        </is>
      </c>
      <c r="AL4" t="inlineStr">
        <is>
          <t>Aktiv</t>
        </is>
      </c>
    </row>
    <row r="5">
      <c r="A5" t="n">
        <v>4</v>
      </c>
      <c r="B5" t="inlineStr">
        <is>
          <t>Palmanyola — Klein aber Wow; Designvilla vor den Toren Palmas</t>
        </is>
      </c>
      <c r="C5" t="inlineStr">
        <is>
          <t>https://www.idealista.com/de/inmueble/109708161/plano/2/?utm_medium=socialmedia&amp;utm_campaign=private_sendadtofriend&amp;utm_source=copiedLink</t>
        </is>
      </c>
      <c r="D5" t="n">
        <v>4</v>
      </c>
      <c r="E5" t="n">
        <v>5</v>
      </c>
      <c r="F5" t="n">
        <v>5</v>
      </c>
      <c r="G5" t="n">
        <v>2500</v>
      </c>
      <c r="H5" t="n">
        <v>670</v>
      </c>
      <c r="I5" t="n">
        <v>1830</v>
      </c>
      <c r="J5" t="inlineStr">
        <is>
          <t>Palmanyola</t>
        </is>
      </c>
      <c r="K5" t="n">
        <v>16.6</v>
      </c>
      <c r="L5" t="n">
        <v>16</v>
      </c>
      <c r="M5" t="n">
        <v>18</v>
      </c>
      <c r="N5" t="n">
        <v>23</v>
      </c>
      <c r="O5" t="n">
        <v>36.2</v>
      </c>
      <c r="P5" t="n">
        <v>32</v>
      </c>
      <c r="Q5" t="n">
        <v>59.5</v>
      </c>
      <c r="R5" t="n">
        <v>50</v>
      </c>
      <c r="S5" t="n">
        <v>5600000</v>
      </c>
      <c r="T5" t="n">
        <v>8358</v>
      </c>
      <c r="U5" t="n">
        <v>2240</v>
      </c>
      <c r="V5" t="n">
        <v>78</v>
      </c>
      <c r="W5" t="n">
        <v>4</v>
      </c>
      <c r="X5" t="n">
        <v>0</v>
      </c>
      <c r="Y5" t="n">
        <v>76</v>
      </c>
      <c r="Z5" t="n">
        <v>31.3</v>
      </c>
      <c r="AA5" t="n">
        <v>31302500671830.98</v>
      </c>
      <c r="AB5" t="n">
        <v>12</v>
      </c>
      <c r="AC5" t="inlineStr">
        <is>
          <t>Freistehendes Haus mit Pool und Garten</t>
        </is>
      </c>
      <c r="AD5" t="inlineStr">
        <is>
          <t>~1990s</t>
        </is>
      </c>
      <c r="AE5" t="inlineStr">
        <is>
          <t>~2024</t>
        </is>
      </c>
      <c r="AF5" t="n">
        <v>78</v>
      </c>
      <c r="AG5" t="inlineStr">
        <is>
          <t>Description explicitly says 'komplett kernsaniert' – complete core renovation. Modern open kitchen, fireplace, 2 floors with 670m². Excel old=3 probably reflected pre-renovation state or plot size concern ('Grundstück evtl. zu klein'). Actual condition is excellent post-renovation. → 78.</t>
        </is>
      </c>
      <c r="AH5" t="inlineStr">
        <is>
          <t>Sehr modern, Grundstück evtl. zu klein</t>
        </is>
      </c>
      <c r="AI5" t="inlineStr">
        <is>
          <t>Modern, sofort bezugsfertig, nah dran — aber Grundstück zu klein für drei Kinder.</t>
        </is>
      </c>
      <c r="AJ5" t="inlineStr">
        <is>
          <t>Idealista</t>
        </is>
      </c>
      <c r="AK5" t="inlineStr">
        <is>
          <t>109708161</t>
        </is>
      </c>
      <c r="AL5" t="inlineStr">
        <is>
          <t>Aktiv</t>
        </is>
      </c>
    </row>
    <row r="6">
      <c r="A6" t="n">
        <v>5</v>
      </c>
      <c r="B6" t="inlineStr">
        <is>
          <t>Santa Maria — Potenzial pur; Rohling in Traumlage</t>
        </is>
      </c>
      <c r="C6" t="inlineStr">
        <is>
          <t>https://www.idealista.com/de/inmueble/106300856/foto/17/?utm_medium=socialmedia&amp;utm_campaign=private_sendadtofriend&amp;utm_source=copiedLink</t>
        </is>
      </c>
      <c r="D6" t="n">
        <v>4</v>
      </c>
      <c r="E6" t="n">
        <v>5</v>
      </c>
      <c r="F6" t="n">
        <v>5</v>
      </c>
      <c r="G6" t="n">
        <v>29307</v>
      </c>
      <c r="H6" t="n">
        <v>500</v>
      </c>
      <c r="I6" t="n">
        <v>28807</v>
      </c>
      <c r="J6" t="inlineStr">
        <is>
          <t>Santa Maria del Cami</t>
        </is>
      </c>
      <c r="K6" t="n">
        <v>21</v>
      </c>
      <c r="L6" t="n">
        <v>16</v>
      </c>
      <c r="M6" t="n">
        <v>24.2</v>
      </c>
      <c r="N6" t="n">
        <v>32</v>
      </c>
      <c r="O6" t="n">
        <v>43.6</v>
      </c>
      <c r="P6" t="n">
        <v>34</v>
      </c>
      <c r="Q6" t="n">
        <v>63.8</v>
      </c>
      <c r="R6" t="n">
        <v>49</v>
      </c>
      <c r="S6" t="n">
        <v>4100000</v>
      </c>
      <c r="T6" t="n">
        <v>8200</v>
      </c>
      <c r="U6" t="n">
        <v>140</v>
      </c>
      <c r="V6" t="n">
        <v>48</v>
      </c>
      <c r="W6" t="n">
        <v>3</v>
      </c>
      <c r="X6" t="n">
        <v>0</v>
      </c>
      <c r="Y6" t="n">
        <v>66</v>
      </c>
      <c r="Z6" t="n">
        <v>43.5</v>
      </c>
      <c r="AA6" t="n">
        <v>43529307528807.97</v>
      </c>
      <c r="AB6" t="n">
        <v>10</v>
      </c>
      <c r="AC6" t="inlineStr">
        <is>
          <t>Landhaus mit Pool und Terrassen, teils unfertig</t>
        </is>
      </c>
      <c r="AD6" t="inlineStr">
        <is>
          <t>2024</t>
        </is>
      </c>
      <c r="AE6" t="inlineStr">
        <is>
          <t>n/a (new build)</t>
        </is>
      </c>
      <c r="AF6" t="n">
        <v>48</v>
      </c>
      <c r="AG6" t="inlineStr">
        <is>
          <t>New build 2024 but still under construction ('In Bearbeitung'). Excel: 'Gute Lage, einiges noch nicht fertig'. While the finished product will be new, incomplete status means uncertain timeline and finishing quality. Old=3 → 48.</t>
        </is>
      </c>
      <c r="AH6" t="inlineStr">
        <is>
          <t>Gute Lage, einiges noch nicht fertig</t>
        </is>
      </c>
      <c r="AI6" t="inlineStr">
        <is>
          <t>Traumlage, nah am Flughafen — aber unfertig. Mit kleinen Kindern erstmal stressig.</t>
        </is>
      </c>
      <c r="AJ6" t="inlineStr">
        <is>
          <t>Idealista</t>
        </is>
      </c>
      <c r="AK6" t="inlineStr">
        <is>
          <t>106300856</t>
        </is>
      </c>
      <c r="AL6" t="inlineStr">
        <is>
          <t>Aktiv</t>
        </is>
      </c>
    </row>
    <row r="7">
      <c r="A7" t="n">
        <v>6</v>
      </c>
      <c r="B7" t="inlineStr">
        <is>
          <t>Campos — Zum Selbermachen; ehrliche Finca, ehrlicher Preis</t>
        </is>
      </c>
      <c r="C7" t="inlineStr">
        <is>
          <t>https://www.idealista.com/de/inmueble/81539590/?utm_medium=socialmedia&amp;utm_campaign=private_sendadtofriend&amp;utm_source=copiedLink</t>
        </is>
      </c>
      <c r="D7" t="n">
        <v>4</v>
      </c>
      <c r="E7" t="n">
        <v>6</v>
      </c>
      <c r="F7" t="n">
        <v>5</v>
      </c>
      <c r="G7" t="n">
        <v>11700</v>
      </c>
      <c r="H7" t="n">
        <v>356</v>
      </c>
      <c r="I7" t="n">
        <v>11344</v>
      </c>
      <c r="J7" t="inlineStr">
        <is>
          <t>Campos</t>
        </is>
      </c>
      <c r="K7" t="n">
        <v>29.9</v>
      </c>
      <c r="L7" t="n">
        <v>21</v>
      </c>
      <c r="M7" t="n">
        <v>64.2</v>
      </c>
      <c r="N7" t="n">
        <v>57</v>
      </c>
      <c r="O7" t="n">
        <v>67.90000000000001</v>
      </c>
      <c r="P7" t="n">
        <v>50</v>
      </c>
      <c r="Q7" t="n">
        <v>12.2</v>
      </c>
      <c r="R7" t="n">
        <v>13</v>
      </c>
      <c r="S7" t="n">
        <v>2850000</v>
      </c>
      <c r="T7" t="n">
        <v>8006</v>
      </c>
      <c r="U7" t="n">
        <v>244</v>
      </c>
      <c r="V7" t="n">
        <v>50</v>
      </c>
      <c r="W7" t="n">
        <v>3</v>
      </c>
      <c r="X7" t="n">
        <v>0</v>
      </c>
      <c r="Y7" t="n">
        <v>57.8</v>
      </c>
      <c r="Z7" t="n">
        <v>44</v>
      </c>
      <c r="AA7" t="n">
        <v>44011700367344.95</v>
      </c>
      <c r="AB7" t="n">
        <v>9</v>
      </c>
      <c r="AC7" t="inlineStr">
        <is>
          <t>Modernes Landhaus mit großem Pool und Garten</t>
        </is>
      </c>
      <c r="AD7" t="inlineStr">
        <is>
          <t>~1990s</t>
        </is>
      </c>
      <c r="AE7" t="inlineStr">
        <is>
          <t>~2010</t>
        </is>
      </c>
      <c r="AF7" t="n">
        <v>50</v>
      </c>
      <c r="AG7" t="inlineStr">
        <is>
          <t>No build year, 'In Bearbeitung' status, no heating system. Excel: 'Interessante Substanz, viel Interior-Arbeit, evtl. günstiger'. Needs significant interior renovation work. Good bones but unfinished. Old=4 seems generous; actual condition warrants 50.</t>
        </is>
      </c>
      <c r="AH7" t="inlineStr">
        <is>
          <t>Interessante Substanz, viel Interior-Arbeit, evtl. günstiger</t>
        </is>
      </c>
      <c r="AI7" t="inlineStr">
        <is>
          <t>Solide Basis, fairer Preis — aber hier muss noch Hand angelegt werden.</t>
        </is>
      </c>
      <c r="AJ7" t="inlineStr">
        <is>
          <t>Idealista</t>
        </is>
      </c>
      <c r="AK7" t="inlineStr">
        <is>
          <t>81539590</t>
        </is>
      </c>
      <c r="AL7" t="inlineStr">
        <is>
          <t>Aktiv</t>
        </is>
      </c>
    </row>
    <row r="8">
      <c r="A8" t="n">
        <v>7</v>
      </c>
      <c r="B8" t="inlineStr">
        <is>
          <t>Sa Ràpita — Strandgold; aufwachen, Es Trenc, fertig</t>
        </is>
      </c>
      <c r="C8" t="inlineStr">
        <is>
          <t>https://www.idealista.com/de/inmueble/109467637/foto/18/?utm_medium=socialmedia&amp;utm_campaign=private_sendadtofriend&amp;utm_source=copiedLink</t>
        </is>
      </c>
      <c r="D8" t="n">
        <v>4</v>
      </c>
      <c r="E8" t="n">
        <v>5</v>
      </c>
      <c r="F8" t="n">
        <v>5</v>
      </c>
      <c r="G8" t="n">
        <v>30000</v>
      </c>
      <c r="H8" t="n">
        <v>533</v>
      </c>
      <c r="I8" t="n">
        <v>29467</v>
      </c>
      <c r="J8" t="inlineStr">
        <is>
          <t>Sa Ràpita</t>
        </is>
      </c>
      <c r="K8" t="n">
        <v>35</v>
      </c>
      <c r="L8" t="n">
        <v>28</v>
      </c>
      <c r="M8" t="n">
        <v>69.40000000000001</v>
      </c>
      <c r="N8" t="n">
        <v>64</v>
      </c>
      <c r="O8" t="n">
        <v>73.09999999999999</v>
      </c>
      <c r="P8" t="n">
        <v>58</v>
      </c>
      <c r="Q8" t="n">
        <v>14.9</v>
      </c>
      <c r="R8" t="n">
        <v>17</v>
      </c>
      <c r="S8" t="n">
        <v>3950000</v>
      </c>
      <c r="T8" t="n">
        <v>7411</v>
      </c>
      <c r="U8" t="n">
        <v>132</v>
      </c>
      <c r="V8" t="n">
        <v>68</v>
      </c>
      <c r="W8" t="n">
        <v>2</v>
      </c>
      <c r="X8" t="n">
        <v>0</v>
      </c>
      <c r="Y8" t="n">
        <v>42</v>
      </c>
      <c r="Z8" t="n">
        <v>37.4</v>
      </c>
      <c r="AA8" t="n">
        <v>37430000562467.94</v>
      </c>
      <c r="AB8" t="n">
        <v>11</v>
      </c>
      <c r="AC8" t="inlineStr">
        <is>
          <t>Haupthaus mit ausgedehntem Grundstück und Pool</t>
        </is>
      </c>
      <c r="AD8" t="inlineStr">
        <is>
          <t>2024</t>
        </is>
      </c>
      <c r="AE8" t="inlineStr">
        <is>
          <t>n/a (new build)</t>
        </is>
      </c>
      <c r="AF8" t="n">
        <v>68</v>
      </c>
      <c r="AG8" t="inlineStr">
        <is>
          <t>New build 2024 with modern design and natural elements. 30,000m² plot near Es Trenc beach. No 'In Bearbeitung' flag suggests more complete than Santa Maria property. Excel old=3 seems low for a 2024 new build; possibly reflected other concerns. → 68.</t>
        </is>
      </c>
      <c r="AH8" t="inlineStr">
        <is>
          <t>Nähe Es Trenc</t>
        </is>
      </c>
      <c r="AI8" t="inlineStr">
        <is>
          <t>Strand vor der Tür, perfekt für Sommer — aber über eine Stunde zum Familienhaus.</t>
        </is>
      </c>
      <c r="AJ8" t="inlineStr">
        <is>
          <t>Idealista</t>
        </is>
      </c>
      <c r="AK8" t="inlineStr">
        <is>
          <t>109467637</t>
        </is>
      </c>
      <c r="AL8" t="inlineStr">
        <is>
          <t>Aktiv</t>
        </is>
      </c>
    </row>
    <row r="9">
      <c r="A9" t="n">
        <v>8</v>
      </c>
      <c r="B9" t="inlineStr">
        <is>
          <t>Sa Ràpita — Vision 1800; 5 Hektar warten auf deine Handschrift</t>
        </is>
      </c>
      <c r="C9" t="inlineStr">
        <is>
          <t>https://www.idealista.com/de/inmueble/106134268/video/1/?utm_medium=socialmedia&amp;utm_campaign=private_sendadtofriend&amp;utm_source=copiedLink</t>
        </is>
      </c>
      <c r="D9" t="n">
        <v>3</v>
      </c>
      <c r="E9" t="n">
        <v>6</v>
      </c>
      <c r="F9" t="n">
        <v>3</v>
      </c>
      <c r="G9" t="n">
        <v>51000</v>
      </c>
      <c r="H9" t="n">
        <v>680</v>
      </c>
      <c r="I9" t="n">
        <v>50320</v>
      </c>
      <c r="J9" t="inlineStr">
        <is>
          <t>Sa Ràpita</t>
        </is>
      </c>
      <c r="K9" t="n">
        <v>35</v>
      </c>
      <c r="L9" t="n">
        <v>28</v>
      </c>
      <c r="M9" t="n">
        <v>69.40000000000001</v>
      </c>
      <c r="N9" t="n">
        <v>64</v>
      </c>
      <c r="O9" t="n">
        <v>73.09999999999999</v>
      </c>
      <c r="P9" t="n">
        <v>58</v>
      </c>
      <c r="Q9" t="n">
        <v>14.9</v>
      </c>
      <c r="R9" t="n">
        <v>17</v>
      </c>
      <c r="S9" t="n">
        <v>2950000</v>
      </c>
      <c r="T9" t="n">
        <v>4338</v>
      </c>
      <c r="U9" t="n">
        <v>58</v>
      </c>
      <c r="V9" t="n">
        <v>30</v>
      </c>
      <c r="W9" t="n">
        <v>4</v>
      </c>
      <c r="X9" t="n">
        <v>0</v>
      </c>
      <c r="Y9" t="n">
        <v>42</v>
      </c>
      <c r="Z9" t="n">
        <v>49.3</v>
      </c>
      <c r="AA9" t="n">
        <v>49351000730320.94</v>
      </c>
      <c r="AB9" t="n">
        <v>7</v>
      </c>
      <c r="AC9" t="inlineStr">
        <is>
          <t>Haus mit Pool in ruhiger Lage</t>
        </is>
      </c>
      <c r="AD9" t="inlineStr">
        <is>
          <t>1800</t>
        </is>
      </c>
      <c r="AE9" t="inlineStr">
        <is>
          <t>unknown</t>
        </is>
      </c>
      <c r="AF9" t="n">
        <v>30</v>
      </c>
      <c r="AG9" t="inlineStr">
        <is>
          <t>Built around 1800 – over 200 years old. 'In Bearbeitung' and Excel says 'Hier könnte sich Mathieu verwirklichen' (creative project). Traditional Mallorcan farmhouse needing significant work. Described as 'gut erhalten' (well-maintained) but very old. Old=3 → 30.</t>
        </is>
      </c>
      <c r="AH9" t="inlineStr">
        <is>
          <t>Hier könnte sich Mathieu verwirklichen 😉</t>
        </is>
      </c>
      <c r="AI9" t="inlineStr">
        <is>
          <t>Für Visionäre — aber nichts für 6 Wochen im Jahr. Ehrlich gesagt: zu viel Projekt.</t>
        </is>
      </c>
      <c r="AJ9" t="inlineStr">
        <is>
          <t>Idealista</t>
        </is>
      </c>
      <c r="AK9" t="inlineStr">
        <is>
          <t>106134268</t>
        </is>
      </c>
      <c r="AL9" t="inlineStr">
        <is>
          <t>Aktiv</t>
        </is>
      </c>
    </row>
    <row r="10">
      <c r="A10" t="n">
        <v>9</v>
      </c>
      <c r="B10" t="inlineStr">
        <is>
          <t>Sencelles — 13 Hektar Paradies; dein eigenes Landgut</t>
        </is>
      </c>
      <c r="C10" t="inlineStr">
        <is>
          <t>https://ev-mallorca.com/en/mallorca-property/excellent-estate-with-its-own-vineyard-olive-grove-and-incredible-charm-W-02Q8YG</t>
        </is>
      </c>
      <c r="D10" t="n">
        <v>5</v>
      </c>
      <c r="E10" t="n">
        <v>6</v>
      </c>
      <c r="F10" t="n">
        <v>5</v>
      </c>
      <c r="G10" t="n">
        <v>132500</v>
      </c>
      <c r="H10" t="n">
        <v>682</v>
      </c>
      <c r="I10" t="n">
        <v>131818</v>
      </c>
      <c r="J10" t="inlineStr">
        <is>
          <t>Sencelles</t>
        </is>
      </c>
      <c r="K10" t="n">
        <v>31.7</v>
      </c>
      <c r="L10" t="n">
        <v>26</v>
      </c>
      <c r="M10" t="n">
        <v>38.9</v>
      </c>
      <c r="N10" t="n">
        <v>44</v>
      </c>
      <c r="O10" t="n">
        <v>54.3</v>
      </c>
      <c r="P10" t="n">
        <v>45</v>
      </c>
      <c r="Q10" t="n">
        <v>44</v>
      </c>
      <c r="R10" t="n">
        <v>45</v>
      </c>
      <c r="S10" t="n">
        <v>3900000</v>
      </c>
      <c r="T10" t="n">
        <v>5718</v>
      </c>
      <c r="U10" t="n">
        <v>29</v>
      </c>
      <c r="V10" t="n">
        <v>85</v>
      </c>
      <c r="W10" t="n">
        <v>2</v>
      </c>
      <c r="X10" t="n">
        <v>50</v>
      </c>
      <c r="Y10" t="n">
        <v>44.8</v>
      </c>
      <c r="Z10" t="n">
        <v>59.8</v>
      </c>
      <c r="AA10" t="n">
        <v>59932500813818.95</v>
      </c>
      <c r="AB10" t="n">
        <v>1</v>
      </c>
      <c r="AC10" t="inlineStr">
        <is>
          <t>Haupthaus + Gästeapartment + Studio, Weinberg &amp; Olivenhain</t>
        </is>
      </c>
      <c r="AD10" t="inlineStr">
        <is>
          <t>1890</t>
        </is>
      </c>
      <c r="AE10" t="inlineStr">
        <is>
          <t>~2020</t>
        </is>
      </c>
      <c r="AF10" t="n">
        <v>85</v>
      </c>
      <c r="AG10" t="inlineStr">
        <is>
          <t>Built 1890 but rated neuwertig (5) in Excel. Must have undergone comprehensive luxury renovation. 132,000m²+ estate with vineyard and olive grove. The 'incredible charm' title plus neuwertig rating suggests top-quality restoration. Historic character + modern luxury. → 85.</t>
        </is>
      </c>
      <c r="AH10" t="inlineStr">
        <is>
          <t>⚠️ Nicht mehr gelistet (03.03.2026)</t>
        </is>
      </c>
      <c r="AI10" t="inlineStr">
        <is>
          <t>So viel Platz, dass sich drei kleine Entdecker darin verlaufen können.</t>
        </is>
      </c>
      <c r="AJ10" t="inlineStr">
        <is>
          <t>Engel &amp; Völkers</t>
        </is>
      </c>
      <c r="AK10" t="inlineStr">
        <is>
          <t>W-02Q8YG</t>
        </is>
      </c>
      <c r="AL10" t="inlineStr">
        <is>
          <t>Nicht mehr gelistet</t>
        </is>
      </c>
    </row>
    <row r="11">
      <c r="A11" t="n">
        <v>10</v>
      </c>
      <c r="B11" t="inlineStr">
        <is>
          <t>Ses Salines — Neubau Deluxe; einziehen und leben</t>
        </is>
      </c>
      <c r="C11" t="inlineStr">
        <is>
          <t>https://ev-mallorca.com/en/mallorca-property/unique-designer-house-in-a-quiet-location-W-0475DS</t>
        </is>
      </c>
      <c r="D11" t="n">
        <v>5</v>
      </c>
      <c r="E11" t="n">
        <v>5</v>
      </c>
      <c r="F11" t="n">
        <v>5</v>
      </c>
      <c r="G11" t="n">
        <v>23800</v>
      </c>
      <c r="H11" t="n">
        <v>399</v>
      </c>
      <c r="I11" t="n">
        <v>23401</v>
      </c>
      <c r="J11" t="inlineStr">
        <is>
          <t>Ses Salines</t>
        </is>
      </c>
      <c r="K11" t="n">
        <v>42.2</v>
      </c>
      <c r="L11" t="n">
        <v>34</v>
      </c>
      <c r="M11" t="n">
        <v>76.5</v>
      </c>
      <c r="N11" t="n">
        <v>70</v>
      </c>
      <c r="O11" t="n">
        <v>80.2</v>
      </c>
      <c r="P11" t="n">
        <v>63</v>
      </c>
      <c r="Q11" t="n">
        <v>0</v>
      </c>
      <c r="R11" t="n">
        <v>0</v>
      </c>
      <c r="S11" t="n">
        <v>5450000</v>
      </c>
      <c r="T11" t="n">
        <v>13659</v>
      </c>
      <c r="U11" t="n">
        <v>229</v>
      </c>
      <c r="V11" t="n">
        <v>98</v>
      </c>
      <c r="W11" t="n">
        <v>4</v>
      </c>
      <c r="X11" t="n">
        <v>0</v>
      </c>
      <c r="Y11" t="n">
        <v>33.3</v>
      </c>
      <c r="Z11" t="n">
        <v>31</v>
      </c>
      <c r="AA11" t="n">
        <v>31023800422401.93</v>
      </c>
      <c r="AB11" t="n">
        <v>13</v>
      </c>
      <c r="AC11" t="inlineStr">
        <is>
          <t>Einzelgebäude (einstöckig), Neubau 2025</t>
        </is>
      </c>
      <c r="AD11" t="inlineStr">
        <is>
          <t>2025</t>
        </is>
      </c>
      <c r="AE11" t="inlineStr">
        <is>
          <t>n/a (new build)</t>
        </is>
      </c>
      <c r="AF11" t="n">
        <v>98</v>
      </c>
      <c r="AG11" t="inlineStr">
        <is>
          <t>Brand new construction 2025. Designer house, single-story, quiet location. As new as it gets. Old=5 → 98.</t>
        </is>
      </c>
      <c r="AI11" t="inlineStr">
        <is>
          <t>Koffer abstellen, fertig. Aber weit vom Familienhaus und über Budget.</t>
        </is>
      </c>
      <c r="AJ11" t="inlineStr">
        <is>
          <t>Engel &amp; Völkers</t>
        </is>
      </c>
      <c r="AK11" t="inlineStr">
        <is>
          <t>W-0475DS</t>
        </is>
      </c>
      <c r="AL11" t="inlineStr">
        <is>
          <t>Aktiv</t>
        </is>
      </c>
    </row>
    <row r="12">
      <c r="A12" t="n">
        <v>11</v>
      </c>
      <c r="B12" t="inlineStr">
        <is>
          <t>Moscari — Architekten-Traum; Design trifft Serra de Tramuntana</t>
        </is>
      </c>
      <c r="C12" t="inlineStr">
        <is>
          <t>https://ev-mallorca.com/en/mallorca-property/where-contemporary-design-blends-in-perfect-harmony-with-the-mediterranean-landscape-W-02NQDS</t>
        </is>
      </c>
      <c r="D12" t="n">
        <v>5</v>
      </c>
      <c r="E12" t="n">
        <v>5</v>
      </c>
      <c r="F12" t="n">
        <v>5</v>
      </c>
      <c r="G12" t="n">
        <v>19811</v>
      </c>
      <c r="H12" t="n">
        <v>832</v>
      </c>
      <c r="I12" t="n">
        <v>18979</v>
      </c>
      <c r="J12" t="inlineStr">
        <is>
          <t>Moscari</t>
        </is>
      </c>
      <c r="K12" t="n">
        <v>46.3</v>
      </c>
      <c r="L12" t="n">
        <v>34</v>
      </c>
      <c r="M12" t="n">
        <v>53.5</v>
      </c>
      <c r="N12" t="n">
        <v>52</v>
      </c>
      <c r="O12" t="n">
        <v>68.90000000000001</v>
      </c>
      <c r="P12" t="n">
        <v>52</v>
      </c>
      <c r="Q12" t="n">
        <v>64.59999999999999</v>
      </c>
      <c r="R12" t="n">
        <v>62</v>
      </c>
      <c r="S12" t="n">
        <v>3950000</v>
      </c>
      <c r="T12" t="n">
        <v>4748</v>
      </c>
      <c r="U12" t="n">
        <v>199</v>
      </c>
      <c r="V12" t="n">
        <v>92</v>
      </c>
      <c r="W12" t="n">
        <v>4</v>
      </c>
      <c r="X12" t="n">
        <v>0</v>
      </c>
      <c r="Y12" t="n">
        <v>29.3</v>
      </c>
      <c r="Z12" t="n">
        <v>48.8</v>
      </c>
      <c r="AA12" t="n">
        <v>48819811850979.95</v>
      </c>
      <c r="AB12" t="n">
        <v>8</v>
      </c>
      <c r="AC12" t="inlineStr">
        <is>
          <t>Haupthaus + separater Gästebereich</t>
        </is>
      </c>
      <c r="AD12" t="inlineStr">
        <is>
          <t>2018</t>
        </is>
      </c>
      <c r="AE12" t="inlineStr">
        <is>
          <t>n/a</t>
        </is>
      </c>
      <c r="AF12" t="n">
        <v>92</v>
      </c>
      <c r="AG12" t="inlineStr">
        <is>
          <t>Built 2018, only 8 years old. Contemporary design, large 832m² living area. Wheelchair accessible and senior-oriented suggests high-spec modern build. Excel: 'Haupthaus + separater Gästebereich'. Old=5 → 92.</t>
        </is>
      </c>
      <c r="AI12" t="inlineStr">
        <is>
          <t>Aufwachen mit Bergblick, einschlafen mit Stille — aber weit weg vom Familienhaus.</t>
        </is>
      </c>
      <c r="AJ12" t="inlineStr">
        <is>
          <t>Engel &amp; Völkers</t>
        </is>
      </c>
      <c r="AK12" t="inlineStr">
        <is>
          <t>W-02NQDS</t>
        </is>
      </c>
      <c r="AL12" t="inlineStr">
        <is>
          <t>Aktiv</t>
        </is>
      </c>
    </row>
    <row r="13">
      <c r="A13" t="n">
        <v>12</v>
      </c>
      <c r="B13" t="inlineStr">
        <is>
          <t>Campos — Finca mit Lizenz; 14 Hektar mallorquinischer Traum</t>
        </is>
      </c>
      <c r="C13" t="inlineStr">
        <is>
          <t>https://ev-mallorca.com/en/mallorca-property/dreamlike-finca-with-rental-license-near-es-trenc-W-02ZICD</t>
        </is>
      </c>
      <c r="D13" t="n">
        <v>4</v>
      </c>
      <c r="E13" t="n">
        <v>6</v>
      </c>
      <c r="F13" t="n">
        <v>6</v>
      </c>
      <c r="G13" t="n">
        <v>14200</v>
      </c>
      <c r="H13" t="n">
        <v>436</v>
      </c>
      <c r="I13" t="n">
        <v>13764</v>
      </c>
      <c r="J13" t="inlineStr">
        <is>
          <t>Campos</t>
        </is>
      </c>
      <c r="K13" t="n">
        <v>30.6</v>
      </c>
      <c r="L13" t="n">
        <v>23</v>
      </c>
      <c r="M13" t="n">
        <v>64.2</v>
      </c>
      <c r="N13" t="n">
        <v>57</v>
      </c>
      <c r="O13" t="n">
        <v>67.90000000000001</v>
      </c>
      <c r="P13" t="n">
        <v>50</v>
      </c>
      <c r="Q13" t="n">
        <v>12.2</v>
      </c>
      <c r="R13" t="n">
        <v>13</v>
      </c>
      <c r="S13" t="n">
        <v>3490000</v>
      </c>
      <c r="T13" t="n">
        <v>8005</v>
      </c>
      <c r="U13" t="n">
        <v>246</v>
      </c>
      <c r="V13" t="n">
        <v>65</v>
      </c>
      <c r="W13" t="n">
        <v>2</v>
      </c>
      <c r="X13" t="n">
        <v>100</v>
      </c>
      <c r="Y13" t="n">
        <v>56.2</v>
      </c>
      <c r="Z13" t="n">
        <v>54.4</v>
      </c>
      <c r="AA13" t="n">
        <v>54414200449764.95</v>
      </c>
      <c r="AB13" t="n">
        <v>4</v>
      </c>
      <c r="AC13" t="inlineStr">
        <is>
          <t>Haupthaus + separater Gebäudeteil (L-Form), Sportanlagen</t>
        </is>
      </c>
      <c r="AD13" t="inlineStr">
        <is>
          <t>1997</t>
        </is>
      </c>
      <c r="AE13" t="inlineStr">
        <is>
          <t>2014</t>
        </is>
      </c>
      <c r="AF13" t="n">
        <v>65</v>
      </c>
      <c r="AG13" t="inlineStr">
        <is>
          <t>Built 1997, last restored 2014 (12 years ago). Well-equipped with PV, underfloor heating, A/C. Sports facilities. But restoration is over a decade old now. Excel: 'Haupthaus + separater Gebäudeteil (L-Form), Sportanlagen'. Old=4 → 65.</t>
        </is>
      </c>
      <c r="AI13" t="inlineStr">
        <is>
          <t>Vermieten wenn ihr nicht da seid, ankommen wenn ihr wollt — die Finca rechnet sich.</t>
        </is>
      </c>
      <c r="AJ13" t="inlineStr">
        <is>
          <t>Engel &amp; Völkers</t>
        </is>
      </c>
      <c r="AK13" t="inlineStr">
        <is>
          <t>W-02ZICD</t>
        </is>
      </c>
      <c r="AL13" t="inlineStr">
        <is>
          <t>Aktiv</t>
        </is>
      </c>
    </row>
    <row r="14">
      <c r="A14" t="n">
        <v>13</v>
      </c>
      <c r="B14" t="inlineStr">
        <is>
          <t>Bunyola — Berglage mit Lizenz; Tramuntana vor der Tür</t>
        </is>
      </c>
      <c r="C14" t="inlineStr">
        <is>
          <t>https://www.idealista.com/inmueble/110322709/</t>
        </is>
      </c>
      <c r="D14" t="n">
        <v>5</v>
      </c>
      <c r="E14" t="n">
        <v>6</v>
      </c>
      <c r="F14" t="n">
        <v>5</v>
      </c>
      <c r="G14" t="n">
        <v>14785</v>
      </c>
      <c r="H14" t="n">
        <v>355</v>
      </c>
      <c r="J14" t="inlineStr">
        <is>
          <t>Bunyola</t>
        </is>
      </c>
      <c r="K14" t="n">
        <v>23.8</v>
      </c>
      <c r="L14" t="n">
        <v>20</v>
      </c>
      <c r="M14" t="n">
        <v>14.8</v>
      </c>
      <c r="N14" t="n">
        <v>20</v>
      </c>
      <c r="O14" t="n">
        <v>46.4</v>
      </c>
      <c r="P14" t="n">
        <v>38</v>
      </c>
      <c r="Q14" t="n">
        <v>66.7</v>
      </c>
      <c r="R14" t="n">
        <v>53</v>
      </c>
      <c r="S14" t="n">
        <v>3500000</v>
      </c>
      <c r="T14" t="n">
        <v>9859</v>
      </c>
      <c r="U14" t="n">
        <v>237</v>
      </c>
      <c r="V14" t="n">
        <v>70</v>
      </c>
      <c r="W14" t="n">
        <v>3</v>
      </c>
      <c r="X14" t="n">
        <v>100</v>
      </c>
      <c r="Y14" t="n">
        <v>76</v>
      </c>
      <c r="Z14" t="n">
        <v>51.2</v>
      </c>
      <c r="AA14" t="n">
        <v>51214785355000.98</v>
      </c>
      <c r="AB14" t="n">
        <v>5</v>
      </c>
      <c r="AC14" t="inlineStr">
        <is>
          <t>Haupthaus + Gästehaus (70m²) + Turm (30m²)</t>
        </is>
      </c>
      <c r="AD14" t="inlineStr">
        <is>
          <t>2008</t>
        </is>
      </c>
      <c r="AE14" t="inlineStr">
        <is>
          <t>unknown</t>
        </is>
      </c>
      <c r="AF14" t="n">
        <v>70</v>
      </c>
      <c r="AG14" t="inlineStr">
        <is>
          <t>Built 2008 (18 years old), good condition ('buen estado'). Single-story, 6 rooms, 5 baths. Excel: 'Haupthaus + Gästehaus (70m²) + Turm (30m²)'. Solid build age with good condition rating. Old=4 → 70.</t>
        </is>
      </c>
      <c r="AI14" t="inlineStr">
        <is>
          <t>20 Minuten zum Familienhaus, Berge vor der Tür, Gäste im Haus — alles gleichzeitig.</t>
        </is>
      </c>
      <c r="AJ14" t="inlineStr">
        <is>
          <t>Idealista</t>
        </is>
      </c>
      <c r="AK14" t="inlineStr">
        <is>
          <t>110322709</t>
        </is>
      </c>
      <c r="AL14" t="inlineStr">
        <is>
          <t>Aktiv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Bewertungssystem Einstellungen (blau = anpassbar)</t>
        </is>
      </c>
    </row>
    <row r="4">
      <c r="A4" t="inlineStr">
        <is>
          <t>GEWICHTE (Summe = 100)</t>
        </is>
      </c>
    </row>
    <row r="5">
      <c r="A5" t="inlineStr">
        <is>
          <t>Zimmer &amp; Platz</t>
        </is>
      </c>
      <c r="B5" t="n">
        <v>20</v>
      </c>
    </row>
    <row r="6">
      <c r="A6" t="inlineStr">
        <is>
          <t>Erreichbarkeit (Flughafen/Daia/Andratx/Ses Salines)</t>
        </is>
      </c>
      <c r="B6" t="n">
        <v>10</v>
      </c>
    </row>
    <row r="7">
      <c r="A7" t="inlineStr">
        <is>
          <t>Grundstück &amp; Garten</t>
        </is>
      </c>
      <c r="B7" t="n">
        <v>15</v>
      </c>
    </row>
    <row r="8">
      <c r="A8" t="inlineStr">
        <is>
          <t>Vermietlizenz</t>
        </is>
      </c>
      <c r="B8" t="n">
        <v>10</v>
      </c>
    </row>
    <row r="9">
      <c r="A9" t="inlineStr">
        <is>
          <t>Preis/Budget</t>
        </is>
      </c>
      <c r="B9" t="n">
        <v>15</v>
      </c>
    </row>
    <row r="10">
      <c r="A10" t="inlineStr">
        <is>
          <t>Charme / Ästhetik (1-5, manuell)</t>
        </is>
      </c>
      <c r="B10" t="n">
        <v>10</v>
      </c>
    </row>
    <row r="11">
      <c r="A11" t="inlineStr">
        <is>
          <t>Renovierung (0-100)</t>
        </is>
      </c>
      <c r="B11" t="n">
        <v>0</v>
      </c>
    </row>
    <row r="12">
      <c r="A12" t="inlineStr">
        <is>
          <t>Bewirtschaftung (1-5, 5=pflegeleicht)</t>
        </is>
      </c>
      <c r="B12" t="n">
        <v>5</v>
      </c>
    </row>
    <row r="13">
      <c r="A13" t="inlineStr">
        <is>
          <t>Preis-Leistung (€/m²)</t>
        </is>
      </c>
      <c r="B13" t="n">
        <v>15</v>
      </c>
    </row>
    <row r="14">
      <c r="A14" t="inlineStr">
        <is>
          <t>Summe</t>
        </is>
      </c>
      <c r="B14">
        <f>SUM(B5:B13)</f>
        <v/>
      </c>
    </row>
    <row r="16">
      <c r="A16" t="inlineStr">
        <is>
          <t>ERREICHBARKEIT (Minuten)</t>
        </is>
      </c>
      <c r="B16" t="inlineStr">
        <is>
          <t>Ideal</t>
        </is>
      </c>
      <c r="C16" t="inlineStr">
        <is>
          <t>Akzeptabel</t>
        </is>
      </c>
      <c r="D16" t="inlineStr">
        <is>
          <t>Dealbreaker</t>
        </is>
      </c>
      <c r="E16" t="inlineStr">
        <is>
          <t>Gewicht intern</t>
        </is>
      </c>
    </row>
    <row r="17">
      <c r="A17" t="inlineStr">
        <is>
          <t>Flughafen</t>
        </is>
      </c>
      <c r="B17" t="n">
        <v>20</v>
      </c>
      <c r="C17" t="n">
        <v>35</v>
      </c>
      <c r="D17" t="n">
        <v>50</v>
      </c>
      <c r="E17" t="n">
        <v>25</v>
      </c>
    </row>
    <row r="18">
      <c r="A18" t="inlineStr">
        <is>
          <t>Daia (Hotel Corazón)</t>
        </is>
      </c>
      <c r="B18" t="n">
        <v>20</v>
      </c>
      <c r="C18" t="n">
        <v>40</v>
      </c>
      <c r="D18" t="n">
        <v>70</v>
      </c>
      <c r="E18" t="n">
        <v>40</v>
      </c>
    </row>
    <row r="19">
      <c r="A19" t="inlineStr">
        <is>
          <t>Andratx</t>
        </is>
      </c>
      <c r="B19" t="n">
        <v>30</v>
      </c>
      <c r="C19" t="n">
        <v>45</v>
      </c>
      <c r="D19" t="n">
        <v>60</v>
      </c>
      <c r="E19" t="n">
        <v>15</v>
      </c>
    </row>
    <row r="20">
      <c r="A20" t="inlineStr">
        <is>
          <t>Ses Salines</t>
        </is>
      </c>
      <c r="B20" t="n">
        <v>15</v>
      </c>
      <c r="C20" t="n">
        <v>30</v>
      </c>
      <c r="D20" t="n">
        <v>45</v>
      </c>
      <c r="E20" t="n">
        <v>20</v>
      </c>
    </row>
    <row r="22">
      <c r="A22" t="inlineStr">
        <is>
          <t>ZIMMER</t>
        </is>
      </c>
    </row>
    <row r="23">
      <c r="A23" t="inlineStr">
        <is>
          <t>Minimum Zimmer</t>
        </is>
      </c>
      <c r="B23" t="n">
        <v>5</v>
      </c>
    </row>
    <row r="24">
      <c r="A24" t="inlineStr">
        <is>
          <t>Ideal Zimmer</t>
        </is>
      </c>
      <c r="B24" t="n">
        <v>8</v>
      </c>
    </row>
    <row r="26">
      <c r="A26" t="inlineStr">
        <is>
          <t>GRUNDSTÜCK &amp; GARTEN</t>
        </is>
      </c>
    </row>
    <row r="27">
      <c r="A27" t="inlineStr">
        <is>
          <t>Min Grundstück (m²)</t>
        </is>
      </c>
      <c r="B27" t="n">
        <v>3000</v>
      </c>
    </row>
    <row r="28">
      <c r="A28" t="inlineStr">
        <is>
          <t>Ideal Grundstück (m²)</t>
        </is>
      </c>
      <c r="B28" t="n">
        <v>15000</v>
      </c>
    </row>
    <row r="29">
      <c r="A29" t="inlineStr">
        <is>
          <t>Min Garten/Rasen (m²)</t>
        </is>
      </c>
      <c r="B29" t="n">
        <v>1000</v>
      </c>
    </row>
    <row r="30">
      <c r="A30" t="inlineStr">
        <is>
          <t>Ideal Garten/Rasen (m²)</t>
        </is>
      </c>
      <c r="B30" t="n">
        <v>5000</v>
      </c>
    </row>
    <row r="32">
      <c r="A32" t="inlineStr">
        <is>
          <t>VALUE</t>
        </is>
      </c>
    </row>
    <row r="33">
      <c r="A33" t="inlineStr">
        <is>
          <t>Ziel €/m² (bebaut)</t>
        </is>
      </c>
      <c r="B33" t="n">
        <v>5000</v>
      </c>
    </row>
    <row r="34">
      <c r="A34" t="inlineStr">
        <is>
          <t>Max €/m² (bebaut)</t>
        </is>
      </c>
      <c r="B34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Rangliste (automatisch aus 'Objekte')</t>
        </is>
      </c>
    </row>
    <row r="3">
      <c r="A3" t="inlineStr">
        <is>
          <t>Rang</t>
        </is>
      </c>
      <c r="B3" t="inlineStr">
        <is>
          <t>Name</t>
        </is>
      </c>
      <c r="C3" t="inlineStr">
        <is>
          <t>Score</t>
        </is>
      </c>
      <c r="D3" t="inlineStr">
        <is>
          <t>Erreichb.</t>
        </is>
      </c>
      <c r="E3" t="inlineStr">
        <is>
          <t>Flugh.(min)</t>
        </is>
      </c>
      <c r="F3" t="inlineStr">
        <is>
          <t>Daia (min)</t>
        </is>
      </c>
      <c r="G3" t="inlineStr">
        <is>
          <t>Andratx (min)</t>
        </is>
      </c>
      <c r="H3" t="inlineStr">
        <is>
          <t>Zimmer</t>
        </is>
      </c>
      <c r="I3" t="inlineStr">
        <is>
          <t>Grundstück</t>
        </is>
      </c>
      <c r="J3" t="inlineStr">
        <is>
          <t>Garten</t>
        </is>
      </c>
      <c r="K3" t="inlineStr">
        <is>
          <t>Preis (€)</t>
        </is>
      </c>
      <c r="L3" t="inlineStr">
        <is>
          <t>Lizenz</t>
        </is>
      </c>
      <c r="M3" t="inlineStr">
        <is>
          <t>Charme</t>
        </is>
      </c>
      <c r="N3" t="inlineStr">
        <is>
          <t>Bewirtsch.</t>
        </is>
      </c>
      <c r="O3" t="inlineStr">
        <is>
          <t>Kommentar</t>
        </is>
      </c>
      <c r="P3" t="inlineStr">
        <is>
          <t>URL</t>
        </is>
      </c>
      <c r="Q3" t="inlineStr">
        <is>
          <t>Reno-Score</t>
        </is>
      </c>
      <c r="R3" t="inlineStr">
        <is>
          <t>Baujahr</t>
        </is>
      </c>
    </row>
    <row r="4">
      <c r="A4" t="n">
        <v>1</v>
      </c>
      <c r="B4">
        <f>IFERROR(INDEX(Objekte!$B$2:$B$201,MATCH($A4,Objekte!$AB$2:$AB$201,0)),"")</f>
        <v/>
      </c>
      <c r="C4">
        <f>IFERROR(INDEX(Objekte!$Z$2:$Z$201,MATCH($A4,Objekte!$AB$2:$AB$201,0)),"")</f>
        <v/>
      </c>
      <c r="D4">
        <f>IFERROR(INDEX(Objekte!$Y$2:$Y$201,MATCH($A4,Objekte!$AB$2:$AB$201,0)),"")</f>
        <v/>
      </c>
      <c r="E4">
        <f>IFERROR(INDEX(Objekte!$L$2:$L$201,MATCH($A4,Objekte!$AB$2:$AB$201,0)),"")</f>
        <v/>
      </c>
      <c r="F4">
        <f>IFERROR(INDEX(Objekte!$N$2:$N$201,MATCH($A4,Objekte!$AB$2:$AB$201,0)),"")</f>
        <v/>
      </c>
      <c r="G4">
        <f>IFERROR(INDEX(Objekte!$P$2:$P$201,MATCH($A4,Objekte!$AB$2:$AB$201,0)),"")</f>
        <v/>
      </c>
      <c r="H4">
        <f>IFERROR(INDEX(Objekte!$E$2:$E$201,MATCH($A4,Objekte!$AB$2:$AB$201,0)),"")</f>
        <v/>
      </c>
      <c r="I4">
        <f>IFERROR(INDEX(Objekte!$G$2:$G$201,MATCH($A4,Objekte!$AB$2:$AB$201,0)),"")</f>
        <v/>
      </c>
      <c r="J4">
        <f>IFERROR(INDEX(Objekte!$I$2:$I$201,MATCH($A4,Objekte!$AB$2:$AB$201,0)),"")</f>
        <v/>
      </c>
      <c r="K4">
        <f>IFERROR(INDEX(Objekte!$S$2:$S$201,MATCH($A4,Objekte!$AB$2:$AB$201,0)),"")</f>
        <v/>
      </c>
      <c r="L4">
        <f>IFERROR(INDEX(Objekte!$X$2:$X$201,MATCH($A4,Objekte!$AB$2:$AB$201,0)),"")</f>
        <v/>
      </c>
      <c r="M4">
        <f>IFERROR(INDEX(Objekte!$D$2:$D$201,MATCH($A4,Objekte!$AB$2:$AB$201,0)),"")</f>
        <v/>
      </c>
      <c r="N4">
        <f>IFERROR(INDEX(Objekte!$W$2:$W$201,MATCH($A4,Objekte!$AB$2:$AB$201,0)),"")</f>
        <v/>
      </c>
      <c r="O4">
        <f>IFERROR(INDEX(Objekte!$AH$2:$AH$201,MATCH($A4,Objekte!$AB$2:$AB$201,0)),"")</f>
        <v/>
      </c>
      <c r="P4">
        <f>IFERROR(INDEX(Objekte!$C$2:$C$201,MATCH($A4,Objekte!$AB$2:$AB$201,0)),"")</f>
        <v/>
      </c>
      <c r="Q4">
        <f>IFERROR(INDEX(Objekte!$AF$2:$AF$201,MATCH($A4,Objekte!$AB$2:$AB$201,0)),"")</f>
        <v/>
      </c>
      <c r="R4">
        <f>IFERROR(INDEX(Objekte!$AD$2:$AD$201,MATCH($A4,Objekte!$AB$2:$AB$201,0)),"")</f>
        <v/>
      </c>
    </row>
    <row r="5">
      <c r="A5" t="n">
        <v>2</v>
      </c>
      <c r="B5">
        <f>IFERROR(INDEX(Objekte!$B$2:$B$201,MATCH($A5,Objekte!$AB$2:$AB$201,0)),"")</f>
        <v/>
      </c>
      <c r="C5">
        <f>IFERROR(INDEX(Objekte!$Z$2:$Z$201,MATCH($A5,Objekte!$AB$2:$AB$201,0)),"")</f>
        <v/>
      </c>
      <c r="D5">
        <f>IFERROR(INDEX(Objekte!$Y$2:$Y$201,MATCH($A5,Objekte!$AB$2:$AB$201,0)),"")</f>
        <v/>
      </c>
      <c r="E5">
        <f>IFERROR(INDEX(Objekte!$L$2:$L$201,MATCH($A5,Objekte!$AB$2:$AB$201,0)),"")</f>
        <v/>
      </c>
      <c r="F5">
        <f>IFERROR(INDEX(Objekte!$N$2:$N$201,MATCH($A5,Objekte!$AB$2:$AB$201,0)),"")</f>
        <v/>
      </c>
      <c r="G5">
        <f>IFERROR(INDEX(Objekte!$P$2:$P$201,MATCH($A5,Objekte!$AB$2:$AB$201,0)),"")</f>
        <v/>
      </c>
      <c r="H5">
        <f>IFERROR(INDEX(Objekte!$E$2:$E$201,MATCH($A5,Objekte!$AB$2:$AB$201,0)),"")</f>
        <v/>
      </c>
      <c r="I5">
        <f>IFERROR(INDEX(Objekte!$G$2:$G$201,MATCH($A5,Objekte!$AB$2:$AB$201,0)),"")</f>
        <v/>
      </c>
      <c r="J5">
        <f>IFERROR(INDEX(Objekte!$I$2:$I$201,MATCH($A5,Objekte!$AB$2:$AB$201,0)),"")</f>
        <v/>
      </c>
      <c r="K5">
        <f>IFERROR(INDEX(Objekte!$S$2:$S$201,MATCH($A5,Objekte!$AB$2:$AB$201,0)),"")</f>
        <v/>
      </c>
      <c r="L5">
        <f>IFERROR(INDEX(Objekte!$X$2:$X$201,MATCH($A5,Objekte!$AB$2:$AB$201,0)),"")</f>
        <v/>
      </c>
      <c r="M5">
        <f>IFERROR(INDEX(Objekte!$D$2:$D$201,MATCH($A5,Objekte!$AB$2:$AB$201,0)),"")</f>
        <v/>
      </c>
      <c r="N5">
        <f>IFERROR(INDEX(Objekte!$W$2:$W$201,MATCH($A5,Objekte!$AB$2:$AB$201,0)),"")</f>
        <v/>
      </c>
      <c r="O5">
        <f>IFERROR(INDEX(Objekte!$AH$2:$AH$201,MATCH($A5,Objekte!$AB$2:$AB$201,0)),"")</f>
        <v/>
      </c>
      <c r="P5">
        <f>IFERROR(INDEX(Objekte!$C$2:$C$201,MATCH($A5,Objekte!$AB$2:$AB$201,0)),"")</f>
        <v/>
      </c>
      <c r="Q5">
        <f>IFERROR(INDEX(Objekte!$AF$2:$AF$201,MATCH($A5,Objekte!$AB$2:$AB$201,0)),"")</f>
        <v/>
      </c>
      <c r="R5">
        <f>IFERROR(INDEX(Objekte!$AD$2:$AD$201,MATCH($A5,Objekte!$AB$2:$AB$201,0)),"")</f>
        <v/>
      </c>
    </row>
    <row r="6">
      <c r="A6" t="n">
        <v>3</v>
      </c>
      <c r="B6">
        <f>IFERROR(INDEX(Objekte!$B$2:$B$201,MATCH($A6,Objekte!$AB$2:$AB$201,0)),"")</f>
        <v/>
      </c>
      <c r="C6">
        <f>IFERROR(INDEX(Objekte!$Z$2:$Z$201,MATCH($A6,Objekte!$AB$2:$AB$201,0)),"")</f>
        <v/>
      </c>
      <c r="D6">
        <f>IFERROR(INDEX(Objekte!$Y$2:$Y$201,MATCH($A6,Objekte!$AB$2:$AB$201,0)),"")</f>
        <v/>
      </c>
      <c r="E6">
        <f>IFERROR(INDEX(Objekte!$L$2:$L$201,MATCH($A6,Objekte!$AB$2:$AB$201,0)),"")</f>
        <v/>
      </c>
      <c r="F6">
        <f>IFERROR(INDEX(Objekte!$N$2:$N$201,MATCH($A6,Objekte!$AB$2:$AB$201,0)),"")</f>
        <v/>
      </c>
      <c r="G6">
        <f>IFERROR(INDEX(Objekte!$P$2:$P$201,MATCH($A6,Objekte!$AB$2:$AB$201,0)),"")</f>
        <v/>
      </c>
      <c r="H6">
        <f>IFERROR(INDEX(Objekte!$E$2:$E$201,MATCH($A6,Objekte!$AB$2:$AB$201,0)),"")</f>
        <v/>
      </c>
      <c r="I6">
        <f>IFERROR(INDEX(Objekte!$G$2:$G$201,MATCH($A6,Objekte!$AB$2:$AB$201,0)),"")</f>
        <v/>
      </c>
      <c r="J6">
        <f>IFERROR(INDEX(Objekte!$I$2:$I$201,MATCH($A6,Objekte!$AB$2:$AB$201,0)),"")</f>
        <v/>
      </c>
      <c r="K6">
        <f>IFERROR(INDEX(Objekte!$S$2:$S$201,MATCH($A6,Objekte!$AB$2:$AB$201,0)),"")</f>
        <v/>
      </c>
      <c r="L6">
        <f>IFERROR(INDEX(Objekte!$X$2:$X$201,MATCH($A6,Objekte!$AB$2:$AB$201,0)),"")</f>
        <v/>
      </c>
      <c r="M6">
        <f>IFERROR(INDEX(Objekte!$D$2:$D$201,MATCH($A6,Objekte!$AB$2:$AB$201,0)),"")</f>
        <v/>
      </c>
      <c r="N6">
        <f>IFERROR(INDEX(Objekte!$W$2:$W$201,MATCH($A6,Objekte!$AB$2:$AB$201,0)),"")</f>
        <v/>
      </c>
      <c r="O6">
        <f>IFERROR(INDEX(Objekte!$AH$2:$AH$201,MATCH($A6,Objekte!$AB$2:$AB$201,0)),"")</f>
        <v/>
      </c>
      <c r="P6">
        <f>IFERROR(INDEX(Objekte!$C$2:$C$201,MATCH($A6,Objekte!$AB$2:$AB$201,0)),"")</f>
        <v/>
      </c>
      <c r="Q6">
        <f>IFERROR(INDEX(Objekte!$AF$2:$AF$201,MATCH($A6,Objekte!$AB$2:$AB$201,0)),"")</f>
        <v/>
      </c>
      <c r="R6">
        <f>IFERROR(INDEX(Objekte!$AD$2:$AD$201,MATCH($A6,Objekte!$AB$2:$AB$201,0)),"")</f>
        <v/>
      </c>
    </row>
    <row r="7">
      <c r="A7" t="n">
        <v>4</v>
      </c>
      <c r="B7">
        <f>IFERROR(INDEX(Objekte!$B$2:$B$201,MATCH($A7,Objekte!$AB$2:$AB$201,0)),"")</f>
        <v/>
      </c>
      <c r="C7">
        <f>IFERROR(INDEX(Objekte!$Z$2:$Z$201,MATCH($A7,Objekte!$AB$2:$AB$201,0)),"")</f>
        <v/>
      </c>
      <c r="D7">
        <f>IFERROR(INDEX(Objekte!$Y$2:$Y$201,MATCH($A7,Objekte!$AB$2:$AB$201,0)),"")</f>
        <v/>
      </c>
      <c r="E7">
        <f>IFERROR(INDEX(Objekte!$L$2:$L$201,MATCH($A7,Objekte!$AB$2:$AB$201,0)),"")</f>
        <v/>
      </c>
      <c r="F7">
        <f>IFERROR(INDEX(Objekte!$N$2:$N$201,MATCH($A7,Objekte!$AB$2:$AB$201,0)),"")</f>
        <v/>
      </c>
      <c r="G7">
        <f>IFERROR(INDEX(Objekte!$P$2:$P$201,MATCH($A7,Objekte!$AB$2:$AB$201,0)),"")</f>
        <v/>
      </c>
      <c r="H7">
        <f>IFERROR(INDEX(Objekte!$E$2:$E$201,MATCH($A7,Objekte!$AB$2:$AB$201,0)),"")</f>
        <v/>
      </c>
      <c r="I7">
        <f>IFERROR(INDEX(Objekte!$G$2:$G$201,MATCH($A7,Objekte!$AB$2:$AB$201,0)),"")</f>
        <v/>
      </c>
      <c r="J7">
        <f>IFERROR(INDEX(Objekte!$I$2:$I$201,MATCH($A7,Objekte!$AB$2:$AB$201,0)),"")</f>
        <v/>
      </c>
      <c r="K7">
        <f>IFERROR(INDEX(Objekte!$S$2:$S$201,MATCH($A7,Objekte!$AB$2:$AB$201,0)),"")</f>
        <v/>
      </c>
      <c r="L7">
        <f>IFERROR(INDEX(Objekte!$X$2:$X$201,MATCH($A7,Objekte!$AB$2:$AB$201,0)),"")</f>
        <v/>
      </c>
      <c r="M7">
        <f>IFERROR(INDEX(Objekte!$D$2:$D$201,MATCH($A7,Objekte!$AB$2:$AB$201,0)),"")</f>
        <v/>
      </c>
      <c r="N7">
        <f>IFERROR(INDEX(Objekte!$W$2:$W$201,MATCH($A7,Objekte!$AB$2:$AB$201,0)),"")</f>
        <v/>
      </c>
      <c r="O7">
        <f>IFERROR(INDEX(Objekte!$AH$2:$AH$201,MATCH($A7,Objekte!$AB$2:$AB$201,0)),"")</f>
        <v/>
      </c>
      <c r="P7">
        <f>IFERROR(INDEX(Objekte!$C$2:$C$201,MATCH($A7,Objekte!$AB$2:$AB$201,0)),"")</f>
        <v/>
      </c>
      <c r="Q7">
        <f>IFERROR(INDEX(Objekte!$AF$2:$AF$201,MATCH($A7,Objekte!$AB$2:$AB$201,0)),"")</f>
        <v/>
      </c>
      <c r="R7">
        <f>IFERROR(INDEX(Objekte!$AD$2:$AD$201,MATCH($A7,Objekte!$AB$2:$AB$201,0)),"")</f>
        <v/>
      </c>
    </row>
    <row r="8">
      <c r="A8" t="n">
        <v>5</v>
      </c>
      <c r="B8">
        <f>IFERROR(INDEX(Objekte!$B$2:$B$201,MATCH($A8,Objekte!$AB$2:$AB$201,0)),"")</f>
        <v/>
      </c>
      <c r="C8">
        <f>IFERROR(INDEX(Objekte!$Z$2:$Z$201,MATCH($A8,Objekte!$AB$2:$AB$201,0)),"")</f>
        <v/>
      </c>
      <c r="D8">
        <f>IFERROR(INDEX(Objekte!$Y$2:$Y$201,MATCH($A8,Objekte!$AB$2:$AB$201,0)),"")</f>
        <v/>
      </c>
      <c r="E8">
        <f>IFERROR(INDEX(Objekte!$L$2:$L$201,MATCH($A8,Objekte!$AB$2:$AB$201,0)),"")</f>
        <v/>
      </c>
      <c r="F8">
        <f>IFERROR(INDEX(Objekte!$N$2:$N$201,MATCH($A8,Objekte!$AB$2:$AB$201,0)),"")</f>
        <v/>
      </c>
      <c r="G8">
        <f>IFERROR(INDEX(Objekte!$P$2:$P$201,MATCH($A8,Objekte!$AB$2:$AB$201,0)),"")</f>
        <v/>
      </c>
      <c r="H8">
        <f>IFERROR(INDEX(Objekte!$E$2:$E$201,MATCH($A8,Objekte!$AB$2:$AB$201,0)),"")</f>
        <v/>
      </c>
      <c r="I8">
        <f>IFERROR(INDEX(Objekte!$G$2:$G$201,MATCH($A8,Objekte!$AB$2:$AB$201,0)),"")</f>
        <v/>
      </c>
      <c r="J8">
        <f>IFERROR(INDEX(Objekte!$I$2:$I$201,MATCH($A8,Objekte!$AB$2:$AB$201,0)),"")</f>
        <v/>
      </c>
      <c r="K8">
        <f>IFERROR(INDEX(Objekte!$S$2:$S$201,MATCH($A8,Objekte!$AB$2:$AB$201,0)),"")</f>
        <v/>
      </c>
      <c r="L8">
        <f>IFERROR(INDEX(Objekte!$X$2:$X$201,MATCH($A8,Objekte!$AB$2:$AB$201,0)),"")</f>
        <v/>
      </c>
      <c r="M8">
        <f>IFERROR(INDEX(Objekte!$D$2:$D$201,MATCH($A8,Objekte!$AB$2:$AB$201,0)),"")</f>
        <v/>
      </c>
      <c r="N8">
        <f>IFERROR(INDEX(Objekte!$W$2:$W$201,MATCH($A8,Objekte!$AB$2:$AB$201,0)),"")</f>
        <v/>
      </c>
      <c r="O8">
        <f>IFERROR(INDEX(Objekte!$AH$2:$AH$201,MATCH($A8,Objekte!$AB$2:$AB$201,0)),"")</f>
        <v/>
      </c>
      <c r="P8">
        <f>IFERROR(INDEX(Objekte!$C$2:$C$201,MATCH($A8,Objekte!$AB$2:$AB$201,0)),"")</f>
        <v/>
      </c>
      <c r="Q8">
        <f>IFERROR(INDEX(Objekte!$AF$2:$AF$201,MATCH($A8,Objekte!$AB$2:$AB$201,0)),"")</f>
        <v/>
      </c>
      <c r="R8">
        <f>IFERROR(INDEX(Objekte!$AD$2:$AD$201,MATCH($A8,Objekte!$AB$2:$AB$201,0)),"")</f>
        <v/>
      </c>
    </row>
    <row r="9">
      <c r="A9" t="n">
        <v>6</v>
      </c>
      <c r="B9">
        <f>IFERROR(INDEX(Objekte!$B$2:$B$201,MATCH($A9,Objekte!$AB$2:$AB$201,0)),"")</f>
        <v/>
      </c>
      <c r="C9">
        <f>IFERROR(INDEX(Objekte!$Z$2:$Z$201,MATCH($A9,Objekte!$AB$2:$AB$201,0)),"")</f>
        <v/>
      </c>
      <c r="D9">
        <f>IFERROR(INDEX(Objekte!$Y$2:$Y$201,MATCH($A9,Objekte!$AB$2:$AB$201,0)),"")</f>
        <v/>
      </c>
      <c r="E9">
        <f>IFERROR(INDEX(Objekte!$L$2:$L$201,MATCH($A9,Objekte!$AB$2:$AB$201,0)),"")</f>
        <v/>
      </c>
      <c r="F9">
        <f>IFERROR(INDEX(Objekte!$N$2:$N$201,MATCH($A9,Objekte!$AB$2:$AB$201,0)),"")</f>
        <v/>
      </c>
      <c r="G9">
        <f>IFERROR(INDEX(Objekte!$P$2:$P$201,MATCH($A9,Objekte!$AB$2:$AB$201,0)),"")</f>
        <v/>
      </c>
      <c r="H9">
        <f>IFERROR(INDEX(Objekte!$E$2:$E$201,MATCH($A9,Objekte!$AB$2:$AB$201,0)),"")</f>
        <v/>
      </c>
      <c r="I9">
        <f>IFERROR(INDEX(Objekte!$G$2:$G$201,MATCH($A9,Objekte!$AB$2:$AB$201,0)),"")</f>
        <v/>
      </c>
      <c r="J9">
        <f>IFERROR(INDEX(Objekte!$I$2:$I$201,MATCH($A9,Objekte!$AB$2:$AB$201,0)),"")</f>
        <v/>
      </c>
      <c r="K9">
        <f>IFERROR(INDEX(Objekte!$S$2:$S$201,MATCH($A9,Objekte!$AB$2:$AB$201,0)),"")</f>
        <v/>
      </c>
      <c r="L9">
        <f>IFERROR(INDEX(Objekte!$X$2:$X$201,MATCH($A9,Objekte!$AB$2:$AB$201,0)),"")</f>
        <v/>
      </c>
      <c r="M9">
        <f>IFERROR(INDEX(Objekte!$D$2:$D$201,MATCH($A9,Objekte!$AB$2:$AB$201,0)),"")</f>
        <v/>
      </c>
      <c r="N9">
        <f>IFERROR(INDEX(Objekte!$W$2:$W$201,MATCH($A9,Objekte!$AB$2:$AB$201,0)),"")</f>
        <v/>
      </c>
      <c r="O9">
        <f>IFERROR(INDEX(Objekte!$AH$2:$AH$201,MATCH($A9,Objekte!$AB$2:$AB$201,0)),"")</f>
        <v/>
      </c>
      <c r="P9">
        <f>IFERROR(INDEX(Objekte!$C$2:$C$201,MATCH($A9,Objekte!$AB$2:$AB$201,0)),"")</f>
        <v/>
      </c>
      <c r="Q9">
        <f>IFERROR(INDEX(Objekte!$AF$2:$AF$201,MATCH($A9,Objekte!$AB$2:$AB$201,0)),"")</f>
        <v/>
      </c>
      <c r="R9">
        <f>IFERROR(INDEX(Objekte!$AD$2:$AD$201,MATCH($A9,Objekte!$AB$2:$AB$201,0)),"")</f>
        <v/>
      </c>
    </row>
    <row r="10">
      <c r="A10" t="n">
        <v>7</v>
      </c>
      <c r="B10">
        <f>IFERROR(INDEX(Objekte!$B$2:$B$201,MATCH($A10,Objekte!$AB$2:$AB$201,0)),"")</f>
        <v/>
      </c>
      <c r="C10">
        <f>IFERROR(INDEX(Objekte!$Z$2:$Z$201,MATCH($A10,Objekte!$AB$2:$AB$201,0)),"")</f>
        <v/>
      </c>
      <c r="D10">
        <f>IFERROR(INDEX(Objekte!$Y$2:$Y$201,MATCH($A10,Objekte!$AB$2:$AB$201,0)),"")</f>
        <v/>
      </c>
      <c r="E10">
        <f>IFERROR(INDEX(Objekte!$L$2:$L$201,MATCH($A10,Objekte!$AB$2:$AB$201,0)),"")</f>
        <v/>
      </c>
      <c r="F10">
        <f>IFERROR(INDEX(Objekte!$N$2:$N$201,MATCH($A10,Objekte!$AB$2:$AB$201,0)),"")</f>
        <v/>
      </c>
      <c r="G10">
        <f>IFERROR(INDEX(Objekte!$P$2:$P$201,MATCH($A10,Objekte!$AB$2:$AB$201,0)),"")</f>
        <v/>
      </c>
      <c r="H10">
        <f>IFERROR(INDEX(Objekte!$E$2:$E$201,MATCH($A10,Objekte!$AB$2:$AB$201,0)),"")</f>
        <v/>
      </c>
      <c r="I10">
        <f>IFERROR(INDEX(Objekte!$G$2:$G$201,MATCH($A10,Objekte!$AB$2:$AB$201,0)),"")</f>
        <v/>
      </c>
      <c r="J10">
        <f>IFERROR(INDEX(Objekte!$I$2:$I$201,MATCH($A10,Objekte!$AB$2:$AB$201,0)),"")</f>
        <v/>
      </c>
      <c r="K10">
        <f>IFERROR(INDEX(Objekte!$S$2:$S$201,MATCH($A10,Objekte!$AB$2:$AB$201,0)),"")</f>
        <v/>
      </c>
      <c r="L10">
        <f>IFERROR(INDEX(Objekte!$X$2:$X$201,MATCH($A10,Objekte!$AB$2:$AB$201,0)),"")</f>
        <v/>
      </c>
      <c r="M10">
        <f>IFERROR(INDEX(Objekte!$D$2:$D$201,MATCH($A10,Objekte!$AB$2:$AB$201,0)),"")</f>
        <v/>
      </c>
      <c r="N10">
        <f>IFERROR(INDEX(Objekte!$W$2:$W$201,MATCH($A10,Objekte!$AB$2:$AB$201,0)),"")</f>
        <v/>
      </c>
      <c r="O10">
        <f>IFERROR(INDEX(Objekte!$AH$2:$AH$201,MATCH($A10,Objekte!$AB$2:$AB$201,0)),"")</f>
        <v/>
      </c>
      <c r="P10">
        <f>IFERROR(INDEX(Objekte!$C$2:$C$201,MATCH($A10,Objekte!$AB$2:$AB$201,0)),"")</f>
        <v/>
      </c>
      <c r="Q10">
        <f>IFERROR(INDEX(Objekte!$AF$2:$AF$201,MATCH($A10,Objekte!$AB$2:$AB$201,0)),"")</f>
        <v/>
      </c>
      <c r="R10">
        <f>IFERROR(INDEX(Objekte!$AD$2:$AD$201,MATCH($A10,Objekte!$AB$2:$AB$201,0)),"")</f>
        <v/>
      </c>
    </row>
    <row r="11">
      <c r="A11" t="n">
        <v>8</v>
      </c>
      <c r="B11">
        <f>IFERROR(INDEX(Objekte!$B$2:$B$201,MATCH($A11,Objekte!$AB$2:$AB$201,0)),"")</f>
        <v/>
      </c>
      <c r="C11">
        <f>IFERROR(INDEX(Objekte!$Z$2:$Z$201,MATCH($A11,Objekte!$AB$2:$AB$201,0)),"")</f>
        <v/>
      </c>
      <c r="D11">
        <f>IFERROR(INDEX(Objekte!$Y$2:$Y$201,MATCH($A11,Objekte!$AB$2:$AB$201,0)),"")</f>
        <v/>
      </c>
      <c r="E11">
        <f>IFERROR(INDEX(Objekte!$L$2:$L$201,MATCH($A11,Objekte!$AB$2:$AB$201,0)),"")</f>
        <v/>
      </c>
      <c r="F11">
        <f>IFERROR(INDEX(Objekte!$N$2:$N$201,MATCH($A11,Objekte!$AB$2:$AB$201,0)),"")</f>
        <v/>
      </c>
      <c r="G11">
        <f>IFERROR(INDEX(Objekte!$P$2:$P$201,MATCH($A11,Objekte!$AB$2:$AB$201,0)),"")</f>
        <v/>
      </c>
      <c r="H11">
        <f>IFERROR(INDEX(Objekte!$E$2:$E$201,MATCH($A11,Objekte!$AB$2:$AB$201,0)),"")</f>
        <v/>
      </c>
      <c r="I11">
        <f>IFERROR(INDEX(Objekte!$G$2:$G$201,MATCH($A11,Objekte!$AB$2:$AB$201,0)),"")</f>
        <v/>
      </c>
      <c r="J11">
        <f>IFERROR(INDEX(Objekte!$I$2:$I$201,MATCH($A11,Objekte!$AB$2:$AB$201,0)),"")</f>
        <v/>
      </c>
      <c r="K11">
        <f>IFERROR(INDEX(Objekte!$S$2:$S$201,MATCH($A11,Objekte!$AB$2:$AB$201,0)),"")</f>
        <v/>
      </c>
      <c r="L11">
        <f>IFERROR(INDEX(Objekte!$X$2:$X$201,MATCH($A11,Objekte!$AB$2:$AB$201,0)),"")</f>
        <v/>
      </c>
      <c r="M11">
        <f>IFERROR(INDEX(Objekte!$D$2:$D$201,MATCH($A11,Objekte!$AB$2:$AB$201,0)),"")</f>
        <v/>
      </c>
      <c r="N11">
        <f>IFERROR(INDEX(Objekte!$W$2:$W$201,MATCH($A11,Objekte!$AB$2:$AB$201,0)),"")</f>
        <v/>
      </c>
      <c r="O11">
        <f>IFERROR(INDEX(Objekte!$AH$2:$AH$201,MATCH($A11,Objekte!$AB$2:$AB$201,0)),"")</f>
        <v/>
      </c>
      <c r="P11">
        <f>IFERROR(INDEX(Objekte!$C$2:$C$201,MATCH($A11,Objekte!$AB$2:$AB$201,0)),"")</f>
        <v/>
      </c>
      <c r="Q11">
        <f>IFERROR(INDEX(Objekte!$AF$2:$AF$201,MATCH($A11,Objekte!$AB$2:$AB$201,0)),"")</f>
        <v/>
      </c>
      <c r="R11">
        <f>IFERROR(INDEX(Objekte!$AD$2:$AD$201,MATCH($A11,Objekte!$AB$2:$AB$201,0)),"")</f>
        <v/>
      </c>
    </row>
    <row r="12">
      <c r="A12" t="n">
        <v>9</v>
      </c>
      <c r="B12">
        <f>IFERROR(INDEX(Objekte!$B$2:$B$201,MATCH($A12,Objekte!$AB$2:$AB$201,0)),"")</f>
        <v/>
      </c>
      <c r="C12">
        <f>IFERROR(INDEX(Objekte!$Z$2:$Z$201,MATCH($A12,Objekte!$AB$2:$AB$201,0)),"")</f>
        <v/>
      </c>
      <c r="D12">
        <f>IFERROR(INDEX(Objekte!$Y$2:$Y$201,MATCH($A12,Objekte!$AB$2:$AB$201,0)),"")</f>
        <v/>
      </c>
      <c r="E12">
        <f>IFERROR(INDEX(Objekte!$L$2:$L$201,MATCH($A12,Objekte!$AB$2:$AB$201,0)),"")</f>
        <v/>
      </c>
      <c r="F12">
        <f>IFERROR(INDEX(Objekte!$N$2:$N$201,MATCH($A12,Objekte!$AB$2:$AB$201,0)),"")</f>
        <v/>
      </c>
      <c r="G12">
        <f>IFERROR(INDEX(Objekte!$P$2:$P$201,MATCH($A12,Objekte!$AB$2:$AB$201,0)),"")</f>
        <v/>
      </c>
      <c r="H12">
        <f>IFERROR(INDEX(Objekte!$E$2:$E$201,MATCH($A12,Objekte!$AB$2:$AB$201,0)),"")</f>
        <v/>
      </c>
      <c r="I12">
        <f>IFERROR(INDEX(Objekte!$G$2:$G$201,MATCH($A12,Objekte!$AB$2:$AB$201,0)),"")</f>
        <v/>
      </c>
      <c r="J12">
        <f>IFERROR(INDEX(Objekte!$I$2:$I$201,MATCH($A12,Objekte!$AB$2:$AB$201,0)),"")</f>
        <v/>
      </c>
      <c r="K12">
        <f>IFERROR(INDEX(Objekte!$S$2:$S$201,MATCH($A12,Objekte!$AB$2:$AB$201,0)),"")</f>
        <v/>
      </c>
      <c r="L12">
        <f>IFERROR(INDEX(Objekte!$X$2:$X$201,MATCH($A12,Objekte!$AB$2:$AB$201,0)),"")</f>
        <v/>
      </c>
      <c r="M12">
        <f>IFERROR(INDEX(Objekte!$D$2:$D$201,MATCH($A12,Objekte!$AB$2:$AB$201,0)),"")</f>
        <v/>
      </c>
      <c r="N12">
        <f>IFERROR(INDEX(Objekte!$W$2:$W$201,MATCH($A12,Objekte!$AB$2:$AB$201,0)),"")</f>
        <v/>
      </c>
      <c r="O12">
        <f>IFERROR(INDEX(Objekte!$AH$2:$AH$201,MATCH($A12,Objekte!$AB$2:$AB$201,0)),"")</f>
        <v/>
      </c>
      <c r="P12">
        <f>IFERROR(INDEX(Objekte!$C$2:$C$201,MATCH($A12,Objekte!$AB$2:$AB$201,0)),"")</f>
        <v/>
      </c>
      <c r="Q12">
        <f>IFERROR(INDEX(Objekte!$AF$2:$AF$201,MATCH($A12,Objekte!$AB$2:$AB$201,0)),"")</f>
        <v/>
      </c>
      <c r="R12">
        <f>IFERROR(INDEX(Objekte!$AD$2:$AD$201,MATCH($A12,Objekte!$AB$2:$AB$201,0)),"")</f>
        <v/>
      </c>
    </row>
    <row r="13">
      <c r="A13" t="n">
        <v>10</v>
      </c>
      <c r="B13">
        <f>IFERROR(INDEX(Objekte!$B$2:$B$201,MATCH($A13,Objekte!$AB$2:$AB$201,0)),"")</f>
        <v/>
      </c>
      <c r="C13">
        <f>IFERROR(INDEX(Objekte!$Z$2:$Z$201,MATCH($A13,Objekte!$AB$2:$AB$201,0)),"")</f>
        <v/>
      </c>
      <c r="D13">
        <f>IFERROR(INDEX(Objekte!$Y$2:$Y$201,MATCH($A13,Objekte!$AB$2:$AB$201,0)),"")</f>
        <v/>
      </c>
      <c r="E13">
        <f>IFERROR(INDEX(Objekte!$L$2:$L$201,MATCH($A13,Objekte!$AB$2:$AB$201,0)),"")</f>
        <v/>
      </c>
      <c r="F13">
        <f>IFERROR(INDEX(Objekte!$N$2:$N$201,MATCH($A13,Objekte!$AB$2:$AB$201,0)),"")</f>
        <v/>
      </c>
      <c r="G13">
        <f>IFERROR(INDEX(Objekte!$P$2:$P$201,MATCH($A13,Objekte!$AB$2:$AB$201,0)),"")</f>
        <v/>
      </c>
      <c r="H13">
        <f>IFERROR(INDEX(Objekte!$E$2:$E$201,MATCH($A13,Objekte!$AB$2:$AB$201,0)),"")</f>
        <v/>
      </c>
      <c r="I13">
        <f>IFERROR(INDEX(Objekte!$G$2:$G$201,MATCH($A13,Objekte!$AB$2:$AB$201,0)),"")</f>
        <v/>
      </c>
      <c r="J13">
        <f>IFERROR(INDEX(Objekte!$I$2:$I$201,MATCH($A13,Objekte!$AB$2:$AB$201,0)),"")</f>
        <v/>
      </c>
      <c r="K13">
        <f>IFERROR(INDEX(Objekte!$S$2:$S$201,MATCH($A13,Objekte!$AB$2:$AB$201,0)),"")</f>
        <v/>
      </c>
      <c r="L13">
        <f>IFERROR(INDEX(Objekte!$X$2:$X$201,MATCH($A13,Objekte!$AB$2:$AB$201,0)),"")</f>
        <v/>
      </c>
      <c r="M13">
        <f>IFERROR(INDEX(Objekte!$D$2:$D$201,MATCH($A13,Objekte!$AB$2:$AB$201,0)),"")</f>
        <v/>
      </c>
      <c r="N13">
        <f>IFERROR(INDEX(Objekte!$W$2:$W$201,MATCH($A13,Objekte!$AB$2:$AB$201,0)),"")</f>
        <v/>
      </c>
      <c r="O13">
        <f>IFERROR(INDEX(Objekte!$AH$2:$AH$201,MATCH($A13,Objekte!$AB$2:$AB$201,0)),"")</f>
        <v/>
      </c>
      <c r="P13">
        <f>IFERROR(INDEX(Objekte!$C$2:$C$201,MATCH($A13,Objekte!$AB$2:$AB$201,0)),"")</f>
        <v/>
      </c>
      <c r="Q13">
        <f>IFERROR(INDEX(Objekte!$AF$2:$AF$201,MATCH($A13,Objekte!$AB$2:$AB$201,0)),"")</f>
        <v/>
      </c>
      <c r="R13">
        <f>IFERROR(INDEX(Objekte!$AD$2:$AD$201,MATCH($A13,Objekte!$AB$2:$AB$201,0)),"")</f>
        <v/>
      </c>
    </row>
    <row r="14">
      <c r="A14" t="n">
        <v>11</v>
      </c>
      <c r="B14">
        <f>IFERROR(INDEX(Objekte!$B$2:$B$201,MATCH($A14,Objekte!$AB$2:$AB$201,0)),"")</f>
        <v/>
      </c>
      <c r="C14">
        <f>IFERROR(INDEX(Objekte!$Z$2:$Z$201,MATCH($A14,Objekte!$AB$2:$AB$201,0)),"")</f>
        <v/>
      </c>
      <c r="D14">
        <f>IFERROR(INDEX(Objekte!$Y$2:$Y$201,MATCH($A14,Objekte!$AB$2:$AB$201,0)),"")</f>
        <v/>
      </c>
      <c r="E14">
        <f>IFERROR(INDEX(Objekte!$L$2:$L$201,MATCH($A14,Objekte!$AB$2:$AB$201,0)),"")</f>
        <v/>
      </c>
      <c r="F14">
        <f>IFERROR(INDEX(Objekte!$N$2:$N$201,MATCH($A14,Objekte!$AB$2:$AB$201,0)),"")</f>
        <v/>
      </c>
      <c r="G14">
        <f>IFERROR(INDEX(Objekte!$P$2:$P$201,MATCH($A14,Objekte!$AB$2:$AB$201,0)),"")</f>
        <v/>
      </c>
      <c r="H14">
        <f>IFERROR(INDEX(Objekte!$E$2:$E$201,MATCH($A14,Objekte!$AB$2:$AB$201,0)),"")</f>
        <v/>
      </c>
      <c r="I14">
        <f>IFERROR(INDEX(Objekte!$G$2:$G$201,MATCH($A14,Objekte!$AB$2:$AB$201,0)),"")</f>
        <v/>
      </c>
      <c r="J14">
        <f>IFERROR(INDEX(Objekte!$I$2:$I$201,MATCH($A14,Objekte!$AB$2:$AB$201,0)),"")</f>
        <v/>
      </c>
      <c r="K14">
        <f>IFERROR(INDEX(Objekte!$S$2:$S$201,MATCH($A14,Objekte!$AB$2:$AB$201,0)),"")</f>
        <v/>
      </c>
      <c r="L14">
        <f>IFERROR(INDEX(Objekte!$X$2:$X$201,MATCH($A14,Objekte!$AB$2:$AB$201,0)),"")</f>
        <v/>
      </c>
      <c r="M14">
        <f>IFERROR(INDEX(Objekte!$D$2:$D$201,MATCH($A14,Objekte!$AB$2:$AB$201,0)),"")</f>
        <v/>
      </c>
      <c r="N14">
        <f>IFERROR(INDEX(Objekte!$W$2:$W$201,MATCH($A14,Objekte!$AB$2:$AB$201,0)),"")</f>
        <v/>
      </c>
      <c r="O14">
        <f>IFERROR(INDEX(Objekte!$AH$2:$AH$201,MATCH($A14,Objekte!$AB$2:$AB$201,0)),"")</f>
        <v/>
      </c>
      <c r="P14">
        <f>IFERROR(INDEX(Objekte!$C$2:$C$201,MATCH($A14,Objekte!$AB$2:$AB$201,0)),"")</f>
        <v/>
      </c>
      <c r="Q14">
        <f>IFERROR(INDEX(Objekte!$AF$2:$AF$201,MATCH($A14,Objekte!$AB$2:$AB$201,0)),"")</f>
        <v/>
      </c>
      <c r="R14">
        <f>IFERROR(INDEX(Objekte!$AD$2:$AD$201,MATCH($A14,Objekte!$AB$2:$AB$201,0)),"")</f>
        <v/>
      </c>
    </row>
    <row r="15">
      <c r="A15" t="n">
        <v>12</v>
      </c>
      <c r="B15">
        <f>IFERROR(INDEX(Objekte!$B$2:$B$201,MATCH($A15,Objekte!$AB$2:$AB$201,0)),"")</f>
        <v/>
      </c>
      <c r="C15">
        <f>IFERROR(INDEX(Objekte!$Z$2:$Z$201,MATCH($A15,Objekte!$AB$2:$AB$201,0)),"")</f>
        <v/>
      </c>
      <c r="D15">
        <f>IFERROR(INDEX(Objekte!$Y$2:$Y$201,MATCH($A15,Objekte!$AB$2:$AB$201,0)),"")</f>
        <v/>
      </c>
      <c r="E15">
        <f>IFERROR(INDEX(Objekte!$L$2:$L$201,MATCH($A15,Objekte!$AB$2:$AB$201,0)),"")</f>
        <v/>
      </c>
      <c r="F15">
        <f>IFERROR(INDEX(Objekte!$N$2:$N$201,MATCH($A15,Objekte!$AB$2:$AB$201,0)),"")</f>
        <v/>
      </c>
      <c r="G15">
        <f>IFERROR(INDEX(Objekte!$P$2:$P$201,MATCH($A15,Objekte!$AB$2:$AB$201,0)),"")</f>
        <v/>
      </c>
      <c r="H15">
        <f>IFERROR(INDEX(Objekte!$E$2:$E$201,MATCH($A15,Objekte!$AB$2:$AB$201,0)),"")</f>
        <v/>
      </c>
      <c r="I15">
        <f>IFERROR(INDEX(Objekte!$G$2:$G$201,MATCH($A15,Objekte!$AB$2:$AB$201,0)),"")</f>
        <v/>
      </c>
      <c r="J15">
        <f>IFERROR(INDEX(Objekte!$I$2:$I$201,MATCH($A15,Objekte!$AB$2:$AB$201,0)),"")</f>
        <v/>
      </c>
      <c r="K15">
        <f>IFERROR(INDEX(Objekte!$S$2:$S$201,MATCH($A15,Objekte!$AB$2:$AB$201,0)),"")</f>
        <v/>
      </c>
      <c r="L15">
        <f>IFERROR(INDEX(Objekte!$X$2:$X$201,MATCH($A15,Objekte!$AB$2:$AB$201,0)),"")</f>
        <v/>
      </c>
      <c r="M15">
        <f>IFERROR(INDEX(Objekte!$D$2:$D$201,MATCH($A15,Objekte!$AB$2:$AB$201,0)),"")</f>
        <v/>
      </c>
      <c r="N15">
        <f>IFERROR(INDEX(Objekte!$W$2:$W$201,MATCH($A15,Objekte!$AB$2:$AB$201,0)),"")</f>
        <v/>
      </c>
      <c r="O15">
        <f>IFERROR(INDEX(Objekte!$AH$2:$AH$201,MATCH($A15,Objekte!$AB$2:$AB$201,0)),"")</f>
        <v/>
      </c>
      <c r="P15">
        <f>IFERROR(INDEX(Objekte!$C$2:$C$201,MATCH($A15,Objekte!$AB$2:$AB$201,0)),"")</f>
        <v/>
      </c>
      <c r="Q15">
        <f>IFERROR(INDEX(Objekte!$AF$2:$AF$201,MATCH($A15,Objekte!$AB$2:$AB$201,0)),"")</f>
        <v/>
      </c>
      <c r="R15">
        <f>IFERROR(INDEX(Objekte!$AD$2:$AD$201,MATCH($A15,Objekte!$AB$2:$AB$201,0)),"")</f>
        <v/>
      </c>
    </row>
    <row r="16">
      <c r="A16" t="n">
        <v>13</v>
      </c>
      <c r="B16">
        <f>IFERROR(INDEX(Objekte!$B$2:$B$201,MATCH($A16,Objekte!$AB$2:$AB$201,0)),"")</f>
        <v/>
      </c>
      <c r="C16">
        <f>IFERROR(INDEX(Objekte!$Z$2:$Z$201,MATCH($A16,Objekte!$AB$2:$AB$201,0)),"")</f>
        <v/>
      </c>
      <c r="D16">
        <f>IFERROR(INDEX(Objekte!$Y$2:$Y$201,MATCH($A16,Objekte!$AB$2:$AB$201,0)),"")</f>
        <v/>
      </c>
      <c r="E16">
        <f>IFERROR(INDEX(Objekte!$L$2:$L$201,MATCH($A16,Objekte!$AB$2:$AB$201,0)),"")</f>
        <v/>
      </c>
      <c r="F16">
        <f>IFERROR(INDEX(Objekte!$N$2:$N$201,MATCH($A16,Objekte!$AB$2:$AB$201,0)),"")</f>
        <v/>
      </c>
      <c r="G16">
        <f>IFERROR(INDEX(Objekte!$P$2:$P$201,MATCH($A16,Objekte!$AB$2:$AB$201,0)),"")</f>
        <v/>
      </c>
      <c r="H16">
        <f>IFERROR(INDEX(Objekte!$E$2:$E$201,MATCH($A16,Objekte!$AB$2:$AB$201,0)),"")</f>
        <v/>
      </c>
      <c r="I16">
        <f>IFERROR(INDEX(Objekte!$G$2:$G$201,MATCH($A16,Objekte!$AB$2:$AB$201,0)),"")</f>
        <v/>
      </c>
      <c r="J16">
        <f>IFERROR(INDEX(Objekte!$I$2:$I$201,MATCH($A16,Objekte!$AB$2:$AB$201,0)),"")</f>
        <v/>
      </c>
      <c r="K16">
        <f>IFERROR(INDEX(Objekte!$S$2:$S$201,MATCH($A16,Objekte!$AB$2:$AB$201,0)),"")</f>
        <v/>
      </c>
      <c r="L16">
        <f>IFERROR(INDEX(Objekte!$X$2:$X$201,MATCH($A16,Objekte!$AB$2:$AB$201,0)),"")</f>
        <v/>
      </c>
      <c r="M16">
        <f>IFERROR(INDEX(Objekte!$D$2:$D$201,MATCH($A16,Objekte!$AB$2:$AB$201,0)),"")</f>
        <v/>
      </c>
      <c r="N16">
        <f>IFERROR(INDEX(Objekte!$W$2:$W$201,MATCH($A16,Objekte!$AB$2:$AB$201,0)),"")</f>
        <v/>
      </c>
      <c r="O16">
        <f>IFERROR(INDEX(Objekte!$AH$2:$AH$201,MATCH($A16,Objekte!$AB$2:$AB$201,0)),"")</f>
        <v/>
      </c>
      <c r="P16">
        <f>IFERROR(INDEX(Objekte!$C$2:$C$201,MATCH($A16,Objekte!$AB$2:$AB$201,0)),"")</f>
        <v/>
      </c>
      <c r="Q16">
        <f>IFERROR(INDEX(Objekte!$AF$2:$AF$201,MATCH($A16,Objekte!$AB$2:$AB$201,0)),"")</f>
        <v/>
      </c>
      <c r="R16">
        <f>IFERROR(INDEX(Objekte!$AD$2:$AD$201,MATCH($A16,Objekte!$AB$2:$AB$201,0)),"")</f>
        <v/>
      </c>
    </row>
    <row r="17">
      <c r="A17" t="n">
        <v>14</v>
      </c>
      <c r="B17">
        <f>IFERROR(INDEX(Objekte!$B$2:$B$201,MATCH($A17,Objekte!$AB$2:$AB$201,0)),"")</f>
        <v/>
      </c>
      <c r="C17">
        <f>IFERROR(INDEX(Objekte!$Z$2:$Z$201,MATCH($A17,Objekte!$AB$2:$AB$201,0)),"")</f>
        <v/>
      </c>
      <c r="D17">
        <f>IFERROR(INDEX(Objekte!$Y$2:$Y$201,MATCH($A17,Objekte!$AB$2:$AB$201,0)),"")</f>
        <v/>
      </c>
      <c r="E17">
        <f>IFERROR(INDEX(Objekte!$L$2:$L$201,MATCH($A17,Objekte!$AB$2:$AB$201,0)),"")</f>
        <v/>
      </c>
      <c r="F17">
        <f>IFERROR(INDEX(Objekte!$N$2:$N$201,MATCH($A17,Objekte!$AB$2:$AB$201,0)),"")</f>
        <v/>
      </c>
      <c r="G17">
        <f>IFERROR(INDEX(Objekte!$P$2:$P$201,MATCH($A17,Objekte!$AB$2:$AB$201,0)),"")</f>
        <v/>
      </c>
      <c r="H17">
        <f>IFERROR(INDEX(Objekte!$E$2:$E$201,MATCH($A17,Objekte!$AB$2:$AB$201,0)),"")</f>
        <v/>
      </c>
      <c r="I17">
        <f>IFERROR(INDEX(Objekte!$G$2:$G$201,MATCH($A17,Objekte!$AB$2:$AB$201,0)),"")</f>
        <v/>
      </c>
      <c r="J17">
        <f>IFERROR(INDEX(Objekte!$I$2:$I$201,MATCH($A17,Objekte!$AB$2:$AB$201,0)),"")</f>
        <v/>
      </c>
      <c r="K17">
        <f>IFERROR(INDEX(Objekte!$S$2:$S$201,MATCH($A17,Objekte!$AB$2:$AB$201,0)),"")</f>
        <v/>
      </c>
      <c r="L17">
        <f>IFERROR(INDEX(Objekte!$X$2:$X$201,MATCH($A17,Objekte!$AB$2:$AB$201,0)),"")</f>
        <v/>
      </c>
      <c r="M17">
        <f>IFERROR(INDEX(Objekte!$D$2:$D$201,MATCH($A17,Objekte!$AB$2:$AB$201,0)),"")</f>
        <v/>
      </c>
      <c r="N17">
        <f>IFERROR(INDEX(Objekte!$W$2:$W$201,MATCH($A17,Objekte!$AB$2:$AB$201,0)),"")</f>
        <v/>
      </c>
      <c r="O17">
        <f>IFERROR(INDEX(Objekte!$AH$2:$AH$201,MATCH($A17,Objekte!$AB$2:$AB$201,0)),"")</f>
        <v/>
      </c>
      <c r="P17">
        <f>IFERROR(INDEX(Objekte!$C$2:$C$201,MATCH($A17,Objekte!$AB$2:$AB$201,0)),"")</f>
        <v/>
      </c>
      <c r="Q17">
        <f>IFERROR(INDEX(Objekte!$AF$2:$AF$201,MATCH($A17,Objekte!$AB$2:$AB$201,0)),"")</f>
        <v/>
      </c>
      <c r="R17">
        <f>IFERROR(INDEX(Objekte!$AD$2:$AD$201,MATCH($A17,Objekte!$AB$2:$AB$201,0)),"")</f>
        <v/>
      </c>
    </row>
    <row r="18">
      <c r="A18" t="n">
        <v>15</v>
      </c>
      <c r="B18">
        <f>IFERROR(INDEX(Objekte!$B$2:$B$201,MATCH($A18,Objekte!$AB$2:$AB$201,0)),"")</f>
        <v/>
      </c>
      <c r="C18">
        <f>IFERROR(INDEX(Objekte!$Z$2:$Z$201,MATCH($A18,Objekte!$AB$2:$AB$201,0)),"")</f>
        <v/>
      </c>
      <c r="D18">
        <f>IFERROR(INDEX(Objekte!$Y$2:$Y$201,MATCH($A18,Objekte!$AB$2:$AB$201,0)),"")</f>
        <v/>
      </c>
      <c r="E18">
        <f>IFERROR(INDEX(Objekte!$L$2:$L$201,MATCH($A18,Objekte!$AB$2:$AB$201,0)),"")</f>
        <v/>
      </c>
      <c r="F18">
        <f>IFERROR(INDEX(Objekte!$N$2:$N$201,MATCH($A18,Objekte!$AB$2:$AB$201,0)),"")</f>
        <v/>
      </c>
      <c r="G18">
        <f>IFERROR(INDEX(Objekte!$P$2:$P$201,MATCH($A18,Objekte!$AB$2:$AB$201,0)),"")</f>
        <v/>
      </c>
      <c r="H18">
        <f>IFERROR(INDEX(Objekte!$E$2:$E$201,MATCH($A18,Objekte!$AB$2:$AB$201,0)),"")</f>
        <v/>
      </c>
      <c r="I18">
        <f>IFERROR(INDEX(Objekte!$G$2:$G$201,MATCH($A18,Objekte!$AB$2:$AB$201,0)),"")</f>
        <v/>
      </c>
      <c r="J18">
        <f>IFERROR(INDEX(Objekte!$I$2:$I$201,MATCH($A18,Objekte!$AB$2:$AB$201,0)),"")</f>
        <v/>
      </c>
      <c r="K18">
        <f>IFERROR(INDEX(Objekte!$S$2:$S$201,MATCH($A18,Objekte!$AB$2:$AB$201,0)),"")</f>
        <v/>
      </c>
      <c r="L18">
        <f>IFERROR(INDEX(Objekte!$X$2:$X$201,MATCH($A18,Objekte!$AB$2:$AB$201,0)),"")</f>
        <v/>
      </c>
      <c r="M18">
        <f>IFERROR(INDEX(Objekte!$D$2:$D$201,MATCH($A18,Objekte!$AB$2:$AB$201,0)),"")</f>
        <v/>
      </c>
      <c r="N18">
        <f>IFERROR(INDEX(Objekte!$W$2:$W$201,MATCH($A18,Objekte!$AB$2:$AB$201,0)),"")</f>
        <v/>
      </c>
      <c r="O18">
        <f>IFERROR(INDEX(Objekte!$AH$2:$AH$201,MATCH($A18,Objekte!$AB$2:$AB$201,0)),"")</f>
        <v/>
      </c>
      <c r="P18">
        <f>IFERROR(INDEX(Objekte!$C$2:$C$201,MATCH($A18,Objekte!$AB$2:$AB$201,0)),"")</f>
        <v/>
      </c>
      <c r="Q18">
        <f>IFERROR(INDEX(Objekte!$AF$2:$AF$201,MATCH($A18,Objekte!$AB$2:$AB$201,0)),"")</f>
        <v/>
      </c>
      <c r="R18">
        <f>IFERROR(INDEX(Objekte!$AD$2:$AD$201,MATCH($A18,Objekte!$AB$2:$AB$201,0)),"")</f>
        <v/>
      </c>
    </row>
    <row r="19">
      <c r="A19" t="n">
        <v>16</v>
      </c>
      <c r="B19">
        <f>IFERROR(INDEX(Objekte!$B$2:$B$201,MATCH($A19,Objekte!$AB$2:$AB$201,0)),"")</f>
        <v/>
      </c>
      <c r="C19">
        <f>IFERROR(INDEX(Objekte!$Z$2:$Z$201,MATCH($A19,Objekte!$AB$2:$AB$201,0)),"")</f>
        <v/>
      </c>
      <c r="D19">
        <f>IFERROR(INDEX(Objekte!$Y$2:$Y$201,MATCH($A19,Objekte!$AB$2:$AB$201,0)),"")</f>
        <v/>
      </c>
      <c r="E19">
        <f>IFERROR(INDEX(Objekte!$L$2:$L$201,MATCH($A19,Objekte!$AB$2:$AB$201,0)),"")</f>
        <v/>
      </c>
      <c r="F19">
        <f>IFERROR(INDEX(Objekte!$N$2:$N$201,MATCH($A19,Objekte!$AB$2:$AB$201,0)),"")</f>
        <v/>
      </c>
      <c r="G19">
        <f>IFERROR(INDEX(Objekte!$P$2:$P$201,MATCH($A19,Objekte!$AB$2:$AB$201,0)),"")</f>
        <v/>
      </c>
      <c r="H19">
        <f>IFERROR(INDEX(Objekte!$E$2:$E$201,MATCH($A19,Objekte!$AB$2:$AB$201,0)),"")</f>
        <v/>
      </c>
      <c r="I19">
        <f>IFERROR(INDEX(Objekte!$G$2:$G$201,MATCH($A19,Objekte!$AB$2:$AB$201,0)),"")</f>
        <v/>
      </c>
      <c r="J19">
        <f>IFERROR(INDEX(Objekte!$I$2:$I$201,MATCH($A19,Objekte!$AB$2:$AB$201,0)),"")</f>
        <v/>
      </c>
      <c r="K19">
        <f>IFERROR(INDEX(Objekte!$S$2:$S$201,MATCH($A19,Objekte!$AB$2:$AB$201,0)),"")</f>
        <v/>
      </c>
      <c r="L19">
        <f>IFERROR(INDEX(Objekte!$X$2:$X$201,MATCH($A19,Objekte!$AB$2:$AB$201,0)),"")</f>
        <v/>
      </c>
      <c r="M19">
        <f>IFERROR(INDEX(Objekte!$D$2:$D$201,MATCH($A19,Objekte!$AB$2:$AB$201,0)),"")</f>
        <v/>
      </c>
      <c r="N19">
        <f>IFERROR(INDEX(Objekte!$W$2:$W$201,MATCH($A19,Objekte!$AB$2:$AB$201,0)),"")</f>
        <v/>
      </c>
      <c r="O19">
        <f>IFERROR(INDEX(Objekte!$AH$2:$AH$201,MATCH($A19,Objekte!$AB$2:$AB$201,0)),"")</f>
        <v/>
      </c>
      <c r="P19">
        <f>IFERROR(INDEX(Objekte!$C$2:$C$201,MATCH($A19,Objekte!$AB$2:$AB$201,0)),"")</f>
        <v/>
      </c>
      <c r="Q19">
        <f>IFERROR(INDEX(Objekte!$AF$2:$AF$201,MATCH($A19,Objekte!$AB$2:$AB$201,0)),"")</f>
        <v/>
      </c>
      <c r="R19">
        <f>IFERROR(INDEX(Objekte!$AD$2:$AD$201,MATCH($A19,Objekte!$AB$2:$AB$201,0)),"")</f>
        <v/>
      </c>
    </row>
    <row r="20">
      <c r="A20" t="n">
        <v>17</v>
      </c>
      <c r="B20">
        <f>IFERROR(INDEX(Objekte!$B$2:$B$201,MATCH($A20,Objekte!$AB$2:$AB$201,0)),"")</f>
        <v/>
      </c>
      <c r="C20">
        <f>IFERROR(INDEX(Objekte!$Z$2:$Z$201,MATCH($A20,Objekte!$AB$2:$AB$201,0)),"")</f>
        <v/>
      </c>
      <c r="D20">
        <f>IFERROR(INDEX(Objekte!$Y$2:$Y$201,MATCH($A20,Objekte!$AB$2:$AB$201,0)),"")</f>
        <v/>
      </c>
      <c r="E20">
        <f>IFERROR(INDEX(Objekte!$L$2:$L$201,MATCH($A20,Objekte!$AB$2:$AB$201,0)),"")</f>
        <v/>
      </c>
      <c r="F20">
        <f>IFERROR(INDEX(Objekte!$N$2:$N$201,MATCH($A20,Objekte!$AB$2:$AB$201,0)),"")</f>
        <v/>
      </c>
      <c r="G20">
        <f>IFERROR(INDEX(Objekte!$P$2:$P$201,MATCH($A20,Objekte!$AB$2:$AB$201,0)),"")</f>
        <v/>
      </c>
      <c r="H20">
        <f>IFERROR(INDEX(Objekte!$E$2:$E$201,MATCH($A20,Objekte!$AB$2:$AB$201,0)),"")</f>
        <v/>
      </c>
      <c r="I20">
        <f>IFERROR(INDEX(Objekte!$G$2:$G$201,MATCH($A20,Objekte!$AB$2:$AB$201,0)),"")</f>
        <v/>
      </c>
      <c r="J20">
        <f>IFERROR(INDEX(Objekte!$I$2:$I$201,MATCH($A20,Objekte!$AB$2:$AB$201,0)),"")</f>
        <v/>
      </c>
      <c r="K20">
        <f>IFERROR(INDEX(Objekte!$S$2:$S$201,MATCH($A20,Objekte!$AB$2:$AB$201,0)),"")</f>
        <v/>
      </c>
      <c r="L20">
        <f>IFERROR(INDEX(Objekte!$X$2:$X$201,MATCH($A20,Objekte!$AB$2:$AB$201,0)),"")</f>
        <v/>
      </c>
      <c r="M20">
        <f>IFERROR(INDEX(Objekte!$D$2:$D$201,MATCH($A20,Objekte!$AB$2:$AB$201,0)),"")</f>
        <v/>
      </c>
      <c r="N20">
        <f>IFERROR(INDEX(Objekte!$W$2:$W$201,MATCH($A20,Objekte!$AB$2:$AB$201,0)),"")</f>
        <v/>
      </c>
      <c r="O20">
        <f>IFERROR(INDEX(Objekte!$AH$2:$AH$201,MATCH($A20,Objekte!$AB$2:$AB$201,0)),"")</f>
        <v/>
      </c>
      <c r="P20">
        <f>IFERROR(INDEX(Objekte!$C$2:$C$201,MATCH($A20,Objekte!$AB$2:$AB$201,0)),"")</f>
        <v/>
      </c>
      <c r="Q20">
        <f>IFERROR(INDEX(Objekte!$AF$2:$AF$201,MATCH($A20,Objekte!$AB$2:$AB$201,0)),"")</f>
        <v/>
      </c>
      <c r="R20">
        <f>IFERROR(INDEX(Objekte!$AD$2:$AD$201,MATCH($A20,Objekte!$AB$2:$AB$201,0)),"")</f>
        <v/>
      </c>
    </row>
    <row r="21">
      <c r="A21" t="n">
        <v>18</v>
      </c>
      <c r="B21">
        <f>IFERROR(INDEX(Objekte!$B$2:$B$201,MATCH($A21,Objekte!$AB$2:$AB$201,0)),"")</f>
        <v/>
      </c>
      <c r="C21">
        <f>IFERROR(INDEX(Objekte!$Z$2:$Z$201,MATCH($A21,Objekte!$AB$2:$AB$201,0)),"")</f>
        <v/>
      </c>
      <c r="D21">
        <f>IFERROR(INDEX(Objekte!$Y$2:$Y$201,MATCH($A21,Objekte!$AB$2:$AB$201,0)),"")</f>
        <v/>
      </c>
      <c r="E21">
        <f>IFERROR(INDEX(Objekte!$L$2:$L$201,MATCH($A21,Objekte!$AB$2:$AB$201,0)),"")</f>
        <v/>
      </c>
      <c r="F21">
        <f>IFERROR(INDEX(Objekte!$N$2:$N$201,MATCH($A21,Objekte!$AB$2:$AB$201,0)),"")</f>
        <v/>
      </c>
      <c r="G21">
        <f>IFERROR(INDEX(Objekte!$P$2:$P$201,MATCH($A21,Objekte!$AB$2:$AB$201,0)),"")</f>
        <v/>
      </c>
      <c r="H21">
        <f>IFERROR(INDEX(Objekte!$E$2:$E$201,MATCH($A21,Objekte!$AB$2:$AB$201,0)),"")</f>
        <v/>
      </c>
      <c r="I21">
        <f>IFERROR(INDEX(Objekte!$G$2:$G$201,MATCH($A21,Objekte!$AB$2:$AB$201,0)),"")</f>
        <v/>
      </c>
      <c r="J21">
        <f>IFERROR(INDEX(Objekte!$I$2:$I$201,MATCH($A21,Objekte!$AB$2:$AB$201,0)),"")</f>
        <v/>
      </c>
      <c r="K21">
        <f>IFERROR(INDEX(Objekte!$S$2:$S$201,MATCH($A21,Objekte!$AB$2:$AB$201,0)),"")</f>
        <v/>
      </c>
      <c r="L21">
        <f>IFERROR(INDEX(Objekte!$X$2:$X$201,MATCH($A21,Objekte!$AB$2:$AB$201,0)),"")</f>
        <v/>
      </c>
      <c r="M21">
        <f>IFERROR(INDEX(Objekte!$D$2:$D$201,MATCH($A21,Objekte!$AB$2:$AB$201,0)),"")</f>
        <v/>
      </c>
      <c r="N21">
        <f>IFERROR(INDEX(Objekte!$W$2:$W$201,MATCH($A21,Objekte!$AB$2:$AB$201,0)),"")</f>
        <v/>
      </c>
      <c r="O21">
        <f>IFERROR(INDEX(Objekte!$AH$2:$AH$201,MATCH($A21,Objekte!$AB$2:$AB$201,0)),"")</f>
        <v/>
      </c>
      <c r="P21">
        <f>IFERROR(INDEX(Objekte!$C$2:$C$201,MATCH($A21,Objekte!$AB$2:$AB$201,0)),"")</f>
        <v/>
      </c>
      <c r="Q21">
        <f>IFERROR(INDEX(Objekte!$AF$2:$AF$201,MATCH($A21,Objekte!$AB$2:$AB$201,0)),"")</f>
        <v/>
      </c>
      <c r="R21">
        <f>IFERROR(INDEX(Objekte!$AD$2:$AD$201,MATCH($A21,Objekte!$AB$2:$AB$201,0)),"")</f>
        <v/>
      </c>
    </row>
    <row r="22">
      <c r="A22" t="n">
        <v>19</v>
      </c>
      <c r="B22">
        <f>IFERROR(INDEX(Objekte!$B$2:$B$201,MATCH($A22,Objekte!$AB$2:$AB$201,0)),"")</f>
        <v/>
      </c>
      <c r="C22">
        <f>IFERROR(INDEX(Objekte!$Z$2:$Z$201,MATCH($A22,Objekte!$AB$2:$AB$201,0)),"")</f>
        <v/>
      </c>
      <c r="D22">
        <f>IFERROR(INDEX(Objekte!$Y$2:$Y$201,MATCH($A22,Objekte!$AB$2:$AB$201,0)),"")</f>
        <v/>
      </c>
      <c r="E22">
        <f>IFERROR(INDEX(Objekte!$L$2:$L$201,MATCH($A22,Objekte!$AB$2:$AB$201,0)),"")</f>
        <v/>
      </c>
      <c r="F22">
        <f>IFERROR(INDEX(Objekte!$N$2:$N$201,MATCH($A22,Objekte!$AB$2:$AB$201,0)),"")</f>
        <v/>
      </c>
      <c r="G22">
        <f>IFERROR(INDEX(Objekte!$P$2:$P$201,MATCH($A22,Objekte!$AB$2:$AB$201,0)),"")</f>
        <v/>
      </c>
      <c r="H22">
        <f>IFERROR(INDEX(Objekte!$E$2:$E$201,MATCH($A22,Objekte!$AB$2:$AB$201,0)),"")</f>
        <v/>
      </c>
      <c r="I22">
        <f>IFERROR(INDEX(Objekte!$G$2:$G$201,MATCH($A22,Objekte!$AB$2:$AB$201,0)),"")</f>
        <v/>
      </c>
      <c r="J22">
        <f>IFERROR(INDEX(Objekte!$I$2:$I$201,MATCH($A22,Objekte!$AB$2:$AB$201,0)),"")</f>
        <v/>
      </c>
      <c r="K22">
        <f>IFERROR(INDEX(Objekte!$S$2:$S$201,MATCH($A22,Objekte!$AB$2:$AB$201,0)),"")</f>
        <v/>
      </c>
      <c r="L22">
        <f>IFERROR(INDEX(Objekte!$X$2:$X$201,MATCH($A22,Objekte!$AB$2:$AB$201,0)),"")</f>
        <v/>
      </c>
      <c r="M22">
        <f>IFERROR(INDEX(Objekte!$D$2:$D$201,MATCH($A22,Objekte!$AB$2:$AB$201,0)),"")</f>
        <v/>
      </c>
      <c r="N22">
        <f>IFERROR(INDEX(Objekte!$W$2:$W$201,MATCH($A22,Objekte!$AB$2:$AB$201,0)),"")</f>
        <v/>
      </c>
      <c r="O22">
        <f>IFERROR(INDEX(Objekte!$AH$2:$AH$201,MATCH($A22,Objekte!$AB$2:$AB$201,0)),"")</f>
        <v/>
      </c>
      <c r="P22">
        <f>IFERROR(INDEX(Objekte!$C$2:$C$201,MATCH($A22,Objekte!$AB$2:$AB$201,0)),"")</f>
        <v/>
      </c>
      <c r="Q22">
        <f>IFERROR(INDEX(Objekte!$AF$2:$AF$201,MATCH($A22,Objekte!$AB$2:$AB$201,0)),"")</f>
        <v/>
      </c>
      <c r="R22">
        <f>IFERROR(INDEX(Objekte!$AD$2:$AD$201,MATCH($A22,Objekte!$AB$2:$AB$201,0)),"")</f>
        <v/>
      </c>
    </row>
    <row r="23">
      <c r="A23" t="n">
        <v>20</v>
      </c>
      <c r="B23">
        <f>IFERROR(INDEX(Objekte!$B$2:$B$201,MATCH($A23,Objekte!$AB$2:$AB$201,0)),"")</f>
        <v/>
      </c>
      <c r="C23">
        <f>IFERROR(INDEX(Objekte!$Z$2:$Z$201,MATCH($A23,Objekte!$AB$2:$AB$201,0)),"")</f>
        <v/>
      </c>
      <c r="D23">
        <f>IFERROR(INDEX(Objekte!$Y$2:$Y$201,MATCH($A23,Objekte!$AB$2:$AB$201,0)),"")</f>
        <v/>
      </c>
      <c r="E23">
        <f>IFERROR(INDEX(Objekte!$L$2:$L$201,MATCH($A23,Objekte!$AB$2:$AB$201,0)),"")</f>
        <v/>
      </c>
      <c r="F23">
        <f>IFERROR(INDEX(Objekte!$N$2:$N$201,MATCH($A23,Objekte!$AB$2:$AB$201,0)),"")</f>
        <v/>
      </c>
      <c r="G23">
        <f>IFERROR(INDEX(Objekte!$P$2:$P$201,MATCH($A23,Objekte!$AB$2:$AB$201,0)),"")</f>
        <v/>
      </c>
      <c r="H23">
        <f>IFERROR(INDEX(Objekte!$E$2:$E$201,MATCH($A23,Objekte!$AB$2:$AB$201,0)),"")</f>
        <v/>
      </c>
      <c r="I23">
        <f>IFERROR(INDEX(Objekte!$G$2:$G$201,MATCH($A23,Objekte!$AB$2:$AB$201,0)),"")</f>
        <v/>
      </c>
      <c r="J23">
        <f>IFERROR(INDEX(Objekte!$I$2:$I$201,MATCH($A23,Objekte!$AB$2:$AB$201,0)),"")</f>
        <v/>
      </c>
      <c r="K23">
        <f>IFERROR(INDEX(Objekte!$S$2:$S$201,MATCH($A23,Objekte!$AB$2:$AB$201,0)),"")</f>
        <v/>
      </c>
      <c r="L23">
        <f>IFERROR(INDEX(Objekte!$X$2:$X$201,MATCH($A23,Objekte!$AB$2:$AB$201,0)),"")</f>
        <v/>
      </c>
      <c r="M23">
        <f>IFERROR(INDEX(Objekte!$D$2:$D$201,MATCH($A23,Objekte!$AB$2:$AB$201,0)),"")</f>
        <v/>
      </c>
      <c r="N23">
        <f>IFERROR(INDEX(Objekte!$W$2:$W$201,MATCH($A23,Objekte!$AB$2:$AB$201,0)),"")</f>
        <v/>
      </c>
      <c r="O23">
        <f>IFERROR(INDEX(Objekte!$AH$2:$AH$201,MATCH($A23,Objekte!$AB$2:$AB$201,0)),"")</f>
        <v/>
      </c>
      <c r="P23">
        <f>IFERROR(INDEX(Objekte!$C$2:$C$201,MATCH($A23,Objekte!$AB$2:$AB$201,0)),"")</f>
        <v/>
      </c>
      <c r="Q23">
        <f>IFERROR(INDEX(Objekte!$AF$2:$AF$201,MATCH($A23,Objekte!$AB$2:$AB$201,0)),"")</f>
        <v/>
      </c>
      <c r="R23">
        <f>IFERROR(INDEX(Objekte!$AD$2:$AD$201,MATCH($A23,Objekte!$AB$2:$AB$201,0)),"")</f>
        <v/>
      </c>
    </row>
    <row r="24">
      <c r="A24" t="n">
        <v>21</v>
      </c>
      <c r="B24">
        <f>IFERROR(INDEX(Objekte!$B$2:$B$201,MATCH($A24,Objekte!$AB$2:$AB$201,0)),"")</f>
        <v/>
      </c>
      <c r="C24">
        <f>IFERROR(INDEX(Objekte!$Z$2:$Z$201,MATCH($A24,Objekte!$AB$2:$AB$201,0)),"")</f>
        <v/>
      </c>
      <c r="D24">
        <f>IFERROR(INDEX(Objekte!$Y$2:$Y$201,MATCH($A24,Objekte!$AB$2:$AB$201,0)),"")</f>
        <v/>
      </c>
      <c r="E24">
        <f>IFERROR(INDEX(Objekte!$L$2:$L$201,MATCH($A24,Objekte!$AB$2:$AB$201,0)),"")</f>
        <v/>
      </c>
      <c r="F24">
        <f>IFERROR(INDEX(Objekte!$N$2:$N$201,MATCH($A24,Objekte!$AB$2:$AB$201,0)),"")</f>
        <v/>
      </c>
      <c r="G24">
        <f>IFERROR(INDEX(Objekte!$P$2:$P$201,MATCH($A24,Objekte!$AB$2:$AB$201,0)),"")</f>
        <v/>
      </c>
      <c r="H24">
        <f>IFERROR(INDEX(Objekte!$E$2:$E$201,MATCH($A24,Objekte!$AB$2:$AB$201,0)),"")</f>
        <v/>
      </c>
      <c r="I24">
        <f>IFERROR(INDEX(Objekte!$G$2:$G$201,MATCH($A24,Objekte!$AB$2:$AB$201,0)),"")</f>
        <v/>
      </c>
      <c r="J24">
        <f>IFERROR(INDEX(Objekte!$I$2:$I$201,MATCH($A24,Objekte!$AB$2:$AB$201,0)),"")</f>
        <v/>
      </c>
      <c r="K24">
        <f>IFERROR(INDEX(Objekte!$S$2:$S$201,MATCH($A24,Objekte!$AB$2:$AB$201,0)),"")</f>
        <v/>
      </c>
      <c r="L24">
        <f>IFERROR(INDEX(Objekte!$X$2:$X$201,MATCH($A24,Objekte!$AB$2:$AB$201,0)),"")</f>
        <v/>
      </c>
      <c r="M24">
        <f>IFERROR(INDEX(Objekte!$D$2:$D$201,MATCH($A24,Objekte!$AB$2:$AB$201,0)),"")</f>
        <v/>
      </c>
      <c r="N24">
        <f>IFERROR(INDEX(Objekte!$W$2:$W$201,MATCH($A24,Objekte!$AB$2:$AB$201,0)),"")</f>
        <v/>
      </c>
      <c r="O24">
        <f>IFERROR(INDEX(Objekte!$AH$2:$AH$201,MATCH($A24,Objekte!$AB$2:$AB$201,0)),"")</f>
        <v/>
      </c>
      <c r="P24">
        <f>IFERROR(INDEX(Objekte!$C$2:$C$201,MATCH($A24,Objekte!$AB$2:$AB$201,0)),"")</f>
        <v/>
      </c>
      <c r="Q24">
        <f>IFERROR(INDEX(Objekte!$AF$2:$AF$201,MATCH($A24,Objekte!$AB$2:$AB$201,0)),"")</f>
        <v/>
      </c>
      <c r="R24">
        <f>IFERROR(INDEX(Objekte!$AD$2:$AD$201,MATCH($A24,Objekte!$AB$2:$AB$201,0)),"")</f>
        <v/>
      </c>
    </row>
    <row r="25">
      <c r="A25" t="n">
        <v>22</v>
      </c>
      <c r="B25">
        <f>IFERROR(INDEX(Objekte!$B$2:$B$201,MATCH($A25,Objekte!$AB$2:$AB$201,0)),"")</f>
        <v/>
      </c>
      <c r="C25">
        <f>IFERROR(INDEX(Objekte!$Z$2:$Z$201,MATCH($A25,Objekte!$AB$2:$AB$201,0)),"")</f>
        <v/>
      </c>
      <c r="D25">
        <f>IFERROR(INDEX(Objekte!$Y$2:$Y$201,MATCH($A25,Objekte!$AB$2:$AB$201,0)),"")</f>
        <v/>
      </c>
      <c r="E25">
        <f>IFERROR(INDEX(Objekte!$L$2:$L$201,MATCH($A25,Objekte!$AB$2:$AB$201,0)),"")</f>
        <v/>
      </c>
      <c r="F25">
        <f>IFERROR(INDEX(Objekte!$N$2:$N$201,MATCH($A25,Objekte!$AB$2:$AB$201,0)),"")</f>
        <v/>
      </c>
      <c r="G25">
        <f>IFERROR(INDEX(Objekte!$P$2:$P$201,MATCH($A25,Objekte!$AB$2:$AB$201,0)),"")</f>
        <v/>
      </c>
      <c r="H25">
        <f>IFERROR(INDEX(Objekte!$E$2:$E$201,MATCH($A25,Objekte!$AB$2:$AB$201,0)),"")</f>
        <v/>
      </c>
      <c r="I25">
        <f>IFERROR(INDEX(Objekte!$G$2:$G$201,MATCH($A25,Objekte!$AB$2:$AB$201,0)),"")</f>
        <v/>
      </c>
      <c r="J25">
        <f>IFERROR(INDEX(Objekte!$I$2:$I$201,MATCH($A25,Objekte!$AB$2:$AB$201,0)),"")</f>
        <v/>
      </c>
      <c r="K25">
        <f>IFERROR(INDEX(Objekte!$S$2:$S$201,MATCH($A25,Objekte!$AB$2:$AB$201,0)),"")</f>
        <v/>
      </c>
      <c r="L25">
        <f>IFERROR(INDEX(Objekte!$X$2:$X$201,MATCH($A25,Objekte!$AB$2:$AB$201,0)),"")</f>
        <v/>
      </c>
      <c r="M25">
        <f>IFERROR(INDEX(Objekte!$D$2:$D$201,MATCH($A25,Objekte!$AB$2:$AB$201,0)),"")</f>
        <v/>
      </c>
      <c r="N25">
        <f>IFERROR(INDEX(Objekte!$W$2:$W$201,MATCH($A25,Objekte!$AB$2:$AB$201,0)),"")</f>
        <v/>
      </c>
      <c r="O25">
        <f>IFERROR(INDEX(Objekte!$AH$2:$AH$201,MATCH($A25,Objekte!$AB$2:$AB$201,0)),"")</f>
        <v/>
      </c>
      <c r="P25">
        <f>IFERROR(INDEX(Objekte!$C$2:$C$201,MATCH($A25,Objekte!$AB$2:$AB$201,0)),"")</f>
        <v/>
      </c>
      <c r="Q25">
        <f>IFERROR(INDEX(Objekte!$AF$2:$AF$201,MATCH($A25,Objekte!$AB$2:$AB$201,0)),"")</f>
        <v/>
      </c>
      <c r="R25">
        <f>IFERROR(INDEX(Objekte!$AD$2:$AD$201,MATCH($A25,Objekte!$AB$2:$AB$201,0)),"")</f>
        <v/>
      </c>
    </row>
    <row r="26">
      <c r="A26" t="n">
        <v>23</v>
      </c>
      <c r="B26">
        <f>IFERROR(INDEX(Objekte!$B$2:$B$201,MATCH($A26,Objekte!$AB$2:$AB$201,0)),"")</f>
        <v/>
      </c>
      <c r="C26">
        <f>IFERROR(INDEX(Objekte!$Z$2:$Z$201,MATCH($A26,Objekte!$AB$2:$AB$201,0)),"")</f>
        <v/>
      </c>
      <c r="D26">
        <f>IFERROR(INDEX(Objekte!$Y$2:$Y$201,MATCH($A26,Objekte!$AB$2:$AB$201,0)),"")</f>
        <v/>
      </c>
      <c r="E26">
        <f>IFERROR(INDEX(Objekte!$L$2:$L$201,MATCH($A26,Objekte!$AB$2:$AB$201,0)),"")</f>
        <v/>
      </c>
      <c r="F26">
        <f>IFERROR(INDEX(Objekte!$N$2:$N$201,MATCH($A26,Objekte!$AB$2:$AB$201,0)),"")</f>
        <v/>
      </c>
      <c r="G26">
        <f>IFERROR(INDEX(Objekte!$P$2:$P$201,MATCH($A26,Objekte!$AB$2:$AB$201,0)),"")</f>
        <v/>
      </c>
      <c r="H26">
        <f>IFERROR(INDEX(Objekte!$E$2:$E$201,MATCH($A26,Objekte!$AB$2:$AB$201,0)),"")</f>
        <v/>
      </c>
      <c r="I26">
        <f>IFERROR(INDEX(Objekte!$G$2:$G$201,MATCH($A26,Objekte!$AB$2:$AB$201,0)),"")</f>
        <v/>
      </c>
      <c r="J26">
        <f>IFERROR(INDEX(Objekte!$I$2:$I$201,MATCH($A26,Objekte!$AB$2:$AB$201,0)),"")</f>
        <v/>
      </c>
      <c r="K26">
        <f>IFERROR(INDEX(Objekte!$S$2:$S$201,MATCH($A26,Objekte!$AB$2:$AB$201,0)),"")</f>
        <v/>
      </c>
      <c r="L26">
        <f>IFERROR(INDEX(Objekte!$X$2:$X$201,MATCH($A26,Objekte!$AB$2:$AB$201,0)),"")</f>
        <v/>
      </c>
      <c r="M26">
        <f>IFERROR(INDEX(Objekte!$D$2:$D$201,MATCH($A26,Objekte!$AB$2:$AB$201,0)),"")</f>
        <v/>
      </c>
      <c r="N26">
        <f>IFERROR(INDEX(Objekte!$W$2:$W$201,MATCH($A26,Objekte!$AB$2:$AB$201,0)),"")</f>
        <v/>
      </c>
      <c r="O26">
        <f>IFERROR(INDEX(Objekte!$AH$2:$AH$201,MATCH($A26,Objekte!$AB$2:$AB$201,0)),"")</f>
        <v/>
      </c>
      <c r="P26">
        <f>IFERROR(INDEX(Objekte!$C$2:$C$201,MATCH($A26,Objekte!$AB$2:$AB$201,0)),"")</f>
        <v/>
      </c>
      <c r="Q26">
        <f>IFERROR(INDEX(Objekte!$AF$2:$AF$201,MATCH($A26,Objekte!$AB$2:$AB$201,0)),"")</f>
        <v/>
      </c>
      <c r="R26">
        <f>IFERROR(INDEX(Objekte!$AD$2:$AD$201,MATCH($A26,Objekte!$AB$2:$AB$201,0)),"")</f>
        <v/>
      </c>
    </row>
    <row r="27">
      <c r="A27" t="n">
        <v>24</v>
      </c>
      <c r="B27">
        <f>IFERROR(INDEX(Objekte!$B$2:$B$201,MATCH($A27,Objekte!$AB$2:$AB$201,0)),"")</f>
        <v/>
      </c>
      <c r="C27">
        <f>IFERROR(INDEX(Objekte!$Z$2:$Z$201,MATCH($A27,Objekte!$AB$2:$AB$201,0)),"")</f>
        <v/>
      </c>
      <c r="D27">
        <f>IFERROR(INDEX(Objekte!$Y$2:$Y$201,MATCH($A27,Objekte!$AB$2:$AB$201,0)),"")</f>
        <v/>
      </c>
      <c r="E27">
        <f>IFERROR(INDEX(Objekte!$L$2:$L$201,MATCH($A27,Objekte!$AB$2:$AB$201,0)),"")</f>
        <v/>
      </c>
      <c r="F27">
        <f>IFERROR(INDEX(Objekte!$N$2:$N$201,MATCH($A27,Objekte!$AB$2:$AB$201,0)),"")</f>
        <v/>
      </c>
      <c r="G27">
        <f>IFERROR(INDEX(Objekte!$P$2:$P$201,MATCH($A27,Objekte!$AB$2:$AB$201,0)),"")</f>
        <v/>
      </c>
      <c r="H27">
        <f>IFERROR(INDEX(Objekte!$E$2:$E$201,MATCH($A27,Objekte!$AB$2:$AB$201,0)),"")</f>
        <v/>
      </c>
      <c r="I27">
        <f>IFERROR(INDEX(Objekte!$G$2:$G$201,MATCH($A27,Objekte!$AB$2:$AB$201,0)),"")</f>
        <v/>
      </c>
      <c r="J27">
        <f>IFERROR(INDEX(Objekte!$I$2:$I$201,MATCH($A27,Objekte!$AB$2:$AB$201,0)),"")</f>
        <v/>
      </c>
      <c r="K27">
        <f>IFERROR(INDEX(Objekte!$S$2:$S$201,MATCH($A27,Objekte!$AB$2:$AB$201,0)),"")</f>
        <v/>
      </c>
      <c r="L27">
        <f>IFERROR(INDEX(Objekte!$X$2:$X$201,MATCH($A27,Objekte!$AB$2:$AB$201,0)),"")</f>
        <v/>
      </c>
      <c r="M27">
        <f>IFERROR(INDEX(Objekte!$D$2:$D$201,MATCH($A27,Objekte!$AB$2:$AB$201,0)),"")</f>
        <v/>
      </c>
      <c r="N27">
        <f>IFERROR(INDEX(Objekte!$W$2:$W$201,MATCH($A27,Objekte!$AB$2:$AB$201,0)),"")</f>
        <v/>
      </c>
      <c r="O27">
        <f>IFERROR(INDEX(Objekte!$AH$2:$AH$201,MATCH($A27,Objekte!$AB$2:$AB$201,0)),"")</f>
        <v/>
      </c>
      <c r="P27">
        <f>IFERROR(INDEX(Objekte!$C$2:$C$201,MATCH($A27,Objekte!$AB$2:$AB$201,0)),"")</f>
        <v/>
      </c>
      <c r="Q27">
        <f>IFERROR(INDEX(Objekte!$AF$2:$AF$201,MATCH($A27,Objekte!$AB$2:$AB$201,0)),"")</f>
        <v/>
      </c>
      <c r="R27">
        <f>IFERROR(INDEX(Objekte!$AD$2:$AD$201,MATCH($A27,Objekte!$AB$2:$AB$201,0)),"")</f>
        <v/>
      </c>
    </row>
    <row r="28">
      <c r="A28" t="n">
        <v>25</v>
      </c>
      <c r="B28">
        <f>IFERROR(INDEX(Objekte!$B$2:$B$201,MATCH($A28,Objekte!$AB$2:$AB$201,0)),"")</f>
        <v/>
      </c>
      <c r="C28">
        <f>IFERROR(INDEX(Objekte!$Z$2:$Z$201,MATCH($A28,Objekte!$AB$2:$AB$201,0)),"")</f>
        <v/>
      </c>
      <c r="D28">
        <f>IFERROR(INDEX(Objekte!$Y$2:$Y$201,MATCH($A28,Objekte!$AB$2:$AB$201,0)),"")</f>
        <v/>
      </c>
      <c r="E28">
        <f>IFERROR(INDEX(Objekte!$L$2:$L$201,MATCH($A28,Objekte!$AB$2:$AB$201,0)),"")</f>
        <v/>
      </c>
      <c r="F28">
        <f>IFERROR(INDEX(Objekte!$N$2:$N$201,MATCH($A28,Objekte!$AB$2:$AB$201,0)),"")</f>
        <v/>
      </c>
      <c r="G28">
        <f>IFERROR(INDEX(Objekte!$P$2:$P$201,MATCH($A28,Objekte!$AB$2:$AB$201,0)),"")</f>
        <v/>
      </c>
      <c r="H28">
        <f>IFERROR(INDEX(Objekte!$E$2:$E$201,MATCH($A28,Objekte!$AB$2:$AB$201,0)),"")</f>
        <v/>
      </c>
      <c r="I28">
        <f>IFERROR(INDEX(Objekte!$G$2:$G$201,MATCH($A28,Objekte!$AB$2:$AB$201,0)),"")</f>
        <v/>
      </c>
      <c r="J28">
        <f>IFERROR(INDEX(Objekte!$I$2:$I$201,MATCH($A28,Objekte!$AB$2:$AB$201,0)),"")</f>
        <v/>
      </c>
      <c r="K28">
        <f>IFERROR(INDEX(Objekte!$S$2:$S$201,MATCH($A28,Objekte!$AB$2:$AB$201,0)),"")</f>
        <v/>
      </c>
      <c r="L28">
        <f>IFERROR(INDEX(Objekte!$X$2:$X$201,MATCH($A28,Objekte!$AB$2:$AB$201,0)),"")</f>
        <v/>
      </c>
      <c r="M28">
        <f>IFERROR(INDEX(Objekte!$D$2:$D$201,MATCH($A28,Objekte!$AB$2:$AB$201,0)),"")</f>
        <v/>
      </c>
      <c r="N28">
        <f>IFERROR(INDEX(Objekte!$W$2:$W$201,MATCH($A28,Objekte!$AB$2:$AB$201,0)),"")</f>
        <v/>
      </c>
      <c r="O28">
        <f>IFERROR(INDEX(Objekte!$AH$2:$AH$201,MATCH($A28,Objekte!$AB$2:$AB$201,0)),"")</f>
        <v/>
      </c>
      <c r="P28">
        <f>IFERROR(INDEX(Objekte!$C$2:$C$201,MATCH($A28,Objekte!$AB$2:$AB$201,0)),"")</f>
        <v/>
      </c>
      <c r="Q28">
        <f>IFERROR(INDEX(Objekte!$AF$2:$AF$201,MATCH($A28,Objekte!$AB$2:$AB$201,0)),"")</f>
        <v/>
      </c>
      <c r="R28">
        <f>IFERROR(INDEX(Objekte!$AD$2:$AD$201,MATCH($A28,Objekte!$AB$2:$AB$201,0)),"")</f>
        <v/>
      </c>
    </row>
    <row r="29">
      <c r="A29" t="n">
        <v>26</v>
      </c>
      <c r="B29">
        <f>IFERROR(INDEX(Objekte!$B$2:$B$201,MATCH($A29,Objekte!$AB$2:$AB$201,0)),"")</f>
        <v/>
      </c>
      <c r="C29">
        <f>IFERROR(INDEX(Objekte!$Z$2:$Z$201,MATCH($A29,Objekte!$AB$2:$AB$201,0)),"")</f>
        <v/>
      </c>
      <c r="D29">
        <f>IFERROR(INDEX(Objekte!$Y$2:$Y$201,MATCH($A29,Objekte!$AB$2:$AB$201,0)),"")</f>
        <v/>
      </c>
      <c r="E29">
        <f>IFERROR(INDEX(Objekte!$L$2:$L$201,MATCH($A29,Objekte!$AB$2:$AB$201,0)),"")</f>
        <v/>
      </c>
      <c r="F29">
        <f>IFERROR(INDEX(Objekte!$N$2:$N$201,MATCH($A29,Objekte!$AB$2:$AB$201,0)),"")</f>
        <v/>
      </c>
      <c r="G29">
        <f>IFERROR(INDEX(Objekte!$P$2:$P$201,MATCH($A29,Objekte!$AB$2:$AB$201,0)),"")</f>
        <v/>
      </c>
      <c r="H29">
        <f>IFERROR(INDEX(Objekte!$E$2:$E$201,MATCH($A29,Objekte!$AB$2:$AB$201,0)),"")</f>
        <v/>
      </c>
      <c r="I29">
        <f>IFERROR(INDEX(Objekte!$G$2:$G$201,MATCH($A29,Objekte!$AB$2:$AB$201,0)),"")</f>
        <v/>
      </c>
      <c r="J29">
        <f>IFERROR(INDEX(Objekte!$I$2:$I$201,MATCH($A29,Objekte!$AB$2:$AB$201,0)),"")</f>
        <v/>
      </c>
      <c r="K29">
        <f>IFERROR(INDEX(Objekte!$S$2:$S$201,MATCH($A29,Objekte!$AB$2:$AB$201,0)),"")</f>
        <v/>
      </c>
      <c r="L29">
        <f>IFERROR(INDEX(Objekte!$X$2:$X$201,MATCH($A29,Objekte!$AB$2:$AB$201,0)),"")</f>
        <v/>
      </c>
      <c r="M29">
        <f>IFERROR(INDEX(Objekte!$D$2:$D$201,MATCH($A29,Objekte!$AB$2:$AB$201,0)),"")</f>
        <v/>
      </c>
      <c r="N29">
        <f>IFERROR(INDEX(Objekte!$W$2:$W$201,MATCH($A29,Objekte!$AB$2:$AB$201,0)),"")</f>
        <v/>
      </c>
      <c r="O29">
        <f>IFERROR(INDEX(Objekte!$AH$2:$AH$201,MATCH($A29,Objekte!$AB$2:$AB$201,0)),"")</f>
        <v/>
      </c>
      <c r="P29">
        <f>IFERROR(INDEX(Objekte!$C$2:$C$201,MATCH($A29,Objekte!$AB$2:$AB$201,0)),"")</f>
        <v/>
      </c>
      <c r="Q29">
        <f>IFERROR(INDEX(Objekte!$AF$2:$AF$201,MATCH($A29,Objekte!$AB$2:$AB$201,0)),"")</f>
        <v/>
      </c>
      <c r="R29">
        <f>IFERROR(INDEX(Objekte!$AD$2:$AD$201,MATCH($A29,Objekte!$AB$2:$AB$201,0)),"")</f>
        <v/>
      </c>
    </row>
    <row r="30">
      <c r="A30" t="n">
        <v>27</v>
      </c>
      <c r="B30">
        <f>IFERROR(INDEX(Objekte!$B$2:$B$201,MATCH($A30,Objekte!$AB$2:$AB$201,0)),"")</f>
        <v/>
      </c>
      <c r="C30">
        <f>IFERROR(INDEX(Objekte!$Z$2:$Z$201,MATCH($A30,Objekte!$AB$2:$AB$201,0)),"")</f>
        <v/>
      </c>
      <c r="D30">
        <f>IFERROR(INDEX(Objekte!$Y$2:$Y$201,MATCH($A30,Objekte!$AB$2:$AB$201,0)),"")</f>
        <v/>
      </c>
      <c r="E30">
        <f>IFERROR(INDEX(Objekte!$L$2:$L$201,MATCH($A30,Objekte!$AB$2:$AB$201,0)),"")</f>
        <v/>
      </c>
      <c r="F30">
        <f>IFERROR(INDEX(Objekte!$N$2:$N$201,MATCH($A30,Objekte!$AB$2:$AB$201,0)),"")</f>
        <v/>
      </c>
      <c r="G30">
        <f>IFERROR(INDEX(Objekte!$P$2:$P$201,MATCH($A30,Objekte!$AB$2:$AB$201,0)),"")</f>
        <v/>
      </c>
      <c r="H30">
        <f>IFERROR(INDEX(Objekte!$E$2:$E$201,MATCH($A30,Objekte!$AB$2:$AB$201,0)),"")</f>
        <v/>
      </c>
      <c r="I30">
        <f>IFERROR(INDEX(Objekte!$G$2:$G$201,MATCH($A30,Objekte!$AB$2:$AB$201,0)),"")</f>
        <v/>
      </c>
      <c r="J30">
        <f>IFERROR(INDEX(Objekte!$I$2:$I$201,MATCH($A30,Objekte!$AB$2:$AB$201,0)),"")</f>
        <v/>
      </c>
      <c r="K30">
        <f>IFERROR(INDEX(Objekte!$S$2:$S$201,MATCH($A30,Objekte!$AB$2:$AB$201,0)),"")</f>
        <v/>
      </c>
      <c r="L30">
        <f>IFERROR(INDEX(Objekte!$X$2:$X$201,MATCH($A30,Objekte!$AB$2:$AB$201,0)),"")</f>
        <v/>
      </c>
      <c r="M30">
        <f>IFERROR(INDEX(Objekte!$D$2:$D$201,MATCH($A30,Objekte!$AB$2:$AB$201,0)),"")</f>
        <v/>
      </c>
      <c r="N30">
        <f>IFERROR(INDEX(Objekte!$W$2:$W$201,MATCH($A30,Objekte!$AB$2:$AB$201,0)),"")</f>
        <v/>
      </c>
      <c r="O30">
        <f>IFERROR(INDEX(Objekte!$AH$2:$AH$201,MATCH($A30,Objekte!$AB$2:$AB$201,0)),"")</f>
        <v/>
      </c>
      <c r="P30">
        <f>IFERROR(INDEX(Objekte!$C$2:$C$201,MATCH($A30,Objekte!$AB$2:$AB$201,0)),"")</f>
        <v/>
      </c>
      <c r="Q30">
        <f>IFERROR(INDEX(Objekte!$AF$2:$AF$201,MATCH($A30,Objekte!$AB$2:$AB$201,0)),"")</f>
        <v/>
      </c>
      <c r="R30">
        <f>IFERROR(INDEX(Objekte!$AD$2:$AD$201,MATCH($A30,Objekte!$AB$2:$AB$201,0)),"")</f>
        <v/>
      </c>
    </row>
    <row r="31">
      <c r="A31" t="n">
        <v>28</v>
      </c>
      <c r="B31">
        <f>IFERROR(INDEX(Objekte!$B$2:$B$201,MATCH($A31,Objekte!$AB$2:$AB$201,0)),"")</f>
        <v/>
      </c>
      <c r="C31">
        <f>IFERROR(INDEX(Objekte!$Z$2:$Z$201,MATCH($A31,Objekte!$AB$2:$AB$201,0)),"")</f>
        <v/>
      </c>
      <c r="D31">
        <f>IFERROR(INDEX(Objekte!$Y$2:$Y$201,MATCH($A31,Objekte!$AB$2:$AB$201,0)),"")</f>
        <v/>
      </c>
      <c r="E31">
        <f>IFERROR(INDEX(Objekte!$L$2:$L$201,MATCH($A31,Objekte!$AB$2:$AB$201,0)),"")</f>
        <v/>
      </c>
      <c r="F31">
        <f>IFERROR(INDEX(Objekte!$N$2:$N$201,MATCH($A31,Objekte!$AB$2:$AB$201,0)),"")</f>
        <v/>
      </c>
      <c r="G31">
        <f>IFERROR(INDEX(Objekte!$P$2:$P$201,MATCH($A31,Objekte!$AB$2:$AB$201,0)),"")</f>
        <v/>
      </c>
      <c r="H31">
        <f>IFERROR(INDEX(Objekte!$E$2:$E$201,MATCH($A31,Objekte!$AB$2:$AB$201,0)),"")</f>
        <v/>
      </c>
      <c r="I31">
        <f>IFERROR(INDEX(Objekte!$G$2:$G$201,MATCH($A31,Objekte!$AB$2:$AB$201,0)),"")</f>
        <v/>
      </c>
      <c r="J31">
        <f>IFERROR(INDEX(Objekte!$I$2:$I$201,MATCH($A31,Objekte!$AB$2:$AB$201,0)),"")</f>
        <v/>
      </c>
      <c r="K31">
        <f>IFERROR(INDEX(Objekte!$S$2:$S$201,MATCH($A31,Objekte!$AB$2:$AB$201,0)),"")</f>
        <v/>
      </c>
      <c r="L31">
        <f>IFERROR(INDEX(Objekte!$X$2:$X$201,MATCH($A31,Objekte!$AB$2:$AB$201,0)),"")</f>
        <v/>
      </c>
      <c r="M31">
        <f>IFERROR(INDEX(Objekte!$D$2:$D$201,MATCH($A31,Objekte!$AB$2:$AB$201,0)),"")</f>
        <v/>
      </c>
      <c r="N31">
        <f>IFERROR(INDEX(Objekte!$W$2:$W$201,MATCH($A31,Objekte!$AB$2:$AB$201,0)),"")</f>
        <v/>
      </c>
      <c r="O31">
        <f>IFERROR(INDEX(Objekte!$AH$2:$AH$201,MATCH($A31,Objekte!$AB$2:$AB$201,0)),"")</f>
        <v/>
      </c>
      <c r="P31">
        <f>IFERROR(INDEX(Objekte!$C$2:$C$201,MATCH($A31,Objekte!$AB$2:$AB$201,0)),"")</f>
        <v/>
      </c>
      <c r="Q31">
        <f>IFERROR(INDEX(Objekte!$AF$2:$AF$201,MATCH($A31,Objekte!$AB$2:$AB$201,0)),"")</f>
        <v/>
      </c>
      <c r="R31">
        <f>IFERROR(INDEX(Objekte!$AD$2:$AD$201,MATCH($A31,Objekte!$AB$2:$AB$201,0)),"")</f>
        <v/>
      </c>
    </row>
    <row r="32">
      <c r="A32" t="n">
        <v>29</v>
      </c>
      <c r="B32">
        <f>IFERROR(INDEX(Objekte!$B$2:$B$201,MATCH($A32,Objekte!$AB$2:$AB$201,0)),"")</f>
        <v/>
      </c>
      <c r="C32">
        <f>IFERROR(INDEX(Objekte!$Z$2:$Z$201,MATCH($A32,Objekte!$AB$2:$AB$201,0)),"")</f>
        <v/>
      </c>
      <c r="D32">
        <f>IFERROR(INDEX(Objekte!$Y$2:$Y$201,MATCH($A32,Objekte!$AB$2:$AB$201,0)),"")</f>
        <v/>
      </c>
      <c r="E32">
        <f>IFERROR(INDEX(Objekte!$L$2:$L$201,MATCH($A32,Objekte!$AB$2:$AB$201,0)),"")</f>
        <v/>
      </c>
      <c r="F32">
        <f>IFERROR(INDEX(Objekte!$N$2:$N$201,MATCH($A32,Objekte!$AB$2:$AB$201,0)),"")</f>
        <v/>
      </c>
      <c r="G32">
        <f>IFERROR(INDEX(Objekte!$P$2:$P$201,MATCH($A32,Objekte!$AB$2:$AB$201,0)),"")</f>
        <v/>
      </c>
      <c r="H32">
        <f>IFERROR(INDEX(Objekte!$E$2:$E$201,MATCH($A32,Objekte!$AB$2:$AB$201,0)),"")</f>
        <v/>
      </c>
      <c r="I32">
        <f>IFERROR(INDEX(Objekte!$G$2:$G$201,MATCH($A32,Objekte!$AB$2:$AB$201,0)),"")</f>
        <v/>
      </c>
      <c r="J32">
        <f>IFERROR(INDEX(Objekte!$I$2:$I$201,MATCH($A32,Objekte!$AB$2:$AB$201,0)),"")</f>
        <v/>
      </c>
      <c r="K32">
        <f>IFERROR(INDEX(Objekte!$S$2:$S$201,MATCH($A32,Objekte!$AB$2:$AB$201,0)),"")</f>
        <v/>
      </c>
      <c r="L32">
        <f>IFERROR(INDEX(Objekte!$X$2:$X$201,MATCH($A32,Objekte!$AB$2:$AB$201,0)),"")</f>
        <v/>
      </c>
      <c r="M32">
        <f>IFERROR(INDEX(Objekte!$D$2:$D$201,MATCH($A32,Objekte!$AB$2:$AB$201,0)),"")</f>
        <v/>
      </c>
      <c r="N32">
        <f>IFERROR(INDEX(Objekte!$W$2:$W$201,MATCH($A32,Objekte!$AB$2:$AB$201,0)),"")</f>
        <v/>
      </c>
      <c r="O32">
        <f>IFERROR(INDEX(Objekte!$AH$2:$AH$201,MATCH($A32,Objekte!$AB$2:$AB$201,0)),"")</f>
        <v/>
      </c>
      <c r="P32">
        <f>IFERROR(INDEX(Objekte!$C$2:$C$201,MATCH($A32,Objekte!$AB$2:$AB$201,0)),"")</f>
        <v/>
      </c>
      <c r="Q32">
        <f>IFERROR(INDEX(Objekte!$AF$2:$AF$201,MATCH($A32,Objekte!$AB$2:$AB$201,0)),"")</f>
        <v/>
      </c>
      <c r="R32">
        <f>IFERROR(INDEX(Objekte!$AD$2:$AD$201,MATCH($A32,Objekte!$AB$2:$AB$201,0)),"")</f>
        <v/>
      </c>
    </row>
    <row r="33">
      <c r="A33" t="n">
        <v>30</v>
      </c>
      <c r="B33">
        <f>IFERROR(INDEX(Objekte!$B$2:$B$201,MATCH($A33,Objekte!$AB$2:$AB$201,0)),"")</f>
        <v/>
      </c>
      <c r="C33">
        <f>IFERROR(INDEX(Objekte!$Z$2:$Z$201,MATCH($A33,Objekte!$AB$2:$AB$201,0)),"")</f>
        <v/>
      </c>
      <c r="D33">
        <f>IFERROR(INDEX(Objekte!$Y$2:$Y$201,MATCH($A33,Objekte!$AB$2:$AB$201,0)),"")</f>
        <v/>
      </c>
      <c r="E33">
        <f>IFERROR(INDEX(Objekte!$L$2:$L$201,MATCH($A33,Objekte!$AB$2:$AB$201,0)),"")</f>
        <v/>
      </c>
      <c r="F33">
        <f>IFERROR(INDEX(Objekte!$N$2:$N$201,MATCH($A33,Objekte!$AB$2:$AB$201,0)),"")</f>
        <v/>
      </c>
      <c r="G33">
        <f>IFERROR(INDEX(Objekte!$P$2:$P$201,MATCH($A33,Objekte!$AB$2:$AB$201,0)),"")</f>
        <v/>
      </c>
      <c r="H33">
        <f>IFERROR(INDEX(Objekte!$E$2:$E$201,MATCH($A33,Objekte!$AB$2:$AB$201,0)),"")</f>
        <v/>
      </c>
      <c r="I33">
        <f>IFERROR(INDEX(Objekte!$G$2:$G$201,MATCH($A33,Objekte!$AB$2:$AB$201,0)),"")</f>
        <v/>
      </c>
      <c r="J33">
        <f>IFERROR(INDEX(Objekte!$I$2:$I$201,MATCH($A33,Objekte!$AB$2:$AB$201,0)),"")</f>
        <v/>
      </c>
      <c r="K33">
        <f>IFERROR(INDEX(Objekte!$S$2:$S$201,MATCH($A33,Objekte!$AB$2:$AB$201,0)),"")</f>
        <v/>
      </c>
      <c r="L33">
        <f>IFERROR(INDEX(Objekte!$X$2:$X$201,MATCH($A33,Objekte!$AB$2:$AB$201,0)),"")</f>
        <v/>
      </c>
      <c r="M33">
        <f>IFERROR(INDEX(Objekte!$D$2:$D$201,MATCH($A33,Objekte!$AB$2:$AB$201,0)),"")</f>
        <v/>
      </c>
      <c r="N33">
        <f>IFERROR(INDEX(Objekte!$W$2:$W$201,MATCH($A33,Objekte!$AB$2:$AB$201,0)),"")</f>
        <v/>
      </c>
      <c r="O33">
        <f>IFERROR(INDEX(Objekte!$AH$2:$AH$201,MATCH($A33,Objekte!$AB$2:$AB$201,0)),"")</f>
        <v/>
      </c>
      <c r="P33">
        <f>IFERROR(INDEX(Objekte!$C$2:$C$201,MATCH($A33,Objekte!$AB$2:$AB$201,0)),"")</f>
        <v/>
      </c>
      <c r="Q33">
        <f>IFERROR(INDEX(Objekte!$AF$2:$AF$201,MATCH($A33,Objekte!$AB$2:$AB$201,0)),"")</f>
        <v/>
      </c>
      <c r="R33">
        <f>IFERROR(INDEX(Objekte!$AD$2:$AD$201,MATCH($A33,Objekte!$AB$2:$AB$201,0)),"")</f>
        <v/>
      </c>
    </row>
    <row r="34">
      <c r="A34" t="n">
        <v>31</v>
      </c>
      <c r="B34">
        <f>IFERROR(INDEX(Objekte!$B$2:$B$201,MATCH($A34,Objekte!$AB$2:$AB$201,0)),"")</f>
        <v/>
      </c>
      <c r="C34">
        <f>IFERROR(INDEX(Objekte!$Z$2:$Z$201,MATCH($A34,Objekte!$AB$2:$AB$201,0)),"")</f>
        <v/>
      </c>
      <c r="D34">
        <f>IFERROR(INDEX(Objekte!$Y$2:$Y$201,MATCH($A34,Objekte!$AB$2:$AB$201,0)),"")</f>
        <v/>
      </c>
      <c r="E34">
        <f>IFERROR(INDEX(Objekte!$L$2:$L$201,MATCH($A34,Objekte!$AB$2:$AB$201,0)),"")</f>
        <v/>
      </c>
      <c r="F34">
        <f>IFERROR(INDEX(Objekte!$N$2:$N$201,MATCH($A34,Objekte!$AB$2:$AB$201,0)),"")</f>
        <v/>
      </c>
      <c r="G34">
        <f>IFERROR(INDEX(Objekte!$P$2:$P$201,MATCH($A34,Objekte!$AB$2:$AB$201,0)),"")</f>
        <v/>
      </c>
      <c r="H34">
        <f>IFERROR(INDEX(Objekte!$E$2:$E$201,MATCH($A34,Objekte!$AB$2:$AB$201,0)),"")</f>
        <v/>
      </c>
      <c r="I34">
        <f>IFERROR(INDEX(Objekte!$G$2:$G$201,MATCH($A34,Objekte!$AB$2:$AB$201,0)),"")</f>
        <v/>
      </c>
      <c r="J34">
        <f>IFERROR(INDEX(Objekte!$I$2:$I$201,MATCH($A34,Objekte!$AB$2:$AB$201,0)),"")</f>
        <v/>
      </c>
      <c r="K34">
        <f>IFERROR(INDEX(Objekte!$S$2:$S$201,MATCH($A34,Objekte!$AB$2:$AB$201,0)),"")</f>
        <v/>
      </c>
      <c r="L34">
        <f>IFERROR(INDEX(Objekte!$X$2:$X$201,MATCH($A34,Objekte!$AB$2:$AB$201,0)),"")</f>
        <v/>
      </c>
      <c r="M34">
        <f>IFERROR(INDEX(Objekte!$D$2:$D$201,MATCH($A34,Objekte!$AB$2:$AB$201,0)),"")</f>
        <v/>
      </c>
      <c r="N34">
        <f>IFERROR(INDEX(Objekte!$W$2:$W$201,MATCH($A34,Objekte!$AB$2:$AB$201,0)),"")</f>
        <v/>
      </c>
      <c r="O34">
        <f>IFERROR(INDEX(Objekte!$AH$2:$AH$201,MATCH($A34,Objekte!$AB$2:$AB$201,0)),"")</f>
        <v/>
      </c>
      <c r="P34">
        <f>IFERROR(INDEX(Objekte!$C$2:$C$201,MATCH($A34,Objekte!$AB$2:$AB$201,0)),"")</f>
        <v/>
      </c>
      <c r="Q34">
        <f>IFERROR(INDEX(Objekte!$AF$2:$AF$201,MATCH($A34,Objekte!$AB$2:$AB$201,0)),"")</f>
        <v/>
      </c>
      <c r="R34">
        <f>IFERROR(INDEX(Objekte!$AD$2:$AD$201,MATCH($A34,Objekte!$AB$2:$AB$201,0)),"")</f>
        <v/>
      </c>
    </row>
    <row r="35">
      <c r="A35" t="n">
        <v>32</v>
      </c>
      <c r="B35">
        <f>IFERROR(INDEX(Objekte!$B$2:$B$201,MATCH($A35,Objekte!$AB$2:$AB$201,0)),"")</f>
        <v/>
      </c>
      <c r="C35">
        <f>IFERROR(INDEX(Objekte!$Z$2:$Z$201,MATCH($A35,Objekte!$AB$2:$AB$201,0)),"")</f>
        <v/>
      </c>
      <c r="D35">
        <f>IFERROR(INDEX(Objekte!$Y$2:$Y$201,MATCH($A35,Objekte!$AB$2:$AB$201,0)),"")</f>
        <v/>
      </c>
      <c r="E35">
        <f>IFERROR(INDEX(Objekte!$L$2:$L$201,MATCH($A35,Objekte!$AB$2:$AB$201,0)),"")</f>
        <v/>
      </c>
      <c r="F35">
        <f>IFERROR(INDEX(Objekte!$N$2:$N$201,MATCH($A35,Objekte!$AB$2:$AB$201,0)),"")</f>
        <v/>
      </c>
      <c r="G35">
        <f>IFERROR(INDEX(Objekte!$P$2:$P$201,MATCH($A35,Objekte!$AB$2:$AB$201,0)),"")</f>
        <v/>
      </c>
      <c r="H35">
        <f>IFERROR(INDEX(Objekte!$E$2:$E$201,MATCH($A35,Objekte!$AB$2:$AB$201,0)),"")</f>
        <v/>
      </c>
      <c r="I35">
        <f>IFERROR(INDEX(Objekte!$G$2:$G$201,MATCH($A35,Objekte!$AB$2:$AB$201,0)),"")</f>
        <v/>
      </c>
      <c r="J35">
        <f>IFERROR(INDEX(Objekte!$I$2:$I$201,MATCH($A35,Objekte!$AB$2:$AB$201,0)),"")</f>
        <v/>
      </c>
      <c r="K35">
        <f>IFERROR(INDEX(Objekte!$S$2:$S$201,MATCH($A35,Objekte!$AB$2:$AB$201,0)),"")</f>
        <v/>
      </c>
      <c r="L35">
        <f>IFERROR(INDEX(Objekte!$X$2:$X$201,MATCH($A35,Objekte!$AB$2:$AB$201,0)),"")</f>
        <v/>
      </c>
      <c r="M35">
        <f>IFERROR(INDEX(Objekte!$D$2:$D$201,MATCH($A35,Objekte!$AB$2:$AB$201,0)),"")</f>
        <v/>
      </c>
      <c r="N35">
        <f>IFERROR(INDEX(Objekte!$W$2:$W$201,MATCH($A35,Objekte!$AB$2:$AB$201,0)),"")</f>
        <v/>
      </c>
      <c r="O35">
        <f>IFERROR(INDEX(Objekte!$AH$2:$AH$201,MATCH($A35,Objekte!$AB$2:$AB$201,0)),"")</f>
        <v/>
      </c>
      <c r="P35">
        <f>IFERROR(INDEX(Objekte!$C$2:$C$201,MATCH($A35,Objekte!$AB$2:$AB$201,0)),"")</f>
        <v/>
      </c>
      <c r="Q35">
        <f>IFERROR(INDEX(Objekte!$AF$2:$AF$201,MATCH($A35,Objekte!$AB$2:$AB$201,0)),"")</f>
        <v/>
      </c>
      <c r="R35">
        <f>IFERROR(INDEX(Objekte!$AD$2:$AD$201,MATCH($A35,Objekte!$AB$2:$AB$201,0)),"")</f>
        <v/>
      </c>
    </row>
    <row r="36">
      <c r="A36" t="n">
        <v>33</v>
      </c>
      <c r="B36">
        <f>IFERROR(INDEX(Objekte!$B$2:$B$201,MATCH($A36,Objekte!$AB$2:$AB$201,0)),"")</f>
        <v/>
      </c>
      <c r="C36">
        <f>IFERROR(INDEX(Objekte!$Z$2:$Z$201,MATCH($A36,Objekte!$AB$2:$AB$201,0)),"")</f>
        <v/>
      </c>
      <c r="D36">
        <f>IFERROR(INDEX(Objekte!$Y$2:$Y$201,MATCH($A36,Objekte!$AB$2:$AB$201,0)),"")</f>
        <v/>
      </c>
      <c r="E36">
        <f>IFERROR(INDEX(Objekte!$L$2:$L$201,MATCH($A36,Objekte!$AB$2:$AB$201,0)),"")</f>
        <v/>
      </c>
      <c r="F36">
        <f>IFERROR(INDEX(Objekte!$N$2:$N$201,MATCH($A36,Objekte!$AB$2:$AB$201,0)),"")</f>
        <v/>
      </c>
      <c r="G36">
        <f>IFERROR(INDEX(Objekte!$P$2:$P$201,MATCH($A36,Objekte!$AB$2:$AB$201,0)),"")</f>
        <v/>
      </c>
      <c r="H36">
        <f>IFERROR(INDEX(Objekte!$E$2:$E$201,MATCH($A36,Objekte!$AB$2:$AB$201,0)),"")</f>
        <v/>
      </c>
      <c r="I36">
        <f>IFERROR(INDEX(Objekte!$G$2:$G$201,MATCH($A36,Objekte!$AB$2:$AB$201,0)),"")</f>
        <v/>
      </c>
      <c r="J36">
        <f>IFERROR(INDEX(Objekte!$I$2:$I$201,MATCH($A36,Objekte!$AB$2:$AB$201,0)),"")</f>
        <v/>
      </c>
      <c r="K36">
        <f>IFERROR(INDEX(Objekte!$S$2:$S$201,MATCH($A36,Objekte!$AB$2:$AB$201,0)),"")</f>
        <v/>
      </c>
      <c r="L36">
        <f>IFERROR(INDEX(Objekte!$X$2:$X$201,MATCH($A36,Objekte!$AB$2:$AB$201,0)),"")</f>
        <v/>
      </c>
      <c r="M36">
        <f>IFERROR(INDEX(Objekte!$D$2:$D$201,MATCH($A36,Objekte!$AB$2:$AB$201,0)),"")</f>
        <v/>
      </c>
      <c r="N36">
        <f>IFERROR(INDEX(Objekte!$W$2:$W$201,MATCH($A36,Objekte!$AB$2:$AB$201,0)),"")</f>
        <v/>
      </c>
      <c r="O36">
        <f>IFERROR(INDEX(Objekte!$AH$2:$AH$201,MATCH($A36,Objekte!$AB$2:$AB$201,0)),"")</f>
        <v/>
      </c>
      <c r="P36">
        <f>IFERROR(INDEX(Objekte!$C$2:$C$201,MATCH($A36,Objekte!$AB$2:$AB$201,0)),"")</f>
        <v/>
      </c>
      <c r="Q36">
        <f>IFERROR(INDEX(Objekte!$AF$2:$AF$201,MATCH($A36,Objekte!$AB$2:$AB$201,0)),"")</f>
        <v/>
      </c>
      <c r="R36">
        <f>IFERROR(INDEX(Objekte!$AD$2:$AD$201,MATCH($A36,Objekte!$AB$2:$AB$201,0)),"")</f>
        <v/>
      </c>
    </row>
    <row r="37">
      <c r="A37" t="n">
        <v>34</v>
      </c>
      <c r="B37">
        <f>IFERROR(INDEX(Objekte!$B$2:$B$201,MATCH($A37,Objekte!$AB$2:$AB$201,0)),"")</f>
        <v/>
      </c>
      <c r="C37">
        <f>IFERROR(INDEX(Objekte!$Z$2:$Z$201,MATCH($A37,Objekte!$AB$2:$AB$201,0)),"")</f>
        <v/>
      </c>
      <c r="D37">
        <f>IFERROR(INDEX(Objekte!$Y$2:$Y$201,MATCH($A37,Objekte!$AB$2:$AB$201,0)),"")</f>
        <v/>
      </c>
      <c r="E37">
        <f>IFERROR(INDEX(Objekte!$L$2:$L$201,MATCH($A37,Objekte!$AB$2:$AB$201,0)),"")</f>
        <v/>
      </c>
      <c r="F37">
        <f>IFERROR(INDEX(Objekte!$N$2:$N$201,MATCH($A37,Objekte!$AB$2:$AB$201,0)),"")</f>
        <v/>
      </c>
      <c r="G37">
        <f>IFERROR(INDEX(Objekte!$P$2:$P$201,MATCH($A37,Objekte!$AB$2:$AB$201,0)),"")</f>
        <v/>
      </c>
      <c r="H37">
        <f>IFERROR(INDEX(Objekte!$E$2:$E$201,MATCH($A37,Objekte!$AB$2:$AB$201,0)),"")</f>
        <v/>
      </c>
      <c r="I37">
        <f>IFERROR(INDEX(Objekte!$G$2:$G$201,MATCH($A37,Objekte!$AB$2:$AB$201,0)),"")</f>
        <v/>
      </c>
      <c r="J37">
        <f>IFERROR(INDEX(Objekte!$I$2:$I$201,MATCH($A37,Objekte!$AB$2:$AB$201,0)),"")</f>
        <v/>
      </c>
      <c r="K37">
        <f>IFERROR(INDEX(Objekte!$S$2:$S$201,MATCH($A37,Objekte!$AB$2:$AB$201,0)),"")</f>
        <v/>
      </c>
      <c r="L37">
        <f>IFERROR(INDEX(Objekte!$X$2:$X$201,MATCH($A37,Objekte!$AB$2:$AB$201,0)),"")</f>
        <v/>
      </c>
      <c r="M37">
        <f>IFERROR(INDEX(Objekte!$D$2:$D$201,MATCH($A37,Objekte!$AB$2:$AB$201,0)),"")</f>
        <v/>
      </c>
      <c r="N37">
        <f>IFERROR(INDEX(Objekte!$W$2:$W$201,MATCH($A37,Objekte!$AB$2:$AB$201,0)),"")</f>
        <v/>
      </c>
      <c r="O37">
        <f>IFERROR(INDEX(Objekte!$AH$2:$AH$201,MATCH($A37,Objekte!$AB$2:$AB$201,0)),"")</f>
        <v/>
      </c>
      <c r="P37">
        <f>IFERROR(INDEX(Objekte!$C$2:$C$201,MATCH($A37,Objekte!$AB$2:$AB$201,0)),"")</f>
        <v/>
      </c>
      <c r="Q37">
        <f>IFERROR(INDEX(Objekte!$AF$2:$AF$201,MATCH($A37,Objekte!$AB$2:$AB$201,0)),"")</f>
        <v/>
      </c>
      <c r="R37">
        <f>IFERROR(INDEX(Objekte!$AD$2:$AD$201,MATCH($A37,Objekte!$AB$2:$AB$201,0)),"")</f>
        <v/>
      </c>
    </row>
    <row r="38">
      <c r="A38" t="n">
        <v>35</v>
      </c>
      <c r="B38">
        <f>IFERROR(INDEX(Objekte!$B$2:$B$201,MATCH($A38,Objekte!$AB$2:$AB$201,0)),"")</f>
        <v/>
      </c>
      <c r="C38">
        <f>IFERROR(INDEX(Objekte!$Z$2:$Z$201,MATCH($A38,Objekte!$AB$2:$AB$201,0)),"")</f>
        <v/>
      </c>
      <c r="D38">
        <f>IFERROR(INDEX(Objekte!$Y$2:$Y$201,MATCH($A38,Objekte!$AB$2:$AB$201,0)),"")</f>
        <v/>
      </c>
      <c r="E38">
        <f>IFERROR(INDEX(Objekte!$L$2:$L$201,MATCH($A38,Objekte!$AB$2:$AB$201,0)),"")</f>
        <v/>
      </c>
      <c r="F38">
        <f>IFERROR(INDEX(Objekte!$N$2:$N$201,MATCH($A38,Objekte!$AB$2:$AB$201,0)),"")</f>
        <v/>
      </c>
      <c r="G38">
        <f>IFERROR(INDEX(Objekte!$P$2:$P$201,MATCH($A38,Objekte!$AB$2:$AB$201,0)),"")</f>
        <v/>
      </c>
      <c r="H38">
        <f>IFERROR(INDEX(Objekte!$E$2:$E$201,MATCH($A38,Objekte!$AB$2:$AB$201,0)),"")</f>
        <v/>
      </c>
      <c r="I38">
        <f>IFERROR(INDEX(Objekte!$G$2:$G$201,MATCH($A38,Objekte!$AB$2:$AB$201,0)),"")</f>
        <v/>
      </c>
      <c r="J38">
        <f>IFERROR(INDEX(Objekte!$I$2:$I$201,MATCH($A38,Objekte!$AB$2:$AB$201,0)),"")</f>
        <v/>
      </c>
      <c r="K38">
        <f>IFERROR(INDEX(Objekte!$S$2:$S$201,MATCH($A38,Objekte!$AB$2:$AB$201,0)),"")</f>
        <v/>
      </c>
      <c r="L38">
        <f>IFERROR(INDEX(Objekte!$X$2:$X$201,MATCH($A38,Objekte!$AB$2:$AB$201,0)),"")</f>
        <v/>
      </c>
      <c r="M38">
        <f>IFERROR(INDEX(Objekte!$D$2:$D$201,MATCH($A38,Objekte!$AB$2:$AB$201,0)),"")</f>
        <v/>
      </c>
      <c r="N38">
        <f>IFERROR(INDEX(Objekte!$W$2:$W$201,MATCH($A38,Objekte!$AB$2:$AB$201,0)),"")</f>
        <v/>
      </c>
      <c r="O38">
        <f>IFERROR(INDEX(Objekte!$AH$2:$AH$201,MATCH($A38,Objekte!$AB$2:$AB$201,0)),"")</f>
        <v/>
      </c>
      <c r="P38">
        <f>IFERROR(INDEX(Objekte!$C$2:$C$201,MATCH($A38,Objekte!$AB$2:$AB$201,0)),"")</f>
        <v/>
      </c>
      <c r="Q38">
        <f>IFERROR(INDEX(Objekte!$AF$2:$AF$201,MATCH($A38,Objekte!$AB$2:$AB$201,0)),"")</f>
        <v/>
      </c>
      <c r="R38">
        <f>IFERROR(INDEX(Objekte!$AD$2:$AD$201,MATCH($A38,Objekte!$AB$2:$AB$201,0)),"")</f>
        <v/>
      </c>
    </row>
    <row r="39">
      <c r="A39" t="n">
        <v>36</v>
      </c>
      <c r="B39">
        <f>IFERROR(INDEX(Objekte!$B$2:$B$201,MATCH($A39,Objekte!$AB$2:$AB$201,0)),"")</f>
        <v/>
      </c>
      <c r="C39">
        <f>IFERROR(INDEX(Objekte!$Z$2:$Z$201,MATCH($A39,Objekte!$AB$2:$AB$201,0)),"")</f>
        <v/>
      </c>
      <c r="D39">
        <f>IFERROR(INDEX(Objekte!$Y$2:$Y$201,MATCH($A39,Objekte!$AB$2:$AB$201,0)),"")</f>
        <v/>
      </c>
      <c r="E39">
        <f>IFERROR(INDEX(Objekte!$L$2:$L$201,MATCH($A39,Objekte!$AB$2:$AB$201,0)),"")</f>
        <v/>
      </c>
      <c r="F39">
        <f>IFERROR(INDEX(Objekte!$N$2:$N$201,MATCH($A39,Objekte!$AB$2:$AB$201,0)),"")</f>
        <v/>
      </c>
      <c r="G39">
        <f>IFERROR(INDEX(Objekte!$P$2:$P$201,MATCH($A39,Objekte!$AB$2:$AB$201,0)),"")</f>
        <v/>
      </c>
      <c r="H39">
        <f>IFERROR(INDEX(Objekte!$E$2:$E$201,MATCH($A39,Objekte!$AB$2:$AB$201,0)),"")</f>
        <v/>
      </c>
      <c r="I39">
        <f>IFERROR(INDEX(Objekte!$G$2:$G$201,MATCH($A39,Objekte!$AB$2:$AB$201,0)),"")</f>
        <v/>
      </c>
      <c r="J39">
        <f>IFERROR(INDEX(Objekte!$I$2:$I$201,MATCH($A39,Objekte!$AB$2:$AB$201,0)),"")</f>
        <v/>
      </c>
      <c r="K39">
        <f>IFERROR(INDEX(Objekte!$S$2:$S$201,MATCH($A39,Objekte!$AB$2:$AB$201,0)),"")</f>
        <v/>
      </c>
      <c r="L39">
        <f>IFERROR(INDEX(Objekte!$X$2:$X$201,MATCH($A39,Objekte!$AB$2:$AB$201,0)),"")</f>
        <v/>
      </c>
      <c r="M39">
        <f>IFERROR(INDEX(Objekte!$D$2:$D$201,MATCH($A39,Objekte!$AB$2:$AB$201,0)),"")</f>
        <v/>
      </c>
      <c r="N39">
        <f>IFERROR(INDEX(Objekte!$W$2:$W$201,MATCH($A39,Objekte!$AB$2:$AB$201,0)),"")</f>
        <v/>
      </c>
      <c r="O39">
        <f>IFERROR(INDEX(Objekte!$AH$2:$AH$201,MATCH($A39,Objekte!$AB$2:$AB$201,0)),"")</f>
        <v/>
      </c>
      <c r="P39">
        <f>IFERROR(INDEX(Objekte!$C$2:$C$201,MATCH($A39,Objekte!$AB$2:$AB$201,0)),"")</f>
        <v/>
      </c>
      <c r="Q39">
        <f>IFERROR(INDEX(Objekte!$AF$2:$AF$201,MATCH($A39,Objekte!$AB$2:$AB$201,0)),"")</f>
        <v/>
      </c>
      <c r="R39">
        <f>IFERROR(INDEX(Objekte!$AD$2:$AD$201,MATCH($A39,Objekte!$AB$2:$AB$201,0)),"")</f>
        <v/>
      </c>
    </row>
    <row r="40">
      <c r="A40" t="n">
        <v>37</v>
      </c>
      <c r="B40">
        <f>IFERROR(INDEX(Objekte!$B$2:$B$201,MATCH($A40,Objekte!$AB$2:$AB$201,0)),"")</f>
        <v/>
      </c>
      <c r="C40">
        <f>IFERROR(INDEX(Objekte!$Z$2:$Z$201,MATCH($A40,Objekte!$AB$2:$AB$201,0)),"")</f>
        <v/>
      </c>
      <c r="D40">
        <f>IFERROR(INDEX(Objekte!$Y$2:$Y$201,MATCH($A40,Objekte!$AB$2:$AB$201,0)),"")</f>
        <v/>
      </c>
      <c r="E40">
        <f>IFERROR(INDEX(Objekte!$L$2:$L$201,MATCH($A40,Objekte!$AB$2:$AB$201,0)),"")</f>
        <v/>
      </c>
      <c r="F40">
        <f>IFERROR(INDEX(Objekte!$N$2:$N$201,MATCH($A40,Objekte!$AB$2:$AB$201,0)),"")</f>
        <v/>
      </c>
      <c r="G40">
        <f>IFERROR(INDEX(Objekte!$P$2:$P$201,MATCH($A40,Objekte!$AB$2:$AB$201,0)),"")</f>
        <v/>
      </c>
      <c r="H40">
        <f>IFERROR(INDEX(Objekte!$E$2:$E$201,MATCH($A40,Objekte!$AB$2:$AB$201,0)),"")</f>
        <v/>
      </c>
      <c r="I40">
        <f>IFERROR(INDEX(Objekte!$G$2:$G$201,MATCH($A40,Objekte!$AB$2:$AB$201,0)),"")</f>
        <v/>
      </c>
      <c r="J40">
        <f>IFERROR(INDEX(Objekte!$I$2:$I$201,MATCH($A40,Objekte!$AB$2:$AB$201,0)),"")</f>
        <v/>
      </c>
      <c r="K40">
        <f>IFERROR(INDEX(Objekte!$S$2:$S$201,MATCH($A40,Objekte!$AB$2:$AB$201,0)),"")</f>
        <v/>
      </c>
      <c r="L40">
        <f>IFERROR(INDEX(Objekte!$X$2:$X$201,MATCH($A40,Objekte!$AB$2:$AB$201,0)),"")</f>
        <v/>
      </c>
      <c r="M40">
        <f>IFERROR(INDEX(Objekte!$D$2:$D$201,MATCH($A40,Objekte!$AB$2:$AB$201,0)),"")</f>
        <v/>
      </c>
      <c r="N40">
        <f>IFERROR(INDEX(Objekte!$W$2:$W$201,MATCH($A40,Objekte!$AB$2:$AB$201,0)),"")</f>
        <v/>
      </c>
      <c r="O40">
        <f>IFERROR(INDEX(Objekte!$AH$2:$AH$201,MATCH($A40,Objekte!$AB$2:$AB$201,0)),"")</f>
        <v/>
      </c>
      <c r="P40">
        <f>IFERROR(INDEX(Objekte!$C$2:$C$201,MATCH($A40,Objekte!$AB$2:$AB$201,0)),"")</f>
        <v/>
      </c>
      <c r="Q40">
        <f>IFERROR(INDEX(Objekte!$AF$2:$AF$201,MATCH($A40,Objekte!$AB$2:$AB$201,0)),"")</f>
        <v/>
      </c>
      <c r="R40">
        <f>IFERROR(INDEX(Objekte!$AD$2:$AD$201,MATCH($A40,Objekte!$AB$2:$AB$201,0)),"")</f>
        <v/>
      </c>
    </row>
    <row r="41">
      <c r="A41" t="n">
        <v>38</v>
      </c>
      <c r="B41">
        <f>IFERROR(INDEX(Objekte!$B$2:$B$201,MATCH($A41,Objekte!$AB$2:$AB$201,0)),"")</f>
        <v/>
      </c>
      <c r="C41">
        <f>IFERROR(INDEX(Objekte!$Z$2:$Z$201,MATCH($A41,Objekte!$AB$2:$AB$201,0)),"")</f>
        <v/>
      </c>
      <c r="D41">
        <f>IFERROR(INDEX(Objekte!$Y$2:$Y$201,MATCH($A41,Objekte!$AB$2:$AB$201,0)),"")</f>
        <v/>
      </c>
      <c r="E41">
        <f>IFERROR(INDEX(Objekte!$L$2:$L$201,MATCH($A41,Objekte!$AB$2:$AB$201,0)),"")</f>
        <v/>
      </c>
      <c r="F41">
        <f>IFERROR(INDEX(Objekte!$N$2:$N$201,MATCH($A41,Objekte!$AB$2:$AB$201,0)),"")</f>
        <v/>
      </c>
      <c r="G41">
        <f>IFERROR(INDEX(Objekte!$P$2:$P$201,MATCH($A41,Objekte!$AB$2:$AB$201,0)),"")</f>
        <v/>
      </c>
      <c r="H41">
        <f>IFERROR(INDEX(Objekte!$E$2:$E$201,MATCH($A41,Objekte!$AB$2:$AB$201,0)),"")</f>
        <v/>
      </c>
      <c r="I41">
        <f>IFERROR(INDEX(Objekte!$G$2:$G$201,MATCH($A41,Objekte!$AB$2:$AB$201,0)),"")</f>
        <v/>
      </c>
      <c r="J41">
        <f>IFERROR(INDEX(Objekte!$I$2:$I$201,MATCH($A41,Objekte!$AB$2:$AB$201,0)),"")</f>
        <v/>
      </c>
      <c r="K41">
        <f>IFERROR(INDEX(Objekte!$S$2:$S$201,MATCH($A41,Objekte!$AB$2:$AB$201,0)),"")</f>
        <v/>
      </c>
      <c r="L41">
        <f>IFERROR(INDEX(Objekte!$X$2:$X$201,MATCH($A41,Objekte!$AB$2:$AB$201,0)),"")</f>
        <v/>
      </c>
      <c r="M41">
        <f>IFERROR(INDEX(Objekte!$D$2:$D$201,MATCH($A41,Objekte!$AB$2:$AB$201,0)),"")</f>
        <v/>
      </c>
      <c r="N41">
        <f>IFERROR(INDEX(Objekte!$W$2:$W$201,MATCH($A41,Objekte!$AB$2:$AB$201,0)),"")</f>
        <v/>
      </c>
      <c r="O41">
        <f>IFERROR(INDEX(Objekte!$AH$2:$AH$201,MATCH($A41,Objekte!$AB$2:$AB$201,0)),"")</f>
        <v/>
      </c>
      <c r="P41">
        <f>IFERROR(INDEX(Objekte!$C$2:$C$201,MATCH($A41,Objekte!$AB$2:$AB$201,0)),"")</f>
        <v/>
      </c>
      <c r="Q41">
        <f>IFERROR(INDEX(Objekte!$AF$2:$AF$201,MATCH($A41,Objekte!$AB$2:$AB$201,0)),"")</f>
        <v/>
      </c>
      <c r="R41">
        <f>IFERROR(INDEX(Objekte!$AD$2:$AD$201,MATCH($A41,Objekte!$AB$2:$AB$201,0)),"")</f>
        <v/>
      </c>
    </row>
    <row r="42">
      <c r="A42" t="n">
        <v>39</v>
      </c>
      <c r="B42">
        <f>IFERROR(INDEX(Objekte!$B$2:$B$201,MATCH($A42,Objekte!$AB$2:$AB$201,0)),"")</f>
        <v/>
      </c>
      <c r="C42">
        <f>IFERROR(INDEX(Objekte!$Z$2:$Z$201,MATCH($A42,Objekte!$AB$2:$AB$201,0)),"")</f>
        <v/>
      </c>
      <c r="D42">
        <f>IFERROR(INDEX(Objekte!$Y$2:$Y$201,MATCH($A42,Objekte!$AB$2:$AB$201,0)),"")</f>
        <v/>
      </c>
      <c r="E42">
        <f>IFERROR(INDEX(Objekte!$L$2:$L$201,MATCH($A42,Objekte!$AB$2:$AB$201,0)),"")</f>
        <v/>
      </c>
      <c r="F42">
        <f>IFERROR(INDEX(Objekte!$N$2:$N$201,MATCH($A42,Objekte!$AB$2:$AB$201,0)),"")</f>
        <v/>
      </c>
      <c r="G42">
        <f>IFERROR(INDEX(Objekte!$P$2:$P$201,MATCH($A42,Objekte!$AB$2:$AB$201,0)),"")</f>
        <v/>
      </c>
      <c r="H42">
        <f>IFERROR(INDEX(Objekte!$E$2:$E$201,MATCH($A42,Objekte!$AB$2:$AB$201,0)),"")</f>
        <v/>
      </c>
      <c r="I42">
        <f>IFERROR(INDEX(Objekte!$G$2:$G$201,MATCH($A42,Objekte!$AB$2:$AB$201,0)),"")</f>
        <v/>
      </c>
      <c r="J42">
        <f>IFERROR(INDEX(Objekte!$I$2:$I$201,MATCH($A42,Objekte!$AB$2:$AB$201,0)),"")</f>
        <v/>
      </c>
      <c r="K42">
        <f>IFERROR(INDEX(Objekte!$S$2:$S$201,MATCH($A42,Objekte!$AB$2:$AB$201,0)),"")</f>
        <v/>
      </c>
      <c r="L42">
        <f>IFERROR(INDEX(Objekte!$X$2:$X$201,MATCH($A42,Objekte!$AB$2:$AB$201,0)),"")</f>
        <v/>
      </c>
      <c r="M42">
        <f>IFERROR(INDEX(Objekte!$D$2:$D$201,MATCH($A42,Objekte!$AB$2:$AB$201,0)),"")</f>
        <v/>
      </c>
      <c r="N42">
        <f>IFERROR(INDEX(Objekte!$W$2:$W$201,MATCH($A42,Objekte!$AB$2:$AB$201,0)),"")</f>
        <v/>
      </c>
      <c r="O42">
        <f>IFERROR(INDEX(Objekte!$AH$2:$AH$201,MATCH($A42,Objekte!$AB$2:$AB$201,0)),"")</f>
        <v/>
      </c>
      <c r="P42">
        <f>IFERROR(INDEX(Objekte!$C$2:$C$201,MATCH($A42,Objekte!$AB$2:$AB$201,0)),"")</f>
        <v/>
      </c>
      <c r="Q42">
        <f>IFERROR(INDEX(Objekte!$AF$2:$AF$201,MATCH($A42,Objekte!$AB$2:$AB$201,0)),"")</f>
        <v/>
      </c>
      <c r="R42">
        <f>IFERROR(INDEX(Objekte!$AD$2:$AD$201,MATCH($A42,Objekte!$AB$2:$AB$201,0)),"")</f>
        <v/>
      </c>
    </row>
    <row r="43">
      <c r="A43" t="n">
        <v>40</v>
      </c>
      <c r="B43">
        <f>IFERROR(INDEX(Objekte!$B$2:$B$201,MATCH($A43,Objekte!$AB$2:$AB$201,0)),"")</f>
        <v/>
      </c>
      <c r="C43">
        <f>IFERROR(INDEX(Objekte!$Z$2:$Z$201,MATCH($A43,Objekte!$AB$2:$AB$201,0)),"")</f>
        <v/>
      </c>
      <c r="D43">
        <f>IFERROR(INDEX(Objekte!$Y$2:$Y$201,MATCH($A43,Objekte!$AB$2:$AB$201,0)),"")</f>
        <v/>
      </c>
      <c r="E43">
        <f>IFERROR(INDEX(Objekte!$L$2:$L$201,MATCH($A43,Objekte!$AB$2:$AB$201,0)),"")</f>
        <v/>
      </c>
      <c r="F43">
        <f>IFERROR(INDEX(Objekte!$N$2:$N$201,MATCH($A43,Objekte!$AB$2:$AB$201,0)),"")</f>
        <v/>
      </c>
      <c r="G43">
        <f>IFERROR(INDEX(Objekte!$P$2:$P$201,MATCH($A43,Objekte!$AB$2:$AB$201,0)),"")</f>
        <v/>
      </c>
      <c r="H43">
        <f>IFERROR(INDEX(Objekte!$E$2:$E$201,MATCH($A43,Objekte!$AB$2:$AB$201,0)),"")</f>
        <v/>
      </c>
      <c r="I43">
        <f>IFERROR(INDEX(Objekte!$G$2:$G$201,MATCH($A43,Objekte!$AB$2:$AB$201,0)),"")</f>
        <v/>
      </c>
      <c r="J43">
        <f>IFERROR(INDEX(Objekte!$I$2:$I$201,MATCH($A43,Objekte!$AB$2:$AB$201,0)),"")</f>
        <v/>
      </c>
      <c r="K43">
        <f>IFERROR(INDEX(Objekte!$S$2:$S$201,MATCH($A43,Objekte!$AB$2:$AB$201,0)),"")</f>
        <v/>
      </c>
      <c r="L43">
        <f>IFERROR(INDEX(Objekte!$X$2:$X$201,MATCH($A43,Objekte!$AB$2:$AB$201,0)),"")</f>
        <v/>
      </c>
      <c r="M43">
        <f>IFERROR(INDEX(Objekte!$D$2:$D$201,MATCH($A43,Objekte!$AB$2:$AB$201,0)),"")</f>
        <v/>
      </c>
      <c r="N43">
        <f>IFERROR(INDEX(Objekte!$W$2:$W$201,MATCH($A43,Objekte!$AB$2:$AB$201,0)),"")</f>
        <v/>
      </c>
      <c r="O43">
        <f>IFERROR(INDEX(Objekte!$AH$2:$AH$201,MATCH($A43,Objekte!$AB$2:$AB$201,0)),"")</f>
        <v/>
      </c>
      <c r="P43">
        <f>IFERROR(INDEX(Objekte!$C$2:$C$201,MATCH($A43,Objekte!$AB$2:$AB$201,0)),"")</f>
        <v/>
      </c>
      <c r="Q43">
        <f>IFERROR(INDEX(Objekte!$AF$2:$AF$201,MATCH($A43,Objekte!$AB$2:$AB$201,0)),"")</f>
        <v/>
      </c>
      <c r="R43">
        <f>IFERROR(INDEX(Objekte!$AD$2:$AD$201,MATCH($A43,Objekte!$AB$2:$AB$201,0)),"")</f>
        <v/>
      </c>
    </row>
    <row r="44">
      <c r="A44" t="n">
        <v>41</v>
      </c>
      <c r="B44">
        <f>IFERROR(INDEX(Objekte!$B$2:$B$201,MATCH($A44,Objekte!$AB$2:$AB$201,0)),"")</f>
        <v/>
      </c>
      <c r="C44">
        <f>IFERROR(INDEX(Objekte!$Z$2:$Z$201,MATCH($A44,Objekte!$AB$2:$AB$201,0)),"")</f>
        <v/>
      </c>
      <c r="D44">
        <f>IFERROR(INDEX(Objekte!$Y$2:$Y$201,MATCH($A44,Objekte!$AB$2:$AB$201,0)),"")</f>
        <v/>
      </c>
      <c r="E44">
        <f>IFERROR(INDEX(Objekte!$L$2:$L$201,MATCH($A44,Objekte!$AB$2:$AB$201,0)),"")</f>
        <v/>
      </c>
      <c r="F44">
        <f>IFERROR(INDEX(Objekte!$N$2:$N$201,MATCH($A44,Objekte!$AB$2:$AB$201,0)),"")</f>
        <v/>
      </c>
      <c r="G44">
        <f>IFERROR(INDEX(Objekte!$P$2:$P$201,MATCH($A44,Objekte!$AB$2:$AB$201,0)),"")</f>
        <v/>
      </c>
      <c r="H44">
        <f>IFERROR(INDEX(Objekte!$E$2:$E$201,MATCH($A44,Objekte!$AB$2:$AB$201,0)),"")</f>
        <v/>
      </c>
      <c r="I44">
        <f>IFERROR(INDEX(Objekte!$G$2:$G$201,MATCH($A44,Objekte!$AB$2:$AB$201,0)),"")</f>
        <v/>
      </c>
      <c r="J44">
        <f>IFERROR(INDEX(Objekte!$I$2:$I$201,MATCH($A44,Objekte!$AB$2:$AB$201,0)),"")</f>
        <v/>
      </c>
      <c r="K44">
        <f>IFERROR(INDEX(Objekte!$S$2:$S$201,MATCH($A44,Objekte!$AB$2:$AB$201,0)),"")</f>
        <v/>
      </c>
      <c r="L44">
        <f>IFERROR(INDEX(Objekte!$X$2:$X$201,MATCH($A44,Objekte!$AB$2:$AB$201,0)),"")</f>
        <v/>
      </c>
      <c r="M44">
        <f>IFERROR(INDEX(Objekte!$D$2:$D$201,MATCH($A44,Objekte!$AB$2:$AB$201,0)),"")</f>
        <v/>
      </c>
      <c r="N44">
        <f>IFERROR(INDEX(Objekte!$W$2:$W$201,MATCH($A44,Objekte!$AB$2:$AB$201,0)),"")</f>
        <v/>
      </c>
      <c r="O44">
        <f>IFERROR(INDEX(Objekte!$AH$2:$AH$201,MATCH($A44,Objekte!$AB$2:$AB$201,0)),"")</f>
        <v/>
      </c>
      <c r="P44">
        <f>IFERROR(INDEX(Objekte!$C$2:$C$201,MATCH($A44,Objekte!$AB$2:$AB$201,0)),"")</f>
        <v/>
      </c>
      <c r="Q44">
        <f>IFERROR(INDEX(Objekte!$AF$2:$AF$201,MATCH($A44,Objekte!$AB$2:$AB$201,0)),"")</f>
        <v/>
      </c>
      <c r="R44">
        <f>IFERROR(INDEX(Objekte!$AD$2:$AD$201,MATCH($A44,Objekte!$AB$2:$AB$201,0)),"")</f>
        <v/>
      </c>
    </row>
    <row r="45">
      <c r="A45" t="n">
        <v>42</v>
      </c>
      <c r="B45">
        <f>IFERROR(INDEX(Objekte!$B$2:$B$201,MATCH($A45,Objekte!$AB$2:$AB$201,0)),"")</f>
        <v/>
      </c>
      <c r="C45">
        <f>IFERROR(INDEX(Objekte!$Z$2:$Z$201,MATCH($A45,Objekte!$AB$2:$AB$201,0)),"")</f>
        <v/>
      </c>
      <c r="D45">
        <f>IFERROR(INDEX(Objekte!$Y$2:$Y$201,MATCH($A45,Objekte!$AB$2:$AB$201,0)),"")</f>
        <v/>
      </c>
      <c r="E45">
        <f>IFERROR(INDEX(Objekte!$L$2:$L$201,MATCH($A45,Objekte!$AB$2:$AB$201,0)),"")</f>
        <v/>
      </c>
      <c r="F45">
        <f>IFERROR(INDEX(Objekte!$N$2:$N$201,MATCH($A45,Objekte!$AB$2:$AB$201,0)),"")</f>
        <v/>
      </c>
      <c r="G45">
        <f>IFERROR(INDEX(Objekte!$P$2:$P$201,MATCH($A45,Objekte!$AB$2:$AB$201,0)),"")</f>
        <v/>
      </c>
      <c r="H45">
        <f>IFERROR(INDEX(Objekte!$E$2:$E$201,MATCH($A45,Objekte!$AB$2:$AB$201,0)),"")</f>
        <v/>
      </c>
      <c r="I45">
        <f>IFERROR(INDEX(Objekte!$G$2:$G$201,MATCH($A45,Objekte!$AB$2:$AB$201,0)),"")</f>
        <v/>
      </c>
      <c r="J45">
        <f>IFERROR(INDEX(Objekte!$I$2:$I$201,MATCH($A45,Objekte!$AB$2:$AB$201,0)),"")</f>
        <v/>
      </c>
      <c r="K45">
        <f>IFERROR(INDEX(Objekte!$S$2:$S$201,MATCH($A45,Objekte!$AB$2:$AB$201,0)),"")</f>
        <v/>
      </c>
      <c r="L45">
        <f>IFERROR(INDEX(Objekte!$X$2:$X$201,MATCH($A45,Objekte!$AB$2:$AB$201,0)),"")</f>
        <v/>
      </c>
      <c r="M45">
        <f>IFERROR(INDEX(Objekte!$D$2:$D$201,MATCH($A45,Objekte!$AB$2:$AB$201,0)),"")</f>
        <v/>
      </c>
      <c r="N45">
        <f>IFERROR(INDEX(Objekte!$W$2:$W$201,MATCH($A45,Objekte!$AB$2:$AB$201,0)),"")</f>
        <v/>
      </c>
      <c r="O45">
        <f>IFERROR(INDEX(Objekte!$AH$2:$AH$201,MATCH($A45,Objekte!$AB$2:$AB$201,0)),"")</f>
        <v/>
      </c>
      <c r="P45">
        <f>IFERROR(INDEX(Objekte!$C$2:$C$201,MATCH($A45,Objekte!$AB$2:$AB$201,0)),"")</f>
        <v/>
      </c>
      <c r="Q45">
        <f>IFERROR(INDEX(Objekte!$AF$2:$AF$201,MATCH($A45,Objekte!$AB$2:$AB$201,0)),"")</f>
        <v/>
      </c>
      <c r="R45">
        <f>IFERROR(INDEX(Objekte!$AD$2:$AD$201,MATCH($A45,Objekte!$AB$2:$AB$201,0)),"")</f>
        <v/>
      </c>
    </row>
    <row r="46">
      <c r="A46" t="n">
        <v>43</v>
      </c>
      <c r="B46">
        <f>IFERROR(INDEX(Objekte!$B$2:$B$201,MATCH($A46,Objekte!$AB$2:$AB$201,0)),"")</f>
        <v/>
      </c>
      <c r="C46">
        <f>IFERROR(INDEX(Objekte!$Z$2:$Z$201,MATCH($A46,Objekte!$AB$2:$AB$201,0)),"")</f>
        <v/>
      </c>
      <c r="D46">
        <f>IFERROR(INDEX(Objekte!$Y$2:$Y$201,MATCH($A46,Objekte!$AB$2:$AB$201,0)),"")</f>
        <v/>
      </c>
      <c r="E46">
        <f>IFERROR(INDEX(Objekte!$L$2:$L$201,MATCH($A46,Objekte!$AB$2:$AB$201,0)),"")</f>
        <v/>
      </c>
      <c r="F46">
        <f>IFERROR(INDEX(Objekte!$N$2:$N$201,MATCH($A46,Objekte!$AB$2:$AB$201,0)),"")</f>
        <v/>
      </c>
      <c r="G46">
        <f>IFERROR(INDEX(Objekte!$P$2:$P$201,MATCH($A46,Objekte!$AB$2:$AB$201,0)),"")</f>
        <v/>
      </c>
      <c r="H46">
        <f>IFERROR(INDEX(Objekte!$E$2:$E$201,MATCH($A46,Objekte!$AB$2:$AB$201,0)),"")</f>
        <v/>
      </c>
      <c r="I46">
        <f>IFERROR(INDEX(Objekte!$G$2:$G$201,MATCH($A46,Objekte!$AB$2:$AB$201,0)),"")</f>
        <v/>
      </c>
      <c r="J46">
        <f>IFERROR(INDEX(Objekte!$I$2:$I$201,MATCH($A46,Objekte!$AB$2:$AB$201,0)),"")</f>
        <v/>
      </c>
      <c r="K46">
        <f>IFERROR(INDEX(Objekte!$S$2:$S$201,MATCH($A46,Objekte!$AB$2:$AB$201,0)),"")</f>
        <v/>
      </c>
      <c r="L46">
        <f>IFERROR(INDEX(Objekte!$X$2:$X$201,MATCH($A46,Objekte!$AB$2:$AB$201,0)),"")</f>
        <v/>
      </c>
      <c r="M46">
        <f>IFERROR(INDEX(Objekte!$D$2:$D$201,MATCH($A46,Objekte!$AB$2:$AB$201,0)),"")</f>
        <v/>
      </c>
      <c r="N46">
        <f>IFERROR(INDEX(Objekte!$W$2:$W$201,MATCH($A46,Objekte!$AB$2:$AB$201,0)),"")</f>
        <v/>
      </c>
      <c r="O46">
        <f>IFERROR(INDEX(Objekte!$AH$2:$AH$201,MATCH($A46,Objekte!$AB$2:$AB$201,0)),"")</f>
        <v/>
      </c>
      <c r="P46">
        <f>IFERROR(INDEX(Objekte!$C$2:$C$201,MATCH($A46,Objekte!$AB$2:$AB$201,0)),"")</f>
        <v/>
      </c>
      <c r="Q46">
        <f>IFERROR(INDEX(Objekte!$AF$2:$AF$201,MATCH($A46,Objekte!$AB$2:$AB$201,0)),"")</f>
        <v/>
      </c>
      <c r="R46">
        <f>IFERROR(INDEX(Objekte!$AD$2:$AD$201,MATCH($A46,Objekte!$AB$2:$AB$201,0)),"")</f>
        <v/>
      </c>
    </row>
    <row r="47">
      <c r="A47" t="n">
        <v>44</v>
      </c>
      <c r="B47">
        <f>IFERROR(INDEX(Objekte!$B$2:$B$201,MATCH($A47,Objekte!$AB$2:$AB$201,0)),"")</f>
        <v/>
      </c>
      <c r="C47">
        <f>IFERROR(INDEX(Objekte!$Z$2:$Z$201,MATCH($A47,Objekte!$AB$2:$AB$201,0)),"")</f>
        <v/>
      </c>
      <c r="D47">
        <f>IFERROR(INDEX(Objekte!$Y$2:$Y$201,MATCH($A47,Objekte!$AB$2:$AB$201,0)),"")</f>
        <v/>
      </c>
      <c r="E47">
        <f>IFERROR(INDEX(Objekte!$L$2:$L$201,MATCH($A47,Objekte!$AB$2:$AB$201,0)),"")</f>
        <v/>
      </c>
      <c r="F47">
        <f>IFERROR(INDEX(Objekte!$N$2:$N$201,MATCH($A47,Objekte!$AB$2:$AB$201,0)),"")</f>
        <v/>
      </c>
      <c r="G47">
        <f>IFERROR(INDEX(Objekte!$P$2:$P$201,MATCH($A47,Objekte!$AB$2:$AB$201,0)),"")</f>
        <v/>
      </c>
      <c r="H47">
        <f>IFERROR(INDEX(Objekte!$E$2:$E$201,MATCH($A47,Objekte!$AB$2:$AB$201,0)),"")</f>
        <v/>
      </c>
      <c r="I47">
        <f>IFERROR(INDEX(Objekte!$G$2:$G$201,MATCH($A47,Objekte!$AB$2:$AB$201,0)),"")</f>
        <v/>
      </c>
      <c r="J47">
        <f>IFERROR(INDEX(Objekte!$I$2:$I$201,MATCH($A47,Objekte!$AB$2:$AB$201,0)),"")</f>
        <v/>
      </c>
      <c r="K47">
        <f>IFERROR(INDEX(Objekte!$S$2:$S$201,MATCH($A47,Objekte!$AB$2:$AB$201,0)),"")</f>
        <v/>
      </c>
      <c r="L47">
        <f>IFERROR(INDEX(Objekte!$X$2:$X$201,MATCH($A47,Objekte!$AB$2:$AB$201,0)),"")</f>
        <v/>
      </c>
      <c r="M47">
        <f>IFERROR(INDEX(Objekte!$D$2:$D$201,MATCH($A47,Objekte!$AB$2:$AB$201,0)),"")</f>
        <v/>
      </c>
      <c r="N47">
        <f>IFERROR(INDEX(Objekte!$W$2:$W$201,MATCH($A47,Objekte!$AB$2:$AB$201,0)),"")</f>
        <v/>
      </c>
      <c r="O47">
        <f>IFERROR(INDEX(Objekte!$AH$2:$AH$201,MATCH($A47,Objekte!$AB$2:$AB$201,0)),"")</f>
        <v/>
      </c>
      <c r="P47">
        <f>IFERROR(INDEX(Objekte!$C$2:$C$201,MATCH($A47,Objekte!$AB$2:$AB$201,0)),"")</f>
        <v/>
      </c>
      <c r="Q47">
        <f>IFERROR(INDEX(Objekte!$AF$2:$AF$201,MATCH($A47,Objekte!$AB$2:$AB$201,0)),"")</f>
        <v/>
      </c>
      <c r="R47">
        <f>IFERROR(INDEX(Objekte!$AD$2:$AD$201,MATCH($A47,Objekte!$AB$2:$AB$201,0)),"")</f>
        <v/>
      </c>
    </row>
    <row r="48">
      <c r="A48" t="n">
        <v>45</v>
      </c>
      <c r="B48">
        <f>IFERROR(INDEX(Objekte!$B$2:$B$201,MATCH($A48,Objekte!$AB$2:$AB$201,0)),"")</f>
        <v/>
      </c>
      <c r="C48">
        <f>IFERROR(INDEX(Objekte!$Z$2:$Z$201,MATCH($A48,Objekte!$AB$2:$AB$201,0)),"")</f>
        <v/>
      </c>
      <c r="D48">
        <f>IFERROR(INDEX(Objekte!$Y$2:$Y$201,MATCH($A48,Objekte!$AB$2:$AB$201,0)),"")</f>
        <v/>
      </c>
      <c r="E48">
        <f>IFERROR(INDEX(Objekte!$L$2:$L$201,MATCH($A48,Objekte!$AB$2:$AB$201,0)),"")</f>
        <v/>
      </c>
      <c r="F48">
        <f>IFERROR(INDEX(Objekte!$N$2:$N$201,MATCH($A48,Objekte!$AB$2:$AB$201,0)),"")</f>
        <v/>
      </c>
      <c r="G48">
        <f>IFERROR(INDEX(Objekte!$P$2:$P$201,MATCH($A48,Objekte!$AB$2:$AB$201,0)),"")</f>
        <v/>
      </c>
      <c r="H48">
        <f>IFERROR(INDEX(Objekte!$E$2:$E$201,MATCH($A48,Objekte!$AB$2:$AB$201,0)),"")</f>
        <v/>
      </c>
      <c r="I48">
        <f>IFERROR(INDEX(Objekte!$G$2:$G$201,MATCH($A48,Objekte!$AB$2:$AB$201,0)),"")</f>
        <v/>
      </c>
      <c r="J48">
        <f>IFERROR(INDEX(Objekte!$I$2:$I$201,MATCH($A48,Objekte!$AB$2:$AB$201,0)),"")</f>
        <v/>
      </c>
      <c r="K48">
        <f>IFERROR(INDEX(Objekte!$S$2:$S$201,MATCH($A48,Objekte!$AB$2:$AB$201,0)),"")</f>
        <v/>
      </c>
      <c r="L48">
        <f>IFERROR(INDEX(Objekte!$X$2:$X$201,MATCH($A48,Objekte!$AB$2:$AB$201,0)),"")</f>
        <v/>
      </c>
      <c r="M48">
        <f>IFERROR(INDEX(Objekte!$D$2:$D$201,MATCH($A48,Objekte!$AB$2:$AB$201,0)),"")</f>
        <v/>
      </c>
      <c r="N48">
        <f>IFERROR(INDEX(Objekte!$W$2:$W$201,MATCH($A48,Objekte!$AB$2:$AB$201,0)),"")</f>
        <v/>
      </c>
      <c r="O48">
        <f>IFERROR(INDEX(Objekte!$AH$2:$AH$201,MATCH($A48,Objekte!$AB$2:$AB$201,0)),"")</f>
        <v/>
      </c>
      <c r="P48">
        <f>IFERROR(INDEX(Objekte!$C$2:$C$201,MATCH($A48,Objekte!$AB$2:$AB$201,0)),"")</f>
        <v/>
      </c>
      <c r="Q48">
        <f>IFERROR(INDEX(Objekte!$AF$2:$AF$201,MATCH($A48,Objekte!$AB$2:$AB$201,0)),"")</f>
        <v/>
      </c>
      <c r="R48">
        <f>IFERROR(INDEX(Objekte!$AD$2:$AD$201,MATCH($A48,Objekte!$AB$2:$AB$201,0)),"")</f>
        <v/>
      </c>
    </row>
    <row r="49">
      <c r="A49" t="n">
        <v>46</v>
      </c>
      <c r="B49">
        <f>IFERROR(INDEX(Objekte!$B$2:$B$201,MATCH($A49,Objekte!$AB$2:$AB$201,0)),"")</f>
        <v/>
      </c>
      <c r="C49">
        <f>IFERROR(INDEX(Objekte!$Z$2:$Z$201,MATCH($A49,Objekte!$AB$2:$AB$201,0)),"")</f>
        <v/>
      </c>
      <c r="D49">
        <f>IFERROR(INDEX(Objekte!$Y$2:$Y$201,MATCH($A49,Objekte!$AB$2:$AB$201,0)),"")</f>
        <v/>
      </c>
      <c r="E49">
        <f>IFERROR(INDEX(Objekte!$L$2:$L$201,MATCH($A49,Objekte!$AB$2:$AB$201,0)),"")</f>
        <v/>
      </c>
      <c r="F49">
        <f>IFERROR(INDEX(Objekte!$N$2:$N$201,MATCH($A49,Objekte!$AB$2:$AB$201,0)),"")</f>
        <v/>
      </c>
      <c r="G49">
        <f>IFERROR(INDEX(Objekte!$P$2:$P$201,MATCH($A49,Objekte!$AB$2:$AB$201,0)),"")</f>
        <v/>
      </c>
      <c r="H49">
        <f>IFERROR(INDEX(Objekte!$E$2:$E$201,MATCH($A49,Objekte!$AB$2:$AB$201,0)),"")</f>
        <v/>
      </c>
      <c r="I49">
        <f>IFERROR(INDEX(Objekte!$G$2:$G$201,MATCH($A49,Objekte!$AB$2:$AB$201,0)),"")</f>
        <v/>
      </c>
      <c r="J49">
        <f>IFERROR(INDEX(Objekte!$I$2:$I$201,MATCH($A49,Objekte!$AB$2:$AB$201,0)),"")</f>
        <v/>
      </c>
      <c r="K49">
        <f>IFERROR(INDEX(Objekte!$S$2:$S$201,MATCH($A49,Objekte!$AB$2:$AB$201,0)),"")</f>
        <v/>
      </c>
      <c r="L49">
        <f>IFERROR(INDEX(Objekte!$X$2:$X$201,MATCH($A49,Objekte!$AB$2:$AB$201,0)),"")</f>
        <v/>
      </c>
      <c r="M49">
        <f>IFERROR(INDEX(Objekte!$D$2:$D$201,MATCH($A49,Objekte!$AB$2:$AB$201,0)),"")</f>
        <v/>
      </c>
      <c r="N49">
        <f>IFERROR(INDEX(Objekte!$W$2:$W$201,MATCH($A49,Objekte!$AB$2:$AB$201,0)),"")</f>
        <v/>
      </c>
      <c r="O49">
        <f>IFERROR(INDEX(Objekte!$AH$2:$AH$201,MATCH($A49,Objekte!$AB$2:$AB$201,0)),"")</f>
        <v/>
      </c>
      <c r="P49">
        <f>IFERROR(INDEX(Objekte!$C$2:$C$201,MATCH($A49,Objekte!$AB$2:$AB$201,0)),"")</f>
        <v/>
      </c>
      <c r="Q49">
        <f>IFERROR(INDEX(Objekte!$AF$2:$AF$201,MATCH($A49,Objekte!$AB$2:$AB$201,0)),"")</f>
        <v/>
      </c>
      <c r="R49">
        <f>IFERROR(INDEX(Objekte!$AD$2:$AD$201,MATCH($A49,Objekte!$AB$2:$AB$201,0)),"")</f>
        <v/>
      </c>
    </row>
    <row r="50">
      <c r="A50" t="n">
        <v>47</v>
      </c>
      <c r="B50">
        <f>IFERROR(INDEX(Objekte!$B$2:$B$201,MATCH($A50,Objekte!$AB$2:$AB$201,0)),"")</f>
        <v/>
      </c>
      <c r="C50">
        <f>IFERROR(INDEX(Objekte!$Z$2:$Z$201,MATCH($A50,Objekte!$AB$2:$AB$201,0)),"")</f>
        <v/>
      </c>
      <c r="D50">
        <f>IFERROR(INDEX(Objekte!$Y$2:$Y$201,MATCH($A50,Objekte!$AB$2:$AB$201,0)),"")</f>
        <v/>
      </c>
      <c r="E50">
        <f>IFERROR(INDEX(Objekte!$L$2:$L$201,MATCH($A50,Objekte!$AB$2:$AB$201,0)),"")</f>
        <v/>
      </c>
      <c r="F50">
        <f>IFERROR(INDEX(Objekte!$N$2:$N$201,MATCH($A50,Objekte!$AB$2:$AB$201,0)),"")</f>
        <v/>
      </c>
      <c r="G50">
        <f>IFERROR(INDEX(Objekte!$P$2:$P$201,MATCH($A50,Objekte!$AB$2:$AB$201,0)),"")</f>
        <v/>
      </c>
      <c r="H50">
        <f>IFERROR(INDEX(Objekte!$E$2:$E$201,MATCH($A50,Objekte!$AB$2:$AB$201,0)),"")</f>
        <v/>
      </c>
      <c r="I50">
        <f>IFERROR(INDEX(Objekte!$G$2:$G$201,MATCH($A50,Objekte!$AB$2:$AB$201,0)),"")</f>
        <v/>
      </c>
      <c r="J50">
        <f>IFERROR(INDEX(Objekte!$I$2:$I$201,MATCH($A50,Objekte!$AB$2:$AB$201,0)),"")</f>
        <v/>
      </c>
      <c r="K50">
        <f>IFERROR(INDEX(Objekte!$S$2:$S$201,MATCH($A50,Objekte!$AB$2:$AB$201,0)),"")</f>
        <v/>
      </c>
      <c r="L50">
        <f>IFERROR(INDEX(Objekte!$X$2:$X$201,MATCH($A50,Objekte!$AB$2:$AB$201,0)),"")</f>
        <v/>
      </c>
      <c r="M50">
        <f>IFERROR(INDEX(Objekte!$D$2:$D$201,MATCH($A50,Objekte!$AB$2:$AB$201,0)),"")</f>
        <v/>
      </c>
      <c r="N50">
        <f>IFERROR(INDEX(Objekte!$W$2:$W$201,MATCH($A50,Objekte!$AB$2:$AB$201,0)),"")</f>
        <v/>
      </c>
      <c r="O50">
        <f>IFERROR(INDEX(Objekte!$AH$2:$AH$201,MATCH($A50,Objekte!$AB$2:$AB$201,0)),"")</f>
        <v/>
      </c>
      <c r="P50">
        <f>IFERROR(INDEX(Objekte!$C$2:$C$201,MATCH($A50,Objekte!$AB$2:$AB$201,0)),"")</f>
        <v/>
      </c>
      <c r="Q50">
        <f>IFERROR(INDEX(Objekte!$AF$2:$AF$201,MATCH($A50,Objekte!$AB$2:$AB$201,0)),"")</f>
        <v/>
      </c>
      <c r="R50">
        <f>IFERROR(INDEX(Objekte!$AD$2:$AD$201,MATCH($A50,Objekte!$AB$2:$AB$201,0)),"")</f>
        <v/>
      </c>
    </row>
    <row r="51">
      <c r="B51">
        <f>IFERROR(INDEX(Objekte!$B$2:$B$201,MATCH($A51,Objekte!$AB$2:$AB$201,0)),"")</f>
        <v/>
      </c>
      <c r="C51">
        <f>IFERROR(INDEX(Objekte!$Z$2:$Z$201,MATCH($A51,Objekte!$AB$2:$AB$201,0)),"")</f>
        <v/>
      </c>
      <c r="D51">
        <f>IFERROR(INDEX(Objekte!$Y$2:$Y$201,MATCH($A51,Objekte!$AB$2:$AB$201,0)),"")</f>
        <v/>
      </c>
      <c r="E51">
        <f>IFERROR(INDEX(Objekte!$L$2:$L$201,MATCH($A51,Objekte!$AB$2:$AB$201,0)),"")</f>
        <v/>
      </c>
      <c r="F51">
        <f>IFERROR(INDEX(Objekte!$N$2:$N$201,MATCH($A51,Objekte!$AB$2:$AB$201,0)),"")</f>
        <v/>
      </c>
      <c r="G51">
        <f>IFERROR(INDEX(Objekte!$P$2:$P$201,MATCH($A51,Objekte!$AB$2:$AB$201,0)),"")</f>
        <v/>
      </c>
      <c r="H51">
        <f>IFERROR(INDEX(Objekte!$E$2:$E$201,MATCH($A51,Objekte!$AB$2:$AB$201,0)),"")</f>
        <v/>
      </c>
      <c r="I51">
        <f>IFERROR(INDEX(Objekte!$G$2:$G$201,MATCH($A51,Objekte!$AB$2:$AB$201,0)),"")</f>
        <v/>
      </c>
      <c r="J51">
        <f>IFERROR(INDEX(Objekte!$I$2:$I$201,MATCH($A51,Objekte!$AB$2:$AB$201,0)),"")</f>
        <v/>
      </c>
      <c r="K51">
        <f>IFERROR(INDEX(Objekte!$S$2:$S$201,MATCH($A51,Objekte!$AB$2:$AB$201,0)),"")</f>
        <v/>
      </c>
      <c r="L51">
        <f>IFERROR(INDEX(Objekte!$X$2:$X$201,MATCH($A51,Objekte!$AB$2:$AB$201,0)),"")</f>
        <v/>
      </c>
      <c r="M51">
        <f>IFERROR(INDEX(Objekte!$D$2:$D$201,MATCH($A51,Objekte!$AB$2:$AB$201,0)),"")</f>
        <v/>
      </c>
      <c r="N51">
        <f>IFERROR(INDEX(Objekte!$W$2:$W$201,MATCH($A51,Objekte!$AB$2:$AB$201,0)),"")</f>
        <v/>
      </c>
      <c r="O51">
        <f>IFERROR(INDEX(Objekte!$AH$2:$AH$201,MATCH($A51,Objekte!$AB$2:$AB$201,0)),"")</f>
        <v/>
      </c>
      <c r="P51">
        <f>IFERROR(INDEX(Objekte!$C$2:$C$201,MATCH($A51,Objekte!$AB$2:$AB$201,0)),"")</f>
        <v/>
      </c>
      <c r="Q51">
        <f>IFERROR(INDEX(Objekte!$AF$2:$AF$201,MATCH($A51,Objekte!$AB$2:$AB$201,0)),"")</f>
        <v/>
      </c>
      <c r="R51">
        <f>IFERROR(INDEX(Objekte!$AD$2:$AD$201,MATCH($A51,Objekte!$AB$2:$AB$201,0)),"")</f>
        <v/>
      </c>
    </row>
    <row r="52">
      <c r="B52">
        <f>IFERROR(INDEX(Objekte!$B$2:$B$201,MATCH($A52,Objekte!$AB$2:$AB$201,0)),"")</f>
        <v/>
      </c>
      <c r="C52">
        <f>IFERROR(INDEX(Objekte!$Z$2:$Z$201,MATCH($A52,Objekte!$AB$2:$AB$201,0)),"")</f>
        <v/>
      </c>
      <c r="D52">
        <f>IFERROR(INDEX(Objekte!$Y$2:$Y$201,MATCH($A52,Objekte!$AB$2:$AB$201,0)),"")</f>
        <v/>
      </c>
      <c r="E52">
        <f>IFERROR(INDEX(Objekte!$L$2:$L$201,MATCH($A52,Objekte!$AB$2:$AB$201,0)),"")</f>
        <v/>
      </c>
      <c r="F52">
        <f>IFERROR(INDEX(Objekte!$N$2:$N$201,MATCH($A52,Objekte!$AB$2:$AB$201,0)),"")</f>
        <v/>
      </c>
      <c r="G52">
        <f>IFERROR(INDEX(Objekte!$P$2:$P$201,MATCH($A52,Objekte!$AB$2:$AB$201,0)),"")</f>
        <v/>
      </c>
      <c r="H52">
        <f>IFERROR(INDEX(Objekte!$E$2:$E$201,MATCH($A52,Objekte!$AB$2:$AB$201,0)),"")</f>
        <v/>
      </c>
      <c r="I52">
        <f>IFERROR(INDEX(Objekte!$G$2:$G$201,MATCH($A52,Objekte!$AB$2:$AB$201,0)),"")</f>
        <v/>
      </c>
      <c r="J52">
        <f>IFERROR(INDEX(Objekte!$I$2:$I$201,MATCH($A52,Objekte!$AB$2:$AB$201,0)),"")</f>
        <v/>
      </c>
      <c r="K52">
        <f>IFERROR(INDEX(Objekte!$S$2:$S$201,MATCH($A52,Objekte!$AB$2:$AB$201,0)),"")</f>
        <v/>
      </c>
      <c r="L52">
        <f>IFERROR(INDEX(Objekte!$X$2:$X$201,MATCH($A52,Objekte!$AB$2:$AB$201,0)),"")</f>
        <v/>
      </c>
      <c r="M52">
        <f>IFERROR(INDEX(Objekte!$D$2:$D$201,MATCH($A52,Objekte!$AB$2:$AB$201,0)),"")</f>
        <v/>
      </c>
      <c r="N52">
        <f>IFERROR(INDEX(Objekte!$W$2:$W$201,MATCH($A52,Objekte!$AB$2:$AB$201,0)),"")</f>
        <v/>
      </c>
      <c r="O52">
        <f>IFERROR(INDEX(Objekte!$AH$2:$AH$201,MATCH($A52,Objekte!$AB$2:$AB$201,0)),"")</f>
        <v/>
      </c>
      <c r="P52">
        <f>IFERROR(INDEX(Objekte!$C$2:$C$201,MATCH($A52,Objekte!$AB$2:$AB$201,0)),"")</f>
        <v/>
      </c>
      <c r="Q52">
        <f>IFERROR(INDEX(Objekte!$AF$2:$AF$201,MATCH($A52,Objekte!$AB$2:$AB$201,0)),"")</f>
        <v/>
      </c>
      <c r="R52">
        <f>IFERROR(INDEX(Objekte!$AD$2:$AD$201,MATCH($A52,Objekte!$AB$2:$AB$201,0)),"")</f>
        <v/>
      </c>
    </row>
    <row r="53">
      <c r="B53">
        <f>IFERROR(INDEX(Objekte!$B$2:$B$201,MATCH($A53,Objekte!$AB$2:$AB$201,0)),"")</f>
        <v/>
      </c>
      <c r="C53">
        <f>IFERROR(INDEX(Objekte!$Z$2:$Z$201,MATCH($A53,Objekte!$AB$2:$AB$201,0)),"")</f>
        <v/>
      </c>
      <c r="D53">
        <f>IFERROR(INDEX(Objekte!$Y$2:$Y$201,MATCH($A53,Objekte!$AB$2:$AB$201,0)),"")</f>
        <v/>
      </c>
      <c r="E53">
        <f>IFERROR(INDEX(Objekte!$L$2:$L$201,MATCH($A53,Objekte!$AB$2:$AB$201,0)),"")</f>
        <v/>
      </c>
      <c r="F53">
        <f>IFERROR(INDEX(Objekte!$N$2:$N$201,MATCH($A53,Objekte!$AB$2:$AB$201,0)),"")</f>
        <v/>
      </c>
      <c r="G53">
        <f>IFERROR(INDEX(Objekte!$P$2:$P$201,MATCH($A53,Objekte!$AB$2:$AB$201,0)),"")</f>
        <v/>
      </c>
      <c r="H53">
        <f>IFERROR(INDEX(Objekte!$E$2:$E$201,MATCH($A53,Objekte!$AB$2:$AB$201,0)),"")</f>
        <v/>
      </c>
      <c r="I53">
        <f>IFERROR(INDEX(Objekte!$G$2:$G$201,MATCH($A53,Objekte!$AB$2:$AB$201,0)),"")</f>
        <v/>
      </c>
      <c r="J53">
        <f>IFERROR(INDEX(Objekte!$I$2:$I$201,MATCH($A53,Objekte!$AB$2:$AB$201,0)),"")</f>
        <v/>
      </c>
      <c r="K53">
        <f>IFERROR(INDEX(Objekte!$S$2:$S$201,MATCH($A53,Objekte!$AB$2:$AB$201,0)),"")</f>
        <v/>
      </c>
      <c r="L53">
        <f>IFERROR(INDEX(Objekte!$X$2:$X$201,MATCH($A53,Objekte!$AB$2:$AB$201,0)),"")</f>
        <v/>
      </c>
      <c r="M53">
        <f>IFERROR(INDEX(Objekte!$D$2:$D$201,MATCH($A53,Objekte!$AB$2:$AB$201,0)),"")</f>
        <v/>
      </c>
      <c r="N53">
        <f>IFERROR(INDEX(Objekte!$W$2:$W$201,MATCH($A53,Objekte!$AB$2:$AB$201,0)),"")</f>
        <v/>
      </c>
      <c r="O53">
        <f>IFERROR(INDEX(Objekte!$AH$2:$AH$201,MATCH($A53,Objekte!$AB$2:$AB$201,0)),"")</f>
        <v/>
      </c>
      <c r="P53">
        <f>IFERROR(INDEX(Objekte!$C$2:$C$201,MATCH($A53,Objekte!$AB$2:$AB$201,0)),"")</f>
        <v/>
      </c>
      <c r="Q53">
        <f>IFERROR(INDEX(Objekte!$AF$2:$AF$201,MATCH($A53,Objekte!$AB$2:$AB$201,0)),"")</f>
        <v/>
      </c>
      <c r="R53">
        <f>IFERROR(INDEX(Objekte!$AD$2:$AD$201,MATCH($A53,Objekte!$AB$2:$AB$201,0)),"")</f>
        <v/>
      </c>
    </row>
    <row r="54">
      <c r="Q54">
        <f>IFERROR(INDEX(Objekte!$AF$2:$AF$201,MATCH($A54,Objekte!$AB$2:$AB$201,0)),"")</f>
        <v/>
      </c>
      <c r="R54">
        <f>IFERROR(INDEX(Objekte!$AD$2:$AD$201,MATCH($A54,Objekte!$AB$2:$AB$201,0)),"")</f>
        <v/>
      </c>
    </row>
    <row r="55">
      <c r="Q55">
        <f>IFERROR(INDEX(Objekte!$AF$2:$AF$201,MATCH($A55,Objekte!$AB$2:$AB$201,0)),"")</f>
        <v/>
      </c>
      <c r="R55">
        <f>IFERROR(INDEX(Objekte!$AD$2:$AD$201,MATCH($A55,Objekte!$AB$2:$AB$201,0)),"")</f>
        <v/>
      </c>
    </row>
    <row r="56">
      <c r="Q56">
        <f>IFERROR(INDEX(Objekte!$AF$2:$AF$201,MATCH($A56,Objekte!$AB$2:$AB$201,0)),"")</f>
        <v/>
      </c>
      <c r="R56">
        <f>IFERROR(INDEX(Objekte!$AD$2:$AD$201,MATCH($A56,Objekte!$AB$2:$AB$201,0)),"")</f>
        <v/>
      </c>
    </row>
    <row r="57">
      <c r="Q57">
        <f>IFERROR(INDEX(Objekte!$AF$2:$AF$201,MATCH($A57,Objekte!$AB$2:$AB$201,0)),"")</f>
        <v/>
      </c>
      <c r="R57">
        <f>IFERROR(INDEX(Objekte!$AD$2:$AD$201,MATCH($A57,Objekte!$AB$2:$AB$201,0)),"")</f>
        <v/>
      </c>
    </row>
    <row r="58">
      <c r="Q58">
        <f>IFERROR(INDEX(Objekte!$AF$2:$AF$201,MATCH($A58,Objekte!$AB$2:$AB$201,0)),"")</f>
        <v/>
      </c>
      <c r="R58">
        <f>IFERROR(INDEX(Objekte!$AD$2:$AD$201,MATCH($A58,Objekte!$AB$2:$AB$201,0)),"")</f>
        <v/>
      </c>
    </row>
    <row r="59">
      <c r="Q59">
        <f>IFERROR(INDEX(Objekte!$AF$2:$AF$201,MATCH($A59,Objekte!$AB$2:$AB$201,0)),"")</f>
        <v/>
      </c>
      <c r="R59">
        <f>IFERROR(INDEX(Objekte!$AD$2:$AD$201,MATCH($A59,Objekte!$AB$2:$AB$201,0)),"")</f>
        <v/>
      </c>
    </row>
    <row r="60">
      <c r="Q60">
        <f>IFERROR(INDEX(Objekte!$AF$2:$AF$201,MATCH($A60,Objekte!$AB$2:$AB$201,0)),"")</f>
        <v/>
      </c>
      <c r="R60">
        <f>IFERROR(INDEX(Objekte!$AD$2:$AD$201,MATCH($A60,Objekte!$AB$2:$AB$201,0)),"")</f>
        <v/>
      </c>
    </row>
    <row r="61">
      <c r="Q61">
        <f>IFERROR(INDEX(Objekte!$AF$2:$AF$201,MATCH($A61,Objekte!$AB$2:$AB$201,0)),"")</f>
        <v/>
      </c>
      <c r="R61">
        <f>IFERROR(INDEX(Objekte!$AD$2:$AD$201,MATCH($A61,Objekte!$AB$2:$AB$201,0)),"")</f>
        <v/>
      </c>
    </row>
    <row r="62">
      <c r="Q62">
        <f>IFERROR(INDEX(Objekte!$AF$2:$AF$201,MATCH($A62,Objekte!$AB$2:$AB$201,0)),"")</f>
        <v/>
      </c>
      <c r="R62">
        <f>IFERROR(INDEX(Objekte!$AD$2:$AD$201,MATCH($A62,Objekte!$AB$2:$AB$201,0)),"")</f>
        <v/>
      </c>
    </row>
    <row r="63">
      <c r="Q63">
        <f>IFERROR(INDEX(Objekte!$AF$2:$AF$201,MATCH($A63,Objekte!$AB$2:$AB$201,0)),"")</f>
        <v/>
      </c>
      <c r="R63">
        <f>IFERROR(INDEX(Objekte!$AD$2:$AD$201,MATCH($A63,Objekte!$AB$2:$AB$201,0)),"")</f>
        <v/>
      </c>
    </row>
    <row r="64">
      <c r="Q64">
        <f>IFERROR(INDEX(Objekte!$AF$2:$AF$201,MATCH($A64,Objekte!$AB$2:$AB$201,0)),"")</f>
        <v/>
      </c>
      <c r="R64">
        <f>IFERROR(INDEX(Objekte!$AD$2:$AD$201,MATCH($A64,Objekte!$AB$2:$AB$201,0)),"")</f>
        <v/>
      </c>
    </row>
    <row r="65">
      <c r="Q65">
        <f>IFERROR(INDEX(Objekte!$AF$2:$AF$201,MATCH($A65,Objekte!$AB$2:$AB$201,0)),"")</f>
        <v/>
      </c>
      <c r="R65">
        <f>IFERROR(INDEX(Objekte!$AD$2:$AD$201,MATCH($A65,Objekte!$AB$2:$AB$201,0)),"")</f>
        <v/>
      </c>
    </row>
    <row r="66">
      <c r="Q66">
        <f>IFERROR(INDEX(Objekte!$AF$2:$AF$201,MATCH($A66,Objekte!$AB$2:$AB$201,0)),"")</f>
        <v/>
      </c>
      <c r="R66">
        <f>IFERROR(INDEX(Objekte!$AD$2:$AD$201,MATCH($A66,Objekte!$AB$2:$AB$201,0)),"")</f>
        <v/>
      </c>
    </row>
    <row r="67">
      <c r="Q67">
        <f>IFERROR(INDEX(Objekte!$AF$2:$AF$201,MATCH($A67,Objekte!$AB$2:$AB$201,0)),"")</f>
        <v/>
      </c>
      <c r="R67">
        <f>IFERROR(INDEX(Objekte!$AD$2:$AD$201,MATCH($A67,Objekte!$AB$2:$AB$201,0)),"")</f>
        <v/>
      </c>
    </row>
    <row r="68">
      <c r="Q68">
        <f>IFERROR(INDEX(Objekte!$AF$2:$AF$201,MATCH($A68,Objekte!$AB$2:$AB$201,0)),"")</f>
        <v/>
      </c>
      <c r="R68">
        <f>IFERROR(INDEX(Objekte!$AD$2:$AD$201,MATCH($A68,Objekte!$AB$2:$AB$201,0)),"")</f>
        <v/>
      </c>
    </row>
    <row r="69">
      <c r="Q69">
        <f>IFERROR(INDEX(Objekte!$AF$2:$AF$201,MATCH($A69,Objekte!$AB$2:$AB$201,0)),"")</f>
        <v/>
      </c>
      <c r="R69">
        <f>IFERROR(INDEX(Objekte!$AD$2:$AD$201,MATCH($A69,Objekte!$AB$2:$AB$201,0)),"")</f>
        <v/>
      </c>
    </row>
    <row r="70">
      <c r="Q70">
        <f>IFERROR(INDEX(Objekte!$AF$2:$AF$201,MATCH($A70,Objekte!$AB$2:$AB$201,0)),"")</f>
        <v/>
      </c>
      <c r="R70">
        <f>IFERROR(INDEX(Objekte!$AD$2:$AD$201,MATCH($A70,Objekte!$AB$2:$AB$201,0)),"")</f>
        <v/>
      </c>
    </row>
    <row r="71">
      <c r="Q71">
        <f>IFERROR(INDEX(Objekte!$AF$2:$AF$201,MATCH($A71,Objekte!$AB$2:$AB$201,0)),"")</f>
        <v/>
      </c>
      <c r="R71">
        <f>IFERROR(INDEX(Objekte!$AD$2:$AD$201,MATCH($A71,Objekte!$AB$2:$AB$201,0)),"")</f>
        <v/>
      </c>
    </row>
    <row r="72">
      <c r="Q72">
        <f>IFERROR(INDEX(Objekte!$AF$2:$AF$201,MATCH($A72,Objekte!$AB$2:$AB$201,0)),"")</f>
        <v/>
      </c>
      <c r="R72">
        <f>IFERROR(INDEX(Objekte!$AD$2:$AD$201,MATCH($A72,Objekte!$AB$2:$AB$201,0)),"")</f>
        <v/>
      </c>
    </row>
    <row r="73">
      <c r="Q73">
        <f>IFERROR(INDEX(Objekte!$AF$2:$AF$201,MATCH($A73,Objekte!$AB$2:$AB$201,0)),"")</f>
        <v/>
      </c>
      <c r="R73">
        <f>IFERROR(INDEX(Objekte!$AD$2:$AD$201,MATCH($A73,Objekte!$AB$2:$AB$201,0)),"")</f>
        <v/>
      </c>
    </row>
    <row r="74">
      <c r="Q74">
        <f>IFERROR(INDEX(Objekte!$AF$2:$AF$201,MATCH($A74,Objekte!$AB$2:$AB$201,0)),"")</f>
        <v/>
      </c>
      <c r="R74">
        <f>IFERROR(INDEX(Objekte!$AD$2:$AD$201,MATCH($A74,Objekte!$AB$2:$AB$201,0)),"")</f>
        <v/>
      </c>
    </row>
    <row r="75">
      <c r="Q75">
        <f>IFERROR(INDEX(Objekte!$AF$2:$AF$201,MATCH($A75,Objekte!$AB$2:$AB$201,0)),"")</f>
        <v/>
      </c>
      <c r="R75">
        <f>IFERROR(INDEX(Objekte!$AD$2:$AD$201,MATCH($A75,Objekte!$AB$2:$AB$201,0)),"")</f>
        <v/>
      </c>
    </row>
    <row r="76">
      <c r="Q76">
        <f>IFERROR(INDEX(Objekte!$AF$2:$AF$201,MATCH($A76,Objekte!$AB$2:$AB$201,0)),"")</f>
        <v/>
      </c>
      <c r="R76">
        <f>IFERROR(INDEX(Objekte!$AD$2:$AD$201,MATCH($A76,Objekte!$AB$2:$AB$201,0)),"")</f>
        <v/>
      </c>
    </row>
    <row r="77">
      <c r="Q77">
        <f>IFERROR(INDEX(Objekte!$AF$2:$AF$201,MATCH($A77,Objekte!$AB$2:$AB$201,0)),"")</f>
        <v/>
      </c>
      <c r="R77">
        <f>IFERROR(INDEX(Objekte!$AD$2:$AD$201,MATCH($A77,Objekte!$AB$2:$AB$201,0)),"")</f>
        <v/>
      </c>
    </row>
    <row r="78">
      <c r="Q78">
        <f>IFERROR(INDEX(Objekte!$AF$2:$AF$201,MATCH($A78,Objekte!$AB$2:$AB$201,0)),"")</f>
        <v/>
      </c>
      <c r="R78">
        <f>IFERROR(INDEX(Objekte!$AD$2:$AD$201,MATCH($A78,Objekte!$AB$2:$AB$201,0)),"")</f>
        <v/>
      </c>
    </row>
    <row r="79">
      <c r="Q79">
        <f>IFERROR(INDEX(Objekte!$AF$2:$AF$201,MATCH($A79,Objekte!$AB$2:$AB$201,0)),"")</f>
        <v/>
      </c>
      <c r="R79">
        <f>IFERROR(INDEX(Objekte!$AD$2:$AD$201,MATCH($A79,Objekte!$AB$2:$AB$201,0)),"")</f>
        <v/>
      </c>
    </row>
    <row r="80">
      <c r="Q80">
        <f>IFERROR(INDEX(Objekte!$AF$2:$AF$201,MATCH($A80,Objekte!$AB$2:$AB$201,0)),"")</f>
        <v/>
      </c>
      <c r="R80">
        <f>IFERROR(INDEX(Objekte!$AD$2:$AD$201,MATCH($A80,Objekte!$AB$2:$AB$201,0)),"")</f>
        <v/>
      </c>
    </row>
    <row r="81">
      <c r="Q81">
        <f>IFERROR(INDEX(Objekte!$AF$2:$AF$201,MATCH($A81,Objekte!$AB$2:$AB$201,0)),"")</f>
        <v/>
      </c>
      <c r="R81">
        <f>IFERROR(INDEX(Objekte!$AD$2:$AD$201,MATCH($A81,Objekte!$AB$2:$AB$201,0)),"")</f>
        <v/>
      </c>
    </row>
    <row r="82">
      <c r="Q82">
        <f>IFERROR(INDEX(Objekte!$AF$2:$AF$201,MATCH($A82,Objekte!$AB$2:$AB$201,0)),"")</f>
        <v/>
      </c>
      <c r="R82">
        <f>IFERROR(INDEX(Objekte!$AD$2:$AD$201,MATCH($A82,Objekte!$AB$2:$AB$201,0)),"")</f>
        <v/>
      </c>
    </row>
    <row r="83">
      <c r="Q83">
        <f>IFERROR(INDEX(Objekte!$AF$2:$AF$201,MATCH($A83,Objekte!$AB$2:$AB$201,0)),"")</f>
        <v/>
      </c>
      <c r="R83">
        <f>IFERROR(INDEX(Objekte!$AD$2:$AD$201,MATCH($A83,Objekte!$AB$2:$AB$201,0)),"")</f>
        <v/>
      </c>
    </row>
    <row r="84">
      <c r="Q84">
        <f>IFERROR(INDEX(Objekte!$AF$2:$AF$201,MATCH($A84,Objekte!$AB$2:$AB$201,0)),"")</f>
        <v/>
      </c>
      <c r="R84">
        <f>IFERROR(INDEX(Objekte!$AD$2:$AD$201,MATCH($A84,Objekte!$AB$2:$AB$201,0)),"")</f>
        <v/>
      </c>
    </row>
    <row r="85">
      <c r="Q85">
        <f>IFERROR(INDEX(Objekte!$AF$2:$AF$201,MATCH($A85,Objekte!$AB$2:$AB$201,0)),"")</f>
        <v/>
      </c>
      <c r="R85">
        <f>IFERROR(INDEX(Objekte!$AD$2:$AD$201,MATCH($A85,Objekte!$AB$2:$AB$201,0)),"")</f>
        <v/>
      </c>
    </row>
    <row r="86">
      <c r="Q86">
        <f>IFERROR(INDEX(Objekte!$AF$2:$AF$201,MATCH($A86,Objekte!$AB$2:$AB$201,0)),"")</f>
        <v/>
      </c>
      <c r="R86">
        <f>IFERROR(INDEX(Objekte!$AD$2:$AD$201,MATCH($A86,Objekte!$AB$2:$AB$201,0)),"")</f>
        <v/>
      </c>
    </row>
    <row r="87">
      <c r="Q87">
        <f>IFERROR(INDEX(Objekte!$AF$2:$AF$201,MATCH($A87,Objekte!$AB$2:$AB$201,0)),"")</f>
        <v/>
      </c>
      <c r="R87">
        <f>IFERROR(INDEX(Objekte!$AD$2:$AD$201,MATCH($A87,Objekte!$AB$2:$AB$201,0)),"")</f>
        <v/>
      </c>
    </row>
    <row r="88">
      <c r="Q88">
        <f>IFERROR(INDEX(Objekte!$AF$2:$AF$201,MATCH($A88,Objekte!$AB$2:$AB$201,0)),"")</f>
        <v/>
      </c>
      <c r="R88">
        <f>IFERROR(INDEX(Objekte!$AD$2:$AD$201,MATCH($A88,Objekte!$AB$2:$AB$201,0)),"")</f>
        <v/>
      </c>
    </row>
    <row r="89">
      <c r="Q89">
        <f>IFERROR(INDEX(Objekte!$AF$2:$AF$201,MATCH($A89,Objekte!$AB$2:$AB$201,0)),"")</f>
        <v/>
      </c>
      <c r="R89">
        <f>IFERROR(INDEX(Objekte!$AD$2:$AD$201,MATCH($A89,Objekte!$AB$2:$AB$201,0)),"")</f>
        <v/>
      </c>
    </row>
    <row r="90">
      <c r="Q90">
        <f>IFERROR(INDEX(Objekte!$AF$2:$AF$201,MATCH($A90,Objekte!$AB$2:$AB$201,0)),"")</f>
        <v/>
      </c>
      <c r="R90">
        <f>IFERROR(INDEX(Objekte!$AD$2:$AD$201,MATCH($A90,Objekte!$AB$2:$AB$201,0)),"")</f>
        <v/>
      </c>
    </row>
    <row r="91">
      <c r="Q91">
        <f>IFERROR(INDEX(Objekte!$AF$2:$AF$201,MATCH($A91,Objekte!$AB$2:$AB$201,0)),"")</f>
        <v/>
      </c>
      <c r="R91">
        <f>IFERROR(INDEX(Objekte!$AD$2:$AD$201,MATCH($A91,Objekte!$AB$2:$AB$201,0)),"")</f>
        <v/>
      </c>
    </row>
    <row r="92">
      <c r="Q92">
        <f>IFERROR(INDEX(Objekte!$AF$2:$AF$201,MATCH($A92,Objekte!$AB$2:$AB$201,0)),"")</f>
        <v/>
      </c>
      <c r="R92">
        <f>IFERROR(INDEX(Objekte!$AD$2:$AD$201,MATCH($A92,Objekte!$AB$2:$AB$201,0)),"")</f>
        <v/>
      </c>
    </row>
    <row r="93">
      <c r="Q93">
        <f>IFERROR(INDEX(Objekte!$AF$2:$AF$201,MATCH($A93,Objekte!$AB$2:$AB$201,0)),"")</f>
        <v/>
      </c>
      <c r="R93">
        <f>IFERROR(INDEX(Objekte!$AD$2:$AD$201,MATCH($A93,Objekte!$AB$2:$AB$201,0)),"")</f>
        <v/>
      </c>
    </row>
    <row r="94">
      <c r="Q94">
        <f>IFERROR(INDEX(Objekte!$AF$2:$AF$201,MATCH($A94,Objekte!$AB$2:$AB$201,0)),"")</f>
        <v/>
      </c>
      <c r="R94">
        <f>IFERROR(INDEX(Objekte!$AD$2:$AD$201,MATCH($A94,Objekte!$AB$2:$AB$201,0)),"")</f>
        <v/>
      </c>
    </row>
    <row r="95">
      <c r="Q95">
        <f>IFERROR(INDEX(Objekte!$AF$2:$AF$201,MATCH($A95,Objekte!$AB$2:$AB$201,0)),"")</f>
        <v/>
      </c>
      <c r="R95">
        <f>IFERROR(INDEX(Objekte!$AD$2:$AD$201,MATCH($A95,Objekte!$AB$2:$AB$201,0)),"")</f>
        <v/>
      </c>
    </row>
    <row r="96">
      <c r="Q96">
        <f>IFERROR(INDEX(Objekte!$AF$2:$AF$201,MATCH($A96,Objekte!$AB$2:$AB$201,0)),"")</f>
        <v/>
      </c>
      <c r="R96">
        <f>IFERROR(INDEX(Objekte!$AD$2:$AD$201,MATCH($A96,Objekte!$AB$2:$AB$201,0)),"")</f>
        <v/>
      </c>
    </row>
    <row r="97">
      <c r="Q97">
        <f>IFERROR(INDEX(Objekte!$AF$2:$AF$201,MATCH($A97,Objekte!$AB$2:$AB$201,0)),"")</f>
        <v/>
      </c>
      <c r="R97">
        <f>IFERROR(INDEX(Objekte!$AD$2:$AD$201,MATCH($A97,Objekte!$AB$2:$AB$201,0)),"")</f>
        <v/>
      </c>
    </row>
    <row r="98">
      <c r="Q98">
        <f>IFERROR(INDEX(Objekte!$AF$2:$AF$201,MATCH($A98,Objekte!$AB$2:$AB$201,0)),"")</f>
        <v/>
      </c>
      <c r="R98">
        <f>IFERROR(INDEX(Objekte!$AD$2:$AD$201,MATCH($A98,Objekte!$AB$2:$AB$201,0)),"")</f>
        <v/>
      </c>
    </row>
    <row r="99">
      <c r="Q99">
        <f>IFERROR(INDEX(Objekte!$AF$2:$AF$201,MATCH($A99,Objekte!$AB$2:$AB$201,0)),"")</f>
        <v/>
      </c>
      <c r="R99">
        <f>IFERROR(INDEX(Objekte!$AD$2:$AD$201,MATCH($A99,Objekte!$AB$2:$AB$201,0)),"")</f>
        <v/>
      </c>
    </row>
    <row r="100">
      <c r="Q100">
        <f>IFERROR(INDEX(Objekte!$AF$2:$AF$201,MATCH($A100,Objekte!$AB$2:$AB$201,0)),"")</f>
        <v/>
      </c>
      <c r="R100">
        <f>IFERROR(INDEX(Objekte!$AD$2:$AD$201,MATCH($A100,Objekte!$AB$2:$AB$201,0)),"")</f>
        <v/>
      </c>
    </row>
    <row r="101">
      <c r="Q101">
        <f>IFERROR(INDEX(Objekte!$AF$2:$AF$201,MATCH($A101,Objekte!$AB$2:$AB$201,0)),"")</f>
        <v/>
      </c>
      <c r="R101">
        <f>IFERROR(INDEX(Objekte!$AD$2:$AD$201,MATCH($A101,Objekte!$AB$2:$AB$201,0)),"")</f>
        <v/>
      </c>
    </row>
    <row r="102">
      <c r="Q102">
        <f>IFERROR(INDEX(Objekte!$AF$2:$AF$201,MATCH($A102,Objekte!$AB$2:$AB$201,0)),"")</f>
        <v/>
      </c>
      <c r="R102">
        <f>IFERROR(INDEX(Objekte!$AD$2:$AD$201,MATCH($A102,Objekte!$AB$2:$AB$201,0)),"")</f>
        <v/>
      </c>
    </row>
    <row r="103">
      <c r="Q103">
        <f>IFERROR(INDEX(Objekte!$AF$2:$AF$201,MATCH($A103,Objekte!$AB$2:$AB$201,0)),"")</f>
        <v/>
      </c>
      <c r="R103">
        <f>IFERROR(INDEX(Objekte!$AD$2:$AD$201,MATCH($A103,Objekte!$AB$2:$AB$201,0)),"")</f>
        <v/>
      </c>
    </row>
    <row r="104">
      <c r="Q104">
        <f>IFERROR(INDEX(Objekte!$AF$2:$AF$201,MATCH($A104,Objekte!$AB$2:$AB$201,0)),"")</f>
        <v/>
      </c>
      <c r="R104">
        <f>IFERROR(INDEX(Objekte!$AD$2:$AD$201,MATCH($A104,Objekte!$AB$2:$AB$201,0)),"")</f>
        <v/>
      </c>
    </row>
    <row r="105">
      <c r="Q105">
        <f>IFERROR(INDEX(Objekte!$AF$2:$AF$201,MATCH($A105,Objekte!$AB$2:$AB$201,0)),"")</f>
        <v/>
      </c>
      <c r="R105">
        <f>IFERROR(INDEX(Objekte!$AD$2:$AD$201,MATCH($A105,Objekte!$AB$2:$AB$201,0)),"")</f>
        <v/>
      </c>
    </row>
    <row r="106">
      <c r="Q106">
        <f>IFERROR(INDEX(Objekte!$AF$2:$AF$201,MATCH($A106,Objekte!$AB$2:$AB$201,0)),"")</f>
        <v/>
      </c>
      <c r="R106">
        <f>IFERROR(INDEX(Objekte!$AD$2:$AD$201,MATCH($A106,Objekte!$AB$2:$AB$201,0)),"")</f>
        <v/>
      </c>
    </row>
    <row r="107">
      <c r="Q107">
        <f>IFERROR(INDEX(Objekte!$AF$2:$AF$201,MATCH($A107,Objekte!$AB$2:$AB$201,0)),"")</f>
        <v/>
      </c>
      <c r="R107">
        <f>IFERROR(INDEX(Objekte!$AD$2:$AD$201,MATCH($A107,Objekte!$AB$2:$AB$201,0)),"")</f>
        <v/>
      </c>
    </row>
    <row r="108">
      <c r="Q108">
        <f>IFERROR(INDEX(Objekte!$AF$2:$AF$201,MATCH($A108,Objekte!$AB$2:$AB$201,0)),"")</f>
        <v/>
      </c>
      <c r="R108">
        <f>IFERROR(INDEX(Objekte!$AD$2:$AD$201,MATCH($A108,Objekte!$AB$2:$AB$201,0)),"")</f>
        <v/>
      </c>
    </row>
    <row r="109">
      <c r="Q109">
        <f>IFERROR(INDEX(Objekte!$AF$2:$AF$201,MATCH($A109,Objekte!$AB$2:$AB$201,0)),"")</f>
        <v/>
      </c>
      <c r="R109">
        <f>IFERROR(INDEX(Objekte!$AD$2:$AD$201,MATCH($A109,Objekte!$AB$2:$AB$201,0)),"")</f>
        <v/>
      </c>
    </row>
    <row r="110">
      <c r="Q110">
        <f>IFERROR(INDEX(Objekte!$AF$2:$AF$201,MATCH($A110,Objekte!$AB$2:$AB$201,0)),"")</f>
        <v/>
      </c>
      <c r="R110">
        <f>IFERROR(INDEX(Objekte!$AD$2:$AD$201,MATCH($A110,Objekte!$AB$2:$AB$201,0)),"")</f>
        <v/>
      </c>
    </row>
    <row r="111">
      <c r="Q111">
        <f>IFERROR(INDEX(Objekte!$AF$2:$AF$201,MATCH($A111,Objekte!$AB$2:$AB$201,0)),"")</f>
        <v/>
      </c>
      <c r="R111">
        <f>IFERROR(INDEX(Objekte!$AD$2:$AD$201,MATCH($A111,Objekte!$AB$2:$AB$201,0)),"")</f>
        <v/>
      </c>
    </row>
    <row r="112">
      <c r="Q112">
        <f>IFERROR(INDEX(Objekte!$AF$2:$AF$201,MATCH($A112,Objekte!$AB$2:$AB$201,0)),"")</f>
        <v/>
      </c>
      <c r="R112">
        <f>IFERROR(INDEX(Objekte!$AD$2:$AD$201,MATCH($A112,Objekte!$AB$2:$AB$201,0)),"")</f>
        <v/>
      </c>
    </row>
    <row r="113">
      <c r="Q113">
        <f>IFERROR(INDEX(Objekte!$AF$2:$AF$201,MATCH($A113,Objekte!$AB$2:$AB$201,0)),"")</f>
        <v/>
      </c>
      <c r="R113">
        <f>IFERROR(INDEX(Objekte!$AD$2:$AD$201,MATCH($A113,Objekte!$AB$2:$AB$201,0)),"")</f>
        <v/>
      </c>
    </row>
    <row r="114">
      <c r="Q114">
        <f>IFERROR(INDEX(Objekte!$AF$2:$AF$201,MATCH($A114,Objekte!$AB$2:$AB$201,0)),"")</f>
        <v/>
      </c>
      <c r="R114">
        <f>IFERROR(INDEX(Objekte!$AD$2:$AD$201,MATCH($A114,Objekte!$AB$2:$AB$201,0)),"")</f>
        <v/>
      </c>
    </row>
    <row r="115">
      <c r="Q115">
        <f>IFERROR(INDEX(Objekte!$AF$2:$AF$201,MATCH($A115,Objekte!$AB$2:$AB$201,0)),"")</f>
        <v/>
      </c>
      <c r="R115">
        <f>IFERROR(INDEX(Objekte!$AD$2:$AD$201,MATCH($A115,Objekte!$AB$2:$AB$201,0)),"")</f>
        <v/>
      </c>
    </row>
    <row r="116">
      <c r="Q116">
        <f>IFERROR(INDEX(Objekte!$AF$2:$AF$201,MATCH($A116,Objekte!$AB$2:$AB$201,0)),"")</f>
        <v/>
      </c>
      <c r="R116">
        <f>IFERROR(INDEX(Objekte!$AD$2:$AD$201,MATCH($A116,Objekte!$AB$2:$AB$201,0)),"")</f>
        <v/>
      </c>
    </row>
    <row r="117">
      <c r="Q117">
        <f>IFERROR(INDEX(Objekte!$AF$2:$AF$201,MATCH($A117,Objekte!$AB$2:$AB$201,0)),"")</f>
        <v/>
      </c>
      <c r="R117">
        <f>IFERROR(INDEX(Objekte!$AD$2:$AD$201,MATCH($A117,Objekte!$AB$2:$AB$201,0)),"")</f>
        <v/>
      </c>
    </row>
    <row r="118">
      <c r="Q118">
        <f>IFERROR(INDEX(Objekte!$AF$2:$AF$201,MATCH($A118,Objekte!$AB$2:$AB$201,0)),"")</f>
        <v/>
      </c>
      <c r="R118">
        <f>IFERROR(INDEX(Objekte!$AD$2:$AD$201,MATCH($A118,Objekte!$AB$2:$AB$201,0)),"")</f>
        <v/>
      </c>
    </row>
    <row r="119">
      <c r="Q119">
        <f>IFERROR(INDEX(Objekte!$AF$2:$AF$201,MATCH($A119,Objekte!$AB$2:$AB$201,0)),"")</f>
        <v/>
      </c>
      <c r="R119">
        <f>IFERROR(INDEX(Objekte!$AD$2:$AD$201,MATCH($A119,Objekte!$AB$2:$AB$201,0)),"")</f>
        <v/>
      </c>
    </row>
    <row r="120">
      <c r="Q120">
        <f>IFERROR(INDEX(Objekte!$AF$2:$AF$201,MATCH($A120,Objekte!$AB$2:$AB$201,0)),"")</f>
        <v/>
      </c>
      <c r="R120">
        <f>IFERROR(INDEX(Objekte!$AD$2:$AD$201,MATCH($A120,Objekte!$AB$2:$AB$201,0)),"")</f>
        <v/>
      </c>
    </row>
    <row r="121">
      <c r="Q121">
        <f>IFERROR(INDEX(Objekte!$AF$2:$AF$201,MATCH($A121,Objekte!$AB$2:$AB$201,0)),"")</f>
        <v/>
      </c>
      <c r="R121">
        <f>IFERROR(INDEX(Objekte!$AD$2:$AD$201,MATCH($A121,Objekte!$AB$2:$AB$201,0)),"")</f>
        <v/>
      </c>
    </row>
    <row r="122">
      <c r="Q122">
        <f>IFERROR(INDEX(Objekte!$AF$2:$AF$201,MATCH($A122,Objekte!$AB$2:$AB$201,0)),"")</f>
        <v/>
      </c>
      <c r="R122">
        <f>IFERROR(INDEX(Objekte!$AD$2:$AD$201,MATCH($A122,Objekte!$AB$2:$AB$201,0)),"")</f>
        <v/>
      </c>
    </row>
    <row r="123">
      <c r="Q123">
        <f>IFERROR(INDEX(Objekte!$AF$2:$AF$201,MATCH($A123,Objekte!$AB$2:$AB$201,0)),"")</f>
        <v/>
      </c>
      <c r="R123">
        <f>IFERROR(INDEX(Objekte!$AD$2:$AD$201,MATCH($A123,Objekte!$AB$2:$AB$201,0)),"")</f>
        <v/>
      </c>
    </row>
    <row r="124">
      <c r="Q124">
        <f>IFERROR(INDEX(Objekte!$AF$2:$AF$201,MATCH($A124,Objekte!$AB$2:$AB$201,0)),"")</f>
        <v/>
      </c>
      <c r="R124">
        <f>IFERROR(INDEX(Objekte!$AD$2:$AD$201,MATCH($A124,Objekte!$AB$2:$AB$201,0)),"")</f>
        <v/>
      </c>
    </row>
    <row r="125">
      <c r="Q125">
        <f>IFERROR(INDEX(Objekte!$AF$2:$AF$201,MATCH($A125,Objekte!$AB$2:$AB$201,0)),"")</f>
        <v/>
      </c>
      <c r="R125">
        <f>IFERROR(INDEX(Objekte!$AD$2:$AD$201,MATCH($A125,Objekte!$AB$2:$AB$201,0)),"")</f>
        <v/>
      </c>
    </row>
    <row r="126">
      <c r="Q126">
        <f>IFERROR(INDEX(Objekte!$AF$2:$AF$201,MATCH($A126,Objekte!$AB$2:$AB$201,0)),"")</f>
        <v/>
      </c>
      <c r="R126">
        <f>IFERROR(INDEX(Objekte!$AD$2:$AD$201,MATCH($A126,Objekte!$AB$2:$AB$201,0)),"")</f>
        <v/>
      </c>
    </row>
    <row r="127">
      <c r="Q127">
        <f>IFERROR(INDEX(Objekte!$AF$2:$AF$201,MATCH($A127,Objekte!$AB$2:$AB$201,0)),"")</f>
        <v/>
      </c>
      <c r="R127">
        <f>IFERROR(INDEX(Objekte!$AD$2:$AD$201,MATCH($A127,Objekte!$AB$2:$AB$201,0)),"")</f>
        <v/>
      </c>
    </row>
    <row r="128">
      <c r="Q128">
        <f>IFERROR(INDEX(Objekte!$AF$2:$AF$201,MATCH($A128,Objekte!$AB$2:$AB$201,0)),"")</f>
        <v/>
      </c>
      <c r="R128">
        <f>IFERROR(INDEX(Objekte!$AD$2:$AD$201,MATCH($A128,Objekte!$AB$2:$AB$201,0)),"")</f>
        <v/>
      </c>
    </row>
    <row r="129">
      <c r="Q129">
        <f>IFERROR(INDEX(Objekte!$AF$2:$AF$201,MATCH($A129,Objekte!$AB$2:$AB$201,0)),"")</f>
        <v/>
      </c>
      <c r="R129">
        <f>IFERROR(INDEX(Objekte!$AD$2:$AD$201,MATCH($A129,Objekte!$AB$2:$AB$201,0)),"")</f>
        <v/>
      </c>
    </row>
    <row r="130">
      <c r="Q130">
        <f>IFERROR(INDEX(Objekte!$AF$2:$AF$201,MATCH($A130,Objekte!$AB$2:$AB$201,0)),"")</f>
        <v/>
      </c>
      <c r="R130">
        <f>IFERROR(INDEX(Objekte!$AD$2:$AD$201,MATCH($A130,Objekte!$AB$2:$AB$201,0)),"")</f>
        <v/>
      </c>
    </row>
    <row r="131">
      <c r="Q131">
        <f>IFERROR(INDEX(Objekte!$AF$2:$AF$201,MATCH($A131,Objekte!$AB$2:$AB$201,0)),"")</f>
        <v/>
      </c>
      <c r="R131">
        <f>IFERROR(INDEX(Objekte!$AD$2:$AD$201,MATCH($A131,Objekte!$AB$2:$AB$201,0)),"")</f>
        <v/>
      </c>
    </row>
    <row r="132">
      <c r="Q132">
        <f>IFERROR(INDEX(Objekte!$AF$2:$AF$201,MATCH($A132,Objekte!$AB$2:$AB$201,0)),"")</f>
        <v/>
      </c>
      <c r="R132">
        <f>IFERROR(INDEX(Objekte!$AD$2:$AD$201,MATCH($A132,Objekte!$AB$2:$AB$201,0)),"")</f>
        <v/>
      </c>
    </row>
    <row r="133">
      <c r="Q133">
        <f>IFERROR(INDEX(Objekte!$AF$2:$AF$201,MATCH($A133,Objekte!$AB$2:$AB$201,0)),"")</f>
        <v/>
      </c>
      <c r="R133">
        <f>IFERROR(INDEX(Objekte!$AD$2:$AD$201,MATCH($A133,Objekte!$AB$2:$AB$201,0)),"")</f>
        <v/>
      </c>
    </row>
    <row r="134">
      <c r="Q134">
        <f>IFERROR(INDEX(Objekte!$AF$2:$AF$201,MATCH($A134,Objekte!$AB$2:$AB$201,0)),"")</f>
        <v/>
      </c>
      <c r="R134">
        <f>IFERROR(INDEX(Objekte!$AD$2:$AD$201,MATCH($A134,Objekte!$AB$2:$AB$201,0)),"")</f>
        <v/>
      </c>
    </row>
    <row r="135">
      <c r="Q135">
        <f>IFERROR(INDEX(Objekte!$AF$2:$AF$201,MATCH($A135,Objekte!$AB$2:$AB$201,0)),"")</f>
        <v/>
      </c>
      <c r="R135">
        <f>IFERROR(INDEX(Objekte!$AD$2:$AD$201,MATCH($A135,Objekte!$AB$2:$AB$201,0)),"")</f>
        <v/>
      </c>
    </row>
    <row r="136">
      <c r="Q136">
        <f>IFERROR(INDEX(Objekte!$AF$2:$AF$201,MATCH($A136,Objekte!$AB$2:$AB$201,0)),"")</f>
        <v/>
      </c>
      <c r="R136">
        <f>IFERROR(INDEX(Objekte!$AD$2:$AD$201,MATCH($A136,Objekte!$AB$2:$AB$201,0)),"")</f>
        <v/>
      </c>
    </row>
    <row r="137">
      <c r="Q137">
        <f>IFERROR(INDEX(Objekte!$AF$2:$AF$201,MATCH($A137,Objekte!$AB$2:$AB$201,0)),"")</f>
        <v/>
      </c>
      <c r="R137">
        <f>IFERROR(INDEX(Objekte!$AD$2:$AD$201,MATCH($A137,Objekte!$AB$2:$AB$201,0)),"")</f>
        <v/>
      </c>
    </row>
    <row r="138">
      <c r="Q138">
        <f>IFERROR(INDEX(Objekte!$AF$2:$AF$201,MATCH($A138,Objekte!$AB$2:$AB$201,0)),"")</f>
        <v/>
      </c>
      <c r="R138">
        <f>IFERROR(INDEX(Objekte!$AD$2:$AD$201,MATCH($A138,Objekte!$AB$2:$AB$201,0)),"")</f>
        <v/>
      </c>
    </row>
    <row r="139">
      <c r="Q139">
        <f>IFERROR(INDEX(Objekte!$AF$2:$AF$201,MATCH($A139,Objekte!$AB$2:$AB$201,0)),"")</f>
        <v/>
      </c>
      <c r="R139">
        <f>IFERROR(INDEX(Objekte!$AD$2:$AD$201,MATCH($A139,Objekte!$AB$2:$AB$201,0)),"")</f>
        <v/>
      </c>
    </row>
    <row r="140">
      <c r="Q140">
        <f>IFERROR(INDEX(Objekte!$AF$2:$AF$201,MATCH($A140,Objekte!$AB$2:$AB$201,0)),"")</f>
        <v/>
      </c>
      <c r="R140">
        <f>IFERROR(INDEX(Objekte!$AD$2:$AD$201,MATCH($A140,Objekte!$AB$2:$AB$201,0)),"")</f>
        <v/>
      </c>
    </row>
    <row r="141">
      <c r="Q141">
        <f>IFERROR(INDEX(Objekte!$AF$2:$AF$201,MATCH($A141,Objekte!$AB$2:$AB$201,0)),"")</f>
        <v/>
      </c>
      <c r="R141">
        <f>IFERROR(INDEX(Objekte!$AD$2:$AD$201,MATCH($A141,Objekte!$AB$2:$AB$201,0)),"")</f>
        <v/>
      </c>
    </row>
    <row r="142">
      <c r="Q142">
        <f>IFERROR(INDEX(Objekte!$AF$2:$AF$201,MATCH($A142,Objekte!$AB$2:$AB$201,0)),"")</f>
        <v/>
      </c>
      <c r="R142">
        <f>IFERROR(INDEX(Objekte!$AD$2:$AD$201,MATCH($A142,Objekte!$AB$2:$AB$201,0)),"")</f>
        <v/>
      </c>
    </row>
    <row r="143">
      <c r="Q143">
        <f>IFERROR(INDEX(Objekte!$AF$2:$AF$201,MATCH($A143,Objekte!$AB$2:$AB$201,0)),"")</f>
        <v/>
      </c>
      <c r="R143">
        <f>IFERROR(INDEX(Objekte!$AD$2:$AD$201,MATCH($A143,Objekte!$AB$2:$AB$201,0)),"")</f>
        <v/>
      </c>
    </row>
    <row r="144">
      <c r="Q144">
        <f>IFERROR(INDEX(Objekte!$AF$2:$AF$201,MATCH($A144,Objekte!$AB$2:$AB$201,0)),"")</f>
        <v/>
      </c>
      <c r="R144">
        <f>IFERROR(INDEX(Objekte!$AD$2:$AD$201,MATCH($A144,Objekte!$AB$2:$AB$201,0)),"")</f>
        <v/>
      </c>
    </row>
    <row r="145">
      <c r="Q145">
        <f>IFERROR(INDEX(Objekte!$AF$2:$AF$201,MATCH($A145,Objekte!$AB$2:$AB$201,0)),"")</f>
        <v/>
      </c>
      <c r="R145">
        <f>IFERROR(INDEX(Objekte!$AD$2:$AD$201,MATCH($A145,Objekte!$AB$2:$AB$201,0)),"")</f>
        <v/>
      </c>
    </row>
    <row r="146">
      <c r="Q146">
        <f>IFERROR(INDEX(Objekte!$AF$2:$AF$201,MATCH($A146,Objekte!$AB$2:$AB$201,0)),"")</f>
        <v/>
      </c>
      <c r="R146">
        <f>IFERROR(INDEX(Objekte!$AD$2:$AD$201,MATCH($A146,Objekte!$AB$2:$AB$201,0)),"")</f>
        <v/>
      </c>
    </row>
    <row r="147">
      <c r="Q147">
        <f>IFERROR(INDEX(Objekte!$AF$2:$AF$201,MATCH($A147,Objekte!$AB$2:$AB$201,0)),"")</f>
        <v/>
      </c>
      <c r="R147">
        <f>IFERROR(INDEX(Objekte!$AD$2:$AD$201,MATCH($A147,Objekte!$AB$2:$AB$201,0)),"")</f>
        <v/>
      </c>
    </row>
    <row r="148">
      <c r="Q148">
        <f>IFERROR(INDEX(Objekte!$AF$2:$AF$201,MATCH($A148,Objekte!$AB$2:$AB$201,0)),"")</f>
        <v/>
      </c>
      <c r="R148">
        <f>IFERROR(INDEX(Objekte!$AD$2:$AD$201,MATCH($A148,Objekte!$AB$2:$AB$201,0)),"")</f>
        <v/>
      </c>
    </row>
    <row r="149">
      <c r="Q149">
        <f>IFERROR(INDEX(Objekte!$AF$2:$AF$201,MATCH($A149,Objekte!$AB$2:$AB$201,0)),"")</f>
        <v/>
      </c>
      <c r="R149">
        <f>IFERROR(INDEX(Objekte!$AD$2:$AD$201,MATCH($A149,Objekte!$AB$2:$AB$201,0)),"")</f>
        <v/>
      </c>
    </row>
    <row r="150">
      <c r="Q150">
        <f>IFERROR(INDEX(Objekte!$AF$2:$AF$201,MATCH($A150,Objekte!$AB$2:$AB$201,0)),"")</f>
        <v/>
      </c>
      <c r="R150">
        <f>IFERROR(INDEX(Objekte!$AD$2:$AD$201,MATCH($A150,Objekte!$AB$2:$AB$201,0)),"")</f>
        <v/>
      </c>
    </row>
    <row r="151">
      <c r="Q151">
        <f>IFERROR(INDEX(Objekte!$AF$2:$AF$201,MATCH($A151,Objekte!$AB$2:$AB$201,0)),"")</f>
        <v/>
      </c>
      <c r="R151">
        <f>IFERROR(INDEX(Objekte!$AD$2:$AD$201,MATCH($A151,Objekte!$AB$2:$AB$201,0)),"")</f>
        <v/>
      </c>
    </row>
    <row r="152">
      <c r="Q152">
        <f>IFERROR(INDEX(Objekte!$AF$2:$AF$201,MATCH($A152,Objekte!$AB$2:$AB$201,0)),"")</f>
        <v/>
      </c>
      <c r="R152">
        <f>IFERROR(INDEX(Objekte!$AD$2:$AD$201,MATCH($A152,Objekte!$AB$2:$AB$201,0)),"")</f>
        <v/>
      </c>
    </row>
    <row r="153">
      <c r="Q153">
        <f>IFERROR(INDEX(Objekte!$AF$2:$AF$201,MATCH($A153,Objekte!$AB$2:$AB$201,0)),"")</f>
        <v/>
      </c>
      <c r="R153">
        <f>IFERROR(INDEX(Objekte!$AD$2:$AD$201,MATCH($A153,Objekte!$AB$2:$AB$201,0)),"")</f>
        <v/>
      </c>
    </row>
    <row r="154">
      <c r="Q154">
        <f>IFERROR(INDEX(Objekte!$AF$2:$AF$201,MATCH($A154,Objekte!$AB$2:$AB$201,0)),"")</f>
        <v/>
      </c>
      <c r="R154">
        <f>IFERROR(INDEX(Objekte!$AD$2:$AD$201,MATCH($A154,Objekte!$AB$2:$AB$201,0)),"")</f>
        <v/>
      </c>
    </row>
    <row r="155">
      <c r="Q155">
        <f>IFERROR(INDEX(Objekte!$AF$2:$AF$201,MATCH($A155,Objekte!$AB$2:$AB$201,0)),"")</f>
        <v/>
      </c>
      <c r="R155">
        <f>IFERROR(INDEX(Objekte!$AD$2:$AD$201,MATCH($A155,Objekte!$AB$2:$AB$201,0)),"")</f>
        <v/>
      </c>
    </row>
    <row r="156">
      <c r="Q156">
        <f>IFERROR(INDEX(Objekte!$AF$2:$AF$201,MATCH($A156,Objekte!$AB$2:$AB$201,0)),"")</f>
        <v/>
      </c>
      <c r="R156">
        <f>IFERROR(INDEX(Objekte!$AD$2:$AD$201,MATCH($A156,Objekte!$AB$2:$AB$201,0)),"")</f>
        <v/>
      </c>
    </row>
    <row r="157">
      <c r="Q157">
        <f>IFERROR(INDEX(Objekte!$AF$2:$AF$201,MATCH($A157,Objekte!$AB$2:$AB$201,0)),"")</f>
        <v/>
      </c>
      <c r="R157">
        <f>IFERROR(INDEX(Objekte!$AD$2:$AD$201,MATCH($A157,Objekte!$AB$2:$AB$201,0)),"")</f>
        <v/>
      </c>
    </row>
    <row r="158">
      <c r="Q158">
        <f>IFERROR(INDEX(Objekte!$AF$2:$AF$201,MATCH($A158,Objekte!$AB$2:$AB$201,0)),"")</f>
        <v/>
      </c>
      <c r="R158">
        <f>IFERROR(INDEX(Objekte!$AD$2:$AD$201,MATCH($A158,Objekte!$AB$2:$AB$201,0)),"")</f>
        <v/>
      </c>
    </row>
    <row r="159">
      <c r="Q159">
        <f>IFERROR(INDEX(Objekte!$AF$2:$AF$201,MATCH($A159,Objekte!$AB$2:$AB$201,0)),"")</f>
        <v/>
      </c>
      <c r="R159">
        <f>IFERROR(INDEX(Objekte!$AD$2:$AD$201,MATCH($A159,Objekte!$AB$2:$AB$201,0)),"")</f>
        <v/>
      </c>
    </row>
    <row r="160">
      <c r="Q160">
        <f>IFERROR(INDEX(Objekte!$AF$2:$AF$201,MATCH($A160,Objekte!$AB$2:$AB$201,0)),"")</f>
        <v/>
      </c>
      <c r="R160">
        <f>IFERROR(INDEX(Objekte!$AD$2:$AD$201,MATCH($A160,Objekte!$AB$2:$AB$201,0)),"")</f>
        <v/>
      </c>
    </row>
    <row r="161">
      <c r="Q161">
        <f>IFERROR(INDEX(Objekte!$AF$2:$AF$201,MATCH($A161,Objekte!$AB$2:$AB$201,0)),"")</f>
        <v/>
      </c>
      <c r="R161">
        <f>IFERROR(INDEX(Objekte!$AD$2:$AD$201,MATCH($A161,Objekte!$AB$2:$AB$201,0)),"")</f>
        <v/>
      </c>
    </row>
    <row r="162">
      <c r="Q162">
        <f>IFERROR(INDEX(Objekte!$AF$2:$AF$201,MATCH($A162,Objekte!$AB$2:$AB$201,0)),"")</f>
        <v/>
      </c>
      <c r="R162">
        <f>IFERROR(INDEX(Objekte!$AD$2:$AD$201,MATCH($A162,Objekte!$AB$2:$AB$201,0)),"")</f>
        <v/>
      </c>
    </row>
    <row r="163">
      <c r="Q163">
        <f>IFERROR(INDEX(Objekte!$AF$2:$AF$201,MATCH($A163,Objekte!$AB$2:$AB$201,0)),"")</f>
        <v/>
      </c>
      <c r="R163">
        <f>IFERROR(INDEX(Objekte!$AD$2:$AD$201,MATCH($A163,Objekte!$AB$2:$AB$201,0)),"")</f>
        <v/>
      </c>
    </row>
    <row r="164">
      <c r="Q164">
        <f>IFERROR(INDEX(Objekte!$AF$2:$AF$201,MATCH($A164,Objekte!$AB$2:$AB$201,0)),"")</f>
        <v/>
      </c>
      <c r="R164">
        <f>IFERROR(INDEX(Objekte!$AD$2:$AD$201,MATCH($A164,Objekte!$AB$2:$AB$201,0)),"")</f>
        <v/>
      </c>
    </row>
    <row r="165">
      <c r="Q165">
        <f>IFERROR(INDEX(Objekte!$AF$2:$AF$201,MATCH($A165,Objekte!$AB$2:$AB$201,0)),"")</f>
        <v/>
      </c>
      <c r="R165">
        <f>IFERROR(INDEX(Objekte!$AD$2:$AD$201,MATCH($A165,Objekte!$AB$2:$AB$201,0)),"")</f>
        <v/>
      </c>
    </row>
    <row r="166">
      <c r="Q166">
        <f>IFERROR(INDEX(Objekte!$AF$2:$AF$201,MATCH($A166,Objekte!$AB$2:$AB$201,0)),"")</f>
        <v/>
      </c>
      <c r="R166">
        <f>IFERROR(INDEX(Objekte!$AD$2:$AD$201,MATCH($A166,Objekte!$AB$2:$AB$201,0)),"")</f>
        <v/>
      </c>
    </row>
    <row r="167">
      <c r="Q167">
        <f>IFERROR(INDEX(Objekte!$AF$2:$AF$201,MATCH($A167,Objekte!$AB$2:$AB$201,0)),"")</f>
        <v/>
      </c>
      <c r="R167">
        <f>IFERROR(INDEX(Objekte!$AD$2:$AD$201,MATCH($A167,Objekte!$AB$2:$AB$201,0)),"")</f>
        <v/>
      </c>
    </row>
    <row r="168">
      <c r="Q168">
        <f>IFERROR(INDEX(Objekte!$AF$2:$AF$201,MATCH($A168,Objekte!$AB$2:$AB$201,0)),"")</f>
        <v/>
      </c>
      <c r="R168">
        <f>IFERROR(INDEX(Objekte!$AD$2:$AD$201,MATCH($A168,Objekte!$AB$2:$AB$201,0)),"")</f>
        <v/>
      </c>
    </row>
    <row r="169">
      <c r="Q169">
        <f>IFERROR(INDEX(Objekte!$AF$2:$AF$201,MATCH($A169,Objekte!$AB$2:$AB$201,0)),"")</f>
        <v/>
      </c>
      <c r="R169">
        <f>IFERROR(INDEX(Objekte!$AD$2:$AD$201,MATCH($A169,Objekte!$AB$2:$AB$201,0)),"")</f>
        <v/>
      </c>
    </row>
    <row r="170">
      <c r="Q170">
        <f>IFERROR(INDEX(Objekte!$AF$2:$AF$201,MATCH($A170,Objekte!$AB$2:$AB$201,0)),"")</f>
        <v/>
      </c>
      <c r="R170">
        <f>IFERROR(INDEX(Objekte!$AD$2:$AD$201,MATCH($A170,Objekte!$AB$2:$AB$201,0)),"")</f>
        <v/>
      </c>
    </row>
    <row r="171">
      <c r="Q171">
        <f>IFERROR(INDEX(Objekte!$AF$2:$AF$201,MATCH($A171,Objekte!$AB$2:$AB$201,0)),"")</f>
        <v/>
      </c>
      <c r="R171">
        <f>IFERROR(INDEX(Objekte!$AD$2:$AD$201,MATCH($A171,Objekte!$AB$2:$AB$201,0)),"")</f>
        <v/>
      </c>
    </row>
    <row r="172">
      <c r="Q172">
        <f>IFERROR(INDEX(Objekte!$AF$2:$AF$201,MATCH($A172,Objekte!$AB$2:$AB$201,0)),"")</f>
        <v/>
      </c>
      <c r="R172">
        <f>IFERROR(INDEX(Objekte!$AD$2:$AD$201,MATCH($A172,Objekte!$AB$2:$AB$201,0)),"")</f>
        <v/>
      </c>
    </row>
    <row r="173">
      <c r="Q173">
        <f>IFERROR(INDEX(Objekte!$AF$2:$AF$201,MATCH($A173,Objekte!$AB$2:$AB$201,0)),"")</f>
        <v/>
      </c>
      <c r="R173">
        <f>IFERROR(INDEX(Objekte!$AD$2:$AD$201,MATCH($A173,Objekte!$AB$2:$AB$201,0)),"")</f>
        <v/>
      </c>
    </row>
    <row r="174">
      <c r="Q174">
        <f>IFERROR(INDEX(Objekte!$AF$2:$AF$201,MATCH($A174,Objekte!$AB$2:$AB$201,0)),"")</f>
        <v/>
      </c>
      <c r="R174">
        <f>IFERROR(INDEX(Objekte!$AD$2:$AD$201,MATCH($A174,Objekte!$AB$2:$AB$201,0)),"")</f>
        <v/>
      </c>
    </row>
    <row r="175">
      <c r="Q175">
        <f>IFERROR(INDEX(Objekte!$AF$2:$AF$201,MATCH($A175,Objekte!$AB$2:$AB$201,0)),"")</f>
        <v/>
      </c>
      <c r="R175">
        <f>IFERROR(INDEX(Objekte!$AD$2:$AD$201,MATCH($A175,Objekte!$AB$2:$AB$201,0)),"")</f>
        <v/>
      </c>
    </row>
    <row r="176">
      <c r="Q176">
        <f>IFERROR(INDEX(Objekte!$AF$2:$AF$201,MATCH($A176,Objekte!$AB$2:$AB$201,0)),"")</f>
        <v/>
      </c>
      <c r="R176">
        <f>IFERROR(INDEX(Objekte!$AD$2:$AD$201,MATCH($A176,Objekte!$AB$2:$AB$201,0)),"")</f>
        <v/>
      </c>
    </row>
    <row r="177">
      <c r="Q177">
        <f>IFERROR(INDEX(Objekte!$AF$2:$AF$201,MATCH($A177,Objekte!$AB$2:$AB$201,0)),"")</f>
        <v/>
      </c>
      <c r="R177">
        <f>IFERROR(INDEX(Objekte!$AD$2:$AD$201,MATCH($A177,Objekte!$AB$2:$AB$201,0)),"")</f>
        <v/>
      </c>
    </row>
    <row r="178">
      <c r="Q178">
        <f>IFERROR(INDEX(Objekte!$AF$2:$AF$201,MATCH($A178,Objekte!$AB$2:$AB$201,0)),"")</f>
        <v/>
      </c>
      <c r="R178">
        <f>IFERROR(INDEX(Objekte!$AD$2:$AD$201,MATCH($A178,Objekte!$AB$2:$AB$201,0)),"")</f>
        <v/>
      </c>
    </row>
    <row r="179">
      <c r="Q179">
        <f>IFERROR(INDEX(Objekte!$AF$2:$AF$201,MATCH($A179,Objekte!$AB$2:$AB$201,0)),"")</f>
        <v/>
      </c>
      <c r="R179">
        <f>IFERROR(INDEX(Objekte!$AD$2:$AD$201,MATCH($A179,Objekte!$AB$2:$AB$201,0)),"")</f>
        <v/>
      </c>
    </row>
    <row r="180">
      <c r="Q180">
        <f>IFERROR(INDEX(Objekte!$AF$2:$AF$201,MATCH($A180,Objekte!$AB$2:$AB$201,0)),"")</f>
        <v/>
      </c>
      <c r="R180">
        <f>IFERROR(INDEX(Objekte!$AD$2:$AD$201,MATCH($A180,Objekte!$AB$2:$AB$201,0)),"")</f>
        <v/>
      </c>
    </row>
    <row r="181">
      <c r="Q181">
        <f>IFERROR(INDEX(Objekte!$AF$2:$AF$201,MATCH($A181,Objekte!$AB$2:$AB$201,0)),"")</f>
        <v/>
      </c>
      <c r="R181">
        <f>IFERROR(INDEX(Objekte!$AD$2:$AD$201,MATCH($A181,Objekte!$AB$2:$AB$201,0)),"")</f>
        <v/>
      </c>
    </row>
    <row r="182">
      <c r="Q182">
        <f>IFERROR(INDEX(Objekte!$AF$2:$AF$201,MATCH($A182,Objekte!$AB$2:$AB$201,0)),"")</f>
        <v/>
      </c>
      <c r="R182">
        <f>IFERROR(INDEX(Objekte!$AD$2:$AD$201,MATCH($A182,Objekte!$AB$2:$AB$201,0)),"")</f>
        <v/>
      </c>
    </row>
    <row r="183">
      <c r="Q183">
        <f>IFERROR(INDEX(Objekte!$AF$2:$AF$201,MATCH($A183,Objekte!$AB$2:$AB$201,0)),"")</f>
        <v/>
      </c>
      <c r="R183">
        <f>IFERROR(INDEX(Objekte!$AD$2:$AD$201,MATCH($A183,Objekte!$AB$2:$AB$201,0)),"")</f>
        <v/>
      </c>
    </row>
    <row r="184">
      <c r="Q184">
        <f>IFERROR(INDEX(Objekte!$AF$2:$AF$201,MATCH($A184,Objekte!$AB$2:$AB$201,0)),"")</f>
        <v/>
      </c>
      <c r="R184">
        <f>IFERROR(INDEX(Objekte!$AD$2:$AD$201,MATCH($A184,Objekte!$AB$2:$AB$201,0)),"")</f>
        <v/>
      </c>
    </row>
    <row r="185">
      <c r="Q185">
        <f>IFERROR(INDEX(Objekte!$AF$2:$AF$201,MATCH($A185,Objekte!$AB$2:$AB$201,0)),"")</f>
        <v/>
      </c>
      <c r="R185">
        <f>IFERROR(INDEX(Objekte!$AD$2:$AD$201,MATCH($A185,Objekte!$AB$2:$AB$201,0)),"")</f>
        <v/>
      </c>
    </row>
    <row r="186">
      <c r="Q186">
        <f>IFERROR(INDEX(Objekte!$AF$2:$AF$201,MATCH($A186,Objekte!$AB$2:$AB$201,0)),"")</f>
        <v/>
      </c>
      <c r="R186">
        <f>IFERROR(INDEX(Objekte!$AD$2:$AD$201,MATCH($A186,Objekte!$AB$2:$AB$201,0)),"")</f>
        <v/>
      </c>
    </row>
    <row r="187">
      <c r="Q187">
        <f>IFERROR(INDEX(Objekte!$AF$2:$AF$201,MATCH($A187,Objekte!$AB$2:$AB$201,0)),"")</f>
        <v/>
      </c>
      <c r="R187">
        <f>IFERROR(INDEX(Objekte!$AD$2:$AD$201,MATCH($A187,Objekte!$AB$2:$AB$201,0)),"")</f>
        <v/>
      </c>
    </row>
    <row r="188">
      <c r="Q188">
        <f>IFERROR(INDEX(Objekte!$AF$2:$AF$201,MATCH($A188,Objekte!$AB$2:$AB$201,0)),"")</f>
        <v/>
      </c>
      <c r="R188">
        <f>IFERROR(INDEX(Objekte!$AD$2:$AD$201,MATCH($A188,Objekte!$AB$2:$AB$201,0)),"")</f>
        <v/>
      </c>
    </row>
    <row r="189">
      <c r="Q189">
        <f>IFERROR(INDEX(Objekte!$AF$2:$AF$201,MATCH($A189,Objekte!$AB$2:$AB$201,0)),"")</f>
        <v/>
      </c>
      <c r="R189">
        <f>IFERROR(INDEX(Objekte!$AD$2:$AD$201,MATCH($A189,Objekte!$AB$2:$AB$201,0)),"")</f>
        <v/>
      </c>
    </row>
    <row r="190">
      <c r="Q190">
        <f>IFERROR(INDEX(Objekte!$AF$2:$AF$201,MATCH($A190,Objekte!$AB$2:$AB$201,0)),"")</f>
        <v/>
      </c>
      <c r="R190">
        <f>IFERROR(INDEX(Objekte!$AD$2:$AD$201,MATCH($A190,Objekte!$AB$2:$AB$201,0)),"")</f>
        <v/>
      </c>
    </row>
    <row r="191">
      <c r="Q191">
        <f>IFERROR(INDEX(Objekte!$AF$2:$AF$201,MATCH($A191,Objekte!$AB$2:$AB$201,0)),"")</f>
        <v/>
      </c>
      <c r="R191">
        <f>IFERROR(INDEX(Objekte!$AD$2:$AD$201,MATCH($A191,Objekte!$AB$2:$AB$201,0)),"")</f>
        <v/>
      </c>
    </row>
    <row r="192">
      <c r="Q192">
        <f>IFERROR(INDEX(Objekte!$AF$2:$AF$201,MATCH($A192,Objekte!$AB$2:$AB$201,0)),"")</f>
        <v/>
      </c>
      <c r="R192">
        <f>IFERROR(INDEX(Objekte!$AD$2:$AD$201,MATCH($A192,Objekte!$AB$2:$AB$201,0)),"")</f>
        <v/>
      </c>
    </row>
    <row r="193">
      <c r="Q193">
        <f>IFERROR(INDEX(Objekte!$AF$2:$AF$201,MATCH($A193,Objekte!$AB$2:$AB$201,0)),"")</f>
        <v/>
      </c>
      <c r="R193">
        <f>IFERROR(INDEX(Objekte!$AD$2:$AD$201,MATCH($A193,Objekte!$AB$2:$AB$201,0)),"")</f>
        <v/>
      </c>
    </row>
    <row r="194">
      <c r="Q194">
        <f>IFERROR(INDEX(Objekte!$AF$2:$AF$201,MATCH($A194,Objekte!$AB$2:$AB$201,0)),"")</f>
        <v/>
      </c>
      <c r="R194">
        <f>IFERROR(INDEX(Objekte!$AD$2:$AD$201,MATCH($A194,Objekte!$AB$2:$AB$201,0)),"")</f>
        <v/>
      </c>
    </row>
    <row r="195">
      <c r="Q195">
        <f>IFERROR(INDEX(Objekte!$AF$2:$AF$201,MATCH($A195,Objekte!$AB$2:$AB$201,0)),"")</f>
        <v/>
      </c>
      <c r="R195">
        <f>IFERROR(INDEX(Objekte!$AD$2:$AD$201,MATCH($A195,Objekte!$AB$2:$AB$201,0)),"")</f>
        <v/>
      </c>
    </row>
    <row r="196">
      <c r="Q196">
        <f>IFERROR(INDEX(Objekte!$AF$2:$AF$201,MATCH($A196,Objekte!$AB$2:$AB$201,0)),"")</f>
        <v/>
      </c>
      <c r="R196">
        <f>IFERROR(INDEX(Objekte!$AD$2:$AD$201,MATCH($A196,Objekte!$AB$2:$AB$201,0)),"")</f>
        <v/>
      </c>
    </row>
    <row r="197">
      <c r="Q197">
        <f>IFERROR(INDEX(Objekte!$AF$2:$AF$201,MATCH($A197,Objekte!$AB$2:$AB$201,0)),"")</f>
        <v/>
      </c>
      <c r="R197">
        <f>IFERROR(INDEX(Objekte!$AD$2:$AD$201,MATCH($A197,Objekte!$AB$2:$AB$201,0)),"")</f>
        <v/>
      </c>
    </row>
    <row r="198">
      <c r="Q198">
        <f>IFERROR(INDEX(Objekte!$AF$2:$AF$201,MATCH($A198,Objekte!$AB$2:$AB$201,0)),"")</f>
        <v/>
      </c>
      <c r="R198">
        <f>IFERROR(INDEX(Objekte!$AD$2:$AD$201,MATCH($A198,Objekte!$AB$2:$AB$201,0)),"")</f>
        <v/>
      </c>
    </row>
    <row r="199">
      <c r="Q199">
        <f>IFERROR(INDEX(Objekte!$AF$2:$AF$201,MATCH($A199,Objekte!$AB$2:$AB$201,0)),"")</f>
        <v/>
      </c>
      <c r="R199">
        <f>IFERROR(INDEX(Objekte!$AD$2:$AD$201,MATCH($A199,Objekte!$AB$2:$AB$201,0)),"")</f>
        <v/>
      </c>
    </row>
    <row r="200">
      <c r="Q200">
        <f>IFERROR(INDEX(Objekte!$AF$2:$AF$201,MATCH($A200,Objekte!$AB$2:$AB$201,0)),"")</f>
        <v/>
      </c>
      <c r="R200">
        <f>IFERROR(INDEX(Objekte!$AD$2:$AD$201,MATCH($A200,Objekte!$AB$2:$AB$201,0)),"")</f>
        <v/>
      </c>
    </row>
    <row r="201">
      <c r="Q201">
        <f>IFERROR(INDEX(Objekte!$AF$2:$AF$201,MATCH($A201,Objekte!$AB$2:$AB$201,0)),"")</f>
        <v/>
      </c>
      <c r="R201">
        <f>IFERROR(INDEX(Objekte!$AD$2:$AD$201,MATCH($A201,Objekte!$AB$2:$AB$201,0)),"")</f>
        <v/>
      </c>
    </row>
    <row r="202">
      <c r="Q202">
        <f>IFERROR(INDEX(Objekte!$AF$2:$AF$201,MATCH($A202,Objekte!$AB$2:$AB$201,0)),"")</f>
        <v/>
      </c>
      <c r="R202">
        <f>IFERROR(INDEX(Objekte!$AD$2:$AD$201,MATCH($A202,Objekte!$AB$2:$AB$201,0)),"")</f>
        <v/>
      </c>
    </row>
    <row r="203">
      <c r="Q203">
        <f>IFERROR(INDEX(Objekte!$AF$2:$AF$201,MATCH($A203,Objekte!$AB$2:$AB$201,0)),"")</f>
        <v/>
      </c>
      <c r="R203">
        <f>IFERROR(INDEX(Objekte!$AD$2:$AD$201,MATCH($A203,Objekte!$AB$2:$AB$201,0)),"")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3" t="inlineStr">
        <is>
          <t>Einstellungen aus mallorca-ranking-v9.html (Stand 05.03.2026)</t>
        </is>
      </c>
    </row>
    <row r="3">
      <c r="A3" s="3" t="inlineStr">
        <is>
          <t>GEWICHTE (Summe = 100)</t>
        </is>
      </c>
    </row>
    <row r="4">
      <c r="A4" t="inlineStr">
        <is>
          <t>Zimmer &amp; Platz</t>
        </is>
      </c>
      <c r="B4" s="4" t="n">
        <v>20</v>
      </c>
    </row>
    <row r="5">
      <c r="A5" t="inlineStr">
        <is>
          <t>Preis/Budget</t>
        </is>
      </c>
      <c r="B5" s="4" t="n">
        <v>15</v>
      </c>
    </row>
    <row r="6">
      <c r="A6" t="inlineStr">
        <is>
          <t>Preis-Leistung (€/m²)</t>
        </is>
      </c>
      <c r="B6" s="4" t="n">
        <v>15</v>
      </c>
    </row>
    <row r="7">
      <c r="A7" t="inlineStr">
        <is>
          <t>Grundstück/Garten-Verhältnis</t>
        </is>
      </c>
      <c r="B7" s="4" t="n">
        <v>15</v>
      </c>
    </row>
    <row r="8">
      <c r="A8" t="inlineStr">
        <is>
          <t>Erreichbarkeit</t>
        </is>
      </c>
      <c r="B8" s="4" t="n">
        <v>10</v>
      </c>
    </row>
    <row r="9">
      <c r="A9" t="inlineStr">
        <is>
          <t>Vermietlizenz</t>
        </is>
      </c>
      <c r="B9" s="4" t="n">
        <v>10</v>
      </c>
    </row>
    <row r="10">
      <c r="A10" t="inlineStr">
        <is>
          <t>Charme / Ästhetik (1-5, manuell)</t>
        </is>
      </c>
      <c r="B10" s="4" t="n">
        <v>10</v>
      </c>
    </row>
    <row r="11">
      <c r="A11" t="inlineStr">
        <is>
          <t>Bewirtschaftung (1-5, 5=pflegeleicht)</t>
        </is>
      </c>
      <c r="B11" s="4" t="n">
        <v>5</v>
      </c>
    </row>
    <row r="12">
      <c r="A12" t="inlineStr">
        <is>
          <t>Renovierung (0-100)</t>
        </is>
      </c>
      <c r="B12" s="4" t="n">
        <v>0</v>
      </c>
    </row>
    <row r="13">
      <c r="A13" t="inlineStr">
        <is>
          <t>Gästehaus (0-2)</t>
        </is>
      </c>
      <c r="B13" s="4" t="n">
        <v>0</v>
      </c>
    </row>
    <row r="14">
      <c r="A14" s="3" t="inlineStr">
        <is>
          <t>Summe</t>
        </is>
      </c>
      <c r="B14" s="3">
        <f>SUM(B4:B13)</f>
        <v/>
      </c>
    </row>
    <row r="16">
      <c r="A16" s="3" t="inlineStr">
        <is>
          <t>ERREICHBARKEIT (Minuten)</t>
        </is>
      </c>
      <c r="B16" t="inlineStr">
        <is>
          <t>Ideal</t>
        </is>
      </c>
      <c r="C16" t="inlineStr">
        <is>
          <t>Akzeptabel</t>
        </is>
      </c>
      <c r="D16" t="inlineStr">
        <is>
          <t>Dealbreaker</t>
        </is>
      </c>
      <c r="E16" t="inlineStr">
        <is>
          <t>Gewicht intern %</t>
        </is>
      </c>
    </row>
    <row r="17">
      <c r="A17" t="inlineStr">
        <is>
          <t>Daia (Hotel Corazón)</t>
        </is>
      </c>
      <c r="B17" s="4" t="n">
        <v>20</v>
      </c>
      <c r="C17" s="4" t="n">
        <v>40</v>
      </c>
      <c r="D17" s="4" t="n">
        <v>70</v>
      </c>
      <c r="E17" s="4" t="n">
        <v>50</v>
      </c>
    </row>
    <row r="18">
      <c r="A18" t="inlineStr">
        <is>
          <t>Flughafen</t>
        </is>
      </c>
      <c r="B18" s="4" t="n">
        <v>15</v>
      </c>
      <c r="C18" s="4" t="n">
        <v>25</v>
      </c>
      <c r="D18" s="4" t="n">
        <v>40</v>
      </c>
      <c r="E18" s="4" t="n">
        <v>30</v>
      </c>
    </row>
    <row r="19">
      <c r="A19" t="inlineStr">
        <is>
          <t>Andratx</t>
        </is>
      </c>
      <c r="B19" s="4" t="n">
        <v>25</v>
      </c>
      <c r="C19" s="4" t="n">
        <v>40</v>
      </c>
      <c r="D19" s="4" t="n">
        <v>60</v>
      </c>
      <c r="E19" s="4" t="n">
        <v>15</v>
      </c>
    </row>
    <row r="20">
      <c r="A20" t="inlineStr">
        <is>
          <t>Ses Salines</t>
        </is>
      </c>
      <c r="B20" s="4" t="n">
        <v>15</v>
      </c>
      <c r="C20" s="4" t="n">
        <v>30</v>
      </c>
      <c r="D20" s="4" t="n">
        <v>45</v>
      </c>
      <c r="E20" s="4" t="n">
        <v>20</v>
      </c>
    </row>
    <row r="22">
      <c r="A22" s="3" t="inlineStr">
        <is>
          <t>ZIMMER</t>
        </is>
      </c>
    </row>
    <row r="23">
      <c r="A23" t="inlineStr">
        <is>
          <t>Minimum Zimmer</t>
        </is>
      </c>
      <c r="B23" s="4" t="n">
        <v>5</v>
      </c>
    </row>
    <row r="24">
      <c r="A24" t="inlineStr">
        <is>
          <t>Ideal Zimmer</t>
        </is>
      </c>
      <c r="B24" s="4" t="n">
        <v>8</v>
      </c>
    </row>
    <row r="26">
      <c r="A26" s="3" t="inlineStr">
        <is>
          <t>GRUNDSTÜCK &amp; GARTEN</t>
        </is>
      </c>
    </row>
    <row r="27">
      <c r="A27" t="inlineStr">
        <is>
          <t>Grundstück Min (m²)</t>
        </is>
      </c>
      <c r="B27" s="4" t="n">
        <v>3000</v>
      </c>
    </row>
    <row r="28">
      <c r="A28" t="inlineStr">
        <is>
          <t>Grundstück Ideal (m²)</t>
        </is>
      </c>
      <c r="B28" s="4" t="n">
        <v>15000</v>
      </c>
    </row>
    <row r="29">
      <c r="A29" t="inlineStr">
        <is>
          <t>Garten Min (m²)</t>
        </is>
      </c>
      <c r="B29" s="4" t="n">
        <v>1000</v>
      </c>
    </row>
    <row r="30">
      <c r="A30" t="inlineStr">
        <is>
          <t>Garten Ideal (m²)</t>
        </is>
      </c>
      <c r="B30" s="4" t="n">
        <v>5000</v>
      </c>
    </row>
    <row r="32">
      <c r="A32" s="3" t="inlineStr">
        <is>
          <t>GÄSTEHAUS</t>
        </is>
      </c>
    </row>
    <row r="33">
      <c r="A33" t="inlineStr">
        <is>
          <t>Minimum Gästehäuser</t>
        </is>
      </c>
      <c r="B33" s="4" t="n">
        <v>0</v>
      </c>
    </row>
    <row r="35">
      <c r="A35" s="3" t="inlineStr">
        <is>
          <t>BUDGET</t>
        </is>
      </c>
    </row>
    <row r="36">
      <c r="A36" t="inlineStr">
        <is>
          <t>Max Budget (€)</t>
        </is>
      </c>
      <c r="B36" s="4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2026-02-12T19:35:26Z</dcterms:created>
  <dcterms:modified xsi:type="dcterms:W3CDTF">2026-03-05T04:59:24Z</dcterms:modified>
</cp:coreProperties>
</file>