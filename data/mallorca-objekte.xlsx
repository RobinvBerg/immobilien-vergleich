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kte" sheetId="1" state="visible" r:id="rId1"/>
    <sheet name="Einstellungen" sheetId="2" state="visible" r:id="rId2"/>
    <sheet name="Rang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Ordnungsnummer</t>
        </is>
      </c>
      <c r="B1" s="1" t="inlineStr">
        <is>
          <t>Name</t>
        </is>
      </c>
      <c r="C1" s="1" t="inlineStr">
        <is>
          <t>Link Objekt (URL)</t>
        </is>
      </c>
      <c r="D1" s="1" t="inlineStr">
        <is>
          <t>Charme/Ästhetik (1-5)</t>
        </is>
      </c>
      <c r="E1" s="1" t="inlineStr">
        <is>
          <t>Zimmer</t>
        </is>
      </c>
      <c r="F1" s="1" t="inlineStr">
        <is>
          <t>Bäder</t>
        </is>
      </c>
      <c r="G1" s="1" t="inlineStr">
        <is>
          <t>Grundstücksgröße (m²)</t>
        </is>
      </c>
      <c r="H1" s="1" t="inlineStr">
        <is>
          <t>Bebaute Fläche (m²)</t>
        </is>
      </c>
      <c r="I1" s="1" t="inlineStr">
        <is>
          <t>Garten zu bewirtschaften (m²)</t>
        </is>
      </c>
      <c r="J1" s="1" t="inlineStr">
        <is>
          <t>Location</t>
        </is>
      </c>
      <c r="K1" s="1" t="inlineStr">
        <is>
          <t>Entfernung Flughafen (km)</t>
        </is>
      </c>
      <c r="L1" s="1" t="inlineStr">
        <is>
          <t>Entfernung Flughafen (min)</t>
        </is>
      </c>
      <c r="M1" s="1" t="inlineStr">
        <is>
          <t>Entfernung Daia Haus (km)</t>
        </is>
      </c>
      <c r="N1" s="1" t="inlineStr">
        <is>
          <t>Entfernung Daia Haus (min)</t>
        </is>
      </c>
      <c r="O1" s="1" t="inlineStr">
        <is>
          <t>Entfernung Andratx (km)</t>
        </is>
      </c>
      <c r="P1" s="1" t="inlineStr">
        <is>
          <t>Entfernung Andratx (min)</t>
        </is>
      </c>
      <c r="Q1" s="1" t="inlineStr">
        <is>
          <t>Preis (€)</t>
        </is>
      </c>
      <c r="R1" s="1" t="inlineStr">
        <is>
          <t>€/m² (bebaut)</t>
        </is>
      </c>
      <c r="S1" s="1" t="inlineStr">
        <is>
          <t>€/m² (Grundstück)</t>
        </is>
      </c>
      <c r="T1" s="1" t="inlineStr">
        <is>
          <t>Renovierung (0-100)</t>
        </is>
      </c>
      <c r="U1" s="1" t="inlineStr">
        <is>
          <t>Bewirtschaftung (1-5, 5=pflegeleicht)</t>
        </is>
      </c>
      <c r="V1" s="1" t="inlineStr">
        <is>
          <t>Vermietlizenz (100/50/0)</t>
        </is>
      </c>
      <c r="W1" s="1" t="inlineStr">
        <is>
          <t>Erreichbarkeit (0-100)</t>
        </is>
      </c>
      <c r="X1" s="1" t="inlineStr">
        <is>
          <t>Score (0-100)</t>
        </is>
      </c>
      <c r="Y1" s="1" t="inlineStr">
        <is>
          <t>SortKey (intern)</t>
        </is>
      </c>
      <c r="Z1" s="1" t="inlineStr">
        <is>
          <t>Rang</t>
        </is>
      </c>
      <c r="AA1" s="1" t="inlineStr">
        <is>
          <t>Gebäudestruktur</t>
        </is>
      </c>
      <c r="AB1" s="1" t="inlineStr">
        <is>
          <t>Baujahr (geschätzt)</t>
        </is>
      </c>
      <c r="AC1" t="inlineStr">
        <is>
          <t>Letzte Renovierung (geschätzt)</t>
        </is>
      </c>
      <c r="AD1" t="inlineStr">
        <is>
          <t>Reno-Score (0-100)</t>
        </is>
      </c>
      <c r="AE1" t="inlineStr">
        <is>
          <t>Reno-Begründung</t>
        </is>
      </c>
      <c r="AF1" t="inlineStr">
        <is>
          <t>Kommentar</t>
        </is>
      </c>
      <c r="AG1" t="inlineStr">
        <is>
          <t>Beschreibung</t>
        </is>
      </c>
    </row>
    <row r="2">
      <c r="A2" t="n">
        <v>1</v>
      </c>
      <c r="B2" t="inlineStr">
        <is>
          <t>Establiments — Das Volumen; 762m² zum Umdenken</t>
        </is>
      </c>
      <c r="C2" t="inlineStr">
        <is>
          <t>https://www.idealista.com/de/inmueble/106332052/mapa?utm_medium=socialmedia&amp;utm_campaign=private_sendadtofriend&amp;utm_source=copiedLink</t>
        </is>
      </c>
      <c r="D2" t="n">
        <v>4</v>
      </c>
      <c r="E2" t="n">
        <v>4</v>
      </c>
      <c r="F2" t="n">
        <v>5</v>
      </c>
      <c r="G2" t="n">
        <v>20262</v>
      </c>
      <c r="H2" t="n">
        <v>762</v>
      </c>
      <c r="I2" t="n">
        <v>19500</v>
      </c>
      <c r="J2" t="inlineStr">
        <is>
          <t>Establiments</t>
        </is>
      </c>
      <c r="K2" t="n">
        <v>16.5</v>
      </c>
      <c r="L2" t="n">
        <v>20</v>
      </c>
      <c r="M2" t="n">
        <v>30.5</v>
      </c>
      <c r="N2" t="n">
        <v>39</v>
      </c>
      <c r="O2" t="n">
        <v>34.1</v>
      </c>
      <c r="P2" t="n">
        <v>35</v>
      </c>
      <c r="Q2" t="n">
        <v>3600000</v>
      </c>
      <c r="R2" t="n">
        <v>4724</v>
      </c>
      <c r="S2" t="n">
        <v>178</v>
      </c>
      <c r="T2" t="n">
        <v>70</v>
      </c>
      <c r="U2" t="n">
        <v>3</v>
      </c>
      <c r="V2" t="n">
        <v>0</v>
      </c>
      <c r="W2" t="n">
        <v>90</v>
      </c>
      <c r="X2" t="n">
        <v>50</v>
      </c>
      <c r="Y2" t="n">
        <v>50020262781500.96</v>
      </c>
      <c r="Z2" t="n">
        <v>6</v>
      </c>
      <c r="AA2" t="inlineStr">
        <is>
          <t>Haupthaus (2 Stockwerke + Turm), große Terrassen</t>
        </is>
      </c>
      <c r="AB2" t="inlineStr">
        <is>
          <t>~1960s</t>
        </is>
      </c>
      <c r="AC2" t="inlineStr">
        <is>
          <t>~2022</t>
        </is>
      </c>
      <c r="AD2" t="n">
        <v>70</v>
      </c>
      <c r="AE2" t="inlineStr">
        <is>
          <t>Traditional country house, fully renovated with high-end kitchen (Gaggenau/Bora), modern open-plan layout. No build year listed suggests older structure. Excel comment notes 'Haupthaus (2 Stockwerke + Turm), große Terrassen'. Well-renovated but original structure is old. Old=4 → 70.</t>
        </is>
      </c>
      <c r="AG2" t="inlineStr">
        <is>
          <t>Riesig, tolle Lage — aber nur 4 Zimmer. Umbau nötig, dann ein Monster.</t>
        </is>
      </c>
    </row>
    <row r="3">
      <c r="A3" t="n">
        <v>2</v>
      </c>
      <c r="B3" t="inlineStr">
        <is>
          <t>Binissalem — Platz für alle; 8 Zimmer, endlose Gärten</t>
        </is>
      </c>
      <c r="C3" t="inlineStr">
        <is>
          <t>https://www.engelvoelkers.com/es/de/exposes/6971ac2a-f182-5703-a001-2c6f306cd2ae?utm_source=expose_sharing&amp;utm_medium=copy_link</t>
        </is>
      </c>
      <c r="D3" t="n">
        <v>4</v>
      </c>
      <c r="E3" t="n">
        <v>8</v>
      </c>
      <c r="F3" t="n">
        <v>6</v>
      </c>
      <c r="G3" t="n">
        <v>8261</v>
      </c>
      <c r="H3" t="n">
        <v>400</v>
      </c>
      <c r="I3" t="n">
        <v>7861</v>
      </c>
      <c r="J3" t="inlineStr">
        <is>
          <t>Binissalem</t>
        </is>
      </c>
      <c r="K3" t="n">
        <v>29</v>
      </c>
      <c r="L3" t="n">
        <v>24</v>
      </c>
      <c r="M3" t="n">
        <v>36.2</v>
      </c>
      <c r="N3" t="n">
        <v>42</v>
      </c>
      <c r="O3" t="n">
        <v>51.6</v>
      </c>
      <c r="P3" t="n">
        <v>42</v>
      </c>
      <c r="Q3" t="n">
        <v>3400000</v>
      </c>
      <c r="R3" t="n">
        <v>8500</v>
      </c>
      <c r="S3" t="n">
        <v>412</v>
      </c>
      <c r="T3" t="n">
        <v>72</v>
      </c>
      <c r="U3" t="n">
        <v>3</v>
      </c>
      <c r="V3" t="n">
        <v>0</v>
      </c>
      <c r="W3" t="n">
        <v>82</v>
      </c>
      <c r="X3" t="n">
        <v>57.5</v>
      </c>
      <c r="Y3" t="n">
        <v>57508261407861.96</v>
      </c>
      <c r="Z3" t="n">
        <v>3</v>
      </c>
      <c r="AA3" t="inlineStr">
        <is>
          <t>Haupthaus + 2 separate Gästehäuser</t>
        </is>
      </c>
      <c r="AB3" t="inlineStr">
        <is>
          <t>2002</t>
        </is>
      </c>
      <c r="AC3" t="inlineStr">
        <is>
          <t>~2022</t>
        </is>
      </c>
      <c r="AD3" t="n">
        <v>72</v>
      </c>
      <c r="AE3" t="inlineStr">
        <is>
          <t>Built 2002, comprehensively modernized with PV, Starlink, modern insulation. Condition rated 'Sehr gut'. Only 23 years old with full modernization. Excel: 'Sehr schön, evtl. Ausbaumöglichkeit'. Old=4 → 72.</t>
        </is>
      </c>
      <c r="AF3" t="inlineStr">
        <is>
          <t>Sehr schön, evtl. Ausbaumöglichkeit für zusätzliches Zimmer prüfen</t>
        </is>
      </c>
      <c r="AG3" t="inlineStr">
        <is>
          <t>Sommer im Garten, Großmutter zum Abendessen — alles nah, alles einfach.</t>
        </is>
      </c>
    </row>
    <row r="4">
      <c r="A4" t="n">
        <v>3</v>
      </c>
      <c r="B4" t="inlineStr">
        <is>
          <t>Establiments — Charme-Refugium; altes Steinhaus mit Charakter</t>
        </is>
      </c>
      <c r="C4" t="inlineStr">
        <is>
          <t>https://www.idealista.com/de/inmueble/106744049/foto/1/?utm_medium=socialmedia&amp;utm_campaign=private_sendadtofriend&amp;utm_source=copiedLink</t>
        </is>
      </c>
      <c r="D4" t="n">
        <v>5</v>
      </c>
      <c r="E4" t="n">
        <v>7</v>
      </c>
      <c r="F4" t="n">
        <v>7</v>
      </c>
      <c r="G4" t="n">
        <v>14393</v>
      </c>
      <c r="H4" t="n">
        <v>601</v>
      </c>
      <c r="I4" t="n">
        <v>13792</v>
      </c>
      <c r="J4" t="inlineStr">
        <is>
          <t>Establiments</t>
        </is>
      </c>
      <c r="K4" t="n">
        <v>16.5</v>
      </c>
      <c r="L4" t="n">
        <v>20</v>
      </c>
      <c r="M4" t="n">
        <v>30.5</v>
      </c>
      <c r="N4" t="n">
        <v>39</v>
      </c>
      <c r="O4" t="n">
        <v>34.1</v>
      </c>
      <c r="P4" t="n">
        <v>35</v>
      </c>
      <c r="Q4" t="n">
        <v>4500000</v>
      </c>
      <c r="R4" t="n">
        <v>7488</v>
      </c>
      <c r="S4" t="n">
        <v>313</v>
      </c>
      <c r="T4" t="n">
        <v>62</v>
      </c>
      <c r="U4" t="n">
        <v>2</v>
      </c>
      <c r="V4" t="n">
        <v>0</v>
      </c>
      <c r="W4" t="n">
        <v>90</v>
      </c>
      <c r="X4" t="n">
        <v>58.6</v>
      </c>
      <c r="Y4" t="n">
        <v>58614393614792.96</v>
      </c>
      <c r="Z4" t="n">
        <v>2</v>
      </c>
      <c r="AA4" t="inlineStr">
        <is>
          <t>Haupthaus (5 SZ, 6 Bäder) + unabhängiges Gästehaus (2 SZ, 1 Bad)</t>
        </is>
      </c>
      <c r="AB4" t="inlineStr">
        <is>
          <t>1980</t>
        </is>
      </c>
      <c r="AC4" t="inlineStr">
        <is>
          <t>~2015</t>
        </is>
      </c>
      <c r="AD4" t="n">
        <v>62</v>
      </c>
      <c r="AE4" t="inlineStr">
        <is>
          <t>Built 1980 (45 years old), maintained in Mallorcan country house style with modern amenities (underfloor heating, designer kitchen). Excel: 'Gute Raumanzahl + Gästehaus, innen nicht ganz überzeugend'. Interior not fully convincing suggests renovation is partial. Old=4 → 62.</t>
        </is>
      </c>
      <c r="AF4" t="inlineStr">
        <is>
          <t>Gute Raumanzahl + Gästehaus, innen nicht ganz überzeugend</t>
        </is>
      </c>
      <c r="AG4" t="inlineStr">
        <is>
          <t>Alte Mauern, warmes Licht — ein Haus das die Kinder nie vergessen werden.</t>
        </is>
      </c>
    </row>
    <row r="5">
      <c r="A5" t="n">
        <v>4</v>
      </c>
      <c r="B5" t="inlineStr">
        <is>
          <t>Palmanyola — Klein aber Wow; Designvilla vor den Toren Palmas</t>
        </is>
      </c>
      <c r="C5" t="inlineStr">
        <is>
          <t>https://www.idealista.com/de/inmueble/109708161/plano/2/?utm_medium=socialmedia&amp;utm_campaign=private_sendadtofriend&amp;utm_source=copiedLink</t>
        </is>
      </c>
      <c r="D5" t="n">
        <v>4</v>
      </c>
      <c r="E5" t="n">
        <v>5</v>
      </c>
      <c r="F5" t="n">
        <v>5</v>
      </c>
      <c r="G5" t="n">
        <v>2500</v>
      </c>
      <c r="H5" t="n">
        <v>670</v>
      </c>
      <c r="I5" t="n">
        <v>1830</v>
      </c>
      <c r="J5" t="inlineStr">
        <is>
          <t>Palmanyola</t>
        </is>
      </c>
      <c r="K5" t="n">
        <v>16.6</v>
      </c>
      <c r="L5" t="n">
        <v>16</v>
      </c>
      <c r="M5" t="n">
        <v>18</v>
      </c>
      <c r="N5" t="n">
        <v>23</v>
      </c>
      <c r="O5" t="n">
        <v>36.2</v>
      </c>
      <c r="P5" t="n">
        <v>32</v>
      </c>
      <c r="Q5" t="n">
        <v>5600000</v>
      </c>
      <c r="R5" t="n">
        <v>8358</v>
      </c>
      <c r="S5" t="n">
        <v>2240</v>
      </c>
      <c r="T5" t="n">
        <v>78</v>
      </c>
      <c r="U5" t="n">
        <v>4</v>
      </c>
      <c r="V5" t="n">
        <v>0</v>
      </c>
      <c r="W5" t="n">
        <v>99</v>
      </c>
      <c r="X5" t="n">
        <v>31.3</v>
      </c>
      <c r="Y5" t="n">
        <v>31302500671830.98</v>
      </c>
      <c r="Z5" t="n">
        <v>12</v>
      </c>
      <c r="AA5" t="inlineStr">
        <is>
          <t>Freistehendes Haus mit Pool und Garten</t>
        </is>
      </c>
      <c r="AB5" t="inlineStr">
        <is>
          <t>~1990s</t>
        </is>
      </c>
      <c r="AC5" t="inlineStr">
        <is>
          <t>~2024</t>
        </is>
      </c>
      <c r="AD5" t="n">
        <v>78</v>
      </c>
      <c r="AE5" t="inlineStr">
        <is>
          <t>Description explicitly says 'komplett kernsaniert' – complete core renovation. Modern open kitchen, fireplace, 2 floors with 670m². Excel old=3 probably reflected pre-renovation state or plot size concern ('Grundstück evtl. zu klein'). Actual condition is excellent post-renovation. → 78.</t>
        </is>
      </c>
      <c r="AF5" t="inlineStr">
        <is>
          <t>Sehr modern, Grundstück evtl. zu klein</t>
        </is>
      </c>
      <c r="AG5" t="inlineStr">
        <is>
          <t>Modern, sofort bezugsfertig, nah dran — aber Grundstück zu klein für drei Kinder.</t>
        </is>
      </c>
    </row>
    <row r="6">
      <c r="A6" t="n">
        <v>5</v>
      </c>
      <c r="B6" t="inlineStr">
        <is>
          <t>Santa Maria — Potenzial pur; Rohling in Traumlage</t>
        </is>
      </c>
      <c r="C6" t="inlineStr">
        <is>
          <t>https://www.idealista.com/de/inmueble/106300856/foto/17/?utm_medium=socialmedia&amp;utm_campaign=private_sendadtofriend&amp;utm_source=copiedLink</t>
        </is>
      </c>
      <c r="D6" t="n">
        <v>4</v>
      </c>
      <c r="E6" t="n">
        <v>5</v>
      </c>
      <c r="F6" t="n">
        <v>5</v>
      </c>
      <c r="G6" t="n">
        <v>29307</v>
      </c>
      <c r="H6" t="n">
        <v>500</v>
      </c>
      <c r="I6" t="n">
        <v>28807</v>
      </c>
      <c r="J6" t="inlineStr">
        <is>
          <t>Santa Maria del Cami</t>
        </is>
      </c>
      <c r="K6" t="n">
        <v>21</v>
      </c>
      <c r="L6" t="n">
        <v>16</v>
      </c>
      <c r="M6" t="n">
        <v>24.2</v>
      </c>
      <c r="N6" t="n">
        <v>32</v>
      </c>
      <c r="O6" t="n">
        <v>43.6</v>
      </c>
      <c r="P6" t="n">
        <v>34</v>
      </c>
      <c r="Q6" t="n">
        <v>4100000</v>
      </c>
      <c r="R6" t="n">
        <v>8200</v>
      </c>
      <c r="S6" t="n">
        <v>140</v>
      </c>
      <c r="T6" t="n">
        <v>48</v>
      </c>
      <c r="U6" t="n">
        <v>3</v>
      </c>
      <c r="V6" t="n">
        <v>0</v>
      </c>
      <c r="W6" t="n">
        <v>94</v>
      </c>
      <c r="X6" t="n">
        <v>43.5</v>
      </c>
      <c r="Y6" t="n">
        <v>43529307528807.97</v>
      </c>
      <c r="Z6" t="n">
        <v>10</v>
      </c>
      <c r="AA6" t="inlineStr">
        <is>
          <t>Landhaus mit Pool und Terrassen, teils unfertig</t>
        </is>
      </c>
      <c r="AB6" t="inlineStr">
        <is>
          <t>2024</t>
        </is>
      </c>
      <c r="AC6" t="inlineStr">
        <is>
          <t>n/a (new build)</t>
        </is>
      </c>
      <c r="AD6" t="n">
        <v>48</v>
      </c>
      <c r="AE6" t="inlineStr">
        <is>
          <t>New build 2024 but still under construction ('In Bearbeitung'). Excel: 'Gute Lage, einiges noch nicht fertig'. While the finished product will be new, incomplete status means uncertain timeline and finishing quality. Old=3 → 48.</t>
        </is>
      </c>
      <c r="AF6" t="inlineStr">
        <is>
          <t>Gute Lage, einiges noch nicht fertig</t>
        </is>
      </c>
      <c r="AG6" t="inlineStr">
        <is>
          <t>Traumlage, nah am Flughafen — aber unfertig. Mit kleinen Kindern erstmal stressig.</t>
        </is>
      </c>
    </row>
    <row r="7">
      <c r="A7" t="n">
        <v>6</v>
      </c>
      <c r="B7" t="inlineStr">
        <is>
          <t>Campos — Zum Selbermachen; ehrliche Finca, ehrlicher Preis</t>
        </is>
      </c>
      <c r="C7" t="inlineStr">
        <is>
          <t>https://www.idealista.com/de/inmueble/81539590/?utm_medium=socialmedia&amp;utm_campaign=private_sendadtofriend&amp;utm_source=copiedLink</t>
        </is>
      </c>
      <c r="D7" t="n">
        <v>4</v>
      </c>
      <c r="E7" t="n">
        <v>6</v>
      </c>
      <c r="F7" t="n">
        <v>5</v>
      </c>
      <c r="G7" t="n">
        <v>11700</v>
      </c>
      <c r="H7" t="n">
        <v>356</v>
      </c>
      <c r="I7" t="n">
        <v>11344</v>
      </c>
      <c r="J7" t="inlineStr">
        <is>
          <t>Campos</t>
        </is>
      </c>
      <c r="K7" t="n">
        <v>29.9</v>
      </c>
      <c r="L7" t="n">
        <v>21</v>
      </c>
      <c r="M7" t="n">
        <v>64.2</v>
      </c>
      <c r="N7" t="n">
        <v>57</v>
      </c>
      <c r="O7" t="n">
        <v>67.90000000000001</v>
      </c>
      <c r="P7" t="n">
        <v>50</v>
      </c>
      <c r="Q7" t="n">
        <v>2850000</v>
      </c>
      <c r="R7" t="n">
        <v>8006</v>
      </c>
      <c r="S7" t="n">
        <v>244</v>
      </c>
      <c r="T7" t="n">
        <v>50</v>
      </c>
      <c r="U7" t="n">
        <v>3</v>
      </c>
      <c r="V7" t="n">
        <v>0</v>
      </c>
      <c r="W7" t="n">
        <v>48</v>
      </c>
      <c r="X7" t="n">
        <v>44</v>
      </c>
      <c r="Y7" t="n">
        <v>44011700367344.95</v>
      </c>
      <c r="Z7" t="n">
        <v>9</v>
      </c>
      <c r="AA7" t="inlineStr">
        <is>
          <t>Modernes Landhaus mit großem Pool und Garten</t>
        </is>
      </c>
      <c r="AB7" t="inlineStr">
        <is>
          <t>~1990s</t>
        </is>
      </c>
      <c r="AC7" t="inlineStr">
        <is>
          <t>~2010</t>
        </is>
      </c>
      <c r="AD7" t="n">
        <v>50</v>
      </c>
      <c r="AE7" t="inlineStr">
        <is>
          <t>No build year, 'In Bearbeitung' status, no heating system. Excel: 'Interessante Substanz, viel Interior-Arbeit, evtl. günstiger'. Needs significant interior renovation work. Good bones but unfinished. Old=4 seems generous; actual condition warrants 50.</t>
        </is>
      </c>
      <c r="AF7" t="inlineStr">
        <is>
          <t>Interessante Substanz, viel Interior-Arbeit, evtl. günstiger</t>
        </is>
      </c>
      <c r="AG7" t="inlineStr">
        <is>
          <t>Solide Basis, fairer Preis — aber hier muss noch Hand angelegt werden.</t>
        </is>
      </c>
    </row>
    <row r="8">
      <c r="A8" t="n">
        <v>7</v>
      </c>
      <c r="B8" t="inlineStr">
        <is>
          <t>Sa Ràpita — Strandgold; aufwachen, Es Trenc, fertig</t>
        </is>
      </c>
      <c r="C8" t="inlineStr">
        <is>
          <t>https://www.idealista.com/de/inmueble/109467637/foto/18/?utm_medium=socialmedia&amp;utm_campaign=private_sendadtofriend&amp;utm_source=copiedLink</t>
        </is>
      </c>
      <c r="D8" t="n">
        <v>4</v>
      </c>
      <c r="E8" t="n">
        <v>5</v>
      </c>
      <c r="F8" t="n">
        <v>5</v>
      </c>
      <c r="G8" t="n">
        <v>30000</v>
      </c>
      <c r="H8" t="n">
        <v>533</v>
      </c>
      <c r="I8" t="n">
        <v>29467</v>
      </c>
      <c r="J8" t="inlineStr">
        <is>
          <t>Sa Ràpita</t>
        </is>
      </c>
      <c r="K8" t="n">
        <v>35</v>
      </c>
      <c r="L8" t="n">
        <v>28</v>
      </c>
      <c r="M8" t="n">
        <v>69.40000000000001</v>
      </c>
      <c r="N8" t="n">
        <v>64</v>
      </c>
      <c r="O8" t="n">
        <v>73.09999999999999</v>
      </c>
      <c r="P8" t="n">
        <v>58</v>
      </c>
      <c r="Q8" t="n">
        <v>3950000</v>
      </c>
      <c r="R8" t="n">
        <v>7411</v>
      </c>
      <c r="S8" t="n">
        <v>132</v>
      </c>
      <c r="T8" t="n">
        <v>68</v>
      </c>
      <c r="U8" t="n">
        <v>2</v>
      </c>
      <c r="V8" t="n">
        <v>0</v>
      </c>
      <c r="W8" t="n">
        <v>26</v>
      </c>
      <c r="X8" t="n">
        <v>37.4</v>
      </c>
      <c r="Y8" t="n">
        <v>37430000562467.94</v>
      </c>
      <c r="Z8" t="n">
        <v>11</v>
      </c>
      <c r="AA8" t="inlineStr">
        <is>
          <t>Haupthaus mit ausgedehntem Grundstück und Pool</t>
        </is>
      </c>
      <c r="AB8" t="inlineStr">
        <is>
          <t>2024</t>
        </is>
      </c>
      <c r="AC8" t="inlineStr">
        <is>
          <t>n/a (new build)</t>
        </is>
      </c>
      <c r="AD8" t="n">
        <v>68</v>
      </c>
      <c r="AE8" t="inlineStr">
        <is>
          <t>New build 2024 with modern design and natural elements. 30,000m² plot near Es Trenc beach. No 'In Bearbeitung' flag suggests more complete than Santa Maria property. Excel old=3 seems low for a 2024 new build; possibly reflected other concerns. → 68.</t>
        </is>
      </c>
      <c r="AF8" t="inlineStr">
        <is>
          <t>Nähe Es Trenc</t>
        </is>
      </c>
      <c r="AG8" t="inlineStr">
        <is>
          <t>Strand vor der Tür, perfekt für Sommer — aber über eine Stunde zum Familienhaus.</t>
        </is>
      </c>
    </row>
    <row r="9">
      <c r="A9" t="n">
        <v>8</v>
      </c>
      <c r="B9" t="inlineStr">
        <is>
          <t>Sa Ràpita — Vision 1800; 5 Hektar warten auf deine Handschrift</t>
        </is>
      </c>
      <c r="C9" t="inlineStr">
        <is>
          <t>https://www.idealista.com/de/inmueble/106134268/video/1/?utm_medium=socialmedia&amp;utm_campaign=private_sendadtofriend&amp;utm_source=copiedLink</t>
        </is>
      </c>
      <c r="D9" t="n">
        <v>3</v>
      </c>
      <c r="E9" t="n">
        <v>6</v>
      </c>
      <c r="F9" t="n">
        <v>3</v>
      </c>
      <c r="G9" t="n">
        <v>51000</v>
      </c>
      <c r="H9" t="n">
        <v>680</v>
      </c>
      <c r="I9" t="n">
        <v>50320</v>
      </c>
      <c r="J9" t="inlineStr">
        <is>
          <t>Sa Ràpita</t>
        </is>
      </c>
      <c r="K9" t="n">
        <v>35</v>
      </c>
      <c r="L9" t="n">
        <v>28</v>
      </c>
      <c r="M9" t="n">
        <v>69.40000000000001</v>
      </c>
      <c r="N9" t="n">
        <v>64</v>
      </c>
      <c r="O9" t="n">
        <v>73.09999999999999</v>
      </c>
      <c r="P9" t="n">
        <v>58</v>
      </c>
      <c r="Q9" t="n">
        <v>2950000</v>
      </c>
      <c r="R9" t="n">
        <v>4338</v>
      </c>
      <c r="S9" t="n">
        <v>58</v>
      </c>
      <c r="T9" t="n">
        <v>30</v>
      </c>
      <c r="U9" t="n">
        <v>4</v>
      </c>
      <c r="V9" t="n">
        <v>0</v>
      </c>
      <c r="W9" t="n">
        <v>26</v>
      </c>
      <c r="X9" t="n">
        <v>49.3</v>
      </c>
      <c r="Y9" t="n">
        <v>49351000730320.94</v>
      </c>
      <c r="Z9" t="n">
        <v>7</v>
      </c>
      <c r="AA9" t="inlineStr">
        <is>
          <t>Haus mit Pool in ruhiger Lage</t>
        </is>
      </c>
      <c r="AB9" t="inlineStr">
        <is>
          <t>1800</t>
        </is>
      </c>
      <c r="AC9" t="inlineStr">
        <is>
          <t>unknown</t>
        </is>
      </c>
      <c r="AD9" t="n">
        <v>30</v>
      </c>
      <c r="AE9" t="inlineStr">
        <is>
          <t>Built around 1800 – over 200 years old. 'In Bearbeitung' and Excel says 'Hier könnte sich Mathieu verwirklichen' (creative project). Traditional Mallorcan farmhouse needing significant work. Described as 'gut erhalten' (well-maintained) but very old. Old=3 → 30.</t>
        </is>
      </c>
      <c r="AF9" t="inlineStr">
        <is>
          <t>Hier könnte sich Mathieu verwirklichen 😉</t>
        </is>
      </c>
      <c r="AG9" t="inlineStr">
        <is>
          <t>Für Visionäre — aber nichts für 6 Wochen im Jahr. Ehrlich gesagt: zu viel Projekt.</t>
        </is>
      </c>
    </row>
    <row r="10">
      <c r="A10" t="n">
        <v>9</v>
      </c>
      <c r="B10" t="inlineStr">
        <is>
          <t>Sencelles — 13 Hektar Paradies; dein eigenes Landgut</t>
        </is>
      </c>
      <c r="C10" t="inlineStr">
        <is>
          <t>https://ev-mallorca.com/en/mallorca-property/excellent-estate-with-its-own-vineyard-olive-grove-and-incredible-charm-W-02Q8YG</t>
        </is>
      </c>
      <c r="D10" t="n">
        <v>5</v>
      </c>
      <c r="E10" t="n">
        <v>6</v>
      </c>
      <c r="F10" t="n">
        <v>5</v>
      </c>
      <c r="G10" t="n">
        <v>132500</v>
      </c>
      <c r="H10" t="n">
        <v>682</v>
      </c>
      <c r="I10" t="n">
        <v>131818</v>
      </c>
      <c r="J10" t="inlineStr">
        <is>
          <t>Sencelles</t>
        </is>
      </c>
      <c r="K10" t="n">
        <v>31.7</v>
      </c>
      <c r="L10" t="n">
        <v>26</v>
      </c>
      <c r="M10" t="n">
        <v>38.9</v>
      </c>
      <c r="N10" t="n">
        <v>44</v>
      </c>
      <c r="O10" t="n">
        <v>54.3</v>
      </c>
      <c r="P10" t="n">
        <v>45</v>
      </c>
      <c r="Q10" t="n">
        <v>3900000</v>
      </c>
      <c r="R10" t="n">
        <v>5718</v>
      </c>
      <c r="S10" t="n">
        <v>29</v>
      </c>
      <c r="T10" t="n">
        <v>85</v>
      </c>
      <c r="U10" t="n">
        <v>2</v>
      </c>
      <c r="V10" t="n">
        <v>50</v>
      </c>
      <c r="W10" t="n">
        <v>77</v>
      </c>
      <c r="X10" t="n">
        <v>59.8</v>
      </c>
      <c r="Y10" t="n">
        <v>59932500813818.95</v>
      </c>
      <c r="Z10" t="n">
        <v>1</v>
      </c>
      <c r="AA10" t="inlineStr">
        <is>
          <t>Haupthaus + Gästeapartment + Studio, Weinberg &amp; Olivenhain</t>
        </is>
      </c>
      <c r="AB10" t="inlineStr">
        <is>
          <t>1890</t>
        </is>
      </c>
      <c r="AC10" t="inlineStr">
        <is>
          <t>~2020</t>
        </is>
      </c>
      <c r="AD10" t="n">
        <v>85</v>
      </c>
      <c r="AE10" t="inlineStr">
        <is>
          <t>Built 1890 but rated neuwertig (5) in Excel. Must have undergone comprehensive luxury renovation. 132,000m²+ estate with vineyard and olive grove. The 'incredible charm' title plus neuwertig rating suggests top-quality restoration. Historic character + modern luxury. → 85.</t>
        </is>
      </c>
      <c r="AG10" t="inlineStr">
        <is>
          <t>So viel Platz, dass sich drei kleine Entdecker darin verlaufen können.</t>
        </is>
      </c>
    </row>
    <row r="11">
      <c r="A11" t="n">
        <v>10</v>
      </c>
      <c r="B11" t="inlineStr">
        <is>
          <t>Ses Salines — Neubau Deluxe; einziehen und leben</t>
        </is>
      </c>
      <c r="C11" t="inlineStr">
        <is>
          <t>https://ev-mallorca.com/en/mallorca-property/unique-designer-house-in-a-quiet-location-W-0475DS</t>
        </is>
      </c>
      <c r="D11" t="n">
        <v>5</v>
      </c>
      <c r="E11" t="n">
        <v>5</v>
      </c>
      <c r="F11" t="n">
        <v>5</v>
      </c>
      <c r="G11" t="n">
        <v>23800</v>
      </c>
      <c r="H11" t="n">
        <v>399</v>
      </c>
      <c r="I11" t="n">
        <v>23401</v>
      </c>
      <c r="J11" t="inlineStr">
        <is>
          <t>Ses Salines</t>
        </is>
      </c>
      <c r="K11" t="n">
        <v>42.2</v>
      </c>
      <c r="L11" t="n">
        <v>34</v>
      </c>
      <c r="M11" t="n">
        <v>76.5</v>
      </c>
      <c r="N11" t="n">
        <v>70</v>
      </c>
      <c r="O11" t="n">
        <v>80.2</v>
      </c>
      <c r="P11" t="n">
        <v>63</v>
      </c>
      <c r="Q11" t="n">
        <v>5450000</v>
      </c>
      <c r="R11" t="n">
        <v>13659</v>
      </c>
      <c r="S11" t="n">
        <v>229</v>
      </c>
      <c r="T11" t="n">
        <v>98</v>
      </c>
      <c r="U11" t="n">
        <v>4</v>
      </c>
      <c r="V11" t="n">
        <v>0</v>
      </c>
      <c r="W11" t="n">
        <v>20</v>
      </c>
      <c r="X11" t="n">
        <v>31</v>
      </c>
      <c r="Y11" t="n">
        <v>31023800422401.93</v>
      </c>
      <c r="Z11" t="n">
        <v>13</v>
      </c>
      <c r="AA11" t="inlineStr">
        <is>
          <t>Einzelgebäude (einstöckig), Neubau 2025</t>
        </is>
      </c>
      <c r="AB11" t="inlineStr">
        <is>
          <t>2025</t>
        </is>
      </c>
      <c r="AC11" t="inlineStr">
        <is>
          <t>n/a (new build)</t>
        </is>
      </c>
      <c r="AD11" t="n">
        <v>98</v>
      </c>
      <c r="AE11" t="inlineStr">
        <is>
          <t>Brand new construction 2025. Designer house, single-story, quiet location. As new as it gets. Old=5 → 98.</t>
        </is>
      </c>
      <c r="AG11" t="inlineStr">
        <is>
          <t>Koffer abstellen, fertig. Aber weit vom Familienhaus und über Budget.</t>
        </is>
      </c>
    </row>
    <row r="12">
      <c r="A12" t="n">
        <v>11</v>
      </c>
      <c r="B12" t="inlineStr">
        <is>
          <t>Moscari — Architekten-Traum; Design trifft Serra de Tramuntana</t>
        </is>
      </c>
      <c r="C12" t="inlineStr">
        <is>
          <t>https://ev-mallorca.com/en/mallorca-property/where-contemporary-design-blends-in-perfect-harmony-with-the-mediterranean-landscape-W-02NQDS</t>
        </is>
      </c>
      <c r="D12" t="n">
        <v>5</v>
      </c>
      <c r="E12" t="n">
        <v>5</v>
      </c>
      <c r="F12" t="n">
        <v>5</v>
      </c>
      <c r="G12" t="n">
        <v>19811</v>
      </c>
      <c r="H12" t="n">
        <v>832</v>
      </c>
      <c r="I12" t="n">
        <v>18979</v>
      </c>
      <c r="J12" t="inlineStr">
        <is>
          <t>Moscari</t>
        </is>
      </c>
      <c r="K12" t="n">
        <v>46.3</v>
      </c>
      <c r="L12" t="n">
        <v>34</v>
      </c>
      <c r="M12" t="n">
        <v>53.5</v>
      </c>
      <c r="N12" t="n">
        <v>52</v>
      </c>
      <c r="O12" t="n">
        <v>68.90000000000001</v>
      </c>
      <c r="P12" t="n">
        <v>52</v>
      </c>
      <c r="Q12" t="n">
        <v>3950000</v>
      </c>
      <c r="R12" t="n">
        <v>4748</v>
      </c>
      <c r="S12" t="n">
        <v>199</v>
      </c>
      <c r="T12" t="n">
        <v>92</v>
      </c>
      <c r="U12" t="n">
        <v>4</v>
      </c>
      <c r="V12" t="n">
        <v>0</v>
      </c>
      <c r="W12" t="n">
        <v>48</v>
      </c>
      <c r="X12" t="n">
        <v>48.8</v>
      </c>
      <c r="Y12" t="n">
        <v>48819811850979.95</v>
      </c>
      <c r="Z12" t="n">
        <v>8</v>
      </c>
      <c r="AA12" t="inlineStr">
        <is>
          <t>Haupthaus + separater Gästebereich</t>
        </is>
      </c>
      <c r="AB12" t="inlineStr">
        <is>
          <t>2018</t>
        </is>
      </c>
      <c r="AC12" t="inlineStr">
        <is>
          <t>n/a</t>
        </is>
      </c>
      <c r="AD12" t="n">
        <v>92</v>
      </c>
      <c r="AE12" t="inlineStr">
        <is>
          <t>Built 2018, only 8 years old. Contemporary design, large 832m² living area. Wheelchair accessible and senior-oriented suggests high-spec modern build. Excel: 'Haupthaus + separater Gästebereich'. Old=5 → 92.</t>
        </is>
      </c>
      <c r="AG12" t="inlineStr">
        <is>
          <t>Aufwachen mit Bergblick, einschlafen mit Stille — aber weit weg vom Familienhaus.</t>
        </is>
      </c>
    </row>
    <row r="13">
      <c r="A13" t="n">
        <v>12</v>
      </c>
      <c r="B13" t="inlineStr">
        <is>
          <t>Campos — Finca mit Lizenz; 14 Hektar mallorquinischer Traum</t>
        </is>
      </c>
      <c r="C13" t="inlineStr">
        <is>
          <t>https://ev-mallorca.com/en/mallorca-property/dreamlike-finca-with-rental-license-near-es-trenc-W-02ZICD</t>
        </is>
      </c>
      <c r="D13" t="n">
        <v>4</v>
      </c>
      <c r="E13" t="n">
        <v>6</v>
      </c>
      <c r="F13" t="n">
        <v>6</v>
      </c>
      <c r="G13" t="n">
        <v>14200</v>
      </c>
      <c r="H13" t="n">
        <v>436</v>
      </c>
      <c r="I13" t="n">
        <v>13764</v>
      </c>
      <c r="J13" t="inlineStr">
        <is>
          <t>Campos</t>
        </is>
      </c>
      <c r="K13" t="n">
        <v>30.6</v>
      </c>
      <c r="L13" t="n">
        <v>23</v>
      </c>
      <c r="M13" t="n">
        <v>64.2</v>
      </c>
      <c r="N13" t="n">
        <v>57</v>
      </c>
      <c r="O13" t="n">
        <v>67.90000000000001</v>
      </c>
      <c r="P13" t="n">
        <v>50</v>
      </c>
      <c r="Q13" t="n">
        <v>3490000</v>
      </c>
      <c r="R13" t="n">
        <v>8005</v>
      </c>
      <c r="S13" t="n">
        <v>246</v>
      </c>
      <c r="T13" t="n">
        <v>65</v>
      </c>
      <c r="U13" t="n">
        <v>2</v>
      </c>
      <c r="V13" t="n">
        <v>100</v>
      </c>
      <c r="W13" t="n">
        <v>47</v>
      </c>
      <c r="X13" t="n">
        <v>54.4</v>
      </c>
      <c r="Y13" t="n">
        <v>54414200449764.95</v>
      </c>
      <c r="Z13" t="n">
        <v>4</v>
      </c>
      <c r="AA13" t="inlineStr">
        <is>
          <t>Haupthaus + separater Gebäudeteil (L-Form), Sportanlagen</t>
        </is>
      </c>
      <c r="AB13" t="inlineStr">
        <is>
          <t>1997</t>
        </is>
      </c>
      <c r="AC13" t="inlineStr">
        <is>
          <t>2014</t>
        </is>
      </c>
      <c r="AD13" t="n">
        <v>65</v>
      </c>
      <c r="AE13" t="inlineStr">
        <is>
          <t>Built 1997, last restored 2014 (12 years ago). Well-equipped with PV, underfloor heating, A/C. Sports facilities. But restoration is over a decade old now. Excel: 'Haupthaus + separater Gebäudeteil (L-Form), Sportanlagen'. Old=4 → 65.</t>
        </is>
      </c>
      <c r="AG13" t="inlineStr">
        <is>
          <t>Vermieten wenn ihr nicht da seid, ankommen wenn ihr wollt — die Finca rechnet sich.</t>
        </is>
      </c>
    </row>
    <row r="14">
      <c r="A14" t="n">
        <v>13</v>
      </c>
      <c r="B14" t="inlineStr">
        <is>
          <t>Bunyola — Berglage mit Lizenz; Tramuntana vor der Tür</t>
        </is>
      </c>
      <c r="C14" t="inlineStr">
        <is>
          <t>https://www.idealista.com/inmueble/110322709/</t>
        </is>
      </c>
      <c r="D14" t="n">
        <v>5</v>
      </c>
      <c r="E14" t="n">
        <v>6</v>
      </c>
      <c r="F14" t="n">
        <v>5</v>
      </c>
      <c r="G14" t="n">
        <v>14785</v>
      </c>
      <c r="H14" t="n">
        <v>355</v>
      </c>
      <c r="J14" t="inlineStr">
        <is>
          <t>Bunyola</t>
        </is>
      </c>
      <c r="K14" t="n">
        <v>23.8</v>
      </c>
      <c r="L14" t="n">
        <v>20</v>
      </c>
      <c r="M14" t="n">
        <v>14.8</v>
      </c>
      <c r="N14" t="n">
        <v>20</v>
      </c>
      <c r="O14" t="n">
        <v>46.4</v>
      </c>
      <c r="P14" t="n">
        <v>38</v>
      </c>
      <c r="Q14" t="n">
        <v>3500000</v>
      </c>
      <c r="R14" t="n">
        <v>9859</v>
      </c>
      <c r="S14" t="n">
        <v>237</v>
      </c>
      <c r="T14" t="n">
        <v>70</v>
      </c>
      <c r="U14" t="n">
        <v>3</v>
      </c>
      <c r="V14" t="n">
        <v>100</v>
      </c>
      <c r="W14" t="n">
        <v>96</v>
      </c>
      <c r="X14" t="n">
        <v>51.2</v>
      </c>
      <c r="Y14" t="n">
        <v>51214785355000.98</v>
      </c>
      <c r="Z14" t="n">
        <v>5</v>
      </c>
      <c r="AA14" t="inlineStr">
        <is>
          <t>Haupthaus + Gästehaus (70m²) + Turm (30m²)</t>
        </is>
      </c>
      <c r="AB14" t="inlineStr">
        <is>
          <t>2008</t>
        </is>
      </c>
      <c r="AC14" t="inlineStr">
        <is>
          <t>unknown</t>
        </is>
      </c>
      <c r="AD14" t="n">
        <v>70</v>
      </c>
      <c r="AE14" t="inlineStr">
        <is>
          <t>Built 2008 (18 years old), good condition ('buen estado'). Single-story, 6 rooms, 5 baths. Excel: 'Haupthaus + Gästehaus (70m²) + Turm (30m²)'. Solid build age with good condition rating. Old=4 → 70.</t>
        </is>
      </c>
      <c r="AG14" t="inlineStr">
        <is>
          <t>20 Minuten zum Familienhaus, Berge vor der Tür, Gäste im Haus — alles gleichzeitig.</t>
        </is>
      </c>
    </row>
    <row r="15">
      <c r="A15" t="n">
        <v>14</v>
      </c>
      <c r="D15" t="n">
        <v>5</v>
      </c>
      <c r="R15">
        <f>IFERROR(IF($Q15="","",$Q15/$H15),"")</f>
        <v/>
      </c>
      <c r="S15">
        <f>IFERROR(IF($Q15="","",$Q15/$G15),"")</f>
        <v/>
      </c>
      <c r="T15" t="n">
        <v>4</v>
      </c>
      <c r="U15" t="n">
        <v>3</v>
      </c>
      <c r="W15">
        <f>IF(AND($L15="",$N15="",$P15=""),"",ROUND((IF($L15="",0,IF($L15&lt;=Einstellungen!$B$16,100,IF($L15&lt;=Einstellungen!$C$16,80+(100-80)*(Einstellungen!$C$16-$L15)/(Einstellungen!$C$16-Einstellungen!$B$16),IF($L15&lt;=Einstellungen!$D$16,80*(Einstellungen!$D$16-$L15)/(Einstellungen!$D$16-Einstellungen!$C$16),0))))*Einstellungen!$E$16+IF($N15="",0,IF($N15&lt;=Einstellungen!$B$17,100,IF($N15&lt;=Einstellungen!$C$17,80+(100-80)*(Einstellungen!$C$17-$N15)/(Einstellungen!$C$17-Einstellungen!$B$17),IF($N15&lt;=Einstellungen!$D$17,80*(Einstellungen!$D$17-$N15)/(Einstellungen!$D$17-Einstellungen!$C$17),0))))*Einstellungen!$E$17+IF($P15="",0,IF($P15&lt;=Einstellungen!$B$18,100,IF($P15&lt;=Einstellungen!$C$18,80+(100-80)*(Einstellungen!$C$18-$P15)/(Einstellungen!$C$18-Einstellungen!$B$18),IF($P15&lt;=Einstellungen!$D$18,80*(Einstellungen!$D$18-$P15)/(Einstellungen!$D$18-Einstellungen!$C$18),0))))*Einstellungen!$E$18)/(Einstellungen!$E$16+Einstellungen!$E$17+Einstellungen!$E$18),0))</f>
        <v/>
      </c>
      <c r="X15">
        <f>IF(AND($E15="",$D15="",$G15="",$V15="",$Q15="",$T15="",$W15="",$U15=""),"",ROUND(IF($E15="",0,IF($E15&lt;Einstellungen!$B$21,0,IF($E15&gt;=Einstellungen!$B$22,100,($E15-Einstellungen!$B$21)/(Einstellungen!$B$22-Einstellungen!$B$21)*100)))/100*Einstellungen!$B$5+IF($W15="",0,$W15/100)*Einstellungen!$B$6+(IF($G15="",0,MAX(0,MIN(100,($G15-Einstellungen!$B$25)/(Einstellungen!$B$26-Einstellungen!$B$25)*100)))+IF($I15="",0,MAX(0,MIN(100,($I15-Einstellungen!$B$27)/(Einstellungen!$B$28-Einstellungen!$B$27)*100))))/2/100*Einstellungen!$B$7+IF($V15="",0,$V15/100)*Einstellungen!$B$8+IF($R15="",0,MAX(0,MIN(100,(Einstellungen!$B$32-$R15)/(Einstellungen!$B$32-Einstellungen!$B$31)*100)))/100*Einstellungen!$B$9+IF($D15="",0,$D15/5*100)/100*Einstellungen!$B$10+IF($AD15="",0,$AD15)/100*Einstellungen!$B$11+IF($U15="",0,$U15/5*100)/100*Einstellungen!$B$12,0))</f>
        <v/>
      </c>
      <c r="Y15">
        <f>IF($X15="","",$X15*1000000000000+IF($G15="",0,$G15)*1000000+IF($H15="",0,$H15)*1000+IF($I15="",0,$I15)+IF($N15="",0,MAX(0,1000-$N15))/1000+IF($A15="",0,$A15)/1000000)</f>
        <v/>
      </c>
      <c r="Z15">
        <f>IF($Y15="","",_xludf.RANK.EQ($Y15,$Y$2:$Y$201,0))</f>
        <v/>
      </c>
      <c r="AA15" t="inlineStr">
        <is>
          <t>Unabhängiges Chalet mit Pool und Bergblick</t>
        </is>
      </c>
    </row>
    <row r="16">
      <c r="R16">
        <f>IFERROR(IF($Q16="","",$Q16/$H16),"")</f>
        <v/>
      </c>
      <c r="S16">
        <f>IFERROR(IF($Q16="","",$Q16/$G16),"")</f>
        <v/>
      </c>
      <c r="W16">
        <f>IF(AND($L16="",$N16="",$P16=""),"",ROUND((IF($L16="",0,IF($L16&lt;=Einstellungen!$B$16,100,IF($L16&lt;=Einstellungen!$C$16,80+(100-80)*(Einstellungen!$C$16-$L16)/(Einstellungen!$C$16-Einstellungen!$B$16),IF($L16&lt;=Einstellungen!$D$16,80*(Einstellungen!$D$16-$L16)/(Einstellungen!$D$16-Einstellungen!$C$16),0))))*Einstellungen!$E$16+IF($N16="",0,IF($N16&lt;=Einstellungen!$B$17,100,IF($N16&lt;=Einstellungen!$C$17,80+(100-80)*(Einstellungen!$C$17-$N16)/(Einstellungen!$C$17-Einstellungen!$B$17),IF($N16&lt;=Einstellungen!$D$17,80*(Einstellungen!$D$17-$N16)/(Einstellungen!$D$17-Einstellungen!$C$17),0))))*Einstellungen!$E$17+IF($P16="",0,IF($P16&lt;=Einstellungen!$B$18,100,IF($P16&lt;=Einstellungen!$C$18,80+(100-80)*(Einstellungen!$C$18-$P16)/(Einstellungen!$C$18-Einstellungen!$B$18),IF($P16&lt;=Einstellungen!$D$18,80*(Einstellungen!$D$18-$P16)/(Einstellungen!$D$18-Einstellungen!$C$18),0))))*Einstellungen!$E$18)/(Einstellungen!$E$16+Einstellungen!$E$17+Einstellungen!$E$18),0))</f>
        <v/>
      </c>
      <c r="X16">
        <f>IF(AND($E16="",$D16="",$G16="",$V16="",$Q16="",$T16="",$W16="",$U16=""),"",ROUND(IF($E16="",0,IF($E16&lt;Einstellungen!$B$21,0,IF($E16&gt;=Einstellungen!$B$22,100,($E16-Einstellungen!$B$21)/(Einstellungen!$B$22-Einstellungen!$B$21)*100)))/100*Einstellungen!$B$5+IF($W16="",0,$W16/100)*Einstellungen!$B$6+(IF($G16="",0,MAX(0,MIN(100,($G16-Einstellungen!$B$25)/(Einstellungen!$B$26-Einstellungen!$B$25)*100)))+IF($I16="",0,MAX(0,MIN(100,($I16-Einstellungen!$B$27)/(Einstellungen!$B$28-Einstellungen!$B$27)*100))))/2/100*Einstellungen!$B$7+IF($V16="",0,$V16/100)*Einstellungen!$B$8+IF($R16="",0,MAX(0,MIN(100,(Einstellungen!$B$32-$R16)/(Einstellungen!$B$32-Einstellungen!$B$31)*100)))/100*Einstellungen!$B$9+IF($D16="",0,$D16/5*100)/100*Einstellungen!$B$10+IF($AD16="",0,$AD16)/100*Einstellungen!$B$11+IF($U16="",0,$U16/5*100)/100*Einstellungen!$B$12,0))</f>
        <v/>
      </c>
      <c r="Y16">
        <f>IF($X16="","",$X16*1000000000000+IF($G16="",0,$G16)*1000000+IF($H16="",0,$H16)*1000+IF($I16="",0,$I16)+IF($N16="",0,MAX(0,1000-$N16))/1000+IF($A16="",0,$A16)/1000000)</f>
        <v/>
      </c>
      <c r="Z16">
        <f>IF($Y16="","",_xludf.RANK.EQ($Y16,$Y$2:$Y$201,0))</f>
        <v/>
      </c>
    </row>
    <row r="17">
      <c r="R17">
        <f>IFERROR(IF($Q17="","",$Q17/$H17),"")</f>
        <v/>
      </c>
      <c r="S17">
        <f>IFERROR(IF($Q17="","",$Q17/$G17),"")</f>
        <v/>
      </c>
      <c r="W17">
        <f>IF(AND($L17="",$N17="",$P17=""),"",ROUND((IF($L17="",0,IF($L17&lt;=Einstellungen!$B$16,100,IF($L17&lt;=Einstellungen!$C$16,80+(100-80)*(Einstellungen!$C$16-$L17)/(Einstellungen!$C$16-Einstellungen!$B$16),IF($L17&lt;=Einstellungen!$D$16,80*(Einstellungen!$D$16-$L17)/(Einstellungen!$D$16-Einstellungen!$C$16),0))))*Einstellungen!$E$16+IF($N17="",0,IF($N17&lt;=Einstellungen!$B$17,100,IF($N17&lt;=Einstellungen!$C$17,80+(100-80)*(Einstellungen!$C$17-$N17)/(Einstellungen!$C$17-Einstellungen!$B$17),IF($N17&lt;=Einstellungen!$D$17,80*(Einstellungen!$D$17-$N17)/(Einstellungen!$D$17-Einstellungen!$C$17),0))))*Einstellungen!$E$17+IF($P17="",0,IF($P17&lt;=Einstellungen!$B$18,100,IF($P17&lt;=Einstellungen!$C$18,80+(100-80)*(Einstellungen!$C$18-$P17)/(Einstellungen!$C$18-Einstellungen!$B$18),IF($P17&lt;=Einstellungen!$D$18,80*(Einstellungen!$D$18-$P17)/(Einstellungen!$D$18-Einstellungen!$C$18),0))))*Einstellungen!$E$18)/(Einstellungen!$E$16+Einstellungen!$E$17+Einstellungen!$E$18),0))</f>
        <v/>
      </c>
      <c r="X17">
        <f>IF(AND($E17="",$D17="",$G17="",$V17="",$Q17="",$T17="",$W17="",$U17=""),"",ROUND(IF($E17="",0,IF($E17&lt;Einstellungen!$B$21,0,IF($E17&gt;=Einstellungen!$B$22,100,($E17-Einstellungen!$B$21)/(Einstellungen!$B$22-Einstellungen!$B$21)*100)))/100*Einstellungen!$B$5+IF($W17="",0,$W17/100)*Einstellungen!$B$6+(IF($G17="",0,MAX(0,MIN(100,($G17-Einstellungen!$B$25)/(Einstellungen!$B$26-Einstellungen!$B$25)*100)))+IF($I17="",0,MAX(0,MIN(100,($I17-Einstellungen!$B$27)/(Einstellungen!$B$28-Einstellungen!$B$27)*100))))/2/100*Einstellungen!$B$7+IF($V17="",0,$V17/100)*Einstellungen!$B$8+IF($R17="",0,MAX(0,MIN(100,(Einstellungen!$B$32-$R17)/(Einstellungen!$B$32-Einstellungen!$B$31)*100)))/100*Einstellungen!$B$9+IF($D17="",0,$D17/5*100)/100*Einstellungen!$B$10+IF($AD17="",0,$AD17)/100*Einstellungen!$B$11+IF($U17="",0,$U17/5*100)/100*Einstellungen!$B$12,0))</f>
        <v/>
      </c>
      <c r="Y17">
        <f>IF($X17="","",$X17*1000000000000+IF($G17="",0,$G17)*1000000+IF($H17="",0,$H17)*1000+IF($I17="",0,$I17)+IF($N17="",0,MAX(0,1000-$N17))/1000+IF($A17="",0,$A17)/1000000)</f>
        <v/>
      </c>
      <c r="Z17">
        <f>IF($Y17="","",_xludf.RANK.EQ($Y17,$Y$2:$Y$201,0))</f>
        <v/>
      </c>
    </row>
    <row r="18">
      <c r="R18">
        <f>IFERROR(IF($Q18="","",$Q18/$H18),"")</f>
        <v/>
      </c>
      <c r="S18">
        <f>IFERROR(IF($Q18="","",$Q18/$G18),"")</f>
        <v/>
      </c>
      <c r="W18">
        <f>IF(AND($L18="",$N18="",$P18=""),"",ROUND((IF($L18="",0,IF($L18&lt;=Einstellungen!$B$16,100,IF($L18&lt;=Einstellungen!$C$16,80+(100-80)*(Einstellungen!$C$16-$L18)/(Einstellungen!$C$16-Einstellungen!$B$16),IF($L18&lt;=Einstellungen!$D$16,80*(Einstellungen!$D$16-$L18)/(Einstellungen!$D$16-Einstellungen!$C$16),0))))*Einstellungen!$E$16+IF($N18="",0,IF($N18&lt;=Einstellungen!$B$17,100,IF($N18&lt;=Einstellungen!$C$17,80+(100-80)*(Einstellungen!$C$17-$N18)/(Einstellungen!$C$17-Einstellungen!$B$17),IF($N18&lt;=Einstellungen!$D$17,80*(Einstellungen!$D$17-$N18)/(Einstellungen!$D$17-Einstellungen!$C$17),0))))*Einstellungen!$E$17+IF($P18="",0,IF($P18&lt;=Einstellungen!$B$18,100,IF($P18&lt;=Einstellungen!$C$18,80+(100-80)*(Einstellungen!$C$18-$P18)/(Einstellungen!$C$18-Einstellungen!$B$18),IF($P18&lt;=Einstellungen!$D$18,80*(Einstellungen!$D$18-$P18)/(Einstellungen!$D$18-Einstellungen!$C$18),0))))*Einstellungen!$E$18)/(Einstellungen!$E$16+Einstellungen!$E$17+Einstellungen!$E$18),0))</f>
        <v/>
      </c>
      <c r="X18">
        <f>IF(AND($E18="",$D18="",$G18="",$V18="",$Q18="",$T18="",$W18="",$U18=""),"",ROUND(IF($E18="",0,IF($E18&lt;Einstellungen!$B$21,0,IF($E18&gt;=Einstellungen!$B$22,100,($E18-Einstellungen!$B$21)/(Einstellungen!$B$22-Einstellungen!$B$21)*100)))/100*Einstellungen!$B$5+IF($W18="",0,$W18/100)*Einstellungen!$B$6+(IF($G18="",0,MAX(0,MIN(100,($G18-Einstellungen!$B$25)/(Einstellungen!$B$26-Einstellungen!$B$25)*100)))+IF($I18="",0,MAX(0,MIN(100,($I18-Einstellungen!$B$27)/(Einstellungen!$B$28-Einstellungen!$B$27)*100))))/2/100*Einstellungen!$B$7+IF($V18="",0,$V18/100)*Einstellungen!$B$8+IF($R18="",0,MAX(0,MIN(100,(Einstellungen!$B$32-$R18)/(Einstellungen!$B$32-Einstellungen!$B$31)*100)))/100*Einstellungen!$B$9+IF($D18="",0,$D18/5*100)/100*Einstellungen!$B$10+IF($AD18="",0,$AD18)/100*Einstellungen!$B$11+IF($U18="",0,$U18/5*100)/100*Einstellungen!$B$12,0))</f>
        <v/>
      </c>
      <c r="Y18">
        <f>IF($X18="","",$X18*1000000000000+IF($G18="",0,$G18)*1000000+IF($H18="",0,$H18)*1000+IF($I18="",0,$I18)+IF($N18="",0,MAX(0,1000-$N18))/1000+IF($A18="",0,$A18)/1000000)</f>
        <v/>
      </c>
      <c r="Z18">
        <f>IF($Y18="","",_xludf.RANK.EQ($Y18,$Y$2:$Y$201,0))</f>
        <v/>
      </c>
    </row>
    <row r="19">
      <c r="R19">
        <f>IFERROR(IF($Q19="","",$Q19/$H19),"")</f>
        <v/>
      </c>
      <c r="S19">
        <f>IFERROR(IF($Q19="","",$Q19/$G19),"")</f>
        <v/>
      </c>
      <c r="W19">
        <f>IF(AND($L19="",$N19="",$P19=""),"",ROUND((IF($L19="",0,IF($L19&lt;=Einstellungen!$B$16,100,IF($L19&lt;=Einstellungen!$C$16,80+(100-80)*(Einstellungen!$C$16-$L19)/(Einstellungen!$C$16-Einstellungen!$B$16),IF($L19&lt;=Einstellungen!$D$16,80*(Einstellungen!$D$16-$L19)/(Einstellungen!$D$16-Einstellungen!$C$16),0))))*Einstellungen!$E$16+IF($N19="",0,IF($N19&lt;=Einstellungen!$B$17,100,IF($N19&lt;=Einstellungen!$C$17,80+(100-80)*(Einstellungen!$C$17-$N19)/(Einstellungen!$C$17-Einstellungen!$B$17),IF($N19&lt;=Einstellungen!$D$17,80*(Einstellungen!$D$17-$N19)/(Einstellungen!$D$17-Einstellungen!$C$17),0))))*Einstellungen!$E$17+IF($P19="",0,IF($P19&lt;=Einstellungen!$B$18,100,IF($P19&lt;=Einstellungen!$C$18,80+(100-80)*(Einstellungen!$C$18-$P19)/(Einstellungen!$C$18-Einstellungen!$B$18),IF($P19&lt;=Einstellungen!$D$18,80*(Einstellungen!$D$18-$P19)/(Einstellungen!$D$18-Einstellungen!$C$18),0))))*Einstellungen!$E$18)/(Einstellungen!$E$16+Einstellungen!$E$17+Einstellungen!$E$18),0))</f>
        <v/>
      </c>
      <c r="X19">
        <f>IF(AND($E19="",$D19="",$G19="",$V19="",$Q19="",$T19="",$W19="",$U19=""),"",ROUND(IF($E19="",0,IF($E19&lt;Einstellungen!$B$21,0,IF($E19&gt;=Einstellungen!$B$22,100,($E19-Einstellungen!$B$21)/(Einstellungen!$B$22-Einstellungen!$B$21)*100)))/100*Einstellungen!$B$5+IF($W19="",0,$W19/100)*Einstellungen!$B$6+(IF($G19="",0,MAX(0,MIN(100,($G19-Einstellungen!$B$25)/(Einstellungen!$B$26-Einstellungen!$B$25)*100)))+IF($I19="",0,MAX(0,MIN(100,($I19-Einstellungen!$B$27)/(Einstellungen!$B$28-Einstellungen!$B$27)*100))))/2/100*Einstellungen!$B$7+IF($V19="",0,$V19/100)*Einstellungen!$B$8+IF($R19="",0,MAX(0,MIN(100,(Einstellungen!$B$32-$R19)/(Einstellungen!$B$32-Einstellungen!$B$31)*100)))/100*Einstellungen!$B$9+IF($D19="",0,$D19/5*100)/100*Einstellungen!$B$10+IF($AD19="",0,$AD19)/100*Einstellungen!$B$11+IF($U19="",0,$U19/5*100)/100*Einstellungen!$B$12,0))</f>
        <v/>
      </c>
      <c r="Y19">
        <f>IF($X19="","",$X19*1000000000000+IF($G19="",0,$G19)*1000000+IF($H19="",0,$H19)*1000+IF($I19="",0,$I19)+IF($N19="",0,MAX(0,1000-$N19))/1000+IF($A19="",0,$A19)/1000000)</f>
        <v/>
      </c>
      <c r="Z19">
        <f>IF($Y19="","",_xludf.RANK.EQ($Y19,$Y$2:$Y$201,0))</f>
        <v/>
      </c>
    </row>
    <row r="20">
      <c r="R20">
        <f>IFERROR(IF($Q20="","",$Q20/$H20),"")</f>
        <v/>
      </c>
      <c r="S20">
        <f>IFERROR(IF($Q20="","",$Q20/$G20),"")</f>
        <v/>
      </c>
      <c r="W20">
        <f>IF(AND($L20="",$N20="",$P20=""),"",ROUND((IF($L20="",0,IF($L20&lt;=Einstellungen!$B$16,100,IF($L20&lt;=Einstellungen!$C$16,80+(100-80)*(Einstellungen!$C$16-$L20)/(Einstellungen!$C$16-Einstellungen!$B$16),IF($L20&lt;=Einstellungen!$D$16,80*(Einstellungen!$D$16-$L20)/(Einstellungen!$D$16-Einstellungen!$C$16),0))))*Einstellungen!$E$16+IF($N20="",0,IF($N20&lt;=Einstellungen!$B$17,100,IF($N20&lt;=Einstellungen!$C$17,80+(100-80)*(Einstellungen!$C$17-$N20)/(Einstellungen!$C$17-Einstellungen!$B$17),IF($N20&lt;=Einstellungen!$D$17,80*(Einstellungen!$D$17-$N20)/(Einstellungen!$D$17-Einstellungen!$C$17),0))))*Einstellungen!$E$17+IF($P20="",0,IF($P20&lt;=Einstellungen!$B$18,100,IF($P20&lt;=Einstellungen!$C$18,80+(100-80)*(Einstellungen!$C$18-$P20)/(Einstellungen!$C$18-Einstellungen!$B$18),IF($P20&lt;=Einstellungen!$D$18,80*(Einstellungen!$D$18-$P20)/(Einstellungen!$D$18-Einstellungen!$C$18),0))))*Einstellungen!$E$18)/(Einstellungen!$E$16+Einstellungen!$E$17+Einstellungen!$E$18),0))</f>
        <v/>
      </c>
      <c r="X20">
        <f>IF(AND($E20="",$D20="",$G20="",$V20="",$Q20="",$T20="",$W20="",$U20=""),"",ROUND(IF($E20="",0,IF($E20&lt;Einstellungen!$B$21,0,IF($E20&gt;=Einstellungen!$B$22,100,($E20-Einstellungen!$B$21)/(Einstellungen!$B$22-Einstellungen!$B$21)*100)))/100*Einstellungen!$B$5+IF($W20="",0,$W20/100)*Einstellungen!$B$6+(IF($G20="",0,MAX(0,MIN(100,($G20-Einstellungen!$B$25)/(Einstellungen!$B$26-Einstellungen!$B$25)*100)))+IF($I20="",0,MAX(0,MIN(100,($I20-Einstellungen!$B$27)/(Einstellungen!$B$28-Einstellungen!$B$27)*100))))/2/100*Einstellungen!$B$7+IF($V20="",0,$V20/100)*Einstellungen!$B$8+IF($R20="",0,MAX(0,MIN(100,(Einstellungen!$B$32-$R20)/(Einstellungen!$B$32-Einstellungen!$B$31)*100)))/100*Einstellungen!$B$9+IF($D20="",0,$D20/5*100)/100*Einstellungen!$B$10+IF($AD20="",0,$AD20)/100*Einstellungen!$B$11+IF($U20="",0,$U20/5*100)/100*Einstellungen!$B$12,0))</f>
        <v/>
      </c>
      <c r="Y20">
        <f>IF($X20="","",$X20*1000000000000+IF($G20="",0,$G20)*1000000+IF($H20="",0,$H20)*1000+IF($I20="",0,$I20)+IF($N20="",0,MAX(0,1000-$N20))/1000+IF($A20="",0,$A20)/1000000)</f>
        <v/>
      </c>
      <c r="Z20">
        <f>IF($Y20="","",_xludf.RANK.EQ($Y20,$Y$2:$Y$201,0))</f>
        <v/>
      </c>
    </row>
    <row r="21">
      <c r="R21">
        <f>IFERROR(IF($Q21="","",$Q21/$H21),"")</f>
        <v/>
      </c>
      <c r="S21">
        <f>IFERROR(IF($Q21="","",$Q21/$G21),"")</f>
        <v/>
      </c>
      <c r="W21">
        <f>IF(AND($L21="",$N21="",$P21=""),"",ROUND((IF($L21="",0,IF($L21&lt;=Einstellungen!$B$16,100,IF($L21&lt;=Einstellungen!$C$16,80+(100-80)*(Einstellungen!$C$16-$L21)/(Einstellungen!$C$16-Einstellungen!$B$16),IF($L21&lt;=Einstellungen!$D$16,80*(Einstellungen!$D$16-$L21)/(Einstellungen!$D$16-Einstellungen!$C$16),0))))*Einstellungen!$E$16+IF($N21="",0,IF($N21&lt;=Einstellungen!$B$17,100,IF($N21&lt;=Einstellungen!$C$17,80+(100-80)*(Einstellungen!$C$17-$N21)/(Einstellungen!$C$17-Einstellungen!$B$17),IF($N21&lt;=Einstellungen!$D$17,80*(Einstellungen!$D$17-$N21)/(Einstellungen!$D$17-Einstellungen!$C$17),0))))*Einstellungen!$E$17+IF($P21="",0,IF($P21&lt;=Einstellungen!$B$18,100,IF($P21&lt;=Einstellungen!$C$18,80+(100-80)*(Einstellungen!$C$18-$P21)/(Einstellungen!$C$18-Einstellungen!$B$18),IF($P21&lt;=Einstellungen!$D$18,80*(Einstellungen!$D$18-$P21)/(Einstellungen!$D$18-Einstellungen!$C$18),0))))*Einstellungen!$E$18)/(Einstellungen!$E$16+Einstellungen!$E$17+Einstellungen!$E$18),0))</f>
        <v/>
      </c>
      <c r="X21">
        <f>IF(AND($E21="",$D21="",$G21="",$V21="",$Q21="",$T21="",$W21="",$U21=""),"",ROUND(IF($E21="",0,IF($E21&lt;Einstellungen!$B$21,0,IF($E21&gt;=Einstellungen!$B$22,100,($E21-Einstellungen!$B$21)/(Einstellungen!$B$22-Einstellungen!$B$21)*100)))/100*Einstellungen!$B$5+IF($W21="",0,$W21/100)*Einstellungen!$B$6+(IF($G21="",0,MAX(0,MIN(100,($G21-Einstellungen!$B$25)/(Einstellungen!$B$26-Einstellungen!$B$25)*100)))+IF($I21="",0,MAX(0,MIN(100,($I21-Einstellungen!$B$27)/(Einstellungen!$B$28-Einstellungen!$B$27)*100))))/2/100*Einstellungen!$B$7+IF($V21="",0,$V21/100)*Einstellungen!$B$8+IF($R21="",0,MAX(0,MIN(100,(Einstellungen!$B$32-$R21)/(Einstellungen!$B$32-Einstellungen!$B$31)*100)))/100*Einstellungen!$B$9+IF($D21="",0,$D21/5*100)/100*Einstellungen!$B$10+IF($AD21="",0,$AD21)/100*Einstellungen!$B$11+IF($U21="",0,$U21/5*100)/100*Einstellungen!$B$12,0))</f>
        <v/>
      </c>
      <c r="Y21">
        <f>IF($X21="","",$X21*1000000000000+IF($G21="",0,$G21)*1000000+IF($H21="",0,$H21)*1000+IF($I21="",0,$I21)+IF($N21="",0,MAX(0,1000-$N21))/1000+IF($A21="",0,$A21)/1000000)</f>
        <v/>
      </c>
      <c r="Z21">
        <f>IF($Y21="","",_xludf.RANK.EQ($Y21,$Y$2:$Y$201,0))</f>
        <v/>
      </c>
    </row>
    <row r="22">
      <c r="R22">
        <f>IFERROR(IF($Q22="","",$Q22/$H22),"")</f>
        <v/>
      </c>
      <c r="S22">
        <f>IFERROR(IF($Q22="","",$Q22/$G22),"")</f>
        <v/>
      </c>
      <c r="W22">
        <f>IF(AND($L22="",$N22="",$P22=""),"",ROUND((IF($L22="",0,IF($L22&lt;=Einstellungen!$B$16,100,IF($L22&lt;=Einstellungen!$C$16,80+(100-80)*(Einstellungen!$C$16-$L22)/(Einstellungen!$C$16-Einstellungen!$B$16),IF($L22&lt;=Einstellungen!$D$16,80*(Einstellungen!$D$16-$L22)/(Einstellungen!$D$16-Einstellungen!$C$16),0))))*Einstellungen!$E$16+IF($N22="",0,IF($N22&lt;=Einstellungen!$B$17,100,IF($N22&lt;=Einstellungen!$C$17,80+(100-80)*(Einstellungen!$C$17-$N22)/(Einstellungen!$C$17-Einstellungen!$B$17),IF($N22&lt;=Einstellungen!$D$17,80*(Einstellungen!$D$17-$N22)/(Einstellungen!$D$17-Einstellungen!$C$17),0))))*Einstellungen!$E$17+IF($P22="",0,IF($P22&lt;=Einstellungen!$B$18,100,IF($P22&lt;=Einstellungen!$C$18,80+(100-80)*(Einstellungen!$C$18-$P22)/(Einstellungen!$C$18-Einstellungen!$B$18),IF($P22&lt;=Einstellungen!$D$18,80*(Einstellungen!$D$18-$P22)/(Einstellungen!$D$18-Einstellungen!$C$18),0))))*Einstellungen!$E$18)/(Einstellungen!$E$16+Einstellungen!$E$17+Einstellungen!$E$18),0))</f>
        <v/>
      </c>
      <c r="X22">
        <f>IF(AND($E22="",$D22="",$G22="",$V22="",$Q22="",$T22="",$W22="",$U22=""),"",ROUND(IF($E22="",0,IF($E22&lt;Einstellungen!$B$21,0,IF($E22&gt;=Einstellungen!$B$22,100,($E22-Einstellungen!$B$21)/(Einstellungen!$B$22-Einstellungen!$B$21)*100)))/100*Einstellungen!$B$5+IF($W22="",0,$W22/100)*Einstellungen!$B$6+(IF($G22="",0,MAX(0,MIN(100,($G22-Einstellungen!$B$25)/(Einstellungen!$B$26-Einstellungen!$B$25)*100)))+IF($I22="",0,MAX(0,MIN(100,($I22-Einstellungen!$B$27)/(Einstellungen!$B$28-Einstellungen!$B$27)*100))))/2/100*Einstellungen!$B$7+IF($V22="",0,$V22/100)*Einstellungen!$B$8+IF($R22="",0,MAX(0,MIN(100,(Einstellungen!$B$32-$R22)/(Einstellungen!$B$32-Einstellungen!$B$31)*100)))/100*Einstellungen!$B$9+IF($D22="",0,$D22/5*100)/100*Einstellungen!$B$10+IF($AD22="",0,$AD22)/100*Einstellungen!$B$11+IF($U22="",0,$U22/5*100)/100*Einstellungen!$B$12,0))</f>
        <v/>
      </c>
      <c r="Y22">
        <f>IF($X22="","",$X22*1000000000000+IF($G22="",0,$G22)*1000000+IF($H22="",0,$H22)*1000+IF($I22="",0,$I22)+IF($N22="",0,MAX(0,1000-$N22))/1000+IF($A22="",0,$A22)/1000000)</f>
        <v/>
      </c>
      <c r="Z22">
        <f>IF($Y22="","",_xludf.RANK.EQ($Y22,$Y$2:$Y$201,0))</f>
        <v/>
      </c>
    </row>
    <row r="23">
      <c r="R23">
        <f>IFERROR(IF($Q23="","",$Q23/$H23),"")</f>
        <v/>
      </c>
      <c r="S23">
        <f>IFERROR(IF($Q23="","",$Q23/$G23),"")</f>
        <v/>
      </c>
      <c r="W23">
        <f>IF(AND($L23="",$N23="",$P23=""),"",ROUND((IF($L23="",0,IF($L23&lt;=Einstellungen!$B$16,100,IF($L23&lt;=Einstellungen!$C$16,80+(100-80)*(Einstellungen!$C$16-$L23)/(Einstellungen!$C$16-Einstellungen!$B$16),IF($L23&lt;=Einstellungen!$D$16,80*(Einstellungen!$D$16-$L23)/(Einstellungen!$D$16-Einstellungen!$C$16),0))))*Einstellungen!$E$16+IF($N23="",0,IF($N23&lt;=Einstellungen!$B$17,100,IF($N23&lt;=Einstellungen!$C$17,80+(100-80)*(Einstellungen!$C$17-$N23)/(Einstellungen!$C$17-Einstellungen!$B$17),IF($N23&lt;=Einstellungen!$D$17,80*(Einstellungen!$D$17-$N23)/(Einstellungen!$D$17-Einstellungen!$C$17),0))))*Einstellungen!$E$17+IF($P23="",0,IF($P23&lt;=Einstellungen!$B$18,100,IF($P23&lt;=Einstellungen!$C$18,80+(100-80)*(Einstellungen!$C$18-$P23)/(Einstellungen!$C$18-Einstellungen!$B$18),IF($P23&lt;=Einstellungen!$D$18,80*(Einstellungen!$D$18-$P23)/(Einstellungen!$D$18-Einstellungen!$C$18),0))))*Einstellungen!$E$18)/(Einstellungen!$E$16+Einstellungen!$E$17+Einstellungen!$E$18),0))</f>
        <v/>
      </c>
      <c r="X23">
        <f>IF(AND($E23="",$D23="",$G23="",$V23="",$Q23="",$T23="",$W23="",$U23=""),"",ROUND(IF($E23="",0,IF($E23&lt;Einstellungen!$B$21,0,IF($E23&gt;=Einstellungen!$B$22,100,($E23-Einstellungen!$B$21)/(Einstellungen!$B$22-Einstellungen!$B$21)*100)))/100*Einstellungen!$B$5+IF($W23="",0,$W23/100)*Einstellungen!$B$6+(IF($G23="",0,MAX(0,MIN(100,($G23-Einstellungen!$B$25)/(Einstellungen!$B$26-Einstellungen!$B$25)*100)))+IF($I23="",0,MAX(0,MIN(100,($I23-Einstellungen!$B$27)/(Einstellungen!$B$28-Einstellungen!$B$27)*100))))/2/100*Einstellungen!$B$7+IF($V23="",0,$V23/100)*Einstellungen!$B$8+IF($R23="",0,MAX(0,MIN(100,(Einstellungen!$B$32-$R23)/(Einstellungen!$B$32-Einstellungen!$B$31)*100)))/100*Einstellungen!$B$9+IF($D23="",0,$D23/5*100)/100*Einstellungen!$B$10+IF($AD23="",0,$AD23)/100*Einstellungen!$B$11+IF($U23="",0,$U23/5*100)/100*Einstellungen!$B$12,0))</f>
        <v/>
      </c>
      <c r="Y23">
        <f>IF($X23="","",$X23*1000000000000+IF($G23="",0,$G23)*1000000+IF($H23="",0,$H23)*1000+IF($I23="",0,$I23)+IF($N23="",0,MAX(0,1000-$N23))/1000+IF($A23="",0,$A23)/1000000)</f>
        <v/>
      </c>
      <c r="Z23">
        <f>IF($Y23="","",_xludf.RANK.EQ($Y23,$Y$2:$Y$201,0))</f>
        <v/>
      </c>
    </row>
    <row r="24">
      <c r="R24">
        <f>IFERROR(IF($Q24="","",$Q24/$H24),"")</f>
        <v/>
      </c>
      <c r="S24">
        <f>IFERROR(IF($Q24="","",$Q24/$G24),"")</f>
        <v/>
      </c>
      <c r="W24">
        <f>IF(AND($L24="",$N24="",$P24=""),"",ROUND((IF($L24="",0,IF($L24&lt;=Einstellungen!$B$16,100,IF($L24&lt;=Einstellungen!$C$16,80+(100-80)*(Einstellungen!$C$16-$L24)/(Einstellungen!$C$16-Einstellungen!$B$16),IF($L24&lt;=Einstellungen!$D$16,80*(Einstellungen!$D$16-$L24)/(Einstellungen!$D$16-Einstellungen!$C$16),0))))*Einstellungen!$E$16+IF($N24="",0,IF($N24&lt;=Einstellungen!$B$17,100,IF($N24&lt;=Einstellungen!$C$17,80+(100-80)*(Einstellungen!$C$17-$N24)/(Einstellungen!$C$17-Einstellungen!$B$17),IF($N24&lt;=Einstellungen!$D$17,80*(Einstellungen!$D$17-$N24)/(Einstellungen!$D$17-Einstellungen!$C$17),0))))*Einstellungen!$E$17+IF($P24="",0,IF($P24&lt;=Einstellungen!$B$18,100,IF($P24&lt;=Einstellungen!$C$18,80+(100-80)*(Einstellungen!$C$18-$P24)/(Einstellungen!$C$18-Einstellungen!$B$18),IF($P24&lt;=Einstellungen!$D$18,80*(Einstellungen!$D$18-$P24)/(Einstellungen!$D$18-Einstellungen!$C$18),0))))*Einstellungen!$E$18)/(Einstellungen!$E$16+Einstellungen!$E$17+Einstellungen!$E$18),0))</f>
        <v/>
      </c>
      <c r="X24">
        <f>IF(AND($E24="",$D24="",$G24="",$V24="",$Q24="",$T24="",$W24="",$U24=""),"",ROUND(IF($E24="",0,IF($E24&lt;Einstellungen!$B$21,0,IF($E24&gt;=Einstellungen!$B$22,100,($E24-Einstellungen!$B$21)/(Einstellungen!$B$22-Einstellungen!$B$21)*100)))/100*Einstellungen!$B$5+IF($W24="",0,$W24/100)*Einstellungen!$B$6+(IF($G24="",0,MAX(0,MIN(100,($G24-Einstellungen!$B$25)/(Einstellungen!$B$26-Einstellungen!$B$25)*100)))+IF($I24="",0,MAX(0,MIN(100,($I24-Einstellungen!$B$27)/(Einstellungen!$B$28-Einstellungen!$B$27)*100))))/2/100*Einstellungen!$B$7+IF($V24="",0,$V24/100)*Einstellungen!$B$8+IF($R24="",0,MAX(0,MIN(100,(Einstellungen!$B$32-$R24)/(Einstellungen!$B$32-Einstellungen!$B$31)*100)))/100*Einstellungen!$B$9+IF($D24="",0,$D24/5*100)/100*Einstellungen!$B$10+IF($AD24="",0,$AD24)/100*Einstellungen!$B$11+IF($U24="",0,$U24/5*100)/100*Einstellungen!$B$12,0))</f>
        <v/>
      </c>
      <c r="Y24">
        <f>IF($X24="","",$X24*1000000000000+IF($G24="",0,$G24)*1000000+IF($H24="",0,$H24)*1000+IF($I24="",0,$I24)+IF($N24="",0,MAX(0,1000-$N24))/1000+IF($A24="",0,$A24)/1000000)</f>
        <v/>
      </c>
      <c r="Z24">
        <f>IF($Y24="","",_xludf.RANK.EQ($Y24,$Y$2:$Y$201,0))</f>
        <v/>
      </c>
    </row>
    <row r="25">
      <c r="R25">
        <f>IFERROR(IF($Q25="","",$Q25/$H25),"")</f>
        <v/>
      </c>
      <c r="S25">
        <f>IFERROR(IF($Q25="","",$Q25/$G25),"")</f>
        <v/>
      </c>
      <c r="W25">
        <f>IF(AND($L25="",$N25="",$P25=""),"",ROUND((IF($L25="",0,IF($L25&lt;=Einstellungen!$B$16,100,IF($L25&lt;=Einstellungen!$C$16,80+(100-80)*(Einstellungen!$C$16-$L25)/(Einstellungen!$C$16-Einstellungen!$B$16),IF($L25&lt;=Einstellungen!$D$16,80*(Einstellungen!$D$16-$L25)/(Einstellungen!$D$16-Einstellungen!$C$16),0))))*Einstellungen!$E$16+IF($N25="",0,IF($N25&lt;=Einstellungen!$B$17,100,IF($N25&lt;=Einstellungen!$C$17,80+(100-80)*(Einstellungen!$C$17-$N25)/(Einstellungen!$C$17-Einstellungen!$B$17),IF($N25&lt;=Einstellungen!$D$17,80*(Einstellungen!$D$17-$N25)/(Einstellungen!$D$17-Einstellungen!$C$17),0))))*Einstellungen!$E$17+IF($P25="",0,IF($P25&lt;=Einstellungen!$B$18,100,IF($P25&lt;=Einstellungen!$C$18,80+(100-80)*(Einstellungen!$C$18-$P25)/(Einstellungen!$C$18-Einstellungen!$B$18),IF($P25&lt;=Einstellungen!$D$18,80*(Einstellungen!$D$18-$P25)/(Einstellungen!$D$18-Einstellungen!$C$18),0))))*Einstellungen!$E$18)/(Einstellungen!$E$16+Einstellungen!$E$17+Einstellungen!$E$18),0))</f>
        <v/>
      </c>
      <c r="X25">
        <f>IF(AND($E25="",$D25="",$G25="",$V25="",$Q25="",$T25="",$W25="",$U25=""),"",ROUND(IF($E25="",0,IF($E25&lt;Einstellungen!$B$21,0,IF($E25&gt;=Einstellungen!$B$22,100,($E25-Einstellungen!$B$21)/(Einstellungen!$B$22-Einstellungen!$B$21)*100)))/100*Einstellungen!$B$5+IF($W25="",0,$W25/100)*Einstellungen!$B$6+(IF($G25="",0,MAX(0,MIN(100,($G25-Einstellungen!$B$25)/(Einstellungen!$B$26-Einstellungen!$B$25)*100)))+IF($I25="",0,MAX(0,MIN(100,($I25-Einstellungen!$B$27)/(Einstellungen!$B$28-Einstellungen!$B$27)*100))))/2/100*Einstellungen!$B$7+IF($V25="",0,$V25/100)*Einstellungen!$B$8+IF($R25="",0,MAX(0,MIN(100,(Einstellungen!$B$32-$R25)/(Einstellungen!$B$32-Einstellungen!$B$31)*100)))/100*Einstellungen!$B$9+IF($D25="",0,$D25/5*100)/100*Einstellungen!$B$10+IF($AD25="",0,$AD25)/100*Einstellungen!$B$11+IF($U25="",0,$U25/5*100)/100*Einstellungen!$B$12,0))</f>
        <v/>
      </c>
      <c r="Y25">
        <f>IF($X25="","",$X25*1000000000000+IF($G25="",0,$G25)*1000000+IF($H25="",0,$H25)*1000+IF($I25="",0,$I25)+IF($N25="",0,MAX(0,1000-$N25))/1000+IF($A25="",0,$A25)/1000000)</f>
        <v/>
      </c>
      <c r="Z25">
        <f>IF($Y25="","",_xludf.RANK.EQ($Y25,$Y$2:$Y$201,0))</f>
        <v/>
      </c>
    </row>
    <row r="26">
      <c r="R26">
        <f>IFERROR(IF($Q26="","",$Q26/$H26),"")</f>
        <v/>
      </c>
      <c r="S26">
        <f>IFERROR(IF($Q26="","",$Q26/$G26),"")</f>
        <v/>
      </c>
      <c r="W26">
        <f>IF(AND($L26="",$N26="",$P26=""),"",ROUND((IF($L26="",0,IF($L26&lt;=Einstellungen!$B$16,100,IF($L26&lt;=Einstellungen!$C$16,80+(100-80)*(Einstellungen!$C$16-$L26)/(Einstellungen!$C$16-Einstellungen!$B$16),IF($L26&lt;=Einstellungen!$D$16,80*(Einstellungen!$D$16-$L26)/(Einstellungen!$D$16-Einstellungen!$C$16),0))))*Einstellungen!$E$16+IF($N26="",0,IF($N26&lt;=Einstellungen!$B$17,100,IF($N26&lt;=Einstellungen!$C$17,80+(100-80)*(Einstellungen!$C$17-$N26)/(Einstellungen!$C$17-Einstellungen!$B$17),IF($N26&lt;=Einstellungen!$D$17,80*(Einstellungen!$D$17-$N26)/(Einstellungen!$D$17-Einstellungen!$C$17),0))))*Einstellungen!$E$17+IF($P26="",0,IF($P26&lt;=Einstellungen!$B$18,100,IF($P26&lt;=Einstellungen!$C$18,80+(100-80)*(Einstellungen!$C$18-$P26)/(Einstellungen!$C$18-Einstellungen!$B$18),IF($P26&lt;=Einstellungen!$D$18,80*(Einstellungen!$D$18-$P26)/(Einstellungen!$D$18-Einstellungen!$C$18),0))))*Einstellungen!$E$18)/(Einstellungen!$E$16+Einstellungen!$E$17+Einstellungen!$E$18),0))</f>
        <v/>
      </c>
      <c r="X26">
        <f>IF(AND($E26="",$D26="",$G26="",$V26="",$Q26="",$T26="",$W26="",$U26=""),"",ROUND(IF($E26="",0,IF($E26&lt;Einstellungen!$B$21,0,IF($E26&gt;=Einstellungen!$B$22,100,($E26-Einstellungen!$B$21)/(Einstellungen!$B$22-Einstellungen!$B$21)*100)))/100*Einstellungen!$B$5+IF($W26="",0,$W26/100)*Einstellungen!$B$6+(IF($G26="",0,MAX(0,MIN(100,($G26-Einstellungen!$B$25)/(Einstellungen!$B$26-Einstellungen!$B$25)*100)))+IF($I26="",0,MAX(0,MIN(100,($I26-Einstellungen!$B$27)/(Einstellungen!$B$28-Einstellungen!$B$27)*100))))/2/100*Einstellungen!$B$7+IF($V26="",0,$V26/100)*Einstellungen!$B$8+IF($R26="",0,MAX(0,MIN(100,(Einstellungen!$B$32-$R26)/(Einstellungen!$B$32-Einstellungen!$B$31)*100)))/100*Einstellungen!$B$9+IF($D26="",0,$D26/5*100)/100*Einstellungen!$B$10+IF($AD26="",0,$AD26)/100*Einstellungen!$B$11+IF($U26="",0,$U26/5*100)/100*Einstellungen!$B$12,0))</f>
        <v/>
      </c>
      <c r="Y26">
        <f>IF($X26="","",$X26*1000000000000+IF($G26="",0,$G26)*1000000+IF($H26="",0,$H26)*1000+IF($I26="",0,$I26)+IF($N26="",0,MAX(0,1000-$N26))/1000+IF($A26="",0,$A26)/1000000)</f>
        <v/>
      </c>
      <c r="Z26">
        <f>IF($Y26="","",_xludf.RANK.EQ($Y26,$Y$2:$Y$201,0))</f>
        <v/>
      </c>
    </row>
    <row r="27">
      <c r="R27">
        <f>IFERROR(IF($Q27="","",$Q27/$H27),"")</f>
        <v/>
      </c>
      <c r="S27">
        <f>IFERROR(IF($Q27="","",$Q27/$G27),"")</f>
        <v/>
      </c>
      <c r="W27">
        <f>IF(AND($L27="",$N27="",$P27=""),"",ROUND((IF($L27="",0,IF($L27&lt;=Einstellungen!$B$16,100,IF($L27&lt;=Einstellungen!$C$16,80+(100-80)*(Einstellungen!$C$16-$L27)/(Einstellungen!$C$16-Einstellungen!$B$16),IF($L27&lt;=Einstellungen!$D$16,80*(Einstellungen!$D$16-$L27)/(Einstellungen!$D$16-Einstellungen!$C$16),0))))*Einstellungen!$E$16+IF($N27="",0,IF($N27&lt;=Einstellungen!$B$17,100,IF($N27&lt;=Einstellungen!$C$17,80+(100-80)*(Einstellungen!$C$17-$N27)/(Einstellungen!$C$17-Einstellungen!$B$17),IF($N27&lt;=Einstellungen!$D$17,80*(Einstellungen!$D$17-$N27)/(Einstellungen!$D$17-Einstellungen!$C$17),0))))*Einstellungen!$E$17+IF($P27="",0,IF($P27&lt;=Einstellungen!$B$18,100,IF($P27&lt;=Einstellungen!$C$18,80+(100-80)*(Einstellungen!$C$18-$P27)/(Einstellungen!$C$18-Einstellungen!$B$18),IF($P27&lt;=Einstellungen!$D$18,80*(Einstellungen!$D$18-$P27)/(Einstellungen!$D$18-Einstellungen!$C$18),0))))*Einstellungen!$E$18)/(Einstellungen!$E$16+Einstellungen!$E$17+Einstellungen!$E$18),0))</f>
        <v/>
      </c>
      <c r="X27">
        <f>IF(AND($E27="",$D27="",$G27="",$V27="",$Q27="",$T27="",$W27="",$U27=""),"",ROUND(IF($E27="",0,IF($E27&lt;Einstellungen!$B$21,0,IF($E27&gt;=Einstellungen!$B$22,100,($E27-Einstellungen!$B$21)/(Einstellungen!$B$22-Einstellungen!$B$21)*100)))/100*Einstellungen!$B$5+IF($W27="",0,$W27/100)*Einstellungen!$B$6+(IF($G27="",0,MAX(0,MIN(100,($G27-Einstellungen!$B$25)/(Einstellungen!$B$26-Einstellungen!$B$25)*100)))+IF($I27="",0,MAX(0,MIN(100,($I27-Einstellungen!$B$27)/(Einstellungen!$B$28-Einstellungen!$B$27)*100))))/2/100*Einstellungen!$B$7+IF($V27="",0,$V27/100)*Einstellungen!$B$8+IF($R27="",0,MAX(0,MIN(100,(Einstellungen!$B$32-$R27)/(Einstellungen!$B$32-Einstellungen!$B$31)*100)))/100*Einstellungen!$B$9+IF($D27="",0,$D27/5*100)/100*Einstellungen!$B$10+IF($AD27="",0,$AD27)/100*Einstellungen!$B$11+IF($U27="",0,$U27/5*100)/100*Einstellungen!$B$12,0))</f>
        <v/>
      </c>
      <c r="Y27">
        <f>IF($X27="","",$X27*1000000000000+IF($G27="",0,$G27)*1000000+IF($H27="",0,$H27)*1000+IF($I27="",0,$I27)+IF($N27="",0,MAX(0,1000-$N27))/1000+IF($A27="",0,$A27)/1000000)</f>
        <v/>
      </c>
      <c r="Z27">
        <f>IF($Y27="","",_xludf.RANK.EQ($Y27,$Y$2:$Y$201,0))</f>
        <v/>
      </c>
    </row>
    <row r="28">
      <c r="R28">
        <f>IFERROR(IF($Q28="","",$Q28/$H28),"")</f>
        <v/>
      </c>
      <c r="S28">
        <f>IFERROR(IF($Q28="","",$Q28/$G28),"")</f>
        <v/>
      </c>
      <c r="W28">
        <f>IF(AND($L28="",$N28="",$P28=""),"",ROUND((IF($L28="",0,IF($L28&lt;=Einstellungen!$B$16,100,IF($L28&lt;=Einstellungen!$C$16,80+(100-80)*(Einstellungen!$C$16-$L28)/(Einstellungen!$C$16-Einstellungen!$B$16),IF($L28&lt;=Einstellungen!$D$16,80*(Einstellungen!$D$16-$L28)/(Einstellungen!$D$16-Einstellungen!$C$16),0))))*Einstellungen!$E$16+IF($N28="",0,IF($N28&lt;=Einstellungen!$B$17,100,IF($N28&lt;=Einstellungen!$C$17,80+(100-80)*(Einstellungen!$C$17-$N28)/(Einstellungen!$C$17-Einstellungen!$B$17),IF($N28&lt;=Einstellungen!$D$17,80*(Einstellungen!$D$17-$N28)/(Einstellungen!$D$17-Einstellungen!$C$17),0))))*Einstellungen!$E$17+IF($P28="",0,IF($P28&lt;=Einstellungen!$B$18,100,IF($P28&lt;=Einstellungen!$C$18,80+(100-80)*(Einstellungen!$C$18-$P28)/(Einstellungen!$C$18-Einstellungen!$B$18),IF($P28&lt;=Einstellungen!$D$18,80*(Einstellungen!$D$18-$P28)/(Einstellungen!$D$18-Einstellungen!$C$18),0))))*Einstellungen!$E$18)/(Einstellungen!$E$16+Einstellungen!$E$17+Einstellungen!$E$18),0))</f>
        <v/>
      </c>
      <c r="X28">
        <f>IF(AND($E28="",$D28="",$G28="",$V28="",$Q28="",$T28="",$W28="",$U28=""),"",ROUND(IF($E28="",0,IF($E28&lt;Einstellungen!$B$21,0,IF($E28&gt;=Einstellungen!$B$22,100,($E28-Einstellungen!$B$21)/(Einstellungen!$B$22-Einstellungen!$B$21)*100)))/100*Einstellungen!$B$5+IF($W28="",0,$W28/100)*Einstellungen!$B$6+(IF($G28="",0,MAX(0,MIN(100,($G28-Einstellungen!$B$25)/(Einstellungen!$B$26-Einstellungen!$B$25)*100)))+IF($I28="",0,MAX(0,MIN(100,($I28-Einstellungen!$B$27)/(Einstellungen!$B$28-Einstellungen!$B$27)*100))))/2/100*Einstellungen!$B$7+IF($V28="",0,$V28/100)*Einstellungen!$B$8+IF($R28="",0,MAX(0,MIN(100,(Einstellungen!$B$32-$R28)/(Einstellungen!$B$32-Einstellungen!$B$31)*100)))/100*Einstellungen!$B$9+IF($D28="",0,$D28/5*100)/100*Einstellungen!$B$10+IF($AD28="",0,$AD28)/100*Einstellungen!$B$11+IF($U28="",0,$U28/5*100)/100*Einstellungen!$B$12,0))</f>
        <v/>
      </c>
      <c r="Y28">
        <f>IF($X28="","",$X28*1000000000000+IF($G28="",0,$G28)*1000000+IF($H28="",0,$H28)*1000+IF($I28="",0,$I28)+IF($N28="",0,MAX(0,1000-$N28))/1000+IF($A28="",0,$A28)/1000000)</f>
        <v/>
      </c>
      <c r="Z28">
        <f>IF($Y28="","",_xludf.RANK.EQ($Y28,$Y$2:$Y$201,0))</f>
        <v/>
      </c>
    </row>
    <row r="29">
      <c r="R29">
        <f>IFERROR(IF($Q29="","",$Q29/$H29),"")</f>
        <v/>
      </c>
      <c r="S29">
        <f>IFERROR(IF($Q29="","",$Q29/$G29),"")</f>
        <v/>
      </c>
      <c r="W29">
        <f>IF(AND($L29="",$N29="",$P29=""),"",ROUND((IF($L29="",0,IF($L29&lt;=Einstellungen!$B$16,100,IF($L29&lt;=Einstellungen!$C$16,80+(100-80)*(Einstellungen!$C$16-$L29)/(Einstellungen!$C$16-Einstellungen!$B$16),IF($L29&lt;=Einstellungen!$D$16,80*(Einstellungen!$D$16-$L29)/(Einstellungen!$D$16-Einstellungen!$C$16),0))))*Einstellungen!$E$16+IF($N29="",0,IF($N29&lt;=Einstellungen!$B$17,100,IF($N29&lt;=Einstellungen!$C$17,80+(100-80)*(Einstellungen!$C$17-$N29)/(Einstellungen!$C$17-Einstellungen!$B$17),IF($N29&lt;=Einstellungen!$D$17,80*(Einstellungen!$D$17-$N29)/(Einstellungen!$D$17-Einstellungen!$C$17),0))))*Einstellungen!$E$17+IF($P29="",0,IF($P29&lt;=Einstellungen!$B$18,100,IF($P29&lt;=Einstellungen!$C$18,80+(100-80)*(Einstellungen!$C$18-$P29)/(Einstellungen!$C$18-Einstellungen!$B$18),IF($P29&lt;=Einstellungen!$D$18,80*(Einstellungen!$D$18-$P29)/(Einstellungen!$D$18-Einstellungen!$C$18),0))))*Einstellungen!$E$18)/(Einstellungen!$E$16+Einstellungen!$E$17+Einstellungen!$E$18),0))</f>
        <v/>
      </c>
      <c r="X29">
        <f>IF(AND($E29="",$D29="",$G29="",$V29="",$Q29="",$T29="",$W29="",$U29=""),"",ROUND(IF($E29="",0,IF($E29&lt;Einstellungen!$B$21,0,IF($E29&gt;=Einstellungen!$B$22,100,($E29-Einstellungen!$B$21)/(Einstellungen!$B$22-Einstellungen!$B$21)*100)))/100*Einstellungen!$B$5+IF($W29="",0,$W29/100)*Einstellungen!$B$6+(IF($G29="",0,MAX(0,MIN(100,($G29-Einstellungen!$B$25)/(Einstellungen!$B$26-Einstellungen!$B$25)*100)))+IF($I29="",0,MAX(0,MIN(100,($I29-Einstellungen!$B$27)/(Einstellungen!$B$28-Einstellungen!$B$27)*100))))/2/100*Einstellungen!$B$7+IF($V29="",0,$V29/100)*Einstellungen!$B$8+IF($R29="",0,MAX(0,MIN(100,(Einstellungen!$B$32-$R29)/(Einstellungen!$B$32-Einstellungen!$B$31)*100)))/100*Einstellungen!$B$9+IF($D29="",0,$D29/5*100)/100*Einstellungen!$B$10+IF($AD29="",0,$AD29)/100*Einstellungen!$B$11+IF($U29="",0,$U29/5*100)/100*Einstellungen!$B$12,0))</f>
        <v/>
      </c>
      <c r="Y29">
        <f>IF($X29="","",$X29*1000000000000+IF($G29="",0,$G29)*1000000+IF($H29="",0,$H29)*1000+IF($I29="",0,$I29)+IF($N29="",0,MAX(0,1000-$N29))/1000+IF($A29="",0,$A29)/1000000)</f>
        <v/>
      </c>
      <c r="Z29">
        <f>IF($Y29="","",_xludf.RANK.EQ($Y29,$Y$2:$Y$201,0))</f>
        <v/>
      </c>
    </row>
    <row r="30">
      <c r="R30">
        <f>IFERROR(IF($Q30="","",$Q30/$H30),"")</f>
        <v/>
      </c>
      <c r="S30">
        <f>IFERROR(IF($Q30="","",$Q30/$G30),"")</f>
        <v/>
      </c>
      <c r="W30">
        <f>IF(AND($L30="",$N30="",$P30=""),"",ROUND((IF($L30="",0,IF($L30&lt;=Einstellungen!$B$16,100,IF($L30&lt;=Einstellungen!$C$16,80+(100-80)*(Einstellungen!$C$16-$L30)/(Einstellungen!$C$16-Einstellungen!$B$16),IF($L30&lt;=Einstellungen!$D$16,80*(Einstellungen!$D$16-$L30)/(Einstellungen!$D$16-Einstellungen!$C$16),0))))*Einstellungen!$E$16+IF($N30="",0,IF($N30&lt;=Einstellungen!$B$17,100,IF($N30&lt;=Einstellungen!$C$17,80+(100-80)*(Einstellungen!$C$17-$N30)/(Einstellungen!$C$17-Einstellungen!$B$17),IF($N30&lt;=Einstellungen!$D$17,80*(Einstellungen!$D$17-$N30)/(Einstellungen!$D$17-Einstellungen!$C$17),0))))*Einstellungen!$E$17+IF($P30="",0,IF($P30&lt;=Einstellungen!$B$18,100,IF($P30&lt;=Einstellungen!$C$18,80+(100-80)*(Einstellungen!$C$18-$P30)/(Einstellungen!$C$18-Einstellungen!$B$18),IF($P30&lt;=Einstellungen!$D$18,80*(Einstellungen!$D$18-$P30)/(Einstellungen!$D$18-Einstellungen!$C$18),0))))*Einstellungen!$E$18)/(Einstellungen!$E$16+Einstellungen!$E$17+Einstellungen!$E$18),0))</f>
        <v/>
      </c>
      <c r="X30">
        <f>IF(AND($E30="",$D30="",$G30="",$V30="",$Q30="",$T30="",$W30="",$U30=""),"",ROUND(IF($E30="",0,IF($E30&lt;Einstellungen!$B$21,0,IF($E30&gt;=Einstellungen!$B$22,100,($E30-Einstellungen!$B$21)/(Einstellungen!$B$22-Einstellungen!$B$21)*100)))/100*Einstellungen!$B$5+IF($W30="",0,$W30/100)*Einstellungen!$B$6+(IF($G30="",0,MAX(0,MIN(100,($G30-Einstellungen!$B$25)/(Einstellungen!$B$26-Einstellungen!$B$25)*100)))+IF($I30="",0,MAX(0,MIN(100,($I30-Einstellungen!$B$27)/(Einstellungen!$B$28-Einstellungen!$B$27)*100))))/2/100*Einstellungen!$B$7+IF($V30="",0,$V30/100)*Einstellungen!$B$8+IF($R30="",0,MAX(0,MIN(100,(Einstellungen!$B$32-$R30)/(Einstellungen!$B$32-Einstellungen!$B$31)*100)))/100*Einstellungen!$B$9+IF($D30="",0,$D30/5*100)/100*Einstellungen!$B$10+IF($AD30="",0,$AD30)/100*Einstellungen!$B$11+IF($U30="",0,$U30/5*100)/100*Einstellungen!$B$12,0))</f>
        <v/>
      </c>
      <c r="Y30">
        <f>IF($X30="","",$X30*1000000000000+IF($G30="",0,$G30)*1000000+IF($H30="",0,$H30)*1000+IF($I30="",0,$I30)+IF($N30="",0,MAX(0,1000-$N30))/1000+IF($A30="",0,$A30)/1000000)</f>
        <v/>
      </c>
      <c r="Z30">
        <f>IF($Y30="","",_xludf.RANK.EQ($Y30,$Y$2:$Y$201,0))</f>
        <v/>
      </c>
    </row>
    <row r="31">
      <c r="R31">
        <f>IFERROR(IF($Q31="","",$Q31/$H31),"")</f>
        <v/>
      </c>
      <c r="S31">
        <f>IFERROR(IF($Q31="","",$Q31/$G31),"")</f>
        <v/>
      </c>
      <c r="W31">
        <f>IF(AND($L31="",$N31="",$P31=""),"",ROUND((IF($L31="",0,IF($L31&lt;=Einstellungen!$B$16,100,IF($L31&lt;=Einstellungen!$C$16,80+(100-80)*(Einstellungen!$C$16-$L31)/(Einstellungen!$C$16-Einstellungen!$B$16),IF($L31&lt;=Einstellungen!$D$16,80*(Einstellungen!$D$16-$L31)/(Einstellungen!$D$16-Einstellungen!$C$16),0))))*Einstellungen!$E$16+IF($N31="",0,IF($N31&lt;=Einstellungen!$B$17,100,IF($N31&lt;=Einstellungen!$C$17,80+(100-80)*(Einstellungen!$C$17-$N31)/(Einstellungen!$C$17-Einstellungen!$B$17),IF($N31&lt;=Einstellungen!$D$17,80*(Einstellungen!$D$17-$N31)/(Einstellungen!$D$17-Einstellungen!$C$17),0))))*Einstellungen!$E$17+IF($P31="",0,IF($P31&lt;=Einstellungen!$B$18,100,IF($P31&lt;=Einstellungen!$C$18,80+(100-80)*(Einstellungen!$C$18-$P31)/(Einstellungen!$C$18-Einstellungen!$B$18),IF($P31&lt;=Einstellungen!$D$18,80*(Einstellungen!$D$18-$P31)/(Einstellungen!$D$18-Einstellungen!$C$18),0))))*Einstellungen!$E$18)/(Einstellungen!$E$16+Einstellungen!$E$17+Einstellungen!$E$18),0))</f>
        <v/>
      </c>
      <c r="X31">
        <f>IF(AND($E31="",$D31="",$G31="",$V31="",$Q31="",$T31="",$W31="",$U31=""),"",ROUND(IF($E31="",0,IF($E31&lt;Einstellungen!$B$21,0,IF($E31&gt;=Einstellungen!$B$22,100,($E31-Einstellungen!$B$21)/(Einstellungen!$B$22-Einstellungen!$B$21)*100)))/100*Einstellungen!$B$5+IF($W31="",0,$W31/100)*Einstellungen!$B$6+(IF($G31="",0,MAX(0,MIN(100,($G31-Einstellungen!$B$25)/(Einstellungen!$B$26-Einstellungen!$B$25)*100)))+IF($I31="",0,MAX(0,MIN(100,($I31-Einstellungen!$B$27)/(Einstellungen!$B$28-Einstellungen!$B$27)*100))))/2/100*Einstellungen!$B$7+IF($V31="",0,$V31/100)*Einstellungen!$B$8+IF($R31="",0,MAX(0,MIN(100,(Einstellungen!$B$32-$R31)/(Einstellungen!$B$32-Einstellungen!$B$31)*100)))/100*Einstellungen!$B$9+IF($D31="",0,$D31/5*100)/100*Einstellungen!$B$10+IF($AD31="",0,$AD31)/100*Einstellungen!$B$11+IF($U31="",0,$U31/5*100)/100*Einstellungen!$B$12,0))</f>
        <v/>
      </c>
      <c r="Y31">
        <f>IF($X31="","",$X31*1000000000000+IF($G31="",0,$G31)*1000000+IF($H31="",0,$H31)*1000+IF($I31="",0,$I31)+IF($N31="",0,MAX(0,1000-$N31))/1000+IF($A31="",0,$A31)/1000000)</f>
        <v/>
      </c>
      <c r="Z31">
        <f>IF($Y31="","",_xludf.RANK.EQ($Y31,$Y$2:$Y$201,0))</f>
        <v/>
      </c>
    </row>
    <row r="32">
      <c r="R32">
        <f>IFERROR(IF($Q32="","",$Q32/$H32),"")</f>
        <v/>
      </c>
      <c r="S32">
        <f>IFERROR(IF($Q32="","",$Q32/$G32),"")</f>
        <v/>
      </c>
      <c r="W32">
        <f>IF(AND($L32="",$N32="",$P32=""),"",ROUND((IF($L32="",0,IF($L32&lt;=Einstellungen!$B$16,100,IF($L32&lt;=Einstellungen!$C$16,80+(100-80)*(Einstellungen!$C$16-$L32)/(Einstellungen!$C$16-Einstellungen!$B$16),IF($L32&lt;=Einstellungen!$D$16,80*(Einstellungen!$D$16-$L32)/(Einstellungen!$D$16-Einstellungen!$C$16),0))))*Einstellungen!$E$16+IF($N32="",0,IF($N32&lt;=Einstellungen!$B$17,100,IF($N32&lt;=Einstellungen!$C$17,80+(100-80)*(Einstellungen!$C$17-$N32)/(Einstellungen!$C$17-Einstellungen!$B$17),IF($N32&lt;=Einstellungen!$D$17,80*(Einstellungen!$D$17-$N32)/(Einstellungen!$D$17-Einstellungen!$C$17),0))))*Einstellungen!$E$17+IF($P32="",0,IF($P32&lt;=Einstellungen!$B$18,100,IF($P32&lt;=Einstellungen!$C$18,80+(100-80)*(Einstellungen!$C$18-$P32)/(Einstellungen!$C$18-Einstellungen!$B$18),IF($P32&lt;=Einstellungen!$D$18,80*(Einstellungen!$D$18-$P32)/(Einstellungen!$D$18-Einstellungen!$C$18),0))))*Einstellungen!$E$18)/(Einstellungen!$E$16+Einstellungen!$E$17+Einstellungen!$E$18),0))</f>
        <v/>
      </c>
      <c r="X32">
        <f>IF(AND($E32="",$D32="",$G32="",$V32="",$Q32="",$T32="",$W32="",$U32=""),"",ROUND(IF($E32="",0,IF($E32&lt;Einstellungen!$B$21,0,IF($E32&gt;=Einstellungen!$B$22,100,($E32-Einstellungen!$B$21)/(Einstellungen!$B$22-Einstellungen!$B$21)*100)))/100*Einstellungen!$B$5+IF($W32="",0,$W32/100)*Einstellungen!$B$6+(IF($G32="",0,MAX(0,MIN(100,($G32-Einstellungen!$B$25)/(Einstellungen!$B$26-Einstellungen!$B$25)*100)))+IF($I32="",0,MAX(0,MIN(100,($I32-Einstellungen!$B$27)/(Einstellungen!$B$28-Einstellungen!$B$27)*100))))/2/100*Einstellungen!$B$7+IF($V32="",0,$V32/100)*Einstellungen!$B$8+IF($R32="",0,MAX(0,MIN(100,(Einstellungen!$B$32-$R32)/(Einstellungen!$B$32-Einstellungen!$B$31)*100)))/100*Einstellungen!$B$9+IF($D32="",0,$D32/5*100)/100*Einstellungen!$B$10+IF($AD32="",0,$AD32)/100*Einstellungen!$B$11+IF($U32="",0,$U32/5*100)/100*Einstellungen!$B$12,0))</f>
        <v/>
      </c>
      <c r="Y32">
        <f>IF($X32="","",$X32*1000000000000+IF($G32="",0,$G32)*1000000+IF($H32="",0,$H32)*1000+IF($I32="",0,$I32)+IF($N32="",0,MAX(0,1000-$N32))/1000+IF($A32="",0,$A32)/1000000)</f>
        <v/>
      </c>
      <c r="Z32">
        <f>IF($Y32="","",_xludf.RANK.EQ($Y32,$Y$2:$Y$201,0))</f>
        <v/>
      </c>
    </row>
    <row r="33">
      <c r="R33">
        <f>IFERROR(IF($Q33="","",$Q33/$H33),"")</f>
        <v/>
      </c>
      <c r="S33">
        <f>IFERROR(IF($Q33="","",$Q33/$G33),"")</f>
        <v/>
      </c>
      <c r="W33">
        <f>IF(AND($L33="",$N33="",$P33=""),"",ROUND((IF($L33="",0,IF($L33&lt;=Einstellungen!$B$16,100,IF($L33&lt;=Einstellungen!$C$16,80+(100-80)*(Einstellungen!$C$16-$L33)/(Einstellungen!$C$16-Einstellungen!$B$16),IF($L33&lt;=Einstellungen!$D$16,80*(Einstellungen!$D$16-$L33)/(Einstellungen!$D$16-Einstellungen!$C$16),0))))*Einstellungen!$E$16+IF($N33="",0,IF($N33&lt;=Einstellungen!$B$17,100,IF($N33&lt;=Einstellungen!$C$17,80+(100-80)*(Einstellungen!$C$17-$N33)/(Einstellungen!$C$17-Einstellungen!$B$17),IF($N33&lt;=Einstellungen!$D$17,80*(Einstellungen!$D$17-$N33)/(Einstellungen!$D$17-Einstellungen!$C$17),0))))*Einstellungen!$E$17+IF($P33="",0,IF($P33&lt;=Einstellungen!$B$18,100,IF($P33&lt;=Einstellungen!$C$18,80+(100-80)*(Einstellungen!$C$18-$P33)/(Einstellungen!$C$18-Einstellungen!$B$18),IF($P33&lt;=Einstellungen!$D$18,80*(Einstellungen!$D$18-$P33)/(Einstellungen!$D$18-Einstellungen!$C$18),0))))*Einstellungen!$E$18)/(Einstellungen!$E$16+Einstellungen!$E$17+Einstellungen!$E$18),0))</f>
        <v/>
      </c>
      <c r="X33">
        <f>IF(AND($E33="",$D33="",$G33="",$V33="",$Q33="",$T33="",$W33="",$U33=""),"",ROUND(IF($E33="",0,IF($E33&lt;Einstellungen!$B$21,0,IF($E33&gt;=Einstellungen!$B$22,100,($E33-Einstellungen!$B$21)/(Einstellungen!$B$22-Einstellungen!$B$21)*100)))/100*Einstellungen!$B$5+IF($W33="",0,$W33/100)*Einstellungen!$B$6+(IF($G33="",0,MAX(0,MIN(100,($G33-Einstellungen!$B$25)/(Einstellungen!$B$26-Einstellungen!$B$25)*100)))+IF($I33="",0,MAX(0,MIN(100,($I33-Einstellungen!$B$27)/(Einstellungen!$B$28-Einstellungen!$B$27)*100))))/2/100*Einstellungen!$B$7+IF($V33="",0,$V33/100)*Einstellungen!$B$8+IF($R33="",0,MAX(0,MIN(100,(Einstellungen!$B$32-$R33)/(Einstellungen!$B$32-Einstellungen!$B$31)*100)))/100*Einstellungen!$B$9+IF($D33="",0,$D33/5*100)/100*Einstellungen!$B$10+IF($AD33="",0,$AD33)/100*Einstellungen!$B$11+IF($U33="",0,$U33/5*100)/100*Einstellungen!$B$12,0))</f>
        <v/>
      </c>
      <c r="Y33">
        <f>IF($X33="","",$X33*1000000000000+IF($G33="",0,$G33)*1000000+IF($H33="",0,$H33)*1000+IF($I33="",0,$I33)+IF($N33="",0,MAX(0,1000-$N33))/1000+IF($A33="",0,$A33)/1000000)</f>
        <v/>
      </c>
      <c r="Z33">
        <f>IF($Y33="","",_xludf.RANK.EQ($Y33,$Y$2:$Y$201,0))</f>
        <v/>
      </c>
    </row>
    <row r="34">
      <c r="R34">
        <f>IFERROR(IF($Q34="","",$Q34/$H34),"")</f>
        <v/>
      </c>
      <c r="S34">
        <f>IFERROR(IF($Q34="","",$Q34/$G34),"")</f>
        <v/>
      </c>
      <c r="W34">
        <f>IF(AND($L34="",$N34="",$P34=""),"",ROUND((IF($L34="",0,IF($L34&lt;=Einstellungen!$B$16,100,IF($L34&lt;=Einstellungen!$C$16,80+(100-80)*(Einstellungen!$C$16-$L34)/(Einstellungen!$C$16-Einstellungen!$B$16),IF($L34&lt;=Einstellungen!$D$16,80*(Einstellungen!$D$16-$L34)/(Einstellungen!$D$16-Einstellungen!$C$16),0))))*Einstellungen!$E$16+IF($N34="",0,IF($N34&lt;=Einstellungen!$B$17,100,IF($N34&lt;=Einstellungen!$C$17,80+(100-80)*(Einstellungen!$C$17-$N34)/(Einstellungen!$C$17-Einstellungen!$B$17),IF($N34&lt;=Einstellungen!$D$17,80*(Einstellungen!$D$17-$N34)/(Einstellungen!$D$17-Einstellungen!$C$17),0))))*Einstellungen!$E$17+IF($P34="",0,IF($P34&lt;=Einstellungen!$B$18,100,IF($P34&lt;=Einstellungen!$C$18,80+(100-80)*(Einstellungen!$C$18-$P34)/(Einstellungen!$C$18-Einstellungen!$B$18),IF($P34&lt;=Einstellungen!$D$18,80*(Einstellungen!$D$18-$P34)/(Einstellungen!$D$18-Einstellungen!$C$18),0))))*Einstellungen!$E$18)/(Einstellungen!$E$16+Einstellungen!$E$17+Einstellungen!$E$18),0))</f>
        <v/>
      </c>
      <c r="X34">
        <f>IF(AND($E34="",$D34="",$G34="",$V34="",$Q34="",$T34="",$W34="",$U34=""),"",ROUND(IF($E34="",0,IF($E34&lt;Einstellungen!$B$21,0,IF($E34&gt;=Einstellungen!$B$22,100,($E34-Einstellungen!$B$21)/(Einstellungen!$B$22-Einstellungen!$B$21)*100)))/100*Einstellungen!$B$5+IF($W34="",0,$W34/100)*Einstellungen!$B$6+(IF($G34="",0,MAX(0,MIN(100,($G34-Einstellungen!$B$25)/(Einstellungen!$B$26-Einstellungen!$B$25)*100)))+IF($I34="",0,MAX(0,MIN(100,($I34-Einstellungen!$B$27)/(Einstellungen!$B$28-Einstellungen!$B$27)*100))))/2/100*Einstellungen!$B$7+IF($V34="",0,$V34/100)*Einstellungen!$B$8+IF($R34="",0,MAX(0,MIN(100,(Einstellungen!$B$32-$R34)/(Einstellungen!$B$32-Einstellungen!$B$31)*100)))/100*Einstellungen!$B$9+IF($D34="",0,$D34/5*100)/100*Einstellungen!$B$10+IF($AD34="",0,$AD34)/100*Einstellungen!$B$11+IF($U34="",0,$U34/5*100)/100*Einstellungen!$B$12,0))</f>
        <v/>
      </c>
      <c r="Y34">
        <f>IF($X34="","",$X34*1000000000000+IF($G34="",0,$G34)*1000000+IF($H34="",0,$H34)*1000+IF($I34="",0,$I34)+IF($N34="",0,MAX(0,1000-$N34))/1000+IF($A34="",0,$A34)/1000000)</f>
        <v/>
      </c>
      <c r="Z34">
        <f>IF($Y34="","",_xludf.RANK.EQ($Y34,$Y$2:$Y$201,0))</f>
        <v/>
      </c>
    </row>
    <row r="35">
      <c r="R35">
        <f>IFERROR(IF($Q35="","",$Q35/$H35),"")</f>
        <v/>
      </c>
      <c r="S35">
        <f>IFERROR(IF($Q35="","",$Q35/$G35),"")</f>
        <v/>
      </c>
      <c r="W35">
        <f>IF(AND($L35="",$N35="",$P35=""),"",ROUND((IF($L35="",0,IF($L35&lt;=Einstellungen!$B$16,100,IF($L35&lt;=Einstellungen!$C$16,80+(100-80)*(Einstellungen!$C$16-$L35)/(Einstellungen!$C$16-Einstellungen!$B$16),IF($L35&lt;=Einstellungen!$D$16,80*(Einstellungen!$D$16-$L35)/(Einstellungen!$D$16-Einstellungen!$C$16),0))))*Einstellungen!$E$16+IF($N35="",0,IF($N35&lt;=Einstellungen!$B$17,100,IF($N35&lt;=Einstellungen!$C$17,80+(100-80)*(Einstellungen!$C$17-$N35)/(Einstellungen!$C$17-Einstellungen!$B$17),IF($N35&lt;=Einstellungen!$D$17,80*(Einstellungen!$D$17-$N35)/(Einstellungen!$D$17-Einstellungen!$C$17),0))))*Einstellungen!$E$17+IF($P35="",0,IF($P35&lt;=Einstellungen!$B$18,100,IF($P35&lt;=Einstellungen!$C$18,80+(100-80)*(Einstellungen!$C$18-$P35)/(Einstellungen!$C$18-Einstellungen!$B$18),IF($P35&lt;=Einstellungen!$D$18,80*(Einstellungen!$D$18-$P35)/(Einstellungen!$D$18-Einstellungen!$C$18),0))))*Einstellungen!$E$18)/(Einstellungen!$E$16+Einstellungen!$E$17+Einstellungen!$E$18),0))</f>
        <v/>
      </c>
      <c r="X35">
        <f>IF(AND($E35="",$D35="",$G35="",$V35="",$Q35="",$T35="",$W35="",$U35=""),"",ROUND(IF($E35="",0,IF($E35&lt;Einstellungen!$B$21,0,IF($E35&gt;=Einstellungen!$B$22,100,($E35-Einstellungen!$B$21)/(Einstellungen!$B$22-Einstellungen!$B$21)*100)))/100*Einstellungen!$B$5+IF($W35="",0,$W35/100)*Einstellungen!$B$6+(IF($G35="",0,MAX(0,MIN(100,($G35-Einstellungen!$B$25)/(Einstellungen!$B$26-Einstellungen!$B$25)*100)))+IF($I35="",0,MAX(0,MIN(100,($I35-Einstellungen!$B$27)/(Einstellungen!$B$28-Einstellungen!$B$27)*100))))/2/100*Einstellungen!$B$7+IF($V35="",0,$V35/100)*Einstellungen!$B$8+IF($R35="",0,MAX(0,MIN(100,(Einstellungen!$B$32-$R35)/(Einstellungen!$B$32-Einstellungen!$B$31)*100)))/100*Einstellungen!$B$9+IF($D35="",0,$D35/5*100)/100*Einstellungen!$B$10+IF($AD35="",0,$AD35)/100*Einstellungen!$B$11+IF($U35="",0,$U35/5*100)/100*Einstellungen!$B$12,0))</f>
        <v/>
      </c>
      <c r="Y35">
        <f>IF($X35="","",$X35*1000000000000+IF($G35="",0,$G35)*1000000+IF($H35="",0,$H35)*1000+IF($I35="",0,$I35)+IF($N35="",0,MAX(0,1000-$N35))/1000+IF($A35="",0,$A35)/1000000)</f>
        <v/>
      </c>
      <c r="Z35">
        <f>IF($Y35="","",_xludf.RANK.EQ($Y35,$Y$2:$Y$201,0))</f>
        <v/>
      </c>
    </row>
    <row r="36">
      <c r="R36">
        <f>IFERROR(IF($Q36="","",$Q36/$H36),"")</f>
        <v/>
      </c>
      <c r="S36">
        <f>IFERROR(IF($Q36="","",$Q36/$G36),"")</f>
        <v/>
      </c>
      <c r="W36">
        <f>IF(AND($L36="",$N36="",$P36=""),"",ROUND((IF($L36="",0,IF($L36&lt;=Einstellungen!$B$16,100,IF($L36&lt;=Einstellungen!$C$16,80+(100-80)*(Einstellungen!$C$16-$L36)/(Einstellungen!$C$16-Einstellungen!$B$16),IF($L36&lt;=Einstellungen!$D$16,80*(Einstellungen!$D$16-$L36)/(Einstellungen!$D$16-Einstellungen!$C$16),0))))*Einstellungen!$E$16+IF($N36="",0,IF($N36&lt;=Einstellungen!$B$17,100,IF($N36&lt;=Einstellungen!$C$17,80+(100-80)*(Einstellungen!$C$17-$N36)/(Einstellungen!$C$17-Einstellungen!$B$17),IF($N36&lt;=Einstellungen!$D$17,80*(Einstellungen!$D$17-$N36)/(Einstellungen!$D$17-Einstellungen!$C$17),0))))*Einstellungen!$E$17+IF($P36="",0,IF($P36&lt;=Einstellungen!$B$18,100,IF($P36&lt;=Einstellungen!$C$18,80+(100-80)*(Einstellungen!$C$18-$P36)/(Einstellungen!$C$18-Einstellungen!$B$18),IF($P36&lt;=Einstellungen!$D$18,80*(Einstellungen!$D$18-$P36)/(Einstellungen!$D$18-Einstellungen!$C$18),0))))*Einstellungen!$E$18)/(Einstellungen!$E$16+Einstellungen!$E$17+Einstellungen!$E$18),0))</f>
        <v/>
      </c>
      <c r="X36">
        <f>IF(AND($E36="",$D36="",$G36="",$V36="",$Q36="",$T36="",$W36="",$U36=""),"",ROUND(IF($E36="",0,IF($E36&lt;Einstellungen!$B$21,0,IF($E36&gt;=Einstellungen!$B$22,100,($E36-Einstellungen!$B$21)/(Einstellungen!$B$22-Einstellungen!$B$21)*100)))/100*Einstellungen!$B$5+IF($W36="",0,$W36/100)*Einstellungen!$B$6+(IF($G36="",0,MAX(0,MIN(100,($G36-Einstellungen!$B$25)/(Einstellungen!$B$26-Einstellungen!$B$25)*100)))+IF($I36="",0,MAX(0,MIN(100,($I36-Einstellungen!$B$27)/(Einstellungen!$B$28-Einstellungen!$B$27)*100))))/2/100*Einstellungen!$B$7+IF($V36="",0,$V36/100)*Einstellungen!$B$8+IF($R36="",0,MAX(0,MIN(100,(Einstellungen!$B$32-$R36)/(Einstellungen!$B$32-Einstellungen!$B$31)*100)))/100*Einstellungen!$B$9+IF($D36="",0,$D36/5*100)/100*Einstellungen!$B$10+IF($AD36="",0,$AD36)/100*Einstellungen!$B$11+IF($U36="",0,$U36/5*100)/100*Einstellungen!$B$12,0))</f>
        <v/>
      </c>
      <c r="Y36">
        <f>IF($X36="","",$X36*1000000000000+IF($G36="",0,$G36)*1000000+IF($H36="",0,$H36)*1000+IF($I36="",0,$I36)+IF($N36="",0,MAX(0,1000-$N36))/1000+IF($A36="",0,$A36)/1000000)</f>
        <v/>
      </c>
      <c r="Z36">
        <f>IF($Y36="","",_xludf.RANK.EQ($Y36,$Y$2:$Y$201,0))</f>
        <v/>
      </c>
    </row>
    <row r="37">
      <c r="R37">
        <f>IFERROR(IF($Q37="","",$Q37/$H37),"")</f>
        <v/>
      </c>
      <c r="S37">
        <f>IFERROR(IF($Q37="","",$Q37/$G37),"")</f>
        <v/>
      </c>
      <c r="W37">
        <f>IF(AND($L37="",$N37="",$P37=""),"",ROUND((IF($L37="",0,IF($L37&lt;=Einstellungen!$B$16,100,IF($L37&lt;=Einstellungen!$C$16,80+(100-80)*(Einstellungen!$C$16-$L37)/(Einstellungen!$C$16-Einstellungen!$B$16),IF($L37&lt;=Einstellungen!$D$16,80*(Einstellungen!$D$16-$L37)/(Einstellungen!$D$16-Einstellungen!$C$16),0))))*Einstellungen!$E$16+IF($N37="",0,IF($N37&lt;=Einstellungen!$B$17,100,IF($N37&lt;=Einstellungen!$C$17,80+(100-80)*(Einstellungen!$C$17-$N37)/(Einstellungen!$C$17-Einstellungen!$B$17),IF($N37&lt;=Einstellungen!$D$17,80*(Einstellungen!$D$17-$N37)/(Einstellungen!$D$17-Einstellungen!$C$17),0))))*Einstellungen!$E$17+IF($P37="",0,IF($P37&lt;=Einstellungen!$B$18,100,IF($P37&lt;=Einstellungen!$C$18,80+(100-80)*(Einstellungen!$C$18-$P37)/(Einstellungen!$C$18-Einstellungen!$B$18),IF($P37&lt;=Einstellungen!$D$18,80*(Einstellungen!$D$18-$P37)/(Einstellungen!$D$18-Einstellungen!$C$18),0))))*Einstellungen!$E$18)/(Einstellungen!$E$16+Einstellungen!$E$17+Einstellungen!$E$18),0))</f>
        <v/>
      </c>
      <c r="X37">
        <f>IF(AND($E37="",$D37="",$G37="",$V37="",$Q37="",$T37="",$W37="",$U37=""),"",ROUND(IF($E37="",0,IF($E37&lt;Einstellungen!$B$21,0,IF($E37&gt;=Einstellungen!$B$22,100,($E37-Einstellungen!$B$21)/(Einstellungen!$B$22-Einstellungen!$B$21)*100)))/100*Einstellungen!$B$5+IF($W37="",0,$W37/100)*Einstellungen!$B$6+(IF($G37="",0,MAX(0,MIN(100,($G37-Einstellungen!$B$25)/(Einstellungen!$B$26-Einstellungen!$B$25)*100)))+IF($I37="",0,MAX(0,MIN(100,($I37-Einstellungen!$B$27)/(Einstellungen!$B$28-Einstellungen!$B$27)*100))))/2/100*Einstellungen!$B$7+IF($V37="",0,$V37/100)*Einstellungen!$B$8+IF($R37="",0,MAX(0,MIN(100,(Einstellungen!$B$32-$R37)/(Einstellungen!$B$32-Einstellungen!$B$31)*100)))/100*Einstellungen!$B$9+IF($D37="",0,$D37/5*100)/100*Einstellungen!$B$10+IF($AD37="",0,$AD37)/100*Einstellungen!$B$11+IF($U37="",0,$U37/5*100)/100*Einstellungen!$B$12,0))</f>
        <v/>
      </c>
      <c r="Y37">
        <f>IF($X37="","",$X37*1000000000000+IF($G37="",0,$G37)*1000000+IF($H37="",0,$H37)*1000+IF($I37="",0,$I37)+IF($N37="",0,MAX(0,1000-$N37))/1000+IF($A37="",0,$A37)/1000000)</f>
        <v/>
      </c>
      <c r="Z37">
        <f>IF($Y37="","",_xludf.RANK.EQ($Y37,$Y$2:$Y$201,0))</f>
        <v/>
      </c>
    </row>
    <row r="38">
      <c r="R38">
        <f>IFERROR(IF($Q38="","",$Q38/$H38),"")</f>
        <v/>
      </c>
      <c r="S38">
        <f>IFERROR(IF($Q38="","",$Q38/$G38),"")</f>
        <v/>
      </c>
      <c r="W38">
        <f>IF(AND($L38="",$N38="",$P38=""),"",ROUND((IF($L38="",0,IF($L38&lt;=Einstellungen!$B$16,100,IF($L38&lt;=Einstellungen!$C$16,80+(100-80)*(Einstellungen!$C$16-$L38)/(Einstellungen!$C$16-Einstellungen!$B$16),IF($L38&lt;=Einstellungen!$D$16,80*(Einstellungen!$D$16-$L38)/(Einstellungen!$D$16-Einstellungen!$C$16),0))))*Einstellungen!$E$16+IF($N38="",0,IF($N38&lt;=Einstellungen!$B$17,100,IF($N38&lt;=Einstellungen!$C$17,80+(100-80)*(Einstellungen!$C$17-$N38)/(Einstellungen!$C$17-Einstellungen!$B$17),IF($N38&lt;=Einstellungen!$D$17,80*(Einstellungen!$D$17-$N38)/(Einstellungen!$D$17-Einstellungen!$C$17),0))))*Einstellungen!$E$17+IF($P38="",0,IF($P38&lt;=Einstellungen!$B$18,100,IF($P38&lt;=Einstellungen!$C$18,80+(100-80)*(Einstellungen!$C$18-$P38)/(Einstellungen!$C$18-Einstellungen!$B$18),IF($P38&lt;=Einstellungen!$D$18,80*(Einstellungen!$D$18-$P38)/(Einstellungen!$D$18-Einstellungen!$C$18),0))))*Einstellungen!$E$18)/(Einstellungen!$E$16+Einstellungen!$E$17+Einstellungen!$E$18),0))</f>
        <v/>
      </c>
      <c r="X38">
        <f>IF(AND($E38="",$D38="",$G38="",$V38="",$Q38="",$T38="",$W38="",$U38=""),"",ROUND(IF($E38="",0,IF($E38&lt;Einstellungen!$B$21,0,IF($E38&gt;=Einstellungen!$B$22,100,($E38-Einstellungen!$B$21)/(Einstellungen!$B$22-Einstellungen!$B$21)*100)))/100*Einstellungen!$B$5+IF($W38="",0,$W38/100)*Einstellungen!$B$6+(IF($G38="",0,MAX(0,MIN(100,($G38-Einstellungen!$B$25)/(Einstellungen!$B$26-Einstellungen!$B$25)*100)))+IF($I38="",0,MAX(0,MIN(100,($I38-Einstellungen!$B$27)/(Einstellungen!$B$28-Einstellungen!$B$27)*100))))/2/100*Einstellungen!$B$7+IF($V38="",0,$V38/100)*Einstellungen!$B$8+IF($R38="",0,MAX(0,MIN(100,(Einstellungen!$B$32-$R38)/(Einstellungen!$B$32-Einstellungen!$B$31)*100)))/100*Einstellungen!$B$9+IF($D38="",0,$D38/5*100)/100*Einstellungen!$B$10+IF($AD38="",0,$AD38)/100*Einstellungen!$B$11+IF($U38="",0,$U38/5*100)/100*Einstellungen!$B$12,0))</f>
        <v/>
      </c>
      <c r="Y38">
        <f>IF($X38="","",$X38*1000000000000+IF($G38="",0,$G38)*1000000+IF($H38="",0,$H38)*1000+IF($I38="",0,$I38)+IF($N38="",0,MAX(0,1000-$N38))/1000+IF($A38="",0,$A38)/1000000)</f>
        <v/>
      </c>
      <c r="Z38">
        <f>IF($Y38="","",_xludf.RANK.EQ($Y38,$Y$2:$Y$201,0))</f>
        <v/>
      </c>
    </row>
    <row r="39">
      <c r="R39">
        <f>IFERROR(IF($Q39="","",$Q39/$H39),"")</f>
        <v/>
      </c>
      <c r="S39">
        <f>IFERROR(IF($Q39="","",$Q39/$G39),"")</f>
        <v/>
      </c>
      <c r="W39">
        <f>IF(AND($L39="",$N39="",$P39=""),"",ROUND((IF($L39="",0,IF($L39&lt;=Einstellungen!$B$16,100,IF($L39&lt;=Einstellungen!$C$16,80+(100-80)*(Einstellungen!$C$16-$L39)/(Einstellungen!$C$16-Einstellungen!$B$16),IF($L39&lt;=Einstellungen!$D$16,80*(Einstellungen!$D$16-$L39)/(Einstellungen!$D$16-Einstellungen!$C$16),0))))*Einstellungen!$E$16+IF($N39="",0,IF($N39&lt;=Einstellungen!$B$17,100,IF($N39&lt;=Einstellungen!$C$17,80+(100-80)*(Einstellungen!$C$17-$N39)/(Einstellungen!$C$17-Einstellungen!$B$17),IF($N39&lt;=Einstellungen!$D$17,80*(Einstellungen!$D$17-$N39)/(Einstellungen!$D$17-Einstellungen!$C$17),0))))*Einstellungen!$E$17+IF($P39="",0,IF($P39&lt;=Einstellungen!$B$18,100,IF($P39&lt;=Einstellungen!$C$18,80+(100-80)*(Einstellungen!$C$18-$P39)/(Einstellungen!$C$18-Einstellungen!$B$18),IF($P39&lt;=Einstellungen!$D$18,80*(Einstellungen!$D$18-$P39)/(Einstellungen!$D$18-Einstellungen!$C$18),0))))*Einstellungen!$E$18)/(Einstellungen!$E$16+Einstellungen!$E$17+Einstellungen!$E$18),0))</f>
        <v/>
      </c>
      <c r="X39">
        <f>IF(AND($E39="",$D39="",$G39="",$V39="",$Q39="",$T39="",$W39="",$U39=""),"",ROUND(IF($E39="",0,IF($E39&lt;Einstellungen!$B$21,0,IF($E39&gt;=Einstellungen!$B$22,100,($E39-Einstellungen!$B$21)/(Einstellungen!$B$22-Einstellungen!$B$21)*100)))/100*Einstellungen!$B$5+IF($W39="",0,$W39/100)*Einstellungen!$B$6+(IF($G39="",0,MAX(0,MIN(100,($G39-Einstellungen!$B$25)/(Einstellungen!$B$26-Einstellungen!$B$25)*100)))+IF($I39="",0,MAX(0,MIN(100,($I39-Einstellungen!$B$27)/(Einstellungen!$B$28-Einstellungen!$B$27)*100))))/2/100*Einstellungen!$B$7+IF($V39="",0,$V39/100)*Einstellungen!$B$8+IF($R39="",0,MAX(0,MIN(100,(Einstellungen!$B$32-$R39)/(Einstellungen!$B$32-Einstellungen!$B$31)*100)))/100*Einstellungen!$B$9+IF($D39="",0,$D39/5*100)/100*Einstellungen!$B$10+IF($AD39="",0,$AD39)/100*Einstellungen!$B$11+IF($U39="",0,$U39/5*100)/100*Einstellungen!$B$12,0))</f>
        <v/>
      </c>
      <c r="Y39">
        <f>IF($X39="","",$X39*1000000000000+IF($G39="",0,$G39)*1000000+IF($H39="",0,$H39)*1000+IF($I39="",0,$I39)+IF($N39="",0,MAX(0,1000-$N39))/1000+IF($A39="",0,$A39)/1000000)</f>
        <v/>
      </c>
      <c r="Z39">
        <f>IF($Y39="","",_xludf.RANK.EQ($Y39,$Y$2:$Y$201,0))</f>
        <v/>
      </c>
    </row>
    <row r="40">
      <c r="R40">
        <f>IFERROR(IF($Q40="","",$Q40/$H40),"")</f>
        <v/>
      </c>
      <c r="S40">
        <f>IFERROR(IF($Q40="","",$Q40/$G40),"")</f>
        <v/>
      </c>
      <c r="W40">
        <f>IF(AND($L40="",$N40="",$P40=""),"",ROUND((IF($L40="",0,IF($L40&lt;=Einstellungen!$B$16,100,IF($L40&lt;=Einstellungen!$C$16,80+(100-80)*(Einstellungen!$C$16-$L40)/(Einstellungen!$C$16-Einstellungen!$B$16),IF($L40&lt;=Einstellungen!$D$16,80*(Einstellungen!$D$16-$L40)/(Einstellungen!$D$16-Einstellungen!$C$16),0))))*Einstellungen!$E$16+IF($N40="",0,IF($N40&lt;=Einstellungen!$B$17,100,IF($N40&lt;=Einstellungen!$C$17,80+(100-80)*(Einstellungen!$C$17-$N40)/(Einstellungen!$C$17-Einstellungen!$B$17),IF($N40&lt;=Einstellungen!$D$17,80*(Einstellungen!$D$17-$N40)/(Einstellungen!$D$17-Einstellungen!$C$17),0))))*Einstellungen!$E$17+IF($P40="",0,IF($P40&lt;=Einstellungen!$B$18,100,IF($P40&lt;=Einstellungen!$C$18,80+(100-80)*(Einstellungen!$C$18-$P40)/(Einstellungen!$C$18-Einstellungen!$B$18),IF($P40&lt;=Einstellungen!$D$18,80*(Einstellungen!$D$18-$P40)/(Einstellungen!$D$18-Einstellungen!$C$18),0))))*Einstellungen!$E$18)/(Einstellungen!$E$16+Einstellungen!$E$17+Einstellungen!$E$18),0))</f>
        <v/>
      </c>
      <c r="X40">
        <f>IF(AND($E40="",$D40="",$G40="",$V40="",$Q40="",$T40="",$W40="",$U40=""),"",ROUND(IF($E40="",0,IF($E40&lt;Einstellungen!$B$21,0,IF($E40&gt;=Einstellungen!$B$22,100,($E40-Einstellungen!$B$21)/(Einstellungen!$B$22-Einstellungen!$B$21)*100)))/100*Einstellungen!$B$5+IF($W40="",0,$W40/100)*Einstellungen!$B$6+(IF($G40="",0,MAX(0,MIN(100,($G40-Einstellungen!$B$25)/(Einstellungen!$B$26-Einstellungen!$B$25)*100)))+IF($I40="",0,MAX(0,MIN(100,($I40-Einstellungen!$B$27)/(Einstellungen!$B$28-Einstellungen!$B$27)*100))))/2/100*Einstellungen!$B$7+IF($V40="",0,$V40/100)*Einstellungen!$B$8+IF($R40="",0,MAX(0,MIN(100,(Einstellungen!$B$32-$R40)/(Einstellungen!$B$32-Einstellungen!$B$31)*100)))/100*Einstellungen!$B$9+IF($D40="",0,$D40/5*100)/100*Einstellungen!$B$10+IF($AD40="",0,$AD40)/100*Einstellungen!$B$11+IF($U40="",0,$U40/5*100)/100*Einstellungen!$B$12,0))</f>
        <v/>
      </c>
      <c r="Y40">
        <f>IF($X40="","",$X40*1000000000000+IF($G40="",0,$G40)*1000000+IF($H40="",0,$H40)*1000+IF($I40="",0,$I40)+IF($N40="",0,MAX(0,1000-$N40))/1000+IF($A40="",0,$A40)/1000000)</f>
        <v/>
      </c>
      <c r="Z40">
        <f>IF($Y40="","",_xludf.RANK.EQ($Y40,$Y$2:$Y$201,0))</f>
        <v/>
      </c>
    </row>
    <row r="41">
      <c r="R41">
        <f>IFERROR(IF($Q41="","",$Q41/$H41),"")</f>
        <v/>
      </c>
      <c r="S41">
        <f>IFERROR(IF($Q41="","",$Q41/$G41),"")</f>
        <v/>
      </c>
      <c r="W41">
        <f>IF(AND($L41="",$N41="",$P41=""),"",ROUND((IF($L41="",0,IF($L41&lt;=Einstellungen!$B$16,100,IF($L41&lt;=Einstellungen!$C$16,80+(100-80)*(Einstellungen!$C$16-$L41)/(Einstellungen!$C$16-Einstellungen!$B$16),IF($L41&lt;=Einstellungen!$D$16,80*(Einstellungen!$D$16-$L41)/(Einstellungen!$D$16-Einstellungen!$C$16),0))))*Einstellungen!$E$16+IF($N41="",0,IF($N41&lt;=Einstellungen!$B$17,100,IF($N41&lt;=Einstellungen!$C$17,80+(100-80)*(Einstellungen!$C$17-$N41)/(Einstellungen!$C$17-Einstellungen!$B$17),IF($N41&lt;=Einstellungen!$D$17,80*(Einstellungen!$D$17-$N41)/(Einstellungen!$D$17-Einstellungen!$C$17),0))))*Einstellungen!$E$17+IF($P41="",0,IF($P41&lt;=Einstellungen!$B$18,100,IF($P41&lt;=Einstellungen!$C$18,80+(100-80)*(Einstellungen!$C$18-$P41)/(Einstellungen!$C$18-Einstellungen!$B$18),IF($P41&lt;=Einstellungen!$D$18,80*(Einstellungen!$D$18-$P41)/(Einstellungen!$D$18-Einstellungen!$C$18),0))))*Einstellungen!$E$18)/(Einstellungen!$E$16+Einstellungen!$E$17+Einstellungen!$E$18),0))</f>
        <v/>
      </c>
      <c r="X41">
        <f>IF(AND($E41="",$D41="",$G41="",$V41="",$Q41="",$T41="",$W41="",$U41=""),"",ROUND(IF($E41="",0,IF($E41&lt;Einstellungen!$B$21,0,IF($E41&gt;=Einstellungen!$B$22,100,($E41-Einstellungen!$B$21)/(Einstellungen!$B$22-Einstellungen!$B$21)*100)))/100*Einstellungen!$B$5+IF($W41="",0,$W41/100)*Einstellungen!$B$6+(IF($G41="",0,MAX(0,MIN(100,($G41-Einstellungen!$B$25)/(Einstellungen!$B$26-Einstellungen!$B$25)*100)))+IF($I41="",0,MAX(0,MIN(100,($I41-Einstellungen!$B$27)/(Einstellungen!$B$28-Einstellungen!$B$27)*100))))/2/100*Einstellungen!$B$7+IF($V41="",0,$V41/100)*Einstellungen!$B$8+IF($R41="",0,MAX(0,MIN(100,(Einstellungen!$B$32-$R41)/(Einstellungen!$B$32-Einstellungen!$B$31)*100)))/100*Einstellungen!$B$9+IF($D41="",0,$D41/5*100)/100*Einstellungen!$B$10+IF($AD41="",0,$AD41)/100*Einstellungen!$B$11+IF($U41="",0,$U41/5*100)/100*Einstellungen!$B$12,0))</f>
        <v/>
      </c>
      <c r="Y41">
        <f>IF($X41="","",$X41*1000000000000+IF($G41="",0,$G41)*1000000+IF($H41="",0,$H41)*1000+IF($I41="",0,$I41)+IF($N41="",0,MAX(0,1000-$N41))/1000+IF($A41="",0,$A41)/1000000)</f>
        <v/>
      </c>
      <c r="Z41">
        <f>IF($Y41="","",_xludf.RANK.EQ($Y41,$Y$2:$Y$201,0))</f>
        <v/>
      </c>
    </row>
    <row r="42">
      <c r="R42">
        <f>IFERROR(IF($Q42="","",$Q42/$H42),"")</f>
        <v/>
      </c>
      <c r="S42">
        <f>IFERROR(IF($Q42="","",$Q42/$G42),"")</f>
        <v/>
      </c>
      <c r="W42">
        <f>IF(AND($L42="",$N42="",$P42=""),"",ROUND((IF($L42="",0,IF($L42&lt;=Einstellungen!$B$16,100,IF($L42&lt;=Einstellungen!$C$16,80+(100-80)*(Einstellungen!$C$16-$L42)/(Einstellungen!$C$16-Einstellungen!$B$16),IF($L42&lt;=Einstellungen!$D$16,80*(Einstellungen!$D$16-$L42)/(Einstellungen!$D$16-Einstellungen!$C$16),0))))*Einstellungen!$E$16+IF($N42="",0,IF($N42&lt;=Einstellungen!$B$17,100,IF($N42&lt;=Einstellungen!$C$17,80+(100-80)*(Einstellungen!$C$17-$N42)/(Einstellungen!$C$17-Einstellungen!$B$17),IF($N42&lt;=Einstellungen!$D$17,80*(Einstellungen!$D$17-$N42)/(Einstellungen!$D$17-Einstellungen!$C$17),0))))*Einstellungen!$E$17+IF($P42="",0,IF($P42&lt;=Einstellungen!$B$18,100,IF($P42&lt;=Einstellungen!$C$18,80+(100-80)*(Einstellungen!$C$18-$P42)/(Einstellungen!$C$18-Einstellungen!$B$18),IF($P42&lt;=Einstellungen!$D$18,80*(Einstellungen!$D$18-$P42)/(Einstellungen!$D$18-Einstellungen!$C$18),0))))*Einstellungen!$E$18)/(Einstellungen!$E$16+Einstellungen!$E$17+Einstellungen!$E$18),0))</f>
        <v/>
      </c>
      <c r="X42">
        <f>IF(AND($E42="",$D42="",$G42="",$V42="",$Q42="",$T42="",$W42="",$U42=""),"",ROUND(IF($E42="",0,IF($E42&lt;Einstellungen!$B$21,0,IF($E42&gt;=Einstellungen!$B$22,100,($E42-Einstellungen!$B$21)/(Einstellungen!$B$22-Einstellungen!$B$21)*100)))/100*Einstellungen!$B$5+IF($W42="",0,$W42/100)*Einstellungen!$B$6+(IF($G42="",0,MAX(0,MIN(100,($G42-Einstellungen!$B$25)/(Einstellungen!$B$26-Einstellungen!$B$25)*100)))+IF($I42="",0,MAX(0,MIN(100,($I42-Einstellungen!$B$27)/(Einstellungen!$B$28-Einstellungen!$B$27)*100))))/2/100*Einstellungen!$B$7+IF($V42="",0,$V42/100)*Einstellungen!$B$8+IF($R42="",0,MAX(0,MIN(100,(Einstellungen!$B$32-$R42)/(Einstellungen!$B$32-Einstellungen!$B$31)*100)))/100*Einstellungen!$B$9+IF($D42="",0,$D42/5*100)/100*Einstellungen!$B$10+IF($AD42="",0,$AD42)/100*Einstellungen!$B$11+IF($U42="",0,$U42/5*100)/100*Einstellungen!$B$12,0))</f>
        <v/>
      </c>
      <c r="Y42">
        <f>IF($X42="","",$X42*1000000000000+IF($G42="",0,$G42)*1000000+IF($H42="",0,$H42)*1000+IF($I42="",0,$I42)+IF($N42="",0,MAX(0,1000-$N42))/1000+IF($A42="",0,$A42)/1000000)</f>
        <v/>
      </c>
      <c r="Z42">
        <f>IF($Y42="","",_xludf.RANK.EQ($Y42,$Y$2:$Y$201,0))</f>
        <v/>
      </c>
    </row>
    <row r="43">
      <c r="R43">
        <f>IFERROR(IF($Q43="","",$Q43/$H43),"")</f>
        <v/>
      </c>
      <c r="S43">
        <f>IFERROR(IF($Q43="","",$Q43/$G43),"")</f>
        <v/>
      </c>
      <c r="W43">
        <f>IF(AND($L43="",$N43="",$P43=""),"",ROUND((IF($L43="",0,IF($L43&lt;=Einstellungen!$B$16,100,IF($L43&lt;=Einstellungen!$C$16,80+(100-80)*(Einstellungen!$C$16-$L43)/(Einstellungen!$C$16-Einstellungen!$B$16),IF($L43&lt;=Einstellungen!$D$16,80*(Einstellungen!$D$16-$L43)/(Einstellungen!$D$16-Einstellungen!$C$16),0))))*Einstellungen!$E$16+IF($N43="",0,IF($N43&lt;=Einstellungen!$B$17,100,IF($N43&lt;=Einstellungen!$C$17,80+(100-80)*(Einstellungen!$C$17-$N43)/(Einstellungen!$C$17-Einstellungen!$B$17),IF($N43&lt;=Einstellungen!$D$17,80*(Einstellungen!$D$17-$N43)/(Einstellungen!$D$17-Einstellungen!$C$17),0))))*Einstellungen!$E$17+IF($P43="",0,IF($P43&lt;=Einstellungen!$B$18,100,IF($P43&lt;=Einstellungen!$C$18,80+(100-80)*(Einstellungen!$C$18-$P43)/(Einstellungen!$C$18-Einstellungen!$B$18),IF($P43&lt;=Einstellungen!$D$18,80*(Einstellungen!$D$18-$P43)/(Einstellungen!$D$18-Einstellungen!$C$18),0))))*Einstellungen!$E$18)/(Einstellungen!$E$16+Einstellungen!$E$17+Einstellungen!$E$18),0))</f>
        <v/>
      </c>
      <c r="X43">
        <f>IF(AND($E43="",$D43="",$G43="",$V43="",$Q43="",$T43="",$W43="",$U43=""),"",ROUND(IF($E43="",0,IF($E43&lt;Einstellungen!$B$21,0,IF($E43&gt;=Einstellungen!$B$22,100,($E43-Einstellungen!$B$21)/(Einstellungen!$B$22-Einstellungen!$B$21)*100)))/100*Einstellungen!$B$5+IF($W43="",0,$W43/100)*Einstellungen!$B$6+(IF($G43="",0,MAX(0,MIN(100,($G43-Einstellungen!$B$25)/(Einstellungen!$B$26-Einstellungen!$B$25)*100)))+IF($I43="",0,MAX(0,MIN(100,($I43-Einstellungen!$B$27)/(Einstellungen!$B$28-Einstellungen!$B$27)*100))))/2/100*Einstellungen!$B$7+IF($V43="",0,$V43/100)*Einstellungen!$B$8+IF($R43="",0,MAX(0,MIN(100,(Einstellungen!$B$32-$R43)/(Einstellungen!$B$32-Einstellungen!$B$31)*100)))/100*Einstellungen!$B$9+IF($D43="",0,$D43/5*100)/100*Einstellungen!$B$10+IF($AD43="",0,$AD43)/100*Einstellungen!$B$11+IF($U43="",0,$U43/5*100)/100*Einstellungen!$B$12,0))</f>
        <v/>
      </c>
      <c r="Y43">
        <f>IF($X43="","",$X43*1000000000000+IF($G43="",0,$G43)*1000000+IF($H43="",0,$H43)*1000+IF($I43="",0,$I43)+IF($N43="",0,MAX(0,1000-$N43))/1000+IF($A43="",0,$A43)/1000000)</f>
        <v/>
      </c>
      <c r="Z43">
        <f>IF($Y43="","",_xludf.RANK.EQ($Y43,$Y$2:$Y$201,0))</f>
        <v/>
      </c>
    </row>
    <row r="44">
      <c r="R44">
        <f>IFERROR(IF($Q44="","",$Q44/$H44),"")</f>
        <v/>
      </c>
      <c r="S44">
        <f>IFERROR(IF($Q44="","",$Q44/$G44),"")</f>
        <v/>
      </c>
      <c r="W44">
        <f>IF(AND($L44="",$N44="",$P44=""),"",ROUND((IF($L44="",0,IF($L44&lt;=Einstellungen!$B$16,100,IF($L44&lt;=Einstellungen!$C$16,80+(100-80)*(Einstellungen!$C$16-$L44)/(Einstellungen!$C$16-Einstellungen!$B$16),IF($L44&lt;=Einstellungen!$D$16,80*(Einstellungen!$D$16-$L44)/(Einstellungen!$D$16-Einstellungen!$C$16),0))))*Einstellungen!$E$16+IF($N44="",0,IF($N44&lt;=Einstellungen!$B$17,100,IF($N44&lt;=Einstellungen!$C$17,80+(100-80)*(Einstellungen!$C$17-$N44)/(Einstellungen!$C$17-Einstellungen!$B$17),IF($N44&lt;=Einstellungen!$D$17,80*(Einstellungen!$D$17-$N44)/(Einstellungen!$D$17-Einstellungen!$C$17),0))))*Einstellungen!$E$17+IF($P44="",0,IF($P44&lt;=Einstellungen!$B$18,100,IF($P44&lt;=Einstellungen!$C$18,80+(100-80)*(Einstellungen!$C$18-$P44)/(Einstellungen!$C$18-Einstellungen!$B$18),IF($P44&lt;=Einstellungen!$D$18,80*(Einstellungen!$D$18-$P44)/(Einstellungen!$D$18-Einstellungen!$C$18),0))))*Einstellungen!$E$18)/(Einstellungen!$E$16+Einstellungen!$E$17+Einstellungen!$E$18),0))</f>
        <v/>
      </c>
      <c r="X44">
        <f>IF(AND($E44="",$D44="",$G44="",$V44="",$Q44="",$T44="",$W44="",$U44=""),"",ROUND(IF($E44="",0,IF($E44&lt;Einstellungen!$B$21,0,IF($E44&gt;=Einstellungen!$B$22,100,($E44-Einstellungen!$B$21)/(Einstellungen!$B$22-Einstellungen!$B$21)*100)))/100*Einstellungen!$B$5+IF($W44="",0,$W44/100)*Einstellungen!$B$6+(IF($G44="",0,MAX(0,MIN(100,($G44-Einstellungen!$B$25)/(Einstellungen!$B$26-Einstellungen!$B$25)*100)))+IF($I44="",0,MAX(0,MIN(100,($I44-Einstellungen!$B$27)/(Einstellungen!$B$28-Einstellungen!$B$27)*100))))/2/100*Einstellungen!$B$7+IF($V44="",0,$V44/100)*Einstellungen!$B$8+IF($R44="",0,MAX(0,MIN(100,(Einstellungen!$B$32-$R44)/(Einstellungen!$B$32-Einstellungen!$B$31)*100)))/100*Einstellungen!$B$9+IF($D44="",0,$D44/5*100)/100*Einstellungen!$B$10+IF($AD44="",0,$AD44)/100*Einstellungen!$B$11+IF($U44="",0,$U44/5*100)/100*Einstellungen!$B$12,0))</f>
        <v/>
      </c>
      <c r="Y44">
        <f>IF($X44="","",$X44*1000000000000+IF($G44="",0,$G44)*1000000+IF($H44="",0,$H44)*1000+IF($I44="",0,$I44)+IF($N44="",0,MAX(0,1000-$N44))/1000+IF($A44="",0,$A44)/1000000)</f>
        <v/>
      </c>
      <c r="Z44">
        <f>IF($Y44="","",_xludf.RANK.EQ($Y44,$Y$2:$Y$201,0))</f>
        <v/>
      </c>
    </row>
    <row r="45">
      <c r="R45">
        <f>IFERROR(IF($Q45="","",$Q45/$H45),"")</f>
        <v/>
      </c>
      <c r="S45">
        <f>IFERROR(IF($Q45="","",$Q45/$G45),"")</f>
        <v/>
      </c>
      <c r="W45">
        <f>IF(AND($L45="",$N45="",$P45=""),"",ROUND((IF($L45="",0,IF($L45&lt;=Einstellungen!$B$16,100,IF($L45&lt;=Einstellungen!$C$16,80+(100-80)*(Einstellungen!$C$16-$L45)/(Einstellungen!$C$16-Einstellungen!$B$16),IF($L45&lt;=Einstellungen!$D$16,80*(Einstellungen!$D$16-$L45)/(Einstellungen!$D$16-Einstellungen!$C$16),0))))*Einstellungen!$E$16+IF($N45="",0,IF($N45&lt;=Einstellungen!$B$17,100,IF($N45&lt;=Einstellungen!$C$17,80+(100-80)*(Einstellungen!$C$17-$N45)/(Einstellungen!$C$17-Einstellungen!$B$17),IF($N45&lt;=Einstellungen!$D$17,80*(Einstellungen!$D$17-$N45)/(Einstellungen!$D$17-Einstellungen!$C$17),0))))*Einstellungen!$E$17+IF($P45="",0,IF($P45&lt;=Einstellungen!$B$18,100,IF($P45&lt;=Einstellungen!$C$18,80+(100-80)*(Einstellungen!$C$18-$P45)/(Einstellungen!$C$18-Einstellungen!$B$18),IF($P45&lt;=Einstellungen!$D$18,80*(Einstellungen!$D$18-$P45)/(Einstellungen!$D$18-Einstellungen!$C$18),0))))*Einstellungen!$E$18)/(Einstellungen!$E$16+Einstellungen!$E$17+Einstellungen!$E$18),0))</f>
        <v/>
      </c>
      <c r="X45">
        <f>IF(AND($E45="",$D45="",$G45="",$V45="",$Q45="",$T45="",$W45="",$U45=""),"",ROUND(IF($E45="",0,IF($E45&lt;Einstellungen!$B$21,0,IF($E45&gt;=Einstellungen!$B$22,100,($E45-Einstellungen!$B$21)/(Einstellungen!$B$22-Einstellungen!$B$21)*100)))/100*Einstellungen!$B$5+IF($W45="",0,$W45/100)*Einstellungen!$B$6+(IF($G45="",0,MAX(0,MIN(100,($G45-Einstellungen!$B$25)/(Einstellungen!$B$26-Einstellungen!$B$25)*100)))+IF($I45="",0,MAX(0,MIN(100,($I45-Einstellungen!$B$27)/(Einstellungen!$B$28-Einstellungen!$B$27)*100))))/2/100*Einstellungen!$B$7+IF($V45="",0,$V45/100)*Einstellungen!$B$8+IF($R45="",0,MAX(0,MIN(100,(Einstellungen!$B$32-$R45)/(Einstellungen!$B$32-Einstellungen!$B$31)*100)))/100*Einstellungen!$B$9+IF($D45="",0,$D45/5*100)/100*Einstellungen!$B$10+IF($AD45="",0,$AD45)/100*Einstellungen!$B$11+IF($U45="",0,$U45/5*100)/100*Einstellungen!$B$12,0))</f>
        <v/>
      </c>
      <c r="Y45">
        <f>IF($X45="","",$X45*1000000000000+IF($G45="",0,$G45)*1000000+IF($H45="",0,$H45)*1000+IF($I45="",0,$I45)+IF($N45="",0,MAX(0,1000-$N45))/1000+IF($A45="",0,$A45)/1000000)</f>
        <v/>
      </c>
      <c r="Z45">
        <f>IF($Y45="","",_xludf.RANK.EQ($Y45,$Y$2:$Y$201,0))</f>
        <v/>
      </c>
    </row>
    <row r="46">
      <c r="R46">
        <f>IFERROR(IF($Q46="","",$Q46/$H46),"")</f>
        <v/>
      </c>
      <c r="S46">
        <f>IFERROR(IF($Q46="","",$Q46/$G46),"")</f>
        <v/>
      </c>
      <c r="W46">
        <f>IF(AND($L46="",$N46="",$P46=""),"",ROUND((IF($L46="",0,IF($L46&lt;=Einstellungen!$B$16,100,IF($L46&lt;=Einstellungen!$C$16,80+(100-80)*(Einstellungen!$C$16-$L46)/(Einstellungen!$C$16-Einstellungen!$B$16),IF($L46&lt;=Einstellungen!$D$16,80*(Einstellungen!$D$16-$L46)/(Einstellungen!$D$16-Einstellungen!$C$16),0))))*Einstellungen!$E$16+IF($N46="",0,IF($N46&lt;=Einstellungen!$B$17,100,IF($N46&lt;=Einstellungen!$C$17,80+(100-80)*(Einstellungen!$C$17-$N46)/(Einstellungen!$C$17-Einstellungen!$B$17),IF($N46&lt;=Einstellungen!$D$17,80*(Einstellungen!$D$17-$N46)/(Einstellungen!$D$17-Einstellungen!$C$17),0))))*Einstellungen!$E$17+IF($P46="",0,IF($P46&lt;=Einstellungen!$B$18,100,IF($P46&lt;=Einstellungen!$C$18,80+(100-80)*(Einstellungen!$C$18-$P46)/(Einstellungen!$C$18-Einstellungen!$B$18),IF($P46&lt;=Einstellungen!$D$18,80*(Einstellungen!$D$18-$P46)/(Einstellungen!$D$18-Einstellungen!$C$18),0))))*Einstellungen!$E$18)/(Einstellungen!$E$16+Einstellungen!$E$17+Einstellungen!$E$18),0))</f>
        <v/>
      </c>
      <c r="X46">
        <f>IF(AND($E46="",$D46="",$G46="",$V46="",$Q46="",$T46="",$W46="",$U46=""),"",ROUND(IF($E46="",0,IF($E46&lt;Einstellungen!$B$21,0,IF($E46&gt;=Einstellungen!$B$22,100,($E46-Einstellungen!$B$21)/(Einstellungen!$B$22-Einstellungen!$B$21)*100)))/100*Einstellungen!$B$5+IF($W46="",0,$W46/100)*Einstellungen!$B$6+(IF($G46="",0,MAX(0,MIN(100,($G46-Einstellungen!$B$25)/(Einstellungen!$B$26-Einstellungen!$B$25)*100)))+IF($I46="",0,MAX(0,MIN(100,($I46-Einstellungen!$B$27)/(Einstellungen!$B$28-Einstellungen!$B$27)*100))))/2/100*Einstellungen!$B$7+IF($V46="",0,$V46/100)*Einstellungen!$B$8+IF($R46="",0,MAX(0,MIN(100,(Einstellungen!$B$32-$R46)/(Einstellungen!$B$32-Einstellungen!$B$31)*100)))/100*Einstellungen!$B$9+IF($D46="",0,$D46/5*100)/100*Einstellungen!$B$10+IF($AD46="",0,$AD46)/100*Einstellungen!$B$11+IF($U46="",0,$U46/5*100)/100*Einstellungen!$B$12,0))</f>
        <v/>
      </c>
      <c r="Y46">
        <f>IF($X46="","",$X46*1000000000000+IF($G46="",0,$G46)*1000000+IF($H46="",0,$H46)*1000+IF($I46="",0,$I46)+IF($N46="",0,MAX(0,1000-$N46))/1000+IF($A46="",0,$A46)/1000000)</f>
        <v/>
      </c>
      <c r="Z46">
        <f>IF($Y46="","",_xludf.RANK.EQ($Y46,$Y$2:$Y$201,0))</f>
        <v/>
      </c>
    </row>
    <row r="47">
      <c r="R47">
        <f>IFERROR(IF($Q47="","",$Q47/$H47),"")</f>
        <v/>
      </c>
      <c r="S47">
        <f>IFERROR(IF($Q47="","",$Q47/$G47),"")</f>
        <v/>
      </c>
      <c r="W47">
        <f>IF(AND($L47="",$N47="",$P47=""),"",ROUND((IF($L47="",0,IF($L47&lt;=Einstellungen!$B$16,100,IF($L47&lt;=Einstellungen!$C$16,80+(100-80)*(Einstellungen!$C$16-$L47)/(Einstellungen!$C$16-Einstellungen!$B$16),IF($L47&lt;=Einstellungen!$D$16,80*(Einstellungen!$D$16-$L47)/(Einstellungen!$D$16-Einstellungen!$C$16),0))))*Einstellungen!$E$16+IF($N47="",0,IF($N47&lt;=Einstellungen!$B$17,100,IF($N47&lt;=Einstellungen!$C$17,80+(100-80)*(Einstellungen!$C$17-$N47)/(Einstellungen!$C$17-Einstellungen!$B$17),IF($N47&lt;=Einstellungen!$D$17,80*(Einstellungen!$D$17-$N47)/(Einstellungen!$D$17-Einstellungen!$C$17),0))))*Einstellungen!$E$17+IF($P47="",0,IF($P47&lt;=Einstellungen!$B$18,100,IF($P47&lt;=Einstellungen!$C$18,80+(100-80)*(Einstellungen!$C$18-$P47)/(Einstellungen!$C$18-Einstellungen!$B$18),IF($P47&lt;=Einstellungen!$D$18,80*(Einstellungen!$D$18-$P47)/(Einstellungen!$D$18-Einstellungen!$C$18),0))))*Einstellungen!$E$18)/(Einstellungen!$E$16+Einstellungen!$E$17+Einstellungen!$E$18),0))</f>
        <v/>
      </c>
      <c r="X47">
        <f>IF(AND($E47="",$D47="",$G47="",$V47="",$Q47="",$T47="",$W47="",$U47=""),"",ROUND(IF($E47="",0,IF($E47&lt;Einstellungen!$B$21,0,IF($E47&gt;=Einstellungen!$B$22,100,($E47-Einstellungen!$B$21)/(Einstellungen!$B$22-Einstellungen!$B$21)*100)))/100*Einstellungen!$B$5+IF($W47="",0,$W47/100)*Einstellungen!$B$6+(IF($G47="",0,MAX(0,MIN(100,($G47-Einstellungen!$B$25)/(Einstellungen!$B$26-Einstellungen!$B$25)*100)))+IF($I47="",0,MAX(0,MIN(100,($I47-Einstellungen!$B$27)/(Einstellungen!$B$28-Einstellungen!$B$27)*100))))/2/100*Einstellungen!$B$7+IF($V47="",0,$V47/100)*Einstellungen!$B$8+IF($R47="",0,MAX(0,MIN(100,(Einstellungen!$B$32-$R47)/(Einstellungen!$B$32-Einstellungen!$B$31)*100)))/100*Einstellungen!$B$9+IF($D47="",0,$D47/5*100)/100*Einstellungen!$B$10+IF($AD47="",0,$AD47)/100*Einstellungen!$B$11+IF($U47="",0,$U47/5*100)/100*Einstellungen!$B$12,0))</f>
        <v/>
      </c>
      <c r="Y47">
        <f>IF($X47="","",$X47*1000000000000+IF($G47="",0,$G47)*1000000+IF($H47="",0,$H47)*1000+IF($I47="",0,$I47)+IF($N47="",0,MAX(0,1000-$N47))/1000+IF($A47="",0,$A47)/1000000)</f>
        <v/>
      </c>
      <c r="Z47">
        <f>IF($Y47="","",_xludf.RANK.EQ($Y47,$Y$2:$Y$201,0))</f>
        <v/>
      </c>
    </row>
    <row r="48">
      <c r="R48">
        <f>IFERROR(IF($Q48="","",$Q48/$H48),"")</f>
        <v/>
      </c>
      <c r="S48">
        <f>IFERROR(IF($Q48="","",$Q48/$G48),"")</f>
        <v/>
      </c>
      <c r="W48">
        <f>IF(AND($L48="",$N48="",$P48=""),"",ROUND((IF($L48="",0,IF($L48&lt;=Einstellungen!$B$16,100,IF($L48&lt;=Einstellungen!$C$16,80+(100-80)*(Einstellungen!$C$16-$L48)/(Einstellungen!$C$16-Einstellungen!$B$16),IF($L48&lt;=Einstellungen!$D$16,80*(Einstellungen!$D$16-$L48)/(Einstellungen!$D$16-Einstellungen!$C$16),0))))*Einstellungen!$E$16+IF($N48="",0,IF($N48&lt;=Einstellungen!$B$17,100,IF($N48&lt;=Einstellungen!$C$17,80+(100-80)*(Einstellungen!$C$17-$N48)/(Einstellungen!$C$17-Einstellungen!$B$17),IF($N48&lt;=Einstellungen!$D$17,80*(Einstellungen!$D$17-$N48)/(Einstellungen!$D$17-Einstellungen!$C$17),0))))*Einstellungen!$E$17+IF($P48="",0,IF($P48&lt;=Einstellungen!$B$18,100,IF($P48&lt;=Einstellungen!$C$18,80+(100-80)*(Einstellungen!$C$18-$P48)/(Einstellungen!$C$18-Einstellungen!$B$18),IF($P48&lt;=Einstellungen!$D$18,80*(Einstellungen!$D$18-$P48)/(Einstellungen!$D$18-Einstellungen!$C$18),0))))*Einstellungen!$E$18)/(Einstellungen!$E$16+Einstellungen!$E$17+Einstellungen!$E$18),0))</f>
        <v/>
      </c>
      <c r="X48">
        <f>IF(AND($E48="",$D48="",$G48="",$V48="",$Q48="",$T48="",$W48="",$U48=""),"",ROUND(IF($E48="",0,IF($E48&lt;Einstellungen!$B$21,0,IF($E48&gt;=Einstellungen!$B$22,100,($E48-Einstellungen!$B$21)/(Einstellungen!$B$22-Einstellungen!$B$21)*100)))/100*Einstellungen!$B$5+IF($W48="",0,$W48/100)*Einstellungen!$B$6+(IF($G48="",0,MAX(0,MIN(100,($G48-Einstellungen!$B$25)/(Einstellungen!$B$26-Einstellungen!$B$25)*100)))+IF($I48="",0,MAX(0,MIN(100,($I48-Einstellungen!$B$27)/(Einstellungen!$B$28-Einstellungen!$B$27)*100))))/2/100*Einstellungen!$B$7+IF($V48="",0,$V48/100)*Einstellungen!$B$8+IF($R48="",0,MAX(0,MIN(100,(Einstellungen!$B$32-$R48)/(Einstellungen!$B$32-Einstellungen!$B$31)*100)))/100*Einstellungen!$B$9+IF($D48="",0,$D48/5*100)/100*Einstellungen!$B$10+IF($AD48="",0,$AD48)/100*Einstellungen!$B$11+IF($U48="",0,$U48/5*100)/100*Einstellungen!$B$12,0))</f>
        <v/>
      </c>
      <c r="Y48">
        <f>IF($X48="","",$X48*1000000000000+IF($G48="",0,$G48)*1000000+IF($H48="",0,$H48)*1000+IF($I48="",0,$I48)+IF($N48="",0,MAX(0,1000-$N48))/1000+IF($A48="",0,$A48)/1000000)</f>
        <v/>
      </c>
      <c r="Z48">
        <f>IF($Y48="","",_xludf.RANK.EQ($Y48,$Y$2:$Y$201,0))</f>
        <v/>
      </c>
    </row>
    <row r="49">
      <c r="R49">
        <f>IFERROR(IF($Q49="","",$Q49/$H49),"")</f>
        <v/>
      </c>
      <c r="S49">
        <f>IFERROR(IF($Q49="","",$Q49/$G49),"")</f>
        <v/>
      </c>
      <c r="W49">
        <f>IF(AND($L49="",$N49="",$P49=""),"",ROUND((IF($L49="",0,IF($L49&lt;=Einstellungen!$B$16,100,IF($L49&lt;=Einstellungen!$C$16,80+(100-80)*(Einstellungen!$C$16-$L49)/(Einstellungen!$C$16-Einstellungen!$B$16),IF($L49&lt;=Einstellungen!$D$16,80*(Einstellungen!$D$16-$L49)/(Einstellungen!$D$16-Einstellungen!$C$16),0))))*Einstellungen!$E$16+IF($N49="",0,IF($N49&lt;=Einstellungen!$B$17,100,IF($N49&lt;=Einstellungen!$C$17,80+(100-80)*(Einstellungen!$C$17-$N49)/(Einstellungen!$C$17-Einstellungen!$B$17),IF($N49&lt;=Einstellungen!$D$17,80*(Einstellungen!$D$17-$N49)/(Einstellungen!$D$17-Einstellungen!$C$17),0))))*Einstellungen!$E$17+IF($P49="",0,IF($P49&lt;=Einstellungen!$B$18,100,IF($P49&lt;=Einstellungen!$C$18,80+(100-80)*(Einstellungen!$C$18-$P49)/(Einstellungen!$C$18-Einstellungen!$B$18),IF($P49&lt;=Einstellungen!$D$18,80*(Einstellungen!$D$18-$P49)/(Einstellungen!$D$18-Einstellungen!$C$18),0))))*Einstellungen!$E$18)/(Einstellungen!$E$16+Einstellungen!$E$17+Einstellungen!$E$18),0))</f>
        <v/>
      </c>
      <c r="X49">
        <f>IF(AND($E49="",$D49="",$G49="",$V49="",$Q49="",$T49="",$W49="",$U49=""),"",ROUND(IF($E49="",0,IF($E49&lt;Einstellungen!$B$21,0,IF($E49&gt;=Einstellungen!$B$22,100,($E49-Einstellungen!$B$21)/(Einstellungen!$B$22-Einstellungen!$B$21)*100)))/100*Einstellungen!$B$5+IF($W49="",0,$W49/100)*Einstellungen!$B$6+(IF($G49="",0,MAX(0,MIN(100,($G49-Einstellungen!$B$25)/(Einstellungen!$B$26-Einstellungen!$B$25)*100)))+IF($I49="",0,MAX(0,MIN(100,($I49-Einstellungen!$B$27)/(Einstellungen!$B$28-Einstellungen!$B$27)*100))))/2/100*Einstellungen!$B$7+IF($V49="",0,$V49/100)*Einstellungen!$B$8+IF($R49="",0,MAX(0,MIN(100,(Einstellungen!$B$32-$R49)/(Einstellungen!$B$32-Einstellungen!$B$31)*100)))/100*Einstellungen!$B$9+IF($D49="",0,$D49/5*100)/100*Einstellungen!$B$10+IF($AD49="",0,$AD49)/100*Einstellungen!$B$11+IF($U49="",0,$U49/5*100)/100*Einstellungen!$B$12,0))</f>
        <v/>
      </c>
      <c r="Y49">
        <f>IF($X49="","",$X49*1000000000000+IF($G49="",0,$G49)*1000000+IF($H49="",0,$H49)*1000+IF($I49="",0,$I49)+IF($N49="",0,MAX(0,1000-$N49))/1000+IF($A49="",0,$A49)/1000000)</f>
        <v/>
      </c>
      <c r="Z49">
        <f>IF($Y49="","",_xludf.RANK.EQ($Y49,$Y$2:$Y$201,0))</f>
        <v/>
      </c>
    </row>
    <row r="50">
      <c r="R50">
        <f>IFERROR(IF($Q50="","",$Q50/$H50),"")</f>
        <v/>
      </c>
      <c r="S50">
        <f>IFERROR(IF($Q50="","",$Q50/$G50),"")</f>
        <v/>
      </c>
      <c r="W50">
        <f>IF(AND($L50="",$N50="",$P50=""),"",ROUND((IF($L50="",0,IF($L50&lt;=Einstellungen!$B$16,100,IF($L50&lt;=Einstellungen!$C$16,80+(100-80)*(Einstellungen!$C$16-$L50)/(Einstellungen!$C$16-Einstellungen!$B$16),IF($L50&lt;=Einstellungen!$D$16,80*(Einstellungen!$D$16-$L50)/(Einstellungen!$D$16-Einstellungen!$C$16),0))))*Einstellungen!$E$16+IF($N50="",0,IF($N50&lt;=Einstellungen!$B$17,100,IF($N50&lt;=Einstellungen!$C$17,80+(100-80)*(Einstellungen!$C$17-$N50)/(Einstellungen!$C$17-Einstellungen!$B$17),IF($N50&lt;=Einstellungen!$D$17,80*(Einstellungen!$D$17-$N50)/(Einstellungen!$D$17-Einstellungen!$C$17),0))))*Einstellungen!$E$17+IF($P50="",0,IF($P50&lt;=Einstellungen!$B$18,100,IF($P50&lt;=Einstellungen!$C$18,80+(100-80)*(Einstellungen!$C$18-$P50)/(Einstellungen!$C$18-Einstellungen!$B$18),IF($P50&lt;=Einstellungen!$D$18,80*(Einstellungen!$D$18-$P50)/(Einstellungen!$D$18-Einstellungen!$C$18),0))))*Einstellungen!$E$18)/(Einstellungen!$E$16+Einstellungen!$E$17+Einstellungen!$E$18),0))</f>
        <v/>
      </c>
      <c r="X50">
        <f>IF(AND($E50="",$D50="",$G50="",$V50="",$Q50="",$T50="",$W50="",$U50=""),"",ROUND(IF($E50="",0,IF($E50&lt;Einstellungen!$B$21,0,IF($E50&gt;=Einstellungen!$B$22,100,($E50-Einstellungen!$B$21)/(Einstellungen!$B$22-Einstellungen!$B$21)*100)))/100*Einstellungen!$B$5+IF($W50="",0,$W50/100)*Einstellungen!$B$6+(IF($G50="",0,MAX(0,MIN(100,($G50-Einstellungen!$B$25)/(Einstellungen!$B$26-Einstellungen!$B$25)*100)))+IF($I50="",0,MAX(0,MIN(100,($I50-Einstellungen!$B$27)/(Einstellungen!$B$28-Einstellungen!$B$27)*100))))/2/100*Einstellungen!$B$7+IF($V50="",0,$V50/100)*Einstellungen!$B$8+IF($R50="",0,MAX(0,MIN(100,(Einstellungen!$B$32-$R50)/(Einstellungen!$B$32-Einstellungen!$B$31)*100)))/100*Einstellungen!$B$9+IF($D50="",0,$D50/5*100)/100*Einstellungen!$B$10+IF($AD50="",0,$AD50)/100*Einstellungen!$B$11+IF($U50="",0,$U50/5*100)/100*Einstellungen!$B$12,0))</f>
        <v/>
      </c>
      <c r="Y50">
        <f>IF($X50="","",$X50*1000000000000+IF($G50="",0,$G50)*1000000+IF($H50="",0,$H50)*1000+IF($I50="",0,$I50)+IF($N50="",0,MAX(0,1000-$N50))/1000+IF($A50="",0,$A50)/1000000)</f>
        <v/>
      </c>
      <c r="Z50">
        <f>IF($Y50="","",_xludf.RANK.EQ($Y50,$Y$2:$Y$201,0))</f>
        <v/>
      </c>
    </row>
    <row r="51">
      <c r="R51">
        <f>IFERROR(IF($Q51="","",$Q51/$H51),"")</f>
        <v/>
      </c>
      <c r="S51">
        <f>IFERROR(IF($Q51="","",$Q51/$G51),"")</f>
        <v/>
      </c>
      <c r="W51">
        <f>IF(AND($L51="",$N51="",$P51=""),"",ROUND((IF($L51="",0,IF($L51&lt;=Einstellungen!$B$16,100,IF($L51&lt;=Einstellungen!$C$16,80+(100-80)*(Einstellungen!$C$16-$L51)/(Einstellungen!$C$16-Einstellungen!$B$16),IF($L51&lt;=Einstellungen!$D$16,80*(Einstellungen!$D$16-$L51)/(Einstellungen!$D$16-Einstellungen!$C$16),0))))*Einstellungen!$E$16+IF($N51="",0,IF($N51&lt;=Einstellungen!$B$17,100,IF($N51&lt;=Einstellungen!$C$17,80+(100-80)*(Einstellungen!$C$17-$N51)/(Einstellungen!$C$17-Einstellungen!$B$17),IF($N51&lt;=Einstellungen!$D$17,80*(Einstellungen!$D$17-$N51)/(Einstellungen!$D$17-Einstellungen!$C$17),0))))*Einstellungen!$E$17+IF($P51="",0,IF($P51&lt;=Einstellungen!$B$18,100,IF($P51&lt;=Einstellungen!$C$18,80+(100-80)*(Einstellungen!$C$18-$P51)/(Einstellungen!$C$18-Einstellungen!$B$18),IF($P51&lt;=Einstellungen!$D$18,80*(Einstellungen!$D$18-$P51)/(Einstellungen!$D$18-Einstellungen!$C$18),0))))*Einstellungen!$E$18)/(Einstellungen!$E$16+Einstellungen!$E$17+Einstellungen!$E$18),0))</f>
        <v/>
      </c>
      <c r="X51">
        <f>IF(AND($E51="",$D51="",$G51="",$V51="",$Q51="",$T51="",$W51="",$U51=""),"",ROUND(IF($E51="",0,IF($E51&lt;Einstellungen!$B$21,0,IF($E51&gt;=Einstellungen!$B$22,100,($E51-Einstellungen!$B$21)/(Einstellungen!$B$22-Einstellungen!$B$21)*100)))/100*Einstellungen!$B$5+IF($W51="",0,$W51/100)*Einstellungen!$B$6+(IF($G51="",0,MAX(0,MIN(100,($G51-Einstellungen!$B$25)/(Einstellungen!$B$26-Einstellungen!$B$25)*100)))+IF($I51="",0,MAX(0,MIN(100,($I51-Einstellungen!$B$27)/(Einstellungen!$B$28-Einstellungen!$B$27)*100))))/2/100*Einstellungen!$B$7+IF($V51="",0,$V51/100)*Einstellungen!$B$8+IF($R51="",0,MAX(0,MIN(100,(Einstellungen!$B$32-$R51)/(Einstellungen!$B$32-Einstellungen!$B$31)*100)))/100*Einstellungen!$B$9+IF($D51="",0,$D51/5*100)/100*Einstellungen!$B$10+IF($AD51="",0,$AD51)/100*Einstellungen!$B$11+IF($U51="",0,$U51/5*100)/100*Einstellungen!$B$12,0))</f>
        <v/>
      </c>
      <c r="Y51">
        <f>IF($X51="","",$X51*1000000000000+IF($G51="",0,$G51)*1000000+IF($H51="",0,$H51)*1000+IF($I51="",0,$I51)+IF($N51="",0,MAX(0,1000-$N51))/1000+IF($A51="",0,$A51)/1000000)</f>
        <v/>
      </c>
      <c r="Z51">
        <f>IF($Y51="","",_xludf.RANK.EQ($Y51,$Y$2:$Y$201,0))</f>
        <v/>
      </c>
    </row>
    <row r="52">
      <c r="R52">
        <f>IFERROR(IF($Q52="","",$Q52/$H52),"")</f>
        <v/>
      </c>
      <c r="S52">
        <f>IFERROR(IF($Q52="","",$Q52/$G52),"")</f>
        <v/>
      </c>
      <c r="W52">
        <f>IF(AND($L52="",$N52="",$P52=""),"",ROUND((IF($L52="",0,IF($L52&lt;=Einstellungen!$B$16,100,IF($L52&lt;=Einstellungen!$C$16,80+(100-80)*(Einstellungen!$C$16-$L52)/(Einstellungen!$C$16-Einstellungen!$B$16),IF($L52&lt;=Einstellungen!$D$16,80*(Einstellungen!$D$16-$L52)/(Einstellungen!$D$16-Einstellungen!$C$16),0))))*Einstellungen!$E$16+IF($N52="",0,IF($N52&lt;=Einstellungen!$B$17,100,IF($N52&lt;=Einstellungen!$C$17,80+(100-80)*(Einstellungen!$C$17-$N52)/(Einstellungen!$C$17-Einstellungen!$B$17),IF($N52&lt;=Einstellungen!$D$17,80*(Einstellungen!$D$17-$N52)/(Einstellungen!$D$17-Einstellungen!$C$17),0))))*Einstellungen!$E$17+IF($P52="",0,IF($P52&lt;=Einstellungen!$B$18,100,IF($P52&lt;=Einstellungen!$C$18,80+(100-80)*(Einstellungen!$C$18-$P52)/(Einstellungen!$C$18-Einstellungen!$B$18),IF($P52&lt;=Einstellungen!$D$18,80*(Einstellungen!$D$18-$P52)/(Einstellungen!$D$18-Einstellungen!$C$18),0))))*Einstellungen!$E$18)/(Einstellungen!$E$16+Einstellungen!$E$17+Einstellungen!$E$18),0))</f>
        <v/>
      </c>
      <c r="X52">
        <f>IF(AND($E52="",$D52="",$G52="",$V52="",$Q52="",$T52="",$W52="",$U52=""),"",ROUND(IF($E52="",0,IF($E52&lt;Einstellungen!$B$21,0,IF($E52&gt;=Einstellungen!$B$22,100,($E52-Einstellungen!$B$21)/(Einstellungen!$B$22-Einstellungen!$B$21)*100)))/100*Einstellungen!$B$5+IF($W52="",0,$W52/100)*Einstellungen!$B$6+(IF($G52="",0,MAX(0,MIN(100,($G52-Einstellungen!$B$25)/(Einstellungen!$B$26-Einstellungen!$B$25)*100)))+IF($I52="",0,MAX(0,MIN(100,($I52-Einstellungen!$B$27)/(Einstellungen!$B$28-Einstellungen!$B$27)*100))))/2/100*Einstellungen!$B$7+IF($V52="",0,$V52/100)*Einstellungen!$B$8+IF($R52="",0,MAX(0,MIN(100,(Einstellungen!$B$32-$R52)/(Einstellungen!$B$32-Einstellungen!$B$31)*100)))/100*Einstellungen!$B$9+IF($D52="",0,$D52/5*100)/100*Einstellungen!$B$10+IF($AD52="",0,$AD52)/100*Einstellungen!$B$11+IF($U52="",0,$U52/5*100)/100*Einstellungen!$B$12,0))</f>
        <v/>
      </c>
      <c r="Y52">
        <f>IF($X52="","",$X52*1000000000000+IF($G52="",0,$G52)*1000000+IF($H52="",0,$H52)*1000+IF($I52="",0,$I52)+IF($N52="",0,MAX(0,1000-$N52))/1000+IF($A52="",0,$A52)/1000000)</f>
        <v/>
      </c>
      <c r="Z52">
        <f>IF($Y52="","",_xludf.RANK.EQ($Y52,$Y$2:$Y$201,0))</f>
        <v/>
      </c>
    </row>
    <row r="53">
      <c r="R53">
        <f>IFERROR(IF($Q53="","",$Q53/$H53),"")</f>
        <v/>
      </c>
      <c r="S53">
        <f>IFERROR(IF($Q53="","",$Q53/$G53),"")</f>
        <v/>
      </c>
      <c r="W53">
        <f>IF(AND($L53="",$N53="",$P53=""),"",ROUND((IF($L53="",0,IF($L53&lt;=Einstellungen!$B$16,100,IF($L53&lt;=Einstellungen!$C$16,80+(100-80)*(Einstellungen!$C$16-$L53)/(Einstellungen!$C$16-Einstellungen!$B$16),IF($L53&lt;=Einstellungen!$D$16,80*(Einstellungen!$D$16-$L53)/(Einstellungen!$D$16-Einstellungen!$C$16),0))))*Einstellungen!$E$16+IF($N53="",0,IF($N53&lt;=Einstellungen!$B$17,100,IF($N53&lt;=Einstellungen!$C$17,80+(100-80)*(Einstellungen!$C$17-$N53)/(Einstellungen!$C$17-Einstellungen!$B$17),IF($N53&lt;=Einstellungen!$D$17,80*(Einstellungen!$D$17-$N53)/(Einstellungen!$D$17-Einstellungen!$C$17),0))))*Einstellungen!$E$17+IF($P53="",0,IF($P53&lt;=Einstellungen!$B$18,100,IF($P53&lt;=Einstellungen!$C$18,80+(100-80)*(Einstellungen!$C$18-$P53)/(Einstellungen!$C$18-Einstellungen!$B$18),IF($P53&lt;=Einstellungen!$D$18,80*(Einstellungen!$D$18-$P53)/(Einstellungen!$D$18-Einstellungen!$C$18),0))))*Einstellungen!$E$18)/(Einstellungen!$E$16+Einstellungen!$E$17+Einstellungen!$E$18),0))</f>
        <v/>
      </c>
      <c r="X53">
        <f>IF(AND($E53="",$D53="",$G53="",$V53="",$Q53="",$T53="",$W53="",$U53=""),"",ROUND(IF($E53="",0,IF($E53&lt;Einstellungen!$B$21,0,IF($E53&gt;=Einstellungen!$B$22,100,($E53-Einstellungen!$B$21)/(Einstellungen!$B$22-Einstellungen!$B$21)*100)))/100*Einstellungen!$B$5+IF($W53="",0,$W53/100)*Einstellungen!$B$6+(IF($G53="",0,MAX(0,MIN(100,($G53-Einstellungen!$B$25)/(Einstellungen!$B$26-Einstellungen!$B$25)*100)))+IF($I53="",0,MAX(0,MIN(100,($I53-Einstellungen!$B$27)/(Einstellungen!$B$28-Einstellungen!$B$27)*100))))/2/100*Einstellungen!$B$7+IF($V53="",0,$V53/100)*Einstellungen!$B$8+IF($R53="",0,MAX(0,MIN(100,(Einstellungen!$B$32-$R53)/(Einstellungen!$B$32-Einstellungen!$B$31)*100)))/100*Einstellungen!$B$9+IF($D53="",0,$D53/5*100)/100*Einstellungen!$B$10+IF($AD53="",0,$AD53)/100*Einstellungen!$B$11+IF($U53="",0,$U53/5*100)/100*Einstellungen!$B$12,0))</f>
        <v/>
      </c>
      <c r="Y53">
        <f>IF($X53="","",$X53*1000000000000+IF($G53="",0,$G53)*1000000+IF($H53="",0,$H53)*1000+IF($I53="",0,$I53)+IF($N53="",0,MAX(0,1000-$N53))/1000+IF($A53="",0,$A53)/1000000)</f>
        <v/>
      </c>
      <c r="Z53">
        <f>IF($Y53="","",_xludf.RANK.EQ($Y53,$Y$2:$Y$201,0))</f>
        <v/>
      </c>
    </row>
    <row r="54">
      <c r="R54">
        <f>IFERROR(IF($Q54="","",$Q54/$H54),"")</f>
        <v/>
      </c>
      <c r="S54">
        <f>IFERROR(IF($Q54="","",$Q54/$G54),"")</f>
        <v/>
      </c>
      <c r="W54">
        <f>IF(AND($L54="",$N54="",$P54=""),"",ROUND((IF($L54="",0,IF($L54&lt;=Einstellungen!$B$16,100,IF($L54&lt;=Einstellungen!$C$16,80+(100-80)*(Einstellungen!$C$16-$L54)/(Einstellungen!$C$16-Einstellungen!$B$16),IF($L54&lt;=Einstellungen!$D$16,80*(Einstellungen!$D$16-$L54)/(Einstellungen!$D$16-Einstellungen!$C$16),0))))*Einstellungen!$E$16+IF($N54="",0,IF($N54&lt;=Einstellungen!$B$17,100,IF($N54&lt;=Einstellungen!$C$17,80+(100-80)*(Einstellungen!$C$17-$N54)/(Einstellungen!$C$17-Einstellungen!$B$17),IF($N54&lt;=Einstellungen!$D$17,80*(Einstellungen!$D$17-$N54)/(Einstellungen!$D$17-Einstellungen!$C$17),0))))*Einstellungen!$E$17+IF($P54="",0,IF($P54&lt;=Einstellungen!$B$18,100,IF($P54&lt;=Einstellungen!$C$18,80+(100-80)*(Einstellungen!$C$18-$P54)/(Einstellungen!$C$18-Einstellungen!$B$18),IF($P54&lt;=Einstellungen!$D$18,80*(Einstellungen!$D$18-$P54)/(Einstellungen!$D$18-Einstellungen!$C$18),0))))*Einstellungen!$E$18)/(Einstellungen!$E$16+Einstellungen!$E$17+Einstellungen!$E$18),0))</f>
        <v/>
      </c>
      <c r="X54">
        <f>IF(AND($E54="",$D54="",$G54="",$V54="",$Q54="",$T54="",$W54="",$U54=""),"",ROUND(IF($E54="",0,IF($E54&lt;Einstellungen!$B$21,0,IF($E54&gt;=Einstellungen!$B$22,100,($E54-Einstellungen!$B$21)/(Einstellungen!$B$22-Einstellungen!$B$21)*100)))/100*Einstellungen!$B$5+IF($W54="",0,$W54/100)*Einstellungen!$B$6+(IF($G54="",0,MAX(0,MIN(100,($G54-Einstellungen!$B$25)/(Einstellungen!$B$26-Einstellungen!$B$25)*100)))+IF($I54="",0,MAX(0,MIN(100,($I54-Einstellungen!$B$27)/(Einstellungen!$B$28-Einstellungen!$B$27)*100))))/2/100*Einstellungen!$B$7+IF($V54="",0,$V54/100)*Einstellungen!$B$8+IF($R54="",0,MAX(0,MIN(100,(Einstellungen!$B$32-$R54)/(Einstellungen!$B$32-Einstellungen!$B$31)*100)))/100*Einstellungen!$B$9+IF($D54="",0,$D54/5*100)/100*Einstellungen!$B$10+IF($AD54="",0,$AD54)/100*Einstellungen!$B$11+IF($U54="",0,$U54/5*100)/100*Einstellungen!$B$12,0))</f>
        <v/>
      </c>
      <c r="Y54">
        <f>IF($X54="","",$X54*1000000000000+IF($G54="",0,$G54)*1000000+IF($H54="",0,$H54)*1000+IF($I54="",0,$I54)+IF($N54="",0,MAX(0,1000-$N54))/1000+IF($A54="",0,$A54)/1000000)</f>
        <v/>
      </c>
      <c r="Z54">
        <f>IF($Y54="","",_xludf.RANK.EQ($Y54,$Y$2:$Y$201,0))</f>
        <v/>
      </c>
    </row>
    <row r="55">
      <c r="R55">
        <f>IFERROR(IF($Q55="","",$Q55/$H55),"")</f>
        <v/>
      </c>
      <c r="S55">
        <f>IFERROR(IF($Q55="","",$Q55/$G55),"")</f>
        <v/>
      </c>
      <c r="W55">
        <f>IF(AND($L55="",$N55="",$P55=""),"",ROUND((IF($L55="",0,IF($L55&lt;=Einstellungen!$B$16,100,IF($L55&lt;=Einstellungen!$C$16,80+(100-80)*(Einstellungen!$C$16-$L55)/(Einstellungen!$C$16-Einstellungen!$B$16),IF($L55&lt;=Einstellungen!$D$16,80*(Einstellungen!$D$16-$L55)/(Einstellungen!$D$16-Einstellungen!$C$16),0))))*Einstellungen!$E$16+IF($N55="",0,IF($N55&lt;=Einstellungen!$B$17,100,IF($N55&lt;=Einstellungen!$C$17,80+(100-80)*(Einstellungen!$C$17-$N55)/(Einstellungen!$C$17-Einstellungen!$B$17),IF($N55&lt;=Einstellungen!$D$17,80*(Einstellungen!$D$17-$N55)/(Einstellungen!$D$17-Einstellungen!$C$17),0))))*Einstellungen!$E$17+IF($P55="",0,IF($P55&lt;=Einstellungen!$B$18,100,IF($P55&lt;=Einstellungen!$C$18,80+(100-80)*(Einstellungen!$C$18-$P55)/(Einstellungen!$C$18-Einstellungen!$B$18),IF($P55&lt;=Einstellungen!$D$18,80*(Einstellungen!$D$18-$P55)/(Einstellungen!$D$18-Einstellungen!$C$18),0))))*Einstellungen!$E$18)/(Einstellungen!$E$16+Einstellungen!$E$17+Einstellungen!$E$18),0))</f>
        <v/>
      </c>
      <c r="X55">
        <f>IF(AND($E55="",$D55="",$G55="",$V55="",$Q55="",$T55="",$W55="",$U55=""),"",ROUND(IF($E55="",0,IF($E55&lt;Einstellungen!$B$21,0,IF($E55&gt;=Einstellungen!$B$22,100,($E55-Einstellungen!$B$21)/(Einstellungen!$B$22-Einstellungen!$B$21)*100)))/100*Einstellungen!$B$5+IF($W55="",0,$W55/100)*Einstellungen!$B$6+(IF($G55="",0,MAX(0,MIN(100,($G55-Einstellungen!$B$25)/(Einstellungen!$B$26-Einstellungen!$B$25)*100)))+IF($I55="",0,MAX(0,MIN(100,($I55-Einstellungen!$B$27)/(Einstellungen!$B$28-Einstellungen!$B$27)*100))))/2/100*Einstellungen!$B$7+IF($V55="",0,$V55/100)*Einstellungen!$B$8+IF($R55="",0,MAX(0,MIN(100,(Einstellungen!$B$32-$R55)/(Einstellungen!$B$32-Einstellungen!$B$31)*100)))/100*Einstellungen!$B$9+IF($D55="",0,$D55/5*100)/100*Einstellungen!$B$10+IF($AD55="",0,$AD55)/100*Einstellungen!$B$11+IF($U55="",0,$U55/5*100)/100*Einstellungen!$B$12,0))</f>
        <v/>
      </c>
      <c r="Y55">
        <f>IF($X55="","",$X55*1000000000000+IF($G55="",0,$G55)*1000000+IF($H55="",0,$H55)*1000+IF($I55="",0,$I55)+IF($N55="",0,MAX(0,1000-$N55))/1000+IF($A55="",0,$A55)/1000000)</f>
        <v/>
      </c>
      <c r="Z55">
        <f>IF($Y55="","",_xludf.RANK.EQ($Y55,$Y$2:$Y$201,0))</f>
        <v/>
      </c>
    </row>
    <row r="56">
      <c r="R56">
        <f>IFERROR(IF($Q56="","",$Q56/$H56),"")</f>
        <v/>
      </c>
      <c r="S56">
        <f>IFERROR(IF($Q56="","",$Q56/$G56),"")</f>
        <v/>
      </c>
      <c r="W56">
        <f>IF(AND($L56="",$N56="",$P56=""),"",ROUND((IF($L56="",0,IF($L56&lt;=Einstellungen!$B$16,100,IF($L56&lt;=Einstellungen!$C$16,80+(100-80)*(Einstellungen!$C$16-$L56)/(Einstellungen!$C$16-Einstellungen!$B$16),IF($L56&lt;=Einstellungen!$D$16,80*(Einstellungen!$D$16-$L56)/(Einstellungen!$D$16-Einstellungen!$C$16),0))))*Einstellungen!$E$16+IF($N56="",0,IF($N56&lt;=Einstellungen!$B$17,100,IF($N56&lt;=Einstellungen!$C$17,80+(100-80)*(Einstellungen!$C$17-$N56)/(Einstellungen!$C$17-Einstellungen!$B$17),IF($N56&lt;=Einstellungen!$D$17,80*(Einstellungen!$D$17-$N56)/(Einstellungen!$D$17-Einstellungen!$C$17),0))))*Einstellungen!$E$17+IF($P56="",0,IF($P56&lt;=Einstellungen!$B$18,100,IF($P56&lt;=Einstellungen!$C$18,80+(100-80)*(Einstellungen!$C$18-$P56)/(Einstellungen!$C$18-Einstellungen!$B$18),IF($P56&lt;=Einstellungen!$D$18,80*(Einstellungen!$D$18-$P56)/(Einstellungen!$D$18-Einstellungen!$C$18),0))))*Einstellungen!$E$18)/(Einstellungen!$E$16+Einstellungen!$E$17+Einstellungen!$E$18),0))</f>
        <v/>
      </c>
      <c r="X56">
        <f>IF(AND($E56="",$D56="",$G56="",$V56="",$Q56="",$T56="",$W56="",$U56=""),"",ROUND(IF($E56="",0,IF($E56&lt;Einstellungen!$B$21,0,IF($E56&gt;=Einstellungen!$B$22,100,($E56-Einstellungen!$B$21)/(Einstellungen!$B$22-Einstellungen!$B$21)*100)))/100*Einstellungen!$B$5+IF($W56="",0,$W56/100)*Einstellungen!$B$6+(IF($G56="",0,MAX(0,MIN(100,($G56-Einstellungen!$B$25)/(Einstellungen!$B$26-Einstellungen!$B$25)*100)))+IF($I56="",0,MAX(0,MIN(100,($I56-Einstellungen!$B$27)/(Einstellungen!$B$28-Einstellungen!$B$27)*100))))/2/100*Einstellungen!$B$7+IF($V56="",0,$V56/100)*Einstellungen!$B$8+IF($R56="",0,MAX(0,MIN(100,(Einstellungen!$B$32-$R56)/(Einstellungen!$B$32-Einstellungen!$B$31)*100)))/100*Einstellungen!$B$9+IF($D56="",0,$D56/5*100)/100*Einstellungen!$B$10+IF($AD56="",0,$AD56)/100*Einstellungen!$B$11+IF($U56="",0,$U56/5*100)/100*Einstellungen!$B$12,0))</f>
        <v/>
      </c>
      <c r="Y56">
        <f>IF($X56="","",$X56*1000000000000+IF($G56="",0,$G56)*1000000+IF($H56="",0,$H56)*1000+IF($I56="",0,$I56)+IF($N56="",0,MAX(0,1000-$N56))/1000+IF($A56="",0,$A56)/1000000)</f>
        <v/>
      </c>
      <c r="Z56">
        <f>IF($Y56="","",_xludf.RANK.EQ($Y56,$Y$2:$Y$201,0))</f>
        <v/>
      </c>
    </row>
    <row r="57">
      <c r="R57">
        <f>IFERROR(IF($Q57="","",$Q57/$H57),"")</f>
        <v/>
      </c>
      <c r="S57">
        <f>IFERROR(IF($Q57="","",$Q57/$G57),"")</f>
        <v/>
      </c>
      <c r="W57">
        <f>IF(AND($L57="",$N57="",$P57=""),"",ROUND((IF($L57="",0,IF($L57&lt;=Einstellungen!$B$16,100,IF($L57&lt;=Einstellungen!$C$16,80+(100-80)*(Einstellungen!$C$16-$L57)/(Einstellungen!$C$16-Einstellungen!$B$16),IF($L57&lt;=Einstellungen!$D$16,80*(Einstellungen!$D$16-$L57)/(Einstellungen!$D$16-Einstellungen!$C$16),0))))*Einstellungen!$E$16+IF($N57="",0,IF($N57&lt;=Einstellungen!$B$17,100,IF($N57&lt;=Einstellungen!$C$17,80+(100-80)*(Einstellungen!$C$17-$N57)/(Einstellungen!$C$17-Einstellungen!$B$17),IF($N57&lt;=Einstellungen!$D$17,80*(Einstellungen!$D$17-$N57)/(Einstellungen!$D$17-Einstellungen!$C$17),0))))*Einstellungen!$E$17+IF($P57="",0,IF($P57&lt;=Einstellungen!$B$18,100,IF($P57&lt;=Einstellungen!$C$18,80+(100-80)*(Einstellungen!$C$18-$P57)/(Einstellungen!$C$18-Einstellungen!$B$18),IF($P57&lt;=Einstellungen!$D$18,80*(Einstellungen!$D$18-$P57)/(Einstellungen!$D$18-Einstellungen!$C$18),0))))*Einstellungen!$E$18)/(Einstellungen!$E$16+Einstellungen!$E$17+Einstellungen!$E$18),0))</f>
        <v/>
      </c>
      <c r="X57">
        <f>IF(AND($E57="",$D57="",$G57="",$V57="",$Q57="",$T57="",$W57="",$U57=""),"",ROUND(IF($E57="",0,IF($E57&lt;Einstellungen!$B$21,0,IF($E57&gt;=Einstellungen!$B$22,100,($E57-Einstellungen!$B$21)/(Einstellungen!$B$22-Einstellungen!$B$21)*100)))/100*Einstellungen!$B$5+IF($W57="",0,$W57/100)*Einstellungen!$B$6+(IF($G57="",0,MAX(0,MIN(100,($G57-Einstellungen!$B$25)/(Einstellungen!$B$26-Einstellungen!$B$25)*100)))+IF($I57="",0,MAX(0,MIN(100,($I57-Einstellungen!$B$27)/(Einstellungen!$B$28-Einstellungen!$B$27)*100))))/2/100*Einstellungen!$B$7+IF($V57="",0,$V57/100)*Einstellungen!$B$8+IF($R57="",0,MAX(0,MIN(100,(Einstellungen!$B$32-$R57)/(Einstellungen!$B$32-Einstellungen!$B$31)*100)))/100*Einstellungen!$B$9+IF($D57="",0,$D57/5*100)/100*Einstellungen!$B$10+IF($AD57="",0,$AD57)/100*Einstellungen!$B$11+IF($U57="",0,$U57/5*100)/100*Einstellungen!$B$12,0))</f>
        <v/>
      </c>
      <c r="Y57">
        <f>IF($X57="","",$X57*1000000000000+IF($G57="",0,$G57)*1000000+IF($H57="",0,$H57)*1000+IF($I57="",0,$I57)+IF($N57="",0,MAX(0,1000-$N57))/1000+IF($A57="",0,$A57)/1000000)</f>
        <v/>
      </c>
      <c r="Z57">
        <f>IF($Y57="","",_xludf.RANK.EQ($Y57,$Y$2:$Y$201,0))</f>
        <v/>
      </c>
    </row>
    <row r="58">
      <c r="R58">
        <f>IFERROR(IF($Q58="","",$Q58/$H58),"")</f>
        <v/>
      </c>
      <c r="S58">
        <f>IFERROR(IF($Q58="","",$Q58/$G58),"")</f>
        <v/>
      </c>
      <c r="W58">
        <f>IF(AND($L58="",$N58="",$P58=""),"",ROUND((IF($L58="",0,IF($L58&lt;=Einstellungen!$B$16,100,IF($L58&lt;=Einstellungen!$C$16,80+(100-80)*(Einstellungen!$C$16-$L58)/(Einstellungen!$C$16-Einstellungen!$B$16),IF($L58&lt;=Einstellungen!$D$16,80*(Einstellungen!$D$16-$L58)/(Einstellungen!$D$16-Einstellungen!$C$16),0))))*Einstellungen!$E$16+IF($N58="",0,IF($N58&lt;=Einstellungen!$B$17,100,IF($N58&lt;=Einstellungen!$C$17,80+(100-80)*(Einstellungen!$C$17-$N58)/(Einstellungen!$C$17-Einstellungen!$B$17),IF($N58&lt;=Einstellungen!$D$17,80*(Einstellungen!$D$17-$N58)/(Einstellungen!$D$17-Einstellungen!$C$17),0))))*Einstellungen!$E$17+IF($P58="",0,IF($P58&lt;=Einstellungen!$B$18,100,IF($P58&lt;=Einstellungen!$C$18,80+(100-80)*(Einstellungen!$C$18-$P58)/(Einstellungen!$C$18-Einstellungen!$B$18),IF($P58&lt;=Einstellungen!$D$18,80*(Einstellungen!$D$18-$P58)/(Einstellungen!$D$18-Einstellungen!$C$18),0))))*Einstellungen!$E$18)/(Einstellungen!$E$16+Einstellungen!$E$17+Einstellungen!$E$18),0))</f>
        <v/>
      </c>
      <c r="X58">
        <f>IF(AND($E58="",$D58="",$G58="",$V58="",$Q58="",$T58="",$W58="",$U58=""),"",ROUND(IF($E58="",0,IF($E58&lt;Einstellungen!$B$21,0,IF($E58&gt;=Einstellungen!$B$22,100,($E58-Einstellungen!$B$21)/(Einstellungen!$B$22-Einstellungen!$B$21)*100)))/100*Einstellungen!$B$5+IF($W58="",0,$W58/100)*Einstellungen!$B$6+(IF($G58="",0,MAX(0,MIN(100,($G58-Einstellungen!$B$25)/(Einstellungen!$B$26-Einstellungen!$B$25)*100)))+IF($I58="",0,MAX(0,MIN(100,($I58-Einstellungen!$B$27)/(Einstellungen!$B$28-Einstellungen!$B$27)*100))))/2/100*Einstellungen!$B$7+IF($V58="",0,$V58/100)*Einstellungen!$B$8+IF($R58="",0,MAX(0,MIN(100,(Einstellungen!$B$32-$R58)/(Einstellungen!$B$32-Einstellungen!$B$31)*100)))/100*Einstellungen!$B$9+IF($D58="",0,$D58/5*100)/100*Einstellungen!$B$10+IF($AD58="",0,$AD58)/100*Einstellungen!$B$11+IF($U58="",0,$U58/5*100)/100*Einstellungen!$B$12,0))</f>
        <v/>
      </c>
      <c r="Y58">
        <f>IF($X58="","",$X58*1000000000000+IF($G58="",0,$G58)*1000000+IF($H58="",0,$H58)*1000+IF($I58="",0,$I58)+IF($N58="",0,MAX(0,1000-$N58))/1000+IF($A58="",0,$A58)/1000000)</f>
        <v/>
      </c>
      <c r="Z58">
        <f>IF($Y58="","",_xludf.RANK.EQ($Y58,$Y$2:$Y$201,0))</f>
        <v/>
      </c>
    </row>
    <row r="59">
      <c r="R59">
        <f>IFERROR(IF($Q59="","",$Q59/$H59),"")</f>
        <v/>
      </c>
      <c r="S59">
        <f>IFERROR(IF($Q59="","",$Q59/$G59),"")</f>
        <v/>
      </c>
      <c r="W59">
        <f>IF(AND($L59="",$N59="",$P59=""),"",ROUND((IF($L59="",0,IF($L59&lt;=Einstellungen!$B$16,100,IF($L59&lt;=Einstellungen!$C$16,80+(100-80)*(Einstellungen!$C$16-$L59)/(Einstellungen!$C$16-Einstellungen!$B$16),IF($L59&lt;=Einstellungen!$D$16,80*(Einstellungen!$D$16-$L59)/(Einstellungen!$D$16-Einstellungen!$C$16),0))))*Einstellungen!$E$16+IF($N59="",0,IF($N59&lt;=Einstellungen!$B$17,100,IF($N59&lt;=Einstellungen!$C$17,80+(100-80)*(Einstellungen!$C$17-$N59)/(Einstellungen!$C$17-Einstellungen!$B$17),IF($N59&lt;=Einstellungen!$D$17,80*(Einstellungen!$D$17-$N59)/(Einstellungen!$D$17-Einstellungen!$C$17),0))))*Einstellungen!$E$17+IF($P59="",0,IF($P59&lt;=Einstellungen!$B$18,100,IF($P59&lt;=Einstellungen!$C$18,80+(100-80)*(Einstellungen!$C$18-$P59)/(Einstellungen!$C$18-Einstellungen!$B$18),IF($P59&lt;=Einstellungen!$D$18,80*(Einstellungen!$D$18-$P59)/(Einstellungen!$D$18-Einstellungen!$C$18),0))))*Einstellungen!$E$18)/(Einstellungen!$E$16+Einstellungen!$E$17+Einstellungen!$E$18),0))</f>
        <v/>
      </c>
      <c r="X59">
        <f>IF(AND($E59="",$D59="",$G59="",$V59="",$Q59="",$T59="",$W59="",$U59=""),"",ROUND(IF($E59="",0,IF($E59&lt;Einstellungen!$B$21,0,IF($E59&gt;=Einstellungen!$B$22,100,($E59-Einstellungen!$B$21)/(Einstellungen!$B$22-Einstellungen!$B$21)*100)))/100*Einstellungen!$B$5+IF($W59="",0,$W59/100)*Einstellungen!$B$6+(IF($G59="",0,MAX(0,MIN(100,($G59-Einstellungen!$B$25)/(Einstellungen!$B$26-Einstellungen!$B$25)*100)))+IF($I59="",0,MAX(0,MIN(100,($I59-Einstellungen!$B$27)/(Einstellungen!$B$28-Einstellungen!$B$27)*100))))/2/100*Einstellungen!$B$7+IF($V59="",0,$V59/100)*Einstellungen!$B$8+IF($R59="",0,MAX(0,MIN(100,(Einstellungen!$B$32-$R59)/(Einstellungen!$B$32-Einstellungen!$B$31)*100)))/100*Einstellungen!$B$9+IF($D59="",0,$D59/5*100)/100*Einstellungen!$B$10+IF($AD59="",0,$AD59)/100*Einstellungen!$B$11+IF($U59="",0,$U59/5*100)/100*Einstellungen!$B$12,0))</f>
        <v/>
      </c>
      <c r="Y59">
        <f>IF($X59="","",$X59*1000000000000+IF($G59="",0,$G59)*1000000+IF($H59="",0,$H59)*1000+IF($I59="",0,$I59)+IF($N59="",0,MAX(0,1000-$N59))/1000+IF($A59="",0,$A59)/1000000)</f>
        <v/>
      </c>
      <c r="Z59">
        <f>IF($Y59="","",_xludf.RANK.EQ($Y59,$Y$2:$Y$201,0))</f>
        <v/>
      </c>
    </row>
    <row r="60">
      <c r="R60">
        <f>IFERROR(IF($Q60="","",$Q60/$H60),"")</f>
        <v/>
      </c>
      <c r="S60">
        <f>IFERROR(IF($Q60="","",$Q60/$G60),"")</f>
        <v/>
      </c>
      <c r="W60">
        <f>IF(AND($L60="",$N60="",$P60=""),"",ROUND((IF($L60="",0,IF($L60&lt;=Einstellungen!$B$16,100,IF($L60&lt;=Einstellungen!$C$16,80+(100-80)*(Einstellungen!$C$16-$L60)/(Einstellungen!$C$16-Einstellungen!$B$16),IF($L60&lt;=Einstellungen!$D$16,80*(Einstellungen!$D$16-$L60)/(Einstellungen!$D$16-Einstellungen!$C$16),0))))*Einstellungen!$E$16+IF($N60="",0,IF($N60&lt;=Einstellungen!$B$17,100,IF($N60&lt;=Einstellungen!$C$17,80+(100-80)*(Einstellungen!$C$17-$N60)/(Einstellungen!$C$17-Einstellungen!$B$17),IF($N60&lt;=Einstellungen!$D$17,80*(Einstellungen!$D$17-$N60)/(Einstellungen!$D$17-Einstellungen!$C$17),0))))*Einstellungen!$E$17+IF($P60="",0,IF($P60&lt;=Einstellungen!$B$18,100,IF($P60&lt;=Einstellungen!$C$18,80+(100-80)*(Einstellungen!$C$18-$P60)/(Einstellungen!$C$18-Einstellungen!$B$18),IF($P60&lt;=Einstellungen!$D$18,80*(Einstellungen!$D$18-$P60)/(Einstellungen!$D$18-Einstellungen!$C$18),0))))*Einstellungen!$E$18)/(Einstellungen!$E$16+Einstellungen!$E$17+Einstellungen!$E$18),0))</f>
        <v/>
      </c>
      <c r="X60">
        <f>IF(AND($E60="",$D60="",$G60="",$V60="",$Q60="",$T60="",$W60="",$U60=""),"",ROUND(IF($E60="",0,IF($E60&lt;Einstellungen!$B$21,0,IF($E60&gt;=Einstellungen!$B$22,100,($E60-Einstellungen!$B$21)/(Einstellungen!$B$22-Einstellungen!$B$21)*100)))/100*Einstellungen!$B$5+IF($W60="",0,$W60/100)*Einstellungen!$B$6+(IF($G60="",0,MAX(0,MIN(100,($G60-Einstellungen!$B$25)/(Einstellungen!$B$26-Einstellungen!$B$25)*100)))+IF($I60="",0,MAX(0,MIN(100,($I60-Einstellungen!$B$27)/(Einstellungen!$B$28-Einstellungen!$B$27)*100))))/2/100*Einstellungen!$B$7+IF($V60="",0,$V60/100)*Einstellungen!$B$8+IF($R60="",0,MAX(0,MIN(100,(Einstellungen!$B$32-$R60)/(Einstellungen!$B$32-Einstellungen!$B$31)*100)))/100*Einstellungen!$B$9+IF($D60="",0,$D60/5*100)/100*Einstellungen!$B$10+IF($AD60="",0,$AD60)/100*Einstellungen!$B$11+IF($U60="",0,$U60/5*100)/100*Einstellungen!$B$12,0))</f>
        <v/>
      </c>
      <c r="Y60">
        <f>IF($X60="","",$X60*1000000000000+IF($G60="",0,$G60)*1000000+IF($H60="",0,$H60)*1000+IF($I60="",0,$I60)+IF($N60="",0,MAX(0,1000-$N60))/1000+IF($A60="",0,$A60)/1000000)</f>
        <v/>
      </c>
      <c r="Z60">
        <f>IF($Y60="","",_xludf.RANK.EQ($Y60,$Y$2:$Y$201,0))</f>
        <v/>
      </c>
    </row>
    <row r="61">
      <c r="R61">
        <f>IFERROR(IF($Q61="","",$Q61/$H61),"")</f>
        <v/>
      </c>
      <c r="S61">
        <f>IFERROR(IF($Q61="","",$Q61/$G61),"")</f>
        <v/>
      </c>
      <c r="W61">
        <f>IF(AND($L61="",$N61="",$P61=""),"",ROUND((IF($L61="",0,IF($L61&lt;=Einstellungen!$B$16,100,IF($L61&lt;=Einstellungen!$C$16,80+(100-80)*(Einstellungen!$C$16-$L61)/(Einstellungen!$C$16-Einstellungen!$B$16),IF($L61&lt;=Einstellungen!$D$16,80*(Einstellungen!$D$16-$L61)/(Einstellungen!$D$16-Einstellungen!$C$16),0))))*Einstellungen!$E$16+IF($N61="",0,IF($N61&lt;=Einstellungen!$B$17,100,IF($N61&lt;=Einstellungen!$C$17,80+(100-80)*(Einstellungen!$C$17-$N61)/(Einstellungen!$C$17-Einstellungen!$B$17),IF($N61&lt;=Einstellungen!$D$17,80*(Einstellungen!$D$17-$N61)/(Einstellungen!$D$17-Einstellungen!$C$17),0))))*Einstellungen!$E$17+IF($P61="",0,IF($P61&lt;=Einstellungen!$B$18,100,IF($P61&lt;=Einstellungen!$C$18,80+(100-80)*(Einstellungen!$C$18-$P61)/(Einstellungen!$C$18-Einstellungen!$B$18),IF($P61&lt;=Einstellungen!$D$18,80*(Einstellungen!$D$18-$P61)/(Einstellungen!$D$18-Einstellungen!$C$18),0))))*Einstellungen!$E$18)/(Einstellungen!$E$16+Einstellungen!$E$17+Einstellungen!$E$18),0))</f>
        <v/>
      </c>
      <c r="X61">
        <f>IF(AND($E61="",$D61="",$G61="",$V61="",$Q61="",$T61="",$W61="",$U61=""),"",ROUND(IF($E61="",0,IF($E61&lt;Einstellungen!$B$21,0,IF($E61&gt;=Einstellungen!$B$22,100,($E61-Einstellungen!$B$21)/(Einstellungen!$B$22-Einstellungen!$B$21)*100)))/100*Einstellungen!$B$5+IF($W61="",0,$W61/100)*Einstellungen!$B$6+(IF($G61="",0,MAX(0,MIN(100,($G61-Einstellungen!$B$25)/(Einstellungen!$B$26-Einstellungen!$B$25)*100)))+IF($I61="",0,MAX(0,MIN(100,($I61-Einstellungen!$B$27)/(Einstellungen!$B$28-Einstellungen!$B$27)*100))))/2/100*Einstellungen!$B$7+IF($V61="",0,$V61/100)*Einstellungen!$B$8+IF($R61="",0,MAX(0,MIN(100,(Einstellungen!$B$32-$R61)/(Einstellungen!$B$32-Einstellungen!$B$31)*100)))/100*Einstellungen!$B$9+IF($D61="",0,$D61/5*100)/100*Einstellungen!$B$10+IF($AD61="",0,$AD61)/100*Einstellungen!$B$11+IF($U61="",0,$U61/5*100)/100*Einstellungen!$B$12,0))</f>
        <v/>
      </c>
      <c r="Y61">
        <f>IF($X61="","",$X61*1000000000000+IF($G61="",0,$G61)*1000000+IF($H61="",0,$H61)*1000+IF($I61="",0,$I61)+IF($N61="",0,MAX(0,1000-$N61))/1000+IF($A61="",0,$A61)/1000000)</f>
        <v/>
      </c>
      <c r="Z61">
        <f>IF($Y61="","",_xludf.RANK.EQ($Y61,$Y$2:$Y$201,0))</f>
        <v/>
      </c>
    </row>
    <row r="62">
      <c r="R62">
        <f>IFERROR(IF($Q62="","",$Q62/$H62),"")</f>
        <v/>
      </c>
      <c r="S62">
        <f>IFERROR(IF($Q62="","",$Q62/$G62),"")</f>
        <v/>
      </c>
      <c r="W62">
        <f>IF(AND($L62="",$N62="",$P62=""),"",ROUND((IF($L62="",0,IF($L62&lt;=Einstellungen!$B$16,100,IF($L62&lt;=Einstellungen!$C$16,80+(100-80)*(Einstellungen!$C$16-$L62)/(Einstellungen!$C$16-Einstellungen!$B$16),IF($L62&lt;=Einstellungen!$D$16,80*(Einstellungen!$D$16-$L62)/(Einstellungen!$D$16-Einstellungen!$C$16),0))))*Einstellungen!$E$16+IF($N62="",0,IF($N62&lt;=Einstellungen!$B$17,100,IF($N62&lt;=Einstellungen!$C$17,80+(100-80)*(Einstellungen!$C$17-$N62)/(Einstellungen!$C$17-Einstellungen!$B$17),IF($N62&lt;=Einstellungen!$D$17,80*(Einstellungen!$D$17-$N62)/(Einstellungen!$D$17-Einstellungen!$C$17),0))))*Einstellungen!$E$17+IF($P62="",0,IF($P62&lt;=Einstellungen!$B$18,100,IF($P62&lt;=Einstellungen!$C$18,80+(100-80)*(Einstellungen!$C$18-$P62)/(Einstellungen!$C$18-Einstellungen!$B$18),IF($P62&lt;=Einstellungen!$D$18,80*(Einstellungen!$D$18-$P62)/(Einstellungen!$D$18-Einstellungen!$C$18),0))))*Einstellungen!$E$18)/(Einstellungen!$E$16+Einstellungen!$E$17+Einstellungen!$E$18),0))</f>
        <v/>
      </c>
      <c r="X62">
        <f>IF(AND($E62="",$D62="",$G62="",$V62="",$Q62="",$T62="",$W62="",$U62=""),"",ROUND(IF($E62="",0,IF($E62&lt;Einstellungen!$B$21,0,IF($E62&gt;=Einstellungen!$B$22,100,($E62-Einstellungen!$B$21)/(Einstellungen!$B$22-Einstellungen!$B$21)*100)))/100*Einstellungen!$B$5+IF($W62="",0,$W62/100)*Einstellungen!$B$6+(IF($G62="",0,MAX(0,MIN(100,($G62-Einstellungen!$B$25)/(Einstellungen!$B$26-Einstellungen!$B$25)*100)))+IF($I62="",0,MAX(0,MIN(100,($I62-Einstellungen!$B$27)/(Einstellungen!$B$28-Einstellungen!$B$27)*100))))/2/100*Einstellungen!$B$7+IF($V62="",0,$V62/100)*Einstellungen!$B$8+IF($R62="",0,MAX(0,MIN(100,(Einstellungen!$B$32-$R62)/(Einstellungen!$B$32-Einstellungen!$B$31)*100)))/100*Einstellungen!$B$9+IF($D62="",0,$D62/5*100)/100*Einstellungen!$B$10+IF($AD62="",0,$AD62)/100*Einstellungen!$B$11+IF($U62="",0,$U62/5*100)/100*Einstellungen!$B$12,0))</f>
        <v/>
      </c>
      <c r="Y62">
        <f>IF($X62="","",$X62*1000000000000+IF($G62="",0,$G62)*1000000+IF($H62="",0,$H62)*1000+IF($I62="",0,$I62)+IF($N62="",0,MAX(0,1000-$N62))/1000+IF($A62="",0,$A62)/1000000)</f>
        <v/>
      </c>
      <c r="Z62">
        <f>IF($Y62="","",_xludf.RANK.EQ($Y62,$Y$2:$Y$201,0))</f>
        <v/>
      </c>
    </row>
    <row r="63">
      <c r="R63">
        <f>IFERROR(IF($Q63="","",$Q63/$H63),"")</f>
        <v/>
      </c>
      <c r="S63">
        <f>IFERROR(IF($Q63="","",$Q63/$G63),"")</f>
        <v/>
      </c>
      <c r="W63">
        <f>IF(AND($L63="",$N63="",$P63=""),"",ROUND((IF($L63="",0,IF($L63&lt;=Einstellungen!$B$16,100,IF($L63&lt;=Einstellungen!$C$16,80+(100-80)*(Einstellungen!$C$16-$L63)/(Einstellungen!$C$16-Einstellungen!$B$16),IF($L63&lt;=Einstellungen!$D$16,80*(Einstellungen!$D$16-$L63)/(Einstellungen!$D$16-Einstellungen!$C$16),0))))*Einstellungen!$E$16+IF($N63="",0,IF($N63&lt;=Einstellungen!$B$17,100,IF($N63&lt;=Einstellungen!$C$17,80+(100-80)*(Einstellungen!$C$17-$N63)/(Einstellungen!$C$17-Einstellungen!$B$17),IF($N63&lt;=Einstellungen!$D$17,80*(Einstellungen!$D$17-$N63)/(Einstellungen!$D$17-Einstellungen!$C$17),0))))*Einstellungen!$E$17+IF($P63="",0,IF($P63&lt;=Einstellungen!$B$18,100,IF($P63&lt;=Einstellungen!$C$18,80+(100-80)*(Einstellungen!$C$18-$P63)/(Einstellungen!$C$18-Einstellungen!$B$18),IF($P63&lt;=Einstellungen!$D$18,80*(Einstellungen!$D$18-$P63)/(Einstellungen!$D$18-Einstellungen!$C$18),0))))*Einstellungen!$E$18)/(Einstellungen!$E$16+Einstellungen!$E$17+Einstellungen!$E$18),0))</f>
        <v/>
      </c>
      <c r="X63">
        <f>IF(AND($E63="",$D63="",$G63="",$V63="",$Q63="",$T63="",$W63="",$U63=""),"",ROUND(IF($E63="",0,IF($E63&lt;Einstellungen!$B$21,0,IF($E63&gt;=Einstellungen!$B$22,100,($E63-Einstellungen!$B$21)/(Einstellungen!$B$22-Einstellungen!$B$21)*100)))/100*Einstellungen!$B$5+IF($W63="",0,$W63/100)*Einstellungen!$B$6+(IF($G63="",0,MAX(0,MIN(100,($G63-Einstellungen!$B$25)/(Einstellungen!$B$26-Einstellungen!$B$25)*100)))+IF($I63="",0,MAX(0,MIN(100,($I63-Einstellungen!$B$27)/(Einstellungen!$B$28-Einstellungen!$B$27)*100))))/2/100*Einstellungen!$B$7+IF($V63="",0,$V63/100)*Einstellungen!$B$8+IF($R63="",0,MAX(0,MIN(100,(Einstellungen!$B$32-$R63)/(Einstellungen!$B$32-Einstellungen!$B$31)*100)))/100*Einstellungen!$B$9+IF($D63="",0,$D63/5*100)/100*Einstellungen!$B$10+IF($AD63="",0,$AD63)/100*Einstellungen!$B$11+IF($U63="",0,$U63/5*100)/100*Einstellungen!$B$12,0))</f>
        <v/>
      </c>
      <c r="Y63">
        <f>IF($X63="","",$X63*1000000000000+IF($G63="",0,$G63)*1000000+IF($H63="",0,$H63)*1000+IF($I63="",0,$I63)+IF($N63="",0,MAX(0,1000-$N63))/1000+IF($A63="",0,$A63)/1000000)</f>
        <v/>
      </c>
      <c r="Z63">
        <f>IF($Y63="","",_xludf.RANK.EQ($Y63,$Y$2:$Y$201,0))</f>
        <v/>
      </c>
    </row>
    <row r="64">
      <c r="R64">
        <f>IFERROR(IF($Q64="","",$Q64/$H64),"")</f>
        <v/>
      </c>
      <c r="S64">
        <f>IFERROR(IF($Q64="","",$Q64/$G64),"")</f>
        <v/>
      </c>
      <c r="W64">
        <f>IF(AND($L64="",$N64="",$P64=""),"",ROUND((IF($L64="",0,IF($L64&lt;=Einstellungen!$B$16,100,IF($L64&lt;=Einstellungen!$C$16,80+(100-80)*(Einstellungen!$C$16-$L64)/(Einstellungen!$C$16-Einstellungen!$B$16),IF($L64&lt;=Einstellungen!$D$16,80*(Einstellungen!$D$16-$L64)/(Einstellungen!$D$16-Einstellungen!$C$16),0))))*Einstellungen!$E$16+IF($N64="",0,IF($N64&lt;=Einstellungen!$B$17,100,IF($N64&lt;=Einstellungen!$C$17,80+(100-80)*(Einstellungen!$C$17-$N64)/(Einstellungen!$C$17-Einstellungen!$B$17),IF($N64&lt;=Einstellungen!$D$17,80*(Einstellungen!$D$17-$N64)/(Einstellungen!$D$17-Einstellungen!$C$17),0))))*Einstellungen!$E$17+IF($P64="",0,IF($P64&lt;=Einstellungen!$B$18,100,IF($P64&lt;=Einstellungen!$C$18,80+(100-80)*(Einstellungen!$C$18-$P64)/(Einstellungen!$C$18-Einstellungen!$B$18),IF($P64&lt;=Einstellungen!$D$18,80*(Einstellungen!$D$18-$P64)/(Einstellungen!$D$18-Einstellungen!$C$18),0))))*Einstellungen!$E$18)/(Einstellungen!$E$16+Einstellungen!$E$17+Einstellungen!$E$18),0))</f>
        <v/>
      </c>
      <c r="X64">
        <f>IF(AND($E64="",$D64="",$G64="",$V64="",$Q64="",$T64="",$W64="",$U64=""),"",ROUND(IF($E64="",0,IF($E64&lt;Einstellungen!$B$21,0,IF($E64&gt;=Einstellungen!$B$22,100,($E64-Einstellungen!$B$21)/(Einstellungen!$B$22-Einstellungen!$B$21)*100)))/100*Einstellungen!$B$5+IF($W64="",0,$W64/100)*Einstellungen!$B$6+(IF($G64="",0,MAX(0,MIN(100,($G64-Einstellungen!$B$25)/(Einstellungen!$B$26-Einstellungen!$B$25)*100)))+IF($I64="",0,MAX(0,MIN(100,($I64-Einstellungen!$B$27)/(Einstellungen!$B$28-Einstellungen!$B$27)*100))))/2/100*Einstellungen!$B$7+IF($V64="",0,$V64/100)*Einstellungen!$B$8+IF($R64="",0,MAX(0,MIN(100,(Einstellungen!$B$32-$R64)/(Einstellungen!$B$32-Einstellungen!$B$31)*100)))/100*Einstellungen!$B$9+IF($D64="",0,$D64/5*100)/100*Einstellungen!$B$10+IF($AD64="",0,$AD64)/100*Einstellungen!$B$11+IF($U64="",0,$U64/5*100)/100*Einstellungen!$B$12,0))</f>
        <v/>
      </c>
      <c r="Y64">
        <f>IF($X64="","",$X64*1000000000000+IF($G64="",0,$G64)*1000000+IF($H64="",0,$H64)*1000+IF($I64="",0,$I64)+IF($N64="",0,MAX(0,1000-$N64))/1000+IF($A64="",0,$A64)/1000000)</f>
        <v/>
      </c>
      <c r="Z64">
        <f>IF($Y64="","",_xludf.RANK.EQ($Y64,$Y$2:$Y$201,0))</f>
        <v/>
      </c>
    </row>
    <row r="65">
      <c r="R65">
        <f>IFERROR(IF($Q65="","",$Q65/$H65),"")</f>
        <v/>
      </c>
      <c r="S65">
        <f>IFERROR(IF($Q65="","",$Q65/$G65),"")</f>
        <v/>
      </c>
      <c r="W65">
        <f>IF(AND($L65="",$N65="",$P65=""),"",ROUND((IF($L65="",0,IF($L65&lt;=Einstellungen!$B$16,100,IF($L65&lt;=Einstellungen!$C$16,80+(100-80)*(Einstellungen!$C$16-$L65)/(Einstellungen!$C$16-Einstellungen!$B$16),IF($L65&lt;=Einstellungen!$D$16,80*(Einstellungen!$D$16-$L65)/(Einstellungen!$D$16-Einstellungen!$C$16),0))))*Einstellungen!$E$16+IF($N65="",0,IF($N65&lt;=Einstellungen!$B$17,100,IF($N65&lt;=Einstellungen!$C$17,80+(100-80)*(Einstellungen!$C$17-$N65)/(Einstellungen!$C$17-Einstellungen!$B$17),IF($N65&lt;=Einstellungen!$D$17,80*(Einstellungen!$D$17-$N65)/(Einstellungen!$D$17-Einstellungen!$C$17),0))))*Einstellungen!$E$17+IF($P65="",0,IF($P65&lt;=Einstellungen!$B$18,100,IF($P65&lt;=Einstellungen!$C$18,80+(100-80)*(Einstellungen!$C$18-$P65)/(Einstellungen!$C$18-Einstellungen!$B$18),IF($P65&lt;=Einstellungen!$D$18,80*(Einstellungen!$D$18-$P65)/(Einstellungen!$D$18-Einstellungen!$C$18),0))))*Einstellungen!$E$18)/(Einstellungen!$E$16+Einstellungen!$E$17+Einstellungen!$E$18),0))</f>
        <v/>
      </c>
      <c r="X65">
        <f>IF(AND($E65="",$D65="",$G65="",$V65="",$Q65="",$T65="",$W65="",$U65=""),"",ROUND(IF($E65="",0,IF($E65&lt;Einstellungen!$B$21,0,IF($E65&gt;=Einstellungen!$B$22,100,($E65-Einstellungen!$B$21)/(Einstellungen!$B$22-Einstellungen!$B$21)*100)))/100*Einstellungen!$B$5+IF($W65="",0,$W65/100)*Einstellungen!$B$6+(IF($G65="",0,MAX(0,MIN(100,($G65-Einstellungen!$B$25)/(Einstellungen!$B$26-Einstellungen!$B$25)*100)))+IF($I65="",0,MAX(0,MIN(100,($I65-Einstellungen!$B$27)/(Einstellungen!$B$28-Einstellungen!$B$27)*100))))/2/100*Einstellungen!$B$7+IF($V65="",0,$V65/100)*Einstellungen!$B$8+IF($R65="",0,MAX(0,MIN(100,(Einstellungen!$B$32-$R65)/(Einstellungen!$B$32-Einstellungen!$B$31)*100)))/100*Einstellungen!$B$9+IF($D65="",0,$D65/5*100)/100*Einstellungen!$B$10+IF($AD65="",0,$AD65)/100*Einstellungen!$B$11+IF($U65="",0,$U65/5*100)/100*Einstellungen!$B$12,0))</f>
        <v/>
      </c>
      <c r="Y65">
        <f>IF($X65="","",$X65*1000000000000+IF($G65="",0,$G65)*1000000+IF($H65="",0,$H65)*1000+IF($I65="",0,$I65)+IF($N65="",0,MAX(0,1000-$N65))/1000+IF($A65="",0,$A65)/1000000)</f>
        <v/>
      </c>
      <c r="Z65">
        <f>IF($Y65="","",_xludf.RANK.EQ($Y65,$Y$2:$Y$201,0))</f>
        <v/>
      </c>
    </row>
    <row r="66">
      <c r="R66">
        <f>IFERROR(IF($Q66="","",$Q66/$H66),"")</f>
        <v/>
      </c>
      <c r="S66">
        <f>IFERROR(IF($Q66="","",$Q66/$G66),"")</f>
        <v/>
      </c>
      <c r="W66">
        <f>IF(AND($L66="",$N66="",$P66=""),"",ROUND((IF($L66="",0,IF($L66&lt;=Einstellungen!$B$16,100,IF($L66&lt;=Einstellungen!$C$16,80+(100-80)*(Einstellungen!$C$16-$L66)/(Einstellungen!$C$16-Einstellungen!$B$16),IF($L66&lt;=Einstellungen!$D$16,80*(Einstellungen!$D$16-$L66)/(Einstellungen!$D$16-Einstellungen!$C$16),0))))*Einstellungen!$E$16+IF($N66="",0,IF($N66&lt;=Einstellungen!$B$17,100,IF($N66&lt;=Einstellungen!$C$17,80+(100-80)*(Einstellungen!$C$17-$N66)/(Einstellungen!$C$17-Einstellungen!$B$17),IF($N66&lt;=Einstellungen!$D$17,80*(Einstellungen!$D$17-$N66)/(Einstellungen!$D$17-Einstellungen!$C$17),0))))*Einstellungen!$E$17+IF($P66="",0,IF($P66&lt;=Einstellungen!$B$18,100,IF($P66&lt;=Einstellungen!$C$18,80+(100-80)*(Einstellungen!$C$18-$P66)/(Einstellungen!$C$18-Einstellungen!$B$18),IF($P66&lt;=Einstellungen!$D$18,80*(Einstellungen!$D$18-$P66)/(Einstellungen!$D$18-Einstellungen!$C$18),0))))*Einstellungen!$E$18)/(Einstellungen!$E$16+Einstellungen!$E$17+Einstellungen!$E$18),0))</f>
        <v/>
      </c>
      <c r="X66">
        <f>IF(AND($E66="",$D66="",$G66="",$V66="",$Q66="",$T66="",$W66="",$U66=""),"",ROUND(IF($E66="",0,IF($E66&lt;Einstellungen!$B$21,0,IF($E66&gt;=Einstellungen!$B$22,100,($E66-Einstellungen!$B$21)/(Einstellungen!$B$22-Einstellungen!$B$21)*100)))/100*Einstellungen!$B$5+IF($W66="",0,$W66/100)*Einstellungen!$B$6+(IF($G66="",0,MAX(0,MIN(100,($G66-Einstellungen!$B$25)/(Einstellungen!$B$26-Einstellungen!$B$25)*100)))+IF($I66="",0,MAX(0,MIN(100,($I66-Einstellungen!$B$27)/(Einstellungen!$B$28-Einstellungen!$B$27)*100))))/2/100*Einstellungen!$B$7+IF($V66="",0,$V66/100)*Einstellungen!$B$8+IF($R66="",0,MAX(0,MIN(100,(Einstellungen!$B$32-$R66)/(Einstellungen!$B$32-Einstellungen!$B$31)*100)))/100*Einstellungen!$B$9+IF($D66="",0,$D66/5*100)/100*Einstellungen!$B$10+IF($AD66="",0,$AD66)/100*Einstellungen!$B$11+IF($U66="",0,$U66/5*100)/100*Einstellungen!$B$12,0))</f>
        <v/>
      </c>
      <c r="Y66">
        <f>IF($X66="","",$X66*1000000000000+IF($G66="",0,$G66)*1000000+IF($H66="",0,$H66)*1000+IF($I66="",0,$I66)+IF($N66="",0,MAX(0,1000-$N66))/1000+IF($A66="",0,$A66)/1000000)</f>
        <v/>
      </c>
      <c r="Z66">
        <f>IF($Y66="","",_xludf.RANK.EQ($Y66,$Y$2:$Y$201,0))</f>
        <v/>
      </c>
    </row>
    <row r="67">
      <c r="R67">
        <f>IFERROR(IF($Q67="","",$Q67/$H67),"")</f>
        <v/>
      </c>
      <c r="S67">
        <f>IFERROR(IF($Q67="","",$Q67/$G67),"")</f>
        <v/>
      </c>
      <c r="W67">
        <f>IF(AND($L67="",$N67="",$P67=""),"",ROUND((IF($L67="",0,IF($L67&lt;=Einstellungen!$B$16,100,IF($L67&lt;=Einstellungen!$C$16,80+(100-80)*(Einstellungen!$C$16-$L67)/(Einstellungen!$C$16-Einstellungen!$B$16),IF($L67&lt;=Einstellungen!$D$16,80*(Einstellungen!$D$16-$L67)/(Einstellungen!$D$16-Einstellungen!$C$16),0))))*Einstellungen!$E$16+IF($N67="",0,IF($N67&lt;=Einstellungen!$B$17,100,IF($N67&lt;=Einstellungen!$C$17,80+(100-80)*(Einstellungen!$C$17-$N67)/(Einstellungen!$C$17-Einstellungen!$B$17),IF($N67&lt;=Einstellungen!$D$17,80*(Einstellungen!$D$17-$N67)/(Einstellungen!$D$17-Einstellungen!$C$17),0))))*Einstellungen!$E$17+IF($P67="",0,IF($P67&lt;=Einstellungen!$B$18,100,IF($P67&lt;=Einstellungen!$C$18,80+(100-80)*(Einstellungen!$C$18-$P67)/(Einstellungen!$C$18-Einstellungen!$B$18),IF($P67&lt;=Einstellungen!$D$18,80*(Einstellungen!$D$18-$P67)/(Einstellungen!$D$18-Einstellungen!$C$18),0))))*Einstellungen!$E$18)/(Einstellungen!$E$16+Einstellungen!$E$17+Einstellungen!$E$18),0))</f>
        <v/>
      </c>
      <c r="X67">
        <f>IF(AND($E67="",$D67="",$G67="",$V67="",$Q67="",$T67="",$W67="",$U67=""),"",ROUND(IF($E67="",0,IF($E67&lt;Einstellungen!$B$21,0,IF($E67&gt;=Einstellungen!$B$22,100,($E67-Einstellungen!$B$21)/(Einstellungen!$B$22-Einstellungen!$B$21)*100)))/100*Einstellungen!$B$5+IF($W67="",0,$W67/100)*Einstellungen!$B$6+(IF($G67="",0,MAX(0,MIN(100,($G67-Einstellungen!$B$25)/(Einstellungen!$B$26-Einstellungen!$B$25)*100)))+IF($I67="",0,MAX(0,MIN(100,($I67-Einstellungen!$B$27)/(Einstellungen!$B$28-Einstellungen!$B$27)*100))))/2/100*Einstellungen!$B$7+IF($V67="",0,$V67/100)*Einstellungen!$B$8+IF($R67="",0,MAX(0,MIN(100,(Einstellungen!$B$32-$R67)/(Einstellungen!$B$32-Einstellungen!$B$31)*100)))/100*Einstellungen!$B$9+IF($D67="",0,$D67/5*100)/100*Einstellungen!$B$10+IF($AD67="",0,$AD67)/100*Einstellungen!$B$11+IF($U67="",0,$U67/5*100)/100*Einstellungen!$B$12,0))</f>
        <v/>
      </c>
      <c r="Y67">
        <f>IF($X67="","",$X67*1000000000000+IF($G67="",0,$G67)*1000000+IF($H67="",0,$H67)*1000+IF($I67="",0,$I67)+IF($N67="",0,MAX(0,1000-$N67))/1000+IF($A67="",0,$A67)/1000000)</f>
        <v/>
      </c>
      <c r="Z67">
        <f>IF($Y67="","",_xludf.RANK.EQ($Y67,$Y$2:$Y$201,0))</f>
        <v/>
      </c>
    </row>
    <row r="68">
      <c r="R68">
        <f>IFERROR(IF($Q68="","",$Q68/$H68),"")</f>
        <v/>
      </c>
      <c r="S68">
        <f>IFERROR(IF($Q68="","",$Q68/$G68),"")</f>
        <v/>
      </c>
      <c r="W68">
        <f>IF(AND($L68="",$N68="",$P68=""),"",ROUND((IF($L68="",0,IF($L68&lt;=Einstellungen!$B$16,100,IF($L68&lt;=Einstellungen!$C$16,80+(100-80)*(Einstellungen!$C$16-$L68)/(Einstellungen!$C$16-Einstellungen!$B$16),IF($L68&lt;=Einstellungen!$D$16,80*(Einstellungen!$D$16-$L68)/(Einstellungen!$D$16-Einstellungen!$C$16),0))))*Einstellungen!$E$16+IF($N68="",0,IF($N68&lt;=Einstellungen!$B$17,100,IF($N68&lt;=Einstellungen!$C$17,80+(100-80)*(Einstellungen!$C$17-$N68)/(Einstellungen!$C$17-Einstellungen!$B$17),IF($N68&lt;=Einstellungen!$D$17,80*(Einstellungen!$D$17-$N68)/(Einstellungen!$D$17-Einstellungen!$C$17),0))))*Einstellungen!$E$17+IF($P68="",0,IF($P68&lt;=Einstellungen!$B$18,100,IF($P68&lt;=Einstellungen!$C$18,80+(100-80)*(Einstellungen!$C$18-$P68)/(Einstellungen!$C$18-Einstellungen!$B$18),IF($P68&lt;=Einstellungen!$D$18,80*(Einstellungen!$D$18-$P68)/(Einstellungen!$D$18-Einstellungen!$C$18),0))))*Einstellungen!$E$18)/(Einstellungen!$E$16+Einstellungen!$E$17+Einstellungen!$E$18),0))</f>
        <v/>
      </c>
      <c r="X68">
        <f>IF(AND($E68="",$D68="",$G68="",$V68="",$Q68="",$T68="",$W68="",$U68=""),"",ROUND(IF($E68="",0,IF($E68&lt;Einstellungen!$B$21,0,IF($E68&gt;=Einstellungen!$B$22,100,($E68-Einstellungen!$B$21)/(Einstellungen!$B$22-Einstellungen!$B$21)*100)))/100*Einstellungen!$B$5+IF($W68="",0,$W68/100)*Einstellungen!$B$6+(IF($G68="",0,MAX(0,MIN(100,($G68-Einstellungen!$B$25)/(Einstellungen!$B$26-Einstellungen!$B$25)*100)))+IF($I68="",0,MAX(0,MIN(100,($I68-Einstellungen!$B$27)/(Einstellungen!$B$28-Einstellungen!$B$27)*100))))/2/100*Einstellungen!$B$7+IF($V68="",0,$V68/100)*Einstellungen!$B$8+IF($R68="",0,MAX(0,MIN(100,(Einstellungen!$B$32-$R68)/(Einstellungen!$B$32-Einstellungen!$B$31)*100)))/100*Einstellungen!$B$9+IF($D68="",0,$D68/5*100)/100*Einstellungen!$B$10+IF($AD68="",0,$AD68)/100*Einstellungen!$B$11+IF($U68="",0,$U68/5*100)/100*Einstellungen!$B$12,0))</f>
        <v/>
      </c>
      <c r="Y68">
        <f>IF($X68="","",$X68*1000000000000+IF($G68="",0,$G68)*1000000+IF($H68="",0,$H68)*1000+IF($I68="",0,$I68)+IF($N68="",0,MAX(0,1000-$N68))/1000+IF($A68="",0,$A68)/1000000)</f>
        <v/>
      </c>
      <c r="Z68">
        <f>IF($Y68="","",_xludf.RANK.EQ($Y68,$Y$2:$Y$201,0))</f>
        <v/>
      </c>
    </row>
    <row r="69">
      <c r="R69">
        <f>IFERROR(IF($Q69="","",$Q69/$H69),"")</f>
        <v/>
      </c>
      <c r="S69">
        <f>IFERROR(IF($Q69="","",$Q69/$G69),"")</f>
        <v/>
      </c>
      <c r="W69">
        <f>IF(AND($L69="",$N69="",$P69=""),"",ROUND((IF($L69="",0,IF($L69&lt;=Einstellungen!$B$16,100,IF($L69&lt;=Einstellungen!$C$16,80+(100-80)*(Einstellungen!$C$16-$L69)/(Einstellungen!$C$16-Einstellungen!$B$16),IF($L69&lt;=Einstellungen!$D$16,80*(Einstellungen!$D$16-$L69)/(Einstellungen!$D$16-Einstellungen!$C$16),0))))*Einstellungen!$E$16+IF($N69="",0,IF($N69&lt;=Einstellungen!$B$17,100,IF($N69&lt;=Einstellungen!$C$17,80+(100-80)*(Einstellungen!$C$17-$N69)/(Einstellungen!$C$17-Einstellungen!$B$17),IF($N69&lt;=Einstellungen!$D$17,80*(Einstellungen!$D$17-$N69)/(Einstellungen!$D$17-Einstellungen!$C$17),0))))*Einstellungen!$E$17+IF($P69="",0,IF($P69&lt;=Einstellungen!$B$18,100,IF($P69&lt;=Einstellungen!$C$18,80+(100-80)*(Einstellungen!$C$18-$P69)/(Einstellungen!$C$18-Einstellungen!$B$18),IF($P69&lt;=Einstellungen!$D$18,80*(Einstellungen!$D$18-$P69)/(Einstellungen!$D$18-Einstellungen!$C$18),0))))*Einstellungen!$E$18)/(Einstellungen!$E$16+Einstellungen!$E$17+Einstellungen!$E$18),0))</f>
        <v/>
      </c>
      <c r="X69">
        <f>IF(AND($E69="",$D69="",$G69="",$V69="",$Q69="",$T69="",$W69="",$U69=""),"",ROUND(IF($E69="",0,IF($E69&lt;Einstellungen!$B$21,0,IF($E69&gt;=Einstellungen!$B$22,100,($E69-Einstellungen!$B$21)/(Einstellungen!$B$22-Einstellungen!$B$21)*100)))/100*Einstellungen!$B$5+IF($W69="",0,$W69/100)*Einstellungen!$B$6+(IF($G69="",0,MAX(0,MIN(100,($G69-Einstellungen!$B$25)/(Einstellungen!$B$26-Einstellungen!$B$25)*100)))+IF($I69="",0,MAX(0,MIN(100,($I69-Einstellungen!$B$27)/(Einstellungen!$B$28-Einstellungen!$B$27)*100))))/2/100*Einstellungen!$B$7+IF($V69="",0,$V69/100)*Einstellungen!$B$8+IF($R69="",0,MAX(0,MIN(100,(Einstellungen!$B$32-$R69)/(Einstellungen!$B$32-Einstellungen!$B$31)*100)))/100*Einstellungen!$B$9+IF($D69="",0,$D69/5*100)/100*Einstellungen!$B$10+IF($AD69="",0,$AD69)/100*Einstellungen!$B$11+IF($U69="",0,$U69/5*100)/100*Einstellungen!$B$12,0))</f>
        <v/>
      </c>
      <c r="Y69">
        <f>IF($X69="","",$X69*1000000000000+IF($G69="",0,$G69)*1000000+IF($H69="",0,$H69)*1000+IF($I69="",0,$I69)+IF($N69="",0,MAX(0,1000-$N69))/1000+IF($A69="",0,$A69)/1000000)</f>
        <v/>
      </c>
      <c r="Z69">
        <f>IF($Y69="","",_xludf.RANK.EQ($Y69,$Y$2:$Y$201,0))</f>
        <v/>
      </c>
    </row>
    <row r="70">
      <c r="R70">
        <f>IFERROR(IF($Q70="","",$Q70/$H70),"")</f>
        <v/>
      </c>
      <c r="S70">
        <f>IFERROR(IF($Q70="","",$Q70/$G70),"")</f>
        <v/>
      </c>
      <c r="W70">
        <f>IF(AND($L70="",$N70="",$P70=""),"",ROUND((IF($L70="",0,IF($L70&lt;=Einstellungen!$B$16,100,IF($L70&lt;=Einstellungen!$C$16,80+(100-80)*(Einstellungen!$C$16-$L70)/(Einstellungen!$C$16-Einstellungen!$B$16),IF($L70&lt;=Einstellungen!$D$16,80*(Einstellungen!$D$16-$L70)/(Einstellungen!$D$16-Einstellungen!$C$16),0))))*Einstellungen!$E$16+IF($N70="",0,IF($N70&lt;=Einstellungen!$B$17,100,IF($N70&lt;=Einstellungen!$C$17,80+(100-80)*(Einstellungen!$C$17-$N70)/(Einstellungen!$C$17-Einstellungen!$B$17),IF($N70&lt;=Einstellungen!$D$17,80*(Einstellungen!$D$17-$N70)/(Einstellungen!$D$17-Einstellungen!$C$17),0))))*Einstellungen!$E$17+IF($P70="",0,IF($P70&lt;=Einstellungen!$B$18,100,IF($P70&lt;=Einstellungen!$C$18,80+(100-80)*(Einstellungen!$C$18-$P70)/(Einstellungen!$C$18-Einstellungen!$B$18),IF($P70&lt;=Einstellungen!$D$18,80*(Einstellungen!$D$18-$P70)/(Einstellungen!$D$18-Einstellungen!$C$18),0))))*Einstellungen!$E$18)/(Einstellungen!$E$16+Einstellungen!$E$17+Einstellungen!$E$18),0))</f>
        <v/>
      </c>
      <c r="X70">
        <f>IF(AND($E70="",$D70="",$G70="",$V70="",$Q70="",$T70="",$W70="",$U70=""),"",ROUND(IF($E70="",0,IF($E70&lt;Einstellungen!$B$21,0,IF($E70&gt;=Einstellungen!$B$22,100,($E70-Einstellungen!$B$21)/(Einstellungen!$B$22-Einstellungen!$B$21)*100)))/100*Einstellungen!$B$5+IF($W70="",0,$W70/100)*Einstellungen!$B$6+(IF($G70="",0,MAX(0,MIN(100,($G70-Einstellungen!$B$25)/(Einstellungen!$B$26-Einstellungen!$B$25)*100)))+IF($I70="",0,MAX(0,MIN(100,($I70-Einstellungen!$B$27)/(Einstellungen!$B$28-Einstellungen!$B$27)*100))))/2/100*Einstellungen!$B$7+IF($V70="",0,$V70/100)*Einstellungen!$B$8+IF($R70="",0,MAX(0,MIN(100,(Einstellungen!$B$32-$R70)/(Einstellungen!$B$32-Einstellungen!$B$31)*100)))/100*Einstellungen!$B$9+IF($D70="",0,$D70/5*100)/100*Einstellungen!$B$10+IF($AD70="",0,$AD70)/100*Einstellungen!$B$11+IF($U70="",0,$U70/5*100)/100*Einstellungen!$B$12,0))</f>
        <v/>
      </c>
      <c r="Y70">
        <f>IF($X70="","",$X70*1000000000000+IF($G70="",0,$G70)*1000000+IF($H70="",0,$H70)*1000+IF($I70="",0,$I70)+IF($N70="",0,MAX(0,1000-$N70))/1000+IF($A70="",0,$A70)/1000000)</f>
        <v/>
      </c>
      <c r="Z70">
        <f>IF($Y70="","",_xludf.RANK.EQ($Y70,$Y$2:$Y$201,0))</f>
        <v/>
      </c>
    </row>
    <row r="71">
      <c r="R71">
        <f>IFERROR(IF($Q71="","",$Q71/$H71),"")</f>
        <v/>
      </c>
      <c r="S71">
        <f>IFERROR(IF($Q71="","",$Q71/$G71),"")</f>
        <v/>
      </c>
      <c r="W71">
        <f>IF(AND($L71="",$N71="",$P71=""),"",ROUND((IF($L71="",0,IF($L71&lt;=Einstellungen!$B$16,100,IF($L71&lt;=Einstellungen!$C$16,80+(100-80)*(Einstellungen!$C$16-$L71)/(Einstellungen!$C$16-Einstellungen!$B$16),IF($L71&lt;=Einstellungen!$D$16,80*(Einstellungen!$D$16-$L71)/(Einstellungen!$D$16-Einstellungen!$C$16),0))))*Einstellungen!$E$16+IF($N71="",0,IF($N71&lt;=Einstellungen!$B$17,100,IF($N71&lt;=Einstellungen!$C$17,80+(100-80)*(Einstellungen!$C$17-$N71)/(Einstellungen!$C$17-Einstellungen!$B$17),IF($N71&lt;=Einstellungen!$D$17,80*(Einstellungen!$D$17-$N71)/(Einstellungen!$D$17-Einstellungen!$C$17),0))))*Einstellungen!$E$17+IF($P71="",0,IF($P71&lt;=Einstellungen!$B$18,100,IF($P71&lt;=Einstellungen!$C$18,80+(100-80)*(Einstellungen!$C$18-$P71)/(Einstellungen!$C$18-Einstellungen!$B$18),IF($P71&lt;=Einstellungen!$D$18,80*(Einstellungen!$D$18-$P71)/(Einstellungen!$D$18-Einstellungen!$C$18),0))))*Einstellungen!$E$18)/(Einstellungen!$E$16+Einstellungen!$E$17+Einstellungen!$E$18),0))</f>
        <v/>
      </c>
      <c r="X71">
        <f>IF(AND($E71="",$D71="",$G71="",$V71="",$Q71="",$T71="",$W71="",$U71=""),"",ROUND(IF($E71="",0,IF($E71&lt;Einstellungen!$B$21,0,IF($E71&gt;=Einstellungen!$B$22,100,($E71-Einstellungen!$B$21)/(Einstellungen!$B$22-Einstellungen!$B$21)*100)))/100*Einstellungen!$B$5+IF($W71="",0,$W71/100)*Einstellungen!$B$6+(IF($G71="",0,MAX(0,MIN(100,($G71-Einstellungen!$B$25)/(Einstellungen!$B$26-Einstellungen!$B$25)*100)))+IF($I71="",0,MAX(0,MIN(100,($I71-Einstellungen!$B$27)/(Einstellungen!$B$28-Einstellungen!$B$27)*100))))/2/100*Einstellungen!$B$7+IF($V71="",0,$V71/100)*Einstellungen!$B$8+IF($R71="",0,MAX(0,MIN(100,(Einstellungen!$B$32-$R71)/(Einstellungen!$B$32-Einstellungen!$B$31)*100)))/100*Einstellungen!$B$9+IF($D71="",0,$D71/5*100)/100*Einstellungen!$B$10+IF($AD71="",0,$AD71)/100*Einstellungen!$B$11+IF($U71="",0,$U71/5*100)/100*Einstellungen!$B$12,0))</f>
        <v/>
      </c>
      <c r="Y71">
        <f>IF($X71="","",$X71*1000000000000+IF($G71="",0,$G71)*1000000+IF($H71="",0,$H71)*1000+IF($I71="",0,$I71)+IF($N71="",0,MAX(0,1000-$N71))/1000+IF($A71="",0,$A71)/1000000)</f>
        <v/>
      </c>
      <c r="Z71">
        <f>IF($Y71="","",_xludf.RANK.EQ($Y71,$Y$2:$Y$201,0))</f>
        <v/>
      </c>
    </row>
    <row r="72">
      <c r="R72">
        <f>IFERROR(IF($Q72="","",$Q72/$H72),"")</f>
        <v/>
      </c>
      <c r="S72">
        <f>IFERROR(IF($Q72="","",$Q72/$G72),"")</f>
        <v/>
      </c>
      <c r="W72">
        <f>IF(AND($L72="",$N72="",$P72=""),"",ROUND((IF($L72="",0,IF($L72&lt;=Einstellungen!$B$16,100,IF($L72&lt;=Einstellungen!$C$16,80+(100-80)*(Einstellungen!$C$16-$L72)/(Einstellungen!$C$16-Einstellungen!$B$16),IF($L72&lt;=Einstellungen!$D$16,80*(Einstellungen!$D$16-$L72)/(Einstellungen!$D$16-Einstellungen!$C$16),0))))*Einstellungen!$E$16+IF($N72="",0,IF($N72&lt;=Einstellungen!$B$17,100,IF($N72&lt;=Einstellungen!$C$17,80+(100-80)*(Einstellungen!$C$17-$N72)/(Einstellungen!$C$17-Einstellungen!$B$17),IF($N72&lt;=Einstellungen!$D$17,80*(Einstellungen!$D$17-$N72)/(Einstellungen!$D$17-Einstellungen!$C$17),0))))*Einstellungen!$E$17+IF($P72="",0,IF($P72&lt;=Einstellungen!$B$18,100,IF($P72&lt;=Einstellungen!$C$18,80+(100-80)*(Einstellungen!$C$18-$P72)/(Einstellungen!$C$18-Einstellungen!$B$18),IF($P72&lt;=Einstellungen!$D$18,80*(Einstellungen!$D$18-$P72)/(Einstellungen!$D$18-Einstellungen!$C$18),0))))*Einstellungen!$E$18)/(Einstellungen!$E$16+Einstellungen!$E$17+Einstellungen!$E$18),0))</f>
        <v/>
      </c>
      <c r="X72">
        <f>IF(AND($E72="",$D72="",$G72="",$V72="",$Q72="",$T72="",$W72="",$U72=""),"",ROUND(IF($E72="",0,IF($E72&lt;Einstellungen!$B$21,0,IF($E72&gt;=Einstellungen!$B$22,100,($E72-Einstellungen!$B$21)/(Einstellungen!$B$22-Einstellungen!$B$21)*100)))/100*Einstellungen!$B$5+IF($W72="",0,$W72/100)*Einstellungen!$B$6+(IF($G72="",0,MAX(0,MIN(100,($G72-Einstellungen!$B$25)/(Einstellungen!$B$26-Einstellungen!$B$25)*100)))+IF($I72="",0,MAX(0,MIN(100,($I72-Einstellungen!$B$27)/(Einstellungen!$B$28-Einstellungen!$B$27)*100))))/2/100*Einstellungen!$B$7+IF($V72="",0,$V72/100)*Einstellungen!$B$8+IF($R72="",0,MAX(0,MIN(100,(Einstellungen!$B$32-$R72)/(Einstellungen!$B$32-Einstellungen!$B$31)*100)))/100*Einstellungen!$B$9+IF($D72="",0,$D72/5*100)/100*Einstellungen!$B$10+IF($AD72="",0,$AD72)/100*Einstellungen!$B$11+IF($U72="",0,$U72/5*100)/100*Einstellungen!$B$12,0))</f>
        <v/>
      </c>
      <c r="Y72">
        <f>IF($X72="","",$X72*1000000000000+IF($G72="",0,$G72)*1000000+IF($H72="",0,$H72)*1000+IF($I72="",0,$I72)+IF($N72="",0,MAX(0,1000-$N72))/1000+IF($A72="",0,$A72)/1000000)</f>
        <v/>
      </c>
      <c r="Z72">
        <f>IF($Y72="","",_xludf.RANK.EQ($Y72,$Y$2:$Y$201,0))</f>
        <v/>
      </c>
    </row>
    <row r="73">
      <c r="R73">
        <f>IFERROR(IF($Q73="","",$Q73/$H73),"")</f>
        <v/>
      </c>
      <c r="S73">
        <f>IFERROR(IF($Q73="","",$Q73/$G73),"")</f>
        <v/>
      </c>
      <c r="W73">
        <f>IF(AND($L73="",$N73="",$P73=""),"",ROUND((IF($L73="",0,IF($L73&lt;=Einstellungen!$B$16,100,IF($L73&lt;=Einstellungen!$C$16,80+(100-80)*(Einstellungen!$C$16-$L73)/(Einstellungen!$C$16-Einstellungen!$B$16),IF($L73&lt;=Einstellungen!$D$16,80*(Einstellungen!$D$16-$L73)/(Einstellungen!$D$16-Einstellungen!$C$16),0))))*Einstellungen!$E$16+IF($N73="",0,IF($N73&lt;=Einstellungen!$B$17,100,IF($N73&lt;=Einstellungen!$C$17,80+(100-80)*(Einstellungen!$C$17-$N73)/(Einstellungen!$C$17-Einstellungen!$B$17),IF($N73&lt;=Einstellungen!$D$17,80*(Einstellungen!$D$17-$N73)/(Einstellungen!$D$17-Einstellungen!$C$17),0))))*Einstellungen!$E$17+IF($P73="",0,IF($P73&lt;=Einstellungen!$B$18,100,IF($P73&lt;=Einstellungen!$C$18,80+(100-80)*(Einstellungen!$C$18-$P73)/(Einstellungen!$C$18-Einstellungen!$B$18),IF($P73&lt;=Einstellungen!$D$18,80*(Einstellungen!$D$18-$P73)/(Einstellungen!$D$18-Einstellungen!$C$18),0))))*Einstellungen!$E$18)/(Einstellungen!$E$16+Einstellungen!$E$17+Einstellungen!$E$18),0))</f>
        <v/>
      </c>
      <c r="X73">
        <f>IF(AND($E73="",$D73="",$G73="",$V73="",$Q73="",$T73="",$W73="",$U73=""),"",ROUND(IF($E73="",0,IF($E73&lt;Einstellungen!$B$21,0,IF($E73&gt;=Einstellungen!$B$22,100,($E73-Einstellungen!$B$21)/(Einstellungen!$B$22-Einstellungen!$B$21)*100)))/100*Einstellungen!$B$5+IF($W73="",0,$W73/100)*Einstellungen!$B$6+(IF($G73="",0,MAX(0,MIN(100,($G73-Einstellungen!$B$25)/(Einstellungen!$B$26-Einstellungen!$B$25)*100)))+IF($I73="",0,MAX(0,MIN(100,($I73-Einstellungen!$B$27)/(Einstellungen!$B$28-Einstellungen!$B$27)*100))))/2/100*Einstellungen!$B$7+IF($V73="",0,$V73/100)*Einstellungen!$B$8+IF($R73="",0,MAX(0,MIN(100,(Einstellungen!$B$32-$R73)/(Einstellungen!$B$32-Einstellungen!$B$31)*100)))/100*Einstellungen!$B$9+IF($D73="",0,$D73/5*100)/100*Einstellungen!$B$10+IF($AD73="",0,$AD73)/100*Einstellungen!$B$11+IF($U73="",0,$U73/5*100)/100*Einstellungen!$B$12,0))</f>
        <v/>
      </c>
      <c r="Y73">
        <f>IF($X73="","",$X73*1000000000000+IF($G73="",0,$G73)*1000000+IF($H73="",0,$H73)*1000+IF($I73="",0,$I73)+IF($N73="",0,MAX(0,1000-$N73))/1000+IF($A73="",0,$A73)/1000000)</f>
        <v/>
      </c>
      <c r="Z73">
        <f>IF($Y73="","",_xludf.RANK.EQ($Y73,$Y$2:$Y$201,0))</f>
        <v/>
      </c>
    </row>
    <row r="74">
      <c r="R74">
        <f>IFERROR(IF($Q74="","",$Q74/$H74),"")</f>
        <v/>
      </c>
      <c r="S74">
        <f>IFERROR(IF($Q74="","",$Q74/$G74),"")</f>
        <v/>
      </c>
      <c r="W74">
        <f>IF(AND($L74="",$N74="",$P74=""),"",ROUND((IF($L74="",0,IF($L74&lt;=Einstellungen!$B$16,100,IF($L74&lt;=Einstellungen!$C$16,80+(100-80)*(Einstellungen!$C$16-$L74)/(Einstellungen!$C$16-Einstellungen!$B$16),IF($L74&lt;=Einstellungen!$D$16,80*(Einstellungen!$D$16-$L74)/(Einstellungen!$D$16-Einstellungen!$C$16),0))))*Einstellungen!$E$16+IF($N74="",0,IF($N74&lt;=Einstellungen!$B$17,100,IF($N74&lt;=Einstellungen!$C$17,80+(100-80)*(Einstellungen!$C$17-$N74)/(Einstellungen!$C$17-Einstellungen!$B$17),IF($N74&lt;=Einstellungen!$D$17,80*(Einstellungen!$D$17-$N74)/(Einstellungen!$D$17-Einstellungen!$C$17),0))))*Einstellungen!$E$17+IF($P74="",0,IF($P74&lt;=Einstellungen!$B$18,100,IF($P74&lt;=Einstellungen!$C$18,80+(100-80)*(Einstellungen!$C$18-$P74)/(Einstellungen!$C$18-Einstellungen!$B$18),IF($P74&lt;=Einstellungen!$D$18,80*(Einstellungen!$D$18-$P74)/(Einstellungen!$D$18-Einstellungen!$C$18),0))))*Einstellungen!$E$18)/(Einstellungen!$E$16+Einstellungen!$E$17+Einstellungen!$E$18),0))</f>
        <v/>
      </c>
      <c r="X74">
        <f>IF(AND($E74="",$D74="",$G74="",$V74="",$Q74="",$T74="",$W74="",$U74=""),"",ROUND(IF($E74="",0,IF($E74&lt;Einstellungen!$B$21,0,IF($E74&gt;=Einstellungen!$B$22,100,($E74-Einstellungen!$B$21)/(Einstellungen!$B$22-Einstellungen!$B$21)*100)))/100*Einstellungen!$B$5+IF($W74="",0,$W74/100)*Einstellungen!$B$6+(IF($G74="",0,MAX(0,MIN(100,($G74-Einstellungen!$B$25)/(Einstellungen!$B$26-Einstellungen!$B$25)*100)))+IF($I74="",0,MAX(0,MIN(100,($I74-Einstellungen!$B$27)/(Einstellungen!$B$28-Einstellungen!$B$27)*100))))/2/100*Einstellungen!$B$7+IF($V74="",0,$V74/100)*Einstellungen!$B$8+IF($R74="",0,MAX(0,MIN(100,(Einstellungen!$B$32-$R74)/(Einstellungen!$B$32-Einstellungen!$B$31)*100)))/100*Einstellungen!$B$9+IF($D74="",0,$D74/5*100)/100*Einstellungen!$B$10+IF($AD74="",0,$AD74)/100*Einstellungen!$B$11+IF($U74="",0,$U74/5*100)/100*Einstellungen!$B$12,0))</f>
        <v/>
      </c>
      <c r="Y74">
        <f>IF($X74="","",$X74*1000000000000+IF($G74="",0,$G74)*1000000+IF($H74="",0,$H74)*1000+IF($I74="",0,$I74)+IF($N74="",0,MAX(0,1000-$N74))/1000+IF($A74="",0,$A74)/1000000)</f>
        <v/>
      </c>
      <c r="Z74">
        <f>IF($Y74="","",_xludf.RANK.EQ($Y74,$Y$2:$Y$201,0))</f>
        <v/>
      </c>
    </row>
    <row r="75">
      <c r="R75">
        <f>IFERROR(IF($Q75="","",$Q75/$H75),"")</f>
        <v/>
      </c>
      <c r="S75">
        <f>IFERROR(IF($Q75="","",$Q75/$G75),"")</f>
        <v/>
      </c>
      <c r="W75">
        <f>IF(AND($L75="",$N75="",$P75=""),"",ROUND((IF($L75="",0,IF($L75&lt;=Einstellungen!$B$16,100,IF($L75&lt;=Einstellungen!$C$16,80+(100-80)*(Einstellungen!$C$16-$L75)/(Einstellungen!$C$16-Einstellungen!$B$16),IF($L75&lt;=Einstellungen!$D$16,80*(Einstellungen!$D$16-$L75)/(Einstellungen!$D$16-Einstellungen!$C$16),0))))*Einstellungen!$E$16+IF($N75="",0,IF($N75&lt;=Einstellungen!$B$17,100,IF($N75&lt;=Einstellungen!$C$17,80+(100-80)*(Einstellungen!$C$17-$N75)/(Einstellungen!$C$17-Einstellungen!$B$17),IF($N75&lt;=Einstellungen!$D$17,80*(Einstellungen!$D$17-$N75)/(Einstellungen!$D$17-Einstellungen!$C$17),0))))*Einstellungen!$E$17+IF($P75="",0,IF($P75&lt;=Einstellungen!$B$18,100,IF($P75&lt;=Einstellungen!$C$18,80+(100-80)*(Einstellungen!$C$18-$P75)/(Einstellungen!$C$18-Einstellungen!$B$18),IF($P75&lt;=Einstellungen!$D$18,80*(Einstellungen!$D$18-$P75)/(Einstellungen!$D$18-Einstellungen!$C$18),0))))*Einstellungen!$E$18)/(Einstellungen!$E$16+Einstellungen!$E$17+Einstellungen!$E$18),0))</f>
        <v/>
      </c>
      <c r="X75">
        <f>IF(AND($E75="",$D75="",$G75="",$V75="",$Q75="",$T75="",$W75="",$U75=""),"",ROUND(IF($E75="",0,IF($E75&lt;Einstellungen!$B$21,0,IF($E75&gt;=Einstellungen!$B$22,100,($E75-Einstellungen!$B$21)/(Einstellungen!$B$22-Einstellungen!$B$21)*100)))/100*Einstellungen!$B$5+IF($W75="",0,$W75/100)*Einstellungen!$B$6+(IF($G75="",0,MAX(0,MIN(100,($G75-Einstellungen!$B$25)/(Einstellungen!$B$26-Einstellungen!$B$25)*100)))+IF($I75="",0,MAX(0,MIN(100,($I75-Einstellungen!$B$27)/(Einstellungen!$B$28-Einstellungen!$B$27)*100))))/2/100*Einstellungen!$B$7+IF($V75="",0,$V75/100)*Einstellungen!$B$8+IF($R75="",0,MAX(0,MIN(100,(Einstellungen!$B$32-$R75)/(Einstellungen!$B$32-Einstellungen!$B$31)*100)))/100*Einstellungen!$B$9+IF($D75="",0,$D75/5*100)/100*Einstellungen!$B$10+IF($AD75="",0,$AD75)/100*Einstellungen!$B$11+IF($U75="",0,$U75/5*100)/100*Einstellungen!$B$12,0))</f>
        <v/>
      </c>
      <c r="Y75">
        <f>IF($X75="","",$X75*1000000000000+IF($G75="",0,$G75)*1000000+IF($H75="",0,$H75)*1000+IF($I75="",0,$I75)+IF($N75="",0,MAX(0,1000-$N75))/1000+IF($A75="",0,$A75)/1000000)</f>
        <v/>
      </c>
      <c r="Z75">
        <f>IF($Y75="","",_xludf.RANK.EQ($Y75,$Y$2:$Y$201,0))</f>
        <v/>
      </c>
    </row>
    <row r="76">
      <c r="R76">
        <f>IFERROR(IF($Q76="","",$Q76/$H76),"")</f>
        <v/>
      </c>
      <c r="S76">
        <f>IFERROR(IF($Q76="","",$Q76/$G76),"")</f>
        <v/>
      </c>
      <c r="W76">
        <f>IF(AND($L76="",$N76="",$P76=""),"",ROUND((IF($L76="",0,IF($L76&lt;=Einstellungen!$B$16,100,IF($L76&lt;=Einstellungen!$C$16,80+(100-80)*(Einstellungen!$C$16-$L76)/(Einstellungen!$C$16-Einstellungen!$B$16),IF($L76&lt;=Einstellungen!$D$16,80*(Einstellungen!$D$16-$L76)/(Einstellungen!$D$16-Einstellungen!$C$16),0))))*Einstellungen!$E$16+IF($N76="",0,IF($N76&lt;=Einstellungen!$B$17,100,IF($N76&lt;=Einstellungen!$C$17,80+(100-80)*(Einstellungen!$C$17-$N76)/(Einstellungen!$C$17-Einstellungen!$B$17),IF($N76&lt;=Einstellungen!$D$17,80*(Einstellungen!$D$17-$N76)/(Einstellungen!$D$17-Einstellungen!$C$17),0))))*Einstellungen!$E$17+IF($P76="",0,IF($P76&lt;=Einstellungen!$B$18,100,IF($P76&lt;=Einstellungen!$C$18,80+(100-80)*(Einstellungen!$C$18-$P76)/(Einstellungen!$C$18-Einstellungen!$B$18),IF($P76&lt;=Einstellungen!$D$18,80*(Einstellungen!$D$18-$P76)/(Einstellungen!$D$18-Einstellungen!$C$18),0))))*Einstellungen!$E$18)/(Einstellungen!$E$16+Einstellungen!$E$17+Einstellungen!$E$18),0))</f>
        <v/>
      </c>
      <c r="X76">
        <f>IF(AND($E76="",$D76="",$G76="",$V76="",$Q76="",$T76="",$W76="",$U76=""),"",ROUND(IF($E76="",0,IF($E76&lt;Einstellungen!$B$21,0,IF($E76&gt;=Einstellungen!$B$22,100,($E76-Einstellungen!$B$21)/(Einstellungen!$B$22-Einstellungen!$B$21)*100)))/100*Einstellungen!$B$5+IF($W76="",0,$W76/100)*Einstellungen!$B$6+(IF($G76="",0,MAX(0,MIN(100,($G76-Einstellungen!$B$25)/(Einstellungen!$B$26-Einstellungen!$B$25)*100)))+IF($I76="",0,MAX(0,MIN(100,($I76-Einstellungen!$B$27)/(Einstellungen!$B$28-Einstellungen!$B$27)*100))))/2/100*Einstellungen!$B$7+IF($V76="",0,$V76/100)*Einstellungen!$B$8+IF($R76="",0,MAX(0,MIN(100,(Einstellungen!$B$32-$R76)/(Einstellungen!$B$32-Einstellungen!$B$31)*100)))/100*Einstellungen!$B$9+IF($D76="",0,$D76/5*100)/100*Einstellungen!$B$10+IF($AD76="",0,$AD76)/100*Einstellungen!$B$11+IF($U76="",0,$U76/5*100)/100*Einstellungen!$B$12,0))</f>
        <v/>
      </c>
      <c r="Y76">
        <f>IF($X76="","",$X76*1000000000000+IF($G76="",0,$G76)*1000000+IF($H76="",0,$H76)*1000+IF($I76="",0,$I76)+IF($N76="",0,MAX(0,1000-$N76))/1000+IF($A76="",0,$A76)/1000000)</f>
        <v/>
      </c>
      <c r="Z76">
        <f>IF($Y76="","",_xludf.RANK.EQ($Y76,$Y$2:$Y$201,0))</f>
        <v/>
      </c>
    </row>
    <row r="77">
      <c r="R77">
        <f>IFERROR(IF($Q77="","",$Q77/$H77),"")</f>
        <v/>
      </c>
      <c r="S77">
        <f>IFERROR(IF($Q77="","",$Q77/$G77),"")</f>
        <v/>
      </c>
      <c r="W77">
        <f>IF(AND($L77="",$N77="",$P77=""),"",ROUND((IF($L77="",0,IF($L77&lt;=Einstellungen!$B$16,100,IF($L77&lt;=Einstellungen!$C$16,80+(100-80)*(Einstellungen!$C$16-$L77)/(Einstellungen!$C$16-Einstellungen!$B$16),IF($L77&lt;=Einstellungen!$D$16,80*(Einstellungen!$D$16-$L77)/(Einstellungen!$D$16-Einstellungen!$C$16),0))))*Einstellungen!$E$16+IF($N77="",0,IF($N77&lt;=Einstellungen!$B$17,100,IF($N77&lt;=Einstellungen!$C$17,80+(100-80)*(Einstellungen!$C$17-$N77)/(Einstellungen!$C$17-Einstellungen!$B$17),IF($N77&lt;=Einstellungen!$D$17,80*(Einstellungen!$D$17-$N77)/(Einstellungen!$D$17-Einstellungen!$C$17),0))))*Einstellungen!$E$17+IF($P77="",0,IF($P77&lt;=Einstellungen!$B$18,100,IF($P77&lt;=Einstellungen!$C$18,80+(100-80)*(Einstellungen!$C$18-$P77)/(Einstellungen!$C$18-Einstellungen!$B$18),IF($P77&lt;=Einstellungen!$D$18,80*(Einstellungen!$D$18-$P77)/(Einstellungen!$D$18-Einstellungen!$C$18),0))))*Einstellungen!$E$18)/(Einstellungen!$E$16+Einstellungen!$E$17+Einstellungen!$E$18),0))</f>
        <v/>
      </c>
      <c r="X77">
        <f>IF(AND($E77="",$D77="",$G77="",$V77="",$Q77="",$T77="",$W77="",$U77=""),"",ROUND(IF($E77="",0,IF($E77&lt;Einstellungen!$B$21,0,IF($E77&gt;=Einstellungen!$B$22,100,($E77-Einstellungen!$B$21)/(Einstellungen!$B$22-Einstellungen!$B$21)*100)))/100*Einstellungen!$B$5+IF($W77="",0,$W77/100)*Einstellungen!$B$6+(IF($G77="",0,MAX(0,MIN(100,($G77-Einstellungen!$B$25)/(Einstellungen!$B$26-Einstellungen!$B$25)*100)))+IF($I77="",0,MAX(0,MIN(100,($I77-Einstellungen!$B$27)/(Einstellungen!$B$28-Einstellungen!$B$27)*100))))/2/100*Einstellungen!$B$7+IF($V77="",0,$V77/100)*Einstellungen!$B$8+IF($R77="",0,MAX(0,MIN(100,(Einstellungen!$B$32-$R77)/(Einstellungen!$B$32-Einstellungen!$B$31)*100)))/100*Einstellungen!$B$9+IF($D77="",0,$D77/5*100)/100*Einstellungen!$B$10+IF($AD77="",0,$AD77)/100*Einstellungen!$B$11+IF($U77="",0,$U77/5*100)/100*Einstellungen!$B$12,0))</f>
        <v/>
      </c>
      <c r="Y77">
        <f>IF($X77="","",$X77*1000000000000+IF($G77="",0,$G77)*1000000+IF($H77="",0,$H77)*1000+IF($I77="",0,$I77)+IF($N77="",0,MAX(0,1000-$N77))/1000+IF($A77="",0,$A77)/1000000)</f>
        <v/>
      </c>
      <c r="Z77">
        <f>IF($Y77="","",_xludf.RANK.EQ($Y77,$Y$2:$Y$201,0))</f>
        <v/>
      </c>
    </row>
    <row r="78">
      <c r="R78">
        <f>IFERROR(IF($Q78="","",$Q78/$H78),"")</f>
        <v/>
      </c>
      <c r="S78">
        <f>IFERROR(IF($Q78="","",$Q78/$G78),"")</f>
        <v/>
      </c>
      <c r="W78">
        <f>IF(AND($L78="",$N78="",$P78=""),"",ROUND((IF($L78="",0,IF($L78&lt;=Einstellungen!$B$16,100,IF($L78&lt;=Einstellungen!$C$16,80+(100-80)*(Einstellungen!$C$16-$L78)/(Einstellungen!$C$16-Einstellungen!$B$16),IF($L78&lt;=Einstellungen!$D$16,80*(Einstellungen!$D$16-$L78)/(Einstellungen!$D$16-Einstellungen!$C$16),0))))*Einstellungen!$E$16+IF($N78="",0,IF($N78&lt;=Einstellungen!$B$17,100,IF($N78&lt;=Einstellungen!$C$17,80+(100-80)*(Einstellungen!$C$17-$N78)/(Einstellungen!$C$17-Einstellungen!$B$17),IF($N78&lt;=Einstellungen!$D$17,80*(Einstellungen!$D$17-$N78)/(Einstellungen!$D$17-Einstellungen!$C$17),0))))*Einstellungen!$E$17+IF($P78="",0,IF($P78&lt;=Einstellungen!$B$18,100,IF($P78&lt;=Einstellungen!$C$18,80+(100-80)*(Einstellungen!$C$18-$P78)/(Einstellungen!$C$18-Einstellungen!$B$18),IF($P78&lt;=Einstellungen!$D$18,80*(Einstellungen!$D$18-$P78)/(Einstellungen!$D$18-Einstellungen!$C$18),0))))*Einstellungen!$E$18)/(Einstellungen!$E$16+Einstellungen!$E$17+Einstellungen!$E$18),0))</f>
        <v/>
      </c>
      <c r="X78">
        <f>IF(AND($E78="",$D78="",$G78="",$V78="",$Q78="",$T78="",$W78="",$U78=""),"",ROUND(IF($E78="",0,IF($E78&lt;Einstellungen!$B$21,0,IF($E78&gt;=Einstellungen!$B$22,100,($E78-Einstellungen!$B$21)/(Einstellungen!$B$22-Einstellungen!$B$21)*100)))/100*Einstellungen!$B$5+IF($W78="",0,$W78/100)*Einstellungen!$B$6+(IF($G78="",0,MAX(0,MIN(100,($G78-Einstellungen!$B$25)/(Einstellungen!$B$26-Einstellungen!$B$25)*100)))+IF($I78="",0,MAX(0,MIN(100,($I78-Einstellungen!$B$27)/(Einstellungen!$B$28-Einstellungen!$B$27)*100))))/2/100*Einstellungen!$B$7+IF($V78="",0,$V78/100)*Einstellungen!$B$8+IF($R78="",0,MAX(0,MIN(100,(Einstellungen!$B$32-$R78)/(Einstellungen!$B$32-Einstellungen!$B$31)*100)))/100*Einstellungen!$B$9+IF($D78="",0,$D78/5*100)/100*Einstellungen!$B$10+IF($AD78="",0,$AD78)/100*Einstellungen!$B$11+IF($U78="",0,$U78/5*100)/100*Einstellungen!$B$12,0))</f>
        <v/>
      </c>
      <c r="Y78">
        <f>IF($X78="","",$X78*1000000000000+IF($G78="",0,$G78)*1000000+IF($H78="",0,$H78)*1000+IF($I78="",0,$I78)+IF($N78="",0,MAX(0,1000-$N78))/1000+IF($A78="",0,$A78)/1000000)</f>
        <v/>
      </c>
      <c r="Z78">
        <f>IF($Y78="","",_xludf.RANK.EQ($Y78,$Y$2:$Y$201,0))</f>
        <v/>
      </c>
    </row>
    <row r="79">
      <c r="R79">
        <f>IFERROR(IF($Q79="","",$Q79/$H79),"")</f>
        <v/>
      </c>
      <c r="S79">
        <f>IFERROR(IF($Q79="","",$Q79/$G79),"")</f>
        <v/>
      </c>
      <c r="W79">
        <f>IF(AND($L79="",$N79="",$P79=""),"",ROUND((IF($L79="",0,IF($L79&lt;=Einstellungen!$B$16,100,IF($L79&lt;=Einstellungen!$C$16,80+(100-80)*(Einstellungen!$C$16-$L79)/(Einstellungen!$C$16-Einstellungen!$B$16),IF($L79&lt;=Einstellungen!$D$16,80*(Einstellungen!$D$16-$L79)/(Einstellungen!$D$16-Einstellungen!$C$16),0))))*Einstellungen!$E$16+IF($N79="",0,IF($N79&lt;=Einstellungen!$B$17,100,IF($N79&lt;=Einstellungen!$C$17,80+(100-80)*(Einstellungen!$C$17-$N79)/(Einstellungen!$C$17-Einstellungen!$B$17),IF($N79&lt;=Einstellungen!$D$17,80*(Einstellungen!$D$17-$N79)/(Einstellungen!$D$17-Einstellungen!$C$17),0))))*Einstellungen!$E$17+IF($P79="",0,IF($P79&lt;=Einstellungen!$B$18,100,IF($P79&lt;=Einstellungen!$C$18,80+(100-80)*(Einstellungen!$C$18-$P79)/(Einstellungen!$C$18-Einstellungen!$B$18),IF($P79&lt;=Einstellungen!$D$18,80*(Einstellungen!$D$18-$P79)/(Einstellungen!$D$18-Einstellungen!$C$18),0))))*Einstellungen!$E$18)/(Einstellungen!$E$16+Einstellungen!$E$17+Einstellungen!$E$18),0))</f>
        <v/>
      </c>
      <c r="X79">
        <f>IF(AND($E79="",$D79="",$G79="",$V79="",$Q79="",$T79="",$W79="",$U79=""),"",ROUND(IF($E79="",0,IF($E79&lt;Einstellungen!$B$21,0,IF($E79&gt;=Einstellungen!$B$22,100,($E79-Einstellungen!$B$21)/(Einstellungen!$B$22-Einstellungen!$B$21)*100)))/100*Einstellungen!$B$5+IF($W79="",0,$W79/100)*Einstellungen!$B$6+(IF($G79="",0,MAX(0,MIN(100,($G79-Einstellungen!$B$25)/(Einstellungen!$B$26-Einstellungen!$B$25)*100)))+IF($I79="",0,MAX(0,MIN(100,($I79-Einstellungen!$B$27)/(Einstellungen!$B$28-Einstellungen!$B$27)*100))))/2/100*Einstellungen!$B$7+IF($V79="",0,$V79/100)*Einstellungen!$B$8+IF($R79="",0,MAX(0,MIN(100,(Einstellungen!$B$32-$R79)/(Einstellungen!$B$32-Einstellungen!$B$31)*100)))/100*Einstellungen!$B$9+IF($D79="",0,$D79/5*100)/100*Einstellungen!$B$10+IF($AD79="",0,$AD79)/100*Einstellungen!$B$11+IF($U79="",0,$U79/5*100)/100*Einstellungen!$B$12,0))</f>
        <v/>
      </c>
      <c r="Y79">
        <f>IF($X79="","",$X79*1000000000000+IF($G79="",0,$G79)*1000000+IF($H79="",0,$H79)*1000+IF($I79="",0,$I79)+IF($N79="",0,MAX(0,1000-$N79))/1000+IF($A79="",0,$A79)/1000000)</f>
        <v/>
      </c>
      <c r="Z79">
        <f>IF($Y79="","",_xludf.RANK.EQ($Y79,$Y$2:$Y$201,0))</f>
        <v/>
      </c>
    </row>
    <row r="80">
      <c r="R80">
        <f>IFERROR(IF($Q80="","",$Q80/$H80),"")</f>
        <v/>
      </c>
      <c r="S80">
        <f>IFERROR(IF($Q80="","",$Q80/$G80),"")</f>
        <v/>
      </c>
      <c r="W80">
        <f>IF(AND($L80="",$N80="",$P80=""),"",ROUND((IF($L80="",0,IF($L80&lt;=Einstellungen!$B$16,100,IF($L80&lt;=Einstellungen!$C$16,80+(100-80)*(Einstellungen!$C$16-$L80)/(Einstellungen!$C$16-Einstellungen!$B$16),IF($L80&lt;=Einstellungen!$D$16,80*(Einstellungen!$D$16-$L80)/(Einstellungen!$D$16-Einstellungen!$C$16),0))))*Einstellungen!$E$16+IF($N80="",0,IF($N80&lt;=Einstellungen!$B$17,100,IF($N80&lt;=Einstellungen!$C$17,80+(100-80)*(Einstellungen!$C$17-$N80)/(Einstellungen!$C$17-Einstellungen!$B$17),IF($N80&lt;=Einstellungen!$D$17,80*(Einstellungen!$D$17-$N80)/(Einstellungen!$D$17-Einstellungen!$C$17),0))))*Einstellungen!$E$17+IF($P80="",0,IF($P80&lt;=Einstellungen!$B$18,100,IF($P80&lt;=Einstellungen!$C$18,80+(100-80)*(Einstellungen!$C$18-$P80)/(Einstellungen!$C$18-Einstellungen!$B$18),IF($P80&lt;=Einstellungen!$D$18,80*(Einstellungen!$D$18-$P80)/(Einstellungen!$D$18-Einstellungen!$C$18),0))))*Einstellungen!$E$18)/(Einstellungen!$E$16+Einstellungen!$E$17+Einstellungen!$E$18),0))</f>
        <v/>
      </c>
      <c r="X80">
        <f>IF(AND($E80="",$D80="",$G80="",$V80="",$Q80="",$T80="",$W80="",$U80=""),"",ROUND(IF($E80="",0,IF($E80&lt;Einstellungen!$B$21,0,IF($E80&gt;=Einstellungen!$B$22,100,($E80-Einstellungen!$B$21)/(Einstellungen!$B$22-Einstellungen!$B$21)*100)))/100*Einstellungen!$B$5+IF($W80="",0,$W80/100)*Einstellungen!$B$6+(IF($G80="",0,MAX(0,MIN(100,($G80-Einstellungen!$B$25)/(Einstellungen!$B$26-Einstellungen!$B$25)*100)))+IF($I80="",0,MAX(0,MIN(100,($I80-Einstellungen!$B$27)/(Einstellungen!$B$28-Einstellungen!$B$27)*100))))/2/100*Einstellungen!$B$7+IF($V80="",0,$V80/100)*Einstellungen!$B$8+IF($R80="",0,MAX(0,MIN(100,(Einstellungen!$B$32-$R80)/(Einstellungen!$B$32-Einstellungen!$B$31)*100)))/100*Einstellungen!$B$9+IF($D80="",0,$D80/5*100)/100*Einstellungen!$B$10+IF($AD80="",0,$AD80)/100*Einstellungen!$B$11+IF($U80="",0,$U80/5*100)/100*Einstellungen!$B$12,0))</f>
        <v/>
      </c>
      <c r="Y80">
        <f>IF($X80="","",$X80*1000000000000+IF($G80="",0,$G80)*1000000+IF($H80="",0,$H80)*1000+IF($I80="",0,$I80)+IF($N80="",0,MAX(0,1000-$N80))/1000+IF($A80="",0,$A80)/1000000)</f>
        <v/>
      </c>
      <c r="Z80">
        <f>IF($Y80="","",_xludf.RANK.EQ($Y80,$Y$2:$Y$201,0))</f>
        <v/>
      </c>
    </row>
    <row r="81">
      <c r="R81">
        <f>IFERROR(IF($Q81="","",$Q81/$H81),"")</f>
        <v/>
      </c>
      <c r="S81">
        <f>IFERROR(IF($Q81="","",$Q81/$G81),"")</f>
        <v/>
      </c>
      <c r="W81">
        <f>IF(AND($L81="",$N81="",$P81=""),"",ROUND((IF($L81="",0,IF($L81&lt;=Einstellungen!$B$16,100,IF($L81&lt;=Einstellungen!$C$16,80+(100-80)*(Einstellungen!$C$16-$L81)/(Einstellungen!$C$16-Einstellungen!$B$16),IF($L81&lt;=Einstellungen!$D$16,80*(Einstellungen!$D$16-$L81)/(Einstellungen!$D$16-Einstellungen!$C$16),0))))*Einstellungen!$E$16+IF($N81="",0,IF($N81&lt;=Einstellungen!$B$17,100,IF($N81&lt;=Einstellungen!$C$17,80+(100-80)*(Einstellungen!$C$17-$N81)/(Einstellungen!$C$17-Einstellungen!$B$17),IF($N81&lt;=Einstellungen!$D$17,80*(Einstellungen!$D$17-$N81)/(Einstellungen!$D$17-Einstellungen!$C$17),0))))*Einstellungen!$E$17+IF($P81="",0,IF($P81&lt;=Einstellungen!$B$18,100,IF($P81&lt;=Einstellungen!$C$18,80+(100-80)*(Einstellungen!$C$18-$P81)/(Einstellungen!$C$18-Einstellungen!$B$18),IF($P81&lt;=Einstellungen!$D$18,80*(Einstellungen!$D$18-$P81)/(Einstellungen!$D$18-Einstellungen!$C$18),0))))*Einstellungen!$E$18)/(Einstellungen!$E$16+Einstellungen!$E$17+Einstellungen!$E$18),0))</f>
        <v/>
      </c>
      <c r="X81">
        <f>IF(AND($E81="",$D81="",$G81="",$V81="",$Q81="",$T81="",$W81="",$U81=""),"",ROUND(IF($E81="",0,IF($E81&lt;Einstellungen!$B$21,0,IF($E81&gt;=Einstellungen!$B$22,100,($E81-Einstellungen!$B$21)/(Einstellungen!$B$22-Einstellungen!$B$21)*100)))/100*Einstellungen!$B$5+IF($W81="",0,$W81/100)*Einstellungen!$B$6+(IF($G81="",0,MAX(0,MIN(100,($G81-Einstellungen!$B$25)/(Einstellungen!$B$26-Einstellungen!$B$25)*100)))+IF($I81="",0,MAX(0,MIN(100,($I81-Einstellungen!$B$27)/(Einstellungen!$B$28-Einstellungen!$B$27)*100))))/2/100*Einstellungen!$B$7+IF($V81="",0,$V81/100)*Einstellungen!$B$8+IF($R81="",0,MAX(0,MIN(100,(Einstellungen!$B$32-$R81)/(Einstellungen!$B$32-Einstellungen!$B$31)*100)))/100*Einstellungen!$B$9+IF($D81="",0,$D81/5*100)/100*Einstellungen!$B$10+IF($AD81="",0,$AD81)/100*Einstellungen!$B$11+IF($U81="",0,$U81/5*100)/100*Einstellungen!$B$12,0))</f>
        <v/>
      </c>
      <c r="Y81">
        <f>IF($X81="","",$X81*1000000000000+IF($G81="",0,$G81)*1000000+IF($H81="",0,$H81)*1000+IF($I81="",0,$I81)+IF($N81="",0,MAX(0,1000-$N81))/1000+IF($A81="",0,$A81)/1000000)</f>
        <v/>
      </c>
      <c r="Z81">
        <f>IF($Y81="","",_xludf.RANK.EQ($Y81,$Y$2:$Y$201,0))</f>
        <v/>
      </c>
    </row>
    <row r="82">
      <c r="R82">
        <f>IFERROR(IF($Q82="","",$Q82/$H82),"")</f>
        <v/>
      </c>
      <c r="S82">
        <f>IFERROR(IF($Q82="","",$Q82/$G82),"")</f>
        <v/>
      </c>
      <c r="W82">
        <f>IF(AND($L82="",$N82="",$P82=""),"",ROUND((IF($L82="",0,IF($L82&lt;=Einstellungen!$B$16,100,IF($L82&lt;=Einstellungen!$C$16,80+(100-80)*(Einstellungen!$C$16-$L82)/(Einstellungen!$C$16-Einstellungen!$B$16),IF($L82&lt;=Einstellungen!$D$16,80*(Einstellungen!$D$16-$L82)/(Einstellungen!$D$16-Einstellungen!$C$16),0))))*Einstellungen!$E$16+IF($N82="",0,IF($N82&lt;=Einstellungen!$B$17,100,IF($N82&lt;=Einstellungen!$C$17,80+(100-80)*(Einstellungen!$C$17-$N82)/(Einstellungen!$C$17-Einstellungen!$B$17),IF($N82&lt;=Einstellungen!$D$17,80*(Einstellungen!$D$17-$N82)/(Einstellungen!$D$17-Einstellungen!$C$17),0))))*Einstellungen!$E$17+IF($P82="",0,IF($P82&lt;=Einstellungen!$B$18,100,IF($P82&lt;=Einstellungen!$C$18,80+(100-80)*(Einstellungen!$C$18-$P82)/(Einstellungen!$C$18-Einstellungen!$B$18),IF($P82&lt;=Einstellungen!$D$18,80*(Einstellungen!$D$18-$P82)/(Einstellungen!$D$18-Einstellungen!$C$18),0))))*Einstellungen!$E$18)/(Einstellungen!$E$16+Einstellungen!$E$17+Einstellungen!$E$18),0))</f>
        <v/>
      </c>
      <c r="X82">
        <f>IF(AND($E82="",$D82="",$G82="",$V82="",$Q82="",$T82="",$W82="",$U82=""),"",ROUND(IF($E82="",0,IF($E82&lt;Einstellungen!$B$21,0,IF($E82&gt;=Einstellungen!$B$22,100,($E82-Einstellungen!$B$21)/(Einstellungen!$B$22-Einstellungen!$B$21)*100)))/100*Einstellungen!$B$5+IF($W82="",0,$W82/100)*Einstellungen!$B$6+(IF($G82="",0,MAX(0,MIN(100,($G82-Einstellungen!$B$25)/(Einstellungen!$B$26-Einstellungen!$B$25)*100)))+IF($I82="",0,MAX(0,MIN(100,($I82-Einstellungen!$B$27)/(Einstellungen!$B$28-Einstellungen!$B$27)*100))))/2/100*Einstellungen!$B$7+IF($V82="",0,$V82/100)*Einstellungen!$B$8+IF($R82="",0,MAX(0,MIN(100,(Einstellungen!$B$32-$R82)/(Einstellungen!$B$32-Einstellungen!$B$31)*100)))/100*Einstellungen!$B$9+IF($D82="",0,$D82/5*100)/100*Einstellungen!$B$10+IF($AD82="",0,$AD82)/100*Einstellungen!$B$11+IF($U82="",0,$U82/5*100)/100*Einstellungen!$B$12,0))</f>
        <v/>
      </c>
      <c r="Y82">
        <f>IF($X82="","",$X82*1000000000000+IF($G82="",0,$G82)*1000000+IF($H82="",0,$H82)*1000+IF($I82="",0,$I82)+IF($N82="",0,MAX(0,1000-$N82))/1000+IF($A82="",0,$A82)/1000000)</f>
        <v/>
      </c>
      <c r="Z82">
        <f>IF($Y82="","",_xludf.RANK.EQ($Y82,$Y$2:$Y$201,0))</f>
        <v/>
      </c>
    </row>
    <row r="83">
      <c r="R83">
        <f>IFERROR(IF($Q83="","",$Q83/$H83),"")</f>
        <v/>
      </c>
      <c r="S83">
        <f>IFERROR(IF($Q83="","",$Q83/$G83),"")</f>
        <v/>
      </c>
      <c r="W83">
        <f>IF(AND($L83="",$N83="",$P83=""),"",ROUND((IF($L83="",0,IF($L83&lt;=Einstellungen!$B$16,100,IF($L83&lt;=Einstellungen!$C$16,80+(100-80)*(Einstellungen!$C$16-$L83)/(Einstellungen!$C$16-Einstellungen!$B$16),IF($L83&lt;=Einstellungen!$D$16,80*(Einstellungen!$D$16-$L83)/(Einstellungen!$D$16-Einstellungen!$C$16),0))))*Einstellungen!$E$16+IF($N83="",0,IF($N83&lt;=Einstellungen!$B$17,100,IF($N83&lt;=Einstellungen!$C$17,80+(100-80)*(Einstellungen!$C$17-$N83)/(Einstellungen!$C$17-Einstellungen!$B$17),IF($N83&lt;=Einstellungen!$D$17,80*(Einstellungen!$D$17-$N83)/(Einstellungen!$D$17-Einstellungen!$C$17),0))))*Einstellungen!$E$17+IF($P83="",0,IF($P83&lt;=Einstellungen!$B$18,100,IF($P83&lt;=Einstellungen!$C$18,80+(100-80)*(Einstellungen!$C$18-$P83)/(Einstellungen!$C$18-Einstellungen!$B$18),IF($P83&lt;=Einstellungen!$D$18,80*(Einstellungen!$D$18-$P83)/(Einstellungen!$D$18-Einstellungen!$C$18),0))))*Einstellungen!$E$18)/(Einstellungen!$E$16+Einstellungen!$E$17+Einstellungen!$E$18),0))</f>
        <v/>
      </c>
      <c r="X83">
        <f>IF(AND($E83="",$D83="",$G83="",$V83="",$Q83="",$T83="",$W83="",$U83=""),"",ROUND(IF($E83="",0,IF($E83&lt;Einstellungen!$B$21,0,IF($E83&gt;=Einstellungen!$B$22,100,($E83-Einstellungen!$B$21)/(Einstellungen!$B$22-Einstellungen!$B$21)*100)))/100*Einstellungen!$B$5+IF($W83="",0,$W83/100)*Einstellungen!$B$6+(IF($G83="",0,MAX(0,MIN(100,($G83-Einstellungen!$B$25)/(Einstellungen!$B$26-Einstellungen!$B$25)*100)))+IF($I83="",0,MAX(0,MIN(100,($I83-Einstellungen!$B$27)/(Einstellungen!$B$28-Einstellungen!$B$27)*100))))/2/100*Einstellungen!$B$7+IF($V83="",0,$V83/100)*Einstellungen!$B$8+IF($R83="",0,MAX(0,MIN(100,(Einstellungen!$B$32-$R83)/(Einstellungen!$B$32-Einstellungen!$B$31)*100)))/100*Einstellungen!$B$9+IF($D83="",0,$D83/5*100)/100*Einstellungen!$B$10+IF($AD83="",0,$AD83)/100*Einstellungen!$B$11+IF($U83="",0,$U83/5*100)/100*Einstellungen!$B$12,0))</f>
        <v/>
      </c>
      <c r="Y83">
        <f>IF($X83="","",$X83*1000000000000+IF($G83="",0,$G83)*1000000+IF($H83="",0,$H83)*1000+IF($I83="",0,$I83)+IF($N83="",0,MAX(0,1000-$N83))/1000+IF($A83="",0,$A83)/1000000)</f>
        <v/>
      </c>
      <c r="Z83">
        <f>IF($Y83="","",_xludf.RANK.EQ($Y83,$Y$2:$Y$201,0))</f>
        <v/>
      </c>
    </row>
    <row r="84">
      <c r="R84">
        <f>IFERROR(IF($Q84="","",$Q84/$H84),"")</f>
        <v/>
      </c>
      <c r="S84">
        <f>IFERROR(IF($Q84="","",$Q84/$G84),"")</f>
        <v/>
      </c>
      <c r="W84">
        <f>IF(AND($L84="",$N84="",$P84=""),"",ROUND((IF($L84="",0,IF($L84&lt;=Einstellungen!$B$16,100,IF($L84&lt;=Einstellungen!$C$16,80+(100-80)*(Einstellungen!$C$16-$L84)/(Einstellungen!$C$16-Einstellungen!$B$16),IF($L84&lt;=Einstellungen!$D$16,80*(Einstellungen!$D$16-$L84)/(Einstellungen!$D$16-Einstellungen!$C$16),0))))*Einstellungen!$E$16+IF($N84="",0,IF($N84&lt;=Einstellungen!$B$17,100,IF($N84&lt;=Einstellungen!$C$17,80+(100-80)*(Einstellungen!$C$17-$N84)/(Einstellungen!$C$17-Einstellungen!$B$17),IF($N84&lt;=Einstellungen!$D$17,80*(Einstellungen!$D$17-$N84)/(Einstellungen!$D$17-Einstellungen!$C$17),0))))*Einstellungen!$E$17+IF($P84="",0,IF($P84&lt;=Einstellungen!$B$18,100,IF($P84&lt;=Einstellungen!$C$18,80+(100-80)*(Einstellungen!$C$18-$P84)/(Einstellungen!$C$18-Einstellungen!$B$18),IF($P84&lt;=Einstellungen!$D$18,80*(Einstellungen!$D$18-$P84)/(Einstellungen!$D$18-Einstellungen!$C$18),0))))*Einstellungen!$E$18)/(Einstellungen!$E$16+Einstellungen!$E$17+Einstellungen!$E$18),0))</f>
        <v/>
      </c>
      <c r="X84">
        <f>IF(AND($E84="",$D84="",$G84="",$V84="",$Q84="",$T84="",$W84="",$U84=""),"",ROUND(IF($E84="",0,IF($E84&lt;Einstellungen!$B$21,0,IF($E84&gt;=Einstellungen!$B$22,100,($E84-Einstellungen!$B$21)/(Einstellungen!$B$22-Einstellungen!$B$21)*100)))/100*Einstellungen!$B$5+IF($W84="",0,$W84/100)*Einstellungen!$B$6+(IF($G84="",0,MAX(0,MIN(100,($G84-Einstellungen!$B$25)/(Einstellungen!$B$26-Einstellungen!$B$25)*100)))+IF($I84="",0,MAX(0,MIN(100,($I84-Einstellungen!$B$27)/(Einstellungen!$B$28-Einstellungen!$B$27)*100))))/2/100*Einstellungen!$B$7+IF($V84="",0,$V84/100)*Einstellungen!$B$8+IF($R84="",0,MAX(0,MIN(100,(Einstellungen!$B$32-$R84)/(Einstellungen!$B$32-Einstellungen!$B$31)*100)))/100*Einstellungen!$B$9+IF($D84="",0,$D84/5*100)/100*Einstellungen!$B$10+IF($AD84="",0,$AD84)/100*Einstellungen!$B$11+IF($U84="",0,$U84/5*100)/100*Einstellungen!$B$12,0))</f>
        <v/>
      </c>
      <c r="Y84">
        <f>IF($X84="","",$X84*1000000000000+IF($G84="",0,$G84)*1000000+IF($H84="",0,$H84)*1000+IF($I84="",0,$I84)+IF($N84="",0,MAX(0,1000-$N84))/1000+IF($A84="",0,$A84)/1000000)</f>
        <v/>
      </c>
      <c r="Z84">
        <f>IF($Y84="","",_xludf.RANK.EQ($Y84,$Y$2:$Y$201,0))</f>
        <v/>
      </c>
    </row>
    <row r="85">
      <c r="R85">
        <f>IFERROR(IF($Q85="","",$Q85/$H85),"")</f>
        <v/>
      </c>
      <c r="S85">
        <f>IFERROR(IF($Q85="","",$Q85/$G85),"")</f>
        <v/>
      </c>
      <c r="W85">
        <f>IF(AND($L85="",$N85="",$P85=""),"",ROUND((IF($L85="",0,IF($L85&lt;=Einstellungen!$B$16,100,IF($L85&lt;=Einstellungen!$C$16,80+(100-80)*(Einstellungen!$C$16-$L85)/(Einstellungen!$C$16-Einstellungen!$B$16),IF($L85&lt;=Einstellungen!$D$16,80*(Einstellungen!$D$16-$L85)/(Einstellungen!$D$16-Einstellungen!$C$16),0))))*Einstellungen!$E$16+IF($N85="",0,IF($N85&lt;=Einstellungen!$B$17,100,IF($N85&lt;=Einstellungen!$C$17,80+(100-80)*(Einstellungen!$C$17-$N85)/(Einstellungen!$C$17-Einstellungen!$B$17),IF($N85&lt;=Einstellungen!$D$17,80*(Einstellungen!$D$17-$N85)/(Einstellungen!$D$17-Einstellungen!$C$17),0))))*Einstellungen!$E$17+IF($P85="",0,IF($P85&lt;=Einstellungen!$B$18,100,IF($P85&lt;=Einstellungen!$C$18,80+(100-80)*(Einstellungen!$C$18-$P85)/(Einstellungen!$C$18-Einstellungen!$B$18),IF($P85&lt;=Einstellungen!$D$18,80*(Einstellungen!$D$18-$P85)/(Einstellungen!$D$18-Einstellungen!$C$18),0))))*Einstellungen!$E$18)/(Einstellungen!$E$16+Einstellungen!$E$17+Einstellungen!$E$18),0))</f>
        <v/>
      </c>
      <c r="X85">
        <f>IF(AND($E85="",$D85="",$G85="",$V85="",$Q85="",$T85="",$W85="",$U85=""),"",ROUND(IF($E85="",0,IF($E85&lt;Einstellungen!$B$21,0,IF($E85&gt;=Einstellungen!$B$22,100,($E85-Einstellungen!$B$21)/(Einstellungen!$B$22-Einstellungen!$B$21)*100)))/100*Einstellungen!$B$5+IF($W85="",0,$W85/100)*Einstellungen!$B$6+(IF($G85="",0,MAX(0,MIN(100,($G85-Einstellungen!$B$25)/(Einstellungen!$B$26-Einstellungen!$B$25)*100)))+IF($I85="",0,MAX(0,MIN(100,($I85-Einstellungen!$B$27)/(Einstellungen!$B$28-Einstellungen!$B$27)*100))))/2/100*Einstellungen!$B$7+IF($V85="",0,$V85/100)*Einstellungen!$B$8+IF($R85="",0,MAX(0,MIN(100,(Einstellungen!$B$32-$R85)/(Einstellungen!$B$32-Einstellungen!$B$31)*100)))/100*Einstellungen!$B$9+IF($D85="",0,$D85/5*100)/100*Einstellungen!$B$10+IF($AD85="",0,$AD85)/100*Einstellungen!$B$11+IF($U85="",0,$U85/5*100)/100*Einstellungen!$B$12,0))</f>
        <v/>
      </c>
      <c r="Y85">
        <f>IF($X85="","",$X85*1000000000000+IF($G85="",0,$G85)*1000000+IF($H85="",0,$H85)*1000+IF($I85="",0,$I85)+IF($N85="",0,MAX(0,1000-$N85))/1000+IF($A85="",0,$A85)/1000000)</f>
        <v/>
      </c>
      <c r="Z85">
        <f>IF($Y85="","",_xludf.RANK.EQ($Y85,$Y$2:$Y$201,0))</f>
        <v/>
      </c>
    </row>
    <row r="86">
      <c r="R86">
        <f>IFERROR(IF($Q86="","",$Q86/$H86),"")</f>
        <v/>
      </c>
      <c r="S86">
        <f>IFERROR(IF($Q86="","",$Q86/$G86),"")</f>
        <v/>
      </c>
      <c r="W86">
        <f>IF(AND($L86="",$N86="",$P86=""),"",ROUND((IF($L86="",0,IF($L86&lt;=Einstellungen!$B$16,100,IF($L86&lt;=Einstellungen!$C$16,80+(100-80)*(Einstellungen!$C$16-$L86)/(Einstellungen!$C$16-Einstellungen!$B$16),IF($L86&lt;=Einstellungen!$D$16,80*(Einstellungen!$D$16-$L86)/(Einstellungen!$D$16-Einstellungen!$C$16),0))))*Einstellungen!$E$16+IF($N86="",0,IF($N86&lt;=Einstellungen!$B$17,100,IF($N86&lt;=Einstellungen!$C$17,80+(100-80)*(Einstellungen!$C$17-$N86)/(Einstellungen!$C$17-Einstellungen!$B$17),IF($N86&lt;=Einstellungen!$D$17,80*(Einstellungen!$D$17-$N86)/(Einstellungen!$D$17-Einstellungen!$C$17),0))))*Einstellungen!$E$17+IF($P86="",0,IF($P86&lt;=Einstellungen!$B$18,100,IF($P86&lt;=Einstellungen!$C$18,80+(100-80)*(Einstellungen!$C$18-$P86)/(Einstellungen!$C$18-Einstellungen!$B$18),IF($P86&lt;=Einstellungen!$D$18,80*(Einstellungen!$D$18-$P86)/(Einstellungen!$D$18-Einstellungen!$C$18),0))))*Einstellungen!$E$18)/(Einstellungen!$E$16+Einstellungen!$E$17+Einstellungen!$E$18),0))</f>
        <v/>
      </c>
      <c r="X86">
        <f>IF(AND($E86="",$D86="",$G86="",$V86="",$Q86="",$T86="",$W86="",$U86=""),"",ROUND(IF($E86="",0,IF($E86&lt;Einstellungen!$B$21,0,IF($E86&gt;=Einstellungen!$B$22,100,($E86-Einstellungen!$B$21)/(Einstellungen!$B$22-Einstellungen!$B$21)*100)))/100*Einstellungen!$B$5+IF($W86="",0,$W86/100)*Einstellungen!$B$6+(IF($G86="",0,MAX(0,MIN(100,($G86-Einstellungen!$B$25)/(Einstellungen!$B$26-Einstellungen!$B$25)*100)))+IF($I86="",0,MAX(0,MIN(100,($I86-Einstellungen!$B$27)/(Einstellungen!$B$28-Einstellungen!$B$27)*100))))/2/100*Einstellungen!$B$7+IF($V86="",0,$V86/100)*Einstellungen!$B$8+IF($R86="",0,MAX(0,MIN(100,(Einstellungen!$B$32-$R86)/(Einstellungen!$B$32-Einstellungen!$B$31)*100)))/100*Einstellungen!$B$9+IF($D86="",0,$D86/5*100)/100*Einstellungen!$B$10+IF($AD86="",0,$AD86)/100*Einstellungen!$B$11+IF($U86="",0,$U86/5*100)/100*Einstellungen!$B$12,0))</f>
        <v/>
      </c>
      <c r="Y86">
        <f>IF($X86="","",$X86*1000000000000+IF($G86="",0,$G86)*1000000+IF($H86="",0,$H86)*1000+IF($I86="",0,$I86)+IF($N86="",0,MAX(0,1000-$N86))/1000+IF($A86="",0,$A86)/1000000)</f>
        <v/>
      </c>
      <c r="Z86">
        <f>IF($Y86="","",_xludf.RANK.EQ($Y86,$Y$2:$Y$201,0))</f>
        <v/>
      </c>
    </row>
    <row r="87">
      <c r="R87">
        <f>IFERROR(IF($Q87="","",$Q87/$H87),"")</f>
        <v/>
      </c>
      <c r="S87">
        <f>IFERROR(IF($Q87="","",$Q87/$G87),"")</f>
        <v/>
      </c>
      <c r="W87">
        <f>IF(AND($L87="",$N87="",$P87=""),"",ROUND((IF($L87="",0,IF($L87&lt;=Einstellungen!$B$16,100,IF($L87&lt;=Einstellungen!$C$16,80+(100-80)*(Einstellungen!$C$16-$L87)/(Einstellungen!$C$16-Einstellungen!$B$16),IF($L87&lt;=Einstellungen!$D$16,80*(Einstellungen!$D$16-$L87)/(Einstellungen!$D$16-Einstellungen!$C$16),0))))*Einstellungen!$E$16+IF($N87="",0,IF($N87&lt;=Einstellungen!$B$17,100,IF($N87&lt;=Einstellungen!$C$17,80+(100-80)*(Einstellungen!$C$17-$N87)/(Einstellungen!$C$17-Einstellungen!$B$17),IF($N87&lt;=Einstellungen!$D$17,80*(Einstellungen!$D$17-$N87)/(Einstellungen!$D$17-Einstellungen!$C$17),0))))*Einstellungen!$E$17+IF($P87="",0,IF($P87&lt;=Einstellungen!$B$18,100,IF($P87&lt;=Einstellungen!$C$18,80+(100-80)*(Einstellungen!$C$18-$P87)/(Einstellungen!$C$18-Einstellungen!$B$18),IF($P87&lt;=Einstellungen!$D$18,80*(Einstellungen!$D$18-$P87)/(Einstellungen!$D$18-Einstellungen!$C$18),0))))*Einstellungen!$E$18)/(Einstellungen!$E$16+Einstellungen!$E$17+Einstellungen!$E$18),0))</f>
        <v/>
      </c>
      <c r="X87">
        <f>IF(AND($E87="",$D87="",$G87="",$V87="",$Q87="",$T87="",$W87="",$U87=""),"",ROUND(IF($E87="",0,IF($E87&lt;Einstellungen!$B$21,0,IF($E87&gt;=Einstellungen!$B$22,100,($E87-Einstellungen!$B$21)/(Einstellungen!$B$22-Einstellungen!$B$21)*100)))/100*Einstellungen!$B$5+IF($W87="",0,$W87/100)*Einstellungen!$B$6+(IF($G87="",0,MAX(0,MIN(100,($G87-Einstellungen!$B$25)/(Einstellungen!$B$26-Einstellungen!$B$25)*100)))+IF($I87="",0,MAX(0,MIN(100,($I87-Einstellungen!$B$27)/(Einstellungen!$B$28-Einstellungen!$B$27)*100))))/2/100*Einstellungen!$B$7+IF($V87="",0,$V87/100)*Einstellungen!$B$8+IF($R87="",0,MAX(0,MIN(100,(Einstellungen!$B$32-$R87)/(Einstellungen!$B$32-Einstellungen!$B$31)*100)))/100*Einstellungen!$B$9+IF($D87="",0,$D87/5*100)/100*Einstellungen!$B$10+IF($AD87="",0,$AD87)/100*Einstellungen!$B$11+IF($U87="",0,$U87/5*100)/100*Einstellungen!$B$12,0))</f>
        <v/>
      </c>
      <c r="Y87">
        <f>IF($X87="","",$X87*1000000000000+IF($G87="",0,$G87)*1000000+IF($H87="",0,$H87)*1000+IF($I87="",0,$I87)+IF($N87="",0,MAX(0,1000-$N87))/1000+IF($A87="",0,$A87)/1000000)</f>
        <v/>
      </c>
      <c r="Z87">
        <f>IF($Y87="","",_xludf.RANK.EQ($Y87,$Y$2:$Y$201,0))</f>
        <v/>
      </c>
    </row>
    <row r="88">
      <c r="R88">
        <f>IFERROR(IF($Q88="","",$Q88/$H88),"")</f>
        <v/>
      </c>
      <c r="S88">
        <f>IFERROR(IF($Q88="","",$Q88/$G88),"")</f>
        <v/>
      </c>
      <c r="W88">
        <f>IF(AND($L88="",$N88="",$P88=""),"",ROUND((IF($L88="",0,IF($L88&lt;=Einstellungen!$B$16,100,IF($L88&lt;=Einstellungen!$C$16,80+(100-80)*(Einstellungen!$C$16-$L88)/(Einstellungen!$C$16-Einstellungen!$B$16),IF($L88&lt;=Einstellungen!$D$16,80*(Einstellungen!$D$16-$L88)/(Einstellungen!$D$16-Einstellungen!$C$16),0))))*Einstellungen!$E$16+IF($N88="",0,IF($N88&lt;=Einstellungen!$B$17,100,IF($N88&lt;=Einstellungen!$C$17,80+(100-80)*(Einstellungen!$C$17-$N88)/(Einstellungen!$C$17-Einstellungen!$B$17),IF($N88&lt;=Einstellungen!$D$17,80*(Einstellungen!$D$17-$N88)/(Einstellungen!$D$17-Einstellungen!$C$17),0))))*Einstellungen!$E$17+IF($P88="",0,IF($P88&lt;=Einstellungen!$B$18,100,IF($P88&lt;=Einstellungen!$C$18,80+(100-80)*(Einstellungen!$C$18-$P88)/(Einstellungen!$C$18-Einstellungen!$B$18),IF($P88&lt;=Einstellungen!$D$18,80*(Einstellungen!$D$18-$P88)/(Einstellungen!$D$18-Einstellungen!$C$18),0))))*Einstellungen!$E$18)/(Einstellungen!$E$16+Einstellungen!$E$17+Einstellungen!$E$18),0))</f>
        <v/>
      </c>
      <c r="X88">
        <f>IF(AND($E88="",$D88="",$G88="",$V88="",$Q88="",$T88="",$W88="",$U88=""),"",ROUND(IF($E88="",0,IF($E88&lt;Einstellungen!$B$21,0,IF($E88&gt;=Einstellungen!$B$22,100,($E88-Einstellungen!$B$21)/(Einstellungen!$B$22-Einstellungen!$B$21)*100)))/100*Einstellungen!$B$5+IF($W88="",0,$W88/100)*Einstellungen!$B$6+(IF($G88="",0,MAX(0,MIN(100,($G88-Einstellungen!$B$25)/(Einstellungen!$B$26-Einstellungen!$B$25)*100)))+IF($I88="",0,MAX(0,MIN(100,($I88-Einstellungen!$B$27)/(Einstellungen!$B$28-Einstellungen!$B$27)*100))))/2/100*Einstellungen!$B$7+IF($V88="",0,$V88/100)*Einstellungen!$B$8+IF($R88="",0,MAX(0,MIN(100,(Einstellungen!$B$32-$R88)/(Einstellungen!$B$32-Einstellungen!$B$31)*100)))/100*Einstellungen!$B$9+IF($D88="",0,$D88/5*100)/100*Einstellungen!$B$10+IF($AD88="",0,$AD88)/100*Einstellungen!$B$11+IF($U88="",0,$U88/5*100)/100*Einstellungen!$B$12,0))</f>
        <v/>
      </c>
      <c r="Y88">
        <f>IF($X88="","",$X88*1000000000000+IF($G88="",0,$G88)*1000000+IF($H88="",0,$H88)*1000+IF($I88="",0,$I88)+IF($N88="",0,MAX(0,1000-$N88))/1000+IF($A88="",0,$A88)/1000000)</f>
        <v/>
      </c>
      <c r="Z88">
        <f>IF($Y88="","",_xludf.RANK.EQ($Y88,$Y$2:$Y$201,0))</f>
        <v/>
      </c>
    </row>
    <row r="89">
      <c r="R89">
        <f>IFERROR(IF($Q89="","",$Q89/$H89),"")</f>
        <v/>
      </c>
      <c r="S89">
        <f>IFERROR(IF($Q89="","",$Q89/$G89),"")</f>
        <v/>
      </c>
      <c r="W89">
        <f>IF(AND($L89="",$N89="",$P89=""),"",ROUND((IF($L89="",0,IF($L89&lt;=Einstellungen!$B$16,100,IF($L89&lt;=Einstellungen!$C$16,80+(100-80)*(Einstellungen!$C$16-$L89)/(Einstellungen!$C$16-Einstellungen!$B$16),IF($L89&lt;=Einstellungen!$D$16,80*(Einstellungen!$D$16-$L89)/(Einstellungen!$D$16-Einstellungen!$C$16),0))))*Einstellungen!$E$16+IF($N89="",0,IF($N89&lt;=Einstellungen!$B$17,100,IF($N89&lt;=Einstellungen!$C$17,80+(100-80)*(Einstellungen!$C$17-$N89)/(Einstellungen!$C$17-Einstellungen!$B$17),IF($N89&lt;=Einstellungen!$D$17,80*(Einstellungen!$D$17-$N89)/(Einstellungen!$D$17-Einstellungen!$C$17),0))))*Einstellungen!$E$17+IF($P89="",0,IF($P89&lt;=Einstellungen!$B$18,100,IF($P89&lt;=Einstellungen!$C$18,80+(100-80)*(Einstellungen!$C$18-$P89)/(Einstellungen!$C$18-Einstellungen!$B$18),IF($P89&lt;=Einstellungen!$D$18,80*(Einstellungen!$D$18-$P89)/(Einstellungen!$D$18-Einstellungen!$C$18),0))))*Einstellungen!$E$18)/(Einstellungen!$E$16+Einstellungen!$E$17+Einstellungen!$E$18),0))</f>
        <v/>
      </c>
      <c r="X89">
        <f>IF(AND($E89="",$D89="",$G89="",$V89="",$Q89="",$T89="",$W89="",$U89=""),"",ROUND(IF($E89="",0,IF($E89&lt;Einstellungen!$B$21,0,IF($E89&gt;=Einstellungen!$B$22,100,($E89-Einstellungen!$B$21)/(Einstellungen!$B$22-Einstellungen!$B$21)*100)))/100*Einstellungen!$B$5+IF($W89="",0,$W89/100)*Einstellungen!$B$6+(IF($G89="",0,MAX(0,MIN(100,($G89-Einstellungen!$B$25)/(Einstellungen!$B$26-Einstellungen!$B$25)*100)))+IF($I89="",0,MAX(0,MIN(100,($I89-Einstellungen!$B$27)/(Einstellungen!$B$28-Einstellungen!$B$27)*100))))/2/100*Einstellungen!$B$7+IF($V89="",0,$V89/100)*Einstellungen!$B$8+IF($R89="",0,MAX(0,MIN(100,(Einstellungen!$B$32-$R89)/(Einstellungen!$B$32-Einstellungen!$B$31)*100)))/100*Einstellungen!$B$9+IF($D89="",0,$D89/5*100)/100*Einstellungen!$B$10+IF($AD89="",0,$AD89)/100*Einstellungen!$B$11+IF($U89="",0,$U89/5*100)/100*Einstellungen!$B$12,0))</f>
        <v/>
      </c>
      <c r="Y89">
        <f>IF($X89="","",$X89*1000000000000+IF($G89="",0,$G89)*1000000+IF($H89="",0,$H89)*1000+IF($I89="",0,$I89)+IF($N89="",0,MAX(0,1000-$N89))/1000+IF($A89="",0,$A89)/1000000)</f>
        <v/>
      </c>
      <c r="Z89">
        <f>IF($Y89="","",_xludf.RANK.EQ($Y89,$Y$2:$Y$201,0))</f>
        <v/>
      </c>
    </row>
    <row r="90">
      <c r="R90">
        <f>IFERROR(IF($Q90="","",$Q90/$H90),"")</f>
        <v/>
      </c>
      <c r="S90">
        <f>IFERROR(IF($Q90="","",$Q90/$G90),"")</f>
        <v/>
      </c>
      <c r="W90">
        <f>IF(AND($L90="",$N90="",$P90=""),"",ROUND((IF($L90="",0,IF($L90&lt;=Einstellungen!$B$16,100,IF($L90&lt;=Einstellungen!$C$16,80+(100-80)*(Einstellungen!$C$16-$L90)/(Einstellungen!$C$16-Einstellungen!$B$16),IF($L90&lt;=Einstellungen!$D$16,80*(Einstellungen!$D$16-$L90)/(Einstellungen!$D$16-Einstellungen!$C$16),0))))*Einstellungen!$E$16+IF($N90="",0,IF($N90&lt;=Einstellungen!$B$17,100,IF($N90&lt;=Einstellungen!$C$17,80+(100-80)*(Einstellungen!$C$17-$N90)/(Einstellungen!$C$17-Einstellungen!$B$17),IF($N90&lt;=Einstellungen!$D$17,80*(Einstellungen!$D$17-$N90)/(Einstellungen!$D$17-Einstellungen!$C$17),0))))*Einstellungen!$E$17+IF($P90="",0,IF($P90&lt;=Einstellungen!$B$18,100,IF($P90&lt;=Einstellungen!$C$18,80+(100-80)*(Einstellungen!$C$18-$P90)/(Einstellungen!$C$18-Einstellungen!$B$18),IF($P90&lt;=Einstellungen!$D$18,80*(Einstellungen!$D$18-$P90)/(Einstellungen!$D$18-Einstellungen!$C$18),0))))*Einstellungen!$E$18)/(Einstellungen!$E$16+Einstellungen!$E$17+Einstellungen!$E$18),0))</f>
        <v/>
      </c>
      <c r="X90">
        <f>IF(AND($E90="",$D90="",$G90="",$V90="",$Q90="",$T90="",$W90="",$U90=""),"",ROUND(IF($E90="",0,IF($E90&lt;Einstellungen!$B$21,0,IF($E90&gt;=Einstellungen!$B$22,100,($E90-Einstellungen!$B$21)/(Einstellungen!$B$22-Einstellungen!$B$21)*100)))/100*Einstellungen!$B$5+IF($W90="",0,$W90/100)*Einstellungen!$B$6+(IF($G90="",0,MAX(0,MIN(100,($G90-Einstellungen!$B$25)/(Einstellungen!$B$26-Einstellungen!$B$25)*100)))+IF($I90="",0,MAX(0,MIN(100,($I90-Einstellungen!$B$27)/(Einstellungen!$B$28-Einstellungen!$B$27)*100))))/2/100*Einstellungen!$B$7+IF($V90="",0,$V90/100)*Einstellungen!$B$8+IF($R90="",0,MAX(0,MIN(100,(Einstellungen!$B$32-$R90)/(Einstellungen!$B$32-Einstellungen!$B$31)*100)))/100*Einstellungen!$B$9+IF($D90="",0,$D90/5*100)/100*Einstellungen!$B$10+IF($AD90="",0,$AD90)/100*Einstellungen!$B$11+IF($U90="",0,$U90/5*100)/100*Einstellungen!$B$12,0))</f>
        <v/>
      </c>
      <c r="Y90">
        <f>IF($X90="","",$X90*1000000000000+IF($G90="",0,$G90)*1000000+IF($H90="",0,$H90)*1000+IF($I90="",0,$I90)+IF($N90="",0,MAX(0,1000-$N90))/1000+IF($A90="",0,$A90)/1000000)</f>
        <v/>
      </c>
      <c r="Z90">
        <f>IF($Y90="","",_xludf.RANK.EQ($Y90,$Y$2:$Y$201,0))</f>
        <v/>
      </c>
    </row>
    <row r="91">
      <c r="R91">
        <f>IFERROR(IF($Q91="","",$Q91/$H91),"")</f>
        <v/>
      </c>
      <c r="S91">
        <f>IFERROR(IF($Q91="","",$Q91/$G91),"")</f>
        <v/>
      </c>
      <c r="W91">
        <f>IF(AND($L91="",$N91="",$P91=""),"",ROUND((IF($L91="",0,IF($L91&lt;=Einstellungen!$B$16,100,IF($L91&lt;=Einstellungen!$C$16,80+(100-80)*(Einstellungen!$C$16-$L91)/(Einstellungen!$C$16-Einstellungen!$B$16),IF($L91&lt;=Einstellungen!$D$16,80*(Einstellungen!$D$16-$L91)/(Einstellungen!$D$16-Einstellungen!$C$16),0))))*Einstellungen!$E$16+IF($N91="",0,IF($N91&lt;=Einstellungen!$B$17,100,IF($N91&lt;=Einstellungen!$C$17,80+(100-80)*(Einstellungen!$C$17-$N91)/(Einstellungen!$C$17-Einstellungen!$B$17),IF($N91&lt;=Einstellungen!$D$17,80*(Einstellungen!$D$17-$N91)/(Einstellungen!$D$17-Einstellungen!$C$17),0))))*Einstellungen!$E$17+IF($P91="",0,IF($P91&lt;=Einstellungen!$B$18,100,IF($P91&lt;=Einstellungen!$C$18,80+(100-80)*(Einstellungen!$C$18-$P91)/(Einstellungen!$C$18-Einstellungen!$B$18),IF($P91&lt;=Einstellungen!$D$18,80*(Einstellungen!$D$18-$P91)/(Einstellungen!$D$18-Einstellungen!$C$18),0))))*Einstellungen!$E$18)/(Einstellungen!$E$16+Einstellungen!$E$17+Einstellungen!$E$18),0))</f>
        <v/>
      </c>
      <c r="X91">
        <f>IF(AND($E91="",$D91="",$G91="",$V91="",$Q91="",$T91="",$W91="",$U91=""),"",ROUND(IF($E91="",0,IF($E91&lt;Einstellungen!$B$21,0,IF($E91&gt;=Einstellungen!$B$22,100,($E91-Einstellungen!$B$21)/(Einstellungen!$B$22-Einstellungen!$B$21)*100)))/100*Einstellungen!$B$5+IF($W91="",0,$W91/100)*Einstellungen!$B$6+(IF($G91="",0,MAX(0,MIN(100,($G91-Einstellungen!$B$25)/(Einstellungen!$B$26-Einstellungen!$B$25)*100)))+IF($I91="",0,MAX(0,MIN(100,($I91-Einstellungen!$B$27)/(Einstellungen!$B$28-Einstellungen!$B$27)*100))))/2/100*Einstellungen!$B$7+IF($V91="",0,$V91/100)*Einstellungen!$B$8+IF($R91="",0,MAX(0,MIN(100,(Einstellungen!$B$32-$R91)/(Einstellungen!$B$32-Einstellungen!$B$31)*100)))/100*Einstellungen!$B$9+IF($D91="",0,$D91/5*100)/100*Einstellungen!$B$10+IF($AD91="",0,$AD91)/100*Einstellungen!$B$11+IF($U91="",0,$U91/5*100)/100*Einstellungen!$B$12,0))</f>
        <v/>
      </c>
      <c r="Y91">
        <f>IF($X91="","",$X91*1000000000000+IF($G91="",0,$G91)*1000000+IF($H91="",0,$H91)*1000+IF($I91="",0,$I91)+IF($N91="",0,MAX(0,1000-$N91))/1000+IF($A91="",0,$A91)/1000000)</f>
        <v/>
      </c>
      <c r="Z91">
        <f>IF($Y91="","",_xludf.RANK.EQ($Y91,$Y$2:$Y$201,0))</f>
        <v/>
      </c>
    </row>
    <row r="92">
      <c r="R92">
        <f>IFERROR(IF($Q92="","",$Q92/$H92),"")</f>
        <v/>
      </c>
      <c r="S92">
        <f>IFERROR(IF($Q92="","",$Q92/$G92),"")</f>
        <v/>
      </c>
      <c r="W92">
        <f>IF(AND($L92="",$N92="",$P92=""),"",ROUND((IF($L92="",0,IF($L92&lt;=Einstellungen!$B$16,100,IF($L92&lt;=Einstellungen!$C$16,80+(100-80)*(Einstellungen!$C$16-$L92)/(Einstellungen!$C$16-Einstellungen!$B$16),IF($L92&lt;=Einstellungen!$D$16,80*(Einstellungen!$D$16-$L92)/(Einstellungen!$D$16-Einstellungen!$C$16),0))))*Einstellungen!$E$16+IF($N92="",0,IF($N92&lt;=Einstellungen!$B$17,100,IF($N92&lt;=Einstellungen!$C$17,80+(100-80)*(Einstellungen!$C$17-$N92)/(Einstellungen!$C$17-Einstellungen!$B$17),IF($N92&lt;=Einstellungen!$D$17,80*(Einstellungen!$D$17-$N92)/(Einstellungen!$D$17-Einstellungen!$C$17),0))))*Einstellungen!$E$17+IF($P92="",0,IF($P92&lt;=Einstellungen!$B$18,100,IF($P92&lt;=Einstellungen!$C$18,80+(100-80)*(Einstellungen!$C$18-$P92)/(Einstellungen!$C$18-Einstellungen!$B$18),IF($P92&lt;=Einstellungen!$D$18,80*(Einstellungen!$D$18-$P92)/(Einstellungen!$D$18-Einstellungen!$C$18),0))))*Einstellungen!$E$18)/(Einstellungen!$E$16+Einstellungen!$E$17+Einstellungen!$E$18),0))</f>
        <v/>
      </c>
      <c r="X92">
        <f>IF(AND($E92="",$D92="",$G92="",$V92="",$Q92="",$T92="",$W92="",$U92=""),"",ROUND(IF($E92="",0,IF($E92&lt;Einstellungen!$B$21,0,IF($E92&gt;=Einstellungen!$B$22,100,($E92-Einstellungen!$B$21)/(Einstellungen!$B$22-Einstellungen!$B$21)*100)))/100*Einstellungen!$B$5+IF($W92="",0,$W92/100)*Einstellungen!$B$6+(IF($G92="",0,MAX(0,MIN(100,($G92-Einstellungen!$B$25)/(Einstellungen!$B$26-Einstellungen!$B$25)*100)))+IF($I92="",0,MAX(0,MIN(100,($I92-Einstellungen!$B$27)/(Einstellungen!$B$28-Einstellungen!$B$27)*100))))/2/100*Einstellungen!$B$7+IF($V92="",0,$V92/100)*Einstellungen!$B$8+IF($R92="",0,MAX(0,MIN(100,(Einstellungen!$B$32-$R92)/(Einstellungen!$B$32-Einstellungen!$B$31)*100)))/100*Einstellungen!$B$9+IF($D92="",0,$D92/5*100)/100*Einstellungen!$B$10+IF($AD92="",0,$AD92)/100*Einstellungen!$B$11+IF($U92="",0,$U92/5*100)/100*Einstellungen!$B$12,0))</f>
        <v/>
      </c>
      <c r="Y92">
        <f>IF($X92="","",$X92*1000000000000+IF($G92="",0,$G92)*1000000+IF($H92="",0,$H92)*1000+IF($I92="",0,$I92)+IF($N92="",0,MAX(0,1000-$N92))/1000+IF($A92="",0,$A92)/1000000)</f>
        <v/>
      </c>
      <c r="Z92">
        <f>IF($Y92="","",_xludf.RANK.EQ($Y92,$Y$2:$Y$201,0))</f>
        <v/>
      </c>
    </row>
    <row r="93">
      <c r="R93">
        <f>IFERROR(IF($Q93="","",$Q93/$H93),"")</f>
        <v/>
      </c>
      <c r="S93">
        <f>IFERROR(IF($Q93="","",$Q93/$G93),"")</f>
        <v/>
      </c>
      <c r="W93">
        <f>IF(AND($L93="",$N93="",$P93=""),"",ROUND((IF($L93="",0,IF($L93&lt;=Einstellungen!$B$16,100,IF($L93&lt;=Einstellungen!$C$16,80+(100-80)*(Einstellungen!$C$16-$L93)/(Einstellungen!$C$16-Einstellungen!$B$16),IF($L93&lt;=Einstellungen!$D$16,80*(Einstellungen!$D$16-$L93)/(Einstellungen!$D$16-Einstellungen!$C$16),0))))*Einstellungen!$E$16+IF($N93="",0,IF($N93&lt;=Einstellungen!$B$17,100,IF($N93&lt;=Einstellungen!$C$17,80+(100-80)*(Einstellungen!$C$17-$N93)/(Einstellungen!$C$17-Einstellungen!$B$17),IF($N93&lt;=Einstellungen!$D$17,80*(Einstellungen!$D$17-$N93)/(Einstellungen!$D$17-Einstellungen!$C$17),0))))*Einstellungen!$E$17+IF($P93="",0,IF($P93&lt;=Einstellungen!$B$18,100,IF($P93&lt;=Einstellungen!$C$18,80+(100-80)*(Einstellungen!$C$18-$P93)/(Einstellungen!$C$18-Einstellungen!$B$18),IF($P93&lt;=Einstellungen!$D$18,80*(Einstellungen!$D$18-$P93)/(Einstellungen!$D$18-Einstellungen!$C$18),0))))*Einstellungen!$E$18)/(Einstellungen!$E$16+Einstellungen!$E$17+Einstellungen!$E$18),0))</f>
        <v/>
      </c>
      <c r="X93">
        <f>IF(AND($E93="",$D93="",$G93="",$V93="",$Q93="",$T93="",$W93="",$U93=""),"",ROUND(IF($E93="",0,IF($E93&lt;Einstellungen!$B$21,0,IF($E93&gt;=Einstellungen!$B$22,100,($E93-Einstellungen!$B$21)/(Einstellungen!$B$22-Einstellungen!$B$21)*100)))/100*Einstellungen!$B$5+IF($W93="",0,$W93/100)*Einstellungen!$B$6+(IF($G93="",0,MAX(0,MIN(100,($G93-Einstellungen!$B$25)/(Einstellungen!$B$26-Einstellungen!$B$25)*100)))+IF($I93="",0,MAX(0,MIN(100,($I93-Einstellungen!$B$27)/(Einstellungen!$B$28-Einstellungen!$B$27)*100))))/2/100*Einstellungen!$B$7+IF($V93="",0,$V93/100)*Einstellungen!$B$8+IF($R93="",0,MAX(0,MIN(100,(Einstellungen!$B$32-$R93)/(Einstellungen!$B$32-Einstellungen!$B$31)*100)))/100*Einstellungen!$B$9+IF($D93="",0,$D93/5*100)/100*Einstellungen!$B$10+IF($AD93="",0,$AD93)/100*Einstellungen!$B$11+IF($U93="",0,$U93/5*100)/100*Einstellungen!$B$12,0))</f>
        <v/>
      </c>
      <c r="Y93">
        <f>IF($X93="","",$X93*1000000000000+IF($G93="",0,$G93)*1000000+IF($H93="",0,$H93)*1000+IF($I93="",0,$I93)+IF($N93="",0,MAX(0,1000-$N93))/1000+IF($A93="",0,$A93)/1000000)</f>
        <v/>
      </c>
      <c r="Z93">
        <f>IF($Y93="","",_xludf.RANK.EQ($Y93,$Y$2:$Y$201,0))</f>
        <v/>
      </c>
    </row>
    <row r="94">
      <c r="R94">
        <f>IFERROR(IF($Q94="","",$Q94/$H94),"")</f>
        <v/>
      </c>
      <c r="S94">
        <f>IFERROR(IF($Q94="","",$Q94/$G94),"")</f>
        <v/>
      </c>
      <c r="W94">
        <f>IF(AND($L94="",$N94="",$P94=""),"",ROUND((IF($L94="",0,IF($L94&lt;=Einstellungen!$B$16,100,IF($L94&lt;=Einstellungen!$C$16,80+(100-80)*(Einstellungen!$C$16-$L94)/(Einstellungen!$C$16-Einstellungen!$B$16),IF($L94&lt;=Einstellungen!$D$16,80*(Einstellungen!$D$16-$L94)/(Einstellungen!$D$16-Einstellungen!$C$16),0))))*Einstellungen!$E$16+IF($N94="",0,IF($N94&lt;=Einstellungen!$B$17,100,IF($N94&lt;=Einstellungen!$C$17,80+(100-80)*(Einstellungen!$C$17-$N94)/(Einstellungen!$C$17-Einstellungen!$B$17),IF($N94&lt;=Einstellungen!$D$17,80*(Einstellungen!$D$17-$N94)/(Einstellungen!$D$17-Einstellungen!$C$17),0))))*Einstellungen!$E$17+IF($P94="",0,IF($P94&lt;=Einstellungen!$B$18,100,IF($P94&lt;=Einstellungen!$C$18,80+(100-80)*(Einstellungen!$C$18-$P94)/(Einstellungen!$C$18-Einstellungen!$B$18),IF($P94&lt;=Einstellungen!$D$18,80*(Einstellungen!$D$18-$P94)/(Einstellungen!$D$18-Einstellungen!$C$18),0))))*Einstellungen!$E$18)/(Einstellungen!$E$16+Einstellungen!$E$17+Einstellungen!$E$18),0))</f>
        <v/>
      </c>
      <c r="X94">
        <f>IF(AND($E94="",$D94="",$G94="",$V94="",$Q94="",$T94="",$W94="",$U94=""),"",ROUND(IF($E94="",0,IF($E94&lt;Einstellungen!$B$21,0,IF($E94&gt;=Einstellungen!$B$22,100,($E94-Einstellungen!$B$21)/(Einstellungen!$B$22-Einstellungen!$B$21)*100)))/100*Einstellungen!$B$5+IF($W94="",0,$W94/100)*Einstellungen!$B$6+(IF($G94="",0,MAX(0,MIN(100,($G94-Einstellungen!$B$25)/(Einstellungen!$B$26-Einstellungen!$B$25)*100)))+IF($I94="",0,MAX(0,MIN(100,($I94-Einstellungen!$B$27)/(Einstellungen!$B$28-Einstellungen!$B$27)*100))))/2/100*Einstellungen!$B$7+IF($V94="",0,$V94/100)*Einstellungen!$B$8+IF($R94="",0,MAX(0,MIN(100,(Einstellungen!$B$32-$R94)/(Einstellungen!$B$32-Einstellungen!$B$31)*100)))/100*Einstellungen!$B$9+IF($D94="",0,$D94/5*100)/100*Einstellungen!$B$10+IF($AD94="",0,$AD94)/100*Einstellungen!$B$11+IF($U94="",0,$U94/5*100)/100*Einstellungen!$B$12,0))</f>
        <v/>
      </c>
      <c r="Y94">
        <f>IF($X94="","",$X94*1000000000000+IF($G94="",0,$G94)*1000000+IF($H94="",0,$H94)*1000+IF($I94="",0,$I94)+IF($N94="",0,MAX(0,1000-$N94))/1000+IF($A94="",0,$A94)/1000000)</f>
        <v/>
      </c>
      <c r="Z94">
        <f>IF($Y94="","",_xludf.RANK.EQ($Y94,$Y$2:$Y$201,0))</f>
        <v/>
      </c>
    </row>
    <row r="95">
      <c r="R95">
        <f>IFERROR(IF($Q95="","",$Q95/$H95),"")</f>
        <v/>
      </c>
      <c r="S95">
        <f>IFERROR(IF($Q95="","",$Q95/$G95),"")</f>
        <v/>
      </c>
      <c r="W95">
        <f>IF(AND($L95="",$N95="",$P95=""),"",ROUND((IF($L95="",0,IF($L95&lt;=Einstellungen!$B$16,100,IF($L95&lt;=Einstellungen!$C$16,80+(100-80)*(Einstellungen!$C$16-$L95)/(Einstellungen!$C$16-Einstellungen!$B$16),IF($L95&lt;=Einstellungen!$D$16,80*(Einstellungen!$D$16-$L95)/(Einstellungen!$D$16-Einstellungen!$C$16),0))))*Einstellungen!$E$16+IF($N95="",0,IF($N95&lt;=Einstellungen!$B$17,100,IF($N95&lt;=Einstellungen!$C$17,80+(100-80)*(Einstellungen!$C$17-$N95)/(Einstellungen!$C$17-Einstellungen!$B$17),IF($N95&lt;=Einstellungen!$D$17,80*(Einstellungen!$D$17-$N95)/(Einstellungen!$D$17-Einstellungen!$C$17),0))))*Einstellungen!$E$17+IF($P95="",0,IF($P95&lt;=Einstellungen!$B$18,100,IF($P95&lt;=Einstellungen!$C$18,80+(100-80)*(Einstellungen!$C$18-$P95)/(Einstellungen!$C$18-Einstellungen!$B$18),IF($P95&lt;=Einstellungen!$D$18,80*(Einstellungen!$D$18-$P95)/(Einstellungen!$D$18-Einstellungen!$C$18),0))))*Einstellungen!$E$18)/(Einstellungen!$E$16+Einstellungen!$E$17+Einstellungen!$E$18),0))</f>
        <v/>
      </c>
      <c r="X95">
        <f>IF(AND($E95="",$D95="",$G95="",$V95="",$Q95="",$T95="",$W95="",$U95=""),"",ROUND(IF($E95="",0,IF($E95&lt;Einstellungen!$B$21,0,IF($E95&gt;=Einstellungen!$B$22,100,($E95-Einstellungen!$B$21)/(Einstellungen!$B$22-Einstellungen!$B$21)*100)))/100*Einstellungen!$B$5+IF($W95="",0,$W95/100)*Einstellungen!$B$6+(IF($G95="",0,MAX(0,MIN(100,($G95-Einstellungen!$B$25)/(Einstellungen!$B$26-Einstellungen!$B$25)*100)))+IF($I95="",0,MAX(0,MIN(100,($I95-Einstellungen!$B$27)/(Einstellungen!$B$28-Einstellungen!$B$27)*100))))/2/100*Einstellungen!$B$7+IF($V95="",0,$V95/100)*Einstellungen!$B$8+IF($R95="",0,MAX(0,MIN(100,(Einstellungen!$B$32-$R95)/(Einstellungen!$B$32-Einstellungen!$B$31)*100)))/100*Einstellungen!$B$9+IF($D95="",0,$D95/5*100)/100*Einstellungen!$B$10+IF($AD95="",0,$AD95)/100*Einstellungen!$B$11+IF($U95="",0,$U95/5*100)/100*Einstellungen!$B$12,0))</f>
        <v/>
      </c>
      <c r="Y95">
        <f>IF($X95="","",$X95*1000000000000+IF($G95="",0,$G95)*1000000+IF($H95="",0,$H95)*1000+IF($I95="",0,$I95)+IF($N95="",0,MAX(0,1000-$N95))/1000+IF($A95="",0,$A95)/1000000)</f>
        <v/>
      </c>
      <c r="Z95">
        <f>IF($Y95="","",_xludf.RANK.EQ($Y95,$Y$2:$Y$201,0))</f>
        <v/>
      </c>
    </row>
    <row r="96">
      <c r="R96">
        <f>IFERROR(IF($Q96="","",$Q96/$H96),"")</f>
        <v/>
      </c>
      <c r="S96">
        <f>IFERROR(IF($Q96="","",$Q96/$G96),"")</f>
        <v/>
      </c>
      <c r="W96">
        <f>IF(AND($L96="",$N96="",$P96=""),"",ROUND((IF($L96="",0,IF($L96&lt;=Einstellungen!$B$16,100,IF($L96&lt;=Einstellungen!$C$16,80+(100-80)*(Einstellungen!$C$16-$L96)/(Einstellungen!$C$16-Einstellungen!$B$16),IF($L96&lt;=Einstellungen!$D$16,80*(Einstellungen!$D$16-$L96)/(Einstellungen!$D$16-Einstellungen!$C$16),0))))*Einstellungen!$E$16+IF($N96="",0,IF($N96&lt;=Einstellungen!$B$17,100,IF($N96&lt;=Einstellungen!$C$17,80+(100-80)*(Einstellungen!$C$17-$N96)/(Einstellungen!$C$17-Einstellungen!$B$17),IF($N96&lt;=Einstellungen!$D$17,80*(Einstellungen!$D$17-$N96)/(Einstellungen!$D$17-Einstellungen!$C$17),0))))*Einstellungen!$E$17+IF($P96="",0,IF($P96&lt;=Einstellungen!$B$18,100,IF($P96&lt;=Einstellungen!$C$18,80+(100-80)*(Einstellungen!$C$18-$P96)/(Einstellungen!$C$18-Einstellungen!$B$18),IF($P96&lt;=Einstellungen!$D$18,80*(Einstellungen!$D$18-$P96)/(Einstellungen!$D$18-Einstellungen!$C$18),0))))*Einstellungen!$E$18)/(Einstellungen!$E$16+Einstellungen!$E$17+Einstellungen!$E$18),0))</f>
        <v/>
      </c>
      <c r="X96">
        <f>IF(AND($E96="",$D96="",$G96="",$V96="",$Q96="",$T96="",$W96="",$U96=""),"",ROUND(IF($E96="",0,IF($E96&lt;Einstellungen!$B$21,0,IF($E96&gt;=Einstellungen!$B$22,100,($E96-Einstellungen!$B$21)/(Einstellungen!$B$22-Einstellungen!$B$21)*100)))/100*Einstellungen!$B$5+IF($W96="",0,$W96/100)*Einstellungen!$B$6+(IF($G96="",0,MAX(0,MIN(100,($G96-Einstellungen!$B$25)/(Einstellungen!$B$26-Einstellungen!$B$25)*100)))+IF($I96="",0,MAX(0,MIN(100,($I96-Einstellungen!$B$27)/(Einstellungen!$B$28-Einstellungen!$B$27)*100))))/2/100*Einstellungen!$B$7+IF($V96="",0,$V96/100)*Einstellungen!$B$8+IF($R96="",0,MAX(0,MIN(100,(Einstellungen!$B$32-$R96)/(Einstellungen!$B$32-Einstellungen!$B$31)*100)))/100*Einstellungen!$B$9+IF($D96="",0,$D96/5*100)/100*Einstellungen!$B$10+IF($AD96="",0,$AD96)/100*Einstellungen!$B$11+IF($U96="",0,$U96/5*100)/100*Einstellungen!$B$12,0))</f>
        <v/>
      </c>
      <c r="Y96">
        <f>IF($X96="","",$X96*1000000000000+IF($G96="",0,$G96)*1000000+IF($H96="",0,$H96)*1000+IF($I96="",0,$I96)+IF($N96="",0,MAX(0,1000-$N96))/1000+IF($A96="",0,$A96)/1000000)</f>
        <v/>
      </c>
      <c r="Z96">
        <f>IF($Y96="","",_xludf.RANK.EQ($Y96,$Y$2:$Y$201,0))</f>
        <v/>
      </c>
    </row>
    <row r="97">
      <c r="R97">
        <f>IFERROR(IF($Q97="","",$Q97/$H97),"")</f>
        <v/>
      </c>
      <c r="S97">
        <f>IFERROR(IF($Q97="","",$Q97/$G97),"")</f>
        <v/>
      </c>
      <c r="W97">
        <f>IF(AND($L97="",$N97="",$P97=""),"",ROUND((IF($L97="",0,IF($L97&lt;=Einstellungen!$B$16,100,IF($L97&lt;=Einstellungen!$C$16,80+(100-80)*(Einstellungen!$C$16-$L97)/(Einstellungen!$C$16-Einstellungen!$B$16),IF($L97&lt;=Einstellungen!$D$16,80*(Einstellungen!$D$16-$L97)/(Einstellungen!$D$16-Einstellungen!$C$16),0))))*Einstellungen!$E$16+IF($N97="",0,IF($N97&lt;=Einstellungen!$B$17,100,IF($N97&lt;=Einstellungen!$C$17,80+(100-80)*(Einstellungen!$C$17-$N97)/(Einstellungen!$C$17-Einstellungen!$B$17),IF($N97&lt;=Einstellungen!$D$17,80*(Einstellungen!$D$17-$N97)/(Einstellungen!$D$17-Einstellungen!$C$17),0))))*Einstellungen!$E$17+IF($P97="",0,IF($P97&lt;=Einstellungen!$B$18,100,IF($P97&lt;=Einstellungen!$C$18,80+(100-80)*(Einstellungen!$C$18-$P97)/(Einstellungen!$C$18-Einstellungen!$B$18),IF($P97&lt;=Einstellungen!$D$18,80*(Einstellungen!$D$18-$P97)/(Einstellungen!$D$18-Einstellungen!$C$18),0))))*Einstellungen!$E$18)/(Einstellungen!$E$16+Einstellungen!$E$17+Einstellungen!$E$18),0))</f>
        <v/>
      </c>
      <c r="X97">
        <f>IF(AND($E97="",$D97="",$G97="",$V97="",$Q97="",$T97="",$W97="",$U97=""),"",ROUND(IF($E97="",0,IF($E97&lt;Einstellungen!$B$21,0,IF($E97&gt;=Einstellungen!$B$22,100,($E97-Einstellungen!$B$21)/(Einstellungen!$B$22-Einstellungen!$B$21)*100)))/100*Einstellungen!$B$5+IF($W97="",0,$W97/100)*Einstellungen!$B$6+(IF($G97="",0,MAX(0,MIN(100,($G97-Einstellungen!$B$25)/(Einstellungen!$B$26-Einstellungen!$B$25)*100)))+IF($I97="",0,MAX(0,MIN(100,($I97-Einstellungen!$B$27)/(Einstellungen!$B$28-Einstellungen!$B$27)*100))))/2/100*Einstellungen!$B$7+IF($V97="",0,$V97/100)*Einstellungen!$B$8+IF($R97="",0,MAX(0,MIN(100,(Einstellungen!$B$32-$R97)/(Einstellungen!$B$32-Einstellungen!$B$31)*100)))/100*Einstellungen!$B$9+IF($D97="",0,$D97/5*100)/100*Einstellungen!$B$10+IF($AD97="",0,$AD97)/100*Einstellungen!$B$11+IF($U97="",0,$U97/5*100)/100*Einstellungen!$B$12,0))</f>
        <v/>
      </c>
      <c r="Y97">
        <f>IF($X97="","",$X97*1000000000000+IF($G97="",0,$G97)*1000000+IF($H97="",0,$H97)*1000+IF($I97="",0,$I97)+IF($N97="",0,MAX(0,1000-$N97))/1000+IF($A97="",0,$A97)/1000000)</f>
        <v/>
      </c>
      <c r="Z97">
        <f>IF($Y97="","",_xludf.RANK.EQ($Y97,$Y$2:$Y$201,0))</f>
        <v/>
      </c>
    </row>
    <row r="98">
      <c r="R98">
        <f>IFERROR(IF($Q98="","",$Q98/$H98),"")</f>
        <v/>
      </c>
      <c r="S98">
        <f>IFERROR(IF($Q98="","",$Q98/$G98),"")</f>
        <v/>
      </c>
      <c r="W98">
        <f>IF(AND($L98="",$N98="",$P98=""),"",ROUND((IF($L98="",0,IF($L98&lt;=Einstellungen!$B$16,100,IF($L98&lt;=Einstellungen!$C$16,80+(100-80)*(Einstellungen!$C$16-$L98)/(Einstellungen!$C$16-Einstellungen!$B$16),IF($L98&lt;=Einstellungen!$D$16,80*(Einstellungen!$D$16-$L98)/(Einstellungen!$D$16-Einstellungen!$C$16),0))))*Einstellungen!$E$16+IF($N98="",0,IF($N98&lt;=Einstellungen!$B$17,100,IF($N98&lt;=Einstellungen!$C$17,80+(100-80)*(Einstellungen!$C$17-$N98)/(Einstellungen!$C$17-Einstellungen!$B$17),IF($N98&lt;=Einstellungen!$D$17,80*(Einstellungen!$D$17-$N98)/(Einstellungen!$D$17-Einstellungen!$C$17),0))))*Einstellungen!$E$17+IF($P98="",0,IF($P98&lt;=Einstellungen!$B$18,100,IF($P98&lt;=Einstellungen!$C$18,80+(100-80)*(Einstellungen!$C$18-$P98)/(Einstellungen!$C$18-Einstellungen!$B$18),IF($P98&lt;=Einstellungen!$D$18,80*(Einstellungen!$D$18-$P98)/(Einstellungen!$D$18-Einstellungen!$C$18),0))))*Einstellungen!$E$18)/(Einstellungen!$E$16+Einstellungen!$E$17+Einstellungen!$E$18),0))</f>
        <v/>
      </c>
      <c r="X98">
        <f>IF(AND($E98="",$D98="",$G98="",$V98="",$Q98="",$T98="",$W98="",$U98=""),"",ROUND(IF($E98="",0,IF($E98&lt;Einstellungen!$B$21,0,IF($E98&gt;=Einstellungen!$B$22,100,($E98-Einstellungen!$B$21)/(Einstellungen!$B$22-Einstellungen!$B$21)*100)))/100*Einstellungen!$B$5+IF($W98="",0,$W98/100)*Einstellungen!$B$6+(IF($G98="",0,MAX(0,MIN(100,($G98-Einstellungen!$B$25)/(Einstellungen!$B$26-Einstellungen!$B$25)*100)))+IF($I98="",0,MAX(0,MIN(100,($I98-Einstellungen!$B$27)/(Einstellungen!$B$28-Einstellungen!$B$27)*100))))/2/100*Einstellungen!$B$7+IF($V98="",0,$V98/100)*Einstellungen!$B$8+IF($R98="",0,MAX(0,MIN(100,(Einstellungen!$B$32-$R98)/(Einstellungen!$B$32-Einstellungen!$B$31)*100)))/100*Einstellungen!$B$9+IF($D98="",0,$D98/5*100)/100*Einstellungen!$B$10+IF($AD98="",0,$AD98)/100*Einstellungen!$B$11+IF($U98="",0,$U98/5*100)/100*Einstellungen!$B$12,0))</f>
        <v/>
      </c>
      <c r="Y98">
        <f>IF($X98="","",$X98*1000000000000+IF($G98="",0,$G98)*1000000+IF($H98="",0,$H98)*1000+IF($I98="",0,$I98)+IF($N98="",0,MAX(0,1000-$N98))/1000+IF($A98="",0,$A98)/1000000)</f>
        <v/>
      </c>
      <c r="Z98">
        <f>IF($Y98="","",_xludf.RANK.EQ($Y98,$Y$2:$Y$201,0))</f>
        <v/>
      </c>
    </row>
    <row r="99">
      <c r="R99">
        <f>IFERROR(IF($Q99="","",$Q99/$H99),"")</f>
        <v/>
      </c>
      <c r="S99">
        <f>IFERROR(IF($Q99="","",$Q99/$G99),"")</f>
        <v/>
      </c>
      <c r="W99">
        <f>IF(AND($L99="",$N99="",$P99=""),"",ROUND((IF($L99="",0,IF($L99&lt;=Einstellungen!$B$16,100,IF($L99&lt;=Einstellungen!$C$16,80+(100-80)*(Einstellungen!$C$16-$L99)/(Einstellungen!$C$16-Einstellungen!$B$16),IF($L99&lt;=Einstellungen!$D$16,80*(Einstellungen!$D$16-$L99)/(Einstellungen!$D$16-Einstellungen!$C$16),0))))*Einstellungen!$E$16+IF($N99="",0,IF($N99&lt;=Einstellungen!$B$17,100,IF($N99&lt;=Einstellungen!$C$17,80+(100-80)*(Einstellungen!$C$17-$N99)/(Einstellungen!$C$17-Einstellungen!$B$17),IF($N99&lt;=Einstellungen!$D$17,80*(Einstellungen!$D$17-$N99)/(Einstellungen!$D$17-Einstellungen!$C$17),0))))*Einstellungen!$E$17+IF($P99="",0,IF($P99&lt;=Einstellungen!$B$18,100,IF($P99&lt;=Einstellungen!$C$18,80+(100-80)*(Einstellungen!$C$18-$P99)/(Einstellungen!$C$18-Einstellungen!$B$18),IF($P99&lt;=Einstellungen!$D$18,80*(Einstellungen!$D$18-$P99)/(Einstellungen!$D$18-Einstellungen!$C$18),0))))*Einstellungen!$E$18)/(Einstellungen!$E$16+Einstellungen!$E$17+Einstellungen!$E$18),0))</f>
        <v/>
      </c>
      <c r="X99">
        <f>IF(AND($E99="",$D99="",$G99="",$V99="",$Q99="",$T99="",$W99="",$U99=""),"",ROUND(IF($E99="",0,IF($E99&lt;Einstellungen!$B$21,0,IF($E99&gt;=Einstellungen!$B$22,100,($E99-Einstellungen!$B$21)/(Einstellungen!$B$22-Einstellungen!$B$21)*100)))/100*Einstellungen!$B$5+IF($W99="",0,$W99/100)*Einstellungen!$B$6+(IF($G99="",0,MAX(0,MIN(100,($G99-Einstellungen!$B$25)/(Einstellungen!$B$26-Einstellungen!$B$25)*100)))+IF($I99="",0,MAX(0,MIN(100,($I99-Einstellungen!$B$27)/(Einstellungen!$B$28-Einstellungen!$B$27)*100))))/2/100*Einstellungen!$B$7+IF($V99="",0,$V99/100)*Einstellungen!$B$8+IF($R99="",0,MAX(0,MIN(100,(Einstellungen!$B$32-$R99)/(Einstellungen!$B$32-Einstellungen!$B$31)*100)))/100*Einstellungen!$B$9+IF($D99="",0,$D99/5*100)/100*Einstellungen!$B$10+IF($AD99="",0,$AD99)/100*Einstellungen!$B$11+IF($U99="",0,$U99/5*100)/100*Einstellungen!$B$12,0))</f>
        <v/>
      </c>
      <c r="Y99">
        <f>IF($X99="","",$X99*1000000000000+IF($G99="",0,$G99)*1000000+IF($H99="",0,$H99)*1000+IF($I99="",0,$I99)+IF($N99="",0,MAX(0,1000-$N99))/1000+IF($A99="",0,$A99)/1000000)</f>
        <v/>
      </c>
      <c r="Z99">
        <f>IF($Y99="","",_xludf.RANK.EQ($Y99,$Y$2:$Y$201,0))</f>
        <v/>
      </c>
    </row>
    <row r="100">
      <c r="R100">
        <f>IFERROR(IF($Q100="","",$Q100/$H100),"")</f>
        <v/>
      </c>
      <c r="S100">
        <f>IFERROR(IF($Q100="","",$Q100/$G100),"")</f>
        <v/>
      </c>
      <c r="W100">
        <f>IF(AND($L100="",$N100="",$P100=""),"",ROUND((IF($L100="",0,IF($L100&lt;=Einstellungen!$B$16,100,IF($L100&lt;=Einstellungen!$C$16,80+(100-80)*(Einstellungen!$C$16-$L100)/(Einstellungen!$C$16-Einstellungen!$B$16),IF($L100&lt;=Einstellungen!$D$16,80*(Einstellungen!$D$16-$L100)/(Einstellungen!$D$16-Einstellungen!$C$16),0))))*Einstellungen!$E$16+IF($N100="",0,IF($N100&lt;=Einstellungen!$B$17,100,IF($N100&lt;=Einstellungen!$C$17,80+(100-80)*(Einstellungen!$C$17-$N100)/(Einstellungen!$C$17-Einstellungen!$B$17),IF($N100&lt;=Einstellungen!$D$17,80*(Einstellungen!$D$17-$N100)/(Einstellungen!$D$17-Einstellungen!$C$17),0))))*Einstellungen!$E$17+IF($P100="",0,IF($P100&lt;=Einstellungen!$B$18,100,IF($P100&lt;=Einstellungen!$C$18,80+(100-80)*(Einstellungen!$C$18-$P100)/(Einstellungen!$C$18-Einstellungen!$B$18),IF($P100&lt;=Einstellungen!$D$18,80*(Einstellungen!$D$18-$P100)/(Einstellungen!$D$18-Einstellungen!$C$18),0))))*Einstellungen!$E$18)/(Einstellungen!$E$16+Einstellungen!$E$17+Einstellungen!$E$18),0))</f>
        <v/>
      </c>
      <c r="X100">
        <f>IF(AND($E100="",$D100="",$G100="",$V100="",$Q100="",$T100="",$W100="",$U100=""),"",ROUND(IF($E100="",0,IF($E100&lt;Einstellungen!$B$21,0,IF($E100&gt;=Einstellungen!$B$22,100,($E100-Einstellungen!$B$21)/(Einstellungen!$B$22-Einstellungen!$B$21)*100)))/100*Einstellungen!$B$5+IF($W100="",0,$W100/100)*Einstellungen!$B$6+(IF($G100="",0,MAX(0,MIN(100,($G100-Einstellungen!$B$25)/(Einstellungen!$B$26-Einstellungen!$B$25)*100)))+IF($I100="",0,MAX(0,MIN(100,($I100-Einstellungen!$B$27)/(Einstellungen!$B$28-Einstellungen!$B$27)*100))))/2/100*Einstellungen!$B$7+IF($V100="",0,$V100/100)*Einstellungen!$B$8+IF($R100="",0,MAX(0,MIN(100,(Einstellungen!$B$32-$R100)/(Einstellungen!$B$32-Einstellungen!$B$31)*100)))/100*Einstellungen!$B$9+IF($D100="",0,$D100/5*100)/100*Einstellungen!$B$10+IF($AD100="",0,$AD100)/100*Einstellungen!$B$11+IF($U100="",0,$U100/5*100)/100*Einstellungen!$B$12,0))</f>
        <v/>
      </c>
      <c r="Y100">
        <f>IF($X100="","",$X100*1000000000000+IF($G100="",0,$G100)*1000000+IF($H100="",0,$H100)*1000+IF($I100="",0,$I100)+IF($N100="",0,MAX(0,1000-$N100))/1000+IF($A100="",0,$A100)/1000000)</f>
        <v/>
      </c>
      <c r="Z100">
        <f>IF($Y100="","",_xludf.RANK.EQ($Y100,$Y$2:$Y$201,0))</f>
        <v/>
      </c>
    </row>
    <row r="101">
      <c r="R101">
        <f>IFERROR(IF($Q101="","",$Q101/$H101),"")</f>
        <v/>
      </c>
      <c r="S101">
        <f>IFERROR(IF($Q101="","",$Q101/$G101),"")</f>
        <v/>
      </c>
      <c r="W101">
        <f>IF(AND($L101="",$N101="",$P101=""),"",ROUND((IF($L101="",0,IF($L101&lt;=Einstellungen!$B$16,100,IF($L101&lt;=Einstellungen!$C$16,80+(100-80)*(Einstellungen!$C$16-$L101)/(Einstellungen!$C$16-Einstellungen!$B$16),IF($L101&lt;=Einstellungen!$D$16,80*(Einstellungen!$D$16-$L101)/(Einstellungen!$D$16-Einstellungen!$C$16),0))))*Einstellungen!$E$16+IF($N101="",0,IF($N101&lt;=Einstellungen!$B$17,100,IF($N101&lt;=Einstellungen!$C$17,80+(100-80)*(Einstellungen!$C$17-$N101)/(Einstellungen!$C$17-Einstellungen!$B$17),IF($N101&lt;=Einstellungen!$D$17,80*(Einstellungen!$D$17-$N101)/(Einstellungen!$D$17-Einstellungen!$C$17),0))))*Einstellungen!$E$17+IF($P101="",0,IF($P101&lt;=Einstellungen!$B$18,100,IF($P101&lt;=Einstellungen!$C$18,80+(100-80)*(Einstellungen!$C$18-$P101)/(Einstellungen!$C$18-Einstellungen!$B$18),IF($P101&lt;=Einstellungen!$D$18,80*(Einstellungen!$D$18-$P101)/(Einstellungen!$D$18-Einstellungen!$C$18),0))))*Einstellungen!$E$18)/(Einstellungen!$E$16+Einstellungen!$E$17+Einstellungen!$E$18),0))</f>
        <v/>
      </c>
      <c r="X101">
        <f>IF(AND($E101="",$D101="",$G101="",$V101="",$Q101="",$T101="",$W101="",$U101=""),"",ROUND(IF($E101="",0,IF($E101&lt;Einstellungen!$B$21,0,IF($E101&gt;=Einstellungen!$B$22,100,($E101-Einstellungen!$B$21)/(Einstellungen!$B$22-Einstellungen!$B$21)*100)))/100*Einstellungen!$B$5+IF($W101="",0,$W101/100)*Einstellungen!$B$6+(IF($G101="",0,MAX(0,MIN(100,($G101-Einstellungen!$B$25)/(Einstellungen!$B$26-Einstellungen!$B$25)*100)))+IF($I101="",0,MAX(0,MIN(100,($I101-Einstellungen!$B$27)/(Einstellungen!$B$28-Einstellungen!$B$27)*100))))/2/100*Einstellungen!$B$7+IF($V101="",0,$V101/100)*Einstellungen!$B$8+IF($R101="",0,MAX(0,MIN(100,(Einstellungen!$B$32-$R101)/(Einstellungen!$B$32-Einstellungen!$B$31)*100)))/100*Einstellungen!$B$9+IF($D101="",0,$D101/5*100)/100*Einstellungen!$B$10+IF($AD101="",0,$AD101)/100*Einstellungen!$B$11+IF($U101="",0,$U101/5*100)/100*Einstellungen!$B$12,0))</f>
        <v/>
      </c>
      <c r="Y101">
        <f>IF($X101="","",$X101*1000000000000+IF($G101="",0,$G101)*1000000+IF($H101="",0,$H101)*1000+IF($I101="",0,$I101)+IF($N101="",0,MAX(0,1000-$N101))/1000+IF($A101="",0,$A101)/1000000)</f>
        <v/>
      </c>
      <c r="Z101">
        <f>IF($Y101="","",_xludf.RANK.EQ($Y101,$Y$2:$Y$201,0))</f>
        <v/>
      </c>
    </row>
    <row r="102">
      <c r="R102">
        <f>IFERROR(IF($Q102="","",$Q102/$H102),"")</f>
        <v/>
      </c>
      <c r="S102">
        <f>IFERROR(IF($Q102="","",$Q102/$G102),"")</f>
        <v/>
      </c>
      <c r="W102">
        <f>IF(AND($L102="",$N102="",$P102=""),"",ROUND((IF($L102="",0,IF($L102&lt;=Einstellungen!$B$16,100,IF($L102&lt;=Einstellungen!$C$16,80+(100-80)*(Einstellungen!$C$16-$L102)/(Einstellungen!$C$16-Einstellungen!$B$16),IF($L102&lt;=Einstellungen!$D$16,80*(Einstellungen!$D$16-$L102)/(Einstellungen!$D$16-Einstellungen!$C$16),0))))*Einstellungen!$E$16+IF($N102="",0,IF($N102&lt;=Einstellungen!$B$17,100,IF($N102&lt;=Einstellungen!$C$17,80+(100-80)*(Einstellungen!$C$17-$N102)/(Einstellungen!$C$17-Einstellungen!$B$17),IF($N102&lt;=Einstellungen!$D$17,80*(Einstellungen!$D$17-$N102)/(Einstellungen!$D$17-Einstellungen!$C$17),0))))*Einstellungen!$E$17+IF($P102="",0,IF($P102&lt;=Einstellungen!$B$18,100,IF($P102&lt;=Einstellungen!$C$18,80+(100-80)*(Einstellungen!$C$18-$P102)/(Einstellungen!$C$18-Einstellungen!$B$18),IF($P102&lt;=Einstellungen!$D$18,80*(Einstellungen!$D$18-$P102)/(Einstellungen!$D$18-Einstellungen!$C$18),0))))*Einstellungen!$E$18)/(Einstellungen!$E$16+Einstellungen!$E$17+Einstellungen!$E$18),0))</f>
        <v/>
      </c>
      <c r="X102">
        <f>IF(AND($E102="",$D102="",$G102="",$V102="",$Q102="",$T102="",$W102="",$U102=""),"",ROUND(IF($E102="",0,IF($E102&lt;Einstellungen!$B$21,0,IF($E102&gt;=Einstellungen!$B$22,100,($E102-Einstellungen!$B$21)/(Einstellungen!$B$22-Einstellungen!$B$21)*100)))/100*Einstellungen!$B$5+IF($W102="",0,$W102/100)*Einstellungen!$B$6+(IF($G102="",0,MAX(0,MIN(100,($G102-Einstellungen!$B$25)/(Einstellungen!$B$26-Einstellungen!$B$25)*100)))+IF($I102="",0,MAX(0,MIN(100,($I102-Einstellungen!$B$27)/(Einstellungen!$B$28-Einstellungen!$B$27)*100))))/2/100*Einstellungen!$B$7+IF($V102="",0,$V102/100)*Einstellungen!$B$8+IF($R102="",0,MAX(0,MIN(100,(Einstellungen!$B$32-$R102)/(Einstellungen!$B$32-Einstellungen!$B$31)*100)))/100*Einstellungen!$B$9+IF($D102="",0,$D102/5*100)/100*Einstellungen!$B$10+IF($AD102="",0,$AD102)/100*Einstellungen!$B$11+IF($U102="",0,$U102/5*100)/100*Einstellungen!$B$12,0))</f>
        <v/>
      </c>
      <c r="Y102">
        <f>IF($X102="","",$X102*1000000000000+IF($G102="",0,$G102)*1000000+IF($H102="",0,$H102)*1000+IF($I102="",0,$I102)+IF($N102="",0,MAX(0,1000-$N102))/1000+IF($A102="",0,$A102)/1000000)</f>
        <v/>
      </c>
      <c r="Z102">
        <f>IF($Y102="","",_xludf.RANK.EQ($Y102,$Y$2:$Y$201,0))</f>
        <v/>
      </c>
    </row>
    <row r="103">
      <c r="R103">
        <f>IFERROR(IF($Q103="","",$Q103/$H103),"")</f>
        <v/>
      </c>
      <c r="S103">
        <f>IFERROR(IF($Q103="","",$Q103/$G103),"")</f>
        <v/>
      </c>
      <c r="W103">
        <f>IF(AND($L103="",$N103="",$P103=""),"",ROUND((IF($L103="",0,IF($L103&lt;=Einstellungen!$B$16,100,IF($L103&lt;=Einstellungen!$C$16,80+(100-80)*(Einstellungen!$C$16-$L103)/(Einstellungen!$C$16-Einstellungen!$B$16),IF($L103&lt;=Einstellungen!$D$16,80*(Einstellungen!$D$16-$L103)/(Einstellungen!$D$16-Einstellungen!$C$16),0))))*Einstellungen!$E$16+IF($N103="",0,IF($N103&lt;=Einstellungen!$B$17,100,IF($N103&lt;=Einstellungen!$C$17,80+(100-80)*(Einstellungen!$C$17-$N103)/(Einstellungen!$C$17-Einstellungen!$B$17),IF($N103&lt;=Einstellungen!$D$17,80*(Einstellungen!$D$17-$N103)/(Einstellungen!$D$17-Einstellungen!$C$17),0))))*Einstellungen!$E$17+IF($P103="",0,IF($P103&lt;=Einstellungen!$B$18,100,IF($P103&lt;=Einstellungen!$C$18,80+(100-80)*(Einstellungen!$C$18-$P103)/(Einstellungen!$C$18-Einstellungen!$B$18),IF($P103&lt;=Einstellungen!$D$18,80*(Einstellungen!$D$18-$P103)/(Einstellungen!$D$18-Einstellungen!$C$18),0))))*Einstellungen!$E$18)/(Einstellungen!$E$16+Einstellungen!$E$17+Einstellungen!$E$18),0))</f>
        <v/>
      </c>
      <c r="X103">
        <f>IF(AND($E103="",$D103="",$G103="",$V103="",$Q103="",$T103="",$W103="",$U103=""),"",ROUND(IF($E103="",0,IF($E103&lt;Einstellungen!$B$21,0,IF($E103&gt;=Einstellungen!$B$22,100,($E103-Einstellungen!$B$21)/(Einstellungen!$B$22-Einstellungen!$B$21)*100)))/100*Einstellungen!$B$5+IF($W103="",0,$W103/100)*Einstellungen!$B$6+(IF($G103="",0,MAX(0,MIN(100,($G103-Einstellungen!$B$25)/(Einstellungen!$B$26-Einstellungen!$B$25)*100)))+IF($I103="",0,MAX(0,MIN(100,($I103-Einstellungen!$B$27)/(Einstellungen!$B$28-Einstellungen!$B$27)*100))))/2/100*Einstellungen!$B$7+IF($V103="",0,$V103/100)*Einstellungen!$B$8+IF($R103="",0,MAX(0,MIN(100,(Einstellungen!$B$32-$R103)/(Einstellungen!$B$32-Einstellungen!$B$31)*100)))/100*Einstellungen!$B$9+IF($D103="",0,$D103/5*100)/100*Einstellungen!$B$10+IF($AD103="",0,$AD103)/100*Einstellungen!$B$11+IF($U103="",0,$U103/5*100)/100*Einstellungen!$B$12,0))</f>
        <v/>
      </c>
      <c r="Y103">
        <f>IF($X103="","",$X103*1000000000000+IF($G103="",0,$G103)*1000000+IF($H103="",0,$H103)*1000+IF($I103="",0,$I103)+IF($N103="",0,MAX(0,1000-$N103))/1000+IF($A103="",0,$A103)/1000000)</f>
        <v/>
      </c>
      <c r="Z103">
        <f>IF($Y103="","",_xludf.RANK.EQ($Y103,$Y$2:$Y$201,0))</f>
        <v/>
      </c>
    </row>
    <row r="104">
      <c r="R104">
        <f>IFERROR(IF($Q104="","",$Q104/$H104),"")</f>
        <v/>
      </c>
      <c r="S104">
        <f>IFERROR(IF($Q104="","",$Q104/$G104),"")</f>
        <v/>
      </c>
      <c r="W104">
        <f>IF(AND($L104="",$N104="",$P104=""),"",ROUND((IF($L104="",0,IF($L104&lt;=Einstellungen!$B$16,100,IF($L104&lt;=Einstellungen!$C$16,80+(100-80)*(Einstellungen!$C$16-$L104)/(Einstellungen!$C$16-Einstellungen!$B$16),IF($L104&lt;=Einstellungen!$D$16,80*(Einstellungen!$D$16-$L104)/(Einstellungen!$D$16-Einstellungen!$C$16),0))))*Einstellungen!$E$16+IF($N104="",0,IF($N104&lt;=Einstellungen!$B$17,100,IF($N104&lt;=Einstellungen!$C$17,80+(100-80)*(Einstellungen!$C$17-$N104)/(Einstellungen!$C$17-Einstellungen!$B$17),IF($N104&lt;=Einstellungen!$D$17,80*(Einstellungen!$D$17-$N104)/(Einstellungen!$D$17-Einstellungen!$C$17),0))))*Einstellungen!$E$17+IF($P104="",0,IF($P104&lt;=Einstellungen!$B$18,100,IF($P104&lt;=Einstellungen!$C$18,80+(100-80)*(Einstellungen!$C$18-$P104)/(Einstellungen!$C$18-Einstellungen!$B$18),IF($P104&lt;=Einstellungen!$D$18,80*(Einstellungen!$D$18-$P104)/(Einstellungen!$D$18-Einstellungen!$C$18),0))))*Einstellungen!$E$18)/(Einstellungen!$E$16+Einstellungen!$E$17+Einstellungen!$E$18),0))</f>
        <v/>
      </c>
      <c r="X104">
        <f>IF(AND($E104="",$D104="",$G104="",$V104="",$Q104="",$T104="",$W104="",$U104=""),"",ROUND(IF($E104="",0,IF($E104&lt;Einstellungen!$B$21,0,IF($E104&gt;=Einstellungen!$B$22,100,($E104-Einstellungen!$B$21)/(Einstellungen!$B$22-Einstellungen!$B$21)*100)))/100*Einstellungen!$B$5+IF($W104="",0,$W104/100)*Einstellungen!$B$6+(IF($G104="",0,MAX(0,MIN(100,($G104-Einstellungen!$B$25)/(Einstellungen!$B$26-Einstellungen!$B$25)*100)))+IF($I104="",0,MAX(0,MIN(100,($I104-Einstellungen!$B$27)/(Einstellungen!$B$28-Einstellungen!$B$27)*100))))/2/100*Einstellungen!$B$7+IF($V104="",0,$V104/100)*Einstellungen!$B$8+IF($R104="",0,MAX(0,MIN(100,(Einstellungen!$B$32-$R104)/(Einstellungen!$B$32-Einstellungen!$B$31)*100)))/100*Einstellungen!$B$9+IF($D104="",0,$D104/5*100)/100*Einstellungen!$B$10+IF($AD104="",0,$AD104)/100*Einstellungen!$B$11+IF($U104="",0,$U104/5*100)/100*Einstellungen!$B$12,0))</f>
        <v/>
      </c>
      <c r="Y104">
        <f>IF($X104="","",$X104*1000000000000+IF($G104="",0,$G104)*1000000+IF($H104="",0,$H104)*1000+IF($I104="",0,$I104)+IF($N104="",0,MAX(0,1000-$N104))/1000+IF($A104="",0,$A104)/1000000)</f>
        <v/>
      </c>
      <c r="Z104">
        <f>IF($Y104="","",_xludf.RANK.EQ($Y104,$Y$2:$Y$201,0))</f>
        <v/>
      </c>
    </row>
    <row r="105">
      <c r="R105">
        <f>IFERROR(IF($Q105="","",$Q105/$H105),"")</f>
        <v/>
      </c>
      <c r="S105">
        <f>IFERROR(IF($Q105="","",$Q105/$G105),"")</f>
        <v/>
      </c>
      <c r="W105">
        <f>IF(AND($L105="",$N105="",$P105=""),"",ROUND((IF($L105="",0,IF($L105&lt;=Einstellungen!$B$16,100,IF($L105&lt;=Einstellungen!$C$16,80+(100-80)*(Einstellungen!$C$16-$L105)/(Einstellungen!$C$16-Einstellungen!$B$16),IF($L105&lt;=Einstellungen!$D$16,80*(Einstellungen!$D$16-$L105)/(Einstellungen!$D$16-Einstellungen!$C$16),0))))*Einstellungen!$E$16+IF($N105="",0,IF($N105&lt;=Einstellungen!$B$17,100,IF($N105&lt;=Einstellungen!$C$17,80+(100-80)*(Einstellungen!$C$17-$N105)/(Einstellungen!$C$17-Einstellungen!$B$17),IF($N105&lt;=Einstellungen!$D$17,80*(Einstellungen!$D$17-$N105)/(Einstellungen!$D$17-Einstellungen!$C$17),0))))*Einstellungen!$E$17+IF($P105="",0,IF($P105&lt;=Einstellungen!$B$18,100,IF($P105&lt;=Einstellungen!$C$18,80+(100-80)*(Einstellungen!$C$18-$P105)/(Einstellungen!$C$18-Einstellungen!$B$18),IF($P105&lt;=Einstellungen!$D$18,80*(Einstellungen!$D$18-$P105)/(Einstellungen!$D$18-Einstellungen!$C$18),0))))*Einstellungen!$E$18)/(Einstellungen!$E$16+Einstellungen!$E$17+Einstellungen!$E$18),0))</f>
        <v/>
      </c>
      <c r="X105">
        <f>IF(AND($E105="",$D105="",$G105="",$V105="",$Q105="",$T105="",$W105="",$U105=""),"",ROUND(IF($E105="",0,IF($E105&lt;Einstellungen!$B$21,0,IF($E105&gt;=Einstellungen!$B$22,100,($E105-Einstellungen!$B$21)/(Einstellungen!$B$22-Einstellungen!$B$21)*100)))/100*Einstellungen!$B$5+IF($W105="",0,$W105/100)*Einstellungen!$B$6+(IF($G105="",0,MAX(0,MIN(100,($G105-Einstellungen!$B$25)/(Einstellungen!$B$26-Einstellungen!$B$25)*100)))+IF($I105="",0,MAX(0,MIN(100,($I105-Einstellungen!$B$27)/(Einstellungen!$B$28-Einstellungen!$B$27)*100))))/2/100*Einstellungen!$B$7+IF($V105="",0,$V105/100)*Einstellungen!$B$8+IF($R105="",0,MAX(0,MIN(100,(Einstellungen!$B$32-$R105)/(Einstellungen!$B$32-Einstellungen!$B$31)*100)))/100*Einstellungen!$B$9+IF($D105="",0,$D105/5*100)/100*Einstellungen!$B$10+IF($AD105="",0,$AD105)/100*Einstellungen!$B$11+IF($U105="",0,$U105/5*100)/100*Einstellungen!$B$12,0))</f>
        <v/>
      </c>
      <c r="Y105">
        <f>IF($X105="","",$X105*1000000000000+IF($G105="",0,$G105)*1000000+IF($H105="",0,$H105)*1000+IF($I105="",0,$I105)+IF($N105="",0,MAX(0,1000-$N105))/1000+IF($A105="",0,$A105)/1000000)</f>
        <v/>
      </c>
      <c r="Z105">
        <f>IF($Y105="","",_xludf.RANK.EQ($Y105,$Y$2:$Y$201,0))</f>
        <v/>
      </c>
    </row>
    <row r="106">
      <c r="R106">
        <f>IFERROR(IF($Q106="","",$Q106/$H106),"")</f>
        <v/>
      </c>
      <c r="S106">
        <f>IFERROR(IF($Q106="","",$Q106/$G106),"")</f>
        <v/>
      </c>
      <c r="W106">
        <f>IF(AND($L106="",$N106="",$P106=""),"",ROUND((IF($L106="",0,IF($L106&lt;=Einstellungen!$B$16,100,IF($L106&lt;=Einstellungen!$C$16,80+(100-80)*(Einstellungen!$C$16-$L106)/(Einstellungen!$C$16-Einstellungen!$B$16),IF($L106&lt;=Einstellungen!$D$16,80*(Einstellungen!$D$16-$L106)/(Einstellungen!$D$16-Einstellungen!$C$16),0))))*Einstellungen!$E$16+IF($N106="",0,IF($N106&lt;=Einstellungen!$B$17,100,IF($N106&lt;=Einstellungen!$C$17,80+(100-80)*(Einstellungen!$C$17-$N106)/(Einstellungen!$C$17-Einstellungen!$B$17),IF($N106&lt;=Einstellungen!$D$17,80*(Einstellungen!$D$17-$N106)/(Einstellungen!$D$17-Einstellungen!$C$17),0))))*Einstellungen!$E$17+IF($P106="",0,IF($P106&lt;=Einstellungen!$B$18,100,IF($P106&lt;=Einstellungen!$C$18,80+(100-80)*(Einstellungen!$C$18-$P106)/(Einstellungen!$C$18-Einstellungen!$B$18),IF($P106&lt;=Einstellungen!$D$18,80*(Einstellungen!$D$18-$P106)/(Einstellungen!$D$18-Einstellungen!$C$18),0))))*Einstellungen!$E$18)/(Einstellungen!$E$16+Einstellungen!$E$17+Einstellungen!$E$18),0))</f>
        <v/>
      </c>
      <c r="X106">
        <f>IF(AND($E106="",$D106="",$G106="",$V106="",$Q106="",$T106="",$W106="",$U106=""),"",ROUND(IF($E106="",0,IF($E106&lt;Einstellungen!$B$21,0,IF($E106&gt;=Einstellungen!$B$22,100,($E106-Einstellungen!$B$21)/(Einstellungen!$B$22-Einstellungen!$B$21)*100)))/100*Einstellungen!$B$5+IF($W106="",0,$W106/100)*Einstellungen!$B$6+(IF($G106="",0,MAX(0,MIN(100,($G106-Einstellungen!$B$25)/(Einstellungen!$B$26-Einstellungen!$B$25)*100)))+IF($I106="",0,MAX(0,MIN(100,($I106-Einstellungen!$B$27)/(Einstellungen!$B$28-Einstellungen!$B$27)*100))))/2/100*Einstellungen!$B$7+IF($V106="",0,$V106/100)*Einstellungen!$B$8+IF($R106="",0,MAX(0,MIN(100,(Einstellungen!$B$32-$R106)/(Einstellungen!$B$32-Einstellungen!$B$31)*100)))/100*Einstellungen!$B$9+IF($D106="",0,$D106/5*100)/100*Einstellungen!$B$10+IF($AD106="",0,$AD106)/100*Einstellungen!$B$11+IF($U106="",0,$U106/5*100)/100*Einstellungen!$B$12,0))</f>
        <v/>
      </c>
      <c r="Y106">
        <f>IF($X106="","",$X106*1000000000000+IF($G106="",0,$G106)*1000000+IF($H106="",0,$H106)*1000+IF($I106="",0,$I106)+IF($N106="",0,MAX(0,1000-$N106))/1000+IF($A106="",0,$A106)/1000000)</f>
        <v/>
      </c>
      <c r="Z106">
        <f>IF($Y106="","",_xludf.RANK.EQ($Y106,$Y$2:$Y$201,0))</f>
        <v/>
      </c>
    </row>
    <row r="107">
      <c r="R107">
        <f>IFERROR(IF($Q107="","",$Q107/$H107),"")</f>
        <v/>
      </c>
      <c r="S107">
        <f>IFERROR(IF($Q107="","",$Q107/$G107),"")</f>
        <v/>
      </c>
      <c r="W107">
        <f>IF(AND($L107="",$N107="",$P107=""),"",ROUND((IF($L107="",0,IF($L107&lt;=Einstellungen!$B$16,100,IF($L107&lt;=Einstellungen!$C$16,80+(100-80)*(Einstellungen!$C$16-$L107)/(Einstellungen!$C$16-Einstellungen!$B$16),IF($L107&lt;=Einstellungen!$D$16,80*(Einstellungen!$D$16-$L107)/(Einstellungen!$D$16-Einstellungen!$C$16),0))))*Einstellungen!$E$16+IF($N107="",0,IF($N107&lt;=Einstellungen!$B$17,100,IF($N107&lt;=Einstellungen!$C$17,80+(100-80)*(Einstellungen!$C$17-$N107)/(Einstellungen!$C$17-Einstellungen!$B$17),IF($N107&lt;=Einstellungen!$D$17,80*(Einstellungen!$D$17-$N107)/(Einstellungen!$D$17-Einstellungen!$C$17),0))))*Einstellungen!$E$17+IF($P107="",0,IF($P107&lt;=Einstellungen!$B$18,100,IF($P107&lt;=Einstellungen!$C$18,80+(100-80)*(Einstellungen!$C$18-$P107)/(Einstellungen!$C$18-Einstellungen!$B$18),IF($P107&lt;=Einstellungen!$D$18,80*(Einstellungen!$D$18-$P107)/(Einstellungen!$D$18-Einstellungen!$C$18),0))))*Einstellungen!$E$18)/(Einstellungen!$E$16+Einstellungen!$E$17+Einstellungen!$E$18),0))</f>
        <v/>
      </c>
      <c r="X107">
        <f>IF(AND($E107="",$D107="",$G107="",$V107="",$Q107="",$T107="",$W107="",$U107=""),"",ROUND(IF($E107="",0,IF($E107&lt;Einstellungen!$B$21,0,IF($E107&gt;=Einstellungen!$B$22,100,($E107-Einstellungen!$B$21)/(Einstellungen!$B$22-Einstellungen!$B$21)*100)))/100*Einstellungen!$B$5+IF($W107="",0,$W107/100)*Einstellungen!$B$6+(IF($G107="",0,MAX(0,MIN(100,($G107-Einstellungen!$B$25)/(Einstellungen!$B$26-Einstellungen!$B$25)*100)))+IF($I107="",0,MAX(0,MIN(100,($I107-Einstellungen!$B$27)/(Einstellungen!$B$28-Einstellungen!$B$27)*100))))/2/100*Einstellungen!$B$7+IF($V107="",0,$V107/100)*Einstellungen!$B$8+IF($R107="",0,MAX(0,MIN(100,(Einstellungen!$B$32-$R107)/(Einstellungen!$B$32-Einstellungen!$B$31)*100)))/100*Einstellungen!$B$9+IF($D107="",0,$D107/5*100)/100*Einstellungen!$B$10+IF($AD107="",0,$AD107)/100*Einstellungen!$B$11+IF($U107="",0,$U107/5*100)/100*Einstellungen!$B$12,0))</f>
        <v/>
      </c>
      <c r="Y107">
        <f>IF($X107="","",$X107*1000000000000+IF($G107="",0,$G107)*1000000+IF($H107="",0,$H107)*1000+IF($I107="",0,$I107)+IF($N107="",0,MAX(0,1000-$N107))/1000+IF($A107="",0,$A107)/1000000)</f>
        <v/>
      </c>
      <c r="Z107">
        <f>IF($Y107="","",_xludf.RANK.EQ($Y107,$Y$2:$Y$201,0))</f>
        <v/>
      </c>
    </row>
    <row r="108">
      <c r="R108">
        <f>IFERROR(IF($Q108="","",$Q108/$H108),"")</f>
        <v/>
      </c>
      <c r="S108">
        <f>IFERROR(IF($Q108="","",$Q108/$G108),"")</f>
        <v/>
      </c>
      <c r="W108">
        <f>IF(AND($L108="",$N108="",$P108=""),"",ROUND((IF($L108="",0,IF($L108&lt;=Einstellungen!$B$16,100,IF($L108&lt;=Einstellungen!$C$16,80+(100-80)*(Einstellungen!$C$16-$L108)/(Einstellungen!$C$16-Einstellungen!$B$16),IF($L108&lt;=Einstellungen!$D$16,80*(Einstellungen!$D$16-$L108)/(Einstellungen!$D$16-Einstellungen!$C$16),0))))*Einstellungen!$E$16+IF($N108="",0,IF($N108&lt;=Einstellungen!$B$17,100,IF($N108&lt;=Einstellungen!$C$17,80+(100-80)*(Einstellungen!$C$17-$N108)/(Einstellungen!$C$17-Einstellungen!$B$17),IF($N108&lt;=Einstellungen!$D$17,80*(Einstellungen!$D$17-$N108)/(Einstellungen!$D$17-Einstellungen!$C$17),0))))*Einstellungen!$E$17+IF($P108="",0,IF($P108&lt;=Einstellungen!$B$18,100,IF($P108&lt;=Einstellungen!$C$18,80+(100-80)*(Einstellungen!$C$18-$P108)/(Einstellungen!$C$18-Einstellungen!$B$18),IF($P108&lt;=Einstellungen!$D$18,80*(Einstellungen!$D$18-$P108)/(Einstellungen!$D$18-Einstellungen!$C$18),0))))*Einstellungen!$E$18)/(Einstellungen!$E$16+Einstellungen!$E$17+Einstellungen!$E$18),0))</f>
        <v/>
      </c>
      <c r="X108">
        <f>IF(AND($E108="",$D108="",$G108="",$V108="",$Q108="",$T108="",$W108="",$U108=""),"",ROUND(IF($E108="",0,IF($E108&lt;Einstellungen!$B$21,0,IF($E108&gt;=Einstellungen!$B$22,100,($E108-Einstellungen!$B$21)/(Einstellungen!$B$22-Einstellungen!$B$21)*100)))/100*Einstellungen!$B$5+IF($W108="",0,$W108/100)*Einstellungen!$B$6+(IF($G108="",0,MAX(0,MIN(100,($G108-Einstellungen!$B$25)/(Einstellungen!$B$26-Einstellungen!$B$25)*100)))+IF($I108="",0,MAX(0,MIN(100,($I108-Einstellungen!$B$27)/(Einstellungen!$B$28-Einstellungen!$B$27)*100))))/2/100*Einstellungen!$B$7+IF($V108="",0,$V108/100)*Einstellungen!$B$8+IF($R108="",0,MAX(0,MIN(100,(Einstellungen!$B$32-$R108)/(Einstellungen!$B$32-Einstellungen!$B$31)*100)))/100*Einstellungen!$B$9+IF($D108="",0,$D108/5*100)/100*Einstellungen!$B$10+IF($AD108="",0,$AD108)/100*Einstellungen!$B$11+IF($U108="",0,$U108/5*100)/100*Einstellungen!$B$12,0))</f>
        <v/>
      </c>
      <c r="Y108">
        <f>IF($X108="","",$X108*1000000000000+IF($G108="",0,$G108)*1000000+IF($H108="",0,$H108)*1000+IF($I108="",0,$I108)+IF($N108="",0,MAX(0,1000-$N108))/1000+IF($A108="",0,$A108)/1000000)</f>
        <v/>
      </c>
      <c r="Z108">
        <f>IF($Y108="","",_xludf.RANK.EQ($Y108,$Y$2:$Y$201,0))</f>
        <v/>
      </c>
    </row>
    <row r="109">
      <c r="R109">
        <f>IFERROR(IF($Q109="","",$Q109/$H109),"")</f>
        <v/>
      </c>
      <c r="S109">
        <f>IFERROR(IF($Q109="","",$Q109/$G109),"")</f>
        <v/>
      </c>
      <c r="W109">
        <f>IF(AND($L109="",$N109="",$P109=""),"",ROUND((IF($L109="",0,IF($L109&lt;=Einstellungen!$B$16,100,IF($L109&lt;=Einstellungen!$C$16,80+(100-80)*(Einstellungen!$C$16-$L109)/(Einstellungen!$C$16-Einstellungen!$B$16),IF($L109&lt;=Einstellungen!$D$16,80*(Einstellungen!$D$16-$L109)/(Einstellungen!$D$16-Einstellungen!$C$16),0))))*Einstellungen!$E$16+IF($N109="",0,IF($N109&lt;=Einstellungen!$B$17,100,IF($N109&lt;=Einstellungen!$C$17,80+(100-80)*(Einstellungen!$C$17-$N109)/(Einstellungen!$C$17-Einstellungen!$B$17),IF($N109&lt;=Einstellungen!$D$17,80*(Einstellungen!$D$17-$N109)/(Einstellungen!$D$17-Einstellungen!$C$17),0))))*Einstellungen!$E$17+IF($P109="",0,IF($P109&lt;=Einstellungen!$B$18,100,IF($P109&lt;=Einstellungen!$C$18,80+(100-80)*(Einstellungen!$C$18-$P109)/(Einstellungen!$C$18-Einstellungen!$B$18),IF($P109&lt;=Einstellungen!$D$18,80*(Einstellungen!$D$18-$P109)/(Einstellungen!$D$18-Einstellungen!$C$18),0))))*Einstellungen!$E$18)/(Einstellungen!$E$16+Einstellungen!$E$17+Einstellungen!$E$18),0))</f>
        <v/>
      </c>
      <c r="X109">
        <f>IF(AND($E109="",$D109="",$G109="",$V109="",$Q109="",$T109="",$W109="",$U109=""),"",ROUND(IF($E109="",0,IF($E109&lt;Einstellungen!$B$21,0,IF($E109&gt;=Einstellungen!$B$22,100,($E109-Einstellungen!$B$21)/(Einstellungen!$B$22-Einstellungen!$B$21)*100)))/100*Einstellungen!$B$5+IF($W109="",0,$W109/100)*Einstellungen!$B$6+(IF($G109="",0,MAX(0,MIN(100,($G109-Einstellungen!$B$25)/(Einstellungen!$B$26-Einstellungen!$B$25)*100)))+IF($I109="",0,MAX(0,MIN(100,($I109-Einstellungen!$B$27)/(Einstellungen!$B$28-Einstellungen!$B$27)*100))))/2/100*Einstellungen!$B$7+IF($V109="",0,$V109/100)*Einstellungen!$B$8+IF($R109="",0,MAX(0,MIN(100,(Einstellungen!$B$32-$R109)/(Einstellungen!$B$32-Einstellungen!$B$31)*100)))/100*Einstellungen!$B$9+IF($D109="",0,$D109/5*100)/100*Einstellungen!$B$10+IF($AD109="",0,$AD109)/100*Einstellungen!$B$11+IF($U109="",0,$U109/5*100)/100*Einstellungen!$B$12,0))</f>
        <v/>
      </c>
      <c r="Y109">
        <f>IF($X109="","",$X109*1000000000000+IF($G109="",0,$G109)*1000000+IF($H109="",0,$H109)*1000+IF($I109="",0,$I109)+IF($N109="",0,MAX(0,1000-$N109))/1000+IF($A109="",0,$A109)/1000000)</f>
        <v/>
      </c>
      <c r="Z109">
        <f>IF($Y109="","",_xludf.RANK.EQ($Y109,$Y$2:$Y$201,0))</f>
        <v/>
      </c>
    </row>
    <row r="110">
      <c r="R110">
        <f>IFERROR(IF($Q110="","",$Q110/$H110),"")</f>
        <v/>
      </c>
      <c r="S110">
        <f>IFERROR(IF($Q110="","",$Q110/$G110),"")</f>
        <v/>
      </c>
      <c r="W110">
        <f>IF(AND($L110="",$N110="",$P110=""),"",ROUND((IF($L110="",0,IF($L110&lt;=Einstellungen!$B$16,100,IF($L110&lt;=Einstellungen!$C$16,80+(100-80)*(Einstellungen!$C$16-$L110)/(Einstellungen!$C$16-Einstellungen!$B$16),IF($L110&lt;=Einstellungen!$D$16,80*(Einstellungen!$D$16-$L110)/(Einstellungen!$D$16-Einstellungen!$C$16),0))))*Einstellungen!$E$16+IF($N110="",0,IF($N110&lt;=Einstellungen!$B$17,100,IF($N110&lt;=Einstellungen!$C$17,80+(100-80)*(Einstellungen!$C$17-$N110)/(Einstellungen!$C$17-Einstellungen!$B$17),IF($N110&lt;=Einstellungen!$D$17,80*(Einstellungen!$D$17-$N110)/(Einstellungen!$D$17-Einstellungen!$C$17),0))))*Einstellungen!$E$17+IF($P110="",0,IF($P110&lt;=Einstellungen!$B$18,100,IF($P110&lt;=Einstellungen!$C$18,80+(100-80)*(Einstellungen!$C$18-$P110)/(Einstellungen!$C$18-Einstellungen!$B$18),IF($P110&lt;=Einstellungen!$D$18,80*(Einstellungen!$D$18-$P110)/(Einstellungen!$D$18-Einstellungen!$C$18),0))))*Einstellungen!$E$18)/(Einstellungen!$E$16+Einstellungen!$E$17+Einstellungen!$E$18),0))</f>
        <v/>
      </c>
      <c r="X110">
        <f>IF(AND($E110="",$D110="",$G110="",$V110="",$Q110="",$T110="",$W110="",$U110=""),"",ROUND(IF($E110="",0,IF($E110&lt;Einstellungen!$B$21,0,IF($E110&gt;=Einstellungen!$B$22,100,($E110-Einstellungen!$B$21)/(Einstellungen!$B$22-Einstellungen!$B$21)*100)))/100*Einstellungen!$B$5+IF($W110="",0,$W110/100)*Einstellungen!$B$6+(IF($G110="",0,MAX(0,MIN(100,($G110-Einstellungen!$B$25)/(Einstellungen!$B$26-Einstellungen!$B$25)*100)))+IF($I110="",0,MAX(0,MIN(100,($I110-Einstellungen!$B$27)/(Einstellungen!$B$28-Einstellungen!$B$27)*100))))/2/100*Einstellungen!$B$7+IF($V110="",0,$V110/100)*Einstellungen!$B$8+IF($R110="",0,MAX(0,MIN(100,(Einstellungen!$B$32-$R110)/(Einstellungen!$B$32-Einstellungen!$B$31)*100)))/100*Einstellungen!$B$9+IF($D110="",0,$D110/5*100)/100*Einstellungen!$B$10+IF($AD110="",0,$AD110)/100*Einstellungen!$B$11+IF($U110="",0,$U110/5*100)/100*Einstellungen!$B$12,0))</f>
        <v/>
      </c>
      <c r="Y110">
        <f>IF($X110="","",$X110*1000000000000+IF($G110="",0,$G110)*1000000+IF($H110="",0,$H110)*1000+IF($I110="",0,$I110)+IF($N110="",0,MAX(0,1000-$N110))/1000+IF($A110="",0,$A110)/1000000)</f>
        <v/>
      </c>
      <c r="Z110">
        <f>IF($Y110="","",_xludf.RANK.EQ($Y110,$Y$2:$Y$201,0))</f>
        <v/>
      </c>
    </row>
    <row r="111">
      <c r="R111">
        <f>IFERROR(IF($Q111="","",$Q111/$H111),"")</f>
        <v/>
      </c>
      <c r="S111">
        <f>IFERROR(IF($Q111="","",$Q111/$G111),"")</f>
        <v/>
      </c>
      <c r="W111">
        <f>IF(AND($L111="",$N111="",$P111=""),"",ROUND((IF($L111="",0,IF($L111&lt;=Einstellungen!$B$16,100,IF($L111&lt;=Einstellungen!$C$16,80+(100-80)*(Einstellungen!$C$16-$L111)/(Einstellungen!$C$16-Einstellungen!$B$16),IF($L111&lt;=Einstellungen!$D$16,80*(Einstellungen!$D$16-$L111)/(Einstellungen!$D$16-Einstellungen!$C$16),0))))*Einstellungen!$E$16+IF($N111="",0,IF($N111&lt;=Einstellungen!$B$17,100,IF($N111&lt;=Einstellungen!$C$17,80+(100-80)*(Einstellungen!$C$17-$N111)/(Einstellungen!$C$17-Einstellungen!$B$17),IF($N111&lt;=Einstellungen!$D$17,80*(Einstellungen!$D$17-$N111)/(Einstellungen!$D$17-Einstellungen!$C$17),0))))*Einstellungen!$E$17+IF($P111="",0,IF($P111&lt;=Einstellungen!$B$18,100,IF($P111&lt;=Einstellungen!$C$18,80+(100-80)*(Einstellungen!$C$18-$P111)/(Einstellungen!$C$18-Einstellungen!$B$18),IF($P111&lt;=Einstellungen!$D$18,80*(Einstellungen!$D$18-$P111)/(Einstellungen!$D$18-Einstellungen!$C$18),0))))*Einstellungen!$E$18)/(Einstellungen!$E$16+Einstellungen!$E$17+Einstellungen!$E$18),0))</f>
        <v/>
      </c>
      <c r="X111">
        <f>IF(AND($E111="",$D111="",$G111="",$V111="",$Q111="",$T111="",$W111="",$U111=""),"",ROUND(IF($E111="",0,IF($E111&lt;Einstellungen!$B$21,0,IF($E111&gt;=Einstellungen!$B$22,100,($E111-Einstellungen!$B$21)/(Einstellungen!$B$22-Einstellungen!$B$21)*100)))/100*Einstellungen!$B$5+IF($W111="",0,$W111/100)*Einstellungen!$B$6+(IF($G111="",0,MAX(0,MIN(100,($G111-Einstellungen!$B$25)/(Einstellungen!$B$26-Einstellungen!$B$25)*100)))+IF($I111="",0,MAX(0,MIN(100,($I111-Einstellungen!$B$27)/(Einstellungen!$B$28-Einstellungen!$B$27)*100))))/2/100*Einstellungen!$B$7+IF($V111="",0,$V111/100)*Einstellungen!$B$8+IF($R111="",0,MAX(0,MIN(100,(Einstellungen!$B$32-$R111)/(Einstellungen!$B$32-Einstellungen!$B$31)*100)))/100*Einstellungen!$B$9+IF($D111="",0,$D111/5*100)/100*Einstellungen!$B$10+IF($AD111="",0,$AD111)/100*Einstellungen!$B$11+IF($U111="",0,$U111/5*100)/100*Einstellungen!$B$12,0))</f>
        <v/>
      </c>
      <c r="Y111">
        <f>IF($X111="","",$X111*1000000000000+IF($G111="",0,$G111)*1000000+IF($H111="",0,$H111)*1000+IF($I111="",0,$I111)+IF($N111="",0,MAX(0,1000-$N111))/1000+IF($A111="",0,$A111)/1000000)</f>
        <v/>
      </c>
      <c r="Z111">
        <f>IF($Y111="","",_xludf.RANK.EQ($Y111,$Y$2:$Y$201,0))</f>
        <v/>
      </c>
    </row>
    <row r="112">
      <c r="R112">
        <f>IFERROR(IF($Q112="","",$Q112/$H112),"")</f>
        <v/>
      </c>
      <c r="S112">
        <f>IFERROR(IF($Q112="","",$Q112/$G112),"")</f>
        <v/>
      </c>
      <c r="W112">
        <f>IF(AND($L112="",$N112="",$P112=""),"",ROUND((IF($L112="",0,IF($L112&lt;=Einstellungen!$B$16,100,IF($L112&lt;=Einstellungen!$C$16,80+(100-80)*(Einstellungen!$C$16-$L112)/(Einstellungen!$C$16-Einstellungen!$B$16),IF($L112&lt;=Einstellungen!$D$16,80*(Einstellungen!$D$16-$L112)/(Einstellungen!$D$16-Einstellungen!$C$16),0))))*Einstellungen!$E$16+IF($N112="",0,IF($N112&lt;=Einstellungen!$B$17,100,IF($N112&lt;=Einstellungen!$C$17,80+(100-80)*(Einstellungen!$C$17-$N112)/(Einstellungen!$C$17-Einstellungen!$B$17),IF($N112&lt;=Einstellungen!$D$17,80*(Einstellungen!$D$17-$N112)/(Einstellungen!$D$17-Einstellungen!$C$17),0))))*Einstellungen!$E$17+IF($P112="",0,IF($P112&lt;=Einstellungen!$B$18,100,IF($P112&lt;=Einstellungen!$C$18,80+(100-80)*(Einstellungen!$C$18-$P112)/(Einstellungen!$C$18-Einstellungen!$B$18),IF($P112&lt;=Einstellungen!$D$18,80*(Einstellungen!$D$18-$P112)/(Einstellungen!$D$18-Einstellungen!$C$18),0))))*Einstellungen!$E$18)/(Einstellungen!$E$16+Einstellungen!$E$17+Einstellungen!$E$18),0))</f>
        <v/>
      </c>
      <c r="X112">
        <f>IF(AND($E112="",$D112="",$G112="",$V112="",$Q112="",$T112="",$W112="",$U112=""),"",ROUND(IF($E112="",0,IF($E112&lt;Einstellungen!$B$21,0,IF($E112&gt;=Einstellungen!$B$22,100,($E112-Einstellungen!$B$21)/(Einstellungen!$B$22-Einstellungen!$B$21)*100)))/100*Einstellungen!$B$5+IF($W112="",0,$W112/100)*Einstellungen!$B$6+(IF($G112="",0,MAX(0,MIN(100,($G112-Einstellungen!$B$25)/(Einstellungen!$B$26-Einstellungen!$B$25)*100)))+IF($I112="",0,MAX(0,MIN(100,($I112-Einstellungen!$B$27)/(Einstellungen!$B$28-Einstellungen!$B$27)*100))))/2/100*Einstellungen!$B$7+IF($V112="",0,$V112/100)*Einstellungen!$B$8+IF($R112="",0,MAX(0,MIN(100,(Einstellungen!$B$32-$R112)/(Einstellungen!$B$32-Einstellungen!$B$31)*100)))/100*Einstellungen!$B$9+IF($D112="",0,$D112/5*100)/100*Einstellungen!$B$10+IF($AD112="",0,$AD112)/100*Einstellungen!$B$11+IF($U112="",0,$U112/5*100)/100*Einstellungen!$B$12,0))</f>
        <v/>
      </c>
      <c r="Y112">
        <f>IF($X112="","",$X112*1000000000000+IF($G112="",0,$G112)*1000000+IF($H112="",0,$H112)*1000+IF($I112="",0,$I112)+IF($N112="",0,MAX(0,1000-$N112))/1000+IF($A112="",0,$A112)/1000000)</f>
        <v/>
      </c>
      <c r="Z112">
        <f>IF($Y112="","",_xludf.RANK.EQ($Y112,$Y$2:$Y$201,0))</f>
        <v/>
      </c>
    </row>
    <row r="113">
      <c r="R113">
        <f>IFERROR(IF($Q113="","",$Q113/$H113),"")</f>
        <v/>
      </c>
      <c r="S113">
        <f>IFERROR(IF($Q113="","",$Q113/$G113),"")</f>
        <v/>
      </c>
      <c r="W113">
        <f>IF(AND($L113="",$N113="",$P113=""),"",ROUND((IF($L113="",0,IF($L113&lt;=Einstellungen!$B$16,100,IF($L113&lt;=Einstellungen!$C$16,80+(100-80)*(Einstellungen!$C$16-$L113)/(Einstellungen!$C$16-Einstellungen!$B$16),IF($L113&lt;=Einstellungen!$D$16,80*(Einstellungen!$D$16-$L113)/(Einstellungen!$D$16-Einstellungen!$C$16),0))))*Einstellungen!$E$16+IF($N113="",0,IF($N113&lt;=Einstellungen!$B$17,100,IF($N113&lt;=Einstellungen!$C$17,80+(100-80)*(Einstellungen!$C$17-$N113)/(Einstellungen!$C$17-Einstellungen!$B$17),IF($N113&lt;=Einstellungen!$D$17,80*(Einstellungen!$D$17-$N113)/(Einstellungen!$D$17-Einstellungen!$C$17),0))))*Einstellungen!$E$17+IF($P113="",0,IF($P113&lt;=Einstellungen!$B$18,100,IF($P113&lt;=Einstellungen!$C$18,80+(100-80)*(Einstellungen!$C$18-$P113)/(Einstellungen!$C$18-Einstellungen!$B$18),IF($P113&lt;=Einstellungen!$D$18,80*(Einstellungen!$D$18-$P113)/(Einstellungen!$D$18-Einstellungen!$C$18),0))))*Einstellungen!$E$18)/(Einstellungen!$E$16+Einstellungen!$E$17+Einstellungen!$E$18),0))</f>
        <v/>
      </c>
      <c r="X113">
        <f>IF(AND($E113="",$D113="",$G113="",$V113="",$Q113="",$T113="",$W113="",$U113=""),"",ROUND(IF($E113="",0,IF($E113&lt;Einstellungen!$B$21,0,IF($E113&gt;=Einstellungen!$B$22,100,($E113-Einstellungen!$B$21)/(Einstellungen!$B$22-Einstellungen!$B$21)*100)))/100*Einstellungen!$B$5+IF($W113="",0,$W113/100)*Einstellungen!$B$6+(IF($G113="",0,MAX(0,MIN(100,($G113-Einstellungen!$B$25)/(Einstellungen!$B$26-Einstellungen!$B$25)*100)))+IF($I113="",0,MAX(0,MIN(100,($I113-Einstellungen!$B$27)/(Einstellungen!$B$28-Einstellungen!$B$27)*100))))/2/100*Einstellungen!$B$7+IF($V113="",0,$V113/100)*Einstellungen!$B$8+IF($R113="",0,MAX(0,MIN(100,(Einstellungen!$B$32-$R113)/(Einstellungen!$B$32-Einstellungen!$B$31)*100)))/100*Einstellungen!$B$9+IF($D113="",0,$D113/5*100)/100*Einstellungen!$B$10+IF($AD113="",0,$AD113)/100*Einstellungen!$B$11+IF($U113="",0,$U113/5*100)/100*Einstellungen!$B$12,0))</f>
        <v/>
      </c>
      <c r="Y113">
        <f>IF($X113="","",$X113*1000000000000+IF($G113="",0,$G113)*1000000+IF($H113="",0,$H113)*1000+IF($I113="",0,$I113)+IF($N113="",0,MAX(0,1000-$N113))/1000+IF($A113="",0,$A113)/1000000)</f>
        <v/>
      </c>
      <c r="Z113">
        <f>IF($Y113="","",_xludf.RANK.EQ($Y113,$Y$2:$Y$201,0))</f>
        <v/>
      </c>
    </row>
    <row r="114">
      <c r="R114">
        <f>IFERROR(IF($Q114="","",$Q114/$H114),"")</f>
        <v/>
      </c>
      <c r="S114">
        <f>IFERROR(IF($Q114="","",$Q114/$G114),"")</f>
        <v/>
      </c>
      <c r="W114">
        <f>IF(AND($L114="",$N114="",$P114=""),"",ROUND((IF($L114="",0,IF($L114&lt;=Einstellungen!$B$16,100,IF($L114&lt;=Einstellungen!$C$16,80+(100-80)*(Einstellungen!$C$16-$L114)/(Einstellungen!$C$16-Einstellungen!$B$16),IF($L114&lt;=Einstellungen!$D$16,80*(Einstellungen!$D$16-$L114)/(Einstellungen!$D$16-Einstellungen!$C$16),0))))*Einstellungen!$E$16+IF($N114="",0,IF($N114&lt;=Einstellungen!$B$17,100,IF($N114&lt;=Einstellungen!$C$17,80+(100-80)*(Einstellungen!$C$17-$N114)/(Einstellungen!$C$17-Einstellungen!$B$17),IF($N114&lt;=Einstellungen!$D$17,80*(Einstellungen!$D$17-$N114)/(Einstellungen!$D$17-Einstellungen!$C$17),0))))*Einstellungen!$E$17+IF($P114="",0,IF($P114&lt;=Einstellungen!$B$18,100,IF($P114&lt;=Einstellungen!$C$18,80+(100-80)*(Einstellungen!$C$18-$P114)/(Einstellungen!$C$18-Einstellungen!$B$18),IF($P114&lt;=Einstellungen!$D$18,80*(Einstellungen!$D$18-$P114)/(Einstellungen!$D$18-Einstellungen!$C$18),0))))*Einstellungen!$E$18)/(Einstellungen!$E$16+Einstellungen!$E$17+Einstellungen!$E$18),0))</f>
        <v/>
      </c>
      <c r="X114">
        <f>IF(AND($E114="",$D114="",$G114="",$V114="",$Q114="",$T114="",$W114="",$U114=""),"",ROUND(IF($E114="",0,IF($E114&lt;Einstellungen!$B$21,0,IF($E114&gt;=Einstellungen!$B$22,100,($E114-Einstellungen!$B$21)/(Einstellungen!$B$22-Einstellungen!$B$21)*100)))/100*Einstellungen!$B$5+IF($W114="",0,$W114/100)*Einstellungen!$B$6+(IF($G114="",0,MAX(0,MIN(100,($G114-Einstellungen!$B$25)/(Einstellungen!$B$26-Einstellungen!$B$25)*100)))+IF($I114="",0,MAX(0,MIN(100,($I114-Einstellungen!$B$27)/(Einstellungen!$B$28-Einstellungen!$B$27)*100))))/2/100*Einstellungen!$B$7+IF($V114="",0,$V114/100)*Einstellungen!$B$8+IF($R114="",0,MAX(0,MIN(100,(Einstellungen!$B$32-$R114)/(Einstellungen!$B$32-Einstellungen!$B$31)*100)))/100*Einstellungen!$B$9+IF($D114="",0,$D114/5*100)/100*Einstellungen!$B$10+IF($AD114="",0,$AD114)/100*Einstellungen!$B$11+IF($U114="",0,$U114/5*100)/100*Einstellungen!$B$12,0))</f>
        <v/>
      </c>
      <c r="Y114">
        <f>IF($X114="","",$X114*1000000000000+IF($G114="",0,$G114)*1000000+IF($H114="",0,$H114)*1000+IF($I114="",0,$I114)+IF($N114="",0,MAX(0,1000-$N114))/1000+IF($A114="",0,$A114)/1000000)</f>
        <v/>
      </c>
      <c r="Z114">
        <f>IF($Y114="","",_xludf.RANK.EQ($Y114,$Y$2:$Y$201,0))</f>
        <v/>
      </c>
    </row>
    <row r="115">
      <c r="R115">
        <f>IFERROR(IF($Q115="","",$Q115/$H115),"")</f>
        <v/>
      </c>
      <c r="S115">
        <f>IFERROR(IF($Q115="","",$Q115/$G115),"")</f>
        <v/>
      </c>
      <c r="W115">
        <f>IF(AND($L115="",$N115="",$P115=""),"",ROUND((IF($L115="",0,IF($L115&lt;=Einstellungen!$B$16,100,IF($L115&lt;=Einstellungen!$C$16,80+(100-80)*(Einstellungen!$C$16-$L115)/(Einstellungen!$C$16-Einstellungen!$B$16),IF($L115&lt;=Einstellungen!$D$16,80*(Einstellungen!$D$16-$L115)/(Einstellungen!$D$16-Einstellungen!$C$16),0))))*Einstellungen!$E$16+IF($N115="",0,IF($N115&lt;=Einstellungen!$B$17,100,IF($N115&lt;=Einstellungen!$C$17,80+(100-80)*(Einstellungen!$C$17-$N115)/(Einstellungen!$C$17-Einstellungen!$B$17),IF($N115&lt;=Einstellungen!$D$17,80*(Einstellungen!$D$17-$N115)/(Einstellungen!$D$17-Einstellungen!$C$17),0))))*Einstellungen!$E$17+IF($P115="",0,IF($P115&lt;=Einstellungen!$B$18,100,IF($P115&lt;=Einstellungen!$C$18,80+(100-80)*(Einstellungen!$C$18-$P115)/(Einstellungen!$C$18-Einstellungen!$B$18),IF($P115&lt;=Einstellungen!$D$18,80*(Einstellungen!$D$18-$P115)/(Einstellungen!$D$18-Einstellungen!$C$18),0))))*Einstellungen!$E$18)/(Einstellungen!$E$16+Einstellungen!$E$17+Einstellungen!$E$18),0))</f>
        <v/>
      </c>
      <c r="X115">
        <f>IF(AND($E115="",$D115="",$G115="",$V115="",$Q115="",$T115="",$W115="",$U115=""),"",ROUND(IF($E115="",0,IF($E115&lt;Einstellungen!$B$21,0,IF($E115&gt;=Einstellungen!$B$22,100,($E115-Einstellungen!$B$21)/(Einstellungen!$B$22-Einstellungen!$B$21)*100)))/100*Einstellungen!$B$5+IF($W115="",0,$W115/100)*Einstellungen!$B$6+(IF($G115="",0,MAX(0,MIN(100,($G115-Einstellungen!$B$25)/(Einstellungen!$B$26-Einstellungen!$B$25)*100)))+IF($I115="",0,MAX(0,MIN(100,($I115-Einstellungen!$B$27)/(Einstellungen!$B$28-Einstellungen!$B$27)*100))))/2/100*Einstellungen!$B$7+IF($V115="",0,$V115/100)*Einstellungen!$B$8+IF($R115="",0,MAX(0,MIN(100,(Einstellungen!$B$32-$R115)/(Einstellungen!$B$32-Einstellungen!$B$31)*100)))/100*Einstellungen!$B$9+IF($D115="",0,$D115/5*100)/100*Einstellungen!$B$10+IF($AD115="",0,$AD115)/100*Einstellungen!$B$11+IF($U115="",0,$U115/5*100)/100*Einstellungen!$B$12,0))</f>
        <v/>
      </c>
      <c r="Y115">
        <f>IF($X115="","",$X115*1000000000000+IF($G115="",0,$G115)*1000000+IF($H115="",0,$H115)*1000+IF($I115="",0,$I115)+IF($N115="",0,MAX(0,1000-$N115))/1000+IF($A115="",0,$A115)/1000000)</f>
        <v/>
      </c>
      <c r="Z115">
        <f>IF($Y115="","",_xludf.RANK.EQ($Y115,$Y$2:$Y$201,0))</f>
        <v/>
      </c>
    </row>
    <row r="116">
      <c r="R116">
        <f>IFERROR(IF($Q116="","",$Q116/$H116),"")</f>
        <v/>
      </c>
      <c r="S116">
        <f>IFERROR(IF($Q116="","",$Q116/$G116),"")</f>
        <v/>
      </c>
      <c r="W116">
        <f>IF(AND($L116="",$N116="",$P116=""),"",ROUND((IF($L116="",0,IF($L116&lt;=Einstellungen!$B$16,100,IF($L116&lt;=Einstellungen!$C$16,80+(100-80)*(Einstellungen!$C$16-$L116)/(Einstellungen!$C$16-Einstellungen!$B$16),IF($L116&lt;=Einstellungen!$D$16,80*(Einstellungen!$D$16-$L116)/(Einstellungen!$D$16-Einstellungen!$C$16),0))))*Einstellungen!$E$16+IF($N116="",0,IF($N116&lt;=Einstellungen!$B$17,100,IF($N116&lt;=Einstellungen!$C$17,80+(100-80)*(Einstellungen!$C$17-$N116)/(Einstellungen!$C$17-Einstellungen!$B$17),IF($N116&lt;=Einstellungen!$D$17,80*(Einstellungen!$D$17-$N116)/(Einstellungen!$D$17-Einstellungen!$C$17),0))))*Einstellungen!$E$17+IF($P116="",0,IF($P116&lt;=Einstellungen!$B$18,100,IF($P116&lt;=Einstellungen!$C$18,80+(100-80)*(Einstellungen!$C$18-$P116)/(Einstellungen!$C$18-Einstellungen!$B$18),IF($P116&lt;=Einstellungen!$D$18,80*(Einstellungen!$D$18-$P116)/(Einstellungen!$D$18-Einstellungen!$C$18),0))))*Einstellungen!$E$18)/(Einstellungen!$E$16+Einstellungen!$E$17+Einstellungen!$E$18),0))</f>
        <v/>
      </c>
      <c r="X116">
        <f>IF(AND($E116="",$D116="",$G116="",$V116="",$Q116="",$T116="",$W116="",$U116=""),"",ROUND(IF($E116="",0,IF($E116&lt;Einstellungen!$B$21,0,IF($E116&gt;=Einstellungen!$B$22,100,($E116-Einstellungen!$B$21)/(Einstellungen!$B$22-Einstellungen!$B$21)*100)))/100*Einstellungen!$B$5+IF($W116="",0,$W116/100)*Einstellungen!$B$6+(IF($G116="",0,MAX(0,MIN(100,($G116-Einstellungen!$B$25)/(Einstellungen!$B$26-Einstellungen!$B$25)*100)))+IF($I116="",0,MAX(0,MIN(100,($I116-Einstellungen!$B$27)/(Einstellungen!$B$28-Einstellungen!$B$27)*100))))/2/100*Einstellungen!$B$7+IF($V116="",0,$V116/100)*Einstellungen!$B$8+IF($R116="",0,MAX(0,MIN(100,(Einstellungen!$B$32-$R116)/(Einstellungen!$B$32-Einstellungen!$B$31)*100)))/100*Einstellungen!$B$9+IF($D116="",0,$D116/5*100)/100*Einstellungen!$B$10+IF($AD116="",0,$AD116)/100*Einstellungen!$B$11+IF($U116="",0,$U116/5*100)/100*Einstellungen!$B$12,0))</f>
        <v/>
      </c>
      <c r="Y116">
        <f>IF($X116="","",$X116*1000000000000+IF($G116="",0,$G116)*1000000+IF($H116="",0,$H116)*1000+IF($I116="",0,$I116)+IF($N116="",0,MAX(0,1000-$N116))/1000+IF($A116="",0,$A116)/1000000)</f>
        <v/>
      </c>
      <c r="Z116">
        <f>IF($Y116="","",_xludf.RANK.EQ($Y116,$Y$2:$Y$201,0))</f>
        <v/>
      </c>
    </row>
    <row r="117">
      <c r="R117">
        <f>IFERROR(IF($Q117="","",$Q117/$H117),"")</f>
        <v/>
      </c>
      <c r="S117">
        <f>IFERROR(IF($Q117="","",$Q117/$G117),"")</f>
        <v/>
      </c>
      <c r="W117">
        <f>IF(AND($L117="",$N117="",$P117=""),"",ROUND((IF($L117="",0,IF($L117&lt;=Einstellungen!$B$16,100,IF($L117&lt;=Einstellungen!$C$16,80+(100-80)*(Einstellungen!$C$16-$L117)/(Einstellungen!$C$16-Einstellungen!$B$16),IF($L117&lt;=Einstellungen!$D$16,80*(Einstellungen!$D$16-$L117)/(Einstellungen!$D$16-Einstellungen!$C$16),0))))*Einstellungen!$E$16+IF($N117="",0,IF($N117&lt;=Einstellungen!$B$17,100,IF($N117&lt;=Einstellungen!$C$17,80+(100-80)*(Einstellungen!$C$17-$N117)/(Einstellungen!$C$17-Einstellungen!$B$17),IF($N117&lt;=Einstellungen!$D$17,80*(Einstellungen!$D$17-$N117)/(Einstellungen!$D$17-Einstellungen!$C$17),0))))*Einstellungen!$E$17+IF($P117="",0,IF($P117&lt;=Einstellungen!$B$18,100,IF($P117&lt;=Einstellungen!$C$18,80+(100-80)*(Einstellungen!$C$18-$P117)/(Einstellungen!$C$18-Einstellungen!$B$18),IF($P117&lt;=Einstellungen!$D$18,80*(Einstellungen!$D$18-$P117)/(Einstellungen!$D$18-Einstellungen!$C$18),0))))*Einstellungen!$E$18)/(Einstellungen!$E$16+Einstellungen!$E$17+Einstellungen!$E$18),0))</f>
        <v/>
      </c>
      <c r="X117">
        <f>IF(AND($E117="",$D117="",$G117="",$V117="",$Q117="",$T117="",$W117="",$U117=""),"",ROUND(IF($E117="",0,IF($E117&lt;Einstellungen!$B$21,0,IF($E117&gt;=Einstellungen!$B$22,100,($E117-Einstellungen!$B$21)/(Einstellungen!$B$22-Einstellungen!$B$21)*100)))/100*Einstellungen!$B$5+IF($W117="",0,$W117/100)*Einstellungen!$B$6+(IF($G117="",0,MAX(0,MIN(100,($G117-Einstellungen!$B$25)/(Einstellungen!$B$26-Einstellungen!$B$25)*100)))+IF($I117="",0,MAX(0,MIN(100,($I117-Einstellungen!$B$27)/(Einstellungen!$B$28-Einstellungen!$B$27)*100))))/2/100*Einstellungen!$B$7+IF($V117="",0,$V117/100)*Einstellungen!$B$8+IF($R117="",0,MAX(0,MIN(100,(Einstellungen!$B$32-$R117)/(Einstellungen!$B$32-Einstellungen!$B$31)*100)))/100*Einstellungen!$B$9+IF($D117="",0,$D117/5*100)/100*Einstellungen!$B$10+IF($AD117="",0,$AD117)/100*Einstellungen!$B$11+IF($U117="",0,$U117/5*100)/100*Einstellungen!$B$12,0))</f>
        <v/>
      </c>
      <c r="Y117">
        <f>IF($X117="","",$X117*1000000000000+IF($G117="",0,$G117)*1000000+IF($H117="",0,$H117)*1000+IF($I117="",0,$I117)+IF($N117="",0,MAX(0,1000-$N117))/1000+IF($A117="",0,$A117)/1000000)</f>
        <v/>
      </c>
      <c r="Z117">
        <f>IF($Y117="","",_xludf.RANK.EQ($Y117,$Y$2:$Y$201,0))</f>
        <v/>
      </c>
    </row>
    <row r="118">
      <c r="R118">
        <f>IFERROR(IF($Q118="","",$Q118/$H118),"")</f>
        <v/>
      </c>
      <c r="S118">
        <f>IFERROR(IF($Q118="","",$Q118/$G118),"")</f>
        <v/>
      </c>
      <c r="W118">
        <f>IF(AND($L118="",$N118="",$P118=""),"",ROUND((IF($L118="",0,IF($L118&lt;=Einstellungen!$B$16,100,IF($L118&lt;=Einstellungen!$C$16,80+(100-80)*(Einstellungen!$C$16-$L118)/(Einstellungen!$C$16-Einstellungen!$B$16),IF($L118&lt;=Einstellungen!$D$16,80*(Einstellungen!$D$16-$L118)/(Einstellungen!$D$16-Einstellungen!$C$16),0))))*Einstellungen!$E$16+IF($N118="",0,IF($N118&lt;=Einstellungen!$B$17,100,IF($N118&lt;=Einstellungen!$C$17,80+(100-80)*(Einstellungen!$C$17-$N118)/(Einstellungen!$C$17-Einstellungen!$B$17),IF($N118&lt;=Einstellungen!$D$17,80*(Einstellungen!$D$17-$N118)/(Einstellungen!$D$17-Einstellungen!$C$17),0))))*Einstellungen!$E$17+IF($P118="",0,IF($P118&lt;=Einstellungen!$B$18,100,IF($P118&lt;=Einstellungen!$C$18,80+(100-80)*(Einstellungen!$C$18-$P118)/(Einstellungen!$C$18-Einstellungen!$B$18),IF($P118&lt;=Einstellungen!$D$18,80*(Einstellungen!$D$18-$P118)/(Einstellungen!$D$18-Einstellungen!$C$18),0))))*Einstellungen!$E$18)/(Einstellungen!$E$16+Einstellungen!$E$17+Einstellungen!$E$18),0))</f>
        <v/>
      </c>
      <c r="X118">
        <f>IF(AND($E118="",$D118="",$G118="",$V118="",$Q118="",$T118="",$W118="",$U118=""),"",ROUND(IF($E118="",0,IF($E118&lt;Einstellungen!$B$21,0,IF($E118&gt;=Einstellungen!$B$22,100,($E118-Einstellungen!$B$21)/(Einstellungen!$B$22-Einstellungen!$B$21)*100)))/100*Einstellungen!$B$5+IF($W118="",0,$W118/100)*Einstellungen!$B$6+(IF($G118="",0,MAX(0,MIN(100,($G118-Einstellungen!$B$25)/(Einstellungen!$B$26-Einstellungen!$B$25)*100)))+IF($I118="",0,MAX(0,MIN(100,($I118-Einstellungen!$B$27)/(Einstellungen!$B$28-Einstellungen!$B$27)*100))))/2/100*Einstellungen!$B$7+IF($V118="",0,$V118/100)*Einstellungen!$B$8+IF($R118="",0,MAX(0,MIN(100,(Einstellungen!$B$32-$R118)/(Einstellungen!$B$32-Einstellungen!$B$31)*100)))/100*Einstellungen!$B$9+IF($D118="",0,$D118/5*100)/100*Einstellungen!$B$10+IF($AD118="",0,$AD118)/100*Einstellungen!$B$11+IF($U118="",0,$U118/5*100)/100*Einstellungen!$B$12,0))</f>
        <v/>
      </c>
      <c r="Y118">
        <f>IF($X118="","",$X118*1000000000000+IF($G118="",0,$G118)*1000000+IF($H118="",0,$H118)*1000+IF($I118="",0,$I118)+IF($N118="",0,MAX(0,1000-$N118))/1000+IF($A118="",0,$A118)/1000000)</f>
        <v/>
      </c>
      <c r="Z118">
        <f>IF($Y118="","",_xludf.RANK.EQ($Y118,$Y$2:$Y$201,0))</f>
        <v/>
      </c>
    </row>
    <row r="119">
      <c r="R119">
        <f>IFERROR(IF($Q119="","",$Q119/$H119),"")</f>
        <v/>
      </c>
      <c r="S119">
        <f>IFERROR(IF($Q119="","",$Q119/$G119),"")</f>
        <v/>
      </c>
      <c r="W119">
        <f>IF(AND($L119="",$N119="",$P119=""),"",ROUND((IF($L119="",0,IF($L119&lt;=Einstellungen!$B$16,100,IF($L119&lt;=Einstellungen!$C$16,80+(100-80)*(Einstellungen!$C$16-$L119)/(Einstellungen!$C$16-Einstellungen!$B$16),IF($L119&lt;=Einstellungen!$D$16,80*(Einstellungen!$D$16-$L119)/(Einstellungen!$D$16-Einstellungen!$C$16),0))))*Einstellungen!$E$16+IF($N119="",0,IF($N119&lt;=Einstellungen!$B$17,100,IF($N119&lt;=Einstellungen!$C$17,80+(100-80)*(Einstellungen!$C$17-$N119)/(Einstellungen!$C$17-Einstellungen!$B$17),IF($N119&lt;=Einstellungen!$D$17,80*(Einstellungen!$D$17-$N119)/(Einstellungen!$D$17-Einstellungen!$C$17),0))))*Einstellungen!$E$17+IF($P119="",0,IF($P119&lt;=Einstellungen!$B$18,100,IF($P119&lt;=Einstellungen!$C$18,80+(100-80)*(Einstellungen!$C$18-$P119)/(Einstellungen!$C$18-Einstellungen!$B$18),IF($P119&lt;=Einstellungen!$D$18,80*(Einstellungen!$D$18-$P119)/(Einstellungen!$D$18-Einstellungen!$C$18),0))))*Einstellungen!$E$18)/(Einstellungen!$E$16+Einstellungen!$E$17+Einstellungen!$E$18),0))</f>
        <v/>
      </c>
      <c r="X119">
        <f>IF(AND($E119="",$D119="",$G119="",$V119="",$Q119="",$T119="",$W119="",$U119=""),"",ROUND(IF($E119="",0,IF($E119&lt;Einstellungen!$B$21,0,IF($E119&gt;=Einstellungen!$B$22,100,($E119-Einstellungen!$B$21)/(Einstellungen!$B$22-Einstellungen!$B$21)*100)))/100*Einstellungen!$B$5+IF($W119="",0,$W119/100)*Einstellungen!$B$6+(IF($G119="",0,MAX(0,MIN(100,($G119-Einstellungen!$B$25)/(Einstellungen!$B$26-Einstellungen!$B$25)*100)))+IF($I119="",0,MAX(0,MIN(100,($I119-Einstellungen!$B$27)/(Einstellungen!$B$28-Einstellungen!$B$27)*100))))/2/100*Einstellungen!$B$7+IF($V119="",0,$V119/100)*Einstellungen!$B$8+IF($R119="",0,MAX(0,MIN(100,(Einstellungen!$B$32-$R119)/(Einstellungen!$B$32-Einstellungen!$B$31)*100)))/100*Einstellungen!$B$9+IF($D119="",0,$D119/5*100)/100*Einstellungen!$B$10+IF($AD119="",0,$AD119)/100*Einstellungen!$B$11+IF($U119="",0,$U119/5*100)/100*Einstellungen!$B$12,0))</f>
        <v/>
      </c>
      <c r="Y119">
        <f>IF($X119="","",$X119*1000000000000+IF($G119="",0,$G119)*1000000+IF($H119="",0,$H119)*1000+IF($I119="",0,$I119)+IF($N119="",0,MAX(0,1000-$N119))/1000+IF($A119="",0,$A119)/1000000)</f>
        <v/>
      </c>
      <c r="Z119">
        <f>IF($Y119="","",_xludf.RANK.EQ($Y119,$Y$2:$Y$201,0))</f>
        <v/>
      </c>
    </row>
    <row r="120">
      <c r="R120">
        <f>IFERROR(IF($Q120="","",$Q120/$H120),"")</f>
        <v/>
      </c>
      <c r="S120">
        <f>IFERROR(IF($Q120="","",$Q120/$G120),"")</f>
        <v/>
      </c>
      <c r="W120">
        <f>IF(AND($L120="",$N120="",$P120=""),"",ROUND((IF($L120="",0,IF($L120&lt;=Einstellungen!$B$16,100,IF($L120&lt;=Einstellungen!$C$16,80+(100-80)*(Einstellungen!$C$16-$L120)/(Einstellungen!$C$16-Einstellungen!$B$16),IF($L120&lt;=Einstellungen!$D$16,80*(Einstellungen!$D$16-$L120)/(Einstellungen!$D$16-Einstellungen!$C$16),0))))*Einstellungen!$E$16+IF($N120="",0,IF($N120&lt;=Einstellungen!$B$17,100,IF($N120&lt;=Einstellungen!$C$17,80+(100-80)*(Einstellungen!$C$17-$N120)/(Einstellungen!$C$17-Einstellungen!$B$17),IF($N120&lt;=Einstellungen!$D$17,80*(Einstellungen!$D$17-$N120)/(Einstellungen!$D$17-Einstellungen!$C$17),0))))*Einstellungen!$E$17+IF($P120="",0,IF($P120&lt;=Einstellungen!$B$18,100,IF($P120&lt;=Einstellungen!$C$18,80+(100-80)*(Einstellungen!$C$18-$P120)/(Einstellungen!$C$18-Einstellungen!$B$18),IF($P120&lt;=Einstellungen!$D$18,80*(Einstellungen!$D$18-$P120)/(Einstellungen!$D$18-Einstellungen!$C$18),0))))*Einstellungen!$E$18)/(Einstellungen!$E$16+Einstellungen!$E$17+Einstellungen!$E$18),0))</f>
        <v/>
      </c>
      <c r="X120">
        <f>IF(AND($E120="",$D120="",$G120="",$V120="",$Q120="",$T120="",$W120="",$U120=""),"",ROUND(IF($E120="",0,IF($E120&lt;Einstellungen!$B$21,0,IF($E120&gt;=Einstellungen!$B$22,100,($E120-Einstellungen!$B$21)/(Einstellungen!$B$22-Einstellungen!$B$21)*100)))/100*Einstellungen!$B$5+IF($W120="",0,$W120/100)*Einstellungen!$B$6+(IF($G120="",0,MAX(0,MIN(100,($G120-Einstellungen!$B$25)/(Einstellungen!$B$26-Einstellungen!$B$25)*100)))+IF($I120="",0,MAX(0,MIN(100,($I120-Einstellungen!$B$27)/(Einstellungen!$B$28-Einstellungen!$B$27)*100))))/2/100*Einstellungen!$B$7+IF($V120="",0,$V120/100)*Einstellungen!$B$8+IF($R120="",0,MAX(0,MIN(100,(Einstellungen!$B$32-$R120)/(Einstellungen!$B$32-Einstellungen!$B$31)*100)))/100*Einstellungen!$B$9+IF($D120="",0,$D120/5*100)/100*Einstellungen!$B$10+IF($AD120="",0,$AD120)/100*Einstellungen!$B$11+IF($U120="",0,$U120/5*100)/100*Einstellungen!$B$12,0))</f>
        <v/>
      </c>
      <c r="Y120">
        <f>IF($X120="","",$X120*1000000000000+IF($G120="",0,$G120)*1000000+IF($H120="",0,$H120)*1000+IF($I120="",0,$I120)+IF($N120="",0,MAX(0,1000-$N120))/1000+IF($A120="",0,$A120)/1000000)</f>
        <v/>
      </c>
      <c r="Z120">
        <f>IF($Y120="","",_xludf.RANK.EQ($Y120,$Y$2:$Y$201,0))</f>
        <v/>
      </c>
    </row>
    <row r="121">
      <c r="R121">
        <f>IFERROR(IF($Q121="","",$Q121/$H121),"")</f>
        <v/>
      </c>
      <c r="S121">
        <f>IFERROR(IF($Q121="","",$Q121/$G121),"")</f>
        <v/>
      </c>
      <c r="W121">
        <f>IF(AND($L121="",$N121="",$P121=""),"",ROUND((IF($L121="",0,IF($L121&lt;=Einstellungen!$B$16,100,IF($L121&lt;=Einstellungen!$C$16,80+(100-80)*(Einstellungen!$C$16-$L121)/(Einstellungen!$C$16-Einstellungen!$B$16),IF($L121&lt;=Einstellungen!$D$16,80*(Einstellungen!$D$16-$L121)/(Einstellungen!$D$16-Einstellungen!$C$16),0))))*Einstellungen!$E$16+IF($N121="",0,IF($N121&lt;=Einstellungen!$B$17,100,IF($N121&lt;=Einstellungen!$C$17,80+(100-80)*(Einstellungen!$C$17-$N121)/(Einstellungen!$C$17-Einstellungen!$B$17),IF($N121&lt;=Einstellungen!$D$17,80*(Einstellungen!$D$17-$N121)/(Einstellungen!$D$17-Einstellungen!$C$17),0))))*Einstellungen!$E$17+IF($P121="",0,IF($P121&lt;=Einstellungen!$B$18,100,IF($P121&lt;=Einstellungen!$C$18,80+(100-80)*(Einstellungen!$C$18-$P121)/(Einstellungen!$C$18-Einstellungen!$B$18),IF($P121&lt;=Einstellungen!$D$18,80*(Einstellungen!$D$18-$P121)/(Einstellungen!$D$18-Einstellungen!$C$18),0))))*Einstellungen!$E$18)/(Einstellungen!$E$16+Einstellungen!$E$17+Einstellungen!$E$18),0))</f>
        <v/>
      </c>
      <c r="X121">
        <f>IF(AND($E121="",$D121="",$G121="",$V121="",$Q121="",$T121="",$W121="",$U121=""),"",ROUND(IF($E121="",0,IF($E121&lt;Einstellungen!$B$21,0,IF($E121&gt;=Einstellungen!$B$22,100,($E121-Einstellungen!$B$21)/(Einstellungen!$B$22-Einstellungen!$B$21)*100)))/100*Einstellungen!$B$5+IF($W121="",0,$W121/100)*Einstellungen!$B$6+(IF($G121="",0,MAX(0,MIN(100,($G121-Einstellungen!$B$25)/(Einstellungen!$B$26-Einstellungen!$B$25)*100)))+IF($I121="",0,MAX(0,MIN(100,($I121-Einstellungen!$B$27)/(Einstellungen!$B$28-Einstellungen!$B$27)*100))))/2/100*Einstellungen!$B$7+IF($V121="",0,$V121/100)*Einstellungen!$B$8+IF($R121="",0,MAX(0,MIN(100,(Einstellungen!$B$32-$R121)/(Einstellungen!$B$32-Einstellungen!$B$31)*100)))/100*Einstellungen!$B$9+IF($D121="",0,$D121/5*100)/100*Einstellungen!$B$10+IF($AD121="",0,$AD121)/100*Einstellungen!$B$11+IF($U121="",0,$U121/5*100)/100*Einstellungen!$B$12,0))</f>
        <v/>
      </c>
      <c r="Y121">
        <f>IF($X121="","",$X121*1000000000000+IF($G121="",0,$G121)*1000000+IF($H121="",0,$H121)*1000+IF($I121="",0,$I121)+IF($N121="",0,MAX(0,1000-$N121))/1000+IF($A121="",0,$A121)/1000000)</f>
        <v/>
      </c>
      <c r="Z121">
        <f>IF($Y121="","",_xludf.RANK.EQ($Y121,$Y$2:$Y$201,0))</f>
        <v/>
      </c>
    </row>
    <row r="122">
      <c r="R122">
        <f>IFERROR(IF($Q122="","",$Q122/$H122),"")</f>
        <v/>
      </c>
      <c r="S122">
        <f>IFERROR(IF($Q122="","",$Q122/$G122),"")</f>
        <v/>
      </c>
      <c r="W122">
        <f>IF(AND($L122="",$N122="",$P122=""),"",ROUND((IF($L122="",0,IF($L122&lt;=Einstellungen!$B$16,100,IF($L122&lt;=Einstellungen!$C$16,80+(100-80)*(Einstellungen!$C$16-$L122)/(Einstellungen!$C$16-Einstellungen!$B$16),IF($L122&lt;=Einstellungen!$D$16,80*(Einstellungen!$D$16-$L122)/(Einstellungen!$D$16-Einstellungen!$C$16),0))))*Einstellungen!$E$16+IF($N122="",0,IF($N122&lt;=Einstellungen!$B$17,100,IF($N122&lt;=Einstellungen!$C$17,80+(100-80)*(Einstellungen!$C$17-$N122)/(Einstellungen!$C$17-Einstellungen!$B$17),IF($N122&lt;=Einstellungen!$D$17,80*(Einstellungen!$D$17-$N122)/(Einstellungen!$D$17-Einstellungen!$C$17),0))))*Einstellungen!$E$17+IF($P122="",0,IF($P122&lt;=Einstellungen!$B$18,100,IF($P122&lt;=Einstellungen!$C$18,80+(100-80)*(Einstellungen!$C$18-$P122)/(Einstellungen!$C$18-Einstellungen!$B$18),IF($P122&lt;=Einstellungen!$D$18,80*(Einstellungen!$D$18-$P122)/(Einstellungen!$D$18-Einstellungen!$C$18),0))))*Einstellungen!$E$18)/(Einstellungen!$E$16+Einstellungen!$E$17+Einstellungen!$E$18),0))</f>
        <v/>
      </c>
      <c r="X122">
        <f>IF(AND($E122="",$D122="",$G122="",$V122="",$Q122="",$T122="",$W122="",$U122=""),"",ROUND(IF($E122="",0,IF($E122&lt;Einstellungen!$B$21,0,IF($E122&gt;=Einstellungen!$B$22,100,($E122-Einstellungen!$B$21)/(Einstellungen!$B$22-Einstellungen!$B$21)*100)))/100*Einstellungen!$B$5+IF($W122="",0,$W122/100)*Einstellungen!$B$6+(IF($G122="",0,MAX(0,MIN(100,($G122-Einstellungen!$B$25)/(Einstellungen!$B$26-Einstellungen!$B$25)*100)))+IF($I122="",0,MAX(0,MIN(100,($I122-Einstellungen!$B$27)/(Einstellungen!$B$28-Einstellungen!$B$27)*100))))/2/100*Einstellungen!$B$7+IF($V122="",0,$V122/100)*Einstellungen!$B$8+IF($R122="",0,MAX(0,MIN(100,(Einstellungen!$B$32-$R122)/(Einstellungen!$B$32-Einstellungen!$B$31)*100)))/100*Einstellungen!$B$9+IF($D122="",0,$D122/5*100)/100*Einstellungen!$B$10+IF($AD122="",0,$AD122)/100*Einstellungen!$B$11+IF($U122="",0,$U122/5*100)/100*Einstellungen!$B$12,0))</f>
        <v/>
      </c>
      <c r="Y122">
        <f>IF($X122="","",$X122*1000000000000+IF($G122="",0,$G122)*1000000+IF($H122="",0,$H122)*1000+IF($I122="",0,$I122)+IF($N122="",0,MAX(0,1000-$N122))/1000+IF($A122="",0,$A122)/1000000)</f>
        <v/>
      </c>
      <c r="Z122">
        <f>IF($Y122="","",_xludf.RANK.EQ($Y122,$Y$2:$Y$201,0))</f>
        <v/>
      </c>
    </row>
    <row r="123">
      <c r="R123">
        <f>IFERROR(IF($Q123="","",$Q123/$H123),"")</f>
        <v/>
      </c>
      <c r="S123">
        <f>IFERROR(IF($Q123="","",$Q123/$G123),"")</f>
        <v/>
      </c>
      <c r="W123">
        <f>IF(AND($L123="",$N123="",$P123=""),"",ROUND((IF($L123="",0,IF($L123&lt;=Einstellungen!$B$16,100,IF($L123&lt;=Einstellungen!$C$16,80+(100-80)*(Einstellungen!$C$16-$L123)/(Einstellungen!$C$16-Einstellungen!$B$16),IF($L123&lt;=Einstellungen!$D$16,80*(Einstellungen!$D$16-$L123)/(Einstellungen!$D$16-Einstellungen!$C$16),0))))*Einstellungen!$E$16+IF($N123="",0,IF($N123&lt;=Einstellungen!$B$17,100,IF($N123&lt;=Einstellungen!$C$17,80+(100-80)*(Einstellungen!$C$17-$N123)/(Einstellungen!$C$17-Einstellungen!$B$17),IF($N123&lt;=Einstellungen!$D$17,80*(Einstellungen!$D$17-$N123)/(Einstellungen!$D$17-Einstellungen!$C$17),0))))*Einstellungen!$E$17+IF($P123="",0,IF($P123&lt;=Einstellungen!$B$18,100,IF($P123&lt;=Einstellungen!$C$18,80+(100-80)*(Einstellungen!$C$18-$P123)/(Einstellungen!$C$18-Einstellungen!$B$18),IF($P123&lt;=Einstellungen!$D$18,80*(Einstellungen!$D$18-$P123)/(Einstellungen!$D$18-Einstellungen!$C$18),0))))*Einstellungen!$E$18)/(Einstellungen!$E$16+Einstellungen!$E$17+Einstellungen!$E$18),0))</f>
        <v/>
      </c>
      <c r="X123">
        <f>IF(AND($E123="",$D123="",$G123="",$V123="",$Q123="",$T123="",$W123="",$U123=""),"",ROUND(IF($E123="",0,IF($E123&lt;Einstellungen!$B$21,0,IF($E123&gt;=Einstellungen!$B$22,100,($E123-Einstellungen!$B$21)/(Einstellungen!$B$22-Einstellungen!$B$21)*100)))/100*Einstellungen!$B$5+IF($W123="",0,$W123/100)*Einstellungen!$B$6+(IF($G123="",0,MAX(0,MIN(100,($G123-Einstellungen!$B$25)/(Einstellungen!$B$26-Einstellungen!$B$25)*100)))+IF($I123="",0,MAX(0,MIN(100,($I123-Einstellungen!$B$27)/(Einstellungen!$B$28-Einstellungen!$B$27)*100))))/2/100*Einstellungen!$B$7+IF($V123="",0,$V123/100)*Einstellungen!$B$8+IF($R123="",0,MAX(0,MIN(100,(Einstellungen!$B$32-$R123)/(Einstellungen!$B$32-Einstellungen!$B$31)*100)))/100*Einstellungen!$B$9+IF($D123="",0,$D123/5*100)/100*Einstellungen!$B$10+IF($AD123="",0,$AD123)/100*Einstellungen!$B$11+IF($U123="",0,$U123/5*100)/100*Einstellungen!$B$12,0))</f>
        <v/>
      </c>
      <c r="Y123">
        <f>IF($X123="","",$X123*1000000000000+IF($G123="",0,$G123)*1000000+IF($H123="",0,$H123)*1000+IF($I123="",0,$I123)+IF($N123="",0,MAX(0,1000-$N123))/1000+IF($A123="",0,$A123)/1000000)</f>
        <v/>
      </c>
      <c r="Z123">
        <f>IF($Y123="","",_xludf.RANK.EQ($Y123,$Y$2:$Y$201,0))</f>
        <v/>
      </c>
    </row>
    <row r="124">
      <c r="R124">
        <f>IFERROR(IF($Q124="","",$Q124/$H124),"")</f>
        <v/>
      </c>
      <c r="S124">
        <f>IFERROR(IF($Q124="","",$Q124/$G124),"")</f>
        <v/>
      </c>
      <c r="W124">
        <f>IF(AND($L124="",$N124="",$P124=""),"",ROUND((IF($L124="",0,IF($L124&lt;=Einstellungen!$B$16,100,IF($L124&lt;=Einstellungen!$C$16,80+(100-80)*(Einstellungen!$C$16-$L124)/(Einstellungen!$C$16-Einstellungen!$B$16),IF($L124&lt;=Einstellungen!$D$16,80*(Einstellungen!$D$16-$L124)/(Einstellungen!$D$16-Einstellungen!$C$16),0))))*Einstellungen!$E$16+IF($N124="",0,IF($N124&lt;=Einstellungen!$B$17,100,IF($N124&lt;=Einstellungen!$C$17,80+(100-80)*(Einstellungen!$C$17-$N124)/(Einstellungen!$C$17-Einstellungen!$B$17),IF($N124&lt;=Einstellungen!$D$17,80*(Einstellungen!$D$17-$N124)/(Einstellungen!$D$17-Einstellungen!$C$17),0))))*Einstellungen!$E$17+IF($P124="",0,IF($P124&lt;=Einstellungen!$B$18,100,IF($P124&lt;=Einstellungen!$C$18,80+(100-80)*(Einstellungen!$C$18-$P124)/(Einstellungen!$C$18-Einstellungen!$B$18),IF($P124&lt;=Einstellungen!$D$18,80*(Einstellungen!$D$18-$P124)/(Einstellungen!$D$18-Einstellungen!$C$18),0))))*Einstellungen!$E$18)/(Einstellungen!$E$16+Einstellungen!$E$17+Einstellungen!$E$18),0))</f>
        <v/>
      </c>
      <c r="X124">
        <f>IF(AND($E124="",$D124="",$G124="",$V124="",$Q124="",$T124="",$W124="",$U124=""),"",ROUND(IF($E124="",0,IF($E124&lt;Einstellungen!$B$21,0,IF($E124&gt;=Einstellungen!$B$22,100,($E124-Einstellungen!$B$21)/(Einstellungen!$B$22-Einstellungen!$B$21)*100)))/100*Einstellungen!$B$5+IF($W124="",0,$W124/100)*Einstellungen!$B$6+(IF($G124="",0,MAX(0,MIN(100,($G124-Einstellungen!$B$25)/(Einstellungen!$B$26-Einstellungen!$B$25)*100)))+IF($I124="",0,MAX(0,MIN(100,($I124-Einstellungen!$B$27)/(Einstellungen!$B$28-Einstellungen!$B$27)*100))))/2/100*Einstellungen!$B$7+IF($V124="",0,$V124/100)*Einstellungen!$B$8+IF($R124="",0,MAX(0,MIN(100,(Einstellungen!$B$32-$R124)/(Einstellungen!$B$32-Einstellungen!$B$31)*100)))/100*Einstellungen!$B$9+IF($D124="",0,$D124/5*100)/100*Einstellungen!$B$10+IF($AD124="",0,$AD124)/100*Einstellungen!$B$11+IF($U124="",0,$U124/5*100)/100*Einstellungen!$B$12,0))</f>
        <v/>
      </c>
      <c r="Y124">
        <f>IF($X124="","",$X124*1000000000000+IF($G124="",0,$G124)*1000000+IF($H124="",0,$H124)*1000+IF($I124="",0,$I124)+IF($N124="",0,MAX(0,1000-$N124))/1000+IF($A124="",0,$A124)/1000000)</f>
        <v/>
      </c>
      <c r="Z124">
        <f>IF($Y124="","",_xludf.RANK.EQ($Y124,$Y$2:$Y$201,0))</f>
        <v/>
      </c>
    </row>
    <row r="125">
      <c r="R125">
        <f>IFERROR(IF($Q125="","",$Q125/$H125),"")</f>
        <v/>
      </c>
      <c r="S125">
        <f>IFERROR(IF($Q125="","",$Q125/$G125),"")</f>
        <v/>
      </c>
      <c r="W125">
        <f>IF(AND($L125="",$N125="",$P125=""),"",ROUND((IF($L125="",0,IF($L125&lt;=Einstellungen!$B$16,100,IF($L125&lt;=Einstellungen!$C$16,80+(100-80)*(Einstellungen!$C$16-$L125)/(Einstellungen!$C$16-Einstellungen!$B$16),IF($L125&lt;=Einstellungen!$D$16,80*(Einstellungen!$D$16-$L125)/(Einstellungen!$D$16-Einstellungen!$C$16),0))))*Einstellungen!$E$16+IF($N125="",0,IF($N125&lt;=Einstellungen!$B$17,100,IF($N125&lt;=Einstellungen!$C$17,80+(100-80)*(Einstellungen!$C$17-$N125)/(Einstellungen!$C$17-Einstellungen!$B$17),IF($N125&lt;=Einstellungen!$D$17,80*(Einstellungen!$D$17-$N125)/(Einstellungen!$D$17-Einstellungen!$C$17),0))))*Einstellungen!$E$17+IF($P125="",0,IF($P125&lt;=Einstellungen!$B$18,100,IF($P125&lt;=Einstellungen!$C$18,80+(100-80)*(Einstellungen!$C$18-$P125)/(Einstellungen!$C$18-Einstellungen!$B$18),IF($P125&lt;=Einstellungen!$D$18,80*(Einstellungen!$D$18-$P125)/(Einstellungen!$D$18-Einstellungen!$C$18),0))))*Einstellungen!$E$18)/(Einstellungen!$E$16+Einstellungen!$E$17+Einstellungen!$E$18),0))</f>
        <v/>
      </c>
      <c r="X125">
        <f>IF(AND($E125="",$D125="",$G125="",$V125="",$Q125="",$T125="",$W125="",$U125=""),"",ROUND(IF($E125="",0,IF($E125&lt;Einstellungen!$B$21,0,IF($E125&gt;=Einstellungen!$B$22,100,($E125-Einstellungen!$B$21)/(Einstellungen!$B$22-Einstellungen!$B$21)*100)))/100*Einstellungen!$B$5+IF($W125="",0,$W125/100)*Einstellungen!$B$6+(IF($G125="",0,MAX(0,MIN(100,($G125-Einstellungen!$B$25)/(Einstellungen!$B$26-Einstellungen!$B$25)*100)))+IF($I125="",0,MAX(0,MIN(100,($I125-Einstellungen!$B$27)/(Einstellungen!$B$28-Einstellungen!$B$27)*100))))/2/100*Einstellungen!$B$7+IF($V125="",0,$V125/100)*Einstellungen!$B$8+IF($R125="",0,MAX(0,MIN(100,(Einstellungen!$B$32-$R125)/(Einstellungen!$B$32-Einstellungen!$B$31)*100)))/100*Einstellungen!$B$9+IF($D125="",0,$D125/5*100)/100*Einstellungen!$B$10+IF($AD125="",0,$AD125)/100*Einstellungen!$B$11+IF($U125="",0,$U125/5*100)/100*Einstellungen!$B$12,0))</f>
        <v/>
      </c>
      <c r="Y125">
        <f>IF($X125="","",$X125*1000000000000+IF($G125="",0,$G125)*1000000+IF($H125="",0,$H125)*1000+IF($I125="",0,$I125)+IF($N125="",0,MAX(0,1000-$N125))/1000+IF($A125="",0,$A125)/1000000)</f>
        <v/>
      </c>
      <c r="Z125">
        <f>IF($Y125="","",_xludf.RANK.EQ($Y125,$Y$2:$Y$201,0))</f>
        <v/>
      </c>
    </row>
    <row r="126">
      <c r="R126">
        <f>IFERROR(IF($Q126="","",$Q126/$H126),"")</f>
        <v/>
      </c>
      <c r="S126">
        <f>IFERROR(IF($Q126="","",$Q126/$G126),"")</f>
        <v/>
      </c>
      <c r="W126">
        <f>IF(AND($L126="",$N126="",$P126=""),"",ROUND((IF($L126="",0,IF($L126&lt;=Einstellungen!$B$16,100,IF($L126&lt;=Einstellungen!$C$16,80+(100-80)*(Einstellungen!$C$16-$L126)/(Einstellungen!$C$16-Einstellungen!$B$16),IF($L126&lt;=Einstellungen!$D$16,80*(Einstellungen!$D$16-$L126)/(Einstellungen!$D$16-Einstellungen!$C$16),0))))*Einstellungen!$E$16+IF($N126="",0,IF($N126&lt;=Einstellungen!$B$17,100,IF($N126&lt;=Einstellungen!$C$17,80+(100-80)*(Einstellungen!$C$17-$N126)/(Einstellungen!$C$17-Einstellungen!$B$17),IF($N126&lt;=Einstellungen!$D$17,80*(Einstellungen!$D$17-$N126)/(Einstellungen!$D$17-Einstellungen!$C$17),0))))*Einstellungen!$E$17+IF($P126="",0,IF($P126&lt;=Einstellungen!$B$18,100,IF($P126&lt;=Einstellungen!$C$18,80+(100-80)*(Einstellungen!$C$18-$P126)/(Einstellungen!$C$18-Einstellungen!$B$18),IF($P126&lt;=Einstellungen!$D$18,80*(Einstellungen!$D$18-$P126)/(Einstellungen!$D$18-Einstellungen!$C$18),0))))*Einstellungen!$E$18)/(Einstellungen!$E$16+Einstellungen!$E$17+Einstellungen!$E$18),0))</f>
        <v/>
      </c>
      <c r="X126">
        <f>IF(AND($E126="",$D126="",$G126="",$V126="",$Q126="",$T126="",$W126="",$U126=""),"",ROUND(IF($E126="",0,IF($E126&lt;Einstellungen!$B$21,0,IF($E126&gt;=Einstellungen!$B$22,100,($E126-Einstellungen!$B$21)/(Einstellungen!$B$22-Einstellungen!$B$21)*100)))/100*Einstellungen!$B$5+IF($W126="",0,$W126/100)*Einstellungen!$B$6+(IF($G126="",0,MAX(0,MIN(100,($G126-Einstellungen!$B$25)/(Einstellungen!$B$26-Einstellungen!$B$25)*100)))+IF($I126="",0,MAX(0,MIN(100,($I126-Einstellungen!$B$27)/(Einstellungen!$B$28-Einstellungen!$B$27)*100))))/2/100*Einstellungen!$B$7+IF($V126="",0,$V126/100)*Einstellungen!$B$8+IF($R126="",0,MAX(0,MIN(100,(Einstellungen!$B$32-$R126)/(Einstellungen!$B$32-Einstellungen!$B$31)*100)))/100*Einstellungen!$B$9+IF($D126="",0,$D126/5*100)/100*Einstellungen!$B$10+IF($AD126="",0,$AD126)/100*Einstellungen!$B$11+IF($U126="",0,$U126/5*100)/100*Einstellungen!$B$12,0))</f>
        <v/>
      </c>
      <c r="Y126">
        <f>IF($X126="","",$X126*1000000000000+IF($G126="",0,$G126)*1000000+IF($H126="",0,$H126)*1000+IF($I126="",0,$I126)+IF($N126="",0,MAX(0,1000-$N126))/1000+IF($A126="",0,$A126)/1000000)</f>
        <v/>
      </c>
      <c r="Z126">
        <f>IF($Y126="","",_xludf.RANK.EQ($Y126,$Y$2:$Y$201,0))</f>
        <v/>
      </c>
    </row>
    <row r="127">
      <c r="R127">
        <f>IFERROR(IF($Q127="","",$Q127/$H127),"")</f>
        <v/>
      </c>
      <c r="S127">
        <f>IFERROR(IF($Q127="","",$Q127/$G127),"")</f>
        <v/>
      </c>
      <c r="W127">
        <f>IF(AND($L127="",$N127="",$P127=""),"",ROUND((IF($L127="",0,IF($L127&lt;=Einstellungen!$B$16,100,IF($L127&lt;=Einstellungen!$C$16,80+(100-80)*(Einstellungen!$C$16-$L127)/(Einstellungen!$C$16-Einstellungen!$B$16),IF($L127&lt;=Einstellungen!$D$16,80*(Einstellungen!$D$16-$L127)/(Einstellungen!$D$16-Einstellungen!$C$16),0))))*Einstellungen!$E$16+IF($N127="",0,IF($N127&lt;=Einstellungen!$B$17,100,IF($N127&lt;=Einstellungen!$C$17,80+(100-80)*(Einstellungen!$C$17-$N127)/(Einstellungen!$C$17-Einstellungen!$B$17),IF($N127&lt;=Einstellungen!$D$17,80*(Einstellungen!$D$17-$N127)/(Einstellungen!$D$17-Einstellungen!$C$17),0))))*Einstellungen!$E$17+IF($P127="",0,IF($P127&lt;=Einstellungen!$B$18,100,IF($P127&lt;=Einstellungen!$C$18,80+(100-80)*(Einstellungen!$C$18-$P127)/(Einstellungen!$C$18-Einstellungen!$B$18),IF($P127&lt;=Einstellungen!$D$18,80*(Einstellungen!$D$18-$P127)/(Einstellungen!$D$18-Einstellungen!$C$18),0))))*Einstellungen!$E$18)/(Einstellungen!$E$16+Einstellungen!$E$17+Einstellungen!$E$18),0))</f>
        <v/>
      </c>
      <c r="X127">
        <f>IF(AND($E127="",$D127="",$G127="",$V127="",$Q127="",$T127="",$W127="",$U127=""),"",ROUND(IF($E127="",0,IF($E127&lt;Einstellungen!$B$21,0,IF($E127&gt;=Einstellungen!$B$22,100,($E127-Einstellungen!$B$21)/(Einstellungen!$B$22-Einstellungen!$B$21)*100)))/100*Einstellungen!$B$5+IF($W127="",0,$W127/100)*Einstellungen!$B$6+(IF($G127="",0,MAX(0,MIN(100,($G127-Einstellungen!$B$25)/(Einstellungen!$B$26-Einstellungen!$B$25)*100)))+IF($I127="",0,MAX(0,MIN(100,($I127-Einstellungen!$B$27)/(Einstellungen!$B$28-Einstellungen!$B$27)*100))))/2/100*Einstellungen!$B$7+IF($V127="",0,$V127/100)*Einstellungen!$B$8+IF($R127="",0,MAX(0,MIN(100,(Einstellungen!$B$32-$R127)/(Einstellungen!$B$32-Einstellungen!$B$31)*100)))/100*Einstellungen!$B$9+IF($D127="",0,$D127/5*100)/100*Einstellungen!$B$10+IF($AD127="",0,$AD127)/100*Einstellungen!$B$11+IF($U127="",0,$U127/5*100)/100*Einstellungen!$B$12,0))</f>
        <v/>
      </c>
      <c r="Y127">
        <f>IF($X127="","",$X127*1000000000000+IF($G127="",0,$G127)*1000000+IF($H127="",0,$H127)*1000+IF($I127="",0,$I127)+IF($N127="",0,MAX(0,1000-$N127))/1000+IF($A127="",0,$A127)/1000000)</f>
        <v/>
      </c>
      <c r="Z127">
        <f>IF($Y127="","",_xludf.RANK.EQ($Y127,$Y$2:$Y$201,0))</f>
        <v/>
      </c>
    </row>
    <row r="128">
      <c r="R128">
        <f>IFERROR(IF($Q128="","",$Q128/$H128),"")</f>
        <v/>
      </c>
      <c r="S128">
        <f>IFERROR(IF($Q128="","",$Q128/$G128),"")</f>
        <v/>
      </c>
      <c r="W128">
        <f>IF(AND($L128="",$N128="",$P128=""),"",ROUND((IF($L128="",0,IF($L128&lt;=Einstellungen!$B$16,100,IF($L128&lt;=Einstellungen!$C$16,80+(100-80)*(Einstellungen!$C$16-$L128)/(Einstellungen!$C$16-Einstellungen!$B$16),IF($L128&lt;=Einstellungen!$D$16,80*(Einstellungen!$D$16-$L128)/(Einstellungen!$D$16-Einstellungen!$C$16),0))))*Einstellungen!$E$16+IF($N128="",0,IF($N128&lt;=Einstellungen!$B$17,100,IF($N128&lt;=Einstellungen!$C$17,80+(100-80)*(Einstellungen!$C$17-$N128)/(Einstellungen!$C$17-Einstellungen!$B$17),IF($N128&lt;=Einstellungen!$D$17,80*(Einstellungen!$D$17-$N128)/(Einstellungen!$D$17-Einstellungen!$C$17),0))))*Einstellungen!$E$17+IF($P128="",0,IF($P128&lt;=Einstellungen!$B$18,100,IF($P128&lt;=Einstellungen!$C$18,80+(100-80)*(Einstellungen!$C$18-$P128)/(Einstellungen!$C$18-Einstellungen!$B$18),IF($P128&lt;=Einstellungen!$D$18,80*(Einstellungen!$D$18-$P128)/(Einstellungen!$D$18-Einstellungen!$C$18),0))))*Einstellungen!$E$18)/(Einstellungen!$E$16+Einstellungen!$E$17+Einstellungen!$E$18),0))</f>
        <v/>
      </c>
      <c r="X128">
        <f>IF(AND($E128="",$D128="",$G128="",$V128="",$Q128="",$T128="",$W128="",$U128=""),"",ROUND(IF($E128="",0,IF($E128&lt;Einstellungen!$B$21,0,IF($E128&gt;=Einstellungen!$B$22,100,($E128-Einstellungen!$B$21)/(Einstellungen!$B$22-Einstellungen!$B$21)*100)))/100*Einstellungen!$B$5+IF($W128="",0,$W128/100)*Einstellungen!$B$6+(IF($G128="",0,MAX(0,MIN(100,($G128-Einstellungen!$B$25)/(Einstellungen!$B$26-Einstellungen!$B$25)*100)))+IF($I128="",0,MAX(0,MIN(100,($I128-Einstellungen!$B$27)/(Einstellungen!$B$28-Einstellungen!$B$27)*100))))/2/100*Einstellungen!$B$7+IF($V128="",0,$V128/100)*Einstellungen!$B$8+IF($R128="",0,MAX(0,MIN(100,(Einstellungen!$B$32-$R128)/(Einstellungen!$B$32-Einstellungen!$B$31)*100)))/100*Einstellungen!$B$9+IF($D128="",0,$D128/5*100)/100*Einstellungen!$B$10+IF($AD128="",0,$AD128)/100*Einstellungen!$B$11+IF($U128="",0,$U128/5*100)/100*Einstellungen!$B$12,0))</f>
        <v/>
      </c>
      <c r="Y128">
        <f>IF($X128="","",$X128*1000000000000+IF($G128="",0,$G128)*1000000+IF($H128="",0,$H128)*1000+IF($I128="",0,$I128)+IF($N128="",0,MAX(0,1000-$N128))/1000+IF($A128="",0,$A128)/1000000)</f>
        <v/>
      </c>
      <c r="Z128">
        <f>IF($Y128="","",_xludf.RANK.EQ($Y128,$Y$2:$Y$201,0))</f>
        <v/>
      </c>
    </row>
    <row r="129">
      <c r="R129">
        <f>IFERROR(IF($Q129="","",$Q129/$H129),"")</f>
        <v/>
      </c>
      <c r="S129">
        <f>IFERROR(IF($Q129="","",$Q129/$G129),"")</f>
        <v/>
      </c>
      <c r="W129">
        <f>IF(AND($L129="",$N129="",$P129=""),"",ROUND((IF($L129="",0,IF($L129&lt;=Einstellungen!$B$16,100,IF($L129&lt;=Einstellungen!$C$16,80+(100-80)*(Einstellungen!$C$16-$L129)/(Einstellungen!$C$16-Einstellungen!$B$16),IF($L129&lt;=Einstellungen!$D$16,80*(Einstellungen!$D$16-$L129)/(Einstellungen!$D$16-Einstellungen!$C$16),0))))*Einstellungen!$E$16+IF($N129="",0,IF($N129&lt;=Einstellungen!$B$17,100,IF($N129&lt;=Einstellungen!$C$17,80+(100-80)*(Einstellungen!$C$17-$N129)/(Einstellungen!$C$17-Einstellungen!$B$17),IF($N129&lt;=Einstellungen!$D$17,80*(Einstellungen!$D$17-$N129)/(Einstellungen!$D$17-Einstellungen!$C$17),0))))*Einstellungen!$E$17+IF($P129="",0,IF($P129&lt;=Einstellungen!$B$18,100,IF($P129&lt;=Einstellungen!$C$18,80+(100-80)*(Einstellungen!$C$18-$P129)/(Einstellungen!$C$18-Einstellungen!$B$18),IF($P129&lt;=Einstellungen!$D$18,80*(Einstellungen!$D$18-$P129)/(Einstellungen!$D$18-Einstellungen!$C$18),0))))*Einstellungen!$E$18)/(Einstellungen!$E$16+Einstellungen!$E$17+Einstellungen!$E$18),0))</f>
        <v/>
      </c>
      <c r="X129">
        <f>IF(AND($E129="",$D129="",$G129="",$V129="",$Q129="",$T129="",$W129="",$U129=""),"",ROUND(IF($E129="",0,IF($E129&lt;Einstellungen!$B$21,0,IF($E129&gt;=Einstellungen!$B$22,100,($E129-Einstellungen!$B$21)/(Einstellungen!$B$22-Einstellungen!$B$21)*100)))/100*Einstellungen!$B$5+IF($W129="",0,$W129/100)*Einstellungen!$B$6+(IF($G129="",0,MAX(0,MIN(100,($G129-Einstellungen!$B$25)/(Einstellungen!$B$26-Einstellungen!$B$25)*100)))+IF($I129="",0,MAX(0,MIN(100,($I129-Einstellungen!$B$27)/(Einstellungen!$B$28-Einstellungen!$B$27)*100))))/2/100*Einstellungen!$B$7+IF($V129="",0,$V129/100)*Einstellungen!$B$8+IF($R129="",0,MAX(0,MIN(100,(Einstellungen!$B$32-$R129)/(Einstellungen!$B$32-Einstellungen!$B$31)*100)))/100*Einstellungen!$B$9+IF($D129="",0,$D129/5*100)/100*Einstellungen!$B$10+IF($AD129="",0,$AD129)/100*Einstellungen!$B$11+IF($U129="",0,$U129/5*100)/100*Einstellungen!$B$12,0))</f>
        <v/>
      </c>
      <c r="Y129">
        <f>IF($X129="","",$X129*1000000000000+IF($G129="",0,$G129)*1000000+IF($H129="",0,$H129)*1000+IF($I129="",0,$I129)+IF($N129="",0,MAX(0,1000-$N129))/1000+IF($A129="",0,$A129)/1000000)</f>
        <v/>
      </c>
      <c r="Z129">
        <f>IF($Y129="","",_xludf.RANK.EQ($Y129,$Y$2:$Y$201,0))</f>
        <v/>
      </c>
    </row>
    <row r="130">
      <c r="R130">
        <f>IFERROR(IF($Q130="","",$Q130/$H130),"")</f>
        <v/>
      </c>
      <c r="S130">
        <f>IFERROR(IF($Q130="","",$Q130/$G130),"")</f>
        <v/>
      </c>
      <c r="W130">
        <f>IF(AND($L130="",$N130="",$P130=""),"",ROUND((IF($L130="",0,IF($L130&lt;=Einstellungen!$B$16,100,IF($L130&lt;=Einstellungen!$C$16,80+(100-80)*(Einstellungen!$C$16-$L130)/(Einstellungen!$C$16-Einstellungen!$B$16),IF($L130&lt;=Einstellungen!$D$16,80*(Einstellungen!$D$16-$L130)/(Einstellungen!$D$16-Einstellungen!$C$16),0))))*Einstellungen!$E$16+IF($N130="",0,IF($N130&lt;=Einstellungen!$B$17,100,IF($N130&lt;=Einstellungen!$C$17,80+(100-80)*(Einstellungen!$C$17-$N130)/(Einstellungen!$C$17-Einstellungen!$B$17),IF($N130&lt;=Einstellungen!$D$17,80*(Einstellungen!$D$17-$N130)/(Einstellungen!$D$17-Einstellungen!$C$17),0))))*Einstellungen!$E$17+IF($P130="",0,IF($P130&lt;=Einstellungen!$B$18,100,IF($P130&lt;=Einstellungen!$C$18,80+(100-80)*(Einstellungen!$C$18-$P130)/(Einstellungen!$C$18-Einstellungen!$B$18),IF($P130&lt;=Einstellungen!$D$18,80*(Einstellungen!$D$18-$P130)/(Einstellungen!$D$18-Einstellungen!$C$18),0))))*Einstellungen!$E$18)/(Einstellungen!$E$16+Einstellungen!$E$17+Einstellungen!$E$18),0))</f>
        <v/>
      </c>
      <c r="X130">
        <f>IF(AND($E130="",$D130="",$G130="",$V130="",$Q130="",$T130="",$W130="",$U130=""),"",ROUND(IF($E130="",0,IF($E130&lt;Einstellungen!$B$21,0,IF($E130&gt;=Einstellungen!$B$22,100,($E130-Einstellungen!$B$21)/(Einstellungen!$B$22-Einstellungen!$B$21)*100)))/100*Einstellungen!$B$5+IF($W130="",0,$W130/100)*Einstellungen!$B$6+(IF($G130="",0,MAX(0,MIN(100,($G130-Einstellungen!$B$25)/(Einstellungen!$B$26-Einstellungen!$B$25)*100)))+IF($I130="",0,MAX(0,MIN(100,($I130-Einstellungen!$B$27)/(Einstellungen!$B$28-Einstellungen!$B$27)*100))))/2/100*Einstellungen!$B$7+IF($V130="",0,$V130/100)*Einstellungen!$B$8+IF($R130="",0,MAX(0,MIN(100,(Einstellungen!$B$32-$R130)/(Einstellungen!$B$32-Einstellungen!$B$31)*100)))/100*Einstellungen!$B$9+IF($D130="",0,$D130/5*100)/100*Einstellungen!$B$10+IF($AD130="",0,$AD130)/100*Einstellungen!$B$11+IF($U130="",0,$U130/5*100)/100*Einstellungen!$B$12,0))</f>
        <v/>
      </c>
      <c r="Y130">
        <f>IF($X130="","",$X130*1000000000000+IF($G130="",0,$G130)*1000000+IF($H130="",0,$H130)*1000+IF($I130="",0,$I130)+IF($N130="",0,MAX(0,1000-$N130))/1000+IF($A130="",0,$A130)/1000000)</f>
        <v/>
      </c>
      <c r="Z130">
        <f>IF($Y130="","",_xludf.RANK.EQ($Y130,$Y$2:$Y$201,0))</f>
        <v/>
      </c>
    </row>
    <row r="131">
      <c r="R131">
        <f>IFERROR(IF($Q131="","",$Q131/$H131),"")</f>
        <v/>
      </c>
      <c r="S131">
        <f>IFERROR(IF($Q131="","",$Q131/$G131),"")</f>
        <v/>
      </c>
      <c r="W131">
        <f>IF(AND($L131="",$N131="",$P131=""),"",ROUND((IF($L131="",0,IF($L131&lt;=Einstellungen!$B$16,100,IF($L131&lt;=Einstellungen!$C$16,80+(100-80)*(Einstellungen!$C$16-$L131)/(Einstellungen!$C$16-Einstellungen!$B$16),IF($L131&lt;=Einstellungen!$D$16,80*(Einstellungen!$D$16-$L131)/(Einstellungen!$D$16-Einstellungen!$C$16),0))))*Einstellungen!$E$16+IF($N131="",0,IF($N131&lt;=Einstellungen!$B$17,100,IF($N131&lt;=Einstellungen!$C$17,80+(100-80)*(Einstellungen!$C$17-$N131)/(Einstellungen!$C$17-Einstellungen!$B$17),IF($N131&lt;=Einstellungen!$D$17,80*(Einstellungen!$D$17-$N131)/(Einstellungen!$D$17-Einstellungen!$C$17),0))))*Einstellungen!$E$17+IF($P131="",0,IF($P131&lt;=Einstellungen!$B$18,100,IF($P131&lt;=Einstellungen!$C$18,80+(100-80)*(Einstellungen!$C$18-$P131)/(Einstellungen!$C$18-Einstellungen!$B$18),IF($P131&lt;=Einstellungen!$D$18,80*(Einstellungen!$D$18-$P131)/(Einstellungen!$D$18-Einstellungen!$C$18),0))))*Einstellungen!$E$18)/(Einstellungen!$E$16+Einstellungen!$E$17+Einstellungen!$E$18),0))</f>
        <v/>
      </c>
      <c r="X131">
        <f>IF(AND($E131="",$D131="",$G131="",$V131="",$Q131="",$T131="",$W131="",$U131=""),"",ROUND(IF($E131="",0,IF($E131&lt;Einstellungen!$B$21,0,IF($E131&gt;=Einstellungen!$B$22,100,($E131-Einstellungen!$B$21)/(Einstellungen!$B$22-Einstellungen!$B$21)*100)))/100*Einstellungen!$B$5+IF($W131="",0,$W131/100)*Einstellungen!$B$6+(IF($G131="",0,MAX(0,MIN(100,($G131-Einstellungen!$B$25)/(Einstellungen!$B$26-Einstellungen!$B$25)*100)))+IF($I131="",0,MAX(0,MIN(100,($I131-Einstellungen!$B$27)/(Einstellungen!$B$28-Einstellungen!$B$27)*100))))/2/100*Einstellungen!$B$7+IF($V131="",0,$V131/100)*Einstellungen!$B$8+IF($R131="",0,MAX(0,MIN(100,(Einstellungen!$B$32-$R131)/(Einstellungen!$B$32-Einstellungen!$B$31)*100)))/100*Einstellungen!$B$9+IF($D131="",0,$D131/5*100)/100*Einstellungen!$B$10+IF($AD131="",0,$AD131)/100*Einstellungen!$B$11+IF($U131="",0,$U131/5*100)/100*Einstellungen!$B$12,0))</f>
        <v/>
      </c>
      <c r="Y131">
        <f>IF($X131="","",$X131*1000000000000+IF($G131="",0,$G131)*1000000+IF($H131="",0,$H131)*1000+IF($I131="",0,$I131)+IF($N131="",0,MAX(0,1000-$N131))/1000+IF($A131="",0,$A131)/1000000)</f>
        <v/>
      </c>
      <c r="Z131">
        <f>IF($Y131="","",_xludf.RANK.EQ($Y131,$Y$2:$Y$201,0))</f>
        <v/>
      </c>
    </row>
    <row r="132">
      <c r="R132">
        <f>IFERROR(IF($Q132="","",$Q132/$H132),"")</f>
        <v/>
      </c>
      <c r="S132">
        <f>IFERROR(IF($Q132="","",$Q132/$G132),"")</f>
        <v/>
      </c>
      <c r="W132">
        <f>IF(AND($L132="",$N132="",$P132=""),"",ROUND((IF($L132="",0,IF($L132&lt;=Einstellungen!$B$16,100,IF($L132&lt;=Einstellungen!$C$16,80+(100-80)*(Einstellungen!$C$16-$L132)/(Einstellungen!$C$16-Einstellungen!$B$16),IF($L132&lt;=Einstellungen!$D$16,80*(Einstellungen!$D$16-$L132)/(Einstellungen!$D$16-Einstellungen!$C$16),0))))*Einstellungen!$E$16+IF($N132="",0,IF($N132&lt;=Einstellungen!$B$17,100,IF($N132&lt;=Einstellungen!$C$17,80+(100-80)*(Einstellungen!$C$17-$N132)/(Einstellungen!$C$17-Einstellungen!$B$17),IF($N132&lt;=Einstellungen!$D$17,80*(Einstellungen!$D$17-$N132)/(Einstellungen!$D$17-Einstellungen!$C$17),0))))*Einstellungen!$E$17+IF($P132="",0,IF($P132&lt;=Einstellungen!$B$18,100,IF($P132&lt;=Einstellungen!$C$18,80+(100-80)*(Einstellungen!$C$18-$P132)/(Einstellungen!$C$18-Einstellungen!$B$18),IF($P132&lt;=Einstellungen!$D$18,80*(Einstellungen!$D$18-$P132)/(Einstellungen!$D$18-Einstellungen!$C$18),0))))*Einstellungen!$E$18)/(Einstellungen!$E$16+Einstellungen!$E$17+Einstellungen!$E$18),0))</f>
        <v/>
      </c>
      <c r="X132">
        <f>IF(AND($E132="",$D132="",$G132="",$V132="",$Q132="",$T132="",$W132="",$U132=""),"",ROUND(IF($E132="",0,IF($E132&lt;Einstellungen!$B$21,0,IF($E132&gt;=Einstellungen!$B$22,100,($E132-Einstellungen!$B$21)/(Einstellungen!$B$22-Einstellungen!$B$21)*100)))/100*Einstellungen!$B$5+IF($W132="",0,$W132/100)*Einstellungen!$B$6+(IF($G132="",0,MAX(0,MIN(100,($G132-Einstellungen!$B$25)/(Einstellungen!$B$26-Einstellungen!$B$25)*100)))+IF($I132="",0,MAX(0,MIN(100,($I132-Einstellungen!$B$27)/(Einstellungen!$B$28-Einstellungen!$B$27)*100))))/2/100*Einstellungen!$B$7+IF($V132="",0,$V132/100)*Einstellungen!$B$8+IF($R132="",0,MAX(0,MIN(100,(Einstellungen!$B$32-$R132)/(Einstellungen!$B$32-Einstellungen!$B$31)*100)))/100*Einstellungen!$B$9+IF($D132="",0,$D132/5*100)/100*Einstellungen!$B$10+IF($AD132="",0,$AD132)/100*Einstellungen!$B$11+IF($U132="",0,$U132/5*100)/100*Einstellungen!$B$12,0))</f>
        <v/>
      </c>
      <c r="Y132">
        <f>IF($X132="","",$X132*1000000000000+IF($G132="",0,$G132)*1000000+IF($H132="",0,$H132)*1000+IF($I132="",0,$I132)+IF($N132="",0,MAX(0,1000-$N132))/1000+IF($A132="",0,$A132)/1000000)</f>
        <v/>
      </c>
      <c r="Z132">
        <f>IF($Y132="","",_xludf.RANK.EQ($Y132,$Y$2:$Y$201,0))</f>
        <v/>
      </c>
    </row>
    <row r="133">
      <c r="R133">
        <f>IFERROR(IF($Q133="","",$Q133/$H133),"")</f>
        <v/>
      </c>
      <c r="S133">
        <f>IFERROR(IF($Q133="","",$Q133/$G133),"")</f>
        <v/>
      </c>
      <c r="W133">
        <f>IF(AND($L133="",$N133="",$P133=""),"",ROUND((IF($L133="",0,IF($L133&lt;=Einstellungen!$B$16,100,IF($L133&lt;=Einstellungen!$C$16,80+(100-80)*(Einstellungen!$C$16-$L133)/(Einstellungen!$C$16-Einstellungen!$B$16),IF($L133&lt;=Einstellungen!$D$16,80*(Einstellungen!$D$16-$L133)/(Einstellungen!$D$16-Einstellungen!$C$16),0))))*Einstellungen!$E$16+IF($N133="",0,IF($N133&lt;=Einstellungen!$B$17,100,IF($N133&lt;=Einstellungen!$C$17,80+(100-80)*(Einstellungen!$C$17-$N133)/(Einstellungen!$C$17-Einstellungen!$B$17),IF($N133&lt;=Einstellungen!$D$17,80*(Einstellungen!$D$17-$N133)/(Einstellungen!$D$17-Einstellungen!$C$17),0))))*Einstellungen!$E$17+IF($P133="",0,IF($P133&lt;=Einstellungen!$B$18,100,IF($P133&lt;=Einstellungen!$C$18,80+(100-80)*(Einstellungen!$C$18-$P133)/(Einstellungen!$C$18-Einstellungen!$B$18),IF($P133&lt;=Einstellungen!$D$18,80*(Einstellungen!$D$18-$P133)/(Einstellungen!$D$18-Einstellungen!$C$18),0))))*Einstellungen!$E$18)/(Einstellungen!$E$16+Einstellungen!$E$17+Einstellungen!$E$18),0))</f>
        <v/>
      </c>
      <c r="X133">
        <f>IF(AND($E133="",$D133="",$G133="",$V133="",$Q133="",$T133="",$W133="",$U133=""),"",ROUND(IF($E133="",0,IF($E133&lt;Einstellungen!$B$21,0,IF($E133&gt;=Einstellungen!$B$22,100,($E133-Einstellungen!$B$21)/(Einstellungen!$B$22-Einstellungen!$B$21)*100)))/100*Einstellungen!$B$5+IF($W133="",0,$W133/100)*Einstellungen!$B$6+(IF($G133="",0,MAX(0,MIN(100,($G133-Einstellungen!$B$25)/(Einstellungen!$B$26-Einstellungen!$B$25)*100)))+IF($I133="",0,MAX(0,MIN(100,($I133-Einstellungen!$B$27)/(Einstellungen!$B$28-Einstellungen!$B$27)*100))))/2/100*Einstellungen!$B$7+IF($V133="",0,$V133/100)*Einstellungen!$B$8+IF($R133="",0,MAX(0,MIN(100,(Einstellungen!$B$32-$R133)/(Einstellungen!$B$32-Einstellungen!$B$31)*100)))/100*Einstellungen!$B$9+IF($D133="",0,$D133/5*100)/100*Einstellungen!$B$10+IF($AD133="",0,$AD133)/100*Einstellungen!$B$11+IF($U133="",0,$U133/5*100)/100*Einstellungen!$B$12,0))</f>
        <v/>
      </c>
      <c r="Y133">
        <f>IF($X133="","",$X133*1000000000000+IF($G133="",0,$G133)*1000000+IF($H133="",0,$H133)*1000+IF($I133="",0,$I133)+IF($N133="",0,MAX(0,1000-$N133))/1000+IF($A133="",0,$A133)/1000000)</f>
        <v/>
      </c>
      <c r="Z133">
        <f>IF($Y133="","",_xludf.RANK.EQ($Y133,$Y$2:$Y$201,0))</f>
        <v/>
      </c>
    </row>
    <row r="134">
      <c r="R134">
        <f>IFERROR(IF($Q134="","",$Q134/$H134),"")</f>
        <v/>
      </c>
      <c r="S134">
        <f>IFERROR(IF($Q134="","",$Q134/$G134),"")</f>
        <v/>
      </c>
      <c r="W134">
        <f>IF(AND($L134="",$N134="",$P134=""),"",ROUND((IF($L134="",0,IF($L134&lt;=Einstellungen!$B$16,100,IF($L134&lt;=Einstellungen!$C$16,80+(100-80)*(Einstellungen!$C$16-$L134)/(Einstellungen!$C$16-Einstellungen!$B$16),IF($L134&lt;=Einstellungen!$D$16,80*(Einstellungen!$D$16-$L134)/(Einstellungen!$D$16-Einstellungen!$C$16),0))))*Einstellungen!$E$16+IF($N134="",0,IF($N134&lt;=Einstellungen!$B$17,100,IF($N134&lt;=Einstellungen!$C$17,80+(100-80)*(Einstellungen!$C$17-$N134)/(Einstellungen!$C$17-Einstellungen!$B$17),IF($N134&lt;=Einstellungen!$D$17,80*(Einstellungen!$D$17-$N134)/(Einstellungen!$D$17-Einstellungen!$C$17),0))))*Einstellungen!$E$17+IF($P134="",0,IF($P134&lt;=Einstellungen!$B$18,100,IF($P134&lt;=Einstellungen!$C$18,80+(100-80)*(Einstellungen!$C$18-$P134)/(Einstellungen!$C$18-Einstellungen!$B$18),IF($P134&lt;=Einstellungen!$D$18,80*(Einstellungen!$D$18-$P134)/(Einstellungen!$D$18-Einstellungen!$C$18),0))))*Einstellungen!$E$18)/(Einstellungen!$E$16+Einstellungen!$E$17+Einstellungen!$E$18),0))</f>
        <v/>
      </c>
      <c r="X134">
        <f>IF(AND($E134="",$D134="",$G134="",$V134="",$Q134="",$T134="",$W134="",$U134=""),"",ROUND(IF($E134="",0,IF($E134&lt;Einstellungen!$B$21,0,IF($E134&gt;=Einstellungen!$B$22,100,($E134-Einstellungen!$B$21)/(Einstellungen!$B$22-Einstellungen!$B$21)*100)))/100*Einstellungen!$B$5+IF($W134="",0,$W134/100)*Einstellungen!$B$6+(IF($G134="",0,MAX(0,MIN(100,($G134-Einstellungen!$B$25)/(Einstellungen!$B$26-Einstellungen!$B$25)*100)))+IF($I134="",0,MAX(0,MIN(100,($I134-Einstellungen!$B$27)/(Einstellungen!$B$28-Einstellungen!$B$27)*100))))/2/100*Einstellungen!$B$7+IF($V134="",0,$V134/100)*Einstellungen!$B$8+IF($R134="",0,MAX(0,MIN(100,(Einstellungen!$B$32-$R134)/(Einstellungen!$B$32-Einstellungen!$B$31)*100)))/100*Einstellungen!$B$9+IF($D134="",0,$D134/5*100)/100*Einstellungen!$B$10+IF($AD134="",0,$AD134)/100*Einstellungen!$B$11+IF($U134="",0,$U134/5*100)/100*Einstellungen!$B$12,0))</f>
        <v/>
      </c>
      <c r="Y134">
        <f>IF($X134="","",$X134*1000000000000+IF($G134="",0,$G134)*1000000+IF($H134="",0,$H134)*1000+IF($I134="",0,$I134)+IF($N134="",0,MAX(0,1000-$N134))/1000+IF($A134="",0,$A134)/1000000)</f>
        <v/>
      </c>
      <c r="Z134">
        <f>IF($Y134="","",_xludf.RANK.EQ($Y134,$Y$2:$Y$201,0))</f>
        <v/>
      </c>
    </row>
    <row r="135">
      <c r="R135">
        <f>IFERROR(IF($Q135="","",$Q135/$H135),"")</f>
        <v/>
      </c>
      <c r="S135">
        <f>IFERROR(IF($Q135="","",$Q135/$G135),"")</f>
        <v/>
      </c>
      <c r="W135">
        <f>IF(AND($L135="",$N135="",$P135=""),"",ROUND((IF($L135="",0,IF($L135&lt;=Einstellungen!$B$16,100,IF($L135&lt;=Einstellungen!$C$16,80+(100-80)*(Einstellungen!$C$16-$L135)/(Einstellungen!$C$16-Einstellungen!$B$16),IF($L135&lt;=Einstellungen!$D$16,80*(Einstellungen!$D$16-$L135)/(Einstellungen!$D$16-Einstellungen!$C$16),0))))*Einstellungen!$E$16+IF($N135="",0,IF($N135&lt;=Einstellungen!$B$17,100,IF($N135&lt;=Einstellungen!$C$17,80+(100-80)*(Einstellungen!$C$17-$N135)/(Einstellungen!$C$17-Einstellungen!$B$17),IF($N135&lt;=Einstellungen!$D$17,80*(Einstellungen!$D$17-$N135)/(Einstellungen!$D$17-Einstellungen!$C$17),0))))*Einstellungen!$E$17+IF($P135="",0,IF($P135&lt;=Einstellungen!$B$18,100,IF($P135&lt;=Einstellungen!$C$18,80+(100-80)*(Einstellungen!$C$18-$P135)/(Einstellungen!$C$18-Einstellungen!$B$18),IF($P135&lt;=Einstellungen!$D$18,80*(Einstellungen!$D$18-$P135)/(Einstellungen!$D$18-Einstellungen!$C$18),0))))*Einstellungen!$E$18)/(Einstellungen!$E$16+Einstellungen!$E$17+Einstellungen!$E$18),0))</f>
        <v/>
      </c>
      <c r="X135">
        <f>IF(AND($E135="",$D135="",$G135="",$V135="",$Q135="",$T135="",$W135="",$U135=""),"",ROUND(IF($E135="",0,IF($E135&lt;Einstellungen!$B$21,0,IF($E135&gt;=Einstellungen!$B$22,100,($E135-Einstellungen!$B$21)/(Einstellungen!$B$22-Einstellungen!$B$21)*100)))/100*Einstellungen!$B$5+IF($W135="",0,$W135/100)*Einstellungen!$B$6+(IF($G135="",0,MAX(0,MIN(100,($G135-Einstellungen!$B$25)/(Einstellungen!$B$26-Einstellungen!$B$25)*100)))+IF($I135="",0,MAX(0,MIN(100,($I135-Einstellungen!$B$27)/(Einstellungen!$B$28-Einstellungen!$B$27)*100))))/2/100*Einstellungen!$B$7+IF($V135="",0,$V135/100)*Einstellungen!$B$8+IF($R135="",0,MAX(0,MIN(100,(Einstellungen!$B$32-$R135)/(Einstellungen!$B$32-Einstellungen!$B$31)*100)))/100*Einstellungen!$B$9+IF($D135="",0,$D135/5*100)/100*Einstellungen!$B$10+IF($AD135="",0,$AD135)/100*Einstellungen!$B$11+IF($U135="",0,$U135/5*100)/100*Einstellungen!$B$12,0))</f>
        <v/>
      </c>
      <c r="Y135">
        <f>IF($X135="","",$X135*1000000000000+IF($G135="",0,$G135)*1000000+IF($H135="",0,$H135)*1000+IF($I135="",0,$I135)+IF($N135="",0,MAX(0,1000-$N135))/1000+IF($A135="",0,$A135)/1000000)</f>
        <v/>
      </c>
      <c r="Z135">
        <f>IF($Y135="","",_xludf.RANK.EQ($Y135,$Y$2:$Y$201,0))</f>
        <v/>
      </c>
    </row>
    <row r="136">
      <c r="R136">
        <f>IFERROR(IF($Q136="","",$Q136/$H136),"")</f>
        <v/>
      </c>
      <c r="S136">
        <f>IFERROR(IF($Q136="","",$Q136/$G136),"")</f>
        <v/>
      </c>
      <c r="W136">
        <f>IF(AND($L136="",$N136="",$P136=""),"",ROUND((IF($L136="",0,IF($L136&lt;=Einstellungen!$B$16,100,IF($L136&lt;=Einstellungen!$C$16,80+(100-80)*(Einstellungen!$C$16-$L136)/(Einstellungen!$C$16-Einstellungen!$B$16),IF($L136&lt;=Einstellungen!$D$16,80*(Einstellungen!$D$16-$L136)/(Einstellungen!$D$16-Einstellungen!$C$16),0))))*Einstellungen!$E$16+IF($N136="",0,IF($N136&lt;=Einstellungen!$B$17,100,IF($N136&lt;=Einstellungen!$C$17,80+(100-80)*(Einstellungen!$C$17-$N136)/(Einstellungen!$C$17-Einstellungen!$B$17),IF($N136&lt;=Einstellungen!$D$17,80*(Einstellungen!$D$17-$N136)/(Einstellungen!$D$17-Einstellungen!$C$17),0))))*Einstellungen!$E$17+IF($P136="",0,IF($P136&lt;=Einstellungen!$B$18,100,IF($P136&lt;=Einstellungen!$C$18,80+(100-80)*(Einstellungen!$C$18-$P136)/(Einstellungen!$C$18-Einstellungen!$B$18),IF($P136&lt;=Einstellungen!$D$18,80*(Einstellungen!$D$18-$P136)/(Einstellungen!$D$18-Einstellungen!$C$18),0))))*Einstellungen!$E$18)/(Einstellungen!$E$16+Einstellungen!$E$17+Einstellungen!$E$18),0))</f>
        <v/>
      </c>
      <c r="X136">
        <f>IF(AND($E136="",$D136="",$G136="",$V136="",$Q136="",$T136="",$W136="",$U136=""),"",ROUND(IF($E136="",0,IF($E136&lt;Einstellungen!$B$21,0,IF($E136&gt;=Einstellungen!$B$22,100,($E136-Einstellungen!$B$21)/(Einstellungen!$B$22-Einstellungen!$B$21)*100)))/100*Einstellungen!$B$5+IF($W136="",0,$W136/100)*Einstellungen!$B$6+(IF($G136="",0,MAX(0,MIN(100,($G136-Einstellungen!$B$25)/(Einstellungen!$B$26-Einstellungen!$B$25)*100)))+IF($I136="",0,MAX(0,MIN(100,($I136-Einstellungen!$B$27)/(Einstellungen!$B$28-Einstellungen!$B$27)*100))))/2/100*Einstellungen!$B$7+IF($V136="",0,$V136/100)*Einstellungen!$B$8+IF($R136="",0,MAX(0,MIN(100,(Einstellungen!$B$32-$R136)/(Einstellungen!$B$32-Einstellungen!$B$31)*100)))/100*Einstellungen!$B$9+IF($D136="",0,$D136/5*100)/100*Einstellungen!$B$10+IF($AD136="",0,$AD136)/100*Einstellungen!$B$11+IF($U136="",0,$U136/5*100)/100*Einstellungen!$B$12,0))</f>
        <v/>
      </c>
      <c r="Y136">
        <f>IF($X136="","",$X136*1000000000000+IF($G136="",0,$G136)*1000000+IF($H136="",0,$H136)*1000+IF($I136="",0,$I136)+IF($N136="",0,MAX(0,1000-$N136))/1000+IF($A136="",0,$A136)/1000000)</f>
        <v/>
      </c>
      <c r="Z136">
        <f>IF($Y136="","",_xludf.RANK.EQ($Y136,$Y$2:$Y$201,0))</f>
        <v/>
      </c>
    </row>
    <row r="137">
      <c r="R137">
        <f>IFERROR(IF($Q137="","",$Q137/$H137),"")</f>
        <v/>
      </c>
      <c r="S137">
        <f>IFERROR(IF($Q137="","",$Q137/$G137),"")</f>
        <v/>
      </c>
      <c r="W137">
        <f>IF(AND($L137="",$N137="",$P137=""),"",ROUND((IF($L137="",0,IF($L137&lt;=Einstellungen!$B$16,100,IF($L137&lt;=Einstellungen!$C$16,80+(100-80)*(Einstellungen!$C$16-$L137)/(Einstellungen!$C$16-Einstellungen!$B$16),IF($L137&lt;=Einstellungen!$D$16,80*(Einstellungen!$D$16-$L137)/(Einstellungen!$D$16-Einstellungen!$C$16),0))))*Einstellungen!$E$16+IF($N137="",0,IF($N137&lt;=Einstellungen!$B$17,100,IF($N137&lt;=Einstellungen!$C$17,80+(100-80)*(Einstellungen!$C$17-$N137)/(Einstellungen!$C$17-Einstellungen!$B$17),IF($N137&lt;=Einstellungen!$D$17,80*(Einstellungen!$D$17-$N137)/(Einstellungen!$D$17-Einstellungen!$C$17),0))))*Einstellungen!$E$17+IF($P137="",0,IF($P137&lt;=Einstellungen!$B$18,100,IF($P137&lt;=Einstellungen!$C$18,80+(100-80)*(Einstellungen!$C$18-$P137)/(Einstellungen!$C$18-Einstellungen!$B$18),IF($P137&lt;=Einstellungen!$D$18,80*(Einstellungen!$D$18-$P137)/(Einstellungen!$D$18-Einstellungen!$C$18),0))))*Einstellungen!$E$18)/(Einstellungen!$E$16+Einstellungen!$E$17+Einstellungen!$E$18),0))</f>
        <v/>
      </c>
      <c r="X137">
        <f>IF(AND($E137="",$D137="",$G137="",$V137="",$Q137="",$T137="",$W137="",$U137=""),"",ROUND(IF($E137="",0,IF($E137&lt;Einstellungen!$B$21,0,IF($E137&gt;=Einstellungen!$B$22,100,($E137-Einstellungen!$B$21)/(Einstellungen!$B$22-Einstellungen!$B$21)*100)))/100*Einstellungen!$B$5+IF($W137="",0,$W137/100)*Einstellungen!$B$6+(IF($G137="",0,MAX(0,MIN(100,($G137-Einstellungen!$B$25)/(Einstellungen!$B$26-Einstellungen!$B$25)*100)))+IF($I137="",0,MAX(0,MIN(100,($I137-Einstellungen!$B$27)/(Einstellungen!$B$28-Einstellungen!$B$27)*100))))/2/100*Einstellungen!$B$7+IF($V137="",0,$V137/100)*Einstellungen!$B$8+IF($R137="",0,MAX(0,MIN(100,(Einstellungen!$B$32-$R137)/(Einstellungen!$B$32-Einstellungen!$B$31)*100)))/100*Einstellungen!$B$9+IF($D137="",0,$D137/5*100)/100*Einstellungen!$B$10+IF($AD137="",0,$AD137)/100*Einstellungen!$B$11+IF($U137="",0,$U137/5*100)/100*Einstellungen!$B$12,0))</f>
        <v/>
      </c>
      <c r="Y137">
        <f>IF($X137="","",$X137*1000000000000+IF($G137="",0,$G137)*1000000+IF($H137="",0,$H137)*1000+IF($I137="",0,$I137)+IF($N137="",0,MAX(0,1000-$N137))/1000+IF($A137="",0,$A137)/1000000)</f>
        <v/>
      </c>
      <c r="Z137">
        <f>IF($Y137="","",_xludf.RANK.EQ($Y137,$Y$2:$Y$201,0))</f>
        <v/>
      </c>
    </row>
    <row r="138">
      <c r="R138">
        <f>IFERROR(IF($Q138="","",$Q138/$H138),"")</f>
        <v/>
      </c>
      <c r="S138">
        <f>IFERROR(IF($Q138="","",$Q138/$G138),"")</f>
        <v/>
      </c>
      <c r="W138">
        <f>IF(AND($L138="",$N138="",$P138=""),"",ROUND((IF($L138="",0,IF($L138&lt;=Einstellungen!$B$16,100,IF($L138&lt;=Einstellungen!$C$16,80+(100-80)*(Einstellungen!$C$16-$L138)/(Einstellungen!$C$16-Einstellungen!$B$16),IF($L138&lt;=Einstellungen!$D$16,80*(Einstellungen!$D$16-$L138)/(Einstellungen!$D$16-Einstellungen!$C$16),0))))*Einstellungen!$E$16+IF($N138="",0,IF($N138&lt;=Einstellungen!$B$17,100,IF($N138&lt;=Einstellungen!$C$17,80+(100-80)*(Einstellungen!$C$17-$N138)/(Einstellungen!$C$17-Einstellungen!$B$17),IF($N138&lt;=Einstellungen!$D$17,80*(Einstellungen!$D$17-$N138)/(Einstellungen!$D$17-Einstellungen!$C$17),0))))*Einstellungen!$E$17+IF($P138="",0,IF($P138&lt;=Einstellungen!$B$18,100,IF($P138&lt;=Einstellungen!$C$18,80+(100-80)*(Einstellungen!$C$18-$P138)/(Einstellungen!$C$18-Einstellungen!$B$18),IF($P138&lt;=Einstellungen!$D$18,80*(Einstellungen!$D$18-$P138)/(Einstellungen!$D$18-Einstellungen!$C$18),0))))*Einstellungen!$E$18)/(Einstellungen!$E$16+Einstellungen!$E$17+Einstellungen!$E$18),0))</f>
        <v/>
      </c>
      <c r="X138">
        <f>IF(AND($E138="",$D138="",$G138="",$V138="",$Q138="",$T138="",$W138="",$U138=""),"",ROUND(IF($E138="",0,IF($E138&lt;Einstellungen!$B$21,0,IF($E138&gt;=Einstellungen!$B$22,100,($E138-Einstellungen!$B$21)/(Einstellungen!$B$22-Einstellungen!$B$21)*100)))/100*Einstellungen!$B$5+IF($W138="",0,$W138/100)*Einstellungen!$B$6+(IF($G138="",0,MAX(0,MIN(100,($G138-Einstellungen!$B$25)/(Einstellungen!$B$26-Einstellungen!$B$25)*100)))+IF($I138="",0,MAX(0,MIN(100,($I138-Einstellungen!$B$27)/(Einstellungen!$B$28-Einstellungen!$B$27)*100))))/2/100*Einstellungen!$B$7+IF($V138="",0,$V138/100)*Einstellungen!$B$8+IF($R138="",0,MAX(0,MIN(100,(Einstellungen!$B$32-$R138)/(Einstellungen!$B$32-Einstellungen!$B$31)*100)))/100*Einstellungen!$B$9+IF($D138="",0,$D138/5*100)/100*Einstellungen!$B$10+IF($AD138="",0,$AD138)/100*Einstellungen!$B$11+IF($U138="",0,$U138/5*100)/100*Einstellungen!$B$12,0))</f>
        <v/>
      </c>
      <c r="Y138">
        <f>IF($X138="","",$X138*1000000000000+IF($G138="",0,$G138)*1000000+IF($H138="",0,$H138)*1000+IF($I138="",0,$I138)+IF($N138="",0,MAX(0,1000-$N138))/1000+IF($A138="",0,$A138)/1000000)</f>
        <v/>
      </c>
      <c r="Z138">
        <f>IF($Y138="","",_xludf.RANK.EQ($Y138,$Y$2:$Y$201,0))</f>
        <v/>
      </c>
    </row>
    <row r="139">
      <c r="R139">
        <f>IFERROR(IF($Q139="","",$Q139/$H139),"")</f>
        <v/>
      </c>
      <c r="S139">
        <f>IFERROR(IF($Q139="","",$Q139/$G139),"")</f>
        <v/>
      </c>
      <c r="W139">
        <f>IF(AND($L139="",$N139="",$P139=""),"",ROUND((IF($L139="",0,IF($L139&lt;=Einstellungen!$B$16,100,IF($L139&lt;=Einstellungen!$C$16,80+(100-80)*(Einstellungen!$C$16-$L139)/(Einstellungen!$C$16-Einstellungen!$B$16),IF($L139&lt;=Einstellungen!$D$16,80*(Einstellungen!$D$16-$L139)/(Einstellungen!$D$16-Einstellungen!$C$16),0))))*Einstellungen!$E$16+IF($N139="",0,IF($N139&lt;=Einstellungen!$B$17,100,IF($N139&lt;=Einstellungen!$C$17,80+(100-80)*(Einstellungen!$C$17-$N139)/(Einstellungen!$C$17-Einstellungen!$B$17),IF($N139&lt;=Einstellungen!$D$17,80*(Einstellungen!$D$17-$N139)/(Einstellungen!$D$17-Einstellungen!$C$17),0))))*Einstellungen!$E$17+IF($P139="",0,IF($P139&lt;=Einstellungen!$B$18,100,IF($P139&lt;=Einstellungen!$C$18,80+(100-80)*(Einstellungen!$C$18-$P139)/(Einstellungen!$C$18-Einstellungen!$B$18),IF($P139&lt;=Einstellungen!$D$18,80*(Einstellungen!$D$18-$P139)/(Einstellungen!$D$18-Einstellungen!$C$18),0))))*Einstellungen!$E$18)/(Einstellungen!$E$16+Einstellungen!$E$17+Einstellungen!$E$18),0))</f>
        <v/>
      </c>
      <c r="X139">
        <f>IF(AND($E139="",$D139="",$G139="",$V139="",$Q139="",$T139="",$W139="",$U139=""),"",ROUND(IF($E139="",0,IF($E139&lt;Einstellungen!$B$21,0,IF($E139&gt;=Einstellungen!$B$22,100,($E139-Einstellungen!$B$21)/(Einstellungen!$B$22-Einstellungen!$B$21)*100)))/100*Einstellungen!$B$5+IF($W139="",0,$W139/100)*Einstellungen!$B$6+(IF($G139="",0,MAX(0,MIN(100,($G139-Einstellungen!$B$25)/(Einstellungen!$B$26-Einstellungen!$B$25)*100)))+IF($I139="",0,MAX(0,MIN(100,($I139-Einstellungen!$B$27)/(Einstellungen!$B$28-Einstellungen!$B$27)*100))))/2/100*Einstellungen!$B$7+IF($V139="",0,$V139/100)*Einstellungen!$B$8+IF($R139="",0,MAX(0,MIN(100,(Einstellungen!$B$32-$R139)/(Einstellungen!$B$32-Einstellungen!$B$31)*100)))/100*Einstellungen!$B$9+IF($D139="",0,$D139/5*100)/100*Einstellungen!$B$10+IF($AD139="",0,$AD139)/100*Einstellungen!$B$11+IF($U139="",0,$U139/5*100)/100*Einstellungen!$B$12,0))</f>
        <v/>
      </c>
      <c r="Y139">
        <f>IF($X139="","",$X139*1000000000000+IF($G139="",0,$G139)*1000000+IF($H139="",0,$H139)*1000+IF($I139="",0,$I139)+IF($N139="",0,MAX(0,1000-$N139))/1000+IF($A139="",0,$A139)/1000000)</f>
        <v/>
      </c>
      <c r="Z139">
        <f>IF($Y139="","",_xludf.RANK.EQ($Y139,$Y$2:$Y$201,0))</f>
        <v/>
      </c>
    </row>
    <row r="140">
      <c r="R140">
        <f>IFERROR(IF($Q140="","",$Q140/$H140),"")</f>
        <v/>
      </c>
      <c r="S140">
        <f>IFERROR(IF($Q140="","",$Q140/$G140),"")</f>
        <v/>
      </c>
      <c r="W140">
        <f>IF(AND($L140="",$N140="",$P140=""),"",ROUND((IF($L140="",0,IF($L140&lt;=Einstellungen!$B$16,100,IF($L140&lt;=Einstellungen!$C$16,80+(100-80)*(Einstellungen!$C$16-$L140)/(Einstellungen!$C$16-Einstellungen!$B$16),IF($L140&lt;=Einstellungen!$D$16,80*(Einstellungen!$D$16-$L140)/(Einstellungen!$D$16-Einstellungen!$C$16),0))))*Einstellungen!$E$16+IF($N140="",0,IF($N140&lt;=Einstellungen!$B$17,100,IF($N140&lt;=Einstellungen!$C$17,80+(100-80)*(Einstellungen!$C$17-$N140)/(Einstellungen!$C$17-Einstellungen!$B$17),IF($N140&lt;=Einstellungen!$D$17,80*(Einstellungen!$D$17-$N140)/(Einstellungen!$D$17-Einstellungen!$C$17),0))))*Einstellungen!$E$17+IF($P140="",0,IF($P140&lt;=Einstellungen!$B$18,100,IF($P140&lt;=Einstellungen!$C$18,80+(100-80)*(Einstellungen!$C$18-$P140)/(Einstellungen!$C$18-Einstellungen!$B$18),IF($P140&lt;=Einstellungen!$D$18,80*(Einstellungen!$D$18-$P140)/(Einstellungen!$D$18-Einstellungen!$C$18),0))))*Einstellungen!$E$18)/(Einstellungen!$E$16+Einstellungen!$E$17+Einstellungen!$E$18),0))</f>
        <v/>
      </c>
      <c r="X140">
        <f>IF(AND($E140="",$D140="",$G140="",$V140="",$Q140="",$T140="",$W140="",$U140=""),"",ROUND(IF($E140="",0,IF($E140&lt;Einstellungen!$B$21,0,IF($E140&gt;=Einstellungen!$B$22,100,($E140-Einstellungen!$B$21)/(Einstellungen!$B$22-Einstellungen!$B$21)*100)))/100*Einstellungen!$B$5+IF($W140="",0,$W140/100)*Einstellungen!$B$6+(IF($G140="",0,MAX(0,MIN(100,($G140-Einstellungen!$B$25)/(Einstellungen!$B$26-Einstellungen!$B$25)*100)))+IF($I140="",0,MAX(0,MIN(100,($I140-Einstellungen!$B$27)/(Einstellungen!$B$28-Einstellungen!$B$27)*100))))/2/100*Einstellungen!$B$7+IF($V140="",0,$V140/100)*Einstellungen!$B$8+IF($R140="",0,MAX(0,MIN(100,(Einstellungen!$B$32-$R140)/(Einstellungen!$B$32-Einstellungen!$B$31)*100)))/100*Einstellungen!$B$9+IF($D140="",0,$D140/5*100)/100*Einstellungen!$B$10+IF($AD140="",0,$AD140)/100*Einstellungen!$B$11+IF($U140="",0,$U140/5*100)/100*Einstellungen!$B$12,0))</f>
        <v/>
      </c>
      <c r="Y140">
        <f>IF($X140="","",$X140*1000000000000+IF($G140="",0,$G140)*1000000+IF($H140="",0,$H140)*1000+IF($I140="",0,$I140)+IF($N140="",0,MAX(0,1000-$N140))/1000+IF($A140="",0,$A140)/1000000)</f>
        <v/>
      </c>
      <c r="Z140">
        <f>IF($Y140="","",_xludf.RANK.EQ($Y140,$Y$2:$Y$201,0))</f>
        <v/>
      </c>
    </row>
    <row r="141">
      <c r="R141">
        <f>IFERROR(IF($Q141="","",$Q141/$H141),"")</f>
        <v/>
      </c>
      <c r="S141">
        <f>IFERROR(IF($Q141="","",$Q141/$G141),"")</f>
        <v/>
      </c>
      <c r="W141">
        <f>IF(AND($L141="",$N141="",$P141=""),"",ROUND((IF($L141="",0,IF($L141&lt;=Einstellungen!$B$16,100,IF($L141&lt;=Einstellungen!$C$16,80+(100-80)*(Einstellungen!$C$16-$L141)/(Einstellungen!$C$16-Einstellungen!$B$16),IF($L141&lt;=Einstellungen!$D$16,80*(Einstellungen!$D$16-$L141)/(Einstellungen!$D$16-Einstellungen!$C$16),0))))*Einstellungen!$E$16+IF($N141="",0,IF($N141&lt;=Einstellungen!$B$17,100,IF($N141&lt;=Einstellungen!$C$17,80+(100-80)*(Einstellungen!$C$17-$N141)/(Einstellungen!$C$17-Einstellungen!$B$17),IF($N141&lt;=Einstellungen!$D$17,80*(Einstellungen!$D$17-$N141)/(Einstellungen!$D$17-Einstellungen!$C$17),0))))*Einstellungen!$E$17+IF($P141="",0,IF($P141&lt;=Einstellungen!$B$18,100,IF($P141&lt;=Einstellungen!$C$18,80+(100-80)*(Einstellungen!$C$18-$P141)/(Einstellungen!$C$18-Einstellungen!$B$18),IF($P141&lt;=Einstellungen!$D$18,80*(Einstellungen!$D$18-$P141)/(Einstellungen!$D$18-Einstellungen!$C$18),0))))*Einstellungen!$E$18)/(Einstellungen!$E$16+Einstellungen!$E$17+Einstellungen!$E$18),0))</f>
        <v/>
      </c>
      <c r="X141">
        <f>IF(AND($E141="",$D141="",$G141="",$V141="",$Q141="",$T141="",$W141="",$U141=""),"",ROUND(IF($E141="",0,IF($E141&lt;Einstellungen!$B$21,0,IF($E141&gt;=Einstellungen!$B$22,100,($E141-Einstellungen!$B$21)/(Einstellungen!$B$22-Einstellungen!$B$21)*100)))/100*Einstellungen!$B$5+IF($W141="",0,$W141/100)*Einstellungen!$B$6+(IF($G141="",0,MAX(0,MIN(100,($G141-Einstellungen!$B$25)/(Einstellungen!$B$26-Einstellungen!$B$25)*100)))+IF($I141="",0,MAX(0,MIN(100,($I141-Einstellungen!$B$27)/(Einstellungen!$B$28-Einstellungen!$B$27)*100))))/2/100*Einstellungen!$B$7+IF($V141="",0,$V141/100)*Einstellungen!$B$8+IF($R141="",0,MAX(0,MIN(100,(Einstellungen!$B$32-$R141)/(Einstellungen!$B$32-Einstellungen!$B$31)*100)))/100*Einstellungen!$B$9+IF($D141="",0,$D141/5*100)/100*Einstellungen!$B$10+IF($AD141="",0,$AD141)/100*Einstellungen!$B$11+IF($U141="",0,$U141/5*100)/100*Einstellungen!$B$12,0))</f>
        <v/>
      </c>
      <c r="Y141">
        <f>IF($X141="","",$X141*1000000000000+IF($G141="",0,$G141)*1000000+IF($H141="",0,$H141)*1000+IF($I141="",0,$I141)+IF($N141="",0,MAX(0,1000-$N141))/1000+IF($A141="",0,$A141)/1000000)</f>
        <v/>
      </c>
      <c r="Z141">
        <f>IF($Y141="","",_xludf.RANK.EQ($Y141,$Y$2:$Y$201,0))</f>
        <v/>
      </c>
    </row>
    <row r="142">
      <c r="R142">
        <f>IFERROR(IF($Q142="","",$Q142/$H142),"")</f>
        <v/>
      </c>
      <c r="S142">
        <f>IFERROR(IF($Q142="","",$Q142/$G142),"")</f>
        <v/>
      </c>
      <c r="W142">
        <f>IF(AND($L142="",$N142="",$P142=""),"",ROUND((IF($L142="",0,IF($L142&lt;=Einstellungen!$B$16,100,IF($L142&lt;=Einstellungen!$C$16,80+(100-80)*(Einstellungen!$C$16-$L142)/(Einstellungen!$C$16-Einstellungen!$B$16),IF($L142&lt;=Einstellungen!$D$16,80*(Einstellungen!$D$16-$L142)/(Einstellungen!$D$16-Einstellungen!$C$16),0))))*Einstellungen!$E$16+IF($N142="",0,IF($N142&lt;=Einstellungen!$B$17,100,IF($N142&lt;=Einstellungen!$C$17,80+(100-80)*(Einstellungen!$C$17-$N142)/(Einstellungen!$C$17-Einstellungen!$B$17),IF($N142&lt;=Einstellungen!$D$17,80*(Einstellungen!$D$17-$N142)/(Einstellungen!$D$17-Einstellungen!$C$17),0))))*Einstellungen!$E$17+IF($P142="",0,IF($P142&lt;=Einstellungen!$B$18,100,IF($P142&lt;=Einstellungen!$C$18,80+(100-80)*(Einstellungen!$C$18-$P142)/(Einstellungen!$C$18-Einstellungen!$B$18),IF($P142&lt;=Einstellungen!$D$18,80*(Einstellungen!$D$18-$P142)/(Einstellungen!$D$18-Einstellungen!$C$18),0))))*Einstellungen!$E$18)/(Einstellungen!$E$16+Einstellungen!$E$17+Einstellungen!$E$18),0))</f>
        <v/>
      </c>
      <c r="X142">
        <f>IF(AND($E142="",$D142="",$G142="",$V142="",$Q142="",$T142="",$W142="",$U142=""),"",ROUND(IF($E142="",0,IF($E142&lt;Einstellungen!$B$21,0,IF($E142&gt;=Einstellungen!$B$22,100,($E142-Einstellungen!$B$21)/(Einstellungen!$B$22-Einstellungen!$B$21)*100)))/100*Einstellungen!$B$5+IF($W142="",0,$W142/100)*Einstellungen!$B$6+(IF($G142="",0,MAX(0,MIN(100,($G142-Einstellungen!$B$25)/(Einstellungen!$B$26-Einstellungen!$B$25)*100)))+IF($I142="",0,MAX(0,MIN(100,($I142-Einstellungen!$B$27)/(Einstellungen!$B$28-Einstellungen!$B$27)*100))))/2/100*Einstellungen!$B$7+IF($V142="",0,$V142/100)*Einstellungen!$B$8+IF($R142="",0,MAX(0,MIN(100,(Einstellungen!$B$32-$R142)/(Einstellungen!$B$32-Einstellungen!$B$31)*100)))/100*Einstellungen!$B$9+IF($D142="",0,$D142/5*100)/100*Einstellungen!$B$10+IF($AD142="",0,$AD142)/100*Einstellungen!$B$11+IF($U142="",0,$U142/5*100)/100*Einstellungen!$B$12,0))</f>
        <v/>
      </c>
      <c r="Y142">
        <f>IF($X142="","",$X142*1000000000000+IF($G142="",0,$G142)*1000000+IF($H142="",0,$H142)*1000+IF($I142="",0,$I142)+IF($N142="",0,MAX(0,1000-$N142))/1000+IF($A142="",0,$A142)/1000000)</f>
        <v/>
      </c>
      <c r="Z142">
        <f>IF($Y142="","",_xludf.RANK.EQ($Y142,$Y$2:$Y$201,0))</f>
        <v/>
      </c>
    </row>
    <row r="143">
      <c r="R143">
        <f>IFERROR(IF($Q143="","",$Q143/$H143),"")</f>
        <v/>
      </c>
      <c r="S143">
        <f>IFERROR(IF($Q143="","",$Q143/$G143),"")</f>
        <v/>
      </c>
      <c r="W143">
        <f>IF(AND($L143="",$N143="",$P143=""),"",ROUND((IF($L143="",0,IF($L143&lt;=Einstellungen!$B$16,100,IF($L143&lt;=Einstellungen!$C$16,80+(100-80)*(Einstellungen!$C$16-$L143)/(Einstellungen!$C$16-Einstellungen!$B$16),IF($L143&lt;=Einstellungen!$D$16,80*(Einstellungen!$D$16-$L143)/(Einstellungen!$D$16-Einstellungen!$C$16),0))))*Einstellungen!$E$16+IF($N143="",0,IF($N143&lt;=Einstellungen!$B$17,100,IF($N143&lt;=Einstellungen!$C$17,80+(100-80)*(Einstellungen!$C$17-$N143)/(Einstellungen!$C$17-Einstellungen!$B$17),IF($N143&lt;=Einstellungen!$D$17,80*(Einstellungen!$D$17-$N143)/(Einstellungen!$D$17-Einstellungen!$C$17),0))))*Einstellungen!$E$17+IF($P143="",0,IF($P143&lt;=Einstellungen!$B$18,100,IF($P143&lt;=Einstellungen!$C$18,80+(100-80)*(Einstellungen!$C$18-$P143)/(Einstellungen!$C$18-Einstellungen!$B$18),IF($P143&lt;=Einstellungen!$D$18,80*(Einstellungen!$D$18-$P143)/(Einstellungen!$D$18-Einstellungen!$C$18),0))))*Einstellungen!$E$18)/(Einstellungen!$E$16+Einstellungen!$E$17+Einstellungen!$E$18),0))</f>
        <v/>
      </c>
      <c r="X143">
        <f>IF(AND($E143="",$D143="",$G143="",$V143="",$Q143="",$T143="",$W143="",$U143=""),"",ROUND(IF($E143="",0,IF($E143&lt;Einstellungen!$B$21,0,IF($E143&gt;=Einstellungen!$B$22,100,($E143-Einstellungen!$B$21)/(Einstellungen!$B$22-Einstellungen!$B$21)*100)))/100*Einstellungen!$B$5+IF($W143="",0,$W143/100)*Einstellungen!$B$6+(IF($G143="",0,MAX(0,MIN(100,($G143-Einstellungen!$B$25)/(Einstellungen!$B$26-Einstellungen!$B$25)*100)))+IF($I143="",0,MAX(0,MIN(100,($I143-Einstellungen!$B$27)/(Einstellungen!$B$28-Einstellungen!$B$27)*100))))/2/100*Einstellungen!$B$7+IF($V143="",0,$V143/100)*Einstellungen!$B$8+IF($R143="",0,MAX(0,MIN(100,(Einstellungen!$B$32-$R143)/(Einstellungen!$B$32-Einstellungen!$B$31)*100)))/100*Einstellungen!$B$9+IF($D143="",0,$D143/5*100)/100*Einstellungen!$B$10+IF($AD143="",0,$AD143)/100*Einstellungen!$B$11+IF($U143="",0,$U143/5*100)/100*Einstellungen!$B$12,0))</f>
        <v/>
      </c>
      <c r="Y143">
        <f>IF($X143="","",$X143*1000000000000+IF($G143="",0,$G143)*1000000+IF($H143="",0,$H143)*1000+IF($I143="",0,$I143)+IF($N143="",0,MAX(0,1000-$N143))/1000+IF($A143="",0,$A143)/1000000)</f>
        <v/>
      </c>
      <c r="Z143">
        <f>IF($Y143="","",_xludf.RANK.EQ($Y143,$Y$2:$Y$201,0))</f>
        <v/>
      </c>
    </row>
    <row r="144">
      <c r="R144">
        <f>IFERROR(IF($Q144="","",$Q144/$H144),"")</f>
        <v/>
      </c>
      <c r="S144">
        <f>IFERROR(IF($Q144="","",$Q144/$G144),"")</f>
        <v/>
      </c>
      <c r="W144">
        <f>IF(AND($L144="",$N144="",$P144=""),"",ROUND((IF($L144="",0,IF($L144&lt;=Einstellungen!$B$16,100,IF($L144&lt;=Einstellungen!$C$16,80+(100-80)*(Einstellungen!$C$16-$L144)/(Einstellungen!$C$16-Einstellungen!$B$16),IF($L144&lt;=Einstellungen!$D$16,80*(Einstellungen!$D$16-$L144)/(Einstellungen!$D$16-Einstellungen!$C$16),0))))*Einstellungen!$E$16+IF($N144="",0,IF($N144&lt;=Einstellungen!$B$17,100,IF($N144&lt;=Einstellungen!$C$17,80+(100-80)*(Einstellungen!$C$17-$N144)/(Einstellungen!$C$17-Einstellungen!$B$17),IF($N144&lt;=Einstellungen!$D$17,80*(Einstellungen!$D$17-$N144)/(Einstellungen!$D$17-Einstellungen!$C$17),0))))*Einstellungen!$E$17+IF($P144="",0,IF($P144&lt;=Einstellungen!$B$18,100,IF($P144&lt;=Einstellungen!$C$18,80+(100-80)*(Einstellungen!$C$18-$P144)/(Einstellungen!$C$18-Einstellungen!$B$18),IF($P144&lt;=Einstellungen!$D$18,80*(Einstellungen!$D$18-$P144)/(Einstellungen!$D$18-Einstellungen!$C$18),0))))*Einstellungen!$E$18)/(Einstellungen!$E$16+Einstellungen!$E$17+Einstellungen!$E$18),0))</f>
        <v/>
      </c>
      <c r="X144">
        <f>IF(AND($E144="",$D144="",$G144="",$V144="",$Q144="",$T144="",$W144="",$U144=""),"",ROUND(IF($E144="",0,IF($E144&lt;Einstellungen!$B$21,0,IF($E144&gt;=Einstellungen!$B$22,100,($E144-Einstellungen!$B$21)/(Einstellungen!$B$22-Einstellungen!$B$21)*100)))/100*Einstellungen!$B$5+IF($W144="",0,$W144/100)*Einstellungen!$B$6+(IF($G144="",0,MAX(0,MIN(100,($G144-Einstellungen!$B$25)/(Einstellungen!$B$26-Einstellungen!$B$25)*100)))+IF($I144="",0,MAX(0,MIN(100,($I144-Einstellungen!$B$27)/(Einstellungen!$B$28-Einstellungen!$B$27)*100))))/2/100*Einstellungen!$B$7+IF($V144="",0,$V144/100)*Einstellungen!$B$8+IF($R144="",0,MAX(0,MIN(100,(Einstellungen!$B$32-$R144)/(Einstellungen!$B$32-Einstellungen!$B$31)*100)))/100*Einstellungen!$B$9+IF($D144="",0,$D144/5*100)/100*Einstellungen!$B$10+IF($AD144="",0,$AD144)/100*Einstellungen!$B$11+IF($U144="",0,$U144/5*100)/100*Einstellungen!$B$12,0))</f>
        <v/>
      </c>
      <c r="Y144">
        <f>IF($X144="","",$X144*1000000000000+IF($G144="",0,$G144)*1000000+IF($H144="",0,$H144)*1000+IF($I144="",0,$I144)+IF($N144="",0,MAX(0,1000-$N144))/1000+IF($A144="",0,$A144)/1000000)</f>
        <v/>
      </c>
      <c r="Z144">
        <f>IF($Y144="","",_xludf.RANK.EQ($Y144,$Y$2:$Y$201,0))</f>
        <v/>
      </c>
    </row>
    <row r="145">
      <c r="R145">
        <f>IFERROR(IF($Q145="","",$Q145/$H145),"")</f>
        <v/>
      </c>
      <c r="S145">
        <f>IFERROR(IF($Q145="","",$Q145/$G145),"")</f>
        <v/>
      </c>
      <c r="W145">
        <f>IF(AND($L145="",$N145="",$P145=""),"",ROUND((IF($L145="",0,IF($L145&lt;=Einstellungen!$B$16,100,IF($L145&lt;=Einstellungen!$C$16,80+(100-80)*(Einstellungen!$C$16-$L145)/(Einstellungen!$C$16-Einstellungen!$B$16),IF($L145&lt;=Einstellungen!$D$16,80*(Einstellungen!$D$16-$L145)/(Einstellungen!$D$16-Einstellungen!$C$16),0))))*Einstellungen!$E$16+IF($N145="",0,IF($N145&lt;=Einstellungen!$B$17,100,IF($N145&lt;=Einstellungen!$C$17,80+(100-80)*(Einstellungen!$C$17-$N145)/(Einstellungen!$C$17-Einstellungen!$B$17),IF($N145&lt;=Einstellungen!$D$17,80*(Einstellungen!$D$17-$N145)/(Einstellungen!$D$17-Einstellungen!$C$17),0))))*Einstellungen!$E$17+IF($P145="",0,IF($P145&lt;=Einstellungen!$B$18,100,IF($P145&lt;=Einstellungen!$C$18,80+(100-80)*(Einstellungen!$C$18-$P145)/(Einstellungen!$C$18-Einstellungen!$B$18),IF($P145&lt;=Einstellungen!$D$18,80*(Einstellungen!$D$18-$P145)/(Einstellungen!$D$18-Einstellungen!$C$18),0))))*Einstellungen!$E$18)/(Einstellungen!$E$16+Einstellungen!$E$17+Einstellungen!$E$18),0))</f>
        <v/>
      </c>
      <c r="X145">
        <f>IF(AND($E145="",$D145="",$G145="",$V145="",$Q145="",$T145="",$W145="",$U145=""),"",ROUND(IF($E145="",0,IF($E145&lt;Einstellungen!$B$21,0,IF($E145&gt;=Einstellungen!$B$22,100,($E145-Einstellungen!$B$21)/(Einstellungen!$B$22-Einstellungen!$B$21)*100)))/100*Einstellungen!$B$5+IF($W145="",0,$W145/100)*Einstellungen!$B$6+(IF($G145="",0,MAX(0,MIN(100,($G145-Einstellungen!$B$25)/(Einstellungen!$B$26-Einstellungen!$B$25)*100)))+IF($I145="",0,MAX(0,MIN(100,($I145-Einstellungen!$B$27)/(Einstellungen!$B$28-Einstellungen!$B$27)*100))))/2/100*Einstellungen!$B$7+IF($V145="",0,$V145/100)*Einstellungen!$B$8+IF($R145="",0,MAX(0,MIN(100,(Einstellungen!$B$32-$R145)/(Einstellungen!$B$32-Einstellungen!$B$31)*100)))/100*Einstellungen!$B$9+IF($D145="",0,$D145/5*100)/100*Einstellungen!$B$10+IF($AD145="",0,$AD145)/100*Einstellungen!$B$11+IF($U145="",0,$U145/5*100)/100*Einstellungen!$B$12,0))</f>
        <v/>
      </c>
      <c r="Y145">
        <f>IF($X145="","",$X145*1000000000000+IF($G145="",0,$G145)*1000000+IF($H145="",0,$H145)*1000+IF($I145="",0,$I145)+IF($N145="",0,MAX(0,1000-$N145))/1000+IF($A145="",0,$A145)/1000000)</f>
        <v/>
      </c>
      <c r="Z145">
        <f>IF($Y145="","",_xludf.RANK.EQ($Y145,$Y$2:$Y$201,0))</f>
        <v/>
      </c>
    </row>
    <row r="146">
      <c r="R146">
        <f>IFERROR(IF($Q146="","",$Q146/$H146),"")</f>
        <v/>
      </c>
      <c r="S146">
        <f>IFERROR(IF($Q146="","",$Q146/$G146),"")</f>
        <v/>
      </c>
      <c r="W146">
        <f>IF(AND($L146="",$N146="",$P146=""),"",ROUND((IF($L146="",0,IF($L146&lt;=Einstellungen!$B$16,100,IF($L146&lt;=Einstellungen!$C$16,80+(100-80)*(Einstellungen!$C$16-$L146)/(Einstellungen!$C$16-Einstellungen!$B$16),IF($L146&lt;=Einstellungen!$D$16,80*(Einstellungen!$D$16-$L146)/(Einstellungen!$D$16-Einstellungen!$C$16),0))))*Einstellungen!$E$16+IF($N146="",0,IF($N146&lt;=Einstellungen!$B$17,100,IF($N146&lt;=Einstellungen!$C$17,80+(100-80)*(Einstellungen!$C$17-$N146)/(Einstellungen!$C$17-Einstellungen!$B$17),IF($N146&lt;=Einstellungen!$D$17,80*(Einstellungen!$D$17-$N146)/(Einstellungen!$D$17-Einstellungen!$C$17),0))))*Einstellungen!$E$17+IF($P146="",0,IF($P146&lt;=Einstellungen!$B$18,100,IF($P146&lt;=Einstellungen!$C$18,80+(100-80)*(Einstellungen!$C$18-$P146)/(Einstellungen!$C$18-Einstellungen!$B$18),IF($P146&lt;=Einstellungen!$D$18,80*(Einstellungen!$D$18-$P146)/(Einstellungen!$D$18-Einstellungen!$C$18),0))))*Einstellungen!$E$18)/(Einstellungen!$E$16+Einstellungen!$E$17+Einstellungen!$E$18),0))</f>
        <v/>
      </c>
      <c r="X146">
        <f>IF(AND($E146="",$D146="",$G146="",$V146="",$Q146="",$T146="",$W146="",$U146=""),"",ROUND(IF($E146="",0,IF($E146&lt;Einstellungen!$B$21,0,IF($E146&gt;=Einstellungen!$B$22,100,($E146-Einstellungen!$B$21)/(Einstellungen!$B$22-Einstellungen!$B$21)*100)))/100*Einstellungen!$B$5+IF($W146="",0,$W146/100)*Einstellungen!$B$6+(IF($G146="",0,MAX(0,MIN(100,($G146-Einstellungen!$B$25)/(Einstellungen!$B$26-Einstellungen!$B$25)*100)))+IF($I146="",0,MAX(0,MIN(100,($I146-Einstellungen!$B$27)/(Einstellungen!$B$28-Einstellungen!$B$27)*100))))/2/100*Einstellungen!$B$7+IF($V146="",0,$V146/100)*Einstellungen!$B$8+IF($R146="",0,MAX(0,MIN(100,(Einstellungen!$B$32-$R146)/(Einstellungen!$B$32-Einstellungen!$B$31)*100)))/100*Einstellungen!$B$9+IF($D146="",0,$D146/5*100)/100*Einstellungen!$B$10+IF($AD146="",0,$AD146)/100*Einstellungen!$B$11+IF($U146="",0,$U146/5*100)/100*Einstellungen!$B$12,0))</f>
        <v/>
      </c>
      <c r="Y146">
        <f>IF($X146="","",$X146*1000000000000+IF($G146="",0,$G146)*1000000+IF($H146="",0,$H146)*1000+IF($I146="",0,$I146)+IF($N146="",0,MAX(0,1000-$N146))/1000+IF($A146="",0,$A146)/1000000)</f>
        <v/>
      </c>
      <c r="Z146">
        <f>IF($Y146="","",_xludf.RANK.EQ($Y146,$Y$2:$Y$201,0))</f>
        <v/>
      </c>
    </row>
    <row r="147">
      <c r="R147">
        <f>IFERROR(IF($Q147="","",$Q147/$H147),"")</f>
        <v/>
      </c>
      <c r="S147">
        <f>IFERROR(IF($Q147="","",$Q147/$G147),"")</f>
        <v/>
      </c>
      <c r="W147">
        <f>IF(AND($L147="",$N147="",$P147=""),"",ROUND((IF($L147="",0,IF($L147&lt;=Einstellungen!$B$16,100,IF($L147&lt;=Einstellungen!$C$16,80+(100-80)*(Einstellungen!$C$16-$L147)/(Einstellungen!$C$16-Einstellungen!$B$16),IF($L147&lt;=Einstellungen!$D$16,80*(Einstellungen!$D$16-$L147)/(Einstellungen!$D$16-Einstellungen!$C$16),0))))*Einstellungen!$E$16+IF($N147="",0,IF($N147&lt;=Einstellungen!$B$17,100,IF($N147&lt;=Einstellungen!$C$17,80+(100-80)*(Einstellungen!$C$17-$N147)/(Einstellungen!$C$17-Einstellungen!$B$17),IF($N147&lt;=Einstellungen!$D$17,80*(Einstellungen!$D$17-$N147)/(Einstellungen!$D$17-Einstellungen!$C$17),0))))*Einstellungen!$E$17+IF($P147="",0,IF($P147&lt;=Einstellungen!$B$18,100,IF($P147&lt;=Einstellungen!$C$18,80+(100-80)*(Einstellungen!$C$18-$P147)/(Einstellungen!$C$18-Einstellungen!$B$18),IF($P147&lt;=Einstellungen!$D$18,80*(Einstellungen!$D$18-$P147)/(Einstellungen!$D$18-Einstellungen!$C$18),0))))*Einstellungen!$E$18)/(Einstellungen!$E$16+Einstellungen!$E$17+Einstellungen!$E$18),0))</f>
        <v/>
      </c>
      <c r="X147">
        <f>IF(AND($E147="",$D147="",$G147="",$V147="",$Q147="",$T147="",$W147="",$U147=""),"",ROUND(IF($E147="",0,IF($E147&lt;Einstellungen!$B$21,0,IF($E147&gt;=Einstellungen!$B$22,100,($E147-Einstellungen!$B$21)/(Einstellungen!$B$22-Einstellungen!$B$21)*100)))/100*Einstellungen!$B$5+IF($W147="",0,$W147/100)*Einstellungen!$B$6+(IF($G147="",0,MAX(0,MIN(100,($G147-Einstellungen!$B$25)/(Einstellungen!$B$26-Einstellungen!$B$25)*100)))+IF($I147="",0,MAX(0,MIN(100,($I147-Einstellungen!$B$27)/(Einstellungen!$B$28-Einstellungen!$B$27)*100))))/2/100*Einstellungen!$B$7+IF($V147="",0,$V147/100)*Einstellungen!$B$8+IF($R147="",0,MAX(0,MIN(100,(Einstellungen!$B$32-$R147)/(Einstellungen!$B$32-Einstellungen!$B$31)*100)))/100*Einstellungen!$B$9+IF($D147="",0,$D147/5*100)/100*Einstellungen!$B$10+IF($AD147="",0,$AD147)/100*Einstellungen!$B$11+IF($U147="",0,$U147/5*100)/100*Einstellungen!$B$12,0))</f>
        <v/>
      </c>
      <c r="Y147">
        <f>IF($X147="","",$X147*1000000000000+IF($G147="",0,$G147)*1000000+IF($H147="",0,$H147)*1000+IF($I147="",0,$I147)+IF($N147="",0,MAX(0,1000-$N147))/1000+IF($A147="",0,$A147)/1000000)</f>
        <v/>
      </c>
      <c r="Z147">
        <f>IF($Y147="","",_xludf.RANK.EQ($Y147,$Y$2:$Y$201,0))</f>
        <v/>
      </c>
    </row>
    <row r="148">
      <c r="R148">
        <f>IFERROR(IF($Q148="","",$Q148/$H148),"")</f>
        <v/>
      </c>
      <c r="S148">
        <f>IFERROR(IF($Q148="","",$Q148/$G148),"")</f>
        <v/>
      </c>
      <c r="W148">
        <f>IF(AND($L148="",$N148="",$P148=""),"",ROUND((IF($L148="",0,IF($L148&lt;=Einstellungen!$B$16,100,IF($L148&lt;=Einstellungen!$C$16,80+(100-80)*(Einstellungen!$C$16-$L148)/(Einstellungen!$C$16-Einstellungen!$B$16),IF($L148&lt;=Einstellungen!$D$16,80*(Einstellungen!$D$16-$L148)/(Einstellungen!$D$16-Einstellungen!$C$16),0))))*Einstellungen!$E$16+IF($N148="",0,IF($N148&lt;=Einstellungen!$B$17,100,IF($N148&lt;=Einstellungen!$C$17,80+(100-80)*(Einstellungen!$C$17-$N148)/(Einstellungen!$C$17-Einstellungen!$B$17),IF($N148&lt;=Einstellungen!$D$17,80*(Einstellungen!$D$17-$N148)/(Einstellungen!$D$17-Einstellungen!$C$17),0))))*Einstellungen!$E$17+IF($P148="",0,IF($P148&lt;=Einstellungen!$B$18,100,IF($P148&lt;=Einstellungen!$C$18,80+(100-80)*(Einstellungen!$C$18-$P148)/(Einstellungen!$C$18-Einstellungen!$B$18),IF($P148&lt;=Einstellungen!$D$18,80*(Einstellungen!$D$18-$P148)/(Einstellungen!$D$18-Einstellungen!$C$18),0))))*Einstellungen!$E$18)/(Einstellungen!$E$16+Einstellungen!$E$17+Einstellungen!$E$18),0))</f>
        <v/>
      </c>
      <c r="X148">
        <f>IF(AND($E148="",$D148="",$G148="",$V148="",$Q148="",$T148="",$W148="",$U148=""),"",ROUND(IF($E148="",0,IF($E148&lt;Einstellungen!$B$21,0,IF($E148&gt;=Einstellungen!$B$22,100,($E148-Einstellungen!$B$21)/(Einstellungen!$B$22-Einstellungen!$B$21)*100)))/100*Einstellungen!$B$5+IF($W148="",0,$W148/100)*Einstellungen!$B$6+(IF($G148="",0,MAX(0,MIN(100,($G148-Einstellungen!$B$25)/(Einstellungen!$B$26-Einstellungen!$B$25)*100)))+IF($I148="",0,MAX(0,MIN(100,($I148-Einstellungen!$B$27)/(Einstellungen!$B$28-Einstellungen!$B$27)*100))))/2/100*Einstellungen!$B$7+IF($V148="",0,$V148/100)*Einstellungen!$B$8+IF($R148="",0,MAX(0,MIN(100,(Einstellungen!$B$32-$R148)/(Einstellungen!$B$32-Einstellungen!$B$31)*100)))/100*Einstellungen!$B$9+IF($D148="",0,$D148/5*100)/100*Einstellungen!$B$10+IF($AD148="",0,$AD148)/100*Einstellungen!$B$11+IF($U148="",0,$U148/5*100)/100*Einstellungen!$B$12,0))</f>
        <v/>
      </c>
      <c r="Y148">
        <f>IF($X148="","",$X148*1000000000000+IF($G148="",0,$G148)*1000000+IF($H148="",0,$H148)*1000+IF($I148="",0,$I148)+IF($N148="",0,MAX(0,1000-$N148))/1000+IF($A148="",0,$A148)/1000000)</f>
        <v/>
      </c>
      <c r="Z148">
        <f>IF($Y148="","",_xludf.RANK.EQ($Y148,$Y$2:$Y$201,0))</f>
        <v/>
      </c>
    </row>
    <row r="149">
      <c r="R149">
        <f>IFERROR(IF($Q149="","",$Q149/$H149),"")</f>
        <v/>
      </c>
      <c r="S149">
        <f>IFERROR(IF($Q149="","",$Q149/$G149),"")</f>
        <v/>
      </c>
      <c r="W149">
        <f>IF(AND($L149="",$N149="",$P149=""),"",ROUND((IF($L149="",0,IF($L149&lt;=Einstellungen!$B$16,100,IF($L149&lt;=Einstellungen!$C$16,80+(100-80)*(Einstellungen!$C$16-$L149)/(Einstellungen!$C$16-Einstellungen!$B$16),IF($L149&lt;=Einstellungen!$D$16,80*(Einstellungen!$D$16-$L149)/(Einstellungen!$D$16-Einstellungen!$C$16),0))))*Einstellungen!$E$16+IF($N149="",0,IF($N149&lt;=Einstellungen!$B$17,100,IF($N149&lt;=Einstellungen!$C$17,80+(100-80)*(Einstellungen!$C$17-$N149)/(Einstellungen!$C$17-Einstellungen!$B$17),IF($N149&lt;=Einstellungen!$D$17,80*(Einstellungen!$D$17-$N149)/(Einstellungen!$D$17-Einstellungen!$C$17),0))))*Einstellungen!$E$17+IF($P149="",0,IF($P149&lt;=Einstellungen!$B$18,100,IF($P149&lt;=Einstellungen!$C$18,80+(100-80)*(Einstellungen!$C$18-$P149)/(Einstellungen!$C$18-Einstellungen!$B$18),IF($P149&lt;=Einstellungen!$D$18,80*(Einstellungen!$D$18-$P149)/(Einstellungen!$D$18-Einstellungen!$C$18),0))))*Einstellungen!$E$18)/(Einstellungen!$E$16+Einstellungen!$E$17+Einstellungen!$E$18),0))</f>
        <v/>
      </c>
      <c r="X149">
        <f>IF(AND($E149="",$D149="",$G149="",$V149="",$Q149="",$T149="",$W149="",$U149=""),"",ROUND(IF($E149="",0,IF($E149&lt;Einstellungen!$B$21,0,IF($E149&gt;=Einstellungen!$B$22,100,($E149-Einstellungen!$B$21)/(Einstellungen!$B$22-Einstellungen!$B$21)*100)))/100*Einstellungen!$B$5+IF($W149="",0,$W149/100)*Einstellungen!$B$6+(IF($G149="",0,MAX(0,MIN(100,($G149-Einstellungen!$B$25)/(Einstellungen!$B$26-Einstellungen!$B$25)*100)))+IF($I149="",0,MAX(0,MIN(100,($I149-Einstellungen!$B$27)/(Einstellungen!$B$28-Einstellungen!$B$27)*100))))/2/100*Einstellungen!$B$7+IF($V149="",0,$V149/100)*Einstellungen!$B$8+IF($R149="",0,MAX(0,MIN(100,(Einstellungen!$B$32-$R149)/(Einstellungen!$B$32-Einstellungen!$B$31)*100)))/100*Einstellungen!$B$9+IF($D149="",0,$D149/5*100)/100*Einstellungen!$B$10+IF($AD149="",0,$AD149)/100*Einstellungen!$B$11+IF($U149="",0,$U149/5*100)/100*Einstellungen!$B$12,0))</f>
        <v/>
      </c>
      <c r="Y149">
        <f>IF($X149="","",$X149*1000000000000+IF($G149="",0,$G149)*1000000+IF($H149="",0,$H149)*1000+IF($I149="",0,$I149)+IF($N149="",0,MAX(0,1000-$N149))/1000+IF($A149="",0,$A149)/1000000)</f>
        <v/>
      </c>
      <c r="Z149">
        <f>IF($Y149="","",_xludf.RANK.EQ($Y149,$Y$2:$Y$201,0))</f>
        <v/>
      </c>
    </row>
    <row r="150">
      <c r="R150">
        <f>IFERROR(IF($Q150="","",$Q150/$H150),"")</f>
        <v/>
      </c>
      <c r="S150">
        <f>IFERROR(IF($Q150="","",$Q150/$G150),"")</f>
        <v/>
      </c>
      <c r="W150">
        <f>IF(AND($L150="",$N150="",$P150=""),"",ROUND((IF($L150="",0,IF($L150&lt;=Einstellungen!$B$16,100,IF($L150&lt;=Einstellungen!$C$16,80+(100-80)*(Einstellungen!$C$16-$L150)/(Einstellungen!$C$16-Einstellungen!$B$16),IF($L150&lt;=Einstellungen!$D$16,80*(Einstellungen!$D$16-$L150)/(Einstellungen!$D$16-Einstellungen!$C$16),0))))*Einstellungen!$E$16+IF($N150="",0,IF($N150&lt;=Einstellungen!$B$17,100,IF($N150&lt;=Einstellungen!$C$17,80+(100-80)*(Einstellungen!$C$17-$N150)/(Einstellungen!$C$17-Einstellungen!$B$17),IF($N150&lt;=Einstellungen!$D$17,80*(Einstellungen!$D$17-$N150)/(Einstellungen!$D$17-Einstellungen!$C$17),0))))*Einstellungen!$E$17+IF($P150="",0,IF($P150&lt;=Einstellungen!$B$18,100,IF($P150&lt;=Einstellungen!$C$18,80+(100-80)*(Einstellungen!$C$18-$P150)/(Einstellungen!$C$18-Einstellungen!$B$18),IF($P150&lt;=Einstellungen!$D$18,80*(Einstellungen!$D$18-$P150)/(Einstellungen!$D$18-Einstellungen!$C$18),0))))*Einstellungen!$E$18)/(Einstellungen!$E$16+Einstellungen!$E$17+Einstellungen!$E$18),0))</f>
        <v/>
      </c>
      <c r="X150">
        <f>IF(AND($E150="",$D150="",$G150="",$V150="",$Q150="",$T150="",$W150="",$U150=""),"",ROUND(IF($E150="",0,IF($E150&lt;Einstellungen!$B$21,0,IF($E150&gt;=Einstellungen!$B$22,100,($E150-Einstellungen!$B$21)/(Einstellungen!$B$22-Einstellungen!$B$21)*100)))/100*Einstellungen!$B$5+IF($W150="",0,$W150/100)*Einstellungen!$B$6+(IF($G150="",0,MAX(0,MIN(100,($G150-Einstellungen!$B$25)/(Einstellungen!$B$26-Einstellungen!$B$25)*100)))+IF($I150="",0,MAX(0,MIN(100,($I150-Einstellungen!$B$27)/(Einstellungen!$B$28-Einstellungen!$B$27)*100))))/2/100*Einstellungen!$B$7+IF($V150="",0,$V150/100)*Einstellungen!$B$8+IF($R150="",0,MAX(0,MIN(100,(Einstellungen!$B$32-$R150)/(Einstellungen!$B$32-Einstellungen!$B$31)*100)))/100*Einstellungen!$B$9+IF($D150="",0,$D150/5*100)/100*Einstellungen!$B$10+IF($AD150="",0,$AD150)/100*Einstellungen!$B$11+IF($U150="",0,$U150/5*100)/100*Einstellungen!$B$12,0))</f>
        <v/>
      </c>
      <c r="Y150">
        <f>IF($X150="","",$X150*1000000000000+IF($G150="",0,$G150)*1000000+IF($H150="",0,$H150)*1000+IF($I150="",0,$I150)+IF($N150="",0,MAX(0,1000-$N150))/1000+IF($A150="",0,$A150)/1000000)</f>
        <v/>
      </c>
      <c r="Z150">
        <f>IF($Y150="","",_xludf.RANK.EQ($Y150,$Y$2:$Y$201,0))</f>
        <v/>
      </c>
    </row>
    <row r="151">
      <c r="R151">
        <f>IFERROR(IF($Q151="","",$Q151/$H151),"")</f>
        <v/>
      </c>
      <c r="S151">
        <f>IFERROR(IF($Q151="","",$Q151/$G151),"")</f>
        <v/>
      </c>
      <c r="W151">
        <f>IF(AND($L151="",$N151="",$P151=""),"",ROUND((IF($L151="",0,IF($L151&lt;=Einstellungen!$B$16,100,IF($L151&lt;=Einstellungen!$C$16,80+(100-80)*(Einstellungen!$C$16-$L151)/(Einstellungen!$C$16-Einstellungen!$B$16),IF($L151&lt;=Einstellungen!$D$16,80*(Einstellungen!$D$16-$L151)/(Einstellungen!$D$16-Einstellungen!$C$16),0))))*Einstellungen!$E$16+IF($N151="",0,IF($N151&lt;=Einstellungen!$B$17,100,IF($N151&lt;=Einstellungen!$C$17,80+(100-80)*(Einstellungen!$C$17-$N151)/(Einstellungen!$C$17-Einstellungen!$B$17),IF($N151&lt;=Einstellungen!$D$17,80*(Einstellungen!$D$17-$N151)/(Einstellungen!$D$17-Einstellungen!$C$17),0))))*Einstellungen!$E$17+IF($P151="",0,IF($P151&lt;=Einstellungen!$B$18,100,IF($P151&lt;=Einstellungen!$C$18,80+(100-80)*(Einstellungen!$C$18-$P151)/(Einstellungen!$C$18-Einstellungen!$B$18),IF($P151&lt;=Einstellungen!$D$18,80*(Einstellungen!$D$18-$P151)/(Einstellungen!$D$18-Einstellungen!$C$18),0))))*Einstellungen!$E$18)/(Einstellungen!$E$16+Einstellungen!$E$17+Einstellungen!$E$18),0))</f>
        <v/>
      </c>
      <c r="X151">
        <f>IF(AND($E151="",$D151="",$G151="",$V151="",$Q151="",$T151="",$W151="",$U151=""),"",ROUND(IF($E151="",0,IF($E151&lt;Einstellungen!$B$21,0,IF($E151&gt;=Einstellungen!$B$22,100,($E151-Einstellungen!$B$21)/(Einstellungen!$B$22-Einstellungen!$B$21)*100)))/100*Einstellungen!$B$5+IF($W151="",0,$W151/100)*Einstellungen!$B$6+(IF($G151="",0,MAX(0,MIN(100,($G151-Einstellungen!$B$25)/(Einstellungen!$B$26-Einstellungen!$B$25)*100)))+IF($I151="",0,MAX(0,MIN(100,($I151-Einstellungen!$B$27)/(Einstellungen!$B$28-Einstellungen!$B$27)*100))))/2/100*Einstellungen!$B$7+IF($V151="",0,$V151/100)*Einstellungen!$B$8+IF($R151="",0,MAX(0,MIN(100,(Einstellungen!$B$32-$R151)/(Einstellungen!$B$32-Einstellungen!$B$31)*100)))/100*Einstellungen!$B$9+IF($D151="",0,$D151/5*100)/100*Einstellungen!$B$10+IF($AD151="",0,$AD151)/100*Einstellungen!$B$11+IF($U151="",0,$U151/5*100)/100*Einstellungen!$B$12,0))</f>
        <v/>
      </c>
      <c r="Y151">
        <f>IF($X151="","",$X151*1000000000000+IF($G151="",0,$G151)*1000000+IF($H151="",0,$H151)*1000+IF($I151="",0,$I151)+IF($N151="",0,MAX(0,1000-$N151))/1000+IF($A151="",0,$A151)/1000000)</f>
        <v/>
      </c>
      <c r="Z151">
        <f>IF($Y151="","",_xludf.RANK.EQ($Y151,$Y$2:$Y$201,0))</f>
        <v/>
      </c>
    </row>
    <row r="152">
      <c r="R152">
        <f>IFERROR(IF($Q152="","",$Q152/$H152),"")</f>
        <v/>
      </c>
      <c r="S152">
        <f>IFERROR(IF($Q152="","",$Q152/$G152),"")</f>
        <v/>
      </c>
      <c r="W152">
        <f>IF(AND($L152="",$N152="",$P152=""),"",ROUND((IF($L152="",0,IF($L152&lt;=Einstellungen!$B$16,100,IF($L152&lt;=Einstellungen!$C$16,80+(100-80)*(Einstellungen!$C$16-$L152)/(Einstellungen!$C$16-Einstellungen!$B$16),IF($L152&lt;=Einstellungen!$D$16,80*(Einstellungen!$D$16-$L152)/(Einstellungen!$D$16-Einstellungen!$C$16),0))))*Einstellungen!$E$16+IF($N152="",0,IF($N152&lt;=Einstellungen!$B$17,100,IF($N152&lt;=Einstellungen!$C$17,80+(100-80)*(Einstellungen!$C$17-$N152)/(Einstellungen!$C$17-Einstellungen!$B$17),IF($N152&lt;=Einstellungen!$D$17,80*(Einstellungen!$D$17-$N152)/(Einstellungen!$D$17-Einstellungen!$C$17),0))))*Einstellungen!$E$17+IF($P152="",0,IF($P152&lt;=Einstellungen!$B$18,100,IF($P152&lt;=Einstellungen!$C$18,80+(100-80)*(Einstellungen!$C$18-$P152)/(Einstellungen!$C$18-Einstellungen!$B$18),IF($P152&lt;=Einstellungen!$D$18,80*(Einstellungen!$D$18-$P152)/(Einstellungen!$D$18-Einstellungen!$C$18),0))))*Einstellungen!$E$18)/(Einstellungen!$E$16+Einstellungen!$E$17+Einstellungen!$E$18),0))</f>
        <v/>
      </c>
      <c r="X152">
        <f>IF(AND($E152="",$D152="",$G152="",$V152="",$Q152="",$T152="",$W152="",$U152=""),"",ROUND(IF($E152="",0,IF($E152&lt;Einstellungen!$B$21,0,IF($E152&gt;=Einstellungen!$B$22,100,($E152-Einstellungen!$B$21)/(Einstellungen!$B$22-Einstellungen!$B$21)*100)))/100*Einstellungen!$B$5+IF($W152="",0,$W152/100)*Einstellungen!$B$6+(IF($G152="",0,MAX(0,MIN(100,($G152-Einstellungen!$B$25)/(Einstellungen!$B$26-Einstellungen!$B$25)*100)))+IF($I152="",0,MAX(0,MIN(100,($I152-Einstellungen!$B$27)/(Einstellungen!$B$28-Einstellungen!$B$27)*100))))/2/100*Einstellungen!$B$7+IF($V152="",0,$V152/100)*Einstellungen!$B$8+IF($R152="",0,MAX(0,MIN(100,(Einstellungen!$B$32-$R152)/(Einstellungen!$B$32-Einstellungen!$B$31)*100)))/100*Einstellungen!$B$9+IF($D152="",0,$D152/5*100)/100*Einstellungen!$B$10+IF($AD152="",0,$AD152)/100*Einstellungen!$B$11+IF($U152="",0,$U152/5*100)/100*Einstellungen!$B$12,0))</f>
        <v/>
      </c>
      <c r="Y152">
        <f>IF($X152="","",$X152*1000000000000+IF($G152="",0,$G152)*1000000+IF($H152="",0,$H152)*1000+IF($I152="",0,$I152)+IF($N152="",0,MAX(0,1000-$N152))/1000+IF($A152="",0,$A152)/1000000)</f>
        <v/>
      </c>
      <c r="Z152">
        <f>IF($Y152="","",_xludf.RANK.EQ($Y152,$Y$2:$Y$201,0))</f>
        <v/>
      </c>
    </row>
    <row r="153">
      <c r="R153">
        <f>IFERROR(IF($Q153="","",$Q153/$H153),"")</f>
        <v/>
      </c>
      <c r="S153">
        <f>IFERROR(IF($Q153="","",$Q153/$G153),"")</f>
        <v/>
      </c>
      <c r="W153">
        <f>IF(AND($L153="",$N153="",$P153=""),"",ROUND((IF($L153="",0,IF($L153&lt;=Einstellungen!$B$16,100,IF($L153&lt;=Einstellungen!$C$16,80+(100-80)*(Einstellungen!$C$16-$L153)/(Einstellungen!$C$16-Einstellungen!$B$16),IF($L153&lt;=Einstellungen!$D$16,80*(Einstellungen!$D$16-$L153)/(Einstellungen!$D$16-Einstellungen!$C$16),0))))*Einstellungen!$E$16+IF($N153="",0,IF($N153&lt;=Einstellungen!$B$17,100,IF($N153&lt;=Einstellungen!$C$17,80+(100-80)*(Einstellungen!$C$17-$N153)/(Einstellungen!$C$17-Einstellungen!$B$17),IF($N153&lt;=Einstellungen!$D$17,80*(Einstellungen!$D$17-$N153)/(Einstellungen!$D$17-Einstellungen!$C$17),0))))*Einstellungen!$E$17+IF($P153="",0,IF($P153&lt;=Einstellungen!$B$18,100,IF($P153&lt;=Einstellungen!$C$18,80+(100-80)*(Einstellungen!$C$18-$P153)/(Einstellungen!$C$18-Einstellungen!$B$18),IF($P153&lt;=Einstellungen!$D$18,80*(Einstellungen!$D$18-$P153)/(Einstellungen!$D$18-Einstellungen!$C$18),0))))*Einstellungen!$E$18)/(Einstellungen!$E$16+Einstellungen!$E$17+Einstellungen!$E$18),0))</f>
        <v/>
      </c>
      <c r="X153">
        <f>IF(AND($E153="",$D153="",$G153="",$V153="",$Q153="",$T153="",$W153="",$U153=""),"",ROUND(IF($E153="",0,IF($E153&lt;Einstellungen!$B$21,0,IF($E153&gt;=Einstellungen!$B$22,100,($E153-Einstellungen!$B$21)/(Einstellungen!$B$22-Einstellungen!$B$21)*100)))/100*Einstellungen!$B$5+IF($W153="",0,$W153/100)*Einstellungen!$B$6+(IF($G153="",0,MAX(0,MIN(100,($G153-Einstellungen!$B$25)/(Einstellungen!$B$26-Einstellungen!$B$25)*100)))+IF($I153="",0,MAX(0,MIN(100,($I153-Einstellungen!$B$27)/(Einstellungen!$B$28-Einstellungen!$B$27)*100))))/2/100*Einstellungen!$B$7+IF($V153="",0,$V153/100)*Einstellungen!$B$8+IF($R153="",0,MAX(0,MIN(100,(Einstellungen!$B$32-$R153)/(Einstellungen!$B$32-Einstellungen!$B$31)*100)))/100*Einstellungen!$B$9+IF($D153="",0,$D153/5*100)/100*Einstellungen!$B$10+IF($AD153="",0,$AD153)/100*Einstellungen!$B$11+IF($U153="",0,$U153/5*100)/100*Einstellungen!$B$12,0))</f>
        <v/>
      </c>
      <c r="Y153">
        <f>IF($X153="","",$X153*1000000000000+IF($G153="",0,$G153)*1000000+IF($H153="",0,$H153)*1000+IF($I153="",0,$I153)+IF($N153="",0,MAX(0,1000-$N153))/1000+IF($A153="",0,$A153)/1000000)</f>
        <v/>
      </c>
      <c r="Z153">
        <f>IF($Y153="","",_xludf.RANK.EQ($Y153,$Y$2:$Y$201,0))</f>
        <v/>
      </c>
    </row>
    <row r="154">
      <c r="R154">
        <f>IFERROR(IF($Q154="","",$Q154/$H154),"")</f>
        <v/>
      </c>
      <c r="S154">
        <f>IFERROR(IF($Q154="","",$Q154/$G154),"")</f>
        <v/>
      </c>
      <c r="W154">
        <f>IF(AND($L154="",$N154="",$P154=""),"",ROUND((IF($L154="",0,IF($L154&lt;=Einstellungen!$B$16,100,IF($L154&lt;=Einstellungen!$C$16,80+(100-80)*(Einstellungen!$C$16-$L154)/(Einstellungen!$C$16-Einstellungen!$B$16),IF($L154&lt;=Einstellungen!$D$16,80*(Einstellungen!$D$16-$L154)/(Einstellungen!$D$16-Einstellungen!$C$16),0))))*Einstellungen!$E$16+IF($N154="",0,IF($N154&lt;=Einstellungen!$B$17,100,IF($N154&lt;=Einstellungen!$C$17,80+(100-80)*(Einstellungen!$C$17-$N154)/(Einstellungen!$C$17-Einstellungen!$B$17),IF($N154&lt;=Einstellungen!$D$17,80*(Einstellungen!$D$17-$N154)/(Einstellungen!$D$17-Einstellungen!$C$17),0))))*Einstellungen!$E$17+IF($P154="",0,IF($P154&lt;=Einstellungen!$B$18,100,IF($P154&lt;=Einstellungen!$C$18,80+(100-80)*(Einstellungen!$C$18-$P154)/(Einstellungen!$C$18-Einstellungen!$B$18),IF($P154&lt;=Einstellungen!$D$18,80*(Einstellungen!$D$18-$P154)/(Einstellungen!$D$18-Einstellungen!$C$18),0))))*Einstellungen!$E$18)/(Einstellungen!$E$16+Einstellungen!$E$17+Einstellungen!$E$18),0))</f>
        <v/>
      </c>
      <c r="X154">
        <f>IF(AND($E154="",$D154="",$G154="",$V154="",$Q154="",$T154="",$W154="",$U154=""),"",ROUND(IF($E154="",0,IF($E154&lt;Einstellungen!$B$21,0,IF($E154&gt;=Einstellungen!$B$22,100,($E154-Einstellungen!$B$21)/(Einstellungen!$B$22-Einstellungen!$B$21)*100)))/100*Einstellungen!$B$5+IF($W154="",0,$W154/100)*Einstellungen!$B$6+(IF($G154="",0,MAX(0,MIN(100,($G154-Einstellungen!$B$25)/(Einstellungen!$B$26-Einstellungen!$B$25)*100)))+IF($I154="",0,MAX(0,MIN(100,($I154-Einstellungen!$B$27)/(Einstellungen!$B$28-Einstellungen!$B$27)*100))))/2/100*Einstellungen!$B$7+IF($V154="",0,$V154/100)*Einstellungen!$B$8+IF($R154="",0,MAX(0,MIN(100,(Einstellungen!$B$32-$R154)/(Einstellungen!$B$32-Einstellungen!$B$31)*100)))/100*Einstellungen!$B$9+IF($D154="",0,$D154/5*100)/100*Einstellungen!$B$10+IF($AD154="",0,$AD154)/100*Einstellungen!$B$11+IF($U154="",0,$U154/5*100)/100*Einstellungen!$B$12,0))</f>
        <v/>
      </c>
      <c r="Y154">
        <f>IF($X154="","",$X154*1000000000000+IF($G154="",0,$G154)*1000000+IF($H154="",0,$H154)*1000+IF($I154="",0,$I154)+IF($N154="",0,MAX(0,1000-$N154))/1000+IF($A154="",0,$A154)/1000000)</f>
        <v/>
      </c>
      <c r="Z154">
        <f>IF($Y154="","",_xludf.RANK.EQ($Y154,$Y$2:$Y$201,0))</f>
        <v/>
      </c>
    </row>
    <row r="155">
      <c r="R155">
        <f>IFERROR(IF($Q155="","",$Q155/$H155),"")</f>
        <v/>
      </c>
      <c r="S155">
        <f>IFERROR(IF($Q155="","",$Q155/$G155),"")</f>
        <v/>
      </c>
      <c r="W155">
        <f>IF(AND($L155="",$N155="",$P155=""),"",ROUND((IF($L155="",0,IF($L155&lt;=Einstellungen!$B$16,100,IF($L155&lt;=Einstellungen!$C$16,80+(100-80)*(Einstellungen!$C$16-$L155)/(Einstellungen!$C$16-Einstellungen!$B$16),IF($L155&lt;=Einstellungen!$D$16,80*(Einstellungen!$D$16-$L155)/(Einstellungen!$D$16-Einstellungen!$C$16),0))))*Einstellungen!$E$16+IF($N155="",0,IF($N155&lt;=Einstellungen!$B$17,100,IF($N155&lt;=Einstellungen!$C$17,80+(100-80)*(Einstellungen!$C$17-$N155)/(Einstellungen!$C$17-Einstellungen!$B$17),IF($N155&lt;=Einstellungen!$D$17,80*(Einstellungen!$D$17-$N155)/(Einstellungen!$D$17-Einstellungen!$C$17),0))))*Einstellungen!$E$17+IF($P155="",0,IF($P155&lt;=Einstellungen!$B$18,100,IF($P155&lt;=Einstellungen!$C$18,80+(100-80)*(Einstellungen!$C$18-$P155)/(Einstellungen!$C$18-Einstellungen!$B$18),IF($P155&lt;=Einstellungen!$D$18,80*(Einstellungen!$D$18-$P155)/(Einstellungen!$D$18-Einstellungen!$C$18),0))))*Einstellungen!$E$18)/(Einstellungen!$E$16+Einstellungen!$E$17+Einstellungen!$E$18),0))</f>
        <v/>
      </c>
      <c r="X155">
        <f>IF(AND($E155="",$D155="",$G155="",$V155="",$Q155="",$T155="",$W155="",$U155=""),"",ROUND(IF($E155="",0,IF($E155&lt;Einstellungen!$B$21,0,IF($E155&gt;=Einstellungen!$B$22,100,($E155-Einstellungen!$B$21)/(Einstellungen!$B$22-Einstellungen!$B$21)*100)))/100*Einstellungen!$B$5+IF($W155="",0,$W155/100)*Einstellungen!$B$6+(IF($G155="",0,MAX(0,MIN(100,($G155-Einstellungen!$B$25)/(Einstellungen!$B$26-Einstellungen!$B$25)*100)))+IF($I155="",0,MAX(0,MIN(100,($I155-Einstellungen!$B$27)/(Einstellungen!$B$28-Einstellungen!$B$27)*100))))/2/100*Einstellungen!$B$7+IF($V155="",0,$V155/100)*Einstellungen!$B$8+IF($R155="",0,MAX(0,MIN(100,(Einstellungen!$B$32-$R155)/(Einstellungen!$B$32-Einstellungen!$B$31)*100)))/100*Einstellungen!$B$9+IF($D155="",0,$D155/5*100)/100*Einstellungen!$B$10+IF($AD155="",0,$AD155)/100*Einstellungen!$B$11+IF($U155="",0,$U155/5*100)/100*Einstellungen!$B$12,0))</f>
        <v/>
      </c>
      <c r="Y155">
        <f>IF($X155="","",$X155*1000000000000+IF($G155="",0,$G155)*1000000+IF($H155="",0,$H155)*1000+IF($I155="",0,$I155)+IF($N155="",0,MAX(0,1000-$N155))/1000+IF($A155="",0,$A155)/1000000)</f>
        <v/>
      </c>
      <c r="Z155">
        <f>IF($Y155="","",_xludf.RANK.EQ($Y155,$Y$2:$Y$201,0))</f>
        <v/>
      </c>
    </row>
    <row r="156">
      <c r="R156">
        <f>IFERROR(IF($Q156="","",$Q156/$H156),"")</f>
        <v/>
      </c>
      <c r="S156">
        <f>IFERROR(IF($Q156="","",$Q156/$G156),"")</f>
        <v/>
      </c>
      <c r="W156">
        <f>IF(AND($L156="",$N156="",$P156=""),"",ROUND((IF($L156="",0,IF($L156&lt;=Einstellungen!$B$16,100,IF($L156&lt;=Einstellungen!$C$16,80+(100-80)*(Einstellungen!$C$16-$L156)/(Einstellungen!$C$16-Einstellungen!$B$16),IF($L156&lt;=Einstellungen!$D$16,80*(Einstellungen!$D$16-$L156)/(Einstellungen!$D$16-Einstellungen!$C$16),0))))*Einstellungen!$E$16+IF($N156="",0,IF($N156&lt;=Einstellungen!$B$17,100,IF($N156&lt;=Einstellungen!$C$17,80+(100-80)*(Einstellungen!$C$17-$N156)/(Einstellungen!$C$17-Einstellungen!$B$17),IF($N156&lt;=Einstellungen!$D$17,80*(Einstellungen!$D$17-$N156)/(Einstellungen!$D$17-Einstellungen!$C$17),0))))*Einstellungen!$E$17+IF($P156="",0,IF($P156&lt;=Einstellungen!$B$18,100,IF($P156&lt;=Einstellungen!$C$18,80+(100-80)*(Einstellungen!$C$18-$P156)/(Einstellungen!$C$18-Einstellungen!$B$18),IF($P156&lt;=Einstellungen!$D$18,80*(Einstellungen!$D$18-$P156)/(Einstellungen!$D$18-Einstellungen!$C$18),0))))*Einstellungen!$E$18)/(Einstellungen!$E$16+Einstellungen!$E$17+Einstellungen!$E$18),0))</f>
        <v/>
      </c>
      <c r="X156">
        <f>IF(AND($E156="",$D156="",$G156="",$V156="",$Q156="",$T156="",$W156="",$U156=""),"",ROUND(IF($E156="",0,IF($E156&lt;Einstellungen!$B$21,0,IF($E156&gt;=Einstellungen!$B$22,100,($E156-Einstellungen!$B$21)/(Einstellungen!$B$22-Einstellungen!$B$21)*100)))/100*Einstellungen!$B$5+IF($W156="",0,$W156/100)*Einstellungen!$B$6+(IF($G156="",0,MAX(0,MIN(100,($G156-Einstellungen!$B$25)/(Einstellungen!$B$26-Einstellungen!$B$25)*100)))+IF($I156="",0,MAX(0,MIN(100,($I156-Einstellungen!$B$27)/(Einstellungen!$B$28-Einstellungen!$B$27)*100))))/2/100*Einstellungen!$B$7+IF($V156="",0,$V156/100)*Einstellungen!$B$8+IF($R156="",0,MAX(0,MIN(100,(Einstellungen!$B$32-$R156)/(Einstellungen!$B$32-Einstellungen!$B$31)*100)))/100*Einstellungen!$B$9+IF($D156="",0,$D156/5*100)/100*Einstellungen!$B$10+IF($AD156="",0,$AD156)/100*Einstellungen!$B$11+IF($U156="",0,$U156/5*100)/100*Einstellungen!$B$12,0))</f>
        <v/>
      </c>
      <c r="Y156">
        <f>IF($X156="","",$X156*1000000000000+IF($G156="",0,$G156)*1000000+IF($H156="",0,$H156)*1000+IF($I156="",0,$I156)+IF($N156="",0,MAX(0,1000-$N156))/1000+IF($A156="",0,$A156)/1000000)</f>
        <v/>
      </c>
      <c r="Z156">
        <f>IF($Y156="","",_xludf.RANK.EQ($Y156,$Y$2:$Y$201,0))</f>
        <v/>
      </c>
    </row>
    <row r="157">
      <c r="R157">
        <f>IFERROR(IF($Q157="","",$Q157/$H157),"")</f>
        <v/>
      </c>
      <c r="S157">
        <f>IFERROR(IF($Q157="","",$Q157/$G157),"")</f>
        <v/>
      </c>
      <c r="W157">
        <f>IF(AND($L157="",$N157="",$P157=""),"",ROUND((IF($L157="",0,IF($L157&lt;=Einstellungen!$B$16,100,IF($L157&lt;=Einstellungen!$C$16,80+(100-80)*(Einstellungen!$C$16-$L157)/(Einstellungen!$C$16-Einstellungen!$B$16),IF($L157&lt;=Einstellungen!$D$16,80*(Einstellungen!$D$16-$L157)/(Einstellungen!$D$16-Einstellungen!$C$16),0))))*Einstellungen!$E$16+IF($N157="",0,IF($N157&lt;=Einstellungen!$B$17,100,IF($N157&lt;=Einstellungen!$C$17,80+(100-80)*(Einstellungen!$C$17-$N157)/(Einstellungen!$C$17-Einstellungen!$B$17),IF($N157&lt;=Einstellungen!$D$17,80*(Einstellungen!$D$17-$N157)/(Einstellungen!$D$17-Einstellungen!$C$17),0))))*Einstellungen!$E$17+IF($P157="",0,IF($P157&lt;=Einstellungen!$B$18,100,IF($P157&lt;=Einstellungen!$C$18,80+(100-80)*(Einstellungen!$C$18-$P157)/(Einstellungen!$C$18-Einstellungen!$B$18),IF($P157&lt;=Einstellungen!$D$18,80*(Einstellungen!$D$18-$P157)/(Einstellungen!$D$18-Einstellungen!$C$18),0))))*Einstellungen!$E$18)/(Einstellungen!$E$16+Einstellungen!$E$17+Einstellungen!$E$18),0))</f>
        <v/>
      </c>
      <c r="X157">
        <f>IF(AND($E157="",$D157="",$G157="",$V157="",$Q157="",$T157="",$W157="",$U157=""),"",ROUND(IF($E157="",0,IF($E157&lt;Einstellungen!$B$21,0,IF($E157&gt;=Einstellungen!$B$22,100,($E157-Einstellungen!$B$21)/(Einstellungen!$B$22-Einstellungen!$B$21)*100)))/100*Einstellungen!$B$5+IF($W157="",0,$W157/100)*Einstellungen!$B$6+(IF($G157="",0,MAX(0,MIN(100,($G157-Einstellungen!$B$25)/(Einstellungen!$B$26-Einstellungen!$B$25)*100)))+IF($I157="",0,MAX(0,MIN(100,($I157-Einstellungen!$B$27)/(Einstellungen!$B$28-Einstellungen!$B$27)*100))))/2/100*Einstellungen!$B$7+IF($V157="",0,$V157/100)*Einstellungen!$B$8+IF($R157="",0,MAX(0,MIN(100,(Einstellungen!$B$32-$R157)/(Einstellungen!$B$32-Einstellungen!$B$31)*100)))/100*Einstellungen!$B$9+IF($D157="",0,$D157/5*100)/100*Einstellungen!$B$10+IF($AD157="",0,$AD157)/100*Einstellungen!$B$11+IF($U157="",0,$U157/5*100)/100*Einstellungen!$B$12,0))</f>
        <v/>
      </c>
      <c r="Y157">
        <f>IF($X157="","",$X157*1000000000000+IF($G157="",0,$G157)*1000000+IF($H157="",0,$H157)*1000+IF($I157="",0,$I157)+IF($N157="",0,MAX(0,1000-$N157))/1000+IF($A157="",0,$A157)/1000000)</f>
        <v/>
      </c>
      <c r="Z157">
        <f>IF($Y157="","",_xludf.RANK.EQ($Y157,$Y$2:$Y$201,0))</f>
        <v/>
      </c>
    </row>
    <row r="158">
      <c r="R158">
        <f>IFERROR(IF($Q158="","",$Q158/$H158),"")</f>
        <v/>
      </c>
      <c r="S158">
        <f>IFERROR(IF($Q158="","",$Q158/$G158),"")</f>
        <v/>
      </c>
      <c r="W158">
        <f>IF(AND($L158="",$N158="",$P158=""),"",ROUND((IF($L158="",0,IF($L158&lt;=Einstellungen!$B$16,100,IF($L158&lt;=Einstellungen!$C$16,80+(100-80)*(Einstellungen!$C$16-$L158)/(Einstellungen!$C$16-Einstellungen!$B$16),IF($L158&lt;=Einstellungen!$D$16,80*(Einstellungen!$D$16-$L158)/(Einstellungen!$D$16-Einstellungen!$C$16),0))))*Einstellungen!$E$16+IF($N158="",0,IF($N158&lt;=Einstellungen!$B$17,100,IF($N158&lt;=Einstellungen!$C$17,80+(100-80)*(Einstellungen!$C$17-$N158)/(Einstellungen!$C$17-Einstellungen!$B$17),IF($N158&lt;=Einstellungen!$D$17,80*(Einstellungen!$D$17-$N158)/(Einstellungen!$D$17-Einstellungen!$C$17),0))))*Einstellungen!$E$17+IF($P158="",0,IF($P158&lt;=Einstellungen!$B$18,100,IF($P158&lt;=Einstellungen!$C$18,80+(100-80)*(Einstellungen!$C$18-$P158)/(Einstellungen!$C$18-Einstellungen!$B$18),IF($P158&lt;=Einstellungen!$D$18,80*(Einstellungen!$D$18-$P158)/(Einstellungen!$D$18-Einstellungen!$C$18),0))))*Einstellungen!$E$18)/(Einstellungen!$E$16+Einstellungen!$E$17+Einstellungen!$E$18),0))</f>
        <v/>
      </c>
      <c r="X158">
        <f>IF(AND($E158="",$D158="",$G158="",$V158="",$Q158="",$T158="",$W158="",$U158=""),"",ROUND(IF($E158="",0,IF($E158&lt;Einstellungen!$B$21,0,IF($E158&gt;=Einstellungen!$B$22,100,($E158-Einstellungen!$B$21)/(Einstellungen!$B$22-Einstellungen!$B$21)*100)))/100*Einstellungen!$B$5+IF($W158="",0,$W158/100)*Einstellungen!$B$6+(IF($G158="",0,MAX(0,MIN(100,($G158-Einstellungen!$B$25)/(Einstellungen!$B$26-Einstellungen!$B$25)*100)))+IF($I158="",0,MAX(0,MIN(100,($I158-Einstellungen!$B$27)/(Einstellungen!$B$28-Einstellungen!$B$27)*100))))/2/100*Einstellungen!$B$7+IF($V158="",0,$V158/100)*Einstellungen!$B$8+IF($R158="",0,MAX(0,MIN(100,(Einstellungen!$B$32-$R158)/(Einstellungen!$B$32-Einstellungen!$B$31)*100)))/100*Einstellungen!$B$9+IF($D158="",0,$D158/5*100)/100*Einstellungen!$B$10+IF($AD158="",0,$AD158)/100*Einstellungen!$B$11+IF($U158="",0,$U158/5*100)/100*Einstellungen!$B$12,0))</f>
        <v/>
      </c>
      <c r="Y158">
        <f>IF($X158="","",$X158*1000000000000+IF($G158="",0,$G158)*1000000+IF($H158="",0,$H158)*1000+IF($I158="",0,$I158)+IF($N158="",0,MAX(0,1000-$N158))/1000+IF($A158="",0,$A158)/1000000)</f>
        <v/>
      </c>
      <c r="Z158">
        <f>IF($Y158="","",_xludf.RANK.EQ($Y158,$Y$2:$Y$201,0))</f>
        <v/>
      </c>
    </row>
    <row r="159">
      <c r="R159">
        <f>IFERROR(IF($Q159="","",$Q159/$H159),"")</f>
        <v/>
      </c>
      <c r="S159">
        <f>IFERROR(IF($Q159="","",$Q159/$G159),"")</f>
        <v/>
      </c>
      <c r="W159">
        <f>IF(AND($L159="",$N159="",$P159=""),"",ROUND((IF($L159="",0,IF($L159&lt;=Einstellungen!$B$16,100,IF($L159&lt;=Einstellungen!$C$16,80+(100-80)*(Einstellungen!$C$16-$L159)/(Einstellungen!$C$16-Einstellungen!$B$16),IF($L159&lt;=Einstellungen!$D$16,80*(Einstellungen!$D$16-$L159)/(Einstellungen!$D$16-Einstellungen!$C$16),0))))*Einstellungen!$E$16+IF($N159="",0,IF($N159&lt;=Einstellungen!$B$17,100,IF($N159&lt;=Einstellungen!$C$17,80+(100-80)*(Einstellungen!$C$17-$N159)/(Einstellungen!$C$17-Einstellungen!$B$17),IF($N159&lt;=Einstellungen!$D$17,80*(Einstellungen!$D$17-$N159)/(Einstellungen!$D$17-Einstellungen!$C$17),0))))*Einstellungen!$E$17+IF($P159="",0,IF($P159&lt;=Einstellungen!$B$18,100,IF($P159&lt;=Einstellungen!$C$18,80+(100-80)*(Einstellungen!$C$18-$P159)/(Einstellungen!$C$18-Einstellungen!$B$18),IF($P159&lt;=Einstellungen!$D$18,80*(Einstellungen!$D$18-$P159)/(Einstellungen!$D$18-Einstellungen!$C$18),0))))*Einstellungen!$E$18)/(Einstellungen!$E$16+Einstellungen!$E$17+Einstellungen!$E$18),0))</f>
        <v/>
      </c>
      <c r="X159">
        <f>IF(AND($E159="",$D159="",$G159="",$V159="",$Q159="",$T159="",$W159="",$U159=""),"",ROUND(IF($E159="",0,IF($E159&lt;Einstellungen!$B$21,0,IF($E159&gt;=Einstellungen!$B$22,100,($E159-Einstellungen!$B$21)/(Einstellungen!$B$22-Einstellungen!$B$21)*100)))/100*Einstellungen!$B$5+IF($W159="",0,$W159/100)*Einstellungen!$B$6+(IF($G159="",0,MAX(0,MIN(100,($G159-Einstellungen!$B$25)/(Einstellungen!$B$26-Einstellungen!$B$25)*100)))+IF($I159="",0,MAX(0,MIN(100,($I159-Einstellungen!$B$27)/(Einstellungen!$B$28-Einstellungen!$B$27)*100))))/2/100*Einstellungen!$B$7+IF($V159="",0,$V159/100)*Einstellungen!$B$8+IF($R159="",0,MAX(0,MIN(100,(Einstellungen!$B$32-$R159)/(Einstellungen!$B$32-Einstellungen!$B$31)*100)))/100*Einstellungen!$B$9+IF($D159="",0,$D159/5*100)/100*Einstellungen!$B$10+IF($AD159="",0,$AD159)/100*Einstellungen!$B$11+IF($U159="",0,$U159/5*100)/100*Einstellungen!$B$12,0))</f>
        <v/>
      </c>
      <c r="Y159">
        <f>IF($X159="","",$X159*1000000000000+IF($G159="",0,$G159)*1000000+IF($H159="",0,$H159)*1000+IF($I159="",0,$I159)+IF($N159="",0,MAX(0,1000-$N159))/1000+IF($A159="",0,$A159)/1000000)</f>
        <v/>
      </c>
      <c r="Z159">
        <f>IF($Y159="","",_xludf.RANK.EQ($Y159,$Y$2:$Y$201,0))</f>
        <v/>
      </c>
    </row>
    <row r="160">
      <c r="R160">
        <f>IFERROR(IF($Q160="","",$Q160/$H160),"")</f>
        <v/>
      </c>
      <c r="S160">
        <f>IFERROR(IF($Q160="","",$Q160/$G160),"")</f>
        <v/>
      </c>
      <c r="W160">
        <f>IF(AND($L160="",$N160="",$P160=""),"",ROUND((IF($L160="",0,IF($L160&lt;=Einstellungen!$B$16,100,IF($L160&lt;=Einstellungen!$C$16,80+(100-80)*(Einstellungen!$C$16-$L160)/(Einstellungen!$C$16-Einstellungen!$B$16),IF($L160&lt;=Einstellungen!$D$16,80*(Einstellungen!$D$16-$L160)/(Einstellungen!$D$16-Einstellungen!$C$16),0))))*Einstellungen!$E$16+IF($N160="",0,IF($N160&lt;=Einstellungen!$B$17,100,IF($N160&lt;=Einstellungen!$C$17,80+(100-80)*(Einstellungen!$C$17-$N160)/(Einstellungen!$C$17-Einstellungen!$B$17),IF($N160&lt;=Einstellungen!$D$17,80*(Einstellungen!$D$17-$N160)/(Einstellungen!$D$17-Einstellungen!$C$17),0))))*Einstellungen!$E$17+IF($P160="",0,IF($P160&lt;=Einstellungen!$B$18,100,IF($P160&lt;=Einstellungen!$C$18,80+(100-80)*(Einstellungen!$C$18-$P160)/(Einstellungen!$C$18-Einstellungen!$B$18),IF($P160&lt;=Einstellungen!$D$18,80*(Einstellungen!$D$18-$P160)/(Einstellungen!$D$18-Einstellungen!$C$18),0))))*Einstellungen!$E$18)/(Einstellungen!$E$16+Einstellungen!$E$17+Einstellungen!$E$18),0))</f>
        <v/>
      </c>
      <c r="X160">
        <f>IF(AND($E160="",$D160="",$G160="",$V160="",$Q160="",$T160="",$W160="",$U160=""),"",ROUND(IF($E160="",0,IF($E160&lt;Einstellungen!$B$21,0,IF($E160&gt;=Einstellungen!$B$22,100,($E160-Einstellungen!$B$21)/(Einstellungen!$B$22-Einstellungen!$B$21)*100)))/100*Einstellungen!$B$5+IF($W160="",0,$W160/100)*Einstellungen!$B$6+(IF($G160="",0,MAX(0,MIN(100,($G160-Einstellungen!$B$25)/(Einstellungen!$B$26-Einstellungen!$B$25)*100)))+IF($I160="",0,MAX(0,MIN(100,($I160-Einstellungen!$B$27)/(Einstellungen!$B$28-Einstellungen!$B$27)*100))))/2/100*Einstellungen!$B$7+IF($V160="",0,$V160/100)*Einstellungen!$B$8+IF($R160="",0,MAX(0,MIN(100,(Einstellungen!$B$32-$R160)/(Einstellungen!$B$32-Einstellungen!$B$31)*100)))/100*Einstellungen!$B$9+IF($D160="",0,$D160/5*100)/100*Einstellungen!$B$10+IF($AD160="",0,$AD160)/100*Einstellungen!$B$11+IF($U160="",0,$U160/5*100)/100*Einstellungen!$B$12,0))</f>
        <v/>
      </c>
      <c r="Y160">
        <f>IF($X160="","",$X160*1000000000000+IF($G160="",0,$G160)*1000000+IF($H160="",0,$H160)*1000+IF($I160="",0,$I160)+IF($N160="",0,MAX(0,1000-$N160))/1000+IF($A160="",0,$A160)/1000000)</f>
        <v/>
      </c>
      <c r="Z160">
        <f>IF($Y160="","",_xludf.RANK.EQ($Y160,$Y$2:$Y$201,0))</f>
        <v/>
      </c>
    </row>
    <row r="161">
      <c r="R161">
        <f>IFERROR(IF($Q161="","",$Q161/$H161),"")</f>
        <v/>
      </c>
      <c r="S161">
        <f>IFERROR(IF($Q161="","",$Q161/$G161),"")</f>
        <v/>
      </c>
      <c r="W161">
        <f>IF(AND($L161="",$N161="",$P161=""),"",ROUND((IF($L161="",0,IF($L161&lt;=Einstellungen!$B$16,100,IF($L161&lt;=Einstellungen!$C$16,80+(100-80)*(Einstellungen!$C$16-$L161)/(Einstellungen!$C$16-Einstellungen!$B$16),IF($L161&lt;=Einstellungen!$D$16,80*(Einstellungen!$D$16-$L161)/(Einstellungen!$D$16-Einstellungen!$C$16),0))))*Einstellungen!$E$16+IF($N161="",0,IF($N161&lt;=Einstellungen!$B$17,100,IF($N161&lt;=Einstellungen!$C$17,80+(100-80)*(Einstellungen!$C$17-$N161)/(Einstellungen!$C$17-Einstellungen!$B$17),IF($N161&lt;=Einstellungen!$D$17,80*(Einstellungen!$D$17-$N161)/(Einstellungen!$D$17-Einstellungen!$C$17),0))))*Einstellungen!$E$17+IF($P161="",0,IF($P161&lt;=Einstellungen!$B$18,100,IF($P161&lt;=Einstellungen!$C$18,80+(100-80)*(Einstellungen!$C$18-$P161)/(Einstellungen!$C$18-Einstellungen!$B$18),IF($P161&lt;=Einstellungen!$D$18,80*(Einstellungen!$D$18-$P161)/(Einstellungen!$D$18-Einstellungen!$C$18),0))))*Einstellungen!$E$18)/(Einstellungen!$E$16+Einstellungen!$E$17+Einstellungen!$E$18),0))</f>
        <v/>
      </c>
      <c r="X161">
        <f>IF(AND($E161="",$D161="",$G161="",$V161="",$Q161="",$T161="",$W161="",$U161=""),"",ROUND(IF($E161="",0,IF($E161&lt;Einstellungen!$B$21,0,IF($E161&gt;=Einstellungen!$B$22,100,($E161-Einstellungen!$B$21)/(Einstellungen!$B$22-Einstellungen!$B$21)*100)))/100*Einstellungen!$B$5+IF($W161="",0,$W161/100)*Einstellungen!$B$6+(IF($G161="",0,MAX(0,MIN(100,($G161-Einstellungen!$B$25)/(Einstellungen!$B$26-Einstellungen!$B$25)*100)))+IF($I161="",0,MAX(0,MIN(100,($I161-Einstellungen!$B$27)/(Einstellungen!$B$28-Einstellungen!$B$27)*100))))/2/100*Einstellungen!$B$7+IF($V161="",0,$V161/100)*Einstellungen!$B$8+IF($R161="",0,MAX(0,MIN(100,(Einstellungen!$B$32-$R161)/(Einstellungen!$B$32-Einstellungen!$B$31)*100)))/100*Einstellungen!$B$9+IF($D161="",0,$D161/5*100)/100*Einstellungen!$B$10+IF($AD161="",0,$AD161)/100*Einstellungen!$B$11+IF($U161="",0,$U161/5*100)/100*Einstellungen!$B$12,0))</f>
        <v/>
      </c>
      <c r="Y161">
        <f>IF($X161="","",$X161*1000000000000+IF($G161="",0,$G161)*1000000+IF($H161="",0,$H161)*1000+IF($I161="",0,$I161)+IF($N161="",0,MAX(0,1000-$N161))/1000+IF($A161="",0,$A161)/1000000)</f>
        <v/>
      </c>
      <c r="Z161">
        <f>IF($Y161="","",_xludf.RANK.EQ($Y161,$Y$2:$Y$201,0))</f>
        <v/>
      </c>
    </row>
    <row r="162">
      <c r="R162">
        <f>IFERROR(IF($Q162="","",$Q162/$H162),"")</f>
        <v/>
      </c>
      <c r="S162">
        <f>IFERROR(IF($Q162="","",$Q162/$G162),"")</f>
        <v/>
      </c>
      <c r="W162">
        <f>IF(AND($L162="",$N162="",$P162=""),"",ROUND((IF($L162="",0,IF($L162&lt;=Einstellungen!$B$16,100,IF($L162&lt;=Einstellungen!$C$16,80+(100-80)*(Einstellungen!$C$16-$L162)/(Einstellungen!$C$16-Einstellungen!$B$16),IF($L162&lt;=Einstellungen!$D$16,80*(Einstellungen!$D$16-$L162)/(Einstellungen!$D$16-Einstellungen!$C$16),0))))*Einstellungen!$E$16+IF($N162="",0,IF($N162&lt;=Einstellungen!$B$17,100,IF($N162&lt;=Einstellungen!$C$17,80+(100-80)*(Einstellungen!$C$17-$N162)/(Einstellungen!$C$17-Einstellungen!$B$17),IF($N162&lt;=Einstellungen!$D$17,80*(Einstellungen!$D$17-$N162)/(Einstellungen!$D$17-Einstellungen!$C$17),0))))*Einstellungen!$E$17+IF($P162="",0,IF($P162&lt;=Einstellungen!$B$18,100,IF($P162&lt;=Einstellungen!$C$18,80+(100-80)*(Einstellungen!$C$18-$P162)/(Einstellungen!$C$18-Einstellungen!$B$18),IF($P162&lt;=Einstellungen!$D$18,80*(Einstellungen!$D$18-$P162)/(Einstellungen!$D$18-Einstellungen!$C$18),0))))*Einstellungen!$E$18)/(Einstellungen!$E$16+Einstellungen!$E$17+Einstellungen!$E$18),0))</f>
        <v/>
      </c>
      <c r="X162">
        <f>IF(AND($E162="",$D162="",$G162="",$V162="",$Q162="",$T162="",$W162="",$U162=""),"",ROUND(IF($E162="",0,IF($E162&lt;Einstellungen!$B$21,0,IF($E162&gt;=Einstellungen!$B$22,100,($E162-Einstellungen!$B$21)/(Einstellungen!$B$22-Einstellungen!$B$21)*100)))/100*Einstellungen!$B$5+IF($W162="",0,$W162/100)*Einstellungen!$B$6+(IF($G162="",0,MAX(0,MIN(100,($G162-Einstellungen!$B$25)/(Einstellungen!$B$26-Einstellungen!$B$25)*100)))+IF($I162="",0,MAX(0,MIN(100,($I162-Einstellungen!$B$27)/(Einstellungen!$B$28-Einstellungen!$B$27)*100))))/2/100*Einstellungen!$B$7+IF($V162="",0,$V162/100)*Einstellungen!$B$8+IF($R162="",0,MAX(0,MIN(100,(Einstellungen!$B$32-$R162)/(Einstellungen!$B$32-Einstellungen!$B$31)*100)))/100*Einstellungen!$B$9+IF($D162="",0,$D162/5*100)/100*Einstellungen!$B$10+IF($AD162="",0,$AD162)/100*Einstellungen!$B$11+IF($U162="",0,$U162/5*100)/100*Einstellungen!$B$12,0))</f>
        <v/>
      </c>
      <c r="Y162">
        <f>IF($X162="","",$X162*1000000000000+IF($G162="",0,$G162)*1000000+IF($H162="",0,$H162)*1000+IF($I162="",0,$I162)+IF($N162="",0,MAX(0,1000-$N162))/1000+IF($A162="",0,$A162)/1000000)</f>
        <v/>
      </c>
      <c r="Z162">
        <f>IF($Y162="","",_xludf.RANK.EQ($Y162,$Y$2:$Y$201,0))</f>
        <v/>
      </c>
    </row>
    <row r="163">
      <c r="R163">
        <f>IFERROR(IF($Q163="","",$Q163/$H163),"")</f>
        <v/>
      </c>
      <c r="S163">
        <f>IFERROR(IF($Q163="","",$Q163/$G163),"")</f>
        <v/>
      </c>
      <c r="W163">
        <f>IF(AND($L163="",$N163="",$P163=""),"",ROUND((IF($L163="",0,IF($L163&lt;=Einstellungen!$B$16,100,IF($L163&lt;=Einstellungen!$C$16,80+(100-80)*(Einstellungen!$C$16-$L163)/(Einstellungen!$C$16-Einstellungen!$B$16),IF($L163&lt;=Einstellungen!$D$16,80*(Einstellungen!$D$16-$L163)/(Einstellungen!$D$16-Einstellungen!$C$16),0))))*Einstellungen!$E$16+IF($N163="",0,IF($N163&lt;=Einstellungen!$B$17,100,IF($N163&lt;=Einstellungen!$C$17,80+(100-80)*(Einstellungen!$C$17-$N163)/(Einstellungen!$C$17-Einstellungen!$B$17),IF($N163&lt;=Einstellungen!$D$17,80*(Einstellungen!$D$17-$N163)/(Einstellungen!$D$17-Einstellungen!$C$17),0))))*Einstellungen!$E$17+IF($P163="",0,IF($P163&lt;=Einstellungen!$B$18,100,IF($P163&lt;=Einstellungen!$C$18,80+(100-80)*(Einstellungen!$C$18-$P163)/(Einstellungen!$C$18-Einstellungen!$B$18),IF($P163&lt;=Einstellungen!$D$18,80*(Einstellungen!$D$18-$P163)/(Einstellungen!$D$18-Einstellungen!$C$18),0))))*Einstellungen!$E$18)/(Einstellungen!$E$16+Einstellungen!$E$17+Einstellungen!$E$18),0))</f>
        <v/>
      </c>
      <c r="X163">
        <f>IF(AND($E163="",$D163="",$G163="",$V163="",$Q163="",$T163="",$W163="",$U163=""),"",ROUND(IF($E163="",0,IF($E163&lt;Einstellungen!$B$21,0,IF($E163&gt;=Einstellungen!$B$22,100,($E163-Einstellungen!$B$21)/(Einstellungen!$B$22-Einstellungen!$B$21)*100)))/100*Einstellungen!$B$5+IF($W163="",0,$W163/100)*Einstellungen!$B$6+(IF($G163="",0,MAX(0,MIN(100,($G163-Einstellungen!$B$25)/(Einstellungen!$B$26-Einstellungen!$B$25)*100)))+IF($I163="",0,MAX(0,MIN(100,($I163-Einstellungen!$B$27)/(Einstellungen!$B$28-Einstellungen!$B$27)*100))))/2/100*Einstellungen!$B$7+IF($V163="",0,$V163/100)*Einstellungen!$B$8+IF($R163="",0,MAX(0,MIN(100,(Einstellungen!$B$32-$R163)/(Einstellungen!$B$32-Einstellungen!$B$31)*100)))/100*Einstellungen!$B$9+IF($D163="",0,$D163/5*100)/100*Einstellungen!$B$10+IF($AD163="",0,$AD163)/100*Einstellungen!$B$11+IF($U163="",0,$U163/5*100)/100*Einstellungen!$B$12,0))</f>
        <v/>
      </c>
      <c r="Y163">
        <f>IF($X163="","",$X163*1000000000000+IF($G163="",0,$G163)*1000000+IF($H163="",0,$H163)*1000+IF($I163="",0,$I163)+IF($N163="",0,MAX(0,1000-$N163))/1000+IF($A163="",0,$A163)/1000000)</f>
        <v/>
      </c>
      <c r="Z163">
        <f>IF($Y163="","",_xludf.RANK.EQ($Y163,$Y$2:$Y$201,0))</f>
        <v/>
      </c>
    </row>
    <row r="164">
      <c r="R164">
        <f>IFERROR(IF($Q164="","",$Q164/$H164),"")</f>
        <v/>
      </c>
      <c r="S164">
        <f>IFERROR(IF($Q164="","",$Q164/$G164),"")</f>
        <v/>
      </c>
      <c r="W164">
        <f>IF(AND($L164="",$N164="",$P164=""),"",ROUND((IF($L164="",0,IF($L164&lt;=Einstellungen!$B$16,100,IF($L164&lt;=Einstellungen!$C$16,80+(100-80)*(Einstellungen!$C$16-$L164)/(Einstellungen!$C$16-Einstellungen!$B$16),IF($L164&lt;=Einstellungen!$D$16,80*(Einstellungen!$D$16-$L164)/(Einstellungen!$D$16-Einstellungen!$C$16),0))))*Einstellungen!$E$16+IF($N164="",0,IF($N164&lt;=Einstellungen!$B$17,100,IF($N164&lt;=Einstellungen!$C$17,80+(100-80)*(Einstellungen!$C$17-$N164)/(Einstellungen!$C$17-Einstellungen!$B$17),IF($N164&lt;=Einstellungen!$D$17,80*(Einstellungen!$D$17-$N164)/(Einstellungen!$D$17-Einstellungen!$C$17),0))))*Einstellungen!$E$17+IF($P164="",0,IF($P164&lt;=Einstellungen!$B$18,100,IF($P164&lt;=Einstellungen!$C$18,80+(100-80)*(Einstellungen!$C$18-$P164)/(Einstellungen!$C$18-Einstellungen!$B$18),IF($P164&lt;=Einstellungen!$D$18,80*(Einstellungen!$D$18-$P164)/(Einstellungen!$D$18-Einstellungen!$C$18),0))))*Einstellungen!$E$18)/(Einstellungen!$E$16+Einstellungen!$E$17+Einstellungen!$E$18),0))</f>
        <v/>
      </c>
      <c r="X164">
        <f>IF(AND($E164="",$D164="",$G164="",$V164="",$Q164="",$T164="",$W164="",$U164=""),"",ROUND(IF($E164="",0,IF($E164&lt;Einstellungen!$B$21,0,IF($E164&gt;=Einstellungen!$B$22,100,($E164-Einstellungen!$B$21)/(Einstellungen!$B$22-Einstellungen!$B$21)*100)))/100*Einstellungen!$B$5+IF($W164="",0,$W164/100)*Einstellungen!$B$6+(IF($G164="",0,MAX(0,MIN(100,($G164-Einstellungen!$B$25)/(Einstellungen!$B$26-Einstellungen!$B$25)*100)))+IF($I164="",0,MAX(0,MIN(100,($I164-Einstellungen!$B$27)/(Einstellungen!$B$28-Einstellungen!$B$27)*100))))/2/100*Einstellungen!$B$7+IF($V164="",0,$V164/100)*Einstellungen!$B$8+IF($R164="",0,MAX(0,MIN(100,(Einstellungen!$B$32-$R164)/(Einstellungen!$B$32-Einstellungen!$B$31)*100)))/100*Einstellungen!$B$9+IF($D164="",0,$D164/5*100)/100*Einstellungen!$B$10+IF($AD164="",0,$AD164)/100*Einstellungen!$B$11+IF($U164="",0,$U164/5*100)/100*Einstellungen!$B$12,0))</f>
        <v/>
      </c>
      <c r="Y164">
        <f>IF($X164="","",$X164*1000000000000+IF($G164="",0,$G164)*1000000+IF($H164="",0,$H164)*1000+IF($I164="",0,$I164)+IF($N164="",0,MAX(0,1000-$N164))/1000+IF($A164="",0,$A164)/1000000)</f>
        <v/>
      </c>
      <c r="Z164">
        <f>IF($Y164="","",_xludf.RANK.EQ($Y164,$Y$2:$Y$201,0))</f>
        <v/>
      </c>
    </row>
    <row r="165">
      <c r="R165">
        <f>IFERROR(IF($Q165="","",$Q165/$H165),"")</f>
        <v/>
      </c>
      <c r="S165">
        <f>IFERROR(IF($Q165="","",$Q165/$G165),"")</f>
        <v/>
      </c>
      <c r="W165">
        <f>IF(AND($L165="",$N165="",$P165=""),"",ROUND((IF($L165="",0,IF($L165&lt;=Einstellungen!$B$16,100,IF($L165&lt;=Einstellungen!$C$16,80+(100-80)*(Einstellungen!$C$16-$L165)/(Einstellungen!$C$16-Einstellungen!$B$16),IF($L165&lt;=Einstellungen!$D$16,80*(Einstellungen!$D$16-$L165)/(Einstellungen!$D$16-Einstellungen!$C$16),0))))*Einstellungen!$E$16+IF($N165="",0,IF($N165&lt;=Einstellungen!$B$17,100,IF($N165&lt;=Einstellungen!$C$17,80+(100-80)*(Einstellungen!$C$17-$N165)/(Einstellungen!$C$17-Einstellungen!$B$17),IF($N165&lt;=Einstellungen!$D$17,80*(Einstellungen!$D$17-$N165)/(Einstellungen!$D$17-Einstellungen!$C$17),0))))*Einstellungen!$E$17+IF($P165="",0,IF($P165&lt;=Einstellungen!$B$18,100,IF($P165&lt;=Einstellungen!$C$18,80+(100-80)*(Einstellungen!$C$18-$P165)/(Einstellungen!$C$18-Einstellungen!$B$18),IF($P165&lt;=Einstellungen!$D$18,80*(Einstellungen!$D$18-$P165)/(Einstellungen!$D$18-Einstellungen!$C$18),0))))*Einstellungen!$E$18)/(Einstellungen!$E$16+Einstellungen!$E$17+Einstellungen!$E$18),0))</f>
        <v/>
      </c>
      <c r="X165">
        <f>IF(AND($E165="",$D165="",$G165="",$V165="",$Q165="",$T165="",$W165="",$U165=""),"",ROUND(IF($E165="",0,IF($E165&lt;Einstellungen!$B$21,0,IF($E165&gt;=Einstellungen!$B$22,100,($E165-Einstellungen!$B$21)/(Einstellungen!$B$22-Einstellungen!$B$21)*100)))/100*Einstellungen!$B$5+IF($W165="",0,$W165/100)*Einstellungen!$B$6+(IF($G165="",0,MAX(0,MIN(100,($G165-Einstellungen!$B$25)/(Einstellungen!$B$26-Einstellungen!$B$25)*100)))+IF($I165="",0,MAX(0,MIN(100,($I165-Einstellungen!$B$27)/(Einstellungen!$B$28-Einstellungen!$B$27)*100))))/2/100*Einstellungen!$B$7+IF($V165="",0,$V165/100)*Einstellungen!$B$8+IF($R165="",0,MAX(0,MIN(100,(Einstellungen!$B$32-$R165)/(Einstellungen!$B$32-Einstellungen!$B$31)*100)))/100*Einstellungen!$B$9+IF($D165="",0,$D165/5*100)/100*Einstellungen!$B$10+IF($AD165="",0,$AD165)/100*Einstellungen!$B$11+IF($U165="",0,$U165/5*100)/100*Einstellungen!$B$12,0))</f>
        <v/>
      </c>
      <c r="Y165">
        <f>IF($X165="","",$X165*1000000000000+IF($G165="",0,$G165)*1000000+IF($H165="",0,$H165)*1000+IF($I165="",0,$I165)+IF($N165="",0,MAX(0,1000-$N165))/1000+IF($A165="",0,$A165)/1000000)</f>
        <v/>
      </c>
      <c r="Z165">
        <f>IF($Y165="","",_xludf.RANK.EQ($Y165,$Y$2:$Y$201,0))</f>
        <v/>
      </c>
    </row>
    <row r="166">
      <c r="R166">
        <f>IFERROR(IF($Q166="","",$Q166/$H166),"")</f>
        <v/>
      </c>
      <c r="S166">
        <f>IFERROR(IF($Q166="","",$Q166/$G166),"")</f>
        <v/>
      </c>
      <c r="W166">
        <f>IF(AND($L166="",$N166="",$P166=""),"",ROUND((IF($L166="",0,IF($L166&lt;=Einstellungen!$B$16,100,IF($L166&lt;=Einstellungen!$C$16,80+(100-80)*(Einstellungen!$C$16-$L166)/(Einstellungen!$C$16-Einstellungen!$B$16),IF($L166&lt;=Einstellungen!$D$16,80*(Einstellungen!$D$16-$L166)/(Einstellungen!$D$16-Einstellungen!$C$16),0))))*Einstellungen!$E$16+IF($N166="",0,IF($N166&lt;=Einstellungen!$B$17,100,IF($N166&lt;=Einstellungen!$C$17,80+(100-80)*(Einstellungen!$C$17-$N166)/(Einstellungen!$C$17-Einstellungen!$B$17),IF($N166&lt;=Einstellungen!$D$17,80*(Einstellungen!$D$17-$N166)/(Einstellungen!$D$17-Einstellungen!$C$17),0))))*Einstellungen!$E$17+IF($P166="",0,IF($P166&lt;=Einstellungen!$B$18,100,IF($P166&lt;=Einstellungen!$C$18,80+(100-80)*(Einstellungen!$C$18-$P166)/(Einstellungen!$C$18-Einstellungen!$B$18),IF($P166&lt;=Einstellungen!$D$18,80*(Einstellungen!$D$18-$P166)/(Einstellungen!$D$18-Einstellungen!$C$18),0))))*Einstellungen!$E$18)/(Einstellungen!$E$16+Einstellungen!$E$17+Einstellungen!$E$18),0))</f>
        <v/>
      </c>
      <c r="X166">
        <f>IF(AND($E166="",$D166="",$G166="",$V166="",$Q166="",$T166="",$W166="",$U166=""),"",ROUND(IF($E166="",0,IF($E166&lt;Einstellungen!$B$21,0,IF($E166&gt;=Einstellungen!$B$22,100,($E166-Einstellungen!$B$21)/(Einstellungen!$B$22-Einstellungen!$B$21)*100)))/100*Einstellungen!$B$5+IF($W166="",0,$W166/100)*Einstellungen!$B$6+(IF($G166="",0,MAX(0,MIN(100,($G166-Einstellungen!$B$25)/(Einstellungen!$B$26-Einstellungen!$B$25)*100)))+IF($I166="",0,MAX(0,MIN(100,($I166-Einstellungen!$B$27)/(Einstellungen!$B$28-Einstellungen!$B$27)*100))))/2/100*Einstellungen!$B$7+IF($V166="",0,$V166/100)*Einstellungen!$B$8+IF($R166="",0,MAX(0,MIN(100,(Einstellungen!$B$32-$R166)/(Einstellungen!$B$32-Einstellungen!$B$31)*100)))/100*Einstellungen!$B$9+IF($D166="",0,$D166/5*100)/100*Einstellungen!$B$10+IF($AD166="",0,$AD166)/100*Einstellungen!$B$11+IF($U166="",0,$U166/5*100)/100*Einstellungen!$B$12,0))</f>
        <v/>
      </c>
      <c r="Y166">
        <f>IF($X166="","",$X166*1000000000000+IF($G166="",0,$G166)*1000000+IF($H166="",0,$H166)*1000+IF($I166="",0,$I166)+IF($N166="",0,MAX(0,1000-$N166))/1000+IF($A166="",0,$A166)/1000000)</f>
        <v/>
      </c>
      <c r="Z166">
        <f>IF($Y166="","",_xludf.RANK.EQ($Y166,$Y$2:$Y$201,0))</f>
        <v/>
      </c>
    </row>
    <row r="167">
      <c r="R167">
        <f>IFERROR(IF($Q167="","",$Q167/$H167),"")</f>
        <v/>
      </c>
      <c r="S167">
        <f>IFERROR(IF($Q167="","",$Q167/$G167),"")</f>
        <v/>
      </c>
      <c r="W167">
        <f>IF(AND($L167="",$N167="",$P167=""),"",ROUND((IF($L167="",0,IF($L167&lt;=Einstellungen!$B$16,100,IF($L167&lt;=Einstellungen!$C$16,80+(100-80)*(Einstellungen!$C$16-$L167)/(Einstellungen!$C$16-Einstellungen!$B$16),IF($L167&lt;=Einstellungen!$D$16,80*(Einstellungen!$D$16-$L167)/(Einstellungen!$D$16-Einstellungen!$C$16),0))))*Einstellungen!$E$16+IF($N167="",0,IF($N167&lt;=Einstellungen!$B$17,100,IF($N167&lt;=Einstellungen!$C$17,80+(100-80)*(Einstellungen!$C$17-$N167)/(Einstellungen!$C$17-Einstellungen!$B$17),IF($N167&lt;=Einstellungen!$D$17,80*(Einstellungen!$D$17-$N167)/(Einstellungen!$D$17-Einstellungen!$C$17),0))))*Einstellungen!$E$17+IF($P167="",0,IF($P167&lt;=Einstellungen!$B$18,100,IF($P167&lt;=Einstellungen!$C$18,80+(100-80)*(Einstellungen!$C$18-$P167)/(Einstellungen!$C$18-Einstellungen!$B$18),IF($P167&lt;=Einstellungen!$D$18,80*(Einstellungen!$D$18-$P167)/(Einstellungen!$D$18-Einstellungen!$C$18),0))))*Einstellungen!$E$18)/(Einstellungen!$E$16+Einstellungen!$E$17+Einstellungen!$E$18),0))</f>
        <v/>
      </c>
      <c r="X167">
        <f>IF(AND($E167="",$D167="",$G167="",$V167="",$Q167="",$T167="",$W167="",$U167=""),"",ROUND(IF($E167="",0,IF($E167&lt;Einstellungen!$B$21,0,IF($E167&gt;=Einstellungen!$B$22,100,($E167-Einstellungen!$B$21)/(Einstellungen!$B$22-Einstellungen!$B$21)*100)))/100*Einstellungen!$B$5+IF($W167="",0,$W167/100)*Einstellungen!$B$6+(IF($G167="",0,MAX(0,MIN(100,($G167-Einstellungen!$B$25)/(Einstellungen!$B$26-Einstellungen!$B$25)*100)))+IF($I167="",0,MAX(0,MIN(100,($I167-Einstellungen!$B$27)/(Einstellungen!$B$28-Einstellungen!$B$27)*100))))/2/100*Einstellungen!$B$7+IF($V167="",0,$V167/100)*Einstellungen!$B$8+IF($R167="",0,MAX(0,MIN(100,(Einstellungen!$B$32-$R167)/(Einstellungen!$B$32-Einstellungen!$B$31)*100)))/100*Einstellungen!$B$9+IF($D167="",0,$D167/5*100)/100*Einstellungen!$B$10+IF($AD167="",0,$AD167)/100*Einstellungen!$B$11+IF($U167="",0,$U167/5*100)/100*Einstellungen!$B$12,0))</f>
        <v/>
      </c>
      <c r="Y167">
        <f>IF($X167="","",$X167*1000000000000+IF($G167="",0,$G167)*1000000+IF($H167="",0,$H167)*1000+IF($I167="",0,$I167)+IF($N167="",0,MAX(0,1000-$N167))/1000+IF($A167="",0,$A167)/1000000)</f>
        <v/>
      </c>
      <c r="Z167">
        <f>IF($Y167="","",_xludf.RANK.EQ($Y167,$Y$2:$Y$201,0))</f>
        <v/>
      </c>
    </row>
    <row r="168">
      <c r="R168">
        <f>IFERROR(IF($Q168="","",$Q168/$H168),"")</f>
        <v/>
      </c>
      <c r="S168">
        <f>IFERROR(IF($Q168="","",$Q168/$G168),"")</f>
        <v/>
      </c>
      <c r="W168">
        <f>IF(AND($L168="",$N168="",$P168=""),"",ROUND((IF($L168="",0,IF($L168&lt;=Einstellungen!$B$16,100,IF($L168&lt;=Einstellungen!$C$16,80+(100-80)*(Einstellungen!$C$16-$L168)/(Einstellungen!$C$16-Einstellungen!$B$16),IF($L168&lt;=Einstellungen!$D$16,80*(Einstellungen!$D$16-$L168)/(Einstellungen!$D$16-Einstellungen!$C$16),0))))*Einstellungen!$E$16+IF($N168="",0,IF($N168&lt;=Einstellungen!$B$17,100,IF($N168&lt;=Einstellungen!$C$17,80+(100-80)*(Einstellungen!$C$17-$N168)/(Einstellungen!$C$17-Einstellungen!$B$17),IF($N168&lt;=Einstellungen!$D$17,80*(Einstellungen!$D$17-$N168)/(Einstellungen!$D$17-Einstellungen!$C$17),0))))*Einstellungen!$E$17+IF($P168="",0,IF($P168&lt;=Einstellungen!$B$18,100,IF($P168&lt;=Einstellungen!$C$18,80+(100-80)*(Einstellungen!$C$18-$P168)/(Einstellungen!$C$18-Einstellungen!$B$18),IF($P168&lt;=Einstellungen!$D$18,80*(Einstellungen!$D$18-$P168)/(Einstellungen!$D$18-Einstellungen!$C$18),0))))*Einstellungen!$E$18)/(Einstellungen!$E$16+Einstellungen!$E$17+Einstellungen!$E$18),0))</f>
        <v/>
      </c>
      <c r="X168">
        <f>IF(AND($E168="",$D168="",$G168="",$V168="",$Q168="",$T168="",$W168="",$U168=""),"",ROUND(IF($E168="",0,IF($E168&lt;Einstellungen!$B$21,0,IF($E168&gt;=Einstellungen!$B$22,100,($E168-Einstellungen!$B$21)/(Einstellungen!$B$22-Einstellungen!$B$21)*100)))/100*Einstellungen!$B$5+IF($W168="",0,$W168/100)*Einstellungen!$B$6+(IF($G168="",0,MAX(0,MIN(100,($G168-Einstellungen!$B$25)/(Einstellungen!$B$26-Einstellungen!$B$25)*100)))+IF($I168="",0,MAX(0,MIN(100,($I168-Einstellungen!$B$27)/(Einstellungen!$B$28-Einstellungen!$B$27)*100))))/2/100*Einstellungen!$B$7+IF($V168="",0,$V168/100)*Einstellungen!$B$8+IF($R168="",0,MAX(0,MIN(100,(Einstellungen!$B$32-$R168)/(Einstellungen!$B$32-Einstellungen!$B$31)*100)))/100*Einstellungen!$B$9+IF($D168="",0,$D168/5*100)/100*Einstellungen!$B$10+IF($AD168="",0,$AD168)/100*Einstellungen!$B$11+IF($U168="",0,$U168/5*100)/100*Einstellungen!$B$12,0))</f>
        <v/>
      </c>
      <c r="Y168">
        <f>IF($X168="","",$X168*1000000000000+IF($G168="",0,$G168)*1000000+IF($H168="",0,$H168)*1000+IF($I168="",0,$I168)+IF($N168="",0,MAX(0,1000-$N168))/1000+IF($A168="",0,$A168)/1000000)</f>
        <v/>
      </c>
      <c r="Z168">
        <f>IF($Y168="","",_xludf.RANK.EQ($Y168,$Y$2:$Y$201,0))</f>
        <v/>
      </c>
    </row>
    <row r="169">
      <c r="R169">
        <f>IFERROR(IF($Q169="","",$Q169/$H169),"")</f>
        <v/>
      </c>
      <c r="S169">
        <f>IFERROR(IF($Q169="","",$Q169/$G169),"")</f>
        <v/>
      </c>
      <c r="W169">
        <f>IF(AND($L169="",$N169="",$P169=""),"",ROUND((IF($L169="",0,IF($L169&lt;=Einstellungen!$B$16,100,IF($L169&lt;=Einstellungen!$C$16,80+(100-80)*(Einstellungen!$C$16-$L169)/(Einstellungen!$C$16-Einstellungen!$B$16),IF($L169&lt;=Einstellungen!$D$16,80*(Einstellungen!$D$16-$L169)/(Einstellungen!$D$16-Einstellungen!$C$16),0))))*Einstellungen!$E$16+IF($N169="",0,IF($N169&lt;=Einstellungen!$B$17,100,IF($N169&lt;=Einstellungen!$C$17,80+(100-80)*(Einstellungen!$C$17-$N169)/(Einstellungen!$C$17-Einstellungen!$B$17),IF($N169&lt;=Einstellungen!$D$17,80*(Einstellungen!$D$17-$N169)/(Einstellungen!$D$17-Einstellungen!$C$17),0))))*Einstellungen!$E$17+IF($P169="",0,IF($P169&lt;=Einstellungen!$B$18,100,IF($P169&lt;=Einstellungen!$C$18,80+(100-80)*(Einstellungen!$C$18-$P169)/(Einstellungen!$C$18-Einstellungen!$B$18),IF($P169&lt;=Einstellungen!$D$18,80*(Einstellungen!$D$18-$P169)/(Einstellungen!$D$18-Einstellungen!$C$18),0))))*Einstellungen!$E$18)/(Einstellungen!$E$16+Einstellungen!$E$17+Einstellungen!$E$18),0))</f>
        <v/>
      </c>
      <c r="X169">
        <f>IF(AND($E169="",$D169="",$G169="",$V169="",$Q169="",$T169="",$W169="",$U169=""),"",ROUND(IF($E169="",0,IF($E169&lt;Einstellungen!$B$21,0,IF($E169&gt;=Einstellungen!$B$22,100,($E169-Einstellungen!$B$21)/(Einstellungen!$B$22-Einstellungen!$B$21)*100)))/100*Einstellungen!$B$5+IF($W169="",0,$W169/100)*Einstellungen!$B$6+(IF($G169="",0,MAX(0,MIN(100,($G169-Einstellungen!$B$25)/(Einstellungen!$B$26-Einstellungen!$B$25)*100)))+IF($I169="",0,MAX(0,MIN(100,($I169-Einstellungen!$B$27)/(Einstellungen!$B$28-Einstellungen!$B$27)*100))))/2/100*Einstellungen!$B$7+IF($V169="",0,$V169/100)*Einstellungen!$B$8+IF($R169="",0,MAX(0,MIN(100,(Einstellungen!$B$32-$R169)/(Einstellungen!$B$32-Einstellungen!$B$31)*100)))/100*Einstellungen!$B$9+IF($D169="",0,$D169/5*100)/100*Einstellungen!$B$10+IF($AD169="",0,$AD169)/100*Einstellungen!$B$11+IF($U169="",0,$U169/5*100)/100*Einstellungen!$B$12,0))</f>
        <v/>
      </c>
      <c r="Y169">
        <f>IF($X169="","",$X169*1000000000000+IF($G169="",0,$G169)*1000000+IF($H169="",0,$H169)*1000+IF($I169="",0,$I169)+IF($N169="",0,MAX(0,1000-$N169))/1000+IF($A169="",0,$A169)/1000000)</f>
        <v/>
      </c>
      <c r="Z169">
        <f>IF($Y169="","",_xludf.RANK.EQ($Y169,$Y$2:$Y$201,0))</f>
        <v/>
      </c>
    </row>
    <row r="170">
      <c r="R170">
        <f>IFERROR(IF($Q170="","",$Q170/$H170),"")</f>
        <v/>
      </c>
      <c r="S170">
        <f>IFERROR(IF($Q170="","",$Q170/$G170),"")</f>
        <v/>
      </c>
      <c r="W170">
        <f>IF(AND($L170="",$N170="",$P170=""),"",ROUND((IF($L170="",0,IF($L170&lt;=Einstellungen!$B$16,100,IF($L170&lt;=Einstellungen!$C$16,80+(100-80)*(Einstellungen!$C$16-$L170)/(Einstellungen!$C$16-Einstellungen!$B$16),IF($L170&lt;=Einstellungen!$D$16,80*(Einstellungen!$D$16-$L170)/(Einstellungen!$D$16-Einstellungen!$C$16),0))))*Einstellungen!$E$16+IF($N170="",0,IF($N170&lt;=Einstellungen!$B$17,100,IF($N170&lt;=Einstellungen!$C$17,80+(100-80)*(Einstellungen!$C$17-$N170)/(Einstellungen!$C$17-Einstellungen!$B$17),IF($N170&lt;=Einstellungen!$D$17,80*(Einstellungen!$D$17-$N170)/(Einstellungen!$D$17-Einstellungen!$C$17),0))))*Einstellungen!$E$17+IF($P170="",0,IF($P170&lt;=Einstellungen!$B$18,100,IF($P170&lt;=Einstellungen!$C$18,80+(100-80)*(Einstellungen!$C$18-$P170)/(Einstellungen!$C$18-Einstellungen!$B$18),IF($P170&lt;=Einstellungen!$D$18,80*(Einstellungen!$D$18-$P170)/(Einstellungen!$D$18-Einstellungen!$C$18),0))))*Einstellungen!$E$18)/(Einstellungen!$E$16+Einstellungen!$E$17+Einstellungen!$E$18),0))</f>
        <v/>
      </c>
      <c r="X170">
        <f>IF(AND($E170="",$D170="",$G170="",$V170="",$Q170="",$T170="",$W170="",$U170=""),"",ROUND(IF($E170="",0,IF($E170&lt;Einstellungen!$B$21,0,IF($E170&gt;=Einstellungen!$B$22,100,($E170-Einstellungen!$B$21)/(Einstellungen!$B$22-Einstellungen!$B$21)*100)))/100*Einstellungen!$B$5+IF($W170="",0,$W170/100)*Einstellungen!$B$6+(IF($G170="",0,MAX(0,MIN(100,($G170-Einstellungen!$B$25)/(Einstellungen!$B$26-Einstellungen!$B$25)*100)))+IF($I170="",0,MAX(0,MIN(100,($I170-Einstellungen!$B$27)/(Einstellungen!$B$28-Einstellungen!$B$27)*100))))/2/100*Einstellungen!$B$7+IF($V170="",0,$V170/100)*Einstellungen!$B$8+IF($R170="",0,MAX(0,MIN(100,(Einstellungen!$B$32-$R170)/(Einstellungen!$B$32-Einstellungen!$B$31)*100)))/100*Einstellungen!$B$9+IF($D170="",0,$D170/5*100)/100*Einstellungen!$B$10+IF($AD170="",0,$AD170)/100*Einstellungen!$B$11+IF($U170="",0,$U170/5*100)/100*Einstellungen!$B$12,0))</f>
        <v/>
      </c>
      <c r="Y170">
        <f>IF($X170="","",$X170*1000000000000+IF($G170="",0,$G170)*1000000+IF($H170="",0,$H170)*1000+IF($I170="",0,$I170)+IF($N170="",0,MAX(0,1000-$N170))/1000+IF($A170="",0,$A170)/1000000)</f>
        <v/>
      </c>
      <c r="Z170">
        <f>IF($Y170="","",_xludf.RANK.EQ($Y170,$Y$2:$Y$201,0))</f>
        <v/>
      </c>
    </row>
    <row r="171">
      <c r="R171">
        <f>IFERROR(IF($Q171="","",$Q171/$H171),"")</f>
        <v/>
      </c>
      <c r="S171">
        <f>IFERROR(IF($Q171="","",$Q171/$G171),"")</f>
        <v/>
      </c>
      <c r="W171">
        <f>IF(AND($L171="",$N171="",$P171=""),"",ROUND((IF($L171="",0,IF($L171&lt;=Einstellungen!$B$16,100,IF($L171&lt;=Einstellungen!$C$16,80+(100-80)*(Einstellungen!$C$16-$L171)/(Einstellungen!$C$16-Einstellungen!$B$16),IF($L171&lt;=Einstellungen!$D$16,80*(Einstellungen!$D$16-$L171)/(Einstellungen!$D$16-Einstellungen!$C$16),0))))*Einstellungen!$E$16+IF($N171="",0,IF($N171&lt;=Einstellungen!$B$17,100,IF($N171&lt;=Einstellungen!$C$17,80+(100-80)*(Einstellungen!$C$17-$N171)/(Einstellungen!$C$17-Einstellungen!$B$17),IF($N171&lt;=Einstellungen!$D$17,80*(Einstellungen!$D$17-$N171)/(Einstellungen!$D$17-Einstellungen!$C$17),0))))*Einstellungen!$E$17+IF($P171="",0,IF($P171&lt;=Einstellungen!$B$18,100,IF($P171&lt;=Einstellungen!$C$18,80+(100-80)*(Einstellungen!$C$18-$P171)/(Einstellungen!$C$18-Einstellungen!$B$18),IF($P171&lt;=Einstellungen!$D$18,80*(Einstellungen!$D$18-$P171)/(Einstellungen!$D$18-Einstellungen!$C$18),0))))*Einstellungen!$E$18)/(Einstellungen!$E$16+Einstellungen!$E$17+Einstellungen!$E$18),0))</f>
        <v/>
      </c>
      <c r="X171">
        <f>IF(AND($E171="",$D171="",$G171="",$V171="",$Q171="",$T171="",$W171="",$U171=""),"",ROUND(IF($E171="",0,IF($E171&lt;Einstellungen!$B$21,0,IF($E171&gt;=Einstellungen!$B$22,100,($E171-Einstellungen!$B$21)/(Einstellungen!$B$22-Einstellungen!$B$21)*100)))/100*Einstellungen!$B$5+IF($W171="",0,$W171/100)*Einstellungen!$B$6+(IF($G171="",0,MAX(0,MIN(100,($G171-Einstellungen!$B$25)/(Einstellungen!$B$26-Einstellungen!$B$25)*100)))+IF($I171="",0,MAX(0,MIN(100,($I171-Einstellungen!$B$27)/(Einstellungen!$B$28-Einstellungen!$B$27)*100))))/2/100*Einstellungen!$B$7+IF($V171="",0,$V171/100)*Einstellungen!$B$8+IF($R171="",0,MAX(0,MIN(100,(Einstellungen!$B$32-$R171)/(Einstellungen!$B$32-Einstellungen!$B$31)*100)))/100*Einstellungen!$B$9+IF($D171="",0,$D171/5*100)/100*Einstellungen!$B$10+IF($AD171="",0,$AD171)/100*Einstellungen!$B$11+IF($U171="",0,$U171/5*100)/100*Einstellungen!$B$12,0))</f>
        <v/>
      </c>
      <c r="Y171">
        <f>IF($X171="","",$X171*1000000000000+IF($G171="",0,$G171)*1000000+IF($H171="",0,$H171)*1000+IF($I171="",0,$I171)+IF($N171="",0,MAX(0,1000-$N171))/1000+IF($A171="",0,$A171)/1000000)</f>
        <v/>
      </c>
      <c r="Z171">
        <f>IF($Y171="","",_xludf.RANK.EQ($Y171,$Y$2:$Y$201,0))</f>
        <v/>
      </c>
    </row>
    <row r="172">
      <c r="R172">
        <f>IFERROR(IF($Q172="","",$Q172/$H172),"")</f>
        <v/>
      </c>
      <c r="S172">
        <f>IFERROR(IF($Q172="","",$Q172/$G172),"")</f>
        <v/>
      </c>
      <c r="W172">
        <f>IF(AND($L172="",$N172="",$P172=""),"",ROUND((IF($L172="",0,IF($L172&lt;=Einstellungen!$B$16,100,IF($L172&lt;=Einstellungen!$C$16,80+(100-80)*(Einstellungen!$C$16-$L172)/(Einstellungen!$C$16-Einstellungen!$B$16),IF($L172&lt;=Einstellungen!$D$16,80*(Einstellungen!$D$16-$L172)/(Einstellungen!$D$16-Einstellungen!$C$16),0))))*Einstellungen!$E$16+IF($N172="",0,IF($N172&lt;=Einstellungen!$B$17,100,IF($N172&lt;=Einstellungen!$C$17,80+(100-80)*(Einstellungen!$C$17-$N172)/(Einstellungen!$C$17-Einstellungen!$B$17),IF($N172&lt;=Einstellungen!$D$17,80*(Einstellungen!$D$17-$N172)/(Einstellungen!$D$17-Einstellungen!$C$17),0))))*Einstellungen!$E$17+IF($P172="",0,IF($P172&lt;=Einstellungen!$B$18,100,IF($P172&lt;=Einstellungen!$C$18,80+(100-80)*(Einstellungen!$C$18-$P172)/(Einstellungen!$C$18-Einstellungen!$B$18),IF($P172&lt;=Einstellungen!$D$18,80*(Einstellungen!$D$18-$P172)/(Einstellungen!$D$18-Einstellungen!$C$18),0))))*Einstellungen!$E$18)/(Einstellungen!$E$16+Einstellungen!$E$17+Einstellungen!$E$18),0))</f>
        <v/>
      </c>
      <c r="X172">
        <f>IF(AND($E172="",$D172="",$G172="",$V172="",$Q172="",$T172="",$W172="",$U172=""),"",ROUND(IF($E172="",0,IF($E172&lt;Einstellungen!$B$21,0,IF($E172&gt;=Einstellungen!$B$22,100,($E172-Einstellungen!$B$21)/(Einstellungen!$B$22-Einstellungen!$B$21)*100)))/100*Einstellungen!$B$5+IF($W172="",0,$W172/100)*Einstellungen!$B$6+(IF($G172="",0,MAX(0,MIN(100,($G172-Einstellungen!$B$25)/(Einstellungen!$B$26-Einstellungen!$B$25)*100)))+IF($I172="",0,MAX(0,MIN(100,($I172-Einstellungen!$B$27)/(Einstellungen!$B$28-Einstellungen!$B$27)*100))))/2/100*Einstellungen!$B$7+IF($V172="",0,$V172/100)*Einstellungen!$B$8+IF($R172="",0,MAX(0,MIN(100,(Einstellungen!$B$32-$R172)/(Einstellungen!$B$32-Einstellungen!$B$31)*100)))/100*Einstellungen!$B$9+IF($D172="",0,$D172/5*100)/100*Einstellungen!$B$10+IF($AD172="",0,$AD172)/100*Einstellungen!$B$11+IF($U172="",0,$U172/5*100)/100*Einstellungen!$B$12,0))</f>
        <v/>
      </c>
      <c r="Y172">
        <f>IF($X172="","",$X172*1000000000000+IF($G172="",0,$G172)*1000000+IF($H172="",0,$H172)*1000+IF($I172="",0,$I172)+IF($N172="",0,MAX(0,1000-$N172))/1000+IF($A172="",0,$A172)/1000000)</f>
        <v/>
      </c>
      <c r="Z172">
        <f>IF($Y172="","",_xludf.RANK.EQ($Y172,$Y$2:$Y$201,0))</f>
        <v/>
      </c>
    </row>
    <row r="173">
      <c r="R173">
        <f>IFERROR(IF($Q173="","",$Q173/$H173),"")</f>
        <v/>
      </c>
      <c r="S173">
        <f>IFERROR(IF($Q173="","",$Q173/$G173),"")</f>
        <v/>
      </c>
      <c r="W173">
        <f>IF(AND($L173="",$N173="",$P173=""),"",ROUND((IF($L173="",0,IF($L173&lt;=Einstellungen!$B$16,100,IF($L173&lt;=Einstellungen!$C$16,80+(100-80)*(Einstellungen!$C$16-$L173)/(Einstellungen!$C$16-Einstellungen!$B$16),IF($L173&lt;=Einstellungen!$D$16,80*(Einstellungen!$D$16-$L173)/(Einstellungen!$D$16-Einstellungen!$C$16),0))))*Einstellungen!$E$16+IF($N173="",0,IF($N173&lt;=Einstellungen!$B$17,100,IF($N173&lt;=Einstellungen!$C$17,80+(100-80)*(Einstellungen!$C$17-$N173)/(Einstellungen!$C$17-Einstellungen!$B$17),IF($N173&lt;=Einstellungen!$D$17,80*(Einstellungen!$D$17-$N173)/(Einstellungen!$D$17-Einstellungen!$C$17),0))))*Einstellungen!$E$17+IF($P173="",0,IF($P173&lt;=Einstellungen!$B$18,100,IF($P173&lt;=Einstellungen!$C$18,80+(100-80)*(Einstellungen!$C$18-$P173)/(Einstellungen!$C$18-Einstellungen!$B$18),IF($P173&lt;=Einstellungen!$D$18,80*(Einstellungen!$D$18-$P173)/(Einstellungen!$D$18-Einstellungen!$C$18),0))))*Einstellungen!$E$18)/(Einstellungen!$E$16+Einstellungen!$E$17+Einstellungen!$E$18),0))</f>
        <v/>
      </c>
      <c r="X173">
        <f>IF(AND($E173="",$D173="",$G173="",$V173="",$Q173="",$T173="",$W173="",$U173=""),"",ROUND(IF($E173="",0,IF($E173&lt;Einstellungen!$B$21,0,IF($E173&gt;=Einstellungen!$B$22,100,($E173-Einstellungen!$B$21)/(Einstellungen!$B$22-Einstellungen!$B$21)*100)))/100*Einstellungen!$B$5+IF($W173="",0,$W173/100)*Einstellungen!$B$6+(IF($G173="",0,MAX(0,MIN(100,($G173-Einstellungen!$B$25)/(Einstellungen!$B$26-Einstellungen!$B$25)*100)))+IF($I173="",0,MAX(0,MIN(100,($I173-Einstellungen!$B$27)/(Einstellungen!$B$28-Einstellungen!$B$27)*100))))/2/100*Einstellungen!$B$7+IF($V173="",0,$V173/100)*Einstellungen!$B$8+IF($R173="",0,MAX(0,MIN(100,(Einstellungen!$B$32-$R173)/(Einstellungen!$B$32-Einstellungen!$B$31)*100)))/100*Einstellungen!$B$9+IF($D173="",0,$D173/5*100)/100*Einstellungen!$B$10+IF($AD173="",0,$AD173)/100*Einstellungen!$B$11+IF($U173="",0,$U173/5*100)/100*Einstellungen!$B$12,0))</f>
        <v/>
      </c>
      <c r="Y173">
        <f>IF($X173="","",$X173*1000000000000+IF($G173="",0,$G173)*1000000+IF($H173="",0,$H173)*1000+IF($I173="",0,$I173)+IF($N173="",0,MAX(0,1000-$N173))/1000+IF($A173="",0,$A173)/1000000)</f>
        <v/>
      </c>
      <c r="Z173">
        <f>IF($Y173="","",_xludf.RANK.EQ($Y173,$Y$2:$Y$201,0))</f>
        <v/>
      </c>
    </row>
    <row r="174">
      <c r="R174">
        <f>IFERROR(IF($Q174="","",$Q174/$H174),"")</f>
        <v/>
      </c>
      <c r="S174">
        <f>IFERROR(IF($Q174="","",$Q174/$G174),"")</f>
        <v/>
      </c>
      <c r="W174">
        <f>IF(AND($L174="",$N174="",$P174=""),"",ROUND((IF($L174="",0,IF($L174&lt;=Einstellungen!$B$16,100,IF($L174&lt;=Einstellungen!$C$16,80+(100-80)*(Einstellungen!$C$16-$L174)/(Einstellungen!$C$16-Einstellungen!$B$16),IF($L174&lt;=Einstellungen!$D$16,80*(Einstellungen!$D$16-$L174)/(Einstellungen!$D$16-Einstellungen!$C$16),0))))*Einstellungen!$E$16+IF($N174="",0,IF($N174&lt;=Einstellungen!$B$17,100,IF($N174&lt;=Einstellungen!$C$17,80+(100-80)*(Einstellungen!$C$17-$N174)/(Einstellungen!$C$17-Einstellungen!$B$17),IF($N174&lt;=Einstellungen!$D$17,80*(Einstellungen!$D$17-$N174)/(Einstellungen!$D$17-Einstellungen!$C$17),0))))*Einstellungen!$E$17+IF($P174="",0,IF($P174&lt;=Einstellungen!$B$18,100,IF($P174&lt;=Einstellungen!$C$18,80+(100-80)*(Einstellungen!$C$18-$P174)/(Einstellungen!$C$18-Einstellungen!$B$18),IF($P174&lt;=Einstellungen!$D$18,80*(Einstellungen!$D$18-$P174)/(Einstellungen!$D$18-Einstellungen!$C$18),0))))*Einstellungen!$E$18)/(Einstellungen!$E$16+Einstellungen!$E$17+Einstellungen!$E$18),0))</f>
        <v/>
      </c>
      <c r="X174">
        <f>IF(AND($E174="",$D174="",$G174="",$V174="",$Q174="",$T174="",$W174="",$U174=""),"",ROUND(IF($E174="",0,IF($E174&lt;Einstellungen!$B$21,0,IF($E174&gt;=Einstellungen!$B$22,100,($E174-Einstellungen!$B$21)/(Einstellungen!$B$22-Einstellungen!$B$21)*100)))/100*Einstellungen!$B$5+IF($W174="",0,$W174/100)*Einstellungen!$B$6+(IF($G174="",0,MAX(0,MIN(100,($G174-Einstellungen!$B$25)/(Einstellungen!$B$26-Einstellungen!$B$25)*100)))+IF($I174="",0,MAX(0,MIN(100,($I174-Einstellungen!$B$27)/(Einstellungen!$B$28-Einstellungen!$B$27)*100))))/2/100*Einstellungen!$B$7+IF($V174="",0,$V174/100)*Einstellungen!$B$8+IF($R174="",0,MAX(0,MIN(100,(Einstellungen!$B$32-$R174)/(Einstellungen!$B$32-Einstellungen!$B$31)*100)))/100*Einstellungen!$B$9+IF($D174="",0,$D174/5*100)/100*Einstellungen!$B$10+IF($AD174="",0,$AD174)/100*Einstellungen!$B$11+IF($U174="",0,$U174/5*100)/100*Einstellungen!$B$12,0))</f>
        <v/>
      </c>
      <c r="Y174">
        <f>IF($X174="","",$X174*1000000000000+IF($G174="",0,$G174)*1000000+IF($H174="",0,$H174)*1000+IF($I174="",0,$I174)+IF($N174="",0,MAX(0,1000-$N174))/1000+IF($A174="",0,$A174)/1000000)</f>
        <v/>
      </c>
      <c r="Z174">
        <f>IF($Y174="","",_xludf.RANK.EQ($Y174,$Y$2:$Y$201,0))</f>
        <v/>
      </c>
    </row>
    <row r="175">
      <c r="R175">
        <f>IFERROR(IF($Q175="","",$Q175/$H175),"")</f>
        <v/>
      </c>
      <c r="S175">
        <f>IFERROR(IF($Q175="","",$Q175/$G175),"")</f>
        <v/>
      </c>
      <c r="W175">
        <f>IF(AND($L175="",$N175="",$P175=""),"",ROUND((IF($L175="",0,IF($L175&lt;=Einstellungen!$B$16,100,IF($L175&lt;=Einstellungen!$C$16,80+(100-80)*(Einstellungen!$C$16-$L175)/(Einstellungen!$C$16-Einstellungen!$B$16),IF($L175&lt;=Einstellungen!$D$16,80*(Einstellungen!$D$16-$L175)/(Einstellungen!$D$16-Einstellungen!$C$16),0))))*Einstellungen!$E$16+IF($N175="",0,IF($N175&lt;=Einstellungen!$B$17,100,IF($N175&lt;=Einstellungen!$C$17,80+(100-80)*(Einstellungen!$C$17-$N175)/(Einstellungen!$C$17-Einstellungen!$B$17),IF($N175&lt;=Einstellungen!$D$17,80*(Einstellungen!$D$17-$N175)/(Einstellungen!$D$17-Einstellungen!$C$17),0))))*Einstellungen!$E$17+IF($P175="",0,IF($P175&lt;=Einstellungen!$B$18,100,IF($P175&lt;=Einstellungen!$C$18,80+(100-80)*(Einstellungen!$C$18-$P175)/(Einstellungen!$C$18-Einstellungen!$B$18),IF($P175&lt;=Einstellungen!$D$18,80*(Einstellungen!$D$18-$P175)/(Einstellungen!$D$18-Einstellungen!$C$18),0))))*Einstellungen!$E$18)/(Einstellungen!$E$16+Einstellungen!$E$17+Einstellungen!$E$18),0))</f>
        <v/>
      </c>
      <c r="X175">
        <f>IF(AND($E175="",$D175="",$G175="",$V175="",$Q175="",$T175="",$W175="",$U175=""),"",ROUND(IF($E175="",0,IF($E175&lt;Einstellungen!$B$21,0,IF($E175&gt;=Einstellungen!$B$22,100,($E175-Einstellungen!$B$21)/(Einstellungen!$B$22-Einstellungen!$B$21)*100)))/100*Einstellungen!$B$5+IF($W175="",0,$W175/100)*Einstellungen!$B$6+(IF($G175="",0,MAX(0,MIN(100,($G175-Einstellungen!$B$25)/(Einstellungen!$B$26-Einstellungen!$B$25)*100)))+IF($I175="",0,MAX(0,MIN(100,($I175-Einstellungen!$B$27)/(Einstellungen!$B$28-Einstellungen!$B$27)*100))))/2/100*Einstellungen!$B$7+IF($V175="",0,$V175/100)*Einstellungen!$B$8+IF($R175="",0,MAX(0,MIN(100,(Einstellungen!$B$32-$R175)/(Einstellungen!$B$32-Einstellungen!$B$31)*100)))/100*Einstellungen!$B$9+IF($D175="",0,$D175/5*100)/100*Einstellungen!$B$10+IF($AD175="",0,$AD175)/100*Einstellungen!$B$11+IF($U175="",0,$U175/5*100)/100*Einstellungen!$B$12,0))</f>
        <v/>
      </c>
      <c r="Y175">
        <f>IF($X175="","",$X175*1000000000000+IF($G175="",0,$G175)*1000000+IF($H175="",0,$H175)*1000+IF($I175="",0,$I175)+IF($N175="",0,MAX(0,1000-$N175))/1000+IF($A175="",0,$A175)/1000000)</f>
        <v/>
      </c>
      <c r="Z175">
        <f>IF($Y175="","",_xludf.RANK.EQ($Y175,$Y$2:$Y$201,0))</f>
        <v/>
      </c>
    </row>
    <row r="176">
      <c r="R176">
        <f>IFERROR(IF($Q176="","",$Q176/$H176),"")</f>
        <v/>
      </c>
      <c r="S176">
        <f>IFERROR(IF($Q176="","",$Q176/$G176),"")</f>
        <v/>
      </c>
      <c r="W176">
        <f>IF(AND($L176="",$N176="",$P176=""),"",ROUND((IF($L176="",0,IF($L176&lt;=Einstellungen!$B$16,100,IF($L176&lt;=Einstellungen!$C$16,80+(100-80)*(Einstellungen!$C$16-$L176)/(Einstellungen!$C$16-Einstellungen!$B$16),IF($L176&lt;=Einstellungen!$D$16,80*(Einstellungen!$D$16-$L176)/(Einstellungen!$D$16-Einstellungen!$C$16),0))))*Einstellungen!$E$16+IF($N176="",0,IF($N176&lt;=Einstellungen!$B$17,100,IF($N176&lt;=Einstellungen!$C$17,80+(100-80)*(Einstellungen!$C$17-$N176)/(Einstellungen!$C$17-Einstellungen!$B$17),IF($N176&lt;=Einstellungen!$D$17,80*(Einstellungen!$D$17-$N176)/(Einstellungen!$D$17-Einstellungen!$C$17),0))))*Einstellungen!$E$17+IF($P176="",0,IF($P176&lt;=Einstellungen!$B$18,100,IF($P176&lt;=Einstellungen!$C$18,80+(100-80)*(Einstellungen!$C$18-$P176)/(Einstellungen!$C$18-Einstellungen!$B$18),IF($P176&lt;=Einstellungen!$D$18,80*(Einstellungen!$D$18-$P176)/(Einstellungen!$D$18-Einstellungen!$C$18),0))))*Einstellungen!$E$18)/(Einstellungen!$E$16+Einstellungen!$E$17+Einstellungen!$E$18),0))</f>
        <v/>
      </c>
      <c r="X176">
        <f>IF(AND($E176="",$D176="",$G176="",$V176="",$Q176="",$T176="",$W176="",$U176=""),"",ROUND(IF($E176="",0,IF($E176&lt;Einstellungen!$B$21,0,IF($E176&gt;=Einstellungen!$B$22,100,($E176-Einstellungen!$B$21)/(Einstellungen!$B$22-Einstellungen!$B$21)*100)))/100*Einstellungen!$B$5+IF($W176="",0,$W176/100)*Einstellungen!$B$6+(IF($G176="",0,MAX(0,MIN(100,($G176-Einstellungen!$B$25)/(Einstellungen!$B$26-Einstellungen!$B$25)*100)))+IF($I176="",0,MAX(0,MIN(100,($I176-Einstellungen!$B$27)/(Einstellungen!$B$28-Einstellungen!$B$27)*100))))/2/100*Einstellungen!$B$7+IF($V176="",0,$V176/100)*Einstellungen!$B$8+IF($R176="",0,MAX(0,MIN(100,(Einstellungen!$B$32-$R176)/(Einstellungen!$B$32-Einstellungen!$B$31)*100)))/100*Einstellungen!$B$9+IF($D176="",0,$D176/5*100)/100*Einstellungen!$B$10+IF($AD176="",0,$AD176)/100*Einstellungen!$B$11+IF($U176="",0,$U176/5*100)/100*Einstellungen!$B$12,0))</f>
        <v/>
      </c>
      <c r="Y176">
        <f>IF($X176="","",$X176*1000000000000+IF($G176="",0,$G176)*1000000+IF($H176="",0,$H176)*1000+IF($I176="",0,$I176)+IF($N176="",0,MAX(0,1000-$N176))/1000+IF($A176="",0,$A176)/1000000)</f>
        <v/>
      </c>
      <c r="Z176">
        <f>IF($Y176="","",_xludf.RANK.EQ($Y176,$Y$2:$Y$201,0))</f>
        <v/>
      </c>
    </row>
    <row r="177">
      <c r="R177">
        <f>IFERROR(IF($Q177="","",$Q177/$H177),"")</f>
        <v/>
      </c>
      <c r="S177">
        <f>IFERROR(IF($Q177="","",$Q177/$G177),"")</f>
        <v/>
      </c>
      <c r="W177">
        <f>IF(AND($L177="",$N177="",$P177=""),"",ROUND((IF($L177="",0,IF($L177&lt;=Einstellungen!$B$16,100,IF($L177&lt;=Einstellungen!$C$16,80+(100-80)*(Einstellungen!$C$16-$L177)/(Einstellungen!$C$16-Einstellungen!$B$16),IF($L177&lt;=Einstellungen!$D$16,80*(Einstellungen!$D$16-$L177)/(Einstellungen!$D$16-Einstellungen!$C$16),0))))*Einstellungen!$E$16+IF($N177="",0,IF($N177&lt;=Einstellungen!$B$17,100,IF($N177&lt;=Einstellungen!$C$17,80+(100-80)*(Einstellungen!$C$17-$N177)/(Einstellungen!$C$17-Einstellungen!$B$17),IF($N177&lt;=Einstellungen!$D$17,80*(Einstellungen!$D$17-$N177)/(Einstellungen!$D$17-Einstellungen!$C$17),0))))*Einstellungen!$E$17+IF($P177="",0,IF($P177&lt;=Einstellungen!$B$18,100,IF($P177&lt;=Einstellungen!$C$18,80+(100-80)*(Einstellungen!$C$18-$P177)/(Einstellungen!$C$18-Einstellungen!$B$18),IF($P177&lt;=Einstellungen!$D$18,80*(Einstellungen!$D$18-$P177)/(Einstellungen!$D$18-Einstellungen!$C$18),0))))*Einstellungen!$E$18)/(Einstellungen!$E$16+Einstellungen!$E$17+Einstellungen!$E$18),0))</f>
        <v/>
      </c>
      <c r="X177">
        <f>IF(AND($E177="",$D177="",$G177="",$V177="",$Q177="",$T177="",$W177="",$U177=""),"",ROUND(IF($E177="",0,IF($E177&lt;Einstellungen!$B$21,0,IF($E177&gt;=Einstellungen!$B$22,100,($E177-Einstellungen!$B$21)/(Einstellungen!$B$22-Einstellungen!$B$21)*100)))/100*Einstellungen!$B$5+IF($W177="",0,$W177/100)*Einstellungen!$B$6+(IF($G177="",0,MAX(0,MIN(100,($G177-Einstellungen!$B$25)/(Einstellungen!$B$26-Einstellungen!$B$25)*100)))+IF($I177="",0,MAX(0,MIN(100,($I177-Einstellungen!$B$27)/(Einstellungen!$B$28-Einstellungen!$B$27)*100))))/2/100*Einstellungen!$B$7+IF($V177="",0,$V177/100)*Einstellungen!$B$8+IF($R177="",0,MAX(0,MIN(100,(Einstellungen!$B$32-$R177)/(Einstellungen!$B$32-Einstellungen!$B$31)*100)))/100*Einstellungen!$B$9+IF($D177="",0,$D177/5*100)/100*Einstellungen!$B$10+IF($AD177="",0,$AD177)/100*Einstellungen!$B$11+IF($U177="",0,$U177/5*100)/100*Einstellungen!$B$12,0))</f>
        <v/>
      </c>
      <c r="Y177">
        <f>IF($X177="","",$X177*1000000000000+IF($G177="",0,$G177)*1000000+IF($H177="",0,$H177)*1000+IF($I177="",0,$I177)+IF($N177="",0,MAX(0,1000-$N177))/1000+IF($A177="",0,$A177)/1000000)</f>
        <v/>
      </c>
      <c r="Z177">
        <f>IF($Y177="","",_xludf.RANK.EQ($Y177,$Y$2:$Y$201,0))</f>
        <v/>
      </c>
    </row>
    <row r="178">
      <c r="R178">
        <f>IFERROR(IF($Q178="","",$Q178/$H178),"")</f>
        <v/>
      </c>
      <c r="S178">
        <f>IFERROR(IF($Q178="","",$Q178/$G178),"")</f>
        <v/>
      </c>
      <c r="W178">
        <f>IF(AND($L178="",$N178="",$P178=""),"",ROUND((IF($L178="",0,IF($L178&lt;=Einstellungen!$B$16,100,IF($L178&lt;=Einstellungen!$C$16,80+(100-80)*(Einstellungen!$C$16-$L178)/(Einstellungen!$C$16-Einstellungen!$B$16),IF($L178&lt;=Einstellungen!$D$16,80*(Einstellungen!$D$16-$L178)/(Einstellungen!$D$16-Einstellungen!$C$16),0))))*Einstellungen!$E$16+IF($N178="",0,IF($N178&lt;=Einstellungen!$B$17,100,IF($N178&lt;=Einstellungen!$C$17,80+(100-80)*(Einstellungen!$C$17-$N178)/(Einstellungen!$C$17-Einstellungen!$B$17),IF($N178&lt;=Einstellungen!$D$17,80*(Einstellungen!$D$17-$N178)/(Einstellungen!$D$17-Einstellungen!$C$17),0))))*Einstellungen!$E$17+IF($P178="",0,IF($P178&lt;=Einstellungen!$B$18,100,IF($P178&lt;=Einstellungen!$C$18,80+(100-80)*(Einstellungen!$C$18-$P178)/(Einstellungen!$C$18-Einstellungen!$B$18),IF($P178&lt;=Einstellungen!$D$18,80*(Einstellungen!$D$18-$P178)/(Einstellungen!$D$18-Einstellungen!$C$18),0))))*Einstellungen!$E$18)/(Einstellungen!$E$16+Einstellungen!$E$17+Einstellungen!$E$18),0))</f>
        <v/>
      </c>
      <c r="X178">
        <f>IF(AND($E178="",$D178="",$G178="",$V178="",$Q178="",$T178="",$W178="",$U178=""),"",ROUND(IF($E178="",0,IF($E178&lt;Einstellungen!$B$21,0,IF($E178&gt;=Einstellungen!$B$22,100,($E178-Einstellungen!$B$21)/(Einstellungen!$B$22-Einstellungen!$B$21)*100)))/100*Einstellungen!$B$5+IF($W178="",0,$W178/100)*Einstellungen!$B$6+(IF($G178="",0,MAX(0,MIN(100,($G178-Einstellungen!$B$25)/(Einstellungen!$B$26-Einstellungen!$B$25)*100)))+IF($I178="",0,MAX(0,MIN(100,($I178-Einstellungen!$B$27)/(Einstellungen!$B$28-Einstellungen!$B$27)*100))))/2/100*Einstellungen!$B$7+IF($V178="",0,$V178/100)*Einstellungen!$B$8+IF($R178="",0,MAX(0,MIN(100,(Einstellungen!$B$32-$R178)/(Einstellungen!$B$32-Einstellungen!$B$31)*100)))/100*Einstellungen!$B$9+IF($D178="",0,$D178/5*100)/100*Einstellungen!$B$10+IF($AD178="",0,$AD178)/100*Einstellungen!$B$11+IF($U178="",0,$U178/5*100)/100*Einstellungen!$B$12,0))</f>
        <v/>
      </c>
      <c r="Y178">
        <f>IF($X178="","",$X178*1000000000000+IF($G178="",0,$G178)*1000000+IF($H178="",0,$H178)*1000+IF($I178="",0,$I178)+IF($N178="",0,MAX(0,1000-$N178))/1000+IF($A178="",0,$A178)/1000000)</f>
        <v/>
      </c>
      <c r="Z178">
        <f>IF($Y178="","",_xludf.RANK.EQ($Y178,$Y$2:$Y$201,0))</f>
        <v/>
      </c>
    </row>
    <row r="179">
      <c r="R179">
        <f>IFERROR(IF($Q179="","",$Q179/$H179),"")</f>
        <v/>
      </c>
      <c r="S179">
        <f>IFERROR(IF($Q179="","",$Q179/$G179),"")</f>
        <v/>
      </c>
      <c r="W179">
        <f>IF(AND($L179="",$N179="",$P179=""),"",ROUND((IF($L179="",0,IF($L179&lt;=Einstellungen!$B$16,100,IF($L179&lt;=Einstellungen!$C$16,80+(100-80)*(Einstellungen!$C$16-$L179)/(Einstellungen!$C$16-Einstellungen!$B$16),IF($L179&lt;=Einstellungen!$D$16,80*(Einstellungen!$D$16-$L179)/(Einstellungen!$D$16-Einstellungen!$C$16),0))))*Einstellungen!$E$16+IF($N179="",0,IF($N179&lt;=Einstellungen!$B$17,100,IF($N179&lt;=Einstellungen!$C$17,80+(100-80)*(Einstellungen!$C$17-$N179)/(Einstellungen!$C$17-Einstellungen!$B$17),IF($N179&lt;=Einstellungen!$D$17,80*(Einstellungen!$D$17-$N179)/(Einstellungen!$D$17-Einstellungen!$C$17),0))))*Einstellungen!$E$17+IF($P179="",0,IF($P179&lt;=Einstellungen!$B$18,100,IF($P179&lt;=Einstellungen!$C$18,80+(100-80)*(Einstellungen!$C$18-$P179)/(Einstellungen!$C$18-Einstellungen!$B$18),IF($P179&lt;=Einstellungen!$D$18,80*(Einstellungen!$D$18-$P179)/(Einstellungen!$D$18-Einstellungen!$C$18),0))))*Einstellungen!$E$18)/(Einstellungen!$E$16+Einstellungen!$E$17+Einstellungen!$E$18),0))</f>
        <v/>
      </c>
      <c r="X179">
        <f>IF(AND($E179="",$D179="",$G179="",$V179="",$Q179="",$T179="",$W179="",$U179=""),"",ROUND(IF($E179="",0,IF($E179&lt;Einstellungen!$B$21,0,IF($E179&gt;=Einstellungen!$B$22,100,($E179-Einstellungen!$B$21)/(Einstellungen!$B$22-Einstellungen!$B$21)*100)))/100*Einstellungen!$B$5+IF($W179="",0,$W179/100)*Einstellungen!$B$6+(IF($G179="",0,MAX(0,MIN(100,($G179-Einstellungen!$B$25)/(Einstellungen!$B$26-Einstellungen!$B$25)*100)))+IF($I179="",0,MAX(0,MIN(100,($I179-Einstellungen!$B$27)/(Einstellungen!$B$28-Einstellungen!$B$27)*100))))/2/100*Einstellungen!$B$7+IF($V179="",0,$V179/100)*Einstellungen!$B$8+IF($R179="",0,MAX(0,MIN(100,(Einstellungen!$B$32-$R179)/(Einstellungen!$B$32-Einstellungen!$B$31)*100)))/100*Einstellungen!$B$9+IF($D179="",0,$D179/5*100)/100*Einstellungen!$B$10+IF($AD179="",0,$AD179)/100*Einstellungen!$B$11+IF($U179="",0,$U179/5*100)/100*Einstellungen!$B$12,0))</f>
        <v/>
      </c>
      <c r="Y179">
        <f>IF($X179="","",$X179*1000000000000+IF($G179="",0,$G179)*1000000+IF($H179="",0,$H179)*1000+IF($I179="",0,$I179)+IF($N179="",0,MAX(0,1000-$N179))/1000+IF($A179="",0,$A179)/1000000)</f>
        <v/>
      </c>
      <c r="Z179">
        <f>IF($Y179="","",_xludf.RANK.EQ($Y179,$Y$2:$Y$201,0))</f>
        <v/>
      </c>
    </row>
    <row r="180">
      <c r="R180">
        <f>IFERROR(IF($Q180="","",$Q180/$H180),"")</f>
        <v/>
      </c>
      <c r="S180">
        <f>IFERROR(IF($Q180="","",$Q180/$G180),"")</f>
        <v/>
      </c>
      <c r="W180">
        <f>IF(AND($L180="",$N180="",$P180=""),"",ROUND((IF($L180="",0,IF($L180&lt;=Einstellungen!$B$16,100,IF($L180&lt;=Einstellungen!$C$16,80+(100-80)*(Einstellungen!$C$16-$L180)/(Einstellungen!$C$16-Einstellungen!$B$16),IF($L180&lt;=Einstellungen!$D$16,80*(Einstellungen!$D$16-$L180)/(Einstellungen!$D$16-Einstellungen!$C$16),0))))*Einstellungen!$E$16+IF($N180="",0,IF($N180&lt;=Einstellungen!$B$17,100,IF($N180&lt;=Einstellungen!$C$17,80+(100-80)*(Einstellungen!$C$17-$N180)/(Einstellungen!$C$17-Einstellungen!$B$17),IF($N180&lt;=Einstellungen!$D$17,80*(Einstellungen!$D$17-$N180)/(Einstellungen!$D$17-Einstellungen!$C$17),0))))*Einstellungen!$E$17+IF($P180="",0,IF($P180&lt;=Einstellungen!$B$18,100,IF($P180&lt;=Einstellungen!$C$18,80+(100-80)*(Einstellungen!$C$18-$P180)/(Einstellungen!$C$18-Einstellungen!$B$18),IF($P180&lt;=Einstellungen!$D$18,80*(Einstellungen!$D$18-$P180)/(Einstellungen!$D$18-Einstellungen!$C$18),0))))*Einstellungen!$E$18)/(Einstellungen!$E$16+Einstellungen!$E$17+Einstellungen!$E$18),0))</f>
        <v/>
      </c>
      <c r="X180">
        <f>IF(AND($E180="",$D180="",$G180="",$V180="",$Q180="",$T180="",$W180="",$U180=""),"",ROUND(IF($E180="",0,IF($E180&lt;Einstellungen!$B$21,0,IF($E180&gt;=Einstellungen!$B$22,100,($E180-Einstellungen!$B$21)/(Einstellungen!$B$22-Einstellungen!$B$21)*100)))/100*Einstellungen!$B$5+IF($W180="",0,$W180/100)*Einstellungen!$B$6+(IF($G180="",0,MAX(0,MIN(100,($G180-Einstellungen!$B$25)/(Einstellungen!$B$26-Einstellungen!$B$25)*100)))+IF($I180="",0,MAX(0,MIN(100,($I180-Einstellungen!$B$27)/(Einstellungen!$B$28-Einstellungen!$B$27)*100))))/2/100*Einstellungen!$B$7+IF($V180="",0,$V180/100)*Einstellungen!$B$8+IF($R180="",0,MAX(0,MIN(100,(Einstellungen!$B$32-$R180)/(Einstellungen!$B$32-Einstellungen!$B$31)*100)))/100*Einstellungen!$B$9+IF($D180="",0,$D180/5*100)/100*Einstellungen!$B$10+IF($AD180="",0,$AD180)/100*Einstellungen!$B$11+IF($U180="",0,$U180/5*100)/100*Einstellungen!$B$12,0))</f>
        <v/>
      </c>
      <c r="Y180">
        <f>IF($X180="","",$X180*1000000000000+IF($G180="",0,$G180)*1000000+IF($H180="",0,$H180)*1000+IF($I180="",0,$I180)+IF($N180="",0,MAX(0,1000-$N180))/1000+IF($A180="",0,$A180)/1000000)</f>
        <v/>
      </c>
      <c r="Z180">
        <f>IF($Y180="","",_xludf.RANK.EQ($Y180,$Y$2:$Y$201,0))</f>
        <v/>
      </c>
    </row>
    <row r="181">
      <c r="R181">
        <f>IFERROR(IF($Q181="","",$Q181/$H181),"")</f>
        <v/>
      </c>
      <c r="S181">
        <f>IFERROR(IF($Q181="","",$Q181/$G181),"")</f>
        <v/>
      </c>
      <c r="W181">
        <f>IF(AND($L181="",$N181="",$P181=""),"",ROUND((IF($L181="",0,IF($L181&lt;=Einstellungen!$B$16,100,IF($L181&lt;=Einstellungen!$C$16,80+(100-80)*(Einstellungen!$C$16-$L181)/(Einstellungen!$C$16-Einstellungen!$B$16),IF($L181&lt;=Einstellungen!$D$16,80*(Einstellungen!$D$16-$L181)/(Einstellungen!$D$16-Einstellungen!$C$16),0))))*Einstellungen!$E$16+IF($N181="",0,IF($N181&lt;=Einstellungen!$B$17,100,IF($N181&lt;=Einstellungen!$C$17,80+(100-80)*(Einstellungen!$C$17-$N181)/(Einstellungen!$C$17-Einstellungen!$B$17),IF($N181&lt;=Einstellungen!$D$17,80*(Einstellungen!$D$17-$N181)/(Einstellungen!$D$17-Einstellungen!$C$17),0))))*Einstellungen!$E$17+IF($P181="",0,IF($P181&lt;=Einstellungen!$B$18,100,IF($P181&lt;=Einstellungen!$C$18,80+(100-80)*(Einstellungen!$C$18-$P181)/(Einstellungen!$C$18-Einstellungen!$B$18),IF($P181&lt;=Einstellungen!$D$18,80*(Einstellungen!$D$18-$P181)/(Einstellungen!$D$18-Einstellungen!$C$18),0))))*Einstellungen!$E$18)/(Einstellungen!$E$16+Einstellungen!$E$17+Einstellungen!$E$18),0))</f>
        <v/>
      </c>
      <c r="X181">
        <f>IF(AND($E181="",$D181="",$G181="",$V181="",$Q181="",$T181="",$W181="",$U181=""),"",ROUND(IF($E181="",0,IF($E181&lt;Einstellungen!$B$21,0,IF($E181&gt;=Einstellungen!$B$22,100,($E181-Einstellungen!$B$21)/(Einstellungen!$B$22-Einstellungen!$B$21)*100)))/100*Einstellungen!$B$5+IF($W181="",0,$W181/100)*Einstellungen!$B$6+(IF($G181="",0,MAX(0,MIN(100,($G181-Einstellungen!$B$25)/(Einstellungen!$B$26-Einstellungen!$B$25)*100)))+IF($I181="",0,MAX(0,MIN(100,($I181-Einstellungen!$B$27)/(Einstellungen!$B$28-Einstellungen!$B$27)*100))))/2/100*Einstellungen!$B$7+IF($V181="",0,$V181/100)*Einstellungen!$B$8+IF($R181="",0,MAX(0,MIN(100,(Einstellungen!$B$32-$R181)/(Einstellungen!$B$32-Einstellungen!$B$31)*100)))/100*Einstellungen!$B$9+IF($D181="",0,$D181/5*100)/100*Einstellungen!$B$10+IF($AD181="",0,$AD181)/100*Einstellungen!$B$11+IF($U181="",0,$U181/5*100)/100*Einstellungen!$B$12,0))</f>
        <v/>
      </c>
      <c r="Y181">
        <f>IF($X181="","",$X181*1000000000000+IF($G181="",0,$G181)*1000000+IF($H181="",0,$H181)*1000+IF($I181="",0,$I181)+IF($N181="",0,MAX(0,1000-$N181))/1000+IF($A181="",0,$A181)/1000000)</f>
        <v/>
      </c>
      <c r="Z181">
        <f>IF($Y181="","",_xludf.RANK.EQ($Y181,$Y$2:$Y$201,0))</f>
        <v/>
      </c>
    </row>
    <row r="182">
      <c r="R182">
        <f>IFERROR(IF($Q182="","",$Q182/$H182),"")</f>
        <v/>
      </c>
      <c r="S182">
        <f>IFERROR(IF($Q182="","",$Q182/$G182),"")</f>
        <v/>
      </c>
      <c r="W182">
        <f>IF(AND($L182="",$N182="",$P182=""),"",ROUND((IF($L182="",0,IF($L182&lt;=Einstellungen!$B$16,100,IF($L182&lt;=Einstellungen!$C$16,80+(100-80)*(Einstellungen!$C$16-$L182)/(Einstellungen!$C$16-Einstellungen!$B$16),IF($L182&lt;=Einstellungen!$D$16,80*(Einstellungen!$D$16-$L182)/(Einstellungen!$D$16-Einstellungen!$C$16),0))))*Einstellungen!$E$16+IF($N182="",0,IF($N182&lt;=Einstellungen!$B$17,100,IF($N182&lt;=Einstellungen!$C$17,80+(100-80)*(Einstellungen!$C$17-$N182)/(Einstellungen!$C$17-Einstellungen!$B$17),IF($N182&lt;=Einstellungen!$D$17,80*(Einstellungen!$D$17-$N182)/(Einstellungen!$D$17-Einstellungen!$C$17),0))))*Einstellungen!$E$17+IF($P182="",0,IF($P182&lt;=Einstellungen!$B$18,100,IF($P182&lt;=Einstellungen!$C$18,80+(100-80)*(Einstellungen!$C$18-$P182)/(Einstellungen!$C$18-Einstellungen!$B$18),IF($P182&lt;=Einstellungen!$D$18,80*(Einstellungen!$D$18-$P182)/(Einstellungen!$D$18-Einstellungen!$C$18),0))))*Einstellungen!$E$18)/(Einstellungen!$E$16+Einstellungen!$E$17+Einstellungen!$E$18),0))</f>
        <v/>
      </c>
      <c r="X182">
        <f>IF(AND($E182="",$D182="",$G182="",$V182="",$Q182="",$T182="",$W182="",$U182=""),"",ROUND(IF($E182="",0,IF($E182&lt;Einstellungen!$B$21,0,IF($E182&gt;=Einstellungen!$B$22,100,($E182-Einstellungen!$B$21)/(Einstellungen!$B$22-Einstellungen!$B$21)*100)))/100*Einstellungen!$B$5+IF($W182="",0,$W182/100)*Einstellungen!$B$6+(IF($G182="",0,MAX(0,MIN(100,($G182-Einstellungen!$B$25)/(Einstellungen!$B$26-Einstellungen!$B$25)*100)))+IF($I182="",0,MAX(0,MIN(100,($I182-Einstellungen!$B$27)/(Einstellungen!$B$28-Einstellungen!$B$27)*100))))/2/100*Einstellungen!$B$7+IF($V182="",0,$V182/100)*Einstellungen!$B$8+IF($R182="",0,MAX(0,MIN(100,(Einstellungen!$B$32-$R182)/(Einstellungen!$B$32-Einstellungen!$B$31)*100)))/100*Einstellungen!$B$9+IF($D182="",0,$D182/5*100)/100*Einstellungen!$B$10+IF($AD182="",0,$AD182)/100*Einstellungen!$B$11+IF($U182="",0,$U182/5*100)/100*Einstellungen!$B$12,0))</f>
        <v/>
      </c>
      <c r="Y182">
        <f>IF($X182="","",$X182*1000000000000+IF($G182="",0,$G182)*1000000+IF($H182="",0,$H182)*1000+IF($I182="",0,$I182)+IF($N182="",0,MAX(0,1000-$N182))/1000+IF($A182="",0,$A182)/1000000)</f>
        <v/>
      </c>
      <c r="Z182">
        <f>IF($Y182="","",_xludf.RANK.EQ($Y182,$Y$2:$Y$201,0))</f>
        <v/>
      </c>
    </row>
    <row r="183">
      <c r="R183">
        <f>IFERROR(IF($Q183="","",$Q183/$H183),"")</f>
        <v/>
      </c>
      <c r="S183">
        <f>IFERROR(IF($Q183="","",$Q183/$G183),"")</f>
        <v/>
      </c>
      <c r="W183">
        <f>IF(AND($L183="",$N183="",$P183=""),"",ROUND((IF($L183="",0,IF($L183&lt;=Einstellungen!$B$16,100,IF($L183&lt;=Einstellungen!$C$16,80+(100-80)*(Einstellungen!$C$16-$L183)/(Einstellungen!$C$16-Einstellungen!$B$16),IF($L183&lt;=Einstellungen!$D$16,80*(Einstellungen!$D$16-$L183)/(Einstellungen!$D$16-Einstellungen!$C$16),0))))*Einstellungen!$E$16+IF($N183="",0,IF($N183&lt;=Einstellungen!$B$17,100,IF($N183&lt;=Einstellungen!$C$17,80+(100-80)*(Einstellungen!$C$17-$N183)/(Einstellungen!$C$17-Einstellungen!$B$17),IF($N183&lt;=Einstellungen!$D$17,80*(Einstellungen!$D$17-$N183)/(Einstellungen!$D$17-Einstellungen!$C$17),0))))*Einstellungen!$E$17+IF($P183="",0,IF($P183&lt;=Einstellungen!$B$18,100,IF($P183&lt;=Einstellungen!$C$18,80+(100-80)*(Einstellungen!$C$18-$P183)/(Einstellungen!$C$18-Einstellungen!$B$18),IF($P183&lt;=Einstellungen!$D$18,80*(Einstellungen!$D$18-$P183)/(Einstellungen!$D$18-Einstellungen!$C$18),0))))*Einstellungen!$E$18)/(Einstellungen!$E$16+Einstellungen!$E$17+Einstellungen!$E$18),0))</f>
        <v/>
      </c>
      <c r="X183">
        <f>IF(AND($E183="",$D183="",$G183="",$V183="",$Q183="",$T183="",$W183="",$U183=""),"",ROUND(IF($E183="",0,IF($E183&lt;Einstellungen!$B$21,0,IF($E183&gt;=Einstellungen!$B$22,100,($E183-Einstellungen!$B$21)/(Einstellungen!$B$22-Einstellungen!$B$21)*100)))/100*Einstellungen!$B$5+IF($W183="",0,$W183/100)*Einstellungen!$B$6+(IF($G183="",0,MAX(0,MIN(100,($G183-Einstellungen!$B$25)/(Einstellungen!$B$26-Einstellungen!$B$25)*100)))+IF($I183="",0,MAX(0,MIN(100,($I183-Einstellungen!$B$27)/(Einstellungen!$B$28-Einstellungen!$B$27)*100))))/2/100*Einstellungen!$B$7+IF($V183="",0,$V183/100)*Einstellungen!$B$8+IF($R183="",0,MAX(0,MIN(100,(Einstellungen!$B$32-$R183)/(Einstellungen!$B$32-Einstellungen!$B$31)*100)))/100*Einstellungen!$B$9+IF($D183="",0,$D183/5*100)/100*Einstellungen!$B$10+IF($AD183="",0,$AD183)/100*Einstellungen!$B$11+IF($U183="",0,$U183/5*100)/100*Einstellungen!$B$12,0))</f>
        <v/>
      </c>
      <c r="Y183">
        <f>IF($X183="","",$X183*1000000000000+IF($G183="",0,$G183)*1000000+IF($H183="",0,$H183)*1000+IF($I183="",0,$I183)+IF($N183="",0,MAX(0,1000-$N183))/1000+IF($A183="",0,$A183)/1000000)</f>
        <v/>
      </c>
      <c r="Z183">
        <f>IF($Y183="","",_xludf.RANK.EQ($Y183,$Y$2:$Y$201,0))</f>
        <v/>
      </c>
    </row>
    <row r="184">
      <c r="R184">
        <f>IFERROR(IF($Q184="","",$Q184/$H184),"")</f>
        <v/>
      </c>
      <c r="S184">
        <f>IFERROR(IF($Q184="","",$Q184/$G184),"")</f>
        <v/>
      </c>
      <c r="W184">
        <f>IF(AND($L184="",$N184="",$P184=""),"",ROUND((IF($L184="",0,IF($L184&lt;=Einstellungen!$B$16,100,IF($L184&lt;=Einstellungen!$C$16,80+(100-80)*(Einstellungen!$C$16-$L184)/(Einstellungen!$C$16-Einstellungen!$B$16),IF($L184&lt;=Einstellungen!$D$16,80*(Einstellungen!$D$16-$L184)/(Einstellungen!$D$16-Einstellungen!$C$16),0))))*Einstellungen!$E$16+IF($N184="",0,IF($N184&lt;=Einstellungen!$B$17,100,IF($N184&lt;=Einstellungen!$C$17,80+(100-80)*(Einstellungen!$C$17-$N184)/(Einstellungen!$C$17-Einstellungen!$B$17),IF($N184&lt;=Einstellungen!$D$17,80*(Einstellungen!$D$17-$N184)/(Einstellungen!$D$17-Einstellungen!$C$17),0))))*Einstellungen!$E$17+IF($P184="",0,IF($P184&lt;=Einstellungen!$B$18,100,IF($P184&lt;=Einstellungen!$C$18,80+(100-80)*(Einstellungen!$C$18-$P184)/(Einstellungen!$C$18-Einstellungen!$B$18),IF($P184&lt;=Einstellungen!$D$18,80*(Einstellungen!$D$18-$P184)/(Einstellungen!$D$18-Einstellungen!$C$18),0))))*Einstellungen!$E$18)/(Einstellungen!$E$16+Einstellungen!$E$17+Einstellungen!$E$18),0))</f>
        <v/>
      </c>
      <c r="X184">
        <f>IF(AND($E184="",$D184="",$G184="",$V184="",$Q184="",$T184="",$W184="",$U184=""),"",ROUND(IF($E184="",0,IF($E184&lt;Einstellungen!$B$21,0,IF($E184&gt;=Einstellungen!$B$22,100,($E184-Einstellungen!$B$21)/(Einstellungen!$B$22-Einstellungen!$B$21)*100)))/100*Einstellungen!$B$5+IF($W184="",0,$W184/100)*Einstellungen!$B$6+(IF($G184="",0,MAX(0,MIN(100,($G184-Einstellungen!$B$25)/(Einstellungen!$B$26-Einstellungen!$B$25)*100)))+IF($I184="",0,MAX(0,MIN(100,($I184-Einstellungen!$B$27)/(Einstellungen!$B$28-Einstellungen!$B$27)*100))))/2/100*Einstellungen!$B$7+IF($V184="",0,$V184/100)*Einstellungen!$B$8+IF($R184="",0,MAX(0,MIN(100,(Einstellungen!$B$32-$R184)/(Einstellungen!$B$32-Einstellungen!$B$31)*100)))/100*Einstellungen!$B$9+IF($D184="",0,$D184/5*100)/100*Einstellungen!$B$10+IF($AD184="",0,$AD184)/100*Einstellungen!$B$11+IF($U184="",0,$U184/5*100)/100*Einstellungen!$B$12,0))</f>
        <v/>
      </c>
      <c r="Y184">
        <f>IF($X184="","",$X184*1000000000000+IF($G184="",0,$G184)*1000000+IF($H184="",0,$H184)*1000+IF($I184="",0,$I184)+IF($N184="",0,MAX(0,1000-$N184))/1000+IF($A184="",0,$A184)/1000000)</f>
        <v/>
      </c>
      <c r="Z184">
        <f>IF($Y184="","",_xludf.RANK.EQ($Y184,$Y$2:$Y$201,0))</f>
        <v/>
      </c>
    </row>
    <row r="185">
      <c r="R185">
        <f>IFERROR(IF($Q185="","",$Q185/$H185),"")</f>
        <v/>
      </c>
      <c r="S185">
        <f>IFERROR(IF($Q185="","",$Q185/$G185),"")</f>
        <v/>
      </c>
      <c r="W185">
        <f>IF(AND($L185="",$N185="",$P185=""),"",ROUND((IF($L185="",0,IF($L185&lt;=Einstellungen!$B$16,100,IF($L185&lt;=Einstellungen!$C$16,80+(100-80)*(Einstellungen!$C$16-$L185)/(Einstellungen!$C$16-Einstellungen!$B$16),IF($L185&lt;=Einstellungen!$D$16,80*(Einstellungen!$D$16-$L185)/(Einstellungen!$D$16-Einstellungen!$C$16),0))))*Einstellungen!$E$16+IF($N185="",0,IF($N185&lt;=Einstellungen!$B$17,100,IF($N185&lt;=Einstellungen!$C$17,80+(100-80)*(Einstellungen!$C$17-$N185)/(Einstellungen!$C$17-Einstellungen!$B$17),IF($N185&lt;=Einstellungen!$D$17,80*(Einstellungen!$D$17-$N185)/(Einstellungen!$D$17-Einstellungen!$C$17),0))))*Einstellungen!$E$17+IF($P185="",0,IF($P185&lt;=Einstellungen!$B$18,100,IF($P185&lt;=Einstellungen!$C$18,80+(100-80)*(Einstellungen!$C$18-$P185)/(Einstellungen!$C$18-Einstellungen!$B$18),IF($P185&lt;=Einstellungen!$D$18,80*(Einstellungen!$D$18-$P185)/(Einstellungen!$D$18-Einstellungen!$C$18),0))))*Einstellungen!$E$18)/(Einstellungen!$E$16+Einstellungen!$E$17+Einstellungen!$E$18),0))</f>
        <v/>
      </c>
      <c r="X185">
        <f>IF(AND($E185="",$D185="",$G185="",$V185="",$Q185="",$T185="",$W185="",$U185=""),"",ROUND(IF($E185="",0,IF($E185&lt;Einstellungen!$B$21,0,IF($E185&gt;=Einstellungen!$B$22,100,($E185-Einstellungen!$B$21)/(Einstellungen!$B$22-Einstellungen!$B$21)*100)))/100*Einstellungen!$B$5+IF($W185="",0,$W185/100)*Einstellungen!$B$6+(IF($G185="",0,MAX(0,MIN(100,($G185-Einstellungen!$B$25)/(Einstellungen!$B$26-Einstellungen!$B$25)*100)))+IF($I185="",0,MAX(0,MIN(100,($I185-Einstellungen!$B$27)/(Einstellungen!$B$28-Einstellungen!$B$27)*100))))/2/100*Einstellungen!$B$7+IF($V185="",0,$V185/100)*Einstellungen!$B$8+IF($R185="",0,MAX(0,MIN(100,(Einstellungen!$B$32-$R185)/(Einstellungen!$B$32-Einstellungen!$B$31)*100)))/100*Einstellungen!$B$9+IF($D185="",0,$D185/5*100)/100*Einstellungen!$B$10+IF($AD185="",0,$AD185)/100*Einstellungen!$B$11+IF($U185="",0,$U185/5*100)/100*Einstellungen!$B$12,0))</f>
        <v/>
      </c>
      <c r="Y185">
        <f>IF($X185="","",$X185*1000000000000+IF($G185="",0,$G185)*1000000+IF($H185="",0,$H185)*1000+IF($I185="",0,$I185)+IF($N185="",0,MAX(0,1000-$N185))/1000+IF($A185="",0,$A185)/1000000)</f>
        <v/>
      </c>
      <c r="Z185">
        <f>IF($Y185="","",_xludf.RANK.EQ($Y185,$Y$2:$Y$201,0))</f>
        <v/>
      </c>
    </row>
    <row r="186">
      <c r="R186">
        <f>IFERROR(IF($Q186="","",$Q186/$H186),"")</f>
        <v/>
      </c>
      <c r="S186">
        <f>IFERROR(IF($Q186="","",$Q186/$G186),"")</f>
        <v/>
      </c>
      <c r="W186">
        <f>IF(AND($L186="",$N186="",$P186=""),"",ROUND((IF($L186="",0,IF($L186&lt;=Einstellungen!$B$16,100,IF($L186&lt;=Einstellungen!$C$16,80+(100-80)*(Einstellungen!$C$16-$L186)/(Einstellungen!$C$16-Einstellungen!$B$16),IF($L186&lt;=Einstellungen!$D$16,80*(Einstellungen!$D$16-$L186)/(Einstellungen!$D$16-Einstellungen!$C$16),0))))*Einstellungen!$E$16+IF($N186="",0,IF($N186&lt;=Einstellungen!$B$17,100,IF($N186&lt;=Einstellungen!$C$17,80+(100-80)*(Einstellungen!$C$17-$N186)/(Einstellungen!$C$17-Einstellungen!$B$17),IF($N186&lt;=Einstellungen!$D$17,80*(Einstellungen!$D$17-$N186)/(Einstellungen!$D$17-Einstellungen!$C$17),0))))*Einstellungen!$E$17+IF($P186="",0,IF($P186&lt;=Einstellungen!$B$18,100,IF($P186&lt;=Einstellungen!$C$18,80+(100-80)*(Einstellungen!$C$18-$P186)/(Einstellungen!$C$18-Einstellungen!$B$18),IF($P186&lt;=Einstellungen!$D$18,80*(Einstellungen!$D$18-$P186)/(Einstellungen!$D$18-Einstellungen!$C$18),0))))*Einstellungen!$E$18)/(Einstellungen!$E$16+Einstellungen!$E$17+Einstellungen!$E$18),0))</f>
        <v/>
      </c>
      <c r="X186">
        <f>IF(AND($E186="",$D186="",$G186="",$V186="",$Q186="",$T186="",$W186="",$U186=""),"",ROUND(IF($E186="",0,IF($E186&lt;Einstellungen!$B$21,0,IF($E186&gt;=Einstellungen!$B$22,100,($E186-Einstellungen!$B$21)/(Einstellungen!$B$22-Einstellungen!$B$21)*100)))/100*Einstellungen!$B$5+IF($W186="",0,$W186/100)*Einstellungen!$B$6+(IF($G186="",0,MAX(0,MIN(100,($G186-Einstellungen!$B$25)/(Einstellungen!$B$26-Einstellungen!$B$25)*100)))+IF($I186="",0,MAX(0,MIN(100,($I186-Einstellungen!$B$27)/(Einstellungen!$B$28-Einstellungen!$B$27)*100))))/2/100*Einstellungen!$B$7+IF($V186="",0,$V186/100)*Einstellungen!$B$8+IF($R186="",0,MAX(0,MIN(100,(Einstellungen!$B$32-$R186)/(Einstellungen!$B$32-Einstellungen!$B$31)*100)))/100*Einstellungen!$B$9+IF($D186="",0,$D186/5*100)/100*Einstellungen!$B$10+IF($AD186="",0,$AD186)/100*Einstellungen!$B$11+IF($U186="",0,$U186/5*100)/100*Einstellungen!$B$12,0))</f>
        <v/>
      </c>
      <c r="Y186">
        <f>IF($X186="","",$X186*1000000000000+IF($G186="",0,$G186)*1000000+IF($H186="",0,$H186)*1000+IF($I186="",0,$I186)+IF($N186="",0,MAX(0,1000-$N186))/1000+IF($A186="",0,$A186)/1000000)</f>
        <v/>
      </c>
      <c r="Z186">
        <f>IF($Y186="","",_xludf.RANK.EQ($Y186,$Y$2:$Y$201,0))</f>
        <v/>
      </c>
    </row>
    <row r="187">
      <c r="R187">
        <f>IFERROR(IF($Q187="","",$Q187/$H187),"")</f>
        <v/>
      </c>
      <c r="S187">
        <f>IFERROR(IF($Q187="","",$Q187/$G187),"")</f>
        <v/>
      </c>
      <c r="W187">
        <f>IF(AND($L187="",$N187="",$P187=""),"",ROUND((IF($L187="",0,IF($L187&lt;=Einstellungen!$B$16,100,IF($L187&lt;=Einstellungen!$C$16,80+(100-80)*(Einstellungen!$C$16-$L187)/(Einstellungen!$C$16-Einstellungen!$B$16),IF($L187&lt;=Einstellungen!$D$16,80*(Einstellungen!$D$16-$L187)/(Einstellungen!$D$16-Einstellungen!$C$16),0))))*Einstellungen!$E$16+IF($N187="",0,IF($N187&lt;=Einstellungen!$B$17,100,IF($N187&lt;=Einstellungen!$C$17,80+(100-80)*(Einstellungen!$C$17-$N187)/(Einstellungen!$C$17-Einstellungen!$B$17),IF($N187&lt;=Einstellungen!$D$17,80*(Einstellungen!$D$17-$N187)/(Einstellungen!$D$17-Einstellungen!$C$17),0))))*Einstellungen!$E$17+IF($P187="",0,IF($P187&lt;=Einstellungen!$B$18,100,IF($P187&lt;=Einstellungen!$C$18,80+(100-80)*(Einstellungen!$C$18-$P187)/(Einstellungen!$C$18-Einstellungen!$B$18),IF($P187&lt;=Einstellungen!$D$18,80*(Einstellungen!$D$18-$P187)/(Einstellungen!$D$18-Einstellungen!$C$18),0))))*Einstellungen!$E$18)/(Einstellungen!$E$16+Einstellungen!$E$17+Einstellungen!$E$18),0))</f>
        <v/>
      </c>
      <c r="X187">
        <f>IF(AND($E187="",$D187="",$G187="",$V187="",$Q187="",$T187="",$W187="",$U187=""),"",ROUND(IF($E187="",0,IF($E187&lt;Einstellungen!$B$21,0,IF($E187&gt;=Einstellungen!$B$22,100,($E187-Einstellungen!$B$21)/(Einstellungen!$B$22-Einstellungen!$B$21)*100)))/100*Einstellungen!$B$5+IF($W187="",0,$W187/100)*Einstellungen!$B$6+(IF($G187="",0,MAX(0,MIN(100,($G187-Einstellungen!$B$25)/(Einstellungen!$B$26-Einstellungen!$B$25)*100)))+IF($I187="",0,MAX(0,MIN(100,($I187-Einstellungen!$B$27)/(Einstellungen!$B$28-Einstellungen!$B$27)*100))))/2/100*Einstellungen!$B$7+IF($V187="",0,$V187/100)*Einstellungen!$B$8+IF($R187="",0,MAX(0,MIN(100,(Einstellungen!$B$32-$R187)/(Einstellungen!$B$32-Einstellungen!$B$31)*100)))/100*Einstellungen!$B$9+IF($D187="",0,$D187/5*100)/100*Einstellungen!$B$10+IF($AD187="",0,$AD187)/100*Einstellungen!$B$11+IF($U187="",0,$U187/5*100)/100*Einstellungen!$B$12,0))</f>
        <v/>
      </c>
      <c r="Y187">
        <f>IF($X187="","",$X187*1000000000000+IF($G187="",0,$G187)*1000000+IF($H187="",0,$H187)*1000+IF($I187="",0,$I187)+IF($N187="",0,MAX(0,1000-$N187))/1000+IF($A187="",0,$A187)/1000000)</f>
        <v/>
      </c>
      <c r="Z187">
        <f>IF($Y187="","",_xludf.RANK.EQ($Y187,$Y$2:$Y$201,0))</f>
        <v/>
      </c>
    </row>
    <row r="188">
      <c r="R188">
        <f>IFERROR(IF($Q188="","",$Q188/$H188),"")</f>
        <v/>
      </c>
      <c r="S188">
        <f>IFERROR(IF($Q188="","",$Q188/$G188),"")</f>
        <v/>
      </c>
      <c r="W188">
        <f>IF(AND($L188="",$N188="",$P188=""),"",ROUND((IF($L188="",0,IF($L188&lt;=Einstellungen!$B$16,100,IF($L188&lt;=Einstellungen!$C$16,80+(100-80)*(Einstellungen!$C$16-$L188)/(Einstellungen!$C$16-Einstellungen!$B$16),IF($L188&lt;=Einstellungen!$D$16,80*(Einstellungen!$D$16-$L188)/(Einstellungen!$D$16-Einstellungen!$C$16),0))))*Einstellungen!$E$16+IF($N188="",0,IF($N188&lt;=Einstellungen!$B$17,100,IF($N188&lt;=Einstellungen!$C$17,80+(100-80)*(Einstellungen!$C$17-$N188)/(Einstellungen!$C$17-Einstellungen!$B$17),IF($N188&lt;=Einstellungen!$D$17,80*(Einstellungen!$D$17-$N188)/(Einstellungen!$D$17-Einstellungen!$C$17),0))))*Einstellungen!$E$17+IF($P188="",0,IF($P188&lt;=Einstellungen!$B$18,100,IF($P188&lt;=Einstellungen!$C$18,80+(100-80)*(Einstellungen!$C$18-$P188)/(Einstellungen!$C$18-Einstellungen!$B$18),IF($P188&lt;=Einstellungen!$D$18,80*(Einstellungen!$D$18-$P188)/(Einstellungen!$D$18-Einstellungen!$C$18),0))))*Einstellungen!$E$18)/(Einstellungen!$E$16+Einstellungen!$E$17+Einstellungen!$E$18),0))</f>
        <v/>
      </c>
      <c r="X188">
        <f>IF(AND($E188="",$D188="",$G188="",$V188="",$Q188="",$T188="",$W188="",$U188=""),"",ROUND(IF($E188="",0,IF($E188&lt;Einstellungen!$B$21,0,IF($E188&gt;=Einstellungen!$B$22,100,($E188-Einstellungen!$B$21)/(Einstellungen!$B$22-Einstellungen!$B$21)*100)))/100*Einstellungen!$B$5+IF($W188="",0,$W188/100)*Einstellungen!$B$6+(IF($G188="",0,MAX(0,MIN(100,($G188-Einstellungen!$B$25)/(Einstellungen!$B$26-Einstellungen!$B$25)*100)))+IF($I188="",0,MAX(0,MIN(100,($I188-Einstellungen!$B$27)/(Einstellungen!$B$28-Einstellungen!$B$27)*100))))/2/100*Einstellungen!$B$7+IF($V188="",0,$V188/100)*Einstellungen!$B$8+IF($R188="",0,MAX(0,MIN(100,(Einstellungen!$B$32-$R188)/(Einstellungen!$B$32-Einstellungen!$B$31)*100)))/100*Einstellungen!$B$9+IF($D188="",0,$D188/5*100)/100*Einstellungen!$B$10+IF($AD188="",0,$AD188)/100*Einstellungen!$B$11+IF($U188="",0,$U188/5*100)/100*Einstellungen!$B$12,0))</f>
        <v/>
      </c>
      <c r="Y188">
        <f>IF($X188="","",$X188*1000000000000+IF($G188="",0,$G188)*1000000+IF($H188="",0,$H188)*1000+IF($I188="",0,$I188)+IF($N188="",0,MAX(0,1000-$N188))/1000+IF($A188="",0,$A188)/1000000)</f>
        <v/>
      </c>
      <c r="Z188">
        <f>IF($Y188="","",_xludf.RANK.EQ($Y188,$Y$2:$Y$201,0))</f>
        <v/>
      </c>
    </row>
    <row r="189">
      <c r="R189">
        <f>IFERROR(IF($Q189="","",$Q189/$H189),"")</f>
        <v/>
      </c>
      <c r="S189">
        <f>IFERROR(IF($Q189="","",$Q189/$G189),"")</f>
        <v/>
      </c>
      <c r="W189">
        <f>IF(AND($L189="",$N189="",$P189=""),"",ROUND((IF($L189="",0,IF($L189&lt;=Einstellungen!$B$16,100,IF($L189&lt;=Einstellungen!$C$16,80+(100-80)*(Einstellungen!$C$16-$L189)/(Einstellungen!$C$16-Einstellungen!$B$16),IF($L189&lt;=Einstellungen!$D$16,80*(Einstellungen!$D$16-$L189)/(Einstellungen!$D$16-Einstellungen!$C$16),0))))*Einstellungen!$E$16+IF($N189="",0,IF($N189&lt;=Einstellungen!$B$17,100,IF($N189&lt;=Einstellungen!$C$17,80+(100-80)*(Einstellungen!$C$17-$N189)/(Einstellungen!$C$17-Einstellungen!$B$17),IF($N189&lt;=Einstellungen!$D$17,80*(Einstellungen!$D$17-$N189)/(Einstellungen!$D$17-Einstellungen!$C$17),0))))*Einstellungen!$E$17+IF($P189="",0,IF($P189&lt;=Einstellungen!$B$18,100,IF($P189&lt;=Einstellungen!$C$18,80+(100-80)*(Einstellungen!$C$18-$P189)/(Einstellungen!$C$18-Einstellungen!$B$18),IF($P189&lt;=Einstellungen!$D$18,80*(Einstellungen!$D$18-$P189)/(Einstellungen!$D$18-Einstellungen!$C$18),0))))*Einstellungen!$E$18)/(Einstellungen!$E$16+Einstellungen!$E$17+Einstellungen!$E$18),0))</f>
        <v/>
      </c>
      <c r="X189">
        <f>IF(AND($E189="",$D189="",$G189="",$V189="",$Q189="",$T189="",$W189="",$U189=""),"",ROUND(IF($E189="",0,IF($E189&lt;Einstellungen!$B$21,0,IF($E189&gt;=Einstellungen!$B$22,100,($E189-Einstellungen!$B$21)/(Einstellungen!$B$22-Einstellungen!$B$21)*100)))/100*Einstellungen!$B$5+IF($W189="",0,$W189/100)*Einstellungen!$B$6+(IF($G189="",0,MAX(0,MIN(100,($G189-Einstellungen!$B$25)/(Einstellungen!$B$26-Einstellungen!$B$25)*100)))+IF($I189="",0,MAX(0,MIN(100,($I189-Einstellungen!$B$27)/(Einstellungen!$B$28-Einstellungen!$B$27)*100))))/2/100*Einstellungen!$B$7+IF($V189="",0,$V189/100)*Einstellungen!$B$8+IF($R189="",0,MAX(0,MIN(100,(Einstellungen!$B$32-$R189)/(Einstellungen!$B$32-Einstellungen!$B$31)*100)))/100*Einstellungen!$B$9+IF($D189="",0,$D189/5*100)/100*Einstellungen!$B$10+IF($AD189="",0,$AD189)/100*Einstellungen!$B$11+IF($U189="",0,$U189/5*100)/100*Einstellungen!$B$12,0))</f>
        <v/>
      </c>
      <c r="Y189">
        <f>IF($X189="","",$X189*1000000000000+IF($G189="",0,$G189)*1000000+IF($H189="",0,$H189)*1000+IF($I189="",0,$I189)+IF($N189="",0,MAX(0,1000-$N189))/1000+IF($A189="",0,$A189)/1000000)</f>
        <v/>
      </c>
      <c r="Z189">
        <f>IF($Y189="","",_xludf.RANK.EQ($Y189,$Y$2:$Y$201,0))</f>
        <v/>
      </c>
    </row>
    <row r="190">
      <c r="R190">
        <f>IFERROR(IF($Q190="","",$Q190/$H190),"")</f>
        <v/>
      </c>
      <c r="S190">
        <f>IFERROR(IF($Q190="","",$Q190/$G190),"")</f>
        <v/>
      </c>
      <c r="W190">
        <f>IF(AND($L190="",$N190="",$P190=""),"",ROUND((IF($L190="",0,IF($L190&lt;=Einstellungen!$B$16,100,IF($L190&lt;=Einstellungen!$C$16,80+(100-80)*(Einstellungen!$C$16-$L190)/(Einstellungen!$C$16-Einstellungen!$B$16),IF($L190&lt;=Einstellungen!$D$16,80*(Einstellungen!$D$16-$L190)/(Einstellungen!$D$16-Einstellungen!$C$16),0))))*Einstellungen!$E$16+IF($N190="",0,IF($N190&lt;=Einstellungen!$B$17,100,IF($N190&lt;=Einstellungen!$C$17,80+(100-80)*(Einstellungen!$C$17-$N190)/(Einstellungen!$C$17-Einstellungen!$B$17),IF($N190&lt;=Einstellungen!$D$17,80*(Einstellungen!$D$17-$N190)/(Einstellungen!$D$17-Einstellungen!$C$17),0))))*Einstellungen!$E$17+IF($P190="",0,IF($P190&lt;=Einstellungen!$B$18,100,IF($P190&lt;=Einstellungen!$C$18,80+(100-80)*(Einstellungen!$C$18-$P190)/(Einstellungen!$C$18-Einstellungen!$B$18),IF($P190&lt;=Einstellungen!$D$18,80*(Einstellungen!$D$18-$P190)/(Einstellungen!$D$18-Einstellungen!$C$18),0))))*Einstellungen!$E$18)/(Einstellungen!$E$16+Einstellungen!$E$17+Einstellungen!$E$18),0))</f>
        <v/>
      </c>
      <c r="X190">
        <f>IF(AND($E190="",$D190="",$G190="",$V190="",$Q190="",$T190="",$W190="",$U190=""),"",ROUND(IF($E190="",0,IF($E190&lt;Einstellungen!$B$21,0,IF($E190&gt;=Einstellungen!$B$22,100,($E190-Einstellungen!$B$21)/(Einstellungen!$B$22-Einstellungen!$B$21)*100)))/100*Einstellungen!$B$5+IF($W190="",0,$W190/100)*Einstellungen!$B$6+(IF($G190="",0,MAX(0,MIN(100,($G190-Einstellungen!$B$25)/(Einstellungen!$B$26-Einstellungen!$B$25)*100)))+IF($I190="",0,MAX(0,MIN(100,($I190-Einstellungen!$B$27)/(Einstellungen!$B$28-Einstellungen!$B$27)*100))))/2/100*Einstellungen!$B$7+IF($V190="",0,$V190/100)*Einstellungen!$B$8+IF($R190="",0,MAX(0,MIN(100,(Einstellungen!$B$32-$R190)/(Einstellungen!$B$32-Einstellungen!$B$31)*100)))/100*Einstellungen!$B$9+IF($D190="",0,$D190/5*100)/100*Einstellungen!$B$10+IF($AD190="",0,$AD190)/100*Einstellungen!$B$11+IF($U190="",0,$U190/5*100)/100*Einstellungen!$B$12,0))</f>
        <v/>
      </c>
      <c r="Y190">
        <f>IF($X190="","",$X190*1000000000000+IF($G190="",0,$G190)*1000000+IF($H190="",0,$H190)*1000+IF($I190="",0,$I190)+IF($N190="",0,MAX(0,1000-$N190))/1000+IF($A190="",0,$A190)/1000000)</f>
        <v/>
      </c>
      <c r="Z190">
        <f>IF($Y190="","",_xludf.RANK.EQ($Y190,$Y$2:$Y$201,0))</f>
        <v/>
      </c>
    </row>
    <row r="191">
      <c r="R191">
        <f>IFERROR(IF($Q191="","",$Q191/$H191),"")</f>
        <v/>
      </c>
      <c r="S191">
        <f>IFERROR(IF($Q191="","",$Q191/$G191),"")</f>
        <v/>
      </c>
      <c r="W191">
        <f>IF(AND($L191="",$N191="",$P191=""),"",ROUND((IF($L191="",0,IF($L191&lt;=Einstellungen!$B$16,100,IF($L191&lt;=Einstellungen!$C$16,80+(100-80)*(Einstellungen!$C$16-$L191)/(Einstellungen!$C$16-Einstellungen!$B$16),IF($L191&lt;=Einstellungen!$D$16,80*(Einstellungen!$D$16-$L191)/(Einstellungen!$D$16-Einstellungen!$C$16),0))))*Einstellungen!$E$16+IF($N191="",0,IF($N191&lt;=Einstellungen!$B$17,100,IF($N191&lt;=Einstellungen!$C$17,80+(100-80)*(Einstellungen!$C$17-$N191)/(Einstellungen!$C$17-Einstellungen!$B$17),IF($N191&lt;=Einstellungen!$D$17,80*(Einstellungen!$D$17-$N191)/(Einstellungen!$D$17-Einstellungen!$C$17),0))))*Einstellungen!$E$17+IF($P191="",0,IF($P191&lt;=Einstellungen!$B$18,100,IF($P191&lt;=Einstellungen!$C$18,80+(100-80)*(Einstellungen!$C$18-$P191)/(Einstellungen!$C$18-Einstellungen!$B$18),IF($P191&lt;=Einstellungen!$D$18,80*(Einstellungen!$D$18-$P191)/(Einstellungen!$D$18-Einstellungen!$C$18),0))))*Einstellungen!$E$18)/(Einstellungen!$E$16+Einstellungen!$E$17+Einstellungen!$E$18),0))</f>
        <v/>
      </c>
      <c r="X191">
        <f>IF(AND($E191="",$D191="",$G191="",$V191="",$Q191="",$T191="",$W191="",$U191=""),"",ROUND(IF($E191="",0,IF($E191&lt;Einstellungen!$B$21,0,IF($E191&gt;=Einstellungen!$B$22,100,($E191-Einstellungen!$B$21)/(Einstellungen!$B$22-Einstellungen!$B$21)*100)))/100*Einstellungen!$B$5+IF($W191="",0,$W191/100)*Einstellungen!$B$6+(IF($G191="",0,MAX(0,MIN(100,($G191-Einstellungen!$B$25)/(Einstellungen!$B$26-Einstellungen!$B$25)*100)))+IF($I191="",0,MAX(0,MIN(100,($I191-Einstellungen!$B$27)/(Einstellungen!$B$28-Einstellungen!$B$27)*100))))/2/100*Einstellungen!$B$7+IF($V191="",0,$V191/100)*Einstellungen!$B$8+IF($R191="",0,MAX(0,MIN(100,(Einstellungen!$B$32-$R191)/(Einstellungen!$B$32-Einstellungen!$B$31)*100)))/100*Einstellungen!$B$9+IF($D191="",0,$D191/5*100)/100*Einstellungen!$B$10+IF($AD191="",0,$AD191)/100*Einstellungen!$B$11+IF($U191="",0,$U191/5*100)/100*Einstellungen!$B$12,0))</f>
        <v/>
      </c>
      <c r="Y191">
        <f>IF($X191="","",$X191*1000000000000+IF($G191="",0,$G191)*1000000+IF($H191="",0,$H191)*1000+IF($I191="",0,$I191)+IF($N191="",0,MAX(0,1000-$N191))/1000+IF($A191="",0,$A191)/1000000)</f>
        <v/>
      </c>
      <c r="Z191">
        <f>IF($Y191="","",_xludf.RANK.EQ($Y191,$Y$2:$Y$201,0))</f>
        <v/>
      </c>
    </row>
    <row r="192">
      <c r="R192">
        <f>IFERROR(IF($Q192="","",$Q192/$H192),"")</f>
        <v/>
      </c>
      <c r="S192">
        <f>IFERROR(IF($Q192="","",$Q192/$G192),"")</f>
        <v/>
      </c>
      <c r="W192">
        <f>IF(AND($L192="",$N192="",$P192=""),"",ROUND((IF($L192="",0,IF($L192&lt;=Einstellungen!$B$16,100,IF($L192&lt;=Einstellungen!$C$16,80+(100-80)*(Einstellungen!$C$16-$L192)/(Einstellungen!$C$16-Einstellungen!$B$16),IF($L192&lt;=Einstellungen!$D$16,80*(Einstellungen!$D$16-$L192)/(Einstellungen!$D$16-Einstellungen!$C$16),0))))*Einstellungen!$E$16+IF($N192="",0,IF($N192&lt;=Einstellungen!$B$17,100,IF($N192&lt;=Einstellungen!$C$17,80+(100-80)*(Einstellungen!$C$17-$N192)/(Einstellungen!$C$17-Einstellungen!$B$17),IF($N192&lt;=Einstellungen!$D$17,80*(Einstellungen!$D$17-$N192)/(Einstellungen!$D$17-Einstellungen!$C$17),0))))*Einstellungen!$E$17+IF($P192="",0,IF($P192&lt;=Einstellungen!$B$18,100,IF($P192&lt;=Einstellungen!$C$18,80+(100-80)*(Einstellungen!$C$18-$P192)/(Einstellungen!$C$18-Einstellungen!$B$18),IF($P192&lt;=Einstellungen!$D$18,80*(Einstellungen!$D$18-$P192)/(Einstellungen!$D$18-Einstellungen!$C$18),0))))*Einstellungen!$E$18)/(Einstellungen!$E$16+Einstellungen!$E$17+Einstellungen!$E$18),0))</f>
        <v/>
      </c>
      <c r="X192">
        <f>IF(AND($E192="",$D192="",$G192="",$V192="",$Q192="",$T192="",$W192="",$U192=""),"",ROUND(IF($E192="",0,IF($E192&lt;Einstellungen!$B$21,0,IF($E192&gt;=Einstellungen!$B$22,100,($E192-Einstellungen!$B$21)/(Einstellungen!$B$22-Einstellungen!$B$21)*100)))/100*Einstellungen!$B$5+IF($W192="",0,$W192/100)*Einstellungen!$B$6+(IF($G192="",0,MAX(0,MIN(100,($G192-Einstellungen!$B$25)/(Einstellungen!$B$26-Einstellungen!$B$25)*100)))+IF($I192="",0,MAX(0,MIN(100,($I192-Einstellungen!$B$27)/(Einstellungen!$B$28-Einstellungen!$B$27)*100))))/2/100*Einstellungen!$B$7+IF($V192="",0,$V192/100)*Einstellungen!$B$8+IF($R192="",0,MAX(0,MIN(100,(Einstellungen!$B$32-$R192)/(Einstellungen!$B$32-Einstellungen!$B$31)*100)))/100*Einstellungen!$B$9+IF($D192="",0,$D192/5*100)/100*Einstellungen!$B$10+IF($AD192="",0,$AD192)/100*Einstellungen!$B$11+IF($U192="",0,$U192/5*100)/100*Einstellungen!$B$12,0))</f>
        <v/>
      </c>
      <c r="Y192">
        <f>IF($X192="","",$X192*1000000000000+IF($G192="",0,$G192)*1000000+IF($H192="",0,$H192)*1000+IF($I192="",0,$I192)+IF($N192="",0,MAX(0,1000-$N192))/1000+IF($A192="",0,$A192)/1000000)</f>
        <v/>
      </c>
      <c r="Z192">
        <f>IF($Y192="","",_xludf.RANK.EQ($Y192,$Y$2:$Y$201,0))</f>
        <v/>
      </c>
    </row>
    <row r="193">
      <c r="R193">
        <f>IFERROR(IF($Q193="","",$Q193/$H193),"")</f>
        <v/>
      </c>
      <c r="S193">
        <f>IFERROR(IF($Q193="","",$Q193/$G193),"")</f>
        <v/>
      </c>
      <c r="W193">
        <f>IF(AND($L193="",$N193="",$P193=""),"",ROUND((IF($L193="",0,IF($L193&lt;=Einstellungen!$B$16,100,IF($L193&lt;=Einstellungen!$C$16,80+(100-80)*(Einstellungen!$C$16-$L193)/(Einstellungen!$C$16-Einstellungen!$B$16),IF($L193&lt;=Einstellungen!$D$16,80*(Einstellungen!$D$16-$L193)/(Einstellungen!$D$16-Einstellungen!$C$16),0))))*Einstellungen!$E$16+IF($N193="",0,IF($N193&lt;=Einstellungen!$B$17,100,IF($N193&lt;=Einstellungen!$C$17,80+(100-80)*(Einstellungen!$C$17-$N193)/(Einstellungen!$C$17-Einstellungen!$B$17),IF($N193&lt;=Einstellungen!$D$17,80*(Einstellungen!$D$17-$N193)/(Einstellungen!$D$17-Einstellungen!$C$17),0))))*Einstellungen!$E$17+IF($P193="",0,IF($P193&lt;=Einstellungen!$B$18,100,IF($P193&lt;=Einstellungen!$C$18,80+(100-80)*(Einstellungen!$C$18-$P193)/(Einstellungen!$C$18-Einstellungen!$B$18),IF($P193&lt;=Einstellungen!$D$18,80*(Einstellungen!$D$18-$P193)/(Einstellungen!$D$18-Einstellungen!$C$18),0))))*Einstellungen!$E$18)/(Einstellungen!$E$16+Einstellungen!$E$17+Einstellungen!$E$18),0))</f>
        <v/>
      </c>
      <c r="X193">
        <f>IF(AND($E193="",$D193="",$G193="",$V193="",$Q193="",$T193="",$W193="",$U193=""),"",ROUND(IF($E193="",0,IF($E193&lt;Einstellungen!$B$21,0,IF($E193&gt;=Einstellungen!$B$22,100,($E193-Einstellungen!$B$21)/(Einstellungen!$B$22-Einstellungen!$B$21)*100)))/100*Einstellungen!$B$5+IF($W193="",0,$W193/100)*Einstellungen!$B$6+(IF($G193="",0,MAX(0,MIN(100,($G193-Einstellungen!$B$25)/(Einstellungen!$B$26-Einstellungen!$B$25)*100)))+IF($I193="",0,MAX(0,MIN(100,($I193-Einstellungen!$B$27)/(Einstellungen!$B$28-Einstellungen!$B$27)*100))))/2/100*Einstellungen!$B$7+IF($V193="",0,$V193/100)*Einstellungen!$B$8+IF($R193="",0,MAX(0,MIN(100,(Einstellungen!$B$32-$R193)/(Einstellungen!$B$32-Einstellungen!$B$31)*100)))/100*Einstellungen!$B$9+IF($D193="",0,$D193/5*100)/100*Einstellungen!$B$10+IF($AD193="",0,$AD193)/100*Einstellungen!$B$11+IF($U193="",0,$U193/5*100)/100*Einstellungen!$B$12,0))</f>
        <v/>
      </c>
      <c r="Y193">
        <f>IF($X193="","",$X193*1000000000000+IF($G193="",0,$G193)*1000000+IF($H193="",0,$H193)*1000+IF($I193="",0,$I193)+IF($N193="",0,MAX(0,1000-$N193))/1000+IF($A193="",0,$A193)/1000000)</f>
        <v/>
      </c>
      <c r="Z193">
        <f>IF($Y193="","",_xludf.RANK.EQ($Y193,$Y$2:$Y$201,0))</f>
        <v/>
      </c>
    </row>
    <row r="194">
      <c r="R194">
        <f>IFERROR(IF($Q194="","",$Q194/$H194),"")</f>
        <v/>
      </c>
      <c r="S194">
        <f>IFERROR(IF($Q194="","",$Q194/$G194),"")</f>
        <v/>
      </c>
      <c r="W194">
        <f>IF(AND($L194="",$N194="",$P194=""),"",ROUND((IF($L194="",0,IF($L194&lt;=Einstellungen!$B$16,100,IF($L194&lt;=Einstellungen!$C$16,80+(100-80)*(Einstellungen!$C$16-$L194)/(Einstellungen!$C$16-Einstellungen!$B$16),IF($L194&lt;=Einstellungen!$D$16,80*(Einstellungen!$D$16-$L194)/(Einstellungen!$D$16-Einstellungen!$C$16),0))))*Einstellungen!$E$16+IF($N194="",0,IF($N194&lt;=Einstellungen!$B$17,100,IF($N194&lt;=Einstellungen!$C$17,80+(100-80)*(Einstellungen!$C$17-$N194)/(Einstellungen!$C$17-Einstellungen!$B$17),IF($N194&lt;=Einstellungen!$D$17,80*(Einstellungen!$D$17-$N194)/(Einstellungen!$D$17-Einstellungen!$C$17),0))))*Einstellungen!$E$17+IF($P194="",0,IF($P194&lt;=Einstellungen!$B$18,100,IF($P194&lt;=Einstellungen!$C$18,80+(100-80)*(Einstellungen!$C$18-$P194)/(Einstellungen!$C$18-Einstellungen!$B$18),IF($P194&lt;=Einstellungen!$D$18,80*(Einstellungen!$D$18-$P194)/(Einstellungen!$D$18-Einstellungen!$C$18),0))))*Einstellungen!$E$18)/(Einstellungen!$E$16+Einstellungen!$E$17+Einstellungen!$E$18),0))</f>
        <v/>
      </c>
      <c r="X194">
        <f>IF(AND($E194="",$D194="",$G194="",$V194="",$Q194="",$T194="",$W194="",$U194=""),"",ROUND(IF($E194="",0,IF($E194&lt;Einstellungen!$B$21,0,IF($E194&gt;=Einstellungen!$B$22,100,($E194-Einstellungen!$B$21)/(Einstellungen!$B$22-Einstellungen!$B$21)*100)))/100*Einstellungen!$B$5+IF($W194="",0,$W194/100)*Einstellungen!$B$6+(IF($G194="",0,MAX(0,MIN(100,($G194-Einstellungen!$B$25)/(Einstellungen!$B$26-Einstellungen!$B$25)*100)))+IF($I194="",0,MAX(0,MIN(100,($I194-Einstellungen!$B$27)/(Einstellungen!$B$28-Einstellungen!$B$27)*100))))/2/100*Einstellungen!$B$7+IF($V194="",0,$V194/100)*Einstellungen!$B$8+IF($R194="",0,MAX(0,MIN(100,(Einstellungen!$B$32-$R194)/(Einstellungen!$B$32-Einstellungen!$B$31)*100)))/100*Einstellungen!$B$9+IF($D194="",0,$D194/5*100)/100*Einstellungen!$B$10+IF($AD194="",0,$AD194)/100*Einstellungen!$B$11+IF($U194="",0,$U194/5*100)/100*Einstellungen!$B$12,0))</f>
        <v/>
      </c>
      <c r="Y194">
        <f>IF($X194="","",$X194*1000000000000+IF($G194="",0,$G194)*1000000+IF($H194="",0,$H194)*1000+IF($I194="",0,$I194)+IF($N194="",0,MAX(0,1000-$N194))/1000+IF($A194="",0,$A194)/1000000)</f>
        <v/>
      </c>
      <c r="Z194">
        <f>IF($Y194="","",_xludf.RANK.EQ($Y194,$Y$2:$Y$201,0))</f>
        <v/>
      </c>
    </row>
    <row r="195">
      <c r="R195">
        <f>IFERROR(IF($Q195="","",$Q195/$H195),"")</f>
        <v/>
      </c>
      <c r="S195">
        <f>IFERROR(IF($Q195="","",$Q195/$G195),"")</f>
        <v/>
      </c>
      <c r="W195">
        <f>IF(AND($L195="",$N195="",$P195=""),"",ROUND((IF($L195="",0,IF($L195&lt;=Einstellungen!$B$16,100,IF($L195&lt;=Einstellungen!$C$16,80+(100-80)*(Einstellungen!$C$16-$L195)/(Einstellungen!$C$16-Einstellungen!$B$16),IF($L195&lt;=Einstellungen!$D$16,80*(Einstellungen!$D$16-$L195)/(Einstellungen!$D$16-Einstellungen!$C$16),0))))*Einstellungen!$E$16+IF($N195="",0,IF($N195&lt;=Einstellungen!$B$17,100,IF($N195&lt;=Einstellungen!$C$17,80+(100-80)*(Einstellungen!$C$17-$N195)/(Einstellungen!$C$17-Einstellungen!$B$17),IF($N195&lt;=Einstellungen!$D$17,80*(Einstellungen!$D$17-$N195)/(Einstellungen!$D$17-Einstellungen!$C$17),0))))*Einstellungen!$E$17+IF($P195="",0,IF($P195&lt;=Einstellungen!$B$18,100,IF($P195&lt;=Einstellungen!$C$18,80+(100-80)*(Einstellungen!$C$18-$P195)/(Einstellungen!$C$18-Einstellungen!$B$18),IF($P195&lt;=Einstellungen!$D$18,80*(Einstellungen!$D$18-$P195)/(Einstellungen!$D$18-Einstellungen!$C$18),0))))*Einstellungen!$E$18)/(Einstellungen!$E$16+Einstellungen!$E$17+Einstellungen!$E$18),0))</f>
        <v/>
      </c>
      <c r="X195">
        <f>IF(AND($E195="",$D195="",$G195="",$V195="",$Q195="",$T195="",$W195="",$U195=""),"",ROUND(IF($E195="",0,IF($E195&lt;Einstellungen!$B$21,0,IF($E195&gt;=Einstellungen!$B$22,100,($E195-Einstellungen!$B$21)/(Einstellungen!$B$22-Einstellungen!$B$21)*100)))/100*Einstellungen!$B$5+IF($W195="",0,$W195/100)*Einstellungen!$B$6+(IF($G195="",0,MAX(0,MIN(100,($G195-Einstellungen!$B$25)/(Einstellungen!$B$26-Einstellungen!$B$25)*100)))+IF($I195="",0,MAX(0,MIN(100,($I195-Einstellungen!$B$27)/(Einstellungen!$B$28-Einstellungen!$B$27)*100))))/2/100*Einstellungen!$B$7+IF($V195="",0,$V195/100)*Einstellungen!$B$8+IF($R195="",0,MAX(0,MIN(100,(Einstellungen!$B$32-$R195)/(Einstellungen!$B$32-Einstellungen!$B$31)*100)))/100*Einstellungen!$B$9+IF($D195="",0,$D195/5*100)/100*Einstellungen!$B$10+IF($AD195="",0,$AD195)/100*Einstellungen!$B$11+IF($U195="",0,$U195/5*100)/100*Einstellungen!$B$12,0))</f>
        <v/>
      </c>
      <c r="Y195">
        <f>IF($X195="","",$X195*1000000000000+IF($G195="",0,$G195)*1000000+IF($H195="",0,$H195)*1000+IF($I195="",0,$I195)+IF($N195="",0,MAX(0,1000-$N195))/1000+IF($A195="",0,$A195)/1000000)</f>
        <v/>
      </c>
      <c r="Z195">
        <f>IF($Y195="","",_xludf.RANK.EQ($Y195,$Y$2:$Y$201,0))</f>
        <v/>
      </c>
    </row>
    <row r="196">
      <c r="R196">
        <f>IFERROR(IF($Q196="","",$Q196/$H196),"")</f>
        <v/>
      </c>
      <c r="S196">
        <f>IFERROR(IF($Q196="","",$Q196/$G196),"")</f>
        <v/>
      </c>
      <c r="W196">
        <f>IF(AND($L196="",$N196="",$P196=""),"",ROUND((IF($L196="",0,IF($L196&lt;=Einstellungen!$B$16,100,IF($L196&lt;=Einstellungen!$C$16,80+(100-80)*(Einstellungen!$C$16-$L196)/(Einstellungen!$C$16-Einstellungen!$B$16),IF($L196&lt;=Einstellungen!$D$16,80*(Einstellungen!$D$16-$L196)/(Einstellungen!$D$16-Einstellungen!$C$16),0))))*Einstellungen!$E$16+IF($N196="",0,IF($N196&lt;=Einstellungen!$B$17,100,IF($N196&lt;=Einstellungen!$C$17,80+(100-80)*(Einstellungen!$C$17-$N196)/(Einstellungen!$C$17-Einstellungen!$B$17),IF($N196&lt;=Einstellungen!$D$17,80*(Einstellungen!$D$17-$N196)/(Einstellungen!$D$17-Einstellungen!$C$17),0))))*Einstellungen!$E$17+IF($P196="",0,IF($P196&lt;=Einstellungen!$B$18,100,IF($P196&lt;=Einstellungen!$C$18,80+(100-80)*(Einstellungen!$C$18-$P196)/(Einstellungen!$C$18-Einstellungen!$B$18),IF($P196&lt;=Einstellungen!$D$18,80*(Einstellungen!$D$18-$P196)/(Einstellungen!$D$18-Einstellungen!$C$18),0))))*Einstellungen!$E$18)/(Einstellungen!$E$16+Einstellungen!$E$17+Einstellungen!$E$18),0))</f>
        <v/>
      </c>
      <c r="X196">
        <f>IF(AND($E196="",$D196="",$G196="",$V196="",$Q196="",$T196="",$W196="",$U196=""),"",ROUND(IF($E196="",0,IF($E196&lt;Einstellungen!$B$21,0,IF($E196&gt;=Einstellungen!$B$22,100,($E196-Einstellungen!$B$21)/(Einstellungen!$B$22-Einstellungen!$B$21)*100)))/100*Einstellungen!$B$5+IF($W196="",0,$W196/100)*Einstellungen!$B$6+(IF($G196="",0,MAX(0,MIN(100,($G196-Einstellungen!$B$25)/(Einstellungen!$B$26-Einstellungen!$B$25)*100)))+IF($I196="",0,MAX(0,MIN(100,($I196-Einstellungen!$B$27)/(Einstellungen!$B$28-Einstellungen!$B$27)*100))))/2/100*Einstellungen!$B$7+IF($V196="",0,$V196/100)*Einstellungen!$B$8+IF($R196="",0,MAX(0,MIN(100,(Einstellungen!$B$32-$R196)/(Einstellungen!$B$32-Einstellungen!$B$31)*100)))/100*Einstellungen!$B$9+IF($D196="",0,$D196/5*100)/100*Einstellungen!$B$10+IF($AD196="",0,$AD196)/100*Einstellungen!$B$11+IF($U196="",0,$U196/5*100)/100*Einstellungen!$B$12,0))</f>
        <v/>
      </c>
      <c r="Y196">
        <f>IF($X196="","",$X196*1000000000000+IF($G196="",0,$G196)*1000000+IF($H196="",0,$H196)*1000+IF($I196="",0,$I196)+IF($N196="",0,MAX(0,1000-$N196))/1000+IF($A196="",0,$A196)/1000000)</f>
        <v/>
      </c>
      <c r="Z196">
        <f>IF($Y196="","",_xludf.RANK.EQ($Y196,$Y$2:$Y$201,0))</f>
        <v/>
      </c>
    </row>
    <row r="197">
      <c r="R197">
        <f>IFERROR(IF($Q197="","",$Q197/$H197),"")</f>
        <v/>
      </c>
      <c r="S197">
        <f>IFERROR(IF($Q197="","",$Q197/$G197),"")</f>
        <v/>
      </c>
      <c r="W197">
        <f>IF(AND($L197="",$N197="",$P197=""),"",ROUND((IF($L197="",0,IF($L197&lt;=Einstellungen!$B$16,100,IF($L197&lt;=Einstellungen!$C$16,80+(100-80)*(Einstellungen!$C$16-$L197)/(Einstellungen!$C$16-Einstellungen!$B$16),IF($L197&lt;=Einstellungen!$D$16,80*(Einstellungen!$D$16-$L197)/(Einstellungen!$D$16-Einstellungen!$C$16),0))))*Einstellungen!$E$16+IF($N197="",0,IF($N197&lt;=Einstellungen!$B$17,100,IF($N197&lt;=Einstellungen!$C$17,80+(100-80)*(Einstellungen!$C$17-$N197)/(Einstellungen!$C$17-Einstellungen!$B$17),IF($N197&lt;=Einstellungen!$D$17,80*(Einstellungen!$D$17-$N197)/(Einstellungen!$D$17-Einstellungen!$C$17),0))))*Einstellungen!$E$17+IF($P197="",0,IF($P197&lt;=Einstellungen!$B$18,100,IF($P197&lt;=Einstellungen!$C$18,80+(100-80)*(Einstellungen!$C$18-$P197)/(Einstellungen!$C$18-Einstellungen!$B$18),IF($P197&lt;=Einstellungen!$D$18,80*(Einstellungen!$D$18-$P197)/(Einstellungen!$D$18-Einstellungen!$C$18),0))))*Einstellungen!$E$18)/(Einstellungen!$E$16+Einstellungen!$E$17+Einstellungen!$E$18),0))</f>
        <v/>
      </c>
      <c r="X197">
        <f>IF(AND($E197="",$D197="",$G197="",$V197="",$Q197="",$T197="",$W197="",$U197=""),"",ROUND(IF($E197="",0,IF($E197&lt;Einstellungen!$B$21,0,IF($E197&gt;=Einstellungen!$B$22,100,($E197-Einstellungen!$B$21)/(Einstellungen!$B$22-Einstellungen!$B$21)*100)))/100*Einstellungen!$B$5+IF($W197="",0,$W197/100)*Einstellungen!$B$6+(IF($G197="",0,MAX(0,MIN(100,($G197-Einstellungen!$B$25)/(Einstellungen!$B$26-Einstellungen!$B$25)*100)))+IF($I197="",0,MAX(0,MIN(100,($I197-Einstellungen!$B$27)/(Einstellungen!$B$28-Einstellungen!$B$27)*100))))/2/100*Einstellungen!$B$7+IF($V197="",0,$V197/100)*Einstellungen!$B$8+IF($R197="",0,MAX(0,MIN(100,(Einstellungen!$B$32-$R197)/(Einstellungen!$B$32-Einstellungen!$B$31)*100)))/100*Einstellungen!$B$9+IF($D197="",0,$D197/5*100)/100*Einstellungen!$B$10+IF($AD197="",0,$AD197)/100*Einstellungen!$B$11+IF($U197="",0,$U197/5*100)/100*Einstellungen!$B$12,0))</f>
        <v/>
      </c>
      <c r="Y197">
        <f>IF($X197="","",$X197*1000000000000+IF($G197="",0,$G197)*1000000+IF($H197="",0,$H197)*1000+IF($I197="",0,$I197)+IF($N197="",0,MAX(0,1000-$N197))/1000+IF($A197="",0,$A197)/1000000)</f>
        <v/>
      </c>
      <c r="Z197">
        <f>IF($Y197="","",_xludf.RANK.EQ($Y197,$Y$2:$Y$201,0))</f>
        <v/>
      </c>
    </row>
    <row r="198">
      <c r="R198">
        <f>IFERROR(IF($Q198="","",$Q198/$H198),"")</f>
        <v/>
      </c>
      <c r="S198">
        <f>IFERROR(IF($Q198="","",$Q198/$G198),"")</f>
        <v/>
      </c>
      <c r="W198">
        <f>IF(AND($L198="",$N198="",$P198=""),"",ROUND((IF($L198="",0,IF($L198&lt;=Einstellungen!$B$16,100,IF($L198&lt;=Einstellungen!$C$16,80+(100-80)*(Einstellungen!$C$16-$L198)/(Einstellungen!$C$16-Einstellungen!$B$16),IF($L198&lt;=Einstellungen!$D$16,80*(Einstellungen!$D$16-$L198)/(Einstellungen!$D$16-Einstellungen!$C$16),0))))*Einstellungen!$E$16+IF($N198="",0,IF($N198&lt;=Einstellungen!$B$17,100,IF($N198&lt;=Einstellungen!$C$17,80+(100-80)*(Einstellungen!$C$17-$N198)/(Einstellungen!$C$17-Einstellungen!$B$17),IF($N198&lt;=Einstellungen!$D$17,80*(Einstellungen!$D$17-$N198)/(Einstellungen!$D$17-Einstellungen!$C$17),0))))*Einstellungen!$E$17+IF($P198="",0,IF($P198&lt;=Einstellungen!$B$18,100,IF($P198&lt;=Einstellungen!$C$18,80+(100-80)*(Einstellungen!$C$18-$P198)/(Einstellungen!$C$18-Einstellungen!$B$18),IF($P198&lt;=Einstellungen!$D$18,80*(Einstellungen!$D$18-$P198)/(Einstellungen!$D$18-Einstellungen!$C$18),0))))*Einstellungen!$E$18)/(Einstellungen!$E$16+Einstellungen!$E$17+Einstellungen!$E$18),0))</f>
        <v/>
      </c>
      <c r="X198">
        <f>IF(AND($E198="",$D198="",$G198="",$V198="",$Q198="",$T198="",$W198="",$U198=""),"",ROUND(IF($E198="",0,IF($E198&lt;Einstellungen!$B$21,0,IF($E198&gt;=Einstellungen!$B$22,100,($E198-Einstellungen!$B$21)/(Einstellungen!$B$22-Einstellungen!$B$21)*100)))/100*Einstellungen!$B$5+IF($W198="",0,$W198/100)*Einstellungen!$B$6+(IF($G198="",0,MAX(0,MIN(100,($G198-Einstellungen!$B$25)/(Einstellungen!$B$26-Einstellungen!$B$25)*100)))+IF($I198="",0,MAX(0,MIN(100,($I198-Einstellungen!$B$27)/(Einstellungen!$B$28-Einstellungen!$B$27)*100))))/2/100*Einstellungen!$B$7+IF($V198="",0,$V198/100)*Einstellungen!$B$8+IF($R198="",0,MAX(0,MIN(100,(Einstellungen!$B$32-$R198)/(Einstellungen!$B$32-Einstellungen!$B$31)*100)))/100*Einstellungen!$B$9+IF($D198="",0,$D198/5*100)/100*Einstellungen!$B$10+IF($AD198="",0,$AD198)/100*Einstellungen!$B$11+IF($U198="",0,$U198/5*100)/100*Einstellungen!$B$12,0))</f>
        <v/>
      </c>
      <c r="Y198">
        <f>IF($X198="","",$X198*1000000000000+IF($G198="",0,$G198)*1000000+IF($H198="",0,$H198)*1000+IF($I198="",0,$I198)+IF($N198="",0,MAX(0,1000-$N198))/1000+IF($A198="",0,$A198)/1000000)</f>
        <v/>
      </c>
      <c r="Z198">
        <f>IF($Y198="","",_xludf.RANK.EQ($Y198,$Y$2:$Y$201,0))</f>
        <v/>
      </c>
    </row>
    <row r="199">
      <c r="R199">
        <f>IFERROR(IF($Q199="","",$Q199/$H199),"")</f>
        <v/>
      </c>
      <c r="S199">
        <f>IFERROR(IF($Q199="","",$Q199/$G199),"")</f>
        <v/>
      </c>
      <c r="W199">
        <f>IF(AND($L199="",$N199="",$P199=""),"",ROUND((IF($L199="",0,IF($L199&lt;=Einstellungen!$B$16,100,IF($L199&lt;=Einstellungen!$C$16,80+(100-80)*(Einstellungen!$C$16-$L199)/(Einstellungen!$C$16-Einstellungen!$B$16),IF($L199&lt;=Einstellungen!$D$16,80*(Einstellungen!$D$16-$L199)/(Einstellungen!$D$16-Einstellungen!$C$16),0))))*Einstellungen!$E$16+IF($N199="",0,IF($N199&lt;=Einstellungen!$B$17,100,IF($N199&lt;=Einstellungen!$C$17,80+(100-80)*(Einstellungen!$C$17-$N199)/(Einstellungen!$C$17-Einstellungen!$B$17),IF($N199&lt;=Einstellungen!$D$17,80*(Einstellungen!$D$17-$N199)/(Einstellungen!$D$17-Einstellungen!$C$17),0))))*Einstellungen!$E$17+IF($P199="",0,IF($P199&lt;=Einstellungen!$B$18,100,IF($P199&lt;=Einstellungen!$C$18,80+(100-80)*(Einstellungen!$C$18-$P199)/(Einstellungen!$C$18-Einstellungen!$B$18),IF($P199&lt;=Einstellungen!$D$18,80*(Einstellungen!$D$18-$P199)/(Einstellungen!$D$18-Einstellungen!$C$18),0))))*Einstellungen!$E$18)/(Einstellungen!$E$16+Einstellungen!$E$17+Einstellungen!$E$18),0))</f>
        <v/>
      </c>
      <c r="X199">
        <f>IF(AND($E199="",$D199="",$G199="",$V199="",$Q199="",$T199="",$W199="",$U199=""),"",ROUND(IF($E199="",0,IF($E199&lt;Einstellungen!$B$21,0,IF($E199&gt;=Einstellungen!$B$22,100,($E199-Einstellungen!$B$21)/(Einstellungen!$B$22-Einstellungen!$B$21)*100)))/100*Einstellungen!$B$5+IF($W199="",0,$W199/100)*Einstellungen!$B$6+(IF($G199="",0,MAX(0,MIN(100,($G199-Einstellungen!$B$25)/(Einstellungen!$B$26-Einstellungen!$B$25)*100)))+IF($I199="",0,MAX(0,MIN(100,($I199-Einstellungen!$B$27)/(Einstellungen!$B$28-Einstellungen!$B$27)*100))))/2/100*Einstellungen!$B$7+IF($V199="",0,$V199/100)*Einstellungen!$B$8+IF($R199="",0,MAX(0,MIN(100,(Einstellungen!$B$32-$R199)/(Einstellungen!$B$32-Einstellungen!$B$31)*100)))/100*Einstellungen!$B$9+IF($D199="",0,$D199/5*100)/100*Einstellungen!$B$10+IF($AD199="",0,$AD199)/100*Einstellungen!$B$11+IF($U199="",0,$U199/5*100)/100*Einstellungen!$B$12,0))</f>
        <v/>
      </c>
      <c r="Y199">
        <f>IF($X199="","",$X199*1000000000000+IF($G199="",0,$G199)*1000000+IF($H199="",0,$H199)*1000+IF($I199="",0,$I199)+IF($N199="",0,MAX(0,1000-$N199))/1000+IF($A199="",0,$A199)/1000000)</f>
        <v/>
      </c>
      <c r="Z199">
        <f>IF($Y199="","",_xludf.RANK.EQ($Y199,$Y$2:$Y$201,0))</f>
        <v/>
      </c>
    </row>
    <row r="200">
      <c r="R200">
        <f>IFERROR(IF($Q200="","",$Q200/$H200),"")</f>
        <v/>
      </c>
      <c r="S200">
        <f>IFERROR(IF($Q200="","",$Q200/$G200),"")</f>
        <v/>
      </c>
      <c r="W200">
        <f>IF(AND($L200="",$N200="",$P200=""),"",ROUND((IF($L200="",0,IF($L200&lt;=Einstellungen!$B$16,100,IF($L200&lt;=Einstellungen!$C$16,80+(100-80)*(Einstellungen!$C$16-$L200)/(Einstellungen!$C$16-Einstellungen!$B$16),IF($L200&lt;=Einstellungen!$D$16,80*(Einstellungen!$D$16-$L200)/(Einstellungen!$D$16-Einstellungen!$C$16),0))))*Einstellungen!$E$16+IF($N200="",0,IF($N200&lt;=Einstellungen!$B$17,100,IF($N200&lt;=Einstellungen!$C$17,80+(100-80)*(Einstellungen!$C$17-$N200)/(Einstellungen!$C$17-Einstellungen!$B$17),IF($N200&lt;=Einstellungen!$D$17,80*(Einstellungen!$D$17-$N200)/(Einstellungen!$D$17-Einstellungen!$C$17),0))))*Einstellungen!$E$17+IF($P200="",0,IF($P200&lt;=Einstellungen!$B$18,100,IF($P200&lt;=Einstellungen!$C$18,80+(100-80)*(Einstellungen!$C$18-$P200)/(Einstellungen!$C$18-Einstellungen!$B$18),IF($P200&lt;=Einstellungen!$D$18,80*(Einstellungen!$D$18-$P200)/(Einstellungen!$D$18-Einstellungen!$C$18),0))))*Einstellungen!$E$18)/(Einstellungen!$E$16+Einstellungen!$E$17+Einstellungen!$E$18),0))</f>
        <v/>
      </c>
      <c r="X200">
        <f>IF(AND($E200="",$D200="",$G200="",$V200="",$Q200="",$T200="",$W200="",$U200=""),"",ROUND(IF($E200="",0,IF($E200&lt;Einstellungen!$B$21,0,IF($E200&gt;=Einstellungen!$B$22,100,($E200-Einstellungen!$B$21)/(Einstellungen!$B$22-Einstellungen!$B$21)*100)))/100*Einstellungen!$B$5+IF($W200="",0,$W200/100)*Einstellungen!$B$6+(IF($G200="",0,MAX(0,MIN(100,($G200-Einstellungen!$B$25)/(Einstellungen!$B$26-Einstellungen!$B$25)*100)))+IF($I200="",0,MAX(0,MIN(100,($I200-Einstellungen!$B$27)/(Einstellungen!$B$28-Einstellungen!$B$27)*100))))/2/100*Einstellungen!$B$7+IF($V200="",0,$V200/100)*Einstellungen!$B$8+IF($R200="",0,MAX(0,MIN(100,(Einstellungen!$B$32-$R200)/(Einstellungen!$B$32-Einstellungen!$B$31)*100)))/100*Einstellungen!$B$9+IF($D200="",0,$D200/5*100)/100*Einstellungen!$B$10+IF($AD200="",0,$AD200)/100*Einstellungen!$B$11+IF($U200="",0,$U200/5*100)/100*Einstellungen!$B$12,0))</f>
        <v/>
      </c>
      <c r="Y200">
        <f>IF($X200="","",$X200*1000000000000+IF($G200="",0,$G200)*1000000+IF($H200="",0,$H200)*1000+IF($I200="",0,$I200)+IF($N200="",0,MAX(0,1000-$N200))/1000+IF($A200="",0,$A200)/1000000)</f>
        <v/>
      </c>
      <c r="Z200">
        <f>IF($Y200="","",_xludf.RANK.EQ($Y200,$Y$2:$Y$201,0))</f>
        <v/>
      </c>
    </row>
    <row r="201">
      <c r="R201">
        <f>IFERROR(IF($Q201="","",$Q201/$H201),"")</f>
        <v/>
      </c>
      <c r="S201">
        <f>IFERROR(IF($Q201="","",$Q201/$G201),"")</f>
        <v/>
      </c>
      <c r="W201">
        <f>IF(AND($L201="",$N201="",$P201=""),"",ROUND((IF($L201="",0,IF($L201&lt;=Einstellungen!$B$16,100,IF($L201&lt;=Einstellungen!$C$16,80+(100-80)*(Einstellungen!$C$16-$L201)/(Einstellungen!$C$16-Einstellungen!$B$16),IF($L201&lt;=Einstellungen!$D$16,80*(Einstellungen!$D$16-$L201)/(Einstellungen!$D$16-Einstellungen!$C$16),0))))*Einstellungen!$E$16+IF($N201="",0,IF($N201&lt;=Einstellungen!$B$17,100,IF($N201&lt;=Einstellungen!$C$17,80+(100-80)*(Einstellungen!$C$17-$N201)/(Einstellungen!$C$17-Einstellungen!$B$17),IF($N201&lt;=Einstellungen!$D$17,80*(Einstellungen!$D$17-$N201)/(Einstellungen!$D$17-Einstellungen!$C$17),0))))*Einstellungen!$E$17+IF($P201="",0,IF($P201&lt;=Einstellungen!$B$18,100,IF($P201&lt;=Einstellungen!$C$18,80+(100-80)*(Einstellungen!$C$18-$P201)/(Einstellungen!$C$18-Einstellungen!$B$18),IF($P201&lt;=Einstellungen!$D$18,80*(Einstellungen!$D$18-$P201)/(Einstellungen!$D$18-Einstellungen!$C$18),0))))*Einstellungen!$E$18)/(Einstellungen!$E$16+Einstellungen!$E$17+Einstellungen!$E$18),0))</f>
        <v/>
      </c>
      <c r="X201">
        <f>IF(AND($E201="",$D201="",$G201="",$V201="",$Q201="",$T201="",$W201="",$U201=""),"",ROUND(IF($E201="",0,IF($E201&lt;Einstellungen!$B$21,0,IF($E201&gt;=Einstellungen!$B$22,100,($E201-Einstellungen!$B$21)/(Einstellungen!$B$22-Einstellungen!$B$21)*100)))/100*Einstellungen!$B$5+IF($W201="",0,$W201/100)*Einstellungen!$B$6+(IF($G201="",0,MAX(0,MIN(100,($G201-Einstellungen!$B$25)/(Einstellungen!$B$26-Einstellungen!$B$25)*100)))+IF($I201="",0,MAX(0,MIN(100,($I201-Einstellungen!$B$27)/(Einstellungen!$B$28-Einstellungen!$B$27)*100))))/2/100*Einstellungen!$B$7+IF($V201="",0,$V201/100)*Einstellungen!$B$8+IF($R201="",0,MAX(0,MIN(100,(Einstellungen!$B$32-$R201)/(Einstellungen!$B$32-Einstellungen!$B$31)*100)))/100*Einstellungen!$B$9+IF($D201="",0,$D201/5*100)/100*Einstellungen!$B$10+IF($AD201="",0,$AD201)/100*Einstellungen!$B$11+IF($U201="",0,$U201/5*100)/100*Einstellungen!$B$12,0))</f>
        <v/>
      </c>
      <c r="Y201">
        <f>IF($X201="","",$X201*1000000000000+IF($G201="",0,$G201)*1000000+IF($H201="",0,$H201)*1000+IF($I201="",0,$I201)+IF($N201="",0,MAX(0,1000-$N201))/1000+IF($A201="",0,$A201)/1000000)</f>
        <v/>
      </c>
      <c r="Z201">
        <f>IF($Y201="","",_xludf.RANK.EQ($Y201,$Y$2:$Y$201,0))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Bewertungssystem Einstellungen (blau = anpassbar)</t>
        </is>
      </c>
    </row>
    <row r="4">
      <c r="A4" t="inlineStr">
        <is>
          <t>GEWICHTE (Summe = 100)</t>
        </is>
      </c>
    </row>
    <row r="5">
      <c r="A5" t="inlineStr">
        <is>
          <t>Zimmer &amp; Platz</t>
        </is>
      </c>
      <c r="B5" t="n">
        <v>20</v>
      </c>
    </row>
    <row r="6">
      <c r="A6" t="inlineStr">
        <is>
          <t>Erreichbarkeit (Flughafen/Daia/Andratx)</t>
        </is>
      </c>
      <c r="B6" t="n">
        <v>10</v>
      </c>
    </row>
    <row r="7">
      <c r="A7" t="inlineStr">
        <is>
          <t>Grundstück &amp; Garten</t>
        </is>
      </c>
      <c r="B7" t="n">
        <v>15</v>
      </c>
    </row>
    <row r="8">
      <c r="A8" t="inlineStr">
        <is>
          <t>Vermietlizenz</t>
        </is>
      </c>
      <c r="B8" t="n">
        <v>10</v>
      </c>
    </row>
    <row r="9">
      <c r="A9" t="inlineStr">
        <is>
          <t>Preis/Budget</t>
        </is>
      </c>
      <c r="B9" t="n">
        <v>15</v>
      </c>
    </row>
    <row r="10">
      <c r="A10" t="inlineStr">
        <is>
          <t>Charme / Ästhetik (1-5, manuell)</t>
        </is>
      </c>
      <c r="B10" t="n">
        <v>10</v>
      </c>
    </row>
    <row r="11">
      <c r="A11" t="inlineStr">
        <is>
          <t>Renovierung (0-100)</t>
        </is>
      </c>
      <c r="B11" t="n">
        <v>0</v>
      </c>
    </row>
    <row r="12">
      <c r="A12" t="inlineStr">
        <is>
          <t>Bewirtschaftung (1-5, 5=pflegeleicht)</t>
        </is>
      </c>
      <c r="B12" t="n">
        <v>5</v>
      </c>
    </row>
    <row r="13">
      <c r="A13" t="inlineStr">
        <is>
          <t>Preis-Leistung (€/m²)</t>
        </is>
      </c>
      <c r="B13" t="n">
        <v>15</v>
      </c>
    </row>
    <row r="14">
      <c r="A14" t="inlineStr">
        <is>
          <t>Summe</t>
        </is>
      </c>
      <c r="B14">
        <f>SUM(B5:B13)</f>
        <v/>
      </c>
    </row>
    <row r="16">
      <c r="A16" t="inlineStr">
        <is>
          <t>ERREICHBARKEIT (Minuten)</t>
        </is>
      </c>
      <c r="B16" t="inlineStr">
        <is>
          <t>Ideal</t>
        </is>
      </c>
      <c r="C16" t="inlineStr">
        <is>
          <t>Akzeptabel</t>
        </is>
      </c>
      <c r="D16" t="inlineStr">
        <is>
          <t>Dealbreaker</t>
        </is>
      </c>
      <c r="E16" t="inlineStr">
        <is>
          <t>Gewicht intern</t>
        </is>
      </c>
    </row>
    <row r="17">
      <c r="A17" t="inlineStr">
        <is>
          <t>Flughafen</t>
        </is>
      </c>
      <c r="B17" t="n">
        <v>20</v>
      </c>
      <c r="C17" t="n">
        <v>35</v>
      </c>
      <c r="D17" t="n">
        <v>50</v>
      </c>
      <c r="E17" t="n">
        <v>25</v>
      </c>
    </row>
    <row r="18">
      <c r="A18" t="inlineStr">
        <is>
          <t>Daia (Hotel Corazón)</t>
        </is>
      </c>
      <c r="B18" t="n">
        <v>20</v>
      </c>
      <c r="C18" t="n">
        <v>40</v>
      </c>
      <c r="D18" t="n">
        <v>70</v>
      </c>
      <c r="E18" t="n">
        <v>40</v>
      </c>
    </row>
    <row r="19">
      <c r="A19" t="inlineStr">
        <is>
          <t>Andratx</t>
        </is>
      </c>
      <c r="B19" t="n">
        <v>30</v>
      </c>
      <c r="C19" t="n">
        <v>45</v>
      </c>
      <c r="D19" t="n">
        <v>60</v>
      </c>
      <c r="E19" t="n">
        <v>35</v>
      </c>
    </row>
    <row r="21">
      <c r="A21" t="inlineStr">
        <is>
          <t>ZIMMER</t>
        </is>
      </c>
    </row>
    <row r="22">
      <c r="A22" t="inlineStr">
        <is>
          <t>Minimum Zimmer</t>
        </is>
      </c>
      <c r="B22" t="n">
        <v>5</v>
      </c>
    </row>
    <row r="23">
      <c r="A23" t="inlineStr">
        <is>
          <t>Ideal Zimmer</t>
        </is>
      </c>
      <c r="B23" t="n">
        <v>8</v>
      </c>
    </row>
    <row r="25">
      <c r="A25" t="inlineStr">
        <is>
          <t>GRUNDSTÜCK &amp; GARTEN</t>
        </is>
      </c>
    </row>
    <row r="26">
      <c r="A26" t="inlineStr">
        <is>
          <t>Min Grundstück (m²)</t>
        </is>
      </c>
      <c r="B26" t="n">
        <v>3000</v>
      </c>
    </row>
    <row r="27">
      <c r="A27" t="inlineStr">
        <is>
          <t>Ideal Grundstück (m²)</t>
        </is>
      </c>
      <c r="B27" t="n">
        <v>15000</v>
      </c>
    </row>
    <row r="28">
      <c r="A28" t="inlineStr">
        <is>
          <t>Min Garten/Rasen (m²)</t>
        </is>
      </c>
      <c r="B28" t="n">
        <v>1000</v>
      </c>
    </row>
    <row r="29">
      <c r="A29" t="inlineStr">
        <is>
          <t>Ideal Garten/Rasen (m²)</t>
        </is>
      </c>
      <c r="B29" t="n">
        <v>5000</v>
      </c>
    </row>
    <row r="31">
      <c r="A31" t="inlineStr">
        <is>
          <t>VALUE</t>
        </is>
      </c>
    </row>
    <row r="32">
      <c r="A32" t="inlineStr">
        <is>
          <t>Ziel €/m² (bebaut)</t>
        </is>
      </c>
      <c r="B32" t="n">
        <v>5000</v>
      </c>
    </row>
    <row r="33">
      <c r="A33" t="inlineStr">
        <is>
          <t>Max €/m² (bebaut)</t>
        </is>
      </c>
      <c r="B33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Rangliste (automatisch aus 'Objekte')</t>
        </is>
      </c>
    </row>
    <row r="3">
      <c r="A3" t="inlineStr">
        <is>
          <t>Rang</t>
        </is>
      </c>
      <c r="B3" t="inlineStr">
        <is>
          <t>Name</t>
        </is>
      </c>
      <c r="C3" t="inlineStr">
        <is>
          <t>Score</t>
        </is>
      </c>
      <c r="D3" t="inlineStr">
        <is>
          <t>Erreichb.</t>
        </is>
      </c>
      <c r="E3" t="inlineStr">
        <is>
          <t>Flugh.(min)</t>
        </is>
      </c>
      <c r="F3" t="inlineStr">
        <is>
          <t>Daia (min)</t>
        </is>
      </c>
      <c r="G3" t="inlineStr">
        <is>
          <t>Andratx (min)</t>
        </is>
      </c>
      <c r="H3" t="inlineStr">
        <is>
          <t>Zimmer</t>
        </is>
      </c>
      <c r="I3" t="inlineStr">
        <is>
          <t>Grundstück</t>
        </is>
      </c>
      <c r="J3" t="inlineStr">
        <is>
          <t>Garten</t>
        </is>
      </c>
      <c r="K3" t="inlineStr">
        <is>
          <t>Preis (€)</t>
        </is>
      </c>
      <c r="L3" t="inlineStr">
        <is>
          <t>Lizenz</t>
        </is>
      </c>
      <c r="M3" t="inlineStr">
        <is>
          <t>Charme</t>
        </is>
      </c>
      <c r="N3" t="inlineStr">
        <is>
          <t>Bewirtsch.</t>
        </is>
      </c>
      <c r="O3" t="inlineStr">
        <is>
          <t>Kommentar</t>
        </is>
      </c>
      <c r="P3" t="inlineStr">
        <is>
          <t>URL</t>
        </is>
      </c>
      <c r="Q3" t="inlineStr">
        <is>
          <t>Reno-Score</t>
        </is>
      </c>
      <c r="R3" t="inlineStr">
        <is>
          <t>Baujahr</t>
        </is>
      </c>
    </row>
    <row r="4">
      <c r="A4" t="n">
        <v>1</v>
      </c>
      <c r="B4">
        <f>IFERROR(INDEX(Objekte!$B$2:$B$201,MATCH($A4,Objekte!$Z$2:$Z$201,0)),"")</f>
        <v/>
      </c>
      <c r="C4">
        <f>IFERROR(INDEX(Objekte!$X$2:$X$201,MATCH($A4,Objekte!$Z$2:$Z$201,0)),"")</f>
        <v/>
      </c>
      <c r="D4">
        <f>IFERROR(INDEX(Objekte!$W$2:$W$201,MATCH($A4,Objekte!$Z$2:$Z$201,0)),"")</f>
        <v/>
      </c>
      <c r="E4">
        <f>IFERROR(INDEX(Objekte!$L$2:$L$201,MATCH($A4,Objekte!$Z$2:$Z$201,0)),"")</f>
        <v/>
      </c>
      <c r="F4">
        <f>IFERROR(INDEX(Objekte!$N$2:$N$201,MATCH($A4,Objekte!$Z$2:$Z$201,0)),"")</f>
        <v/>
      </c>
      <c r="G4">
        <f>IFERROR(INDEX(Objekte!$P$2:$P$201,MATCH($A4,Objekte!$Z$2:$Z$201,0)),"")</f>
        <v/>
      </c>
      <c r="H4">
        <f>IFERROR(INDEX(Objekte!$E$2:$E$201,MATCH($A4,Objekte!$Z$2:$Z$201,0)),"")</f>
        <v/>
      </c>
      <c r="I4">
        <f>IFERROR(INDEX(Objekte!$G$2:$G$201,MATCH($A4,Objekte!$Z$2:$Z$201,0)),"")</f>
        <v/>
      </c>
      <c r="J4">
        <f>IFERROR(INDEX(Objekte!$I$2:$I$201,MATCH($A4,Objekte!$Z$2:$Z$201,0)),"")</f>
        <v/>
      </c>
      <c r="K4">
        <f>IFERROR(INDEX(Objekte!$Q$2:$Q$201,MATCH($A4,Objekte!$Z$2:$Z$201,0)),"")</f>
        <v/>
      </c>
      <c r="L4">
        <f>IFERROR(INDEX(Objekte!$V$2:$V$201,MATCH($A4,Objekte!$Z$2:$Z$201,0)),"")</f>
        <v/>
      </c>
      <c r="M4">
        <f>IFERROR(INDEX(Objekte!$D$2:$D$201,MATCH($A4,Objekte!$Z$2:$Z$201,0)),"")</f>
        <v/>
      </c>
      <c r="N4">
        <f>IFERROR(INDEX(Objekte!$U$2:$U$201,MATCH($A4,Objekte!$Z$2:$Z$201,0)),"")</f>
        <v/>
      </c>
      <c r="O4">
        <f>IFERROR(INDEX(Objekte!$AF$2:$AF$201,MATCH($A4,Objekte!$Z$2:$Z$201,0)),"")</f>
        <v/>
      </c>
      <c r="P4">
        <f>IFERROR(INDEX(Objekte!$C$2:$C$201,MATCH($A4,Objekte!$Z$2:$Z$201,0)),"")</f>
        <v/>
      </c>
      <c r="Q4">
        <f>IFERROR(INDEX(Objekte!$AD$2:$AD$201,MATCH($A4,Objekte!$Z$2:$Z$201,0)),"")</f>
        <v/>
      </c>
      <c r="R4">
        <f>IFERROR(INDEX(Objekte!$AB$2:$AB$201,MATCH($A4,Objekte!$Z$2:$Z$201,0)),"")</f>
        <v/>
      </c>
    </row>
    <row r="5">
      <c r="A5" t="n">
        <v>2</v>
      </c>
      <c r="B5">
        <f>IFERROR(INDEX(Objekte!$B$2:$B$201,MATCH($A5,Objekte!$Z$2:$Z$201,0)),"")</f>
        <v/>
      </c>
      <c r="C5">
        <f>IFERROR(INDEX(Objekte!$X$2:$X$201,MATCH($A5,Objekte!$Z$2:$Z$201,0)),"")</f>
        <v/>
      </c>
      <c r="D5">
        <f>IFERROR(INDEX(Objekte!$W$2:$W$201,MATCH($A5,Objekte!$Z$2:$Z$201,0)),"")</f>
        <v/>
      </c>
      <c r="E5">
        <f>IFERROR(INDEX(Objekte!$L$2:$L$201,MATCH($A5,Objekte!$Z$2:$Z$201,0)),"")</f>
        <v/>
      </c>
      <c r="F5">
        <f>IFERROR(INDEX(Objekte!$N$2:$N$201,MATCH($A5,Objekte!$Z$2:$Z$201,0)),"")</f>
        <v/>
      </c>
      <c r="G5">
        <f>IFERROR(INDEX(Objekte!$P$2:$P$201,MATCH($A5,Objekte!$Z$2:$Z$201,0)),"")</f>
        <v/>
      </c>
      <c r="H5">
        <f>IFERROR(INDEX(Objekte!$E$2:$E$201,MATCH($A5,Objekte!$Z$2:$Z$201,0)),"")</f>
        <v/>
      </c>
      <c r="I5">
        <f>IFERROR(INDEX(Objekte!$G$2:$G$201,MATCH($A5,Objekte!$Z$2:$Z$201,0)),"")</f>
        <v/>
      </c>
      <c r="J5">
        <f>IFERROR(INDEX(Objekte!$I$2:$I$201,MATCH($A5,Objekte!$Z$2:$Z$201,0)),"")</f>
        <v/>
      </c>
      <c r="K5">
        <f>IFERROR(INDEX(Objekte!$Q$2:$Q$201,MATCH($A5,Objekte!$Z$2:$Z$201,0)),"")</f>
        <v/>
      </c>
      <c r="L5">
        <f>IFERROR(INDEX(Objekte!$V$2:$V$201,MATCH($A5,Objekte!$Z$2:$Z$201,0)),"")</f>
        <v/>
      </c>
      <c r="M5">
        <f>IFERROR(INDEX(Objekte!$D$2:$D$201,MATCH($A5,Objekte!$Z$2:$Z$201,0)),"")</f>
        <v/>
      </c>
      <c r="N5">
        <f>IFERROR(INDEX(Objekte!$U$2:$U$201,MATCH($A5,Objekte!$Z$2:$Z$201,0)),"")</f>
        <v/>
      </c>
      <c r="O5">
        <f>IFERROR(INDEX(Objekte!$AF$2:$AF$201,MATCH($A5,Objekte!$Z$2:$Z$201,0)),"")</f>
        <v/>
      </c>
      <c r="P5">
        <f>IFERROR(INDEX(Objekte!$C$2:$C$201,MATCH($A5,Objekte!$Z$2:$Z$201,0)),"")</f>
        <v/>
      </c>
      <c r="Q5">
        <f>IFERROR(INDEX(Objekte!$AD$2:$AD$201,MATCH($A5,Objekte!$Z$2:$Z$201,0)),"")</f>
        <v/>
      </c>
      <c r="R5">
        <f>IFERROR(INDEX(Objekte!$AB$2:$AB$201,MATCH($A5,Objekte!$Z$2:$Z$201,0)),"")</f>
        <v/>
      </c>
    </row>
    <row r="6">
      <c r="A6" t="n">
        <v>3</v>
      </c>
      <c r="B6">
        <f>IFERROR(INDEX(Objekte!$B$2:$B$201,MATCH($A6,Objekte!$Z$2:$Z$201,0)),"")</f>
        <v/>
      </c>
      <c r="C6">
        <f>IFERROR(INDEX(Objekte!$X$2:$X$201,MATCH($A6,Objekte!$Z$2:$Z$201,0)),"")</f>
        <v/>
      </c>
      <c r="D6">
        <f>IFERROR(INDEX(Objekte!$W$2:$W$201,MATCH($A6,Objekte!$Z$2:$Z$201,0)),"")</f>
        <v/>
      </c>
      <c r="E6">
        <f>IFERROR(INDEX(Objekte!$L$2:$L$201,MATCH($A6,Objekte!$Z$2:$Z$201,0)),"")</f>
        <v/>
      </c>
      <c r="F6">
        <f>IFERROR(INDEX(Objekte!$N$2:$N$201,MATCH($A6,Objekte!$Z$2:$Z$201,0)),"")</f>
        <v/>
      </c>
      <c r="G6">
        <f>IFERROR(INDEX(Objekte!$P$2:$P$201,MATCH($A6,Objekte!$Z$2:$Z$201,0)),"")</f>
        <v/>
      </c>
      <c r="H6">
        <f>IFERROR(INDEX(Objekte!$E$2:$E$201,MATCH($A6,Objekte!$Z$2:$Z$201,0)),"")</f>
        <v/>
      </c>
      <c r="I6">
        <f>IFERROR(INDEX(Objekte!$G$2:$G$201,MATCH($A6,Objekte!$Z$2:$Z$201,0)),"")</f>
        <v/>
      </c>
      <c r="J6">
        <f>IFERROR(INDEX(Objekte!$I$2:$I$201,MATCH($A6,Objekte!$Z$2:$Z$201,0)),"")</f>
        <v/>
      </c>
      <c r="K6">
        <f>IFERROR(INDEX(Objekte!$Q$2:$Q$201,MATCH($A6,Objekte!$Z$2:$Z$201,0)),"")</f>
        <v/>
      </c>
      <c r="L6">
        <f>IFERROR(INDEX(Objekte!$V$2:$V$201,MATCH($A6,Objekte!$Z$2:$Z$201,0)),"")</f>
        <v/>
      </c>
      <c r="M6">
        <f>IFERROR(INDEX(Objekte!$D$2:$D$201,MATCH($A6,Objekte!$Z$2:$Z$201,0)),"")</f>
        <v/>
      </c>
      <c r="N6">
        <f>IFERROR(INDEX(Objekte!$U$2:$U$201,MATCH($A6,Objekte!$Z$2:$Z$201,0)),"")</f>
        <v/>
      </c>
      <c r="O6">
        <f>IFERROR(INDEX(Objekte!$AF$2:$AF$201,MATCH($A6,Objekte!$Z$2:$Z$201,0)),"")</f>
        <v/>
      </c>
      <c r="P6">
        <f>IFERROR(INDEX(Objekte!$C$2:$C$201,MATCH($A6,Objekte!$Z$2:$Z$201,0)),"")</f>
        <v/>
      </c>
      <c r="Q6">
        <f>IFERROR(INDEX(Objekte!$AD$2:$AD$201,MATCH($A6,Objekte!$Z$2:$Z$201,0)),"")</f>
        <v/>
      </c>
      <c r="R6">
        <f>IFERROR(INDEX(Objekte!$AB$2:$AB$201,MATCH($A6,Objekte!$Z$2:$Z$201,0)),"")</f>
        <v/>
      </c>
    </row>
    <row r="7">
      <c r="A7" t="n">
        <v>4</v>
      </c>
      <c r="B7">
        <f>IFERROR(INDEX(Objekte!$B$2:$B$201,MATCH($A7,Objekte!$Z$2:$Z$201,0)),"")</f>
        <v/>
      </c>
      <c r="C7">
        <f>IFERROR(INDEX(Objekte!$X$2:$X$201,MATCH($A7,Objekte!$Z$2:$Z$201,0)),"")</f>
        <v/>
      </c>
      <c r="D7">
        <f>IFERROR(INDEX(Objekte!$W$2:$W$201,MATCH($A7,Objekte!$Z$2:$Z$201,0)),"")</f>
        <v/>
      </c>
      <c r="E7">
        <f>IFERROR(INDEX(Objekte!$L$2:$L$201,MATCH($A7,Objekte!$Z$2:$Z$201,0)),"")</f>
        <v/>
      </c>
      <c r="F7">
        <f>IFERROR(INDEX(Objekte!$N$2:$N$201,MATCH($A7,Objekte!$Z$2:$Z$201,0)),"")</f>
        <v/>
      </c>
      <c r="G7">
        <f>IFERROR(INDEX(Objekte!$P$2:$P$201,MATCH($A7,Objekte!$Z$2:$Z$201,0)),"")</f>
        <v/>
      </c>
      <c r="H7">
        <f>IFERROR(INDEX(Objekte!$E$2:$E$201,MATCH($A7,Objekte!$Z$2:$Z$201,0)),"")</f>
        <v/>
      </c>
      <c r="I7">
        <f>IFERROR(INDEX(Objekte!$G$2:$G$201,MATCH($A7,Objekte!$Z$2:$Z$201,0)),"")</f>
        <v/>
      </c>
      <c r="J7">
        <f>IFERROR(INDEX(Objekte!$I$2:$I$201,MATCH($A7,Objekte!$Z$2:$Z$201,0)),"")</f>
        <v/>
      </c>
      <c r="K7">
        <f>IFERROR(INDEX(Objekte!$Q$2:$Q$201,MATCH($A7,Objekte!$Z$2:$Z$201,0)),"")</f>
        <v/>
      </c>
      <c r="L7">
        <f>IFERROR(INDEX(Objekte!$V$2:$V$201,MATCH($A7,Objekte!$Z$2:$Z$201,0)),"")</f>
        <v/>
      </c>
      <c r="M7">
        <f>IFERROR(INDEX(Objekte!$D$2:$D$201,MATCH($A7,Objekte!$Z$2:$Z$201,0)),"")</f>
        <v/>
      </c>
      <c r="N7">
        <f>IFERROR(INDEX(Objekte!$U$2:$U$201,MATCH($A7,Objekte!$Z$2:$Z$201,0)),"")</f>
        <v/>
      </c>
      <c r="O7">
        <f>IFERROR(INDEX(Objekte!$AF$2:$AF$201,MATCH($A7,Objekte!$Z$2:$Z$201,0)),"")</f>
        <v/>
      </c>
      <c r="P7">
        <f>IFERROR(INDEX(Objekte!$C$2:$C$201,MATCH($A7,Objekte!$Z$2:$Z$201,0)),"")</f>
        <v/>
      </c>
      <c r="Q7">
        <f>IFERROR(INDEX(Objekte!$AD$2:$AD$201,MATCH($A7,Objekte!$Z$2:$Z$201,0)),"")</f>
        <v/>
      </c>
      <c r="R7">
        <f>IFERROR(INDEX(Objekte!$AB$2:$AB$201,MATCH($A7,Objekte!$Z$2:$Z$201,0)),"")</f>
        <v/>
      </c>
    </row>
    <row r="8">
      <c r="A8" t="n">
        <v>5</v>
      </c>
      <c r="B8">
        <f>IFERROR(INDEX(Objekte!$B$2:$B$201,MATCH($A8,Objekte!$Z$2:$Z$201,0)),"")</f>
        <v/>
      </c>
      <c r="C8">
        <f>IFERROR(INDEX(Objekte!$X$2:$X$201,MATCH($A8,Objekte!$Z$2:$Z$201,0)),"")</f>
        <v/>
      </c>
      <c r="D8">
        <f>IFERROR(INDEX(Objekte!$W$2:$W$201,MATCH($A8,Objekte!$Z$2:$Z$201,0)),"")</f>
        <v/>
      </c>
      <c r="E8">
        <f>IFERROR(INDEX(Objekte!$L$2:$L$201,MATCH($A8,Objekte!$Z$2:$Z$201,0)),"")</f>
        <v/>
      </c>
      <c r="F8">
        <f>IFERROR(INDEX(Objekte!$N$2:$N$201,MATCH($A8,Objekte!$Z$2:$Z$201,0)),"")</f>
        <v/>
      </c>
      <c r="G8">
        <f>IFERROR(INDEX(Objekte!$P$2:$P$201,MATCH($A8,Objekte!$Z$2:$Z$201,0)),"")</f>
        <v/>
      </c>
      <c r="H8">
        <f>IFERROR(INDEX(Objekte!$E$2:$E$201,MATCH($A8,Objekte!$Z$2:$Z$201,0)),"")</f>
        <v/>
      </c>
      <c r="I8">
        <f>IFERROR(INDEX(Objekte!$G$2:$G$201,MATCH($A8,Objekte!$Z$2:$Z$201,0)),"")</f>
        <v/>
      </c>
      <c r="J8">
        <f>IFERROR(INDEX(Objekte!$I$2:$I$201,MATCH($A8,Objekte!$Z$2:$Z$201,0)),"")</f>
        <v/>
      </c>
      <c r="K8">
        <f>IFERROR(INDEX(Objekte!$Q$2:$Q$201,MATCH($A8,Objekte!$Z$2:$Z$201,0)),"")</f>
        <v/>
      </c>
      <c r="L8">
        <f>IFERROR(INDEX(Objekte!$V$2:$V$201,MATCH($A8,Objekte!$Z$2:$Z$201,0)),"")</f>
        <v/>
      </c>
      <c r="M8">
        <f>IFERROR(INDEX(Objekte!$D$2:$D$201,MATCH($A8,Objekte!$Z$2:$Z$201,0)),"")</f>
        <v/>
      </c>
      <c r="N8">
        <f>IFERROR(INDEX(Objekte!$U$2:$U$201,MATCH($A8,Objekte!$Z$2:$Z$201,0)),"")</f>
        <v/>
      </c>
      <c r="O8">
        <f>IFERROR(INDEX(Objekte!$AF$2:$AF$201,MATCH($A8,Objekte!$Z$2:$Z$201,0)),"")</f>
        <v/>
      </c>
      <c r="P8">
        <f>IFERROR(INDEX(Objekte!$C$2:$C$201,MATCH($A8,Objekte!$Z$2:$Z$201,0)),"")</f>
        <v/>
      </c>
      <c r="Q8">
        <f>IFERROR(INDEX(Objekte!$AD$2:$AD$201,MATCH($A8,Objekte!$Z$2:$Z$201,0)),"")</f>
        <v/>
      </c>
      <c r="R8">
        <f>IFERROR(INDEX(Objekte!$AB$2:$AB$201,MATCH($A8,Objekte!$Z$2:$Z$201,0)),"")</f>
        <v/>
      </c>
    </row>
    <row r="9">
      <c r="A9" t="n">
        <v>6</v>
      </c>
      <c r="B9">
        <f>IFERROR(INDEX(Objekte!$B$2:$B$201,MATCH($A9,Objekte!$Z$2:$Z$201,0)),"")</f>
        <v/>
      </c>
      <c r="C9">
        <f>IFERROR(INDEX(Objekte!$X$2:$X$201,MATCH($A9,Objekte!$Z$2:$Z$201,0)),"")</f>
        <v/>
      </c>
      <c r="D9">
        <f>IFERROR(INDEX(Objekte!$W$2:$W$201,MATCH($A9,Objekte!$Z$2:$Z$201,0)),"")</f>
        <v/>
      </c>
      <c r="E9">
        <f>IFERROR(INDEX(Objekte!$L$2:$L$201,MATCH($A9,Objekte!$Z$2:$Z$201,0)),"")</f>
        <v/>
      </c>
      <c r="F9">
        <f>IFERROR(INDEX(Objekte!$N$2:$N$201,MATCH($A9,Objekte!$Z$2:$Z$201,0)),"")</f>
        <v/>
      </c>
      <c r="G9">
        <f>IFERROR(INDEX(Objekte!$P$2:$P$201,MATCH($A9,Objekte!$Z$2:$Z$201,0)),"")</f>
        <v/>
      </c>
      <c r="H9">
        <f>IFERROR(INDEX(Objekte!$E$2:$E$201,MATCH($A9,Objekte!$Z$2:$Z$201,0)),"")</f>
        <v/>
      </c>
      <c r="I9">
        <f>IFERROR(INDEX(Objekte!$G$2:$G$201,MATCH($A9,Objekte!$Z$2:$Z$201,0)),"")</f>
        <v/>
      </c>
      <c r="J9">
        <f>IFERROR(INDEX(Objekte!$I$2:$I$201,MATCH($A9,Objekte!$Z$2:$Z$201,0)),"")</f>
        <v/>
      </c>
      <c r="K9">
        <f>IFERROR(INDEX(Objekte!$Q$2:$Q$201,MATCH($A9,Objekte!$Z$2:$Z$201,0)),"")</f>
        <v/>
      </c>
      <c r="L9">
        <f>IFERROR(INDEX(Objekte!$V$2:$V$201,MATCH($A9,Objekte!$Z$2:$Z$201,0)),"")</f>
        <v/>
      </c>
      <c r="M9">
        <f>IFERROR(INDEX(Objekte!$D$2:$D$201,MATCH($A9,Objekte!$Z$2:$Z$201,0)),"")</f>
        <v/>
      </c>
      <c r="N9">
        <f>IFERROR(INDEX(Objekte!$U$2:$U$201,MATCH($A9,Objekte!$Z$2:$Z$201,0)),"")</f>
        <v/>
      </c>
      <c r="O9">
        <f>IFERROR(INDEX(Objekte!$AF$2:$AF$201,MATCH($A9,Objekte!$Z$2:$Z$201,0)),"")</f>
        <v/>
      </c>
      <c r="P9">
        <f>IFERROR(INDEX(Objekte!$C$2:$C$201,MATCH($A9,Objekte!$Z$2:$Z$201,0)),"")</f>
        <v/>
      </c>
      <c r="Q9">
        <f>IFERROR(INDEX(Objekte!$AD$2:$AD$201,MATCH($A9,Objekte!$Z$2:$Z$201,0)),"")</f>
        <v/>
      </c>
      <c r="R9">
        <f>IFERROR(INDEX(Objekte!$AB$2:$AB$201,MATCH($A9,Objekte!$Z$2:$Z$201,0)),"")</f>
        <v/>
      </c>
    </row>
    <row r="10">
      <c r="A10" t="n">
        <v>7</v>
      </c>
      <c r="B10">
        <f>IFERROR(INDEX(Objekte!$B$2:$B$201,MATCH($A10,Objekte!$Z$2:$Z$201,0)),"")</f>
        <v/>
      </c>
      <c r="C10">
        <f>IFERROR(INDEX(Objekte!$X$2:$X$201,MATCH($A10,Objekte!$Z$2:$Z$201,0)),"")</f>
        <v/>
      </c>
      <c r="D10">
        <f>IFERROR(INDEX(Objekte!$W$2:$W$201,MATCH($A10,Objekte!$Z$2:$Z$201,0)),"")</f>
        <v/>
      </c>
      <c r="E10">
        <f>IFERROR(INDEX(Objekte!$L$2:$L$201,MATCH($A10,Objekte!$Z$2:$Z$201,0)),"")</f>
        <v/>
      </c>
      <c r="F10">
        <f>IFERROR(INDEX(Objekte!$N$2:$N$201,MATCH($A10,Objekte!$Z$2:$Z$201,0)),"")</f>
        <v/>
      </c>
      <c r="G10">
        <f>IFERROR(INDEX(Objekte!$P$2:$P$201,MATCH($A10,Objekte!$Z$2:$Z$201,0)),"")</f>
        <v/>
      </c>
      <c r="H10">
        <f>IFERROR(INDEX(Objekte!$E$2:$E$201,MATCH($A10,Objekte!$Z$2:$Z$201,0)),"")</f>
        <v/>
      </c>
      <c r="I10">
        <f>IFERROR(INDEX(Objekte!$G$2:$G$201,MATCH($A10,Objekte!$Z$2:$Z$201,0)),"")</f>
        <v/>
      </c>
      <c r="J10">
        <f>IFERROR(INDEX(Objekte!$I$2:$I$201,MATCH($A10,Objekte!$Z$2:$Z$201,0)),"")</f>
        <v/>
      </c>
      <c r="K10">
        <f>IFERROR(INDEX(Objekte!$Q$2:$Q$201,MATCH($A10,Objekte!$Z$2:$Z$201,0)),"")</f>
        <v/>
      </c>
      <c r="L10">
        <f>IFERROR(INDEX(Objekte!$V$2:$V$201,MATCH($A10,Objekte!$Z$2:$Z$201,0)),"")</f>
        <v/>
      </c>
      <c r="M10">
        <f>IFERROR(INDEX(Objekte!$D$2:$D$201,MATCH($A10,Objekte!$Z$2:$Z$201,0)),"")</f>
        <v/>
      </c>
      <c r="N10">
        <f>IFERROR(INDEX(Objekte!$U$2:$U$201,MATCH($A10,Objekte!$Z$2:$Z$201,0)),"")</f>
        <v/>
      </c>
      <c r="O10">
        <f>IFERROR(INDEX(Objekte!$AF$2:$AF$201,MATCH($A10,Objekte!$Z$2:$Z$201,0)),"")</f>
        <v/>
      </c>
      <c r="P10">
        <f>IFERROR(INDEX(Objekte!$C$2:$C$201,MATCH($A10,Objekte!$Z$2:$Z$201,0)),"")</f>
        <v/>
      </c>
      <c r="Q10">
        <f>IFERROR(INDEX(Objekte!$AD$2:$AD$201,MATCH($A10,Objekte!$Z$2:$Z$201,0)),"")</f>
        <v/>
      </c>
      <c r="R10">
        <f>IFERROR(INDEX(Objekte!$AB$2:$AB$201,MATCH($A10,Objekte!$Z$2:$Z$201,0)),"")</f>
        <v/>
      </c>
    </row>
    <row r="11">
      <c r="A11" t="n">
        <v>8</v>
      </c>
      <c r="B11">
        <f>IFERROR(INDEX(Objekte!$B$2:$B$201,MATCH($A11,Objekte!$Z$2:$Z$201,0)),"")</f>
        <v/>
      </c>
      <c r="C11">
        <f>IFERROR(INDEX(Objekte!$X$2:$X$201,MATCH($A11,Objekte!$Z$2:$Z$201,0)),"")</f>
        <v/>
      </c>
      <c r="D11">
        <f>IFERROR(INDEX(Objekte!$W$2:$W$201,MATCH($A11,Objekte!$Z$2:$Z$201,0)),"")</f>
        <v/>
      </c>
      <c r="E11">
        <f>IFERROR(INDEX(Objekte!$L$2:$L$201,MATCH($A11,Objekte!$Z$2:$Z$201,0)),"")</f>
        <v/>
      </c>
      <c r="F11">
        <f>IFERROR(INDEX(Objekte!$N$2:$N$201,MATCH($A11,Objekte!$Z$2:$Z$201,0)),"")</f>
        <v/>
      </c>
      <c r="G11">
        <f>IFERROR(INDEX(Objekte!$P$2:$P$201,MATCH($A11,Objekte!$Z$2:$Z$201,0)),"")</f>
        <v/>
      </c>
      <c r="H11">
        <f>IFERROR(INDEX(Objekte!$E$2:$E$201,MATCH($A11,Objekte!$Z$2:$Z$201,0)),"")</f>
        <v/>
      </c>
      <c r="I11">
        <f>IFERROR(INDEX(Objekte!$G$2:$G$201,MATCH($A11,Objekte!$Z$2:$Z$201,0)),"")</f>
        <v/>
      </c>
      <c r="J11">
        <f>IFERROR(INDEX(Objekte!$I$2:$I$201,MATCH($A11,Objekte!$Z$2:$Z$201,0)),"")</f>
        <v/>
      </c>
      <c r="K11">
        <f>IFERROR(INDEX(Objekte!$Q$2:$Q$201,MATCH($A11,Objekte!$Z$2:$Z$201,0)),"")</f>
        <v/>
      </c>
      <c r="L11">
        <f>IFERROR(INDEX(Objekte!$V$2:$V$201,MATCH($A11,Objekte!$Z$2:$Z$201,0)),"")</f>
        <v/>
      </c>
      <c r="M11">
        <f>IFERROR(INDEX(Objekte!$D$2:$D$201,MATCH($A11,Objekte!$Z$2:$Z$201,0)),"")</f>
        <v/>
      </c>
      <c r="N11">
        <f>IFERROR(INDEX(Objekte!$U$2:$U$201,MATCH($A11,Objekte!$Z$2:$Z$201,0)),"")</f>
        <v/>
      </c>
      <c r="O11">
        <f>IFERROR(INDEX(Objekte!$AF$2:$AF$201,MATCH($A11,Objekte!$Z$2:$Z$201,0)),"")</f>
        <v/>
      </c>
      <c r="P11">
        <f>IFERROR(INDEX(Objekte!$C$2:$C$201,MATCH($A11,Objekte!$Z$2:$Z$201,0)),"")</f>
        <v/>
      </c>
      <c r="Q11">
        <f>IFERROR(INDEX(Objekte!$AD$2:$AD$201,MATCH($A11,Objekte!$Z$2:$Z$201,0)),"")</f>
        <v/>
      </c>
      <c r="R11">
        <f>IFERROR(INDEX(Objekte!$AB$2:$AB$201,MATCH($A11,Objekte!$Z$2:$Z$201,0)),"")</f>
        <v/>
      </c>
    </row>
    <row r="12">
      <c r="A12" t="n">
        <v>9</v>
      </c>
      <c r="B12">
        <f>IFERROR(INDEX(Objekte!$B$2:$B$201,MATCH($A12,Objekte!$Z$2:$Z$201,0)),"")</f>
        <v/>
      </c>
      <c r="C12">
        <f>IFERROR(INDEX(Objekte!$X$2:$X$201,MATCH($A12,Objekte!$Z$2:$Z$201,0)),"")</f>
        <v/>
      </c>
      <c r="D12">
        <f>IFERROR(INDEX(Objekte!$W$2:$W$201,MATCH($A12,Objekte!$Z$2:$Z$201,0)),"")</f>
        <v/>
      </c>
      <c r="E12">
        <f>IFERROR(INDEX(Objekte!$L$2:$L$201,MATCH($A12,Objekte!$Z$2:$Z$201,0)),"")</f>
        <v/>
      </c>
      <c r="F12">
        <f>IFERROR(INDEX(Objekte!$N$2:$N$201,MATCH($A12,Objekte!$Z$2:$Z$201,0)),"")</f>
        <v/>
      </c>
      <c r="G12">
        <f>IFERROR(INDEX(Objekte!$P$2:$P$201,MATCH($A12,Objekte!$Z$2:$Z$201,0)),"")</f>
        <v/>
      </c>
      <c r="H12">
        <f>IFERROR(INDEX(Objekte!$E$2:$E$201,MATCH($A12,Objekte!$Z$2:$Z$201,0)),"")</f>
        <v/>
      </c>
      <c r="I12">
        <f>IFERROR(INDEX(Objekte!$G$2:$G$201,MATCH($A12,Objekte!$Z$2:$Z$201,0)),"")</f>
        <v/>
      </c>
      <c r="J12">
        <f>IFERROR(INDEX(Objekte!$I$2:$I$201,MATCH($A12,Objekte!$Z$2:$Z$201,0)),"")</f>
        <v/>
      </c>
      <c r="K12">
        <f>IFERROR(INDEX(Objekte!$Q$2:$Q$201,MATCH($A12,Objekte!$Z$2:$Z$201,0)),"")</f>
        <v/>
      </c>
      <c r="L12">
        <f>IFERROR(INDEX(Objekte!$V$2:$V$201,MATCH($A12,Objekte!$Z$2:$Z$201,0)),"")</f>
        <v/>
      </c>
      <c r="M12">
        <f>IFERROR(INDEX(Objekte!$D$2:$D$201,MATCH($A12,Objekte!$Z$2:$Z$201,0)),"")</f>
        <v/>
      </c>
      <c r="N12">
        <f>IFERROR(INDEX(Objekte!$U$2:$U$201,MATCH($A12,Objekte!$Z$2:$Z$201,0)),"")</f>
        <v/>
      </c>
      <c r="O12">
        <f>IFERROR(INDEX(Objekte!$AF$2:$AF$201,MATCH($A12,Objekte!$Z$2:$Z$201,0)),"")</f>
        <v/>
      </c>
      <c r="P12">
        <f>IFERROR(INDEX(Objekte!$C$2:$C$201,MATCH($A12,Objekte!$Z$2:$Z$201,0)),"")</f>
        <v/>
      </c>
      <c r="Q12">
        <f>IFERROR(INDEX(Objekte!$AD$2:$AD$201,MATCH($A12,Objekte!$Z$2:$Z$201,0)),"")</f>
        <v/>
      </c>
      <c r="R12">
        <f>IFERROR(INDEX(Objekte!$AB$2:$AB$201,MATCH($A12,Objekte!$Z$2:$Z$201,0)),"")</f>
        <v/>
      </c>
    </row>
    <row r="13">
      <c r="A13" t="n">
        <v>10</v>
      </c>
      <c r="B13">
        <f>IFERROR(INDEX(Objekte!$B$2:$B$201,MATCH($A13,Objekte!$Z$2:$Z$201,0)),"")</f>
        <v/>
      </c>
      <c r="C13">
        <f>IFERROR(INDEX(Objekte!$X$2:$X$201,MATCH($A13,Objekte!$Z$2:$Z$201,0)),"")</f>
        <v/>
      </c>
      <c r="D13">
        <f>IFERROR(INDEX(Objekte!$W$2:$W$201,MATCH($A13,Objekte!$Z$2:$Z$201,0)),"")</f>
        <v/>
      </c>
      <c r="E13">
        <f>IFERROR(INDEX(Objekte!$L$2:$L$201,MATCH($A13,Objekte!$Z$2:$Z$201,0)),"")</f>
        <v/>
      </c>
      <c r="F13">
        <f>IFERROR(INDEX(Objekte!$N$2:$N$201,MATCH($A13,Objekte!$Z$2:$Z$201,0)),"")</f>
        <v/>
      </c>
      <c r="G13">
        <f>IFERROR(INDEX(Objekte!$P$2:$P$201,MATCH($A13,Objekte!$Z$2:$Z$201,0)),"")</f>
        <v/>
      </c>
      <c r="H13">
        <f>IFERROR(INDEX(Objekte!$E$2:$E$201,MATCH($A13,Objekte!$Z$2:$Z$201,0)),"")</f>
        <v/>
      </c>
      <c r="I13">
        <f>IFERROR(INDEX(Objekte!$G$2:$G$201,MATCH($A13,Objekte!$Z$2:$Z$201,0)),"")</f>
        <v/>
      </c>
      <c r="J13">
        <f>IFERROR(INDEX(Objekte!$I$2:$I$201,MATCH($A13,Objekte!$Z$2:$Z$201,0)),"")</f>
        <v/>
      </c>
      <c r="K13">
        <f>IFERROR(INDEX(Objekte!$Q$2:$Q$201,MATCH($A13,Objekte!$Z$2:$Z$201,0)),"")</f>
        <v/>
      </c>
      <c r="L13">
        <f>IFERROR(INDEX(Objekte!$V$2:$V$201,MATCH($A13,Objekte!$Z$2:$Z$201,0)),"")</f>
        <v/>
      </c>
      <c r="M13">
        <f>IFERROR(INDEX(Objekte!$D$2:$D$201,MATCH($A13,Objekte!$Z$2:$Z$201,0)),"")</f>
        <v/>
      </c>
      <c r="N13">
        <f>IFERROR(INDEX(Objekte!$U$2:$U$201,MATCH($A13,Objekte!$Z$2:$Z$201,0)),"")</f>
        <v/>
      </c>
      <c r="O13">
        <f>IFERROR(INDEX(Objekte!$AF$2:$AF$201,MATCH($A13,Objekte!$Z$2:$Z$201,0)),"")</f>
        <v/>
      </c>
      <c r="P13">
        <f>IFERROR(INDEX(Objekte!$C$2:$C$201,MATCH($A13,Objekte!$Z$2:$Z$201,0)),"")</f>
        <v/>
      </c>
      <c r="Q13">
        <f>IFERROR(INDEX(Objekte!$AD$2:$AD$201,MATCH($A13,Objekte!$Z$2:$Z$201,0)),"")</f>
        <v/>
      </c>
      <c r="R13">
        <f>IFERROR(INDEX(Objekte!$AB$2:$AB$201,MATCH($A13,Objekte!$Z$2:$Z$201,0)),"")</f>
        <v/>
      </c>
    </row>
    <row r="14">
      <c r="A14" t="n">
        <v>11</v>
      </c>
      <c r="B14">
        <f>IFERROR(INDEX(Objekte!$B$2:$B$201,MATCH($A14,Objekte!$Z$2:$Z$201,0)),"")</f>
        <v/>
      </c>
      <c r="C14">
        <f>IFERROR(INDEX(Objekte!$X$2:$X$201,MATCH($A14,Objekte!$Z$2:$Z$201,0)),"")</f>
        <v/>
      </c>
      <c r="D14">
        <f>IFERROR(INDEX(Objekte!$W$2:$W$201,MATCH($A14,Objekte!$Z$2:$Z$201,0)),"")</f>
        <v/>
      </c>
      <c r="E14">
        <f>IFERROR(INDEX(Objekte!$L$2:$L$201,MATCH($A14,Objekte!$Z$2:$Z$201,0)),"")</f>
        <v/>
      </c>
      <c r="F14">
        <f>IFERROR(INDEX(Objekte!$N$2:$N$201,MATCH($A14,Objekte!$Z$2:$Z$201,0)),"")</f>
        <v/>
      </c>
      <c r="G14">
        <f>IFERROR(INDEX(Objekte!$P$2:$P$201,MATCH($A14,Objekte!$Z$2:$Z$201,0)),"")</f>
        <v/>
      </c>
      <c r="H14">
        <f>IFERROR(INDEX(Objekte!$E$2:$E$201,MATCH($A14,Objekte!$Z$2:$Z$201,0)),"")</f>
        <v/>
      </c>
      <c r="I14">
        <f>IFERROR(INDEX(Objekte!$G$2:$G$201,MATCH($A14,Objekte!$Z$2:$Z$201,0)),"")</f>
        <v/>
      </c>
      <c r="J14">
        <f>IFERROR(INDEX(Objekte!$I$2:$I$201,MATCH($A14,Objekte!$Z$2:$Z$201,0)),"")</f>
        <v/>
      </c>
      <c r="K14">
        <f>IFERROR(INDEX(Objekte!$Q$2:$Q$201,MATCH($A14,Objekte!$Z$2:$Z$201,0)),"")</f>
        <v/>
      </c>
      <c r="L14">
        <f>IFERROR(INDEX(Objekte!$V$2:$V$201,MATCH($A14,Objekte!$Z$2:$Z$201,0)),"")</f>
        <v/>
      </c>
      <c r="M14">
        <f>IFERROR(INDEX(Objekte!$D$2:$D$201,MATCH($A14,Objekte!$Z$2:$Z$201,0)),"")</f>
        <v/>
      </c>
      <c r="N14">
        <f>IFERROR(INDEX(Objekte!$U$2:$U$201,MATCH($A14,Objekte!$Z$2:$Z$201,0)),"")</f>
        <v/>
      </c>
      <c r="O14">
        <f>IFERROR(INDEX(Objekte!$AF$2:$AF$201,MATCH($A14,Objekte!$Z$2:$Z$201,0)),"")</f>
        <v/>
      </c>
      <c r="P14">
        <f>IFERROR(INDEX(Objekte!$C$2:$C$201,MATCH($A14,Objekte!$Z$2:$Z$201,0)),"")</f>
        <v/>
      </c>
      <c r="Q14">
        <f>IFERROR(INDEX(Objekte!$AD$2:$AD$201,MATCH($A14,Objekte!$Z$2:$Z$201,0)),"")</f>
        <v/>
      </c>
      <c r="R14">
        <f>IFERROR(INDEX(Objekte!$AB$2:$AB$201,MATCH($A14,Objekte!$Z$2:$Z$201,0)),"")</f>
        <v/>
      </c>
    </row>
    <row r="15">
      <c r="A15" t="n">
        <v>12</v>
      </c>
      <c r="B15">
        <f>IFERROR(INDEX(Objekte!$B$2:$B$201,MATCH($A15,Objekte!$Z$2:$Z$201,0)),"")</f>
        <v/>
      </c>
      <c r="C15">
        <f>IFERROR(INDEX(Objekte!$X$2:$X$201,MATCH($A15,Objekte!$Z$2:$Z$201,0)),"")</f>
        <v/>
      </c>
      <c r="D15">
        <f>IFERROR(INDEX(Objekte!$W$2:$W$201,MATCH($A15,Objekte!$Z$2:$Z$201,0)),"")</f>
        <v/>
      </c>
      <c r="E15">
        <f>IFERROR(INDEX(Objekte!$L$2:$L$201,MATCH($A15,Objekte!$Z$2:$Z$201,0)),"")</f>
        <v/>
      </c>
      <c r="F15">
        <f>IFERROR(INDEX(Objekte!$N$2:$N$201,MATCH($A15,Objekte!$Z$2:$Z$201,0)),"")</f>
        <v/>
      </c>
      <c r="G15">
        <f>IFERROR(INDEX(Objekte!$P$2:$P$201,MATCH($A15,Objekte!$Z$2:$Z$201,0)),"")</f>
        <v/>
      </c>
      <c r="H15">
        <f>IFERROR(INDEX(Objekte!$E$2:$E$201,MATCH($A15,Objekte!$Z$2:$Z$201,0)),"")</f>
        <v/>
      </c>
      <c r="I15">
        <f>IFERROR(INDEX(Objekte!$G$2:$G$201,MATCH($A15,Objekte!$Z$2:$Z$201,0)),"")</f>
        <v/>
      </c>
      <c r="J15">
        <f>IFERROR(INDEX(Objekte!$I$2:$I$201,MATCH($A15,Objekte!$Z$2:$Z$201,0)),"")</f>
        <v/>
      </c>
      <c r="K15">
        <f>IFERROR(INDEX(Objekte!$Q$2:$Q$201,MATCH($A15,Objekte!$Z$2:$Z$201,0)),"")</f>
        <v/>
      </c>
      <c r="L15">
        <f>IFERROR(INDEX(Objekte!$V$2:$V$201,MATCH($A15,Objekte!$Z$2:$Z$201,0)),"")</f>
        <v/>
      </c>
      <c r="M15">
        <f>IFERROR(INDEX(Objekte!$D$2:$D$201,MATCH($A15,Objekte!$Z$2:$Z$201,0)),"")</f>
        <v/>
      </c>
      <c r="N15">
        <f>IFERROR(INDEX(Objekte!$U$2:$U$201,MATCH($A15,Objekte!$Z$2:$Z$201,0)),"")</f>
        <v/>
      </c>
      <c r="O15">
        <f>IFERROR(INDEX(Objekte!$AF$2:$AF$201,MATCH($A15,Objekte!$Z$2:$Z$201,0)),"")</f>
        <v/>
      </c>
      <c r="P15">
        <f>IFERROR(INDEX(Objekte!$C$2:$C$201,MATCH($A15,Objekte!$Z$2:$Z$201,0)),"")</f>
        <v/>
      </c>
      <c r="Q15">
        <f>IFERROR(INDEX(Objekte!$AD$2:$AD$201,MATCH($A15,Objekte!$Z$2:$Z$201,0)),"")</f>
        <v/>
      </c>
      <c r="R15">
        <f>IFERROR(INDEX(Objekte!$AB$2:$AB$201,MATCH($A15,Objekte!$Z$2:$Z$201,0)),"")</f>
        <v/>
      </c>
    </row>
    <row r="16">
      <c r="A16" t="n">
        <v>13</v>
      </c>
      <c r="B16">
        <f>IFERROR(INDEX(Objekte!$B$2:$B$201,MATCH($A16,Objekte!$Z$2:$Z$201,0)),"")</f>
        <v/>
      </c>
      <c r="C16">
        <f>IFERROR(INDEX(Objekte!$X$2:$X$201,MATCH($A16,Objekte!$Z$2:$Z$201,0)),"")</f>
        <v/>
      </c>
      <c r="D16">
        <f>IFERROR(INDEX(Objekte!$W$2:$W$201,MATCH($A16,Objekte!$Z$2:$Z$201,0)),"")</f>
        <v/>
      </c>
      <c r="E16">
        <f>IFERROR(INDEX(Objekte!$L$2:$L$201,MATCH($A16,Objekte!$Z$2:$Z$201,0)),"")</f>
        <v/>
      </c>
      <c r="F16">
        <f>IFERROR(INDEX(Objekte!$N$2:$N$201,MATCH($A16,Objekte!$Z$2:$Z$201,0)),"")</f>
        <v/>
      </c>
      <c r="G16">
        <f>IFERROR(INDEX(Objekte!$P$2:$P$201,MATCH($A16,Objekte!$Z$2:$Z$201,0)),"")</f>
        <v/>
      </c>
      <c r="H16">
        <f>IFERROR(INDEX(Objekte!$E$2:$E$201,MATCH($A16,Objekte!$Z$2:$Z$201,0)),"")</f>
        <v/>
      </c>
      <c r="I16">
        <f>IFERROR(INDEX(Objekte!$G$2:$G$201,MATCH($A16,Objekte!$Z$2:$Z$201,0)),"")</f>
        <v/>
      </c>
      <c r="J16">
        <f>IFERROR(INDEX(Objekte!$I$2:$I$201,MATCH($A16,Objekte!$Z$2:$Z$201,0)),"")</f>
        <v/>
      </c>
      <c r="K16">
        <f>IFERROR(INDEX(Objekte!$Q$2:$Q$201,MATCH($A16,Objekte!$Z$2:$Z$201,0)),"")</f>
        <v/>
      </c>
      <c r="L16">
        <f>IFERROR(INDEX(Objekte!$V$2:$V$201,MATCH($A16,Objekte!$Z$2:$Z$201,0)),"")</f>
        <v/>
      </c>
      <c r="M16">
        <f>IFERROR(INDEX(Objekte!$D$2:$D$201,MATCH($A16,Objekte!$Z$2:$Z$201,0)),"")</f>
        <v/>
      </c>
      <c r="N16">
        <f>IFERROR(INDEX(Objekte!$U$2:$U$201,MATCH($A16,Objekte!$Z$2:$Z$201,0)),"")</f>
        <v/>
      </c>
      <c r="O16">
        <f>IFERROR(INDEX(Objekte!$AF$2:$AF$201,MATCH($A16,Objekte!$Z$2:$Z$201,0)),"")</f>
        <v/>
      </c>
      <c r="P16">
        <f>IFERROR(INDEX(Objekte!$C$2:$C$201,MATCH($A16,Objekte!$Z$2:$Z$201,0)),"")</f>
        <v/>
      </c>
      <c r="Q16">
        <f>IFERROR(INDEX(Objekte!$AD$2:$AD$201,MATCH($A16,Objekte!$Z$2:$Z$201,0)),"")</f>
        <v/>
      </c>
      <c r="R16">
        <f>IFERROR(INDEX(Objekte!$AB$2:$AB$201,MATCH($A16,Objekte!$Z$2:$Z$201,0)),"")</f>
        <v/>
      </c>
    </row>
    <row r="17">
      <c r="A17" t="n">
        <v>14</v>
      </c>
      <c r="B17">
        <f>IFERROR(INDEX(Objekte!$B$2:$B$201,MATCH($A17,Objekte!$Z$2:$Z$201,0)),"")</f>
        <v/>
      </c>
      <c r="C17">
        <f>IFERROR(INDEX(Objekte!$X$2:$X$201,MATCH($A17,Objekte!$Z$2:$Z$201,0)),"")</f>
        <v/>
      </c>
      <c r="D17">
        <f>IFERROR(INDEX(Objekte!$W$2:$W$201,MATCH($A17,Objekte!$Z$2:$Z$201,0)),"")</f>
        <v/>
      </c>
      <c r="E17">
        <f>IFERROR(INDEX(Objekte!$L$2:$L$201,MATCH($A17,Objekte!$Z$2:$Z$201,0)),"")</f>
        <v/>
      </c>
      <c r="F17">
        <f>IFERROR(INDEX(Objekte!$N$2:$N$201,MATCH($A17,Objekte!$Z$2:$Z$201,0)),"")</f>
        <v/>
      </c>
      <c r="G17">
        <f>IFERROR(INDEX(Objekte!$P$2:$P$201,MATCH($A17,Objekte!$Z$2:$Z$201,0)),"")</f>
        <v/>
      </c>
      <c r="H17">
        <f>IFERROR(INDEX(Objekte!$E$2:$E$201,MATCH($A17,Objekte!$Z$2:$Z$201,0)),"")</f>
        <v/>
      </c>
      <c r="I17">
        <f>IFERROR(INDEX(Objekte!$G$2:$G$201,MATCH($A17,Objekte!$Z$2:$Z$201,0)),"")</f>
        <v/>
      </c>
      <c r="J17">
        <f>IFERROR(INDEX(Objekte!$I$2:$I$201,MATCH($A17,Objekte!$Z$2:$Z$201,0)),"")</f>
        <v/>
      </c>
      <c r="K17">
        <f>IFERROR(INDEX(Objekte!$Q$2:$Q$201,MATCH($A17,Objekte!$Z$2:$Z$201,0)),"")</f>
        <v/>
      </c>
      <c r="L17">
        <f>IFERROR(INDEX(Objekte!$V$2:$V$201,MATCH($A17,Objekte!$Z$2:$Z$201,0)),"")</f>
        <v/>
      </c>
      <c r="M17">
        <f>IFERROR(INDEX(Objekte!$D$2:$D$201,MATCH($A17,Objekte!$Z$2:$Z$201,0)),"")</f>
        <v/>
      </c>
      <c r="N17">
        <f>IFERROR(INDEX(Objekte!$U$2:$U$201,MATCH($A17,Objekte!$Z$2:$Z$201,0)),"")</f>
        <v/>
      </c>
      <c r="O17">
        <f>IFERROR(INDEX(Objekte!$AF$2:$AF$201,MATCH($A17,Objekte!$Z$2:$Z$201,0)),"")</f>
        <v/>
      </c>
      <c r="P17">
        <f>IFERROR(INDEX(Objekte!$C$2:$C$201,MATCH($A17,Objekte!$Z$2:$Z$201,0)),"")</f>
        <v/>
      </c>
      <c r="Q17">
        <f>IFERROR(INDEX(Objekte!$AD$2:$AD$201,MATCH($A17,Objekte!$Z$2:$Z$201,0)),"")</f>
        <v/>
      </c>
      <c r="R17">
        <f>IFERROR(INDEX(Objekte!$AB$2:$AB$201,MATCH($A17,Objekte!$Z$2:$Z$201,0)),"")</f>
        <v/>
      </c>
    </row>
    <row r="18">
      <c r="A18" t="n">
        <v>15</v>
      </c>
      <c r="B18">
        <f>IFERROR(INDEX(Objekte!$B$2:$B$201,MATCH($A18,Objekte!$Z$2:$Z$201,0)),"")</f>
        <v/>
      </c>
      <c r="C18">
        <f>IFERROR(INDEX(Objekte!$X$2:$X$201,MATCH($A18,Objekte!$Z$2:$Z$201,0)),"")</f>
        <v/>
      </c>
      <c r="D18">
        <f>IFERROR(INDEX(Objekte!$W$2:$W$201,MATCH($A18,Objekte!$Z$2:$Z$201,0)),"")</f>
        <v/>
      </c>
      <c r="E18">
        <f>IFERROR(INDEX(Objekte!$L$2:$L$201,MATCH($A18,Objekte!$Z$2:$Z$201,0)),"")</f>
        <v/>
      </c>
      <c r="F18">
        <f>IFERROR(INDEX(Objekte!$N$2:$N$201,MATCH($A18,Objekte!$Z$2:$Z$201,0)),"")</f>
        <v/>
      </c>
      <c r="G18">
        <f>IFERROR(INDEX(Objekte!$P$2:$P$201,MATCH($A18,Objekte!$Z$2:$Z$201,0)),"")</f>
        <v/>
      </c>
      <c r="H18">
        <f>IFERROR(INDEX(Objekte!$E$2:$E$201,MATCH($A18,Objekte!$Z$2:$Z$201,0)),"")</f>
        <v/>
      </c>
      <c r="I18">
        <f>IFERROR(INDEX(Objekte!$G$2:$G$201,MATCH($A18,Objekte!$Z$2:$Z$201,0)),"")</f>
        <v/>
      </c>
      <c r="J18">
        <f>IFERROR(INDEX(Objekte!$I$2:$I$201,MATCH($A18,Objekte!$Z$2:$Z$201,0)),"")</f>
        <v/>
      </c>
      <c r="K18">
        <f>IFERROR(INDEX(Objekte!$Q$2:$Q$201,MATCH($A18,Objekte!$Z$2:$Z$201,0)),"")</f>
        <v/>
      </c>
      <c r="L18">
        <f>IFERROR(INDEX(Objekte!$V$2:$V$201,MATCH($A18,Objekte!$Z$2:$Z$201,0)),"")</f>
        <v/>
      </c>
      <c r="M18">
        <f>IFERROR(INDEX(Objekte!$D$2:$D$201,MATCH($A18,Objekte!$Z$2:$Z$201,0)),"")</f>
        <v/>
      </c>
      <c r="N18">
        <f>IFERROR(INDEX(Objekte!$U$2:$U$201,MATCH($A18,Objekte!$Z$2:$Z$201,0)),"")</f>
        <v/>
      </c>
      <c r="O18">
        <f>IFERROR(INDEX(Objekte!$AF$2:$AF$201,MATCH($A18,Objekte!$Z$2:$Z$201,0)),"")</f>
        <v/>
      </c>
      <c r="P18">
        <f>IFERROR(INDEX(Objekte!$C$2:$C$201,MATCH($A18,Objekte!$Z$2:$Z$201,0)),"")</f>
        <v/>
      </c>
      <c r="Q18">
        <f>IFERROR(INDEX(Objekte!$AD$2:$AD$201,MATCH($A18,Objekte!$Z$2:$Z$201,0)),"")</f>
        <v/>
      </c>
      <c r="R18">
        <f>IFERROR(INDEX(Objekte!$AB$2:$AB$201,MATCH($A18,Objekte!$Z$2:$Z$201,0)),"")</f>
        <v/>
      </c>
    </row>
    <row r="19">
      <c r="A19" t="n">
        <v>16</v>
      </c>
      <c r="B19">
        <f>IFERROR(INDEX(Objekte!$B$2:$B$201,MATCH($A19,Objekte!$Z$2:$Z$201,0)),"")</f>
        <v/>
      </c>
      <c r="C19">
        <f>IFERROR(INDEX(Objekte!$X$2:$X$201,MATCH($A19,Objekte!$Z$2:$Z$201,0)),"")</f>
        <v/>
      </c>
      <c r="D19">
        <f>IFERROR(INDEX(Objekte!$W$2:$W$201,MATCH($A19,Objekte!$Z$2:$Z$201,0)),"")</f>
        <v/>
      </c>
      <c r="E19">
        <f>IFERROR(INDEX(Objekte!$L$2:$L$201,MATCH($A19,Objekte!$Z$2:$Z$201,0)),"")</f>
        <v/>
      </c>
      <c r="F19">
        <f>IFERROR(INDEX(Objekte!$N$2:$N$201,MATCH($A19,Objekte!$Z$2:$Z$201,0)),"")</f>
        <v/>
      </c>
      <c r="G19">
        <f>IFERROR(INDEX(Objekte!$P$2:$P$201,MATCH($A19,Objekte!$Z$2:$Z$201,0)),"")</f>
        <v/>
      </c>
      <c r="H19">
        <f>IFERROR(INDEX(Objekte!$E$2:$E$201,MATCH($A19,Objekte!$Z$2:$Z$201,0)),"")</f>
        <v/>
      </c>
      <c r="I19">
        <f>IFERROR(INDEX(Objekte!$G$2:$G$201,MATCH($A19,Objekte!$Z$2:$Z$201,0)),"")</f>
        <v/>
      </c>
      <c r="J19">
        <f>IFERROR(INDEX(Objekte!$I$2:$I$201,MATCH($A19,Objekte!$Z$2:$Z$201,0)),"")</f>
        <v/>
      </c>
      <c r="K19">
        <f>IFERROR(INDEX(Objekte!$Q$2:$Q$201,MATCH($A19,Objekte!$Z$2:$Z$201,0)),"")</f>
        <v/>
      </c>
      <c r="L19">
        <f>IFERROR(INDEX(Objekte!$V$2:$V$201,MATCH($A19,Objekte!$Z$2:$Z$201,0)),"")</f>
        <v/>
      </c>
      <c r="M19">
        <f>IFERROR(INDEX(Objekte!$D$2:$D$201,MATCH($A19,Objekte!$Z$2:$Z$201,0)),"")</f>
        <v/>
      </c>
      <c r="N19">
        <f>IFERROR(INDEX(Objekte!$U$2:$U$201,MATCH($A19,Objekte!$Z$2:$Z$201,0)),"")</f>
        <v/>
      </c>
      <c r="O19">
        <f>IFERROR(INDEX(Objekte!$AF$2:$AF$201,MATCH($A19,Objekte!$Z$2:$Z$201,0)),"")</f>
        <v/>
      </c>
      <c r="P19">
        <f>IFERROR(INDEX(Objekte!$C$2:$C$201,MATCH($A19,Objekte!$Z$2:$Z$201,0)),"")</f>
        <v/>
      </c>
      <c r="Q19">
        <f>IFERROR(INDEX(Objekte!$AD$2:$AD$201,MATCH($A19,Objekte!$Z$2:$Z$201,0)),"")</f>
        <v/>
      </c>
      <c r="R19">
        <f>IFERROR(INDEX(Objekte!$AB$2:$AB$201,MATCH($A19,Objekte!$Z$2:$Z$201,0)),"")</f>
        <v/>
      </c>
    </row>
    <row r="20">
      <c r="A20" t="n">
        <v>17</v>
      </c>
      <c r="B20">
        <f>IFERROR(INDEX(Objekte!$B$2:$B$201,MATCH($A20,Objekte!$Z$2:$Z$201,0)),"")</f>
        <v/>
      </c>
      <c r="C20">
        <f>IFERROR(INDEX(Objekte!$X$2:$X$201,MATCH($A20,Objekte!$Z$2:$Z$201,0)),"")</f>
        <v/>
      </c>
      <c r="D20">
        <f>IFERROR(INDEX(Objekte!$W$2:$W$201,MATCH($A20,Objekte!$Z$2:$Z$201,0)),"")</f>
        <v/>
      </c>
      <c r="E20">
        <f>IFERROR(INDEX(Objekte!$L$2:$L$201,MATCH($A20,Objekte!$Z$2:$Z$201,0)),"")</f>
        <v/>
      </c>
      <c r="F20">
        <f>IFERROR(INDEX(Objekte!$N$2:$N$201,MATCH($A20,Objekte!$Z$2:$Z$201,0)),"")</f>
        <v/>
      </c>
      <c r="G20">
        <f>IFERROR(INDEX(Objekte!$P$2:$P$201,MATCH($A20,Objekte!$Z$2:$Z$201,0)),"")</f>
        <v/>
      </c>
      <c r="H20">
        <f>IFERROR(INDEX(Objekte!$E$2:$E$201,MATCH($A20,Objekte!$Z$2:$Z$201,0)),"")</f>
        <v/>
      </c>
      <c r="I20">
        <f>IFERROR(INDEX(Objekte!$G$2:$G$201,MATCH($A20,Objekte!$Z$2:$Z$201,0)),"")</f>
        <v/>
      </c>
      <c r="J20">
        <f>IFERROR(INDEX(Objekte!$I$2:$I$201,MATCH($A20,Objekte!$Z$2:$Z$201,0)),"")</f>
        <v/>
      </c>
      <c r="K20">
        <f>IFERROR(INDEX(Objekte!$Q$2:$Q$201,MATCH($A20,Objekte!$Z$2:$Z$201,0)),"")</f>
        <v/>
      </c>
      <c r="L20">
        <f>IFERROR(INDEX(Objekte!$V$2:$V$201,MATCH($A20,Objekte!$Z$2:$Z$201,0)),"")</f>
        <v/>
      </c>
      <c r="M20">
        <f>IFERROR(INDEX(Objekte!$D$2:$D$201,MATCH($A20,Objekte!$Z$2:$Z$201,0)),"")</f>
        <v/>
      </c>
      <c r="N20">
        <f>IFERROR(INDEX(Objekte!$U$2:$U$201,MATCH($A20,Objekte!$Z$2:$Z$201,0)),"")</f>
        <v/>
      </c>
      <c r="O20">
        <f>IFERROR(INDEX(Objekte!$AF$2:$AF$201,MATCH($A20,Objekte!$Z$2:$Z$201,0)),"")</f>
        <v/>
      </c>
      <c r="P20">
        <f>IFERROR(INDEX(Objekte!$C$2:$C$201,MATCH($A20,Objekte!$Z$2:$Z$201,0)),"")</f>
        <v/>
      </c>
      <c r="Q20">
        <f>IFERROR(INDEX(Objekte!$AD$2:$AD$201,MATCH($A20,Objekte!$Z$2:$Z$201,0)),"")</f>
        <v/>
      </c>
      <c r="R20">
        <f>IFERROR(INDEX(Objekte!$AB$2:$AB$201,MATCH($A20,Objekte!$Z$2:$Z$201,0)),"")</f>
        <v/>
      </c>
    </row>
    <row r="21">
      <c r="A21" t="n">
        <v>18</v>
      </c>
      <c r="B21">
        <f>IFERROR(INDEX(Objekte!$B$2:$B$201,MATCH($A21,Objekte!$Z$2:$Z$201,0)),"")</f>
        <v/>
      </c>
      <c r="C21">
        <f>IFERROR(INDEX(Objekte!$X$2:$X$201,MATCH($A21,Objekte!$Z$2:$Z$201,0)),"")</f>
        <v/>
      </c>
      <c r="D21">
        <f>IFERROR(INDEX(Objekte!$W$2:$W$201,MATCH($A21,Objekte!$Z$2:$Z$201,0)),"")</f>
        <v/>
      </c>
      <c r="E21">
        <f>IFERROR(INDEX(Objekte!$L$2:$L$201,MATCH($A21,Objekte!$Z$2:$Z$201,0)),"")</f>
        <v/>
      </c>
      <c r="F21">
        <f>IFERROR(INDEX(Objekte!$N$2:$N$201,MATCH($A21,Objekte!$Z$2:$Z$201,0)),"")</f>
        <v/>
      </c>
      <c r="G21">
        <f>IFERROR(INDEX(Objekte!$P$2:$P$201,MATCH($A21,Objekte!$Z$2:$Z$201,0)),"")</f>
        <v/>
      </c>
      <c r="H21">
        <f>IFERROR(INDEX(Objekte!$E$2:$E$201,MATCH($A21,Objekte!$Z$2:$Z$201,0)),"")</f>
        <v/>
      </c>
      <c r="I21">
        <f>IFERROR(INDEX(Objekte!$G$2:$G$201,MATCH($A21,Objekte!$Z$2:$Z$201,0)),"")</f>
        <v/>
      </c>
      <c r="J21">
        <f>IFERROR(INDEX(Objekte!$I$2:$I$201,MATCH($A21,Objekte!$Z$2:$Z$201,0)),"")</f>
        <v/>
      </c>
      <c r="K21">
        <f>IFERROR(INDEX(Objekte!$Q$2:$Q$201,MATCH($A21,Objekte!$Z$2:$Z$201,0)),"")</f>
        <v/>
      </c>
      <c r="L21">
        <f>IFERROR(INDEX(Objekte!$V$2:$V$201,MATCH($A21,Objekte!$Z$2:$Z$201,0)),"")</f>
        <v/>
      </c>
      <c r="M21">
        <f>IFERROR(INDEX(Objekte!$D$2:$D$201,MATCH($A21,Objekte!$Z$2:$Z$201,0)),"")</f>
        <v/>
      </c>
      <c r="N21">
        <f>IFERROR(INDEX(Objekte!$U$2:$U$201,MATCH($A21,Objekte!$Z$2:$Z$201,0)),"")</f>
        <v/>
      </c>
      <c r="O21">
        <f>IFERROR(INDEX(Objekte!$AF$2:$AF$201,MATCH($A21,Objekte!$Z$2:$Z$201,0)),"")</f>
        <v/>
      </c>
      <c r="P21">
        <f>IFERROR(INDEX(Objekte!$C$2:$C$201,MATCH($A21,Objekte!$Z$2:$Z$201,0)),"")</f>
        <v/>
      </c>
      <c r="Q21">
        <f>IFERROR(INDEX(Objekte!$AD$2:$AD$201,MATCH($A21,Objekte!$Z$2:$Z$201,0)),"")</f>
        <v/>
      </c>
      <c r="R21">
        <f>IFERROR(INDEX(Objekte!$AB$2:$AB$201,MATCH($A21,Objekte!$Z$2:$Z$201,0)),"")</f>
        <v/>
      </c>
    </row>
    <row r="22">
      <c r="A22" t="n">
        <v>19</v>
      </c>
      <c r="B22">
        <f>IFERROR(INDEX(Objekte!$B$2:$B$201,MATCH($A22,Objekte!$Z$2:$Z$201,0)),"")</f>
        <v/>
      </c>
      <c r="C22">
        <f>IFERROR(INDEX(Objekte!$X$2:$X$201,MATCH($A22,Objekte!$Z$2:$Z$201,0)),"")</f>
        <v/>
      </c>
      <c r="D22">
        <f>IFERROR(INDEX(Objekte!$W$2:$W$201,MATCH($A22,Objekte!$Z$2:$Z$201,0)),"")</f>
        <v/>
      </c>
      <c r="E22">
        <f>IFERROR(INDEX(Objekte!$L$2:$L$201,MATCH($A22,Objekte!$Z$2:$Z$201,0)),"")</f>
        <v/>
      </c>
      <c r="F22">
        <f>IFERROR(INDEX(Objekte!$N$2:$N$201,MATCH($A22,Objekte!$Z$2:$Z$201,0)),"")</f>
        <v/>
      </c>
      <c r="G22">
        <f>IFERROR(INDEX(Objekte!$P$2:$P$201,MATCH($A22,Objekte!$Z$2:$Z$201,0)),"")</f>
        <v/>
      </c>
      <c r="H22">
        <f>IFERROR(INDEX(Objekte!$E$2:$E$201,MATCH($A22,Objekte!$Z$2:$Z$201,0)),"")</f>
        <v/>
      </c>
      <c r="I22">
        <f>IFERROR(INDEX(Objekte!$G$2:$G$201,MATCH($A22,Objekte!$Z$2:$Z$201,0)),"")</f>
        <v/>
      </c>
      <c r="J22">
        <f>IFERROR(INDEX(Objekte!$I$2:$I$201,MATCH($A22,Objekte!$Z$2:$Z$201,0)),"")</f>
        <v/>
      </c>
      <c r="K22">
        <f>IFERROR(INDEX(Objekte!$Q$2:$Q$201,MATCH($A22,Objekte!$Z$2:$Z$201,0)),"")</f>
        <v/>
      </c>
      <c r="L22">
        <f>IFERROR(INDEX(Objekte!$V$2:$V$201,MATCH($A22,Objekte!$Z$2:$Z$201,0)),"")</f>
        <v/>
      </c>
      <c r="M22">
        <f>IFERROR(INDEX(Objekte!$D$2:$D$201,MATCH($A22,Objekte!$Z$2:$Z$201,0)),"")</f>
        <v/>
      </c>
      <c r="N22">
        <f>IFERROR(INDEX(Objekte!$U$2:$U$201,MATCH($A22,Objekte!$Z$2:$Z$201,0)),"")</f>
        <v/>
      </c>
      <c r="O22">
        <f>IFERROR(INDEX(Objekte!$AF$2:$AF$201,MATCH($A22,Objekte!$Z$2:$Z$201,0)),"")</f>
        <v/>
      </c>
      <c r="P22">
        <f>IFERROR(INDEX(Objekte!$C$2:$C$201,MATCH($A22,Objekte!$Z$2:$Z$201,0)),"")</f>
        <v/>
      </c>
      <c r="Q22">
        <f>IFERROR(INDEX(Objekte!$AD$2:$AD$201,MATCH($A22,Objekte!$Z$2:$Z$201,0)),"")</f>
        <v/>
      </c>
      <c r="R22">
        <f>IFERROR(INDEX(Objekte!$AB$2:$AB$201,MATCH($A22,Objekte!$Z$2:$Z$201,0)),"")</f>
        <v/>
      </c>
    </row>
    <row r="23">
      <c r="A23" t="n">
        <v>20</v>
      </c>
      <c r="B23">
        <f>IFERROR(INDEX(Objekte!$B$2:$B$201,MATCH($A23,Objekte!$Z$2:$Z$201,0)),"")</f>
        <v/>
      </c>
      <c r="C23">
        <f>IFERROR(INDEX(Objekte!$X$2:$X$201,MATCH($A23,Objekte!$Z$2:$Z$201,0)),"")</f>
        <v/>
      </c>
      <c r="D23">
        <f>IFERROR(INDEX(Objekte!$W$2:$W$201,MATCH($A23,Objekte!$Z$2:$Z$201,0)),"")</f>
        <v/>
      </c>
      <c r="E23">
        <f>IFERROR(INDEX(Objekte!$L$2:$L$201,MATCH($A23,Objekte!$Z$2:$Z$201,0)),"")</f>
        <v/>
      </c>
      <c r="F23">
        <f>IFERROR(INDEX(Objekte!$N$2:$N$201,MATCH($A23,Objekte!$Z$2:$Z$201,0)),"")</f>
        <v/>
      </c>
      <c r="G23">
        <f>IFERROR(INDEX(Objekte!$P$2:$P$201,MATCH($A23,Objekte!$Z$2:$Z$201,0)),"")</f>
        <v/>
      </c>
      <c r="H23">
        <f>IFERROR(INDEX(Objekte!$E$2:$E$201,MATCH($A23,Objekte!$Z$2:$Z$201,0)),"")</f>
        <v/>
      </c>
      <c r="I23">
        <f>IFERROR(INDEX(Objekte!$G$2:$G$201,MATCH($A23,Objekte!$Z$2:$Z$201,0)),"")</f>
        <v/>
      </c>
      <c r="J23">
        <f>IFERROR(INDEX(Objekte!$I$2:$I$201,MATCH($A23,Objekte!$Z$2:$Z$201,0)),"")</f>
        <v/>
      </c>
      <c r="K23">
        <f>IFERROR(INDEX(Objekte!$Q$2:$Q$201,MATCH($A23,Objekte!$Z$2:$Z$201,0)),"")</f>
        <v/>
      </c>
      <c r="L23">
        <f>IFERROR(INDEX(Objekte!$V$2:$V$201,MATCH($A23,Objekte!$Z$2:$Z$201,0)),"")</f>
        <v/>
      </c>
      <c r="M23">
        <f>IFERROR(INDEX(Objekte!$D$2:$D$201,MATCH($A23,Objekte!$Z$2:$Z$201,0)),"")</f>
        <v/>
      </c>
      <c r="N23">
        <f>IFERROR(INDEX(Objekte!$U$2:$U$201,MATCH($A23,Objekte!$Z$2:$Z$201,0)),"")</f>
        <v/>
      </c>
      <c r="O23">
        <f>IFERROR(INDEX(Objekte!$AF$2:$AF$201,MATCH($A23,Objekte!$Z$2:$Z$201,0)),"")</f>
        <v/>
      </c>
      <c r="P23">
        <f>IFERROR(INDEX(Objekte!$C$2:$C$201,MATCH($A23,Objekte!$Z$2:$Z$201,0)),"")</f>
        <v/>
      </c>
      <c r="Q23">
        <f>IFERROR(INDEX(Objekte!$AD$2:$AD$201,MATCH($A23,Objekte!$Z$2:$Z$201,0)),"")</f>
        <v/>
      </c>
      <c r="R23">
        <f>IFERROR(INDEX(Objekte!$AB$2:$AB$201,MATCH($A23,Objekte!$Z$2:$Z$201,0)),"")</f>
        <v/>
      </c>
    </row>
    <row r="24">
      <c r="A24" t="n">
        <v>21</v>
      </c>
      <c r="B24">
        <f>IFERROR(INDEX(Objekte!$B$2:$B$201,MATCH($A24,Objekte!$Z$2:$Z$201,0)),"")</f>
        <v/>
      </c>
      <c r="C24">
        <f>IFERROR(INDEX(Objekte!$X$2:$X$201,MATCH($A24,Objekte!$Z$2:$Z$201,0)),"")</f>
        <v/>
      </c>
      <c r="D24">
        <f>IFERROR(INDEX(Objekte!$W$2:$W$201,MATCH($A24,Objekte!$Z$2:$Z$201,0)),"")</f>
        <v/>
      </c>
      <c r="E24">
        <f>IFERROR(INDEX(Objekte!$L$2:$L$201,MATCH($A24,Objekte!$Z$2:$Z$201,0)),"")</f>
        <v/>
      </c>
      <c r="F24">
        <f>IFERROR(INDEX(Objekte!$N$2:$N$201,MATCH($A24,Objekte!$Z$2:$Z$201,0)),"")</f>
        <v/>
      </c>
      <c r="G24">
        <f>IFERROR(INDEX(Objekte!$P$2:$P$201,MATCH($A24,Objekte!$Z$2:$Z$201,0)),"")</f>
        <v/>
      </c>
      <c r="H24">
        <f>IFERROR(INDEX(Objekte!$E$2:$E$201,MATCH($A24,Objekte!$Z$2:$Z$201,0)),"")</f>
        <v/>
      </c>
      <c r="I24">
        <f>IFERROR(INDEX(Objekte!$G$2:$G$201,MATCH($A24,Objekte!$Z$2:$Z$201,0)),"")</f>
        <v/>
      </c>
      <c r="J24">
        <f>IFERROR(INDEX(Objekte!$I$2:$I$201,MATCH($A24,Objekte!$Z$2:$Z$201,0)),"")</f>
        <v/>
      </c>
      <c r="K24">
        <f>IFERROR(INDEX(Objekte!$Q$2:$Q$201,MATCH($A24,Objekte!$Z$2:$Z$201,0)),"")</f>
        <v/>
      </c>
      <c r="L24">
        <f>IFERROR(INDEX(Objekte!$V$2:$V$201,MATCH($A24,Objekte!$Z$2:$Z$201,0)),"")</f>
        <v/>
      </c>
      <c r="M24">
        <f>IFERROR(INDEX(Objekte!$D$2:$D$201,MATCH($A24,Objekte!$Z$2:$Z$201,0)),"")</f>
        <v/>
      </c>
      <c r="N24">
        <f>IFERROR(INDEX(Objekte!$U$2:$U$201,MATCH($A24,Objekte!$Z$2:$Z$201,0)),"")</f>
        <v/>
      </c>
      <c r="O24">
        <f>IFERROR(INDEX(Objekte!$AF$2:$AF$201,MATCH($A24,Objekte!$Z$2:$Z$201,0)),"")</f>
        <v/>
      </c>
      <c r="P24">
        <f>IFERROR(INDEX(Objekte!$C$2:$C$201,MATCH($A24,Objekte!$Z$2:$Z$201,0)),"")</f>
        <v/>
      </c>
      <c r="Q24">
        <f>IFERROR(INDEX(Objekte!$AD$2:$AD$201,MATCH($A24,Objekte!$Z$2:$Z$201,0)),"")</f>
        <v/>
      </c>
      <c r="R24">
        <f>IFERROR(INDEX(Objekte!$AB$2:$AB$201,MATCH($A24,Objekte!$Z$2:$Z$201,0)),"")</f>
        <v/>
      </c>
    </row>
    <row r="25">
      <c r="A25" t="n">
        <v>22</v>
      </c>
      <c r="B25">
        <f>IFERROR(INDEX(Objekte!$B$2:$B$201,MATCH($A25,Objekte!$Z$2:$Z$201,0)),"")</f>
        <v/>
      </c>
      <c r="C25">
        <f>IFERROR(INDEX(Objekte!$X$2:$X$201,MATCH($A25,Objekte!$Z$2:$Z$201,0)),"")</f>
        <v/>
      </c>
      <c r="D25">
        <f>IFERROR(INDEX(Objekte!$W$2:$W$201,MATCH($A25,Objekte!$Z$2:$Z$201,0)),"")</f>
        <v/>
      </c>
      <c r="E25">
        <f>IFERROR(INDEX(Objekte!$L$2:$L$201,MATCH($A25,Objekte!$Z$2:$Z$201,0)),"")</f>
        <v/>
      </c>
      <c r="F25">
        <f>IFERROR(INDEX(Objekte!$N$2:$N$201,MATCH($A25,Objekte!$Z$2:$Z$201,0)),"")</f>
        <v/>
      </c>
      <c r="G25">
        <f>IFERROR(INDEX(Objekte!$P$2:$P$201,MATCH($A25,Objekte!$Z$2:$Z$201,0)),"")</f>
        <v/>
      </c>
      <c r="H25">
        <f>IFERROR(INDEX(Objekte!$E$2:$E$201,MATCH($A25,Objekte!$Z$2:$Z$201,0)),"")</f>
        <v/>
      </c>
      <c r="I25">
        <f>IFERROR(INDEX(Objekte!$G$2:$G$201,MATCH($A25,Objekte!$Z$2:$Z$201,0)),"")</f>
        <v/>
      </c>
      <c r="J25">
        <f>IFERROR(INDEX(Objekte!$I$2:$I$201,MATCH($A25,Objekte!$Z$2:$Z$201,0)),"")</f>
        <v/>
      </c>
      <c r="K25">
        <f>IFERROR(INDEX(Objekte!$Q$2:$Q$201,MATCH($A25,Objekte!$Z$2:$Z$201,0)),"")</f>
        <v/>
      </c>
      <c r="L25">
        <f>IFERROR(INDEX(Objekte!$V$2:$V$201,MATCH($A25,Objekte!$Z$2:$Z$201,0)),"")</f>
        <v/>
      </c>
      <c r="M25">
        <f>IFERROR(INDEX(Objekte!$D$2:$D$201,MATCH($A25,Objekte!$Z$2:$Z$201,0)),"")</f>
        <v/>
      </c>
      <c r="N25">
        <f>IFERROR(INDEX(Objekte!$U$2:$U$201,MATCH($A25,Objekte!$Z$2:$Z$201,0)),"")</f>
        <v/>
      </c>
      <c r="O25">
        <f>IFERROR(INDEX(Objekte!$AF$2:$AF$201,MATCH($A25,Objekte!$Z$2:$Z$201,0)),"")</f>
        <v/>
      </c>
      <c r="P25">
        <f>IFERROR(INDEX(Objekte!$C$2:$C$201,MATCH($A25,Objekte!$Z$2:$Z$201,0)),"")</f>
        <v/>
      </c>
      <c r="Q25">
        <f>IFERROR(INDEX(Objekte!$AD$2:$AD$201,MATCH($A25,Objekte!$Z$2:$Z$201,0)),"")</f>
        <v/>
      </c>
      <c r="R25">
        <f>IFERROR(INDEX(Objekte!$AB$2:$AB$201,MATCH($A25,Objekte!$Z$2:$Z$201,0)),"")</f>
        <v/>
      </c>
    </row>
    <row r="26">
      <c r="A26" t="n">
        <v>23</v>
      </c>
      <c r="B26">
        <f>IFERROR(INDEX(Objekte!$B$2:$B$201,MATCH($A26,Objekte!$Z$2:$Z$201,0)),"")</f>
        <v/>
      </c>
      <c r="C26">
        <f>IFERROR(INDEX(Objekte!$X$2:$X$201,MATCH($A26,Objekte!$Z$2:$Z$201,0)),"")</f>
        <v/>
      </c>
      <c r="D26">
        <f>IFERROR(INDEX(Objekte!$W$2:$W$201,MATCH($A26,Objekte!$Z$2:$Z$201,0)),"")</f>
        <v/>
      </c>
      <c r="E26">
        <f>IFERROR(INDEX(Objekte!$L$2:$L$201,MATCH($A26,Objekte!$Z$2:$Z$201,0)),"")</f>
        <v/>
      </c>
      <c r="F26">
        <f>IFERROR(INDEX(Objekte!$N$2:$N$201,MATCH($A26,Objekte!$Z$2:$Z$201,0)),"")</f>
        <v/>
      </c>
      <c r="G26">
        <f>IFERROR(INDEX(Objekte!$P$2:$P$201,MATCH($A26,Objekte!$Z$2:$Z$201,0)),"")</f>
        <v/>
      </c>
      <c r="H26">
        <f>IFERROR(INDEX(Objekte!$E$2:$E$201,MATCH($A26,Objekte!$Z$2:$Z$201,0)),"")</f>
        <v/>
      </c>
      <c r="I26">
        <f>IFERROR(INDEX(Objekte!$G$2:$G$201,MATCH($A26,Objekte!$Z$2:$Z$201,0)),"")</f>
        <v/>
      </c>
      <c r="J26">
        <f>IFERROR(INDEX(Objekte!$I$2:$I$201,MATCH($A26,Objekte!$Z$2:$Z$201,0)),"")</f>
        <v/>
      </c>
      <c r="K26">
        <f>IFERROR(INDEX(Objekte!$Q$2:$Q$201,MATCH($A26,Objekte!$Z$2:$Z$201,0)),"")</f>
        <v/>
      </c>
      <c r="L26">
        <f>IFERROR(INDEX(Objekte!$V$2:$V$201,MATCH($A26,Objekte!$Z$2:$Z$201,0)),"")</f>
        <v/>
      </c>
      <c r="M26">
        <f>IFERROR(INDEX(Objekte!$D$2:$D$201,MATCH($A26,Objekte!$Z$2:$Z$201,0)),"")</f>
        <v/>
      </c>
      <c r="N26">
        <f>IFERROR(INDEX(Objekte!$U$2:$U$201,MATCH($A26,Objekte!$Z$2:$Z$201,0)),"")</f>
        <v/>
      </c>
      <c r="O26">
        <f>IFERROR(INDEX(Objekte!$AF$2:$AF$201,MATCH($A26,Objekte!$Z$2:$Z$201,0)),"")</f>
        <v/>
      </c>
      <c r="P26">
        <f>IFERROR(INDEX(Objekte!$C$2:$C$201,MATCH($A26,Objekte!$Z$2:$Z$201,0)),"")</f>
        <v/>
      </c>
      <c r="Q26">
        <f>IFERROR(INDEX(Objekte!$AD$2:$AD$201,MATCH($A26,Objekte!$Z$2:$Z$201,0)),"")</f>
        <v/>
      </c>
      <c r="R26">
        <f>IFERROR(INDEX(Objekte!$AB$2:$AB$201,MATCH($A26,Objekte!$Z$2:$Z$201,0)),"")</f>
        <v/>
      </c>
    </row>
    <row r="27">
      <c r="A27" t="n">
        <v>24</v>
      </c>
      <c r="B27">
        <f>IFERROR(INDEX(Objekte!$B$2:$B$201,MATCH($A27,Objekte!$Z$2:$Z$201,0)),"")</f>
        <v/>
      </c>
      <c r="C27">
        <f>IFERROR(INDEX(Objekte!$X$2:$X$201,MATCH($A27,Objekte!$Z$2:$Z$201,0)),"")</f>
        <v/>
      </c>
      <c r="D27">
        <f>IFERROR(INDEX(Objekte!$W$2:$W$201,MATCH($A27,Objekte!$Z$2:$Z$201,0)),"")</f>
        <v/>
      </c>
      <c r="E27">
        <f>IFERROR(INDEX(Objekte!$L$2:$L$201,MATCH($A27,Objekte!$Z$2:$Z$201,0)),"")</f>
        <v/>
      </c>
      <c r="F27">
        <f>IFERROR(INDEX(Objekte!$N$2:$N$201,MATCH($A27,Objekte!$Z$2:$Z$201,0)),"")</f>
        <v/>
      </c>
      <c r="G27">
        <f>IFERROR(INDEX(Objekte!$P$2:$P$201,MATCH($A27,Objekte!$Z$2:$Z$201,0)),"")</f>
        <v/>
      </c>
      <c r="H27">
        <f>IFERROR(INDEX(Objekte!$E$2:$E$201,MATCH($A27,Objekte!$Z$2:$Z$201,0)),"")</f>
        <v/>
      </c>
      <c r="I27">
        <f>IFERROR(INDEX(Objekte!$G$2:$G$201,MATCH($A27,Objekte!$Z$2:$Z$201,0)),"")</f>
        <v/>
      </c>
      <c r="J27">
        <f>IFERROR(INDEX(Objekte!$I$2:$I$201,MATCH($A27,Objekte!$Z$2:$Z$201,0)),"")</f>
        <v/>
      </c>
      <c r="K27">
        <f>IFERROR(INDEX(Objekte!$Q$2:$Q$201,MATCH($A27,Objekte!$Z$2:$Z$201,0)),"")</f>
        <v/>
      </c>
      <c r="L27">
        <f>IFERROR(INDEX(Objekte!$V$2:$V$201,MATCH($A27,Objekte!$Z$2:$Z$201,0)),"")</f>
        <v/>
      </c>
      <c r="M27">
        <f>IFERROR(INDEX(Objekte!$D$2:$D$201,MATCH($A27,Objekte!$Z$2:$Z$201,0)),"")</f>
        <v/>
      </c>
      <c r="N27">
        <f>IFERROR(INDEX(Objekte!$U$2:$U$201,MATCH($A27,Objekte!$Z$2:$Z$201,0)),"")</f>
        <v/>
      </c>
      <c r="O27">
        <f>IFERROR(INDEX(Objekte!$AF$2:$AF$201,MATCH($A27,Objekte!$Z$2:$Z$201,0)),"")</f>
        <v/>
      </c>
      <c r="P27">
        <f>IFERROR(INDEX(Objekte!$C$2:$C$201,MATCH($A27,Objekte!$Z$2:$Z$201,0)),"")</f>
        <v/>
      </c>
      <c r="Q27">
        <f>IFERROR(INDEX(Objekte!$AD$2:$AD$201,MATCH($A27,Objekte!$Z$2:$Z$201,0)),"")</f>
        <v/>
      </c>
      <c r="R27">
        <f>IFERROR(INDEX(Objekte!$AB$2:$AB$201,MATCH($A27,Objekte!$Z$2:$Z$201,0)),"")</f>
        <v/>
      </c>
    </row>
    <row r="28">
      <c r="A28" t="n">
        <v>25</v>
      </c>
      <c r="B28">
        <f>IFERROR(INDEX(Objekte!$B$2:$B$201,MATCH($A28,Objekte!$Z$2:$Z$201,0)),"")</f>
        <v/>
      </c>
      <c r="C28">
        <f>IFERROR(INDEX(Objekte!$X$2:$X$201,MATCH($A28,Objekte!$Z$2:$Z$201,0)),"")</f>
        <v/>
      </c>
      <c r="D28">
        <f>IFERROR(INDEX(Objekte!$W$2:$W$201,MATCH($A28,Objekte!$Z$2:$Z$201,0)),"")</f>
        <v/>
      </c>
      <c r="E28">
        <f>IFERROR(INDEX(Objekte!$L$2:$L$201,MATCH($A28,Objekte!$Z$2:$Z$201,0)),"")</f>
        <v/>
      </c>
      <c r="F28">
        <f>IFERROR(INDEX(Objekte!$N$2:$N$201,MATCH($A28,Objekte!$Z$2:$Z$201,0)),"")</f>
        <v/>
      </c>
      <c r="G28">
        <f>IFERROR(INDEX(Objekte!$P$2:$P$201,MATCH($A28,Objekte!$Z$2:$Z$201,0)),"")</f>
        <v/>
      </c>
      <c r="H28">
        <f>IFERROR(INDEX(Objekte!$E$2:$E$201,MATCH($A28,Objekte!$Z$2:$Z$201,0)),"")</f>
        <v/>
      </c>
      <c r="I28">
        <f>IFERROR(INDEX(Objekte!$G$2:$G$201,MATCH($A28,Objekte!$Z$2:$Z$201,0)),"")</f>
        <v/>
      </c>
      <c r="J28">
        <f>IFERROR(INDEX(Objekte!$I$2:$I$201,MATCH($A28,Objekte!$Z$2:$Z$201,0)),"")</f>
        <v/>
      </c>
      <c r="K28">
        <f>IFERROR(INDEX(Objekte!$Q$2:$Q$201,MATCH($A28,Objekte!$Z$2:$Z$201,0)),"")</f>
        <v/>
      </c>
      <c r="L28">
        <f>IFERROR(INDEX(Objekte!$V$2:$V$201,MATCH($A28,Objekte!$Z$2:$Z$201,0)),"")</f>
        <v/>
      </c>
      <c r="M28">
        <f>IFERROR(INDEX(Objekte!$D$2:$D$201,MATCH($A28,Objekte!$Z$2:$Z$201,0)),"")</f>
        <v/>
      </c>
      <c r="N28">
        <f>IFERROR(INDEX(Objekte!$U$2:$U$201,MATCH($A28,Objekte!$Z$2:$Z$201,0)),"")</f>
        <v/>
      </c>
      <c r="O28">
        <f>IFERROR(INDEX(Objekte!$AF$2:$AF$201,MATCH($A28,Objekte!$Z$2:$Z$201,0)),"")</f>
        <v/>
      </c>
      <c r="P28">
        <f>IFERROR(INDEX(Objekte!$C$2:$C$201,MATCH($A28,Objekte!$Z$2:$Z$201,0)),"")</f>
        <v/>
      </c>
      <c r="Q28">
        <f>IFERROR(INDEX(Objekte!$AD$2:$AD$201,MATCH($A28,Objekte!$Z$2:$Z$201,0)),"")</f>
        <v/>
      </c>
      <c r="R28">
        <f>IFERROR(INDEX(Objekte!$AB$2:$AB$201,MATCH($A28,Objekte!$Z$2:$Z$201,0)),"")</f>
        <v/>
      </c>
    </row>
    <row r="29">
      <c r="A29" t="n">
        <v>26</v>
      </c>
      <c r="B29">
        <f>IFERROR(INDEX(Objekte!$B$2:$B$201,MATCH($A29,Objekte!$Z$2:$Z$201,0)),"")</f>
        <v/>
      </c>
      <c r="C29">
        <f>IFERROR(INDEX(Objekte!$X$2:$X$201,MATCH($A29,Objekte!$Z$2:$Z$201,0)),"")</f>
        <v/>
      </c>
      <c r="D29">
        <f>IFERROR(INDEX(Objekte!$W$2:$W$201,MATCH($A29,Objekte!$Z$2:$Z$201,0)),"")</f>
        <v/>
      </c>
      <c r="E29">
        <f>IFERROR(INDEX(Objekte!$L$2:$L$201,MATCH($A29,Objekte!$Z$2:$Z$201,0)),"")</f>
        <v/>
      </c>
      <c r="F29">
        <f>IFERROR(INDEX(Objekte!$N$2:$N$201,MATCH($A29,Objekte!$Z$2:$Z$201,0)),"")</f>
        <v/>
      </c>
      <c r="G29">
        <f>IFERROR(INDEX(Objekte!$P$2:$P$201,MATCH($A29,Objekte!$Z$2:$Z$201,0)),"")</f>
        <v/>
      </c>
      <c r="H29">
        <f>IFERROR(INDEX(Objekte!$E$2:$E$201,MATCH($A29,Objekte!$Z$2:$Z$201,0)),"")</f>
        <v/>
      </c>
      <c r="I29">
        <f>IFERROR(INDEX(Objekte!$G$2:$G$201,MATCH($A29,Objekte!$Z$2:$Z$201,0)),"")</f>
        <v/>
      </c>
      <c r="J29">
        <f>IFERROR(INDEX(Objekte!$I$2:$I$201,MATCH($A29,Objekte!$Z$2:$Z$201,0)),"")</f>
        <v/>
      </c>
      <c r="K29">
        <f>IFERROR(INDEX(Objekte!$Q$2:$Q$201,MATCH($A29,Objekte!$Z$2:$Z$201,0)),"")</f>
        <v/>
      </c>
      <c r="L29">
        <f>IFERROR(INDEX(Objekte!$V$2:$V$201,MATCH($A29,Objekte!$Z$2:$Z$201,0)),"")</f>
        <v/>
      </c>
      <c r="M29">
        <f>IFERROR(INDEX(Objekte!$D$2:$D$201,MATCH($A29,Objekte!$Z$2:$Z$201,0)),"")</f>
        <v/>
      </c>
      <c r="N29">
        <f>IFERROR(INDEX(Objekte!$U$2:$U$201,MATCH($A29,Objekte!$Z$2:$Z$201,0)),"")</f>
        <v/>
      </c>
      <c r="O29">
        <f>IFERROR(INDEX(Objekte!$AF$2:$AF$201,MATCH($A29,Objekte!$Z$2:$Z$201,0)),"")</f>
        <v/>
      </c>
      <c r="P29">
        <f>IFERROR(INDEX(Objekte!$C$2:$C$201,MATCH($A29,Objekte!$Z$2:$Z$201,0)),"")</f>
        <v/>
      </c>
      <c r="Q29">
        <f>IFERROR(INDEX(Objekte!$AD$2:$AD$201,MATCH($A29,Objekte!$Z$2:$Z$201,0)),"")</f>
        <v/>
      </c>
      <c r="R29">
        <f>IFERROR(INDEX(Objekte!$AB$2:$AB$201,MATCH($A29,Objekte!$Z$2:$Z$201,0)),"")</f>
        <v/>
      </c>
    </row>
    <row r="30">
      <c r="A30" t="n">
        <v>27</v>
      </c>
      <c r="B30">
        <f>IFERROR(INDEX(Objekte!$B$2:$B$201,MATCH($A30,Objekte!$Z$2:$Z$201,0)),"")</f>
        <v/>
      </c>
      <c r="C30">
        <f>IFERROR(INDEX(Objekte!$X$2:$X$201,MATCH($A30,Objekte!$Z$2:$Z$201,0)),"")</f>
        <v/>
      </c>
      <c r="D30">
        <f>IFERROR(INDEX(Objekte!$W$2:$W$201,MATCH($A30,Objekte!$Z$2:$Z$201,0)),"")</f>
        <v/>
      </c>
      <c r="E30">
        <f>IFERROR(INDEX(Objekte!$L$2:$L$201,MATCH($A30,Objekte!$Z$2:$Z$201,0)),"")</f>
        <v/>
      </c>
      <c r="F30">
        <f>IFERROR(INDEX(Objekte!$N$2:$N$201,MATCH($A30,Objekte!$Z$2:$Z$201,0)),"")</f>
        <v/>
      </c>
      <c r="G30">
        <f>IFERROR(INDEX(Objekte!$P$2:$P$201,MATCH($A30,Objekte!$Z$2:$Z$201,0)),"")</f>
        <v/>
      </c>
      <c r="H30">
        <f>IFERROR(INDEX(Objekte!$E$2:$E$201,MATCH($A30,Objekte!$Z$2:$Z$201,0)),"")</f>
        <v/>
      </c>
      <c r="I30">
        <f>IFERROR(INDEX(Objekte!$G$2:$G$201,MATCH($A30,Objekte!$Z$2:$Z$201,0)),"")</f>
        <v/>
      </c>
      <c r="J30">
        <f>IFERROR(INDEX(Objekte!$I$2:$I$201,MATCH($A30,Objekte!$Z$2:$Z$201,0)),"")</f>
        <v/>
      </c>
      <c r="K30">
        <f>IFERROR(INDEX(Objekte!$Q$2:$Q$201,MATCH($A30,Objekte!$Z$2:$Z$201,0)),"")</f>
        <v/>
      </c>
      <c r="L30">
        <f>IFERROR(INDEX(Objekte!$V$2:$V$201,MATCH($A30,Objekte!$Z$2:$Z$201,0)),"")</f>
        <v/>
      </c>
      <c r="M30">
        <f>IFERROR(INDEX(Objekte!$D$2:$D$201,MATCH($A30,Objekte!$Z$2:$Z$201,0)),"")</f>
        <v/>
      </c>
      <c r="N30">
        <f>IFERROR(INDEX(Objekte!$U$2:$U$201,MATCH($A30,Objekte!$Z$2:$Z$201,0)),"")</f>
        <v/>
      </c>
      <c r="O30">
        <f>IFERROR(INDEX(Objekte!$AF$2:$AF$201,MATCH($A30,Objekte!$Z$2:$Z$201,0)),"")</f>
        <v/>
      </c>
      <c r="P30">
        <f>IFERROR(INDEX(Objekte!$C$2:$C$201,MATCH($A30,Objekte!$Z$2:$Z$201,0)),"")</f>
        <v/>
      </c>
      <c r="Q30">
        <f>IFERROR(INDEX(Objekte!$AD$2:$AD$201,MATCH($A30,Objekte!$Z$2:$Z$201,0)),"")</f>
        <v/>
      </c>
      <c r="R30">
        <f>IFERROR(INDEX(Objekte!$AB$2:$AB$201,MATCH($A30,Objekte!$Z$2:$Z$201,0)),"")</f>
        <v/>
      </c>
    </row>
    <row r="31">
      <c r="A31" t="n">
        <v>28</v>
      </c>
      <c r="B31">
        <f>IFERROR(INDEX(Objekte!$B$2:$B$201,MATCH($A31,Objekte!$Z$2:$Z$201,0)),"")</f>
        <v/>
      </c>
      <c r="C31">
        <f>IFERROR(INDEX(Objekte!$X$2:$X$201,MATCH($A31,Objekte!$Z$2:$Z$201,0)),"")</f>
        <v/>
      </c>
      <c r="D31">
        <f>IFERROR(INDEX(Objekte!$W$2:$W$201,MATCH($A31,Objekte!$Z$2:$Z$201,0)),"")</f>
        <v/>
      </c>
      <c r="E31">
        <f>IFERROR(INDEX(Objekte!$L$2:$L$201,MATCH($A31,Objekte!$Z$2:$Z$201,0)),"")</f>
        <v/>
      </c>
      <c r="F31">
        <f>IFERROR(INDEX(Objekte!$N$2:$N$201,MATCH($A31,Objekte!$Z$2:$Z$201,0)),"")</f>
        <v/>
      </c>
      <c r="G31">
        <f>IFERROR(INDEX(Objekte!$P$2:$P$201,MATCH($A31,Objekte!$Z$2:$Z$201,0)),"")</f>
        <v/>
      </c>
      <c r="H31">
        <f>IFERROR(INDEX(Objekte!$E$2:$E$201,MATCH($A31,Objekte!$Z$2:$Z$201,0)),"")</f>
        <v/>
      </c>
      <c r="I31">
        <f>IFERROR(INDEX(Objekte!$G$2:$G$201,MATCH($A31,Objekte!$Z$2:$Z$201,0)),"")</f>
        <v/>
      </c>
      <c r="J31">
        <f>IFERROR(INDEX(Objekte!$I$2:$I$201,MATCH($A31,Objekte!$Z$2:$Z$201,0)),"")</f>
        <v/>
      </c>
      <c r="K31">
        <f>IFERROR(INDEX(Objekte!$Q$2:$Q$201,MATCH($A31,Objekte!$Z$2:$Z$201,0)),"")</f>
        <v/>
      </c>
      <c r="L31">
        <f>IFERROR(INDEX(Objekte!$V$2:$V$201,MATCH($A31,Objekte!$Z$2:$Z$201,0)),"")</f>
        <v/>
      </c>
      <c r="M31">
        <f>IFERROR(INDEX(Objekte!$D$2:$D$201,MATCH($A31,Objekte!$Z$2:$Z$201,0)),"")</f>
        <v/>
      </c>
      <c r="N31">
        <f>IFERROR(INDEX(Objekte!$U$2:$U$201,MATCH($A31,Objekte!$Z$2:$Z$201,0)),"")</f>
        <v/>
      </c>
      <c r="O31">
        <f>IFERROR(INDEX(Objekte!$AF$2:$AF$201,MATCH($A31,Objekte!$Z$2:$Z$201,0)),"")</f>
        <v/>
      </c>
      <c r="P31">
        <f>IFERROR(INDEX(Objekte!$C$2:$C$201,MATCH($A31,Objekte!$Z$2:$Z$201,0)),"")</f>
        <v/>
      </c>
      <c r="Q31">
        <f>IFERROR(INDEX(Objekte!$AD$2:$AD$201,MATCH($A31,Objekte!$Z$2:$Z$201,0)),"")</f>
        <v/>
      </c>
      <c r="R31">
        <f>IFERROR(INDEX(Objekte!$AB$2:$AB$201,MATCH($A31,Objekte!$Z$2:$Z$201,0)),"")</f>
        <v/>
      </c>
    </row>
    <row r="32">
      <c r="A32" t="n">
        <v>29</v>
      </c>
      <c r="B32">
        <f>IFERROR(INDEX(Objekte!$B$2:$B$201,MATCH($A32,Objekte!$Z$2:$Z$201,0)),"")</f>
        <v/>
      </c>
      <c r="C32">
        <f>IFERROR(INDEX(Objekte!$X$2:$X$201,MATCH($A32,Objekte!$Z$2:$Z$201,0)),"")</f>
        <v/>
      </c>
      <c r="D32">
        <f>IFERROR(INDEX(Objekte!$W$2:$W$201,MATCH($A32,Objekte!$Z$2:$Z$201,0)),"")</f>
        <v/>
      </c>
      <c r="E32">
        <f>IFERROR(INDEX(Objekte!$L$2:$L$201,MATCH($A32,Objekte!$Z$2:$Z$201,0)),"")</f>
        <v/>
      </c>
      <c r="F32">
        <f>IFERROR(INDEX(Objekte!$N$2:$N$201,MATCH($A32,Objekte!$Z$2:$Z$201,0)),"")</f>
        <v/>
      </c>
      <c r="G32">
        <f>IFERROR(INDEX(Objekte!$P$2:$P$201,MATCH($A32,Objekte!$Z$2:$Z$201,0)),"")</f>
        <v/>
      </c>
      <c r="H32">
        <f>IFERROR(INDEX(Objekte!$E$2:$E$201,MATCH($A32,Objekte!$Z$2:$Z$201,0)),"")</f>
        <v/>
      </c>
      <c r="I32">
        <f>IFERROR(INDEX(Objekte!$G$2:$G$201,MATCH($A32,Objekte!$Z$2:$Z$201,0)),"")</f>
        <v/>
      </c>
      <c r="J32">
        <f>IFERROR(INDEX(Objekte!$I$2:$I$201,MATCH($A32,Objekte!$Z$2:$Z$201,0)),"")</f>
        <v/>
      </c>
      <c r="K32">
        <f>IFERROR(INDEX(Objekte!$Q$2:$Q$201,MATCH($A32,Objekte!$Z$2:$Z$201,0)),"")</f>
        <v/>
      </c>
      <c r="L32">
        <f>IFERROR(INDEX(Objekte!$V$2:$V$201,MATCH($A32,Objekte!$Z$2:$Z$201,0)),"")</f>
        <v/>
      </c>
      <c r="M32">
        <f>IFERROR(INDEX(Objekte!$D$2:$D$201,MATCH($A32,Objekte!$Z$2:$Z$201,0)),"")</f>
        <v/>
      </c>
      <c r="N32">
        <f>IFERROR(INDEX(Objekte!$U$2:$U$201,MATCH($A32,Objekte!$Z$2:$Z$201,0)),"")</f>
        <v/>
      </c>
      <c r="O32">
        <f>IFERROR(INDEX(Objekte!$AF$2:$AF$201,MATCH($A32,Objekte!$Z$2:$Z$201,0)),"")</f>
        <v/>
      </c>
      <c r="P32">
        <f>IFERROR(INDEX(Objekte!$C$2:$C$201,MATCH($A32,Objekte!$Z$2:$Z$201,0)),"")</f>
        <v/>
      </c>
      <c r="Q32">
        <f>IFERROR(INDEX(Objekte!$AD$2:$AD$201,MATCH($A32,Objekte!$Z$2:$Z$201,0)),"")</f>
        <v/>
      </c>
      <c r="R32">
        <f>IFERROR(INDEX(Objekte!$AB$2:$AB$201,MATCH($A32,Objekte!$Z$2:$Z$201,0)),"")</f>
        <v/>
      </c>
    </row>
    <row r="33">
      <c r="A33" t="n">
        <v>30</v>
      </c>
      <c r="B33">
        <f>IFERROR(INDEX(Objekte!$B$2:$B$201,MATCH($A33,Objekte!$Z$2:$Z$201,0)),"")</f>
        <v/>
      </c>
      <c r="C33">
        <f>IFERROR(INDEX(Objekte!$X$2:$X$201,MATCH($A33,Objekte!$Z$2:$Z$201,0)),"")</f>
        <v/>
      </c>
      <c r="D33">
        <f>IFERROR(INDEX(Objekte!$W$2:$W$201,MATCH($A33,Objekte!$Z$2:$Z$201,0)),"")</f>
        <v/>
      </c>
      <c r="E33">
        <f>IFERROR(INDEX(Objekte!$L$2:$L$201,MATCH($A33,Objekte!$Z$2:$Z$201,0)),"")</f>
        <v/>
      </c>
      <c r="F33">
        <f>IFERROR(INDEX(Objekte!$N$2:$N$201,MATCH($A33,Objekte!$Z$2:$Z$201,0)),"")</f>
        <v/>
      </c>
      <c r="G33">
        <f>IFERROR(INDEX(Objekte!$P$2:$P$201,MATCH($A33,Objekte!$Z$2:$Z$201,0)),"")</f>
        <v/>
      </c>
      <c r="H33">
        <f>IFERROR(INDEX(Objekte!$E$2:$E$201,MATCH($A33,Objekte!$Z$2:$Z$201,0)),"")</f>
        <v/>
      </c>
      <c r="I33">
        <f>IFERROR(INDEX(Objekte!$G$2:$G$201,MATCH($A33,Objekte!$Z$2:$Z$201,0)),"")</f>
        <v/>
      </c>
      <c r="J33">
        <f>IFERROR(INDEX(Objekte!$I$2:$I$201,MATCH($A33,Objekte!$Z$2:$Z$201,0)),"")</f>
        <v/>
      </c>
      <c r="K33">
        <f>IFERROR(INDEX(Objekte!$Q$2:$Q$201,MATCH($A33,Objekte!$Z$2:$Z$201,0)),"")</f>
        <v/>
      </c>
      <c r="L33">
        <f>IFERROR(INDEX(Objekte!$V$2:$V$201,MATCH($A33,Objekte!$Z$2:$Z$201,0)),"")</f>
        <v/>
      </c>
      <c r="M33">
        <f>IFERROR(INDEX(Objekte!$D$2:$D$201,MATCH($A33,Objekte!$Z$2:$Z$201,0)),"")</f>
        <v/>
      </c>
      <c r="N33">
        <f>IFERROR(INDEX(Objekte!$U$2:$U$201,MATCH($A33,Objekte!$Z$2:$Z$201,0)),"")</f>
        <v/>
      </c>
      <c r="O33">
        <f>IFERROR(INDEX(Objekte!$AF$2:$AF$201,MATCH($A33,Objekte!$Z$2:$Z$201,0)),"")</f>
        <v/>
      </c>
      <c r="P33">
        <f>IFERROR(INDEX(Objekte!$C$2:$C$201,MATCH($A33,Objekte!$Z$2:$Z$201,0)),"")</f>
        <v/>
      </c>
      <c r="Q33">
        <f>IFERROR(INDEX(Objekte!$AD$2:$AD$201,MATCH($A33,Objekte!$Z$2:$Z$201,0)),"")</f>
        <v/>
      </c>
      <c r="R33">
        <f>IFERROR(INDEX(Objekte!$AB$2:$AB$201,MATCH($A33,Objekte!$Z$2:$Z$201,0)),"")</f>
        <v/>
      </c>
    </row>
    <row r="34">
      <c r="A34" t="n">
        <v>31</v>
      </c>
      <c r="B34">
        <f>IFERROR(INDEX(Objekte!$B$2:$B$201,MATCH($A34,Objekte!$Z$2:$Z$201,0)),"")</f>
        <v/>
      </c>
      <c r="C34">
        <f>IFERROR(INDEX(Objekte!$X$2:$X$201,MATCH($A34,Objekte!$Z$2:$Z$201,0)),"")</f>
        <v/>
      </c>
      <c r="D34">
        <f>IFERROR(INDEX(Objekte!$W$2:$W$201,MATCH($A34,Objekte!$Z$2:$Z$201,0)),"")</f>
        <v/>
      </c>
      <c r="E34">
        <f>IFERROR(INDEX(Objekte!$L$2:$L$201,MATCH($A34,Objekte!$Z$2:$Z$201,0)),"")</f>
        <v/>
      </c>
      <c r="F34">
        <f>IFERROR(INDEX(Objekte!$N$2:$N$201,MATCH($A34,Objekte!$Z$2:$Z$201,0)),"")</f>
        <v/>
      </c>
      <c r="G34">
        <f>IFERROR(INDEX(Objekte!$P$2:$P$201,MATCH($A34,Objekte!$Z$2:$Z$201,0)),"")</f>
        <v/>
      </c>
      <c r="H34">
        <f>IFERROR(INDEX(Objekte!$E$2:$E$201,MATCH($A34,Objekte!$Z$2:$Z$201,0)),"")</f>
        <v/>
      </c>
      <c r="I34">
        <f>IFERROR(INDEX(Objekte!$G$2:$G$201,MATCH($A34,Objekte!$Z$2:$Z$201,0)),"")</f>
        <v/>
      </c>
      <c r="J34">
        <f>IFERROR(INDEX(Objekte!$I$2:$I$201,MATCH($A34,Objekte!$Z$2:$Z$201,0)),"")</f>
        <v/>
      </c>
      <c r="K34">
        <f>IFERROR(INDEX(Objekte!$Q$2:$Q$201,MATCH($A34,Objekte!$Z$2:$Z$201,0)),"")</f>
        <v/>
      </c>
      <c r="L34">
        <f>IFERROR(INDEX(Objekte!$V$2:$V$201,MATCH($A34,Objekte!$Z$2:$Z$201,0)),"")</f>
        <v/>
      </c>
      <c r="M34">
        <f>IFERROR(INDEX(Objekte!$D$2:$D$201,MATCH($A34,Objekte!$Z$2:$Z$201,0)),"")</f>
        <v/>
      </c>
      <c r="N34">
        <f>IFERROR(INDEX(Objekte!$U$2:$U$201,MATCH($A34,Objekte!$Z$2:$Z$201,0)),"")</f>
        <v/>
      </c>
      <c r="O34">
        <f>IFERROR(INDEX(Objekte!$AF$2:$AF$201,MATCH($A34,Objekte!$Z$2:$Z$201,0)),"")</f>
        <v/>
      </c>
      <c r="P34">
        <f>IFERROR(INDEX(Objekte!$C$2:$C$201,MATCH($A34,Objekte!$Z$2:$Z$201,0)),"")</f>
        <v/>
      </c>
      <c r="Q34">
        <f>IFERROR(INDEX(Objekte!$AD$2:$AD$201,MATCH($A34,Objekte!$Z$2:$Z$201,0)),"")</f>
        <v/>
      </c>
      <c r="R34">
        <f>IFERROR(INDEX(Objekte!$AB$2:$AB$201,MATCH($A34,Objekte!$Z$2:$Z$201,0)),"")</f>
        <v/>
      </c>
    </row>
    <row r="35">
      <c r="A35" t="n">
        <v>32</v>
      </c>
      <c r="B35">
        <f>IFERROR(INDEX(Objekte!$B$2:$B$201,MATCH($A35,Objekte!$Z$2:$Z$201,0)),"")</f>
        <v/>
      </c>
      <c r="C35">
        <f>IFERROR(INDEX(Objekte!$X$2:$X$201,MATCH($A35,Objekte!$Z$2:$Z$201,0)),"")</f>
        <v/>
      </c>
      <c r="D35">
        <f>IFERROR(INDEX(Objekte!$W$2:$W$201,MATCH($A35,Objekte!$Z$2:$Z$201,0)),"")</f>
        <v/>
      </c>
      <c r="E35">
        <f>IFERROR(INDEX(Objekte!$L$2:$L$201,MATCH($A35,Objekte!$Z$2:$Z$201,0)),"")</f>
        <v/>
      </c>
      <c r="F35">
        <f>IFERROR(INDEX(Objekte!$N$2:$N$201,MATCH($A35,Objekte!$Z$2:$Z$201,0)),"")</f>
        <v/>
      </c>
      <c r="G35">
        <f>IFERROR(INDEX(Objekte!$P$2:$P$201,MATCH($A35,Objekte!$Z$2:$Z$201,0)),"")</f>
        <v/>
      </c>
      <c r="H35">
        <f>IFERROR(INDEX(Objekte!$E$2:$E$201,MATCH($A35,Objekte!$Z$2:$Z$201,0)),"")</f>
        <v/>
      </c>
      <c r="I35">
        <f>IFERROR(INDEX(Objekte!$G$2:$G$201,MATCH($A35,Objekte!$Z$2:$Z$201,0)),"")</f>
        <v/>
      </c>
      <c r="J35">
        <f>IFERROR(INDEX(Objekte!$I$2:$I$201,MATCH($A35,Objekte!$Z$2:$Z$201,0)),"")</f>
        <v/>
      </c>
      <c r="K35">
        <f>IFERROR(INDEX(Objekte!$Q$2:$Q$201,MATCH($A35,Objekte!$Z$2:$Z$201,0)),"")</f>
        <v/>
      </c>
      <c r="L35">
        <f>IFERROR(INDEX(Objekte!$V$2:$V$201,MATCH($A35,Objekte!$Z$2:$Z$201,0)),"")</f>
        <v/>
      </c>
      <c r="M35">
        <f>IFERROR(INDEX(Objekte!$D$2:$D$201,MATCH($A35,Objekte!$Z$2:$Z$201,0)),"")</f>
        <v/>
      </c>
      <c r="N35">
        <f>IFERROR(INDEX(Objekte!$U$2:$U$201,MATCH($A35,Objekte!$Z$2:$Z$201,0)),"")</f>
        <v/>
      </c>
      <c r="O35">
        <f>IFERROR(INDEX(Objekte!$AF$2:$AF$201,MATCH($A35,Objekte!$Z$2:$Z$201,0)),"")</f>
        <v/>
      </c>
      <c r="P35">
        <f>IFERROR(INDEX(Objekte!$C$2:$C$201,MATCH($A35,Objekte!$Z$2:$Z$201,0)),"")</f>
        <v/>
      </c>
      <c r="Q35">
        <f>IFERROR(INDEX(Objekte!$AD$2:$AD$201,MATCH($A35,Objekte!$Z$2:$Z$201,0)),"")</f>
        <v/>
      </c>
      <c r="R35">
        <f>IFERROR(INDEX(Objekte!$AB$2:$AB$201,MATCH($A35,Objekte!$Z$2:$Z$201,0)),"")</f>
        <v/>
      </c>
    </row>
    <row r="36">
      <c r="A36" t="n">
        <v>33</v>
      </c>
      <c r="B36">
        <f>IFERROR(INDEX(Objekte!$B$2:$B$201,MATCH($A36,Objekte!$Z$2:$Z$201,0)),"")</f>
        <v/>
      </c>
      <c r="C36">
        <f>IFERROR(INDEX(Objekte!$X$2:$X$201,MATCH($A36,Objekte!$Z$2:$Z$201,0)),"")</f>
        <v/>
      </c>
      <c r="D36">
        <f>IFERROR(INDEX(Objekte!$W$2:$W$201,MATCH($A36,Objekte!$Z$2:$Z$201,0)),"")</f>
        <v/>
      </c>
      <c r="E36">
        <f>IFERROR(INDEX(Objekte!$L$2:$L$201,MATCH($A36,Objekte!$Z$2:$Z$201,0)),"")</f>
        <v/>
      </c>
      <c r="F36">
        <f>IFERROR(INDEX(Objekte!$N$2:$N$201,MATCH($A36,Objekte!$Z$2:$Z$201,0)),"")</f>
        <v/>
      </c>
      <c r="G36">
        <f>IFERROR(INDEX(Objekte!$P$2:$P$201,MATCH($A36,Objekte!$Z$2:$Z$201,0)),"")</f>
        <v/>
      </c>
      <c r="H36">
        <f>IFERROR(INDEX(Objekte!$E$2:$E$201,MATCH($A36,Objekte!$Z$2:$Z$201,0)),"")</f>
        <v/>
      </c>
      <c r="I36">
        <f>IFERROR(INDEX(Objekte!$G$2:$G$201,MATCH($A36,Objekte!$Z$2:$Z$201,0)),"")</f>
        <v/>
      </c>
      <c r="J36">
        <f>IFERROR(INDEX(Objekte!$I$2:$I$201,MATCH($A36,Objekte!$Z$2:$Z$201,0)),"")</f>
        <v/>
      </c>
      <c r="K36">
        <f>IFERROR(INDEX(Objekte!$Q$2:$Q$201,MATCH($A36,Objekte!$Z$2:$Z$201,0)),"")</f>
        <v/>
      </c>
      <c r="L36">
        <f>IFERROR(INDEX(Objekte!$V$2:$V$201,MATCH($A36,Objekte!$Z$2:$Z$201,0)),"")</f>
        <v/>
      </c>
      <c r="M36">
        <f>IFERROR(INDEX(Objekte!$D$2:$D$201,MATCH($A36,Objekte!$Z$2:$Z$201,0)),"")</f>
        <v/>
      </c>
      <c r="N36">
        <f>IFERROR(INDEX(Objekte!$U$2:$U$201,MATCH($A36,Objekte!$Z$2:$Z$201,0)),"")</f>
        <v/>
      </c>
      <c r="O36">
        <f>IFERROR(INDEX(Objekte!$AF$2:$AF$201,MATCH($A36,Objekte!$Z$2:$Z$201,0)),"")</f>
        <v/>
      </c>
      <c r="P36">
        <f>IFERROR(INDEX(Objekte!$C$2:$C$201,MATCH($A36,Objekte!$Z$2:$Z$201,0)),"")</f>
        <v/>
      </c>
      <c r="Q36">
        <f>IFERROR(INDEX(Objekte!$AD$2:$AD$201,MATCH($A36,Objekte!$Z$2:$Z$201,0)),"")</f>
        <v/>
      </c>
      <c r="R36">
        <f>IFERROR(INDEX(Objekte!$AB$2:$AB$201,MATCH($A36,Objekte!$Z$2:$Z$201,0)),"")</f>
        <v/>
      </c>
    </row>
    <row r="37">
      <c r="A37" t="n">
        <v>34</v>
      </c>
      <c r="B37">
        <f>IFERROR(INDEX(Objekte!$B$2:$B$201,MATCH($A37,Objekte!$Z$2:$Z$201,0)),"")</f>
        <v/>
      </c>
      <c r="C37">
        <f>IFERROR(INDEX(Objekte!$X$2:$X$201,MATCH($A37,Objekte!$Z$2:$Z$201,0)),"")</f>
        <v/>
      </c>
      <c r="D37">
        <f>IFERROR(INDEX(Objekte!$W$2:$W$201,MATCH($A37,Objekte!$Z$2:$Z$201,0)),"")</f>
        <v/>
      </c>
      <c r="E37">
        <f>IFERROR(INDEX(Objekte!$L$2:$L$201,MATCH($A37,Objekte!$Z$2:$Z$201,0)),"")</f>
        <v/>
      </c>
      <c r="F37">
        <f>IFERROR(INDEX(Objekte!$N$2:$N$201,MATCH($A37,Objekte!$Z$2:$Z$201,0)),"")</f>
        <v/>
      </c>
      <c r="G37">
        <f>IFERROR(INDEX(Objekte!$P$2:$P$201,MATCH($A37,Objekte!$Z$2:$Z$201,0)),"")</f>
        <v/>
      </c>
      <c r="H37">
        <f>IFERROR(INDEX(Objekte!$E$2:$E$201,MATCH($A37,Objekte!$Z$2:$Z$201,0)),"")</f>
        <v/>
      </c>
      <c r="I37">
        <f>IFERROR(INDEX(Objekte!$G$2:$G$201,MATCH($A37,Objekte!$Z$2:$Z$201,0)),"")</f>
        <v/>
      </c>
      <c r="J37">
        <f>IFERROR(INDEX(Objekte!$I$2:$I$201,MATCH($A37,Objekte!$Z$2:$Z$201,0)),"")</f>
        <v/>
      </c>
      <c r="K37">
        <f>IFERROR(INDEX(Objekte!$Q$2:$Q$201,MATCH($A37,Objekte!$Z$2:$Z$201,0)),"")</f>
        <v/>
      </c>
      <c r="L37">
        <f>IFERROR(INDEX(Objekte!$V$2:$V$201,MATCH($A37,Objekte!$Z$2:$Z$201,0)),"")</f>
        <v/>
      </c>
      <c r="M37">
        <f>IFERROR(INDEX(Objekte!$D$2:$D$201,MATCH($A37,Objekte!$Z$2:$Z$201,0)),"")</f>
        <v/>
      </c>
      <c r="N37">
        <f>IFERROR(INDEX(Objekte!$U$2:$U$201,MATCH($A37,Objekte!$Z$2:$Z$201,0)),"")</f>
        <v/>
      </c>
      <c r="O37">
        <f>IFERROR(INDEX(Objekte!$AF$2:$AF$201,MATCH($A37,Objekte!$Z$2:$Z$201,0)),"")</f>
        <v/>
      </c>
      <c r="P37">
        <f>IFERROR(INDEX(Objekte!$C$2:$C$201,MATCH($A37,Objekte!$Z$2:$Z$201,0)),"")</f>
        <v/>
      </c>
      <c r="Q37">
        <f>IFERROR(INDEX(Objekte!$AD$2:$AD$201,MATCH($A37,Objekte!$Z$2:$Z$201,0)),"")</f>
        <v/>
      </c>
      <c r="R37">
        <f>IFERROR(INDEX(Objekte!$AB$2:$AB$201,MATCH($A37,Objekte!$Z$2:$Z$201,0)),"")</f>
        <v/>
      </c>
    </row>
    <row r="38">
      <c r="A38" t="n">
        <v>35</v>
      </c>
      <c r="B38">
        <f>IFERROR(INDEX(Objekte!$B$2:$B$201,MATCH($A38,Objekte!$Z$2:$Z$201,0)),"")</f>
        <v/>
      </c>
      <c r="C38">
        <f>IFERROR(INDEX(Objekte!$X$2:$X$201,MATCH($A38,Objekte!$Z$2:$Z$201,0)),"")</f>
        <v/>
      </c>
      <c r="D38">
        <f>IFERROR(INDEX(Objekte!$W$2:$W$201,MATCH($A38,Objekte!$Z$2:$Z$201,0)),"")</f>
        <v/>
      </c>
      <c r="E38">
        <f>IFERROR(INDEX(Objekte!$L$2:$L$201,MATCH($A38,Objekte!$Z$2:$Z$201,0)),"")</f>
        <v/>
      </c>
      <c r="F38">
        <f>IFERROR(INDEX(Objekte!$N$2:$N$201,MATCH($A38,Objekte!$Z$2:$Z$201,0)),"")</f>
        <v/>
      </c>
      <c r="G38">
        <f>IFERROR(INDEX(Objekte!$P$2:$P$201,MATCH($A38,Objekte!$Z$2:$Z$201,0)),"")</f>
        <v/>
      </c>
      <c r="H38">
        <f>IFERROR(INDEX(Objekte!$E$2:$E$201,MATCH($A38,Objekte!$Z$2:$Z$201,0)),"")</f>
        <v/>
      </c>
      <c r="I38">
        <f>IFERROR(INDEX(Objekte!$G$2:$G$201,MATCH($A38,Objekte!$Z$2:$Z$201,0)),"")</f>
        <v/>
      </c>
      <c r="J38">
        <f>IFERROR(INDEX(Objekte!$I$2:$I$201,MATCH($A38,Objekte!$Z$2:$Z$201,0)),"")</f>
        <v/>
      </c>
      <c r="K38">
        <f>IFERROR(INDEX(Objekte!$Q$2:$Q$201,MATCH($A38,Objekte!$Z$2:$Z$201,0)),"")</f>
        <v/>
      </c>
      <c r="L38">
        <f>IFERROR(INDEX(Objekte!$V$2:$V$201,MATCH($A38,Objekte!$Z$2:$Z$201,0)),"")</f>
        <v/>
      </c>
      <c r="M38">
        <f>IFERROR(INDEX(Objekte!$D$2:$D$201,MATCH($A38,Objekte!$Z$2:$Z$201,0)),"")</f>
        <v/>
      </c>
      <c r="N38">
        <f>IFERROR(INDEX(Objekte!$U$2:$U$201,MATCH($A38,Objekte!$Z$2:$Z$201,0)),"")</f>
        <v/>
      </c>
      <c r="O38">
        <f>IFERROR(INDEX(Objekte!$AF$2:$AF$201,MATCH($A38,Objekte!$Z$2:$Z$201,0)),"")</f>
        <v/>
      </c>
      <c r="P38">
        <f>IFERROR(INDEX(Objekte!$C$2:$C$201,MATCH($A38,Objekte!$Z$2:$Z$201,0)),"")</f>
        <v/>
      </c>
      <c r="Q38">
        <f>IFERROR(INDEX(Objekte!$AD$2:$AD$201,MATCH($A38,Objekte!$Z$2:$Z$201,0)),"")</f>
        <v/>
      </c>
      <c r="R38">
        <f>IFERROR(INDEX(Objekte!$AB$2:$AB$201,MATCH($A38,Objekte!$Z$2:$Z$201,0)),"")</f>
        <v/>
      </c>
    </row>
    <row r="39">
      <c r="A39" t="n">
        <v>36</v>
      </c>
      <c r="B39">
        <f>IFERROR(INDEX(Objekte!$B$2:$B$201,MATCH($A39,Objekte!$Z$2:$Z$201,0)),"")</f>
        <v/>
      </c>
      <c r="C39">
        <f>IFERROR(INDEX(Objekte!$X$2:$X$201,MATCH($A39,Objekte!$Z$2:$Z$201,0)),"")</f>
        <v/>
      </c>
      <c r="D39">
        <f>IFERROR(INDEX(Objekte!$W$2:$W$201,MATCH($A39,Objekte!$Z$2:$Z$201,0)),"")</f>
        <v/>
      </c>
      <c r="E39">
        <f>IFERROR(INDEX(Objekte!$L$2:$L$201,MATCH($A39,Objekte!$Z$2:$Z$201,0)),"")</f>
        <v/>
      </c>
      <c r="F39">
        <f>IFERROR(INDEX(Objekte!$N$2:$N$201,MATCH($A39,Objekte!$Z$2:$Z$201,0)),"")</f>
        <v/>
      </c>
      <c r="G39">
        <f>IFERROR(INDEX(Objekte!$P$2:$P$201,MATCH($A39,Objekte!$Z$2:$Z$201,0)),"")</f>
        <v/>
      </c>
      <c r="H39">
        <f>IFERROR(INDEX(Objekte!$E$2:$E$201,MATCH($A39,Objekte!$Z$2:$Z$201,0)),"")</f>
        <v/>
      </c>
      <c r="I39">
        <f>IFERROR(INDEX(Objekte!$G$2:$G$201,MATCH($A39,Objekte!$Z$2:$Z$201,0)),"")</f>
        <v/>
      </c>
      <c r="J39">
        <f>IFERROR(INDEX(Objekte!$I$2:$I$201,MATCH($A39,Objekte!$Z$2:$Z$201,0)),"")</f>
        <v/>
      </c>
      <c r="K39">
        <f>IFERROR(INDEX(Objekte!$Q$2:$Q$201,MATCH($A39,Objekte!$Z$2:$Z$201,0)),"")</f>
        <v/>
      </c>
      <c r="L39">
        <f>IFERROR(INDEX(Objekte!$V$2:$V$201,MATCH($A39,Objekte!$Z$2:$Z$201,0)),"")</f>
        <v/>
      </c>
      <c r="M39">
        <f>IFERROR(INDEX(Objekte!$D$2:$D$201,MATCH($A39,Objekte!$Z$2:$Z$201,0)),"")</f>
        <v/>
      </c>
      <c r="N39">
        <f>IFERROR(INDEX(Objekte!$U$2:$U$201,MATCH($A39,Objekte!$Z$2:$Z$201,0)),"")</f>
        <v/>
      </c>
      <c r="O39">
        <f>IFERROR(INDEX(Objekte!$AF$2:$AF$201,MATCH($A39,Objekte!$Z$2:$Z$201,0)),"")</f>
        <v/>
      </c>
      <c r="P39">
        <f>IFERROR(INDEX(Objekte!$C$2:$C$201,MATCH($A39,Objekte!$Z$2:$Z$201,0)),"")</f>
        <v/>
      </c>
      <c r="Q39">
        <f>IFERROR(INDEX(Objekte!$AD$2:$AD$201,MATCH($A39,Objekte!$Z$2:$Z$201,0)),"")</f>
        <v/>
      </c>
      <c r="R39">
        <f>IFERROR(INDEX(Objekte!$AB$2:$AB$201,MATCH($A39,Objekte!$Z$2:$Z$201,0)),"")</f>
        <v/>
      </c>
    </row>
    <row r="40">
      <c r="A40" t="n">
        <v>37</v>
      </c>
      <c r="B40">
        <f>IFERROR(INDEX(Objekte!$B$2:$B$201,MATCH($A40,Objekte!$Z$2:$Z$201,0)),"")</f>
        <v/>
      </c>
      <c r="C40">
        <f>IFERROR(INDEX(Objekte!$X$2:$X$201,MATCH($A40,Objekte!$Z$2:$Z$201,0)),"")</f>
        <v/>
      </c>
      <c r="D40">
        <f>IFERROR(INDEX(Objekte!$W$2:$W$201,MATCH($A40,Objekte!$Z$2:$Z$201,0)),"")</f>
        <v/>
      </c>
      <c r="E40">
        <f>IFERROR(INDEX(Objekte!$L$2:$L$201,MATCH($A40,Objekte!$Z$2:$Z$201,0)),"")</f>
        <v/>
      </c>
      <c r="F40">
        <f>IFERROR(INDEX(Objekte!$N$2:$N$201,MATCH($A40,Objekte!$Z$2:$Z$201,0)),"")</f>
        <v/>
      </c>
      <c r="G40">
        <f>IFERROR(INDEX(Objekte!$P$2:$P$201,MATCH($A40,Objekte!$Z$2:$Z$201,0)),"")</f>
        <v/>
      </c>
      <c r="H40">
        <f>IFERROR(INDEX(Objekte!$E$2:$E$201,MATCH($A40,Objekte!$Z$2:$Z$201,0)),"")</f>
        <v/>
      </c>
      <c r="I40">
        <f>IFERROR(INDEX(Objekte!$G$2:$G$201,MATCH($A40,Objekte!$Z$2:$Z$201,0)),"")</f>
        <v/>
      </c>
      <c r="J40">
        <f>IFERROR(INDEX(Objekte!$I$2:$I$201,MATCH($A40,Objekte!$Z$2:$Z$201,0)),"")</f>
        <v/>
      </c>
      <c r="K40">
        <f>IFERROR(INDEX(Objekte!$Q$2:$Q$201,MATCH($A40,Objekte!$Z$2:$Z$201,0)),"")</f>
        <v/>
      </c>
      <c r="L40">
        <f>IFERROR(INDEX(Objekte!$V$2:$V$201,MATCH($A40,Objekte!$Z$2:$Z$201,0)),"")</f>
        <v/>
      </c>
      <c r="M40">
        <f>IFERROR(INDEX(Objekte!$D$2:$D$201,MATCH($A40,Objekte!$Z$2:$Z$201,0)),"")</f>
        <v/>
      </c>
      <c r="N40">
        <f>IFERROR(INDEX(Objekte!$U$2:$U$201,MATCH($A40,Objekte!$Z$2:$Z$201,0)),"")</f>
        <v/>
      </c>
      <c r="O40">
        <f>IFERROR(INDEX(Objekte!$AF$2:$AF$201,MATCH($A40,Objekte!$Z$2:$Z$201,0)),"")</f>
        <v/>
      </c>
      <c r="P40">
        <f>IFERROR(INDEX(Objekte!$C$2:$C$201,MATCH($A40,Objekte!$Z$2:$Z$201,0)),"")</f>
        <v/>
      </c>
      <c r="Q40">
        <f>IFERROR(INDEX(Objekte!$AD$2:$AD$201,MATCH($A40,Objekte!$Z$2:$Z$201,0)),"")</f>
        <v/>
      </c>
      <c r="R40">
        <f>IFERROR(INDEX(Objekte!$AB$2:$AB$201,MATCH($A40,Objekte!$Z$2:$Z$201,0)),"")</f>
        <v/>
      </c>
    </row>
    <row r="41">
      <c r="A41" t="n">
        <v>38</v>
      </c>
      <c r="B41">
        <f>IFERROR(INDEX(Objekte!$B$2:$B$201,MATCH($A41,Objekte!$Z$2:$Z$201,0)),"")</f>
        <v/>
      </c>
      <c r="C41">
        <f>IFERROR(INDEX(Objekte!$X$2:$X$201,MATCH($A41,Objekte!$Z$2:$Z$201,0)),"")</f>
        <v/>
      </c>
      <c r="D41">
        <f>IFERROR(INDEX(Objekte!$W$2:$W$201,MATCH($A41,Objekte!$Z$2:$Z$201,0)),"")</f>
        <v/>
      </c>
      <c r="E41">
        <f>IFERROR(INDEX(Objekte!$L$2:$L$201,MATCH($A41,Objekte!$Z$2:$Z$201,0)),"")</f>
        <v/>
      </c>
      <c r="F41">
        <f>IFERROR(INDEX(Objekte!$N$2:$N$201,MATCH($A41,Objekte!$Z$2:$Z$201,0)),"")</f>
        <v/>
      </c>
      <c r="G41">
        <f>IFERROR(INDEX(Objekte!$P$2:$P$201,MATCH($A41,Objekte!$Z$2:$Z$201,0)),"")</f>
        <v/>
      </c>
      <c r="H41">
        <f>IFERROR(INDEX(Objekte!$E$2:$E$201,MATCH($A41,Objekte!$Z$2:$Z$201,0)),"")</f>
        <v/>
      </c>
      <c r="I41">
        <f>IFERROR(INDEX(Objekte!$G$2:$G$201,MATCH($A41,Objekte!$Z$2:$Z$201,0)),"")</f>
        <v/>
      </c>
      <c r="J41">
        <f>IFERROR(INDEX(Objekte!$I$2:$I$201,MATCH($A41,Objekte!$Z$2:$Z$201,0)),"")</f>
        <v/>
      </c>
      <c r="K41">
        <f>IFERROR(INDEX(Objekte!$Q$2:$Q$201,MATCH($A41,Objekte!$Z$2:$Z$201,0)),"")</f>
        <v/>
      </c>
      <c r="L41">
        <f>IFERROR(INDEX(Objekte!$V$2:$V$201,MATCH($A41,Objekte!$Z$2:$Z$201,0)),"")</f>
        <v/>
      </c>
      <c r="M41">
        <f>IFERROR(INDEX(Objekte!$D$2:$D$201,MATCH($A41,Objekte!$Z$2:$Z$201,0)),"")</f>
        <v/>
      </c>
      <c r="N41">
        <f>IFERROR(INDEX(Objekte!$U$2:$U$201,MATCH($A41,Objekte!$Z$2:$Z$201,0)),"")</f>
        <v/>
      </c>
      <c r="O41">
        <f>IFERROR(INDEX(Objekte!$AF$2:$AF$201,MATCH($A41,Objekte!$Z$2:$Z$201,0)),"")</f>
        <v/>
      </c>
      <c r="P41">
        <f>IFERROR(INDEX(Objekte!$C$2:$C$201,MATCH($A41,Objekte!$Z$2:$Z$201,0)),"")</f>
        <v/>
      </c>
      <c r="Q41">
        <f>IFERROR(INDEX(Objekte!$AD$2:$AD$201,MATCH($A41,Objekte!$Z$2:$Z$201,0)),"")</f>
        <v/>
      </c>
      <c r="R41">
        <f>IFERROR(INDEX(Objekte!$AB$2:$AB$201,MATCH($A41,Objekte!$Z$2:$Z$201,0)),"")</f>
        <v/>
      </c>
    </row>
    <row r="42">
      <c r="A42" t="n">
        <v>39</v>
      </c>
      <c r="B42">
        <f>IFERROR(INDEX(Objekte!$B$2:$B$201,MATCH($A42,Objekte!$Z$2:$Z$201,0)),"")</f>
        <v/>
      </c>
      <c r="C42">
        <f>IFERROR(INDEX(Objekte!$X$2:$X$201,MATCH($A42,Objekte!$Z$2:$Z$201,0)),"")</f>
        <v/>
      </c>
      <c r="D42">
        <f>IFERROR(INDEX(Objekte!$W$2:$W$201,MATCH($A42,Objekte!$Z$2:$Z$201,0)),"")</f>
        <v/>
      </c>
      <c r="E42">
        <f>IFERROR(INDEX(Objekte!$L$2:$L$201,MATCH($A42,Objekte!$Z$2:$Z$201,0)),"")</f>
        <v/>
      </c>
      <c r="F42">
        <f>IFERROR(INDEX(Objekte!$N$2:$N$201,MATCH($A42,Objekte!$Z$2:$Z$201,0)),"")</f>
        <v/>
      </c>
      <c r="G42">
        <f>IFERROR(INDEX(Objekte!$P$2:$P$201,MATCH($A42,Objekte!$Z$2:$Z$201,0)),"")</f>
        <v/>
      </c>
      <c r="H42">
        <f>IFERROR(INDEX(Objekte!$E$2:$E$201,MATCH($A42,Objekte!$Z$2:$Z$201,0)),"")</f>
        <v/>
      </c>
      <c r="I42">
        <f>IFERROR(INDEX(Objekte!$G$2:$G$201,MATCH($A42,Objekte!$Z$2:$Z$201,0)),"")</f>
        <v/>
      </c>
      <c r="J42">
        <f>IFERROR(INDEX(Objekte!$I$2:$I$201,MATCH($A42,Objekte!$Z$2:$Z$201,0)),"")</f>
        <v/>
      </c>
      <c r="K42">
        <f>IFERROR(INDEX(Objekte!$Q$2:$Q$201,MATCH($A42,Objekte!$Z$2:$Z$201,0)),"")</f>
        <v/>
      </c>
      <c r="L42">
        <f>IFERROR(INDEX(Objekte!$V$2:$V$201,MATCH($A42,Objekte!$Z$2:$Z$201,0)),"")</f>
        <v/>
      </c>
      <c r="M42">
        <f>IFERROR(INDEX(Objekte!$D$2:$D$201,MATCH($A42,Objekte!$Z$2:$Z$201,0)),"")</f>
        <v/>
      </c>
      <c r="N42">
        <f>IFERROR(INDEX(Objekte!$U$2:$U$201,MATCH($A42,Objekte!$Z$2:$Z$201,0)),"")</f>
        <v/>
      </c>
      <c r="O42">
        <f>IFERROR(INDEX(Objekte!$AF$2:$AF$201,MATCH($A42,Objekte!$Z$2:$Z$201,0)),"")</f>
        <v/>
      </c>
      <c r="P42">
        <f>IFERROR(INDEX(Objekte!$C$2:$C$201,MATCH($A42,Objekte!$Z$2:$Z$201,0)),"")</f>
        <v/>
      </c>
      <c r="Q42">
        <f>IFERROR(INDEX(Objekte!$AD$2:$AD$201,MATCH($A42,Objekte!$Z$2:$Z$201,0)),"")</f>
        <v/>
      </c>
      <c r="R42">
        <f>IFERROR(INDEX(Objekte!$AB$2:$AB$201,MATCH($A42,Objekte!$Z$2:$Z$201,0)),"")</f>
        <v/>
      </c>
    </row>
    <row r="43">
      <c r="A43" t="n">
        <v>40</v>
      </c>
      <c r="B43">
        <f>IFERROR(INDEX(Objekte!$B$2:$B$201,MATCH($A43,Objekte!$Z$2:$Z$201,0)),"")</f>
        <v/>
      </c>
      <c r="C43">
        <f>IFERROR(INDEX(Objekte!$X$2:$X$201,MATCH($A43,Objekte!$Z$2:$Z$201,0)),"")</f>
        <v/>
      </c>
      <c r="D43">
        <f>IFERROR(INDEX(Objekte!$W$2:$W$201,MATCH($A43,Objekte!$Z$2:$Z$201,0)),"")</f>
        <v/>
      </c>
      <c r="E43">
        <f>IFERROR(INDEX(Objekte!$L$2:$L$201,MATCH($A43,Objekte!$Z$2:$Z$201,0)),"")</f>
        <v/>
      </c>
      <c r="F43">
        <f>IFERROR(INDEX(Objekte!$N$2:$N$201,MATCH($A43,Objekte!$Z$2:$Z$201,0)),"")</f>
        <v/>
      </c>
      <c r="G43">
        <f>IFERROR(INDEX(Objekte!$P$2:$P$201,MATCH($A43,Objekte!$Z$2:$Z$201,0)),"")</f>
        <v/>
      </c>
      <c r="H43">
        <f>IFERROR(INDEX(Objekte!$E$2:$E$201,MATCH($A43,Objekte!$Z$2:$Z$201,0)),"")</f>
        <v/>
      </c>
      <c r="I43">
        <f>IFERROR(INDEX(Objekte!$G$2:$G$201,MATCH($A43,Objekte!$Z$2:$Z$201,0)),"")</f>
        <v/>
      </c>
      <c r="J43">
        <f>IFERROR(INDEX(Objekte!$I$2:$I$201,MATCH($A43,Objekte!$Z$2:$Z$201,0)),"")</f>
        <v/>
      </c>
      <c r="K43">
        <f>IFERROR(INDEX(Objekte!$Q$2:$Q$201,MATCH($A43,Objekte!$Z$2:$Z$201,0)),"")</f>
        <v/>
      </c>
      <c r="L43">
        <f>IFERROR(INDEX(Objekte!$V$2:$V$201,MATCH($A43,Objekte!$Z$2:$Z$201,0)),"")</f>
        <v/>
      </c>
      <c r="M43">
        <f>IFERROR(INDEX(Objekte!$D$2:$D$201,MATCH($A43,Objekte!$Z$2:$Z$201,0)),"")</f>
        <v/>
      </c>
      <c r="N43">
        <f>IFERROR(INDEX(Objekte!$U$2:$U$201,MATCH($A43,Objekte!$Z$2:$Z$201,0)),"")</f>
        <v/>
      </c>
      <c r="O43">
        <f>IFERROR(INDEX(Objekte!$AF$2:$AF$201,MATCH($A43,Objekte!$Z$2:$Z$201,0)),"")</f>
        <v/>
      </c>
      <c r="P43">
        <f>IFERROR(INDEX(Objekte!$C$2:$C$201,MATCH($A43,Objekte!$Z$2:$Z$201,0)),"")</f>
        <v/>
      </c>
      <c r="Q43">
        <f>IFERROR(INDEX(Objekte!$AD$2:$AD$201,MATCH($A43,Objekte!$Z$2:$Z$201,0)),"")</f>
        <v/>
      </c>
      <c r="R43">
        <f>IFERROR(INDEX(Objekte!$AB$2:$AB$201,MATCH($A43,Objekte!$Z$2:$Z$201,0)),"")</f>
        <v/>
      </c>
    </row>
    <row r="44">
      <c r="A44" t="n">
        <v>41</v>
      </c>
      <c r="B44">
        <f>IFERROR(INDEX(Objekte!$B$2:$B$201,MATCH($A44,Objekte!$Z$2:$Z$201,0)),"")</f>
        <v/>
      </c>
      <c r="C44">
        <f>IFERROR(INDEX(Objekte!$X$2:$X$201,MATCH($A44,Objekte!$Z$2:$Z$201,0)),"")</f>
        <v/>
      </c>
      <c r="D44">
        <f>IFERROR(INDEX(Objekte!$W$2:$W$201,MATCH($A44,Objekte!$Z$2:$Z$201,0)),"")</f>
        <v/>
      </c>
      <c r="E44">
        <f>IFERROR(INDEX(Objekte!$L$2:$L$201,MATCH($A44,Objekte!$Z$2:$Z$201,0)),"")</f>
        <v/>
      </c>
      <c r="F44">
        <f>IFERROR(INDEX(Objekte!$N$2:$N$201,MATCH($A44,Objekte!$Z$2:$Z$201,0)),"")</f>
        <v/>
      </c>
      <c r="G44">
        <f>IFERROR(INDEX(Objekte!$P$2:$P$201,MATCH($A44,Objekte!$Z$2:$Z$201,0)),"")</f>
        <v/>
      </c>
      <c r="H44">
        <f>IFERROR(INDEX(Objekte!$E$2:$E$201,MATCH($A44,Objekte!$Z$2:$Z$201,0)),"")</f>
        <v/>
      </c>
      <c r="I44">
        <f>IFERROR(INDEX(Objekte!$G$2:$G$201,MATCH($A44,Objekte!$Z$2:$Z$201,0)),"")</f>
        <v/>
      </c>
      <c r="J44">
        <f>IFERROR(INDEX(Objekte!$I$2:$I$201,MATCH($A44,Objekte!$Z$2:$Z$201,0)),"")</f>
        <v/>
      </c>
      <c r="K44">
        <f>IFERROR(INDEX(Objekte!$Q$2:$Q$201,MATCH($A44,Objekte!$Z$2:$Z$201,0)),"")</f>
        <v/>
      </c>
      <c r="L44">
        <f>IFERROR(INDEX(Objekte!$V$2:$V$201,MATCH($A44,Objekte!$Z$2:$Z$201,0)),"")</f>
        <v/>
      </c>
      <c r="M44">
        <f>IFERROR(INDEX(Objekte!$D$2:$D$201,MATCH($A44,Objekte!$Z$2:$Z$201,0)),"")</f>
        <v/>
      </c>
      <c r="N44">
        <f>IFERROR(INDEX(Objekte!$U$2:$U$201,MATCH($A44,Objekte!$Z$2:$Z$201,0)),"")</f>
        <v/>
      </c>
      <c r="O44">
        <f>IFERROR(INDEX(Objekte!$AF$2:$AF$201,MATCH($A44,Objekte!$Z$2:$Z$201,0)),"")</f>
        <v/>
      </c>
      <c r="P44">
        <f>IFERROR(INDEX(Objekte!$C$2:$C$201,MATCH($A44,Objekte!$Z$2:$Z$201,0)),"")</f>
        <v/>
      </c>
      <c r="Q44">
        <f>IFERROR(INDEX(Objekte!$AD$2:$AD$201,MATCH($A44,Objekte!$Z$2:$Z$201,0)),"")</f>
        <v/>
      </c>
      <c r="R44">
        <f>IFERROR(INDEX(Objekte!$AB$2:$AB$201,MATCH($A44,Objekte!$Z$2:$Z$201,0)),"")</f>
        <v/>
      </c>
    </row>
    <row r="45">
      <c r="A45" t="n">
        <v>42</v>
      </c>
      <c r="B45">
        <f>IFERROR(INDEX(Objekte!$B$2:$B$201,MATCH($A45,Objekte!$Z$2:$Z$201,0)),"")</f>
        <v/>
      </c>
      <c r="C45">
        <f>IFERROR(INDEX(Objekte!$X$2:$X$201,MATCH($A45,Objekte!$Z$2:$Z$201,0)),"")</f>
        <v/>
      </c>
      <c r="D45">
        <f>IFERROR(INDEX(Objekte!$W$2:$W$201,MATCH($A45,Objekte!$Z$2:$Z$201,0)),"")</f>
        <v/>
      </c>
      <c r="E45">
        <f>IFERROR(INDEX(Objekte!$L$2:$L$201,MATCH($A45,Objekte!$Z$2:$Z$201,0)),"")</f>
        <v/>
      </c>
      <c r="F45">
        <f>IFERROR(INDEX(Objekte!$N$2:$N$201,MATCH($A45,Objekte!$Z$2:$Z$201,0)),"")</f>
        <v/>
      </c>
      <c r="G45">
        <f>IFERROR(INDEX(Objekte!$P$2:$P$201,MATCH($A45,Objekte!$Z$2:$Z$201,0)),"")</f>
        <v/>
      </c>
      <c r="H45">
        <f>IFERROR(INDEX(Objekte!$E$2:$E$201,MATCH($A45,Objekte!$Z$2:$Z$201,0)),"")</f>
        <v/>
      </c>
      <c r="I45">
        <f>IFERROR(INDEX(Objekte!$G$2:$G$201,MATCH($A45,Objekte!$Z$2:$Z$201,0)),"")</f>
        <v/>
      </c>
      <c r="J45">
        <f>IFERROR(INDEX(Objekte!$I$2:$I$201,MATCH($A45,Objekte!$Z$2:$Z$201,0)),"")</f>
        <v/>
      </c>
      <c r="K45">
        <f>IFERROR(INDEX(Objekte!$Q$2:$Q$201,MATCH($A45,Objekte!$Z$2:$Z$201,0)),"")</f>
        <v/>
      </c>
      <c r="L45">
        <f>IFERROR(INDEX(Objekte!$V$2:$V$201,MATCH($A45,Objekte!$Z$2:$Z$201,0)),"")</f>
        <v/>
      </c>
      <c r="M45">
        <f>IFERROR(INDEX(Objekte!$D$2:$D$201,MATCH($A45,Objekte!$Z$2:$Z$201,0)),"")</f>
        <v/>
      </c>
      <c r="N45">
        <f>IFERROR(INDEX(Objekte!$U$2:$U$201,MATCH($A45,Objekte!$Z$2:$Z$201,0)),"")</f>
        <v/>
      </c>
      <c r="O45">
        <f>IFERROR(INDEX(Objekte!$AF$2:$AF$201,MATCH($A45,Objekte!$Z$2:$Z$201,0)),"")</f>
        <v/>
      </c>
      <c r="P45">
        <f>IFERROR(INDEX(Objekte!$C$2:$C$201,MATCH($A45,Objekte!$Z$2:$Z$201,0)),"")</f>
        <v/>
      </c>
      <c r="Q45">
        <f>IFERROR(INDEX(Objekte!$AD$2:$AD$201,MATCH($A45,Objekte!$Z$2:$Z$201,0)),"")</f>
        <v/>
      </c>
      <c r="R45">
        <f>IFERROR(INDEX(Objekte!$AB$2:$AB$201,MATCH($A45,Objekte!$Z$2:$Z$201,0)),"")</f>
        <v/>
      </c>
    </row>
    <row r="46">
      <c r="A46" t="n">
        <v>43</v>
      </c>
      <c r="B46">
        <f>IFERROR(INDEX(Objekte!$B$2:$B$201,MATCH($A46,Objekte!$Z$2:$Z$201,0)),"")</f>
        <v/>
      </c>
      <c r="C46">
        <f>IFERROR(INDEX(Objekte!$X$2:$X$201,MATCH($A46,Objekte!$Z$2:$Z$201,0)),"")</f>
        <v/>
      </c>
      <c r="D46">
        <f>IFERROR(INDEX(Objekte!$W$2:$W$201,MATCH($A46,Objekte!$Z$2:$Z$201,0)),"")</f>
        <v/>
      </c>
      <c r="E46">
        <f>IFERROR(INDEX(Objekte!$L$2:$L$201,MATCH($A46,Objekte!$Z$2:$Z$201,0)),"")</f>
        <v/>
      </c>
      <c r="F46">
        <f>IFERROR(INDEX(Objekte!$N$2:$N$201,MATCH($A46,Objekte!$Z$2:$Z$201,0)),"")</f>
        <v/>
      </c>
      <c r="G46">
        <f>IFERROR(INDEX(Objekte!$P$2:$P$201,MATCH($A46,Objekte!$Z$2:$Z$201,0)),"")</f>
        <v/>
      </c>
      <c r="H46">
        <f>IFERROR(INDEX(Objekte!$E$2:$E$201,MATCH($A46,Objekte!$Z$2:$Z$201,0)),"")</f>
        <v/>
      </c>
      <c r="I46">
        <f>IFERROR(INDEX(Objekte!$G$2:$G$201,MATCH($A46,Objekte!$Z$2:$Z$201,0)),"")</f>
        <v/>
      </c>
      <c r="J46">
        <f>IFERROR(INDEX(Objekte!$I$2:$I$201,MATCH($A46,Objekte!$Z$2:$Z$201,0)),"")</f>
        <v/>
      </c>
      <c r="K46">
        <f>IFERROR(INDEX(Objekte!$Q$2:$Q$201,MATCH($A46,Objekte!$Z$2:$Z$201,0)),"")</f>
        <v/>
      </c>
      <c r="L46">
        <f>IFERROR(INDEX(Objekte!$V$2:$V$201,MATCH($A46,Objekte!$Z$2:$Z$201,0)),"")</f>
        <v/>
      </c>
      <c r="M46">
        <f>IFERROR(INDEX(Objekte!$D$2:$D$201,MATCH($A46,Objekte!$Z$2:$Z$201,0)),"")</f>
        <v/>
      </c>
      <c r="N46">
        <f>IFERROR(INDEX(Objekte!$U$2:$U$201,MATCH($A46,Objekte!$Z$2:$Z$201,0)),"")</f>
        <v/>
      </c>
      <c r="O46">
        <f>IFERROR(INDEX(Objekte!$AF$2:$AF$201,MATCH($A46,Objekte!$Z$2:$Z$201,0)),"")</f>
        <v/>
      </c>
      <c r="P46">
        <f>IFERROR(INDEX(Objekte!$C$2:$C$201,MATCH($A46,Objekte!$Z$2:$Z$201,0)),"")</f>
        <v/>
      </c>
      <c r="Q46">
        <f>IFERROR(INDEX(Objekte!$AD$2:$AD$201,MATCH($A46,Objekte!$Z$2:$Z$201,0)),"")</f>
        <v/>
      </c>
      <c r="R46">
        <f>IFERROR(INDEX(Objekte!$AB$2:$AB$201,MATCH($A46,Objekte!$Z$2:$Z$201,0)),"")</f>
        <v/>
      </c>
    </row>
    <row r="47">
      <c r="A47" t="n">
        <v>44</v>
      </c>
      <c r="B47">
        <f>IFERROR(INDEX(Objekte!$B$2:$B$201,MATCH($A47,Objekte!$Z$2:$Z$201,0)),"")</f>
        <v/>
      </c>
      <c r="C47">
        <f>IFERROR(INDEX(Objekte!$X$2:$X$201,MATCH($A47,Objekte!$Z$2:$Z$201,0)),"")</f>
        <v/>
      </c>
      <c r="D47">
        <f>IFERROR(INDEX(Objekte!$W$2:$W$201,MATCH($A47,Objekte!$Z$2:$Z$201,0)),"")</f>
        <v/>
      </c>
      <c r="E47">
        <f>IFERROR(INDEX(Objekte!$L$2:$L$201,MATCH($A47,Objekte!$Z$2:$Z$201,0)),"")</f>
        <v/>
      </c>
      <c r="F47">
        <f>IFERROR(INDEX(Objekte!$N$2:$N$201,MATCH($A47,Objekte!$Z$2:$Z$201,0)),"")</f>
        <v/>
      </c>
      <c r="G47">
        <f>IFERROR(INDEX(Objekte!$P$2:$P$201,MATCH($A47,Objekte!$Z$2:$Z$201,0)),"")</f>
        <v/>
      </c>
      <c r="H47">
        <f>IFERROR(INDEX(Objekte!$E$2:$E$201,MATCH($A47,Objekte!$Z$2:$Z$201,0)),"")</f>
        <v/>
      </c>
      <c r="I47">
        <f>IFERROR(INDEX(Objekte!$G$2:$G$201,MATCH($A47,Objekte!$Z$2:$Z$201,0)),"")</f>
        <v/>
      </c>
      <c r="J47">
        <f>IFERROR(INDEX(Objekte!$I$2:$I$201,MATCH($A47,Objekte!$Z$2:$Z$201,0)),"")</f>
        <v/>
      </c>
      <c r="K47">
        <f>IFERROR(INDEX(Objekte!$Q$2:$Q$201,MATCH($A47,Objekte!$Z$2:$Z$201,0)),"")</f>
        <v/>
      </c>
      <c r="L47">
        <f>IFERROR(INDEX(Objekte!$V$2:$V$201,MATCH($A47,Objekte!$Z$2:$Z$201,0)),"")</f>
        <v/>
      </c>
      <c r="M47">
        <f>IFERROR(INDEX(Objekte!$D$2:$D$201,MATCH($A47,Objekte!$Z$2:$Z$201,0)),"")</f>
        <v/>
      </c>
      <c r="N47">
        <f>IFERROR(INDEX(Objekte!$U$2:$U$201,MATCH($A47,Objekte!$Z$2:$Z$201,0)),"")</f>
        <v/>
      </c>
      <c r="O47">
        <f>IFERROR(INDEX(Objekte!$AF$2:$AF$201,MATCH($A47,Objekte!$Z$2:$Z$201,0)),"")</f>
        <v/>
      </c>
      <c r="P47">
        <f>IFERROR(INDEX(Objekte!$C$2:$C$201,MATCH($A47,Objekte!$Z$2:$Z$201,0)),"")</f>
        <v/>
      </c>
      <c r="Q47">
        <f>IFERROR(INDEX(Objekte!$AD$2:$AD$201,MATCH($A47,Objekte!$Z$2:$Z$201,0)),"")</f>
        <v/>
      </c>
      <c r="R47">
        <f>IFERROR(INDEX(Objekte!$AB$2:$AB$201,MATCH($A47,Objekte!$Z$2:$Z$201,0)),"")</f>
        <v/>
      </c>
    </row>
    <row r="48">
      <c r="A48" t="n">
        <v>45</v>
      </c>
      <c r="B48">
        <f>IFERROR(INDEX(Objekte!$B$2:$B$201,MATCH($A48,Objekte!$Z$2:$Z$201,0)),"")</f>
        <v/>
      </c>
      <c r="C48">
        <f>IFERROR(INDEX(Objekte!$X$2:$X$201,MATCH($A48,Objekte!$Z$2:$Z$201,0)),"")</f>
        <v/>
      </c>
      <c r="D48">
        <f>IFERROR(INDEX(Objekte!$W$2:$W$201,MATCH($A48,Objekte!$Z$2:$Z$201,0)),"")</f>
        <v/>
      </c>
      <c r="E48">
        <f>IFERROR(INDEX(Objekte!$L$2:$L$201,MATCH($A48,Objekte!$Z$2:$Z$201,0)),"")</f>
        <v/>
      </c>
      <c r="F48">
        <f>IFERROR(INDEX(Objekte!$N$2:$N$201,MATCH($A48,Objekte!$Z$2:$Z$201,0)),"")</f>
        <v/>
      </c>
      <c r="G48">
        <f>IFERROR(INDEX(Objekte!$P$2:$P$201,MATCH($A48,Objekte!$Z$2:$Z$201,0)),"")</f>
        <v/>
      </c>
      <c r="H48">
        <f>IFERROR(INDEX(Objekte!$E$2:$E$201,MATCH($A48,Objekte!$Z$2:$Z$201,0)),"")</f>
        <v/>
      </c>
      <c r="I48">
        <f>IFERROR(INDEX(Objekte!$G$2:$G$201,MATCH($A48,Objekte!$Z$2:$Z$201,0)),"")</f>
        <v/>
      </c>
      <c r="J48">
        <f>IFERROR(INDEX(Objekte!$I$2:$I$201,MATCH($A48,Objekte!$Z$2:$Z$201,0)),"")</f>
        <v/>
      </c>
      <c r="K48">
        <f>IFERROR(INDEX(Objekte!$Q$2:$Q$201,MATCH($A48,Objekte!$Z$2:$Z$201,0)),"")</f>
        <v/>
      </c>
      <c r="L48">
        <f>IFERROR(INDEX(Objekte!$V$2:$V$201,MATCH($A48,Objekte!$Z$2:$Z$201,0)),"")</f>
        <v/>
      </c>
      <c r="M48">
        <f>IFERROR(INDEX(Objekte!$D$2:$D$201,MATCH($A48,Objekte!$Z$2:$Z$201,0)),"")</f>
        <v/>
      </c>
      <c r="N48">
        <f>IFERROR(INDEX(Objekte!$U$2:$U$201,MATCH($A48,Objekte!$Z$2:$Z$201,0)),"")</f>
        <v/>
      </c>
      <c r="O48">
        <f>IFERROR(INDEX(Objekte!$AF$2:$AF$201,MATCH($A48,Objekte!$Z$2:$Z$201,0)),"")</f>
        <v/>
      </c>
      <c r="P48">
        <f>IFERROR(INDEX(Objekte!$C$2:$C$201,MATCH($A48,Objekte!$Z$2:$Z$201,0)),"")</f>
        <v/>
      </c>
      <c r="Q48">
        <f>IFERROR(INDEX(Objekte!$AD$2:$AD$201,MATCH($A48,Objekte!$Z$2:$Z$201,0)),"")</f>
        <v/>
      </c>
      <c r="R48">
        <f>IFERROR(INDEX(Objekte!$AB$2:$AB$201,MATCH($A48,Objekte!$Z$2:$Z$201,0)),"")</f>
        <v/>
      </c>
    </row>
    <row r="49">
      <c r="A49" t="n">
        <v>46</v>
      </c>
      <c r="B49">
        <f>IFERROR(INDEX(Objekte!$B$2:$B$201,MATCH($A49,Objekte!$Z$2:$Z$201,0)),"")</f>
        <v/>
      </c>
      <c r="C49">
        <f>IFERROR(INDEX(Objekte!$X$2:$X$201,MATCH($A49,Objekte!$Z$2:$Z$201,0)),"")</f>
        <v/>
      </c>
      <c r="D49">
        <f>IFERROR(INDEX(Objekte!$W$2:$W$201,MATCH($A49,Objekte!$Z$2:$Z$201,0)),"")</f>
        <v/>
      </c>
      <c r="E49">
        <f>IFERROR(INDEX(Objekte!$L$2:$L$201,MATCH($A49,Objekte!$Z$2:$Z$201,0)),"")</f>
        <v/>
      </c>
      <c r="F49">
        <f>IFERROR(INDEX(Objekte!$N$2:$N$201,MATCH($A49,Objekte!$Z$2:$Z$201,0)),"")</f>
        <v/>
      </c>
      <c r="G49">
        <f>IFERROR(INDEX(Objekte!$P$2:$P$201,MATCH($A49,Objekte!$Z$2:$Z$201,0)),"")</f>
        <v/>
      </c>
      <c r="H49">
        <f>IFERROR(INDEX(Objekte!$E$2:$E$201,MATCH($A49,Objekte!$Z$2:$Z$201,0)),"")</f>
        <v/>
      </c>
      <c r="I49">
        <f>IFERROR(INDEX(Objekte!$G$2:$G$201,MATCH($A49,Objekte!$Z$2:$Z$201,0)),"")</f>
        <v/>
      </c>
      <c r="J49">
        <f>IFERROR(INDEX(Objekte!$I$2:$I$201,MATCH($A49,Objekte!$Z$2:$Z$201,0)),"")</f>
        <v/>
      </c>
      <c r="K49">
        <f>IFERROR(INDEX(Objekte!$Q$2:$Q$201,MATCH($A49,Objekte!$Z$2:$Z$201,0)),"")</f>
        <v/>
      </c>
      <c r="L49">
        <f>IFERROR(INDEX(Objekte!$V$2:$V$201,MATCH($A49,Objekte!$Z$2:$Z$201,0)),"")</f>
        <v/>
      </c>
      <c r="M49">
        <f>IFERROR(INDEX(Objekte!$D$2:$D$201,MATCH($A49,Objekte!$Z$2:$Z$201,0)),"")</f>
        <v/>
      </c>
      <c r="N49">
        <f>IFERROR(INDEX(Objekte!$U$2:$U$201,MATCH($A49,Objekte!$Z$2:$Z$201,0)),"")</f>
        <v/>
      </c>
      <c r="O49">
        <f>IFERROR(INDEX(Objekte!$AF$2:$AF$201,MATCH($A49,Objekte!$Z$2:$Z$201,0)),"")</f>
        <v/>
      </c>
      <c r="P49">
        <f>IFERROR(INDEX(Objekte!$C$2:$C$201,MATCH($A49,Objekte!$Z$2:$Z$201,0)),"")</f>
        <v/>
      </c>
      <c r="Q49">
        <f>IFERROR(INDEX(Objekte!$AD$2:$AD$201,MATCH($A49,Objekte!$Z$2:$Z$201,0)),"")</f>
        <v/>
      </c>
      <c r="R49">
        <f>IFERROR(INDEX(Objekte!$AB$2:$AB$201,MATCH($A49,Objekte!$Z$2:$Z$201,0)),"")</f>
        <v/>
      </c>
    </row>
    <row r="50">
      <c r="A50" t="n">
        <v>47</v>
      </c>
      <c r="B50">
        <f>IFERROR(INDEX(Objekte!$B$2:$B$201,MATCH($A50,Objekte!$Z$2:$Z$201,0)),"")</f>
        <v/>
      </c>
      <c r="C50">
        <f>IFERROR(INDEX(Objekte!$X$2:$X$201,MATCH($A50,Objekte!$Z$2:$Z$201,0)),"")</f>
        <v/>
      </c>
      <c r="D50">
        <f>IFERROR(INDEX(Objekte!$W$2:$W$201,MATCH($A50,Objekte!$Z$2:$Z$201,0)),"")</f>
        <v/>
      </c>
      <c r="E50">
        <f>IFERROR(INDEX(Objekte!$L$2:$L$201,MATCH($A50,Objekte!$Z$2:$Z$201,0)),"")</f>
        <v/>
      </c>
      <c r="F50">
        <f>IFERROR(INDEX(Objekte!$N$2:$N$201,MATCH($A50,Objekte!$Z$2:$Z$201,0)),"")</f>
        <v/>
      </c>
      <c r="G50">
        <f>IFERROR(INDEX(Objekte!$P$2:$P$201,MATCH($A50,Objekte!$Z$2:$Z$201,0)),"")</f>
        <v/>
      </c>
      <c r="H50">
        <f>IFERROR(INDEX(Objekte!$E$2:$E$201,MATCH($A50,Objekte!$Z$2:$Z$201,0)),"")</f>
        <v/>
      </c>
      <c r="I50">
        <f>IFERROR(INDEX(Objekte!$G$2:$G$201,MATCH($A50,Objekte!$Z$2:$Z$201,0)),"")</f>
        <v/>
      </c>
      <c r="J50">
        <f>IFERROR(INDEX(Objekte!$I$2:$I$201,MATCH($A50,Objekte!$Z$2:$Z$201,0)),"")</f>
        <v/>
      </c>
      <c r="K50">
        <f>IFERROR(INDEX(Objekte!$Q$2:$Q$201,MATCH($A50,Objekte!$Z$2:$Z$201,0)),"")</f>
        <v/>
      </c>
      <c r="L50">
        <f>IFERROR(INDEX(Objekte!$V$2:$V$201,MATCH($A50,Objekte!$Z$2:$Z$201,0)),"")</f>
        <v/>
      </c>
      <c r="M50">
        <f>IFERROR(INDEX(Objekte!$D$2:$D$201,MATCH($A50,Objekte!$Z$2:$Z$201,0)),"")</f>
        <v/>
      </c>
      <c r="N50">
        <f>IFERROR(INDEX(Objekte!$U$2:$U$201,MATCH($A50,Objekte!$Z$2:$Z$201,0)),"")</f>
        <v/>
      </c>
      <c r="O50">
        <f>IFERROR(INDEX(Objekte!$AF$2:$AF$201,MATCH($A50,Objekte!$Z$2:$Z$201,0)),"")</f>
        <v/>
      </c>
      <c r="P50">
        <f>IFERROR(INDEX(Objekte!$C$2:$C$201,MATCH($A50,Objekte!$Z$2:$Z$201,0)),"")</f>
        <v/>
      </c>
      <c r="Q50">
        <f>IFERROR(INDEX(Objekte!$AD$2:$AD$201,MATCH($A50,Objekte!$Z$2:$Z$201,0)),"")</f>
        <v/>
      </c>
      <c r="R50">
        <f>IFERROR(INDEX(Objekte!$AB$2:$AB$201,MATCH($A50,Objekte!$Z$2:$Z$201,0)),"")</f>
        <v/>
      </c>
    </row>
    <row r="51">
      <c r="B51">
        <f>IFERROR(INDEX(Objekte!$B$2:$B$201,MATCH($A51,Objekte!$Z$2:$Z$201,0)),"")</f>
        <v/>
      </c>
      <c r="C51">
        <f>IFERROR(INDEX(Objekte!$X$2:$X$201,MATCH($A51,Objekte!$Z$2:$Z$201,0)),"")</f>
        <v/>
      </c>
      <c r="D51">
        <f>IFERROR(INDEX(Objekte!$W$2:$W$201,MATCH($A51,Objekte!$Z$2:$Z$201,0)),"")</f>
        <v/>
      </c>
      <c r="E51">
        <f>IFERROR(INDEX(Objekte!$L$2:$L$201,MATCH($A51,Objekte!$Z$2:$Z$201,0)),"")</f>
        <v/>
      </c>
      <c r="F51">
        <f>IFERROR(INDEX(Objekte!$N$2:$N$201,MATCH($A51,Objekte!$Z$2:$Z$201,0)),"")</f>
        <v/>
      </c>
      <c r="G51">
        <f>IFERROR(INDEX(Objekte!$P$2:$P$201,MATCH($A51,Objekte!$Z$2:$Z$201,0)),"")</f>
        <v/>
      </c>
      <c r="H51">
        <f>IFERROR(INDEX(Objekte!$E$2:$E$201,MATCH($A51,Objekte!$Z$2:$Z$201,0)),"")</f>
        <v/>
      </c>
      <c r="I51">
        <f>IFERROR(INDEX(Objekte!$G$2:$G$201,MATCH($A51,Objekte!$Z$2:$Z$201,0)),"")</f>
        <v/>
      </c>
      <c r="J51">
        <f>IFERROR(INDEX(Objekte!$I$2:$I$201,MATCH($A51,Objekte!$Z$2:$Z$201,0)),"")</f>
        <v/>
      </c>
      <c r="K51">
        <f>IFERROR(INDEX(Objekte!$Q$2:$Q$201,MATCH($A51,Objekte!$Z$2:$Z$201,0)),"")</f>
        <v/>
      </c>
      <c r="L51">
        <f>IFERROR(INDEX(Objekte!$V$2:$V$201,MATCH($A51,Objekte!$Z$2:$Z$201,0)),"")</f>
        <v/>
      </c>
      <c r="M51">
        <f>IFERROR(INDEX(Objekte!$D$2:$D$201,MATCH($A51,Objekte!$Z$2:$Z$201,0)),"")</f>
        <v/>
      </c>
      <c r="N51">
        <f>IFERROR(INDEX(Objekte!$U$2:$U$201,MATCH($A51,Objekte!$Z$2:$Z$201,0)),"")</f>
        <v/>
      </c>
      <c r="O51">
        <f>IFERROR(INDEX(Objekte!$AF$2:$AF$201,MATCH($A51,Objekte!$Z$2:$Z$201,0)),"")</f>
        <v/>
      </c>
      <c r="P51">
        <f>IFERROR(INDEX(Objekte!$C$2:$C$201,MATCH($A51,Objekte!$Z$2:$Z$201,0)),"")</f>
        <v/>
      </c>
      <c r="Q51">
        <f>IFERROR(INDEX(Objekte!$AD$2:$AD$201,MATCH($A51,Objekte!$Z$2:$Z$201,0)),"")</f>
        <v/>
      </c>
      <c r="R51">
        <f>IFERROR(INDEX(Objekte!$AB$2:$AB$201,MATCH($A51,Objekte!$Z$2:$Z$201,0)),"")</f>
        <v/>
      </c>
    </row>
    <row r="52">
      <c r="B52">
        <f>IFERROR(INDEX(Objekte!$B$2:$B$201,MATCH($A52,Objekte!$Z$2:$Z$201,0)),"")</f>
        <v/>
      </c>
      <c r="C52">
        <f>IFERROR(INDEX(Objekte!$X$2:$X$201,MATCH($A52,Objekte!$Z$2:$Z$201,0)),"")</f>
        <v/>
      </c>
      <c r="D52">
        <f>IFERROR(INDEX(Objekte!$W$2:$W$201,MATCH($A52,Objekte!$Z$2:$Z$201,0)),"")</f>
        <v/>
      </c>
      <c r="E52">
        <f>IFERROR(INDEX(Objekte!$L$2:$L$201,MATCH($A52,Objekte!$Z$2:$Z$201,0)),"")</f>
        <v/>
      </c>
      <c r="F52">
        <f>IFERROR(INDEX(Objekte!$N$2:$N$201,MATCH($A52,Objekte!$Z$2:$Z$201,0)),"")</f>
        <v/>
      </c>
      <c r="G52">
        <f>IFERROR(INDEX(Objekte!$P$2:$P$201,MATCH($A52,Objekte!$Z$2:$Z$201,0)),"")</f>
        <v/>
      </c>
      <c r="H52">
        <f>IFERROR(INDEX(Objekte!$E$2:$E$201,MATCH($A52,Objekte!$Z$2:$Z$201,0)),"")</f>
        <v/>
      </c>
      <c r="I52">
        <f>IFERROR(INDEX(Objekte!$G$2:$G$201,MATCH($A52,Objekte!$Z$2:$Z$201,0)),"")</f>
        <v/>
      </c>
      <c r="J52">
        <f>IFERROR(INDEX(Objekte!$I$2:$I$201,MATCH($A52,Objekte!$Z$2:$Z$201,0)),"")</f>
        <v/>
      </c>
      <c r="K52">
        <f>IFERROR(INDEX(Objekte!$Q$2:$Q$201,MATCH($A52,Objekte!$Z$2:$Z$201,0)),"")</f>
        <v/>
      </c>
      <c r="L52">
        <f>IFERROR(INDEX(Objekte!$V$2:$V$201,MATCH($A52,Objekte!$Z$2:$Z$201,0)),"")</f>
        <v/>
      </c>
      <c r="M52">
        <f>IFERROR(INDEX(Objekte!$D$2:$D$201,MATCH($A52,Objekte!$Z$2:$Z$201,0)),"")</f>
        <v/>
      </c>
      <c r="N52">
        <f>IFERROR(INDEX(Objekte!$U$2:$U$201,MATCH($A52,Objekte!$Z$2:$Z$201,0)),"")</f>
        <v/>
      </c>
      <c r="O52">
        <f>IFERROR(INDEX(Objekte!$AF$2:$AF$201,MATCH($A52,Objekte!$Z$2:$Z$201,0)),"")</f>
        <v/>
      </c>
      <c r="P52">
        <f>IFERROR(INDEX(Objekte!$C$2:$C$201,MATCH($A52,Objekte!$Z$2:$Z$201,0)),"")</f>
        <v/>
      </c>
      <c r="Q52">
        <f>IFERROR(INDEX(Objekte!$AD$2:$AD$201,MATCH($A52,Objekte!$Z$2:$Z$201,0)),"")</f>
        <v/>
      </c>
      <c r="R52">
        <f>IFERROR(INDEX(Objekte!$AB$2:$AB$201,MATCH($A52,Objekte!$Z$2:$Z$201,0)),"")</f>
        <v/>
      </c>
    </row>
    <row r="53">
      <c r="B53">
        <f>IFERROR(INDEX(Objekte!$B$2:$B$201,MATCH($A53,Objekte!$Z$2:$Z$201,0)),"")</f>
        <v/>
      </c>
      <c r="C53">
        <f>IFERROR(INDEX(Objekte!$X$2:$X$201,MATCH($A53,Objekte!$Z$2:$Z$201,0)),"")</f>
        <v/>
      </c>
      <c r="D53">
        <f>IFERROR(INDEX(Objekte!$W$2:$W$201,MATCH($A53,Objekte!$Z$2:$Z$201,0)),"")</f>
        <v/>
      </c>
      <c r="E53">
        <f>IFERROR(INDEX(Objekte!$L$2:$L$201,MATCH($A53,Objekte!$Z$2:$Z$201,0)),"")</f>
        <v/>
      </c>
      <c r="F53">
        <f>IFERROR(INDEX(Objekte!$N$2:$N$201,MATCH($A53,Objekte!$Z$2:$Z$201,0)),"")</f>
        <v/>
      </c>
      <c r="G53">
        <f>IFERROR(INDEX(Objekte!$P$2:$P$201,MATCH($A53,Objekte!$Z$2:$Z$201,0)),"")</f>
        <v/>
      </c>
      <c r="H53">
        <f>IFERROR(INDEX(Objekte!$E$2:$E$201,MATCH($A53,Objekte!$Z$2:$Z$201,0)),"")</f>
        <v/>
      </c>
      <c r="I53">
        <f>IFERROR(INDEX(Objekte!$G$2:$G$201,MATCH($A53,Objekte!$Z$2:$Z$201,0)),"")</f>
        <v/>
      </c>
      <c r="J53">
        <f>IFERROR(INDEX(Objekte!$I$2:$I$201,MATCH($A53,Objekte!$Z$2:$Z$201,0)),"")</f>
        <v/>
      </c>
      <c r="K53">
        <f>IFERROR(INDEX(Objekte!$Q$2:$Q$201,MATCH($A53,Objekte!$Z$2:$Z$201,0)),"")</f>
        <v/>
      </c>
      <c r="L53">
        <f>IFERROR(INDEX(Objekte!$V$2:$V$201,MATCH($A53,Objekte!$Z$2:$Z$201,0)),"")</f>
        <v/>
      </c>
      <c r="M53">
        <f>IFERROR(INDEX(Objekte!$D$2:$D$201,MATCH($A53,Objekte!$Z$2:$Z$201,0)),"")</f>
        <v/>
      </c>
      <c r="N53">
        <f>IFERROR(INDEX(Objekte!$U$2:$U$201,MATCH($A53,Objekte!$Z$2:$Z$201,0)),"")</f>
        <v/>
      </c>
      <c r="O53">
        <f>IFERROR(INDEX(Objekte!$AF$2:$AF$201,MATCH($A53,Objekte!$Z$2:$Z$201,0)),"")</f>
        <v/>
      </c>
      <c r="P53">
        <f>IFERROR(INDEX(Objekte!$C$2:$C$201,MATCH($A53,Objekte!$Z$2:$Z$201,0)),"")</f>
        <v/>
      </c>
      <c r="Q53">
        <f>IFERROR(INDEX(Objekte!$AD$2:$AD$201,MATCH($A53,Objekte!$Z$2:$Z$201,0)),"")</f>
        <v/>
      </c>
      <c r="R53">
        <f>IFERROR(INDEX(Objekte!$AB$2:$AB$201,MATCH($A53,Objekte!$Z$2:$Z$201,0)),"")</f>
        <v/>
      </c>
    </row>
    <row r="54">
      <c r="Q54">
        <f>IFERROR(INDEX(Objekte!$AD$2:$AD$201,MATCH($A54,Objekte!$Z$2:$Z$201,0)),"")</f>
        <v/>
      </c>
      <c r="R54">
        <f>IFERROR(INDEX(Objekte!$AB$2:$AB$201,MATCH($A54,Objekte!$Z$2:$Z$201,0)),"")</f>
        <v/>
      </c>
    </row>
    <row r="55">
      <c r="Q55">
        <f>IFERROR(INDEX(Objekte!$AD$2:$AD$201,MATCH($A55,Objekte!$Z$2:$Z$201,0)),"")</f>
        <v/>
      </c>
      <c r="R55">
        <f>IFERROR(INDEX(Objekte!$AB$2:$AB$201,MATCH($A55,Objekte!$Z$2:$Z$201,0)),"")</f>
        <v/>
      </c>
    </row>
    <row r="56">
      <c r="Q56">
        <f>IFERROR(INDEX(Objekte!$AD$2:$AD$201,MATCH($A56,Objekte!$Z$2:$Z$201,0)),"")</f>
        <v/>
      </c>
      <c r="R56">
        <f>IFERROR(INDEX(Objekte!$AB$2:$AB$201,MATCH($A56,Objekte!$Z$2:$Z$201,0)),"")</f>
        <v/>
      </c>
    </row>
    <row r="57">
      <c r="Q57">
        <f>IFERROR(INDEX(Objekte!$AD$2:$AD$201,MATCH($A57,Objekte!$Z$2:$Z$201,0)),"")</f>
        <v/>
      </c>
      <c r="R57">
        <f>IFERROR(INDEX(Objekte!$AB$2:$AB$201,MATCH($A57,Objekte!$Z$2:$Z$201,0)),"")</f>
        <v/>
      </c>
    </row>
    <row r="58">
      <c r="Q58">
        <f>IFERROR(INDEX(Objekte!$AD$2:$AD$201,MATCH($A58,Objekte!$Z$2:$Z$201,0)),"")</f>
        <v/>
      </c>
      <c r="R58">
        <f>IFERROR(INDEX(Objekte!$AB$2:$AB$201,MATCH($A58,Objekte!$Z$2:$Z$201,0)),"")</f>
        <v/>
      </c>
    </row>
    <row r="59">
      <c r="Q59">
        <f>IFERROR(INDEX(Objekte!$AD$2:$AD$201,MATCH($A59,Objekte!$Z$2:$Z$201,0)),"")</f>
        <v/>
      </c>
      <c r="R59">
        <f>IFERROR(INDEX(Objekte!$AB$2:$AB$201,MATCH($A59,Objekte!$Z$2:$Z$201,0)),"")</f>
        <v/>
      </c>
    </row>
    <row r="60">
      <c r="Q60">
        <f>IFERROR(INDEX(Objekte!$AD$2:$AD$201,MATCH($A60,Objekte!$Z$2:$Z$201,0)),"")</f>
        <v/>
      </c>
      <c r="R60">
        <f>IFERROR(INDEX(Objekte!$AB$2:$AB$201,MATCH($A60,Objekte!$Z$2:$Z$201,0)),"")</f>
        <v/>
      </c>
    </row>
    <row r="61">
      <c r="Q61">
        <f>IFERROR(INDEX(Objekte!$AD$2:$AD$201,MATCH($A61,Objekte!$Z$2:$Z$201,0)),"")</f>
        <v/>
      </c>
      <c r="R61">
        <f>IFERROR(INDEX(Objekte!$AB$2:$AB$201,MATCH($A61,Objekte!$Z$2:$Z$201,0)),"")</f>
        <v/>
      </c>
    </row>
    <row r="62">
      <c r="Q62">
        <f>IFERROR(INDEX(Objekte!$AD$2:$AD$201,MATCH($A62,Objekte!$Z$2:$Z$201,0)),"")</f>
        <v/>
      </c>
      <c r="R62">
        <f>IFERROR(INDEX(Objekte!$AB$2:$AB$201,MATCH($A62,Objekte!$Z$2:$Z$201,0)),"")</f>
        <v/>
      </c>
    </row>
    <row r="63">
      <c r="Q63">
        <f>IFERROR(INDEX(Objekte!$AD$2:$AD$201,MATCH($A63,Objekte!$Z$2:$Z$201,0)),"")</f>
        <v/>
      </c>
      <c r="R63">
        <f>IFERROR(INDEX(Objekte!$AB$2:$AB$201,MATCH($A63,Objekte!$Z$2:$Z$201,0)),"")</f>
        <v/>
      </c>
    </row>
    <row r="64">
      <c r="Q64">
        <f>IFERROR(INDEX(Objekte!$AD$2:$AD$201,MATCH($A64,Objekte!$Z$2:$Z$201,0)),"")</f>
        <v/>
      </c>
      <c r="R64">
        <f>IFERROR(INDEX(Objekte!$AB$2:$AB$201,MATCH($A64,Objekte!$Z$2:$Z$201,0)),"")</f>
        <v/>
      </c>
    </row>
    <row r="65">
      <c r="Q65">
        <f>IFERROR(INDEX(Objekte!$AD$2:$AD$201,MATCH($A65,Objekte!$Z$2:$Z$201,0)),"")</f>
        <v/>
      </c>
      <c r="R65">
        <f>IFERROR(INDEX(Objekte!$AB$2:$AB$201,MATCH($A65,Objekte!$Z$2:$Z$201,0)),"")</f>
        <v/>
      </c>
    </row>
    <row r="66">
      <c r="Q66">
        <f>IFERROR(INDEX(Objekte!$AD$2:$AD$201,MATCH($A66,Objekte!$Z$2:$Z$201,0)),"")</f>
        <v/>
      </c>
      <c r="R66">
        <f>IFERROR(INDEX(Objekte!$AB$2:$AB$201,MATCH($A66,Objekte!$Z$2:$Z$201,0)),"")</f>
        <v/>
      </c>
    </row>
    <row r="67">
      <c r="Q67">
        <f>IFERROR(INDEX(Objekte!$AD$2:$AD$201,MATCH($A67,Objekte!$Z$2:$Z$201,0)),"")</f>
        <v/>
      </c>
      <c r="R67">
        <f>IFERROR(INDEX(Objekte!$AB$2:$AB$201,MATCH($A67,Objekte!$Z$2:$Z$201,0)),"")</f>
        <v/>
      </c>
    </row>
    <row r="68">
      <c r="Q68">
        <f>IFERROR(INDEX(Objekte!$AD$2:$AD$201,MATCH($A68,Objekte!$Z$2:$Z$201,0)),"")</f>
        <v/>
      </c>
      <c r="R68">
        <f>IFERROR(INDEX(Objekte!$AB$2:$AB$201,MATCH($A68,Objekte!$Z$2:$Z$201,0)),"")</f>
        <v/>
      </c>
    </row>
    <row r="69">
      <c r="Q69">
        <f>IFERROR(INDEX(Objekte!$AD$2:$AD$201,MATCH($A69,Objekte!$Z$2:$Z$201,0)),"")</f>
        <v/>
      </c>
      <c r="R69">
        <f>IFERROR(INDEX(Objekte!$AB$2:$AB$201,MATCH($A69,Objekte!$Z$2:$Z$201,0)),"")</f>
        <v/>
      </c>
    </row>
    <row r="70">
      <c r="Q70">
        <f>IFERROR(INDEX(Objekte!$AD$2:$AD$201,MATCH($A70,Objekte!$Z$2:$Z$201,0)),"")</f>
        <v/>
      </c>
      <c r="R70">
        <f>IFERROR(INDEX(Objekte!$AB$2:$AB$201,MATCH($A70,Objekte!$Z$2:$Z$201,0)),"")</f>
        <v/>
      </c>
    </row>
    <row r="71">
      <c r="Q71">
        <f>IFERROR(INDEX(Objekte!$AD$2:$AD$201,MATCH($A71,Objekte!$Z$2:$Z$201,0)),"")</f>
        <v/>
      </c>
      <c r="R71">
        <f>IFERROR(INDEX(Objekte!$AB$2:$AB$201,MATCH($A71,Objekte!$Z$2:$Z$201,0)),"")</f>
        <v/>
      </c>
    </row>
    <row r="72">
      <c r="Q72">
        <f>IFERROR(INDEX(Objekte!$AD$2:$AD$201,MATCH($A72,Objekte!$Z$2:$Z$201,0)),"")</f>
        <v/>
      </c>
      <c r="R72">
        <f>IFERROR(INDEX(Objekte!$AB$2:$AB$201,MATCH($A72,Objekte!$Z$2:$Z$201,0)),"")</f>
        <v/>
      </c>
    </row>
    <row r="73">
      <c r="Q73">
        <f>IFERROR(INDEX(Objekte!$AD$2:$AD$201,MATCH($A73,Objekte!$Z$2:$Z$201,0)),"")</f>
        <v/>
      </c>
      <c r="R73">
        <f>IFERROR(INDEX(Objekte!$AB$2:$AB$201,MATCH($A73,Objekte!$Z$2:$Z$201,0)),"")</f>
        <v/>
      </c>
    </row>
    <row r="74">
      <c r="Q74">
        <f>IFERROR(INDEX(Objekte!$AD$2:$AD$201,MATCH($A74,Objekte!$Z$2:$Z$201,0)),"")</f>
        <v/>
      </c>
      <c r="R74">
        <f>IFERROR(INDEX(Objekte!$AB$2:$AB$201,MATCH($A74,Objekte!$Z$2:$Z$201,0)),"")</f>
        <v/>
      </c>
    </row>
    <row r="75">
      <c r="Q75">
        <f>IFERROR(INDEX(Objekte!$AD$2:$AD$201,MATCH($A75,Objekte!$Z$2:$Z$201,0)),"")</f>
        <v/>
      </c>
      <c r="R75">
        <f>IFERROR(INDEX(Objekte!$AB$2:$AB$201,MATCH($A75,Objekte!$Z$2:$Z$201,0)),"")</f>
        <v/>
      </c>
    </row>
    <row r="76">
      <c r="Q76">
        <f>IFERROR(INDEX(Objekte!$AD$2:$AD$201,MATCH($A76,Objekte!$Z$2:$Z$201,0)),"")</f>
        <v/>
      </c>
      <c r="R76">
        <f>IFERROR(INDEX(Objekte!$AB$2:$AB$201,MATCH($A76,Objekte!$Z$2:$Z$201,0)),"")</f>
        <v/>
      </c>
    </row>
    <row r="77">
      <c r="Q77">
        <f>IFERROR(INDEX(Objekte!$AD$2:$AD$201,MATCH($A77,Objekte!$Z$2:$Z$201,0)),"")</f>
        <v/>
      </c>
      <c r="R77">
        <f>IFERROR(INDEX(Objekte!$AB$2:$AB$201,MATCH($A77,Objekte!$Z$2:$Z$201,0)),"")</f>
        <v/>
      </c>
    </row>
    <row r="78">
      <c r="Q78">
        <f>IFERROR(INDEX(Objekte!$AD$2:$AD$201,MATCH($A78,Objekte!$Z$2:$Z$201,0)),"")</f>
        <v/>
      </c>
      <c r="R78">
        <f>IFERROR(INDEX(Objekte!$AB$2:$AB$201,MATCH($A78,Objekte!$Z$2:$Z$201,0)),"")</f>
        <v/>
      </c>
    </row>
    <row r="79">
      <c r="Q79">
        <f>IFERROR(INDEX(Objekte!$AD$2:$AD$201,MATCH($A79,Objekte!$Z$2:$Z$201,0)),"")</f>
        <v/>
      </c>
      <c r="R79">
        <f>IFERROR(INDEX(Objekte!$AB$2:$AB$201,MATCH($A79,Objekte!$Z$2:$Z$201,0)),"")</f>
        <v/>
      </c>
    </row>
    <row r="80">
      <c r="Q80">
        <f>IFERROR(INDEX(Objekte!$AD$2:$AD$201,MATCH($A80,Objekte!$Z$2:$Z$201,0)),"")</f>
        <v/>
      </c>
      <c r="R80">
        <f>IFERROR(INDEX(Objekte!$AB$2:$AB$201,MATCH($A80,Objekte!$Z$2:$Z$201,0)),"")</f>
        <v/>
      </c>
    </row>
    <row r="81">
      <c r="Q81">
        <f>IFERROR(INDEX(Objekte!$AD$2:$AD$201,MATCH($A81,Objekte!$Z$2:$Z$201,0)),"")</f>
        <v/>
      </c>
      <c r="R81">
        <f>IFERROR(INDEX(Objekte!$AB$2:$AB$201,MATCH($A81,Objekte!$Z$2:$Z$201,0)),"")</f>
        <v/>
      </c>
    </row>
    <row r="82">
      <c r="Q82">
        <f>IFERROR(INDEX(Objekte!$AD$2:$AD$201,MATCH($A82,Objekte!$Z$2:$Z$201,0)),"")</f>
        <v/>
      </c>
      <c r="R82">
        <f>IFERROR(INDEX(Objekte!$AB$2:$AB$201,MATCH($A82,Objekte!$Z$2:$Z$201,0)),"")</f>
        <v/>
      </c>
    </row>
    <row r="83">
      <c r="Q83">
        <f>IFERROR(INDEX(Objekte!$AD$2:$AD$201,MATCH($A83,Objekte!$Z$2:$Z$201,0)),"")</f>
        <v/>
      </c>
      <c r="R83">
        <f>IFERROR(INDEX(Objekte!$AB$2:$AB$201,MATCH($A83,Objekte!$Z$2:$Z$201,0)),"")</f>
        <v/>
      </c>
    </row>
    <row r="84">
      <c r="Q84">
        <f>IFERROR(INDEX(Objekte!$AD$2:$AD$201,MATCH($A84,Objekte!$Z$2:$Z$201,0)),"")</f>
        <v/>
      </c>
      <c r="R84">
        <f>IFERROR(INDEX(Objekte!$AB$2:$AB$201,MATCH($A84,Objekte!$Z$2:$Z$201,0)),"")</f>
        <v/>
      </c>
    </row>
    <row r="85">
      <c r="Q85">
        <f>IFERROR(INDEX(Objekte!$AD$2:$AD$201,MATCH($A85,Objekte!$Z$2:$Z$201,0)),"")</f>
        <v/>
      </c>
      <c r="R85">
        <f>IFERROR(INDEX(Objekte!$AB$2:$AB$201,MATCH($A85,Objekte!$Z$2:$Z$201,0)),"")</f>
        <v/>
      </c>
    </row>
    <row r="86">
      <c r="Q86">
        <f>IFERROR(INDEX(Objekte!$AD$2:$AD$201,MATCH($A86,Objekte!$Z$2:$Z$201,0)),"")</f>
        <v/>
      </c>
      <c r="R86">
        <f>IFERROR(INDEX(Objekte!$AB$2:$AB$201,MATCH($A86,Objekte!$Z$2:$Z$201,0)),"")</f>
        <v/>
      </c>
    </row>
    <row r="87">
      <c r="Q87">
        <f>IFERROR(INDEX(Objekte!$AD$2:$AD$201,MATCH($A87,Objekte!$Z$2:$Z$201,0)),"")</f>
        <v/>
      </c>
      <c r="R87">
        <f>IFERROR(INDEX(Objekte!$AB$2:$AB$201,MATCH($A87,Objekte!$Z$2:$Z$201,0)),"")</f>
        <v/>
      </c>
    </row>
    <row r="88">
      <c r="Q88">
        <f>IFERROR(INDEX(Objekte!$AD$2:$AD$201,MATCH($A88,Objekte!$Z$2:$Z$201,0)),"")</f>
        <v/>
      </c>
      <c r="R88">
        <f>IFERROR(INDEX(Objekte!$AB$2:$AB$201,MATCH($A88,Objekte!$Z$2:$Z$201,0)),"")</f>
        <v/>
      </c>
    </row>
    <row r="89">
      <c r="Q89">
        <f>IFERROR(INDEX(Objekte!$AD$2:$AD$201,MATCH($A89,Objekte!$Z$2:$Z$201,0)),"")</f>
        <v/>
      </c>
      <c r="R89">
        <f>IFERROR(INDEX(Objekte!$AB$2:$AB$201,MATCH($A89,Objekte!$Z$2:$Z$201,0)),"")</f>
        <v/>
      </c>
    </row>
    <row r="90">
      <c r="Q90">
        <f>IFERROR(INDEX(Objekte!$AD$2:$AD$201,MATCH($A90,Objekte!$Z$2:$Z$201,0)),"")</f>
        <v/>
      </c>
      <c r="R90">
        <f>IFERROR(INDEX(Objekte!$AB$2:$AB$201,MATCH($A90,Objekte!$Z$2:$Z$201,0)),"")</f>
        <v/>
      </c>
    </row>
    <row r="91">
      <c r="Q91">
        <f>IFERROR(INDEX(Objekte!$AD$2:$AD$201,MATCH($A91,Objekte!$Z$2:$Z$201,0)),"")</f>
        <v/>
      </c>
      <c r="R91">
        <f>IFERROR(INDEX(Objekte!$AB$2:$AB$201,MATCH($A91,Objekte!$Z$2:$Z$201,0)),"")</f>
        <v/>
      </c>
    </row>
    <row r="92">
      <c r="Q92">
        <f>IFERROR(INDEX(Objekte!$AD$2:$AD$201,MATCH($A92,Objekte!$Z$2:$Z$201,0)),"")</f>
        <v/>
      </c>
      <c r="R92">
        <f>IFERROR(INDEX(Objekte!$AB$2:$AB$201,MATCH($A92,Objekte!$Z$2:$Z$201,0)),"")</f>
        <v/>
      </c>
    </row>
    <row r="93">
      <c r="Q93">
        <f>IFERROR(INDEX(Objekte!$AD$2:$AD$201,MATCH($A93,Objekte!$Z$2:$Z$201,0)),"")</f>
        <v/>
      </c>
      <c r="R93">
        <f>IFERROR(INDEX(Objekte!$AB$2:$AB$201,MATCH($A93,Objekte!$Z$2:$Z$201,0)),"")</f>
        <v/>
      </c>
    </row>
    <row r="94">
      <c r="Q94">
        <f>IFERROR(INDEX(Objekte!$AD$2:$AD$201,MATCH($A94,Objekte!$Z$2:$Z$201,0)),"")</f>
        <v/>
      </c>
      <c r="R94">
        <f>IFERROR(INDEX(Objekte!$AB$2:$AB$201,MATCH($A94,Objekte!$Z$2:$Z$201,0)),"")</f>
        <v/>
      </c>
    </row>
    <row r="95">
      <c r="Q95">
        <f>IFERROR(INDEX(Objekte!$AD$2:$AD$201,MATCH($A95,Objekte!$Z$2:$Z$201,0)),"")</f>
        <v/>
      </c>
      <c r="R95">
        <f>IFERROR(INDEX(Objekte!$AB$2:$AB$201,MATCH($A95,Objekte!$Z$2:$Z$201,0)),"")</f>
        <v/>
      </c>
    </row>
    <row r="96">
      <c r="Q96">
        <f>IFERROR(INDEX(Objekte!$AD$2:$AD$201,MATCH($A96,Objekte!$Z$2:$Z$201,0)),"")</f>
        <v/>
      </c>
      <c r="R96">
        <f>IFERROR(INDEX(Objekte!$AB$2:$AB$201,MATCH($A96,Objekte!$Z$2:$Z$201,0)),"")</f>
        <v/>
      </c>
    </row>
    <row r="97">
      <c r="Q97">
        <f>IFERROR(INDEX(Objekte!$AD$2:$AD$201,MATCH($A97,Objekte!$Z$2:$Z$201,0)),"")</f>
        <v/>
      </c>
      <c r="R97">
        <f>IFERROR(INDEX(Objekte!$AB$2:$AB$201,MATCH($A97,Objekte!$Z$2:$Z$201,0)),"")</f>
        <v/>
      </c>
    </row>
    <row r="98">
      <c r="Q98">
        <f>IFERROR(INDEX(Objekte!$AD$2:$AD$201,MATCH($A98,Objekte!$Z$2:$Z$201,0)),"")</f>
        <v/>
      </c>
      <c r="R98">
        <f>IFERROR(INDEX(Objekte!$AB$2:$AB$201,MATCH($A98,Objekte!$Z$2:$Z$201,0)),"")</f>
        <v/>
      </c>
    </row>
    <row r="99">
      <c r="Q99">
        <f>IFERROR(INDEX(Objekte!$AD$2:$AD$201,MATCH($A99,Objekte!$Z$2:$Z$201,0)),"")</f>
        <v/>
      </c>
      <c r="R99">
        <f>IFERROR(INDEX(Objekte!$AB$2:$AB$201,MATCH($A99,Objekte!$Z$2:$Z$201,0)),"")</f>
        <v/>
      </c>
    </row>
    <row r="100">
      <c r="Q100">
        <f>IFERROR(INDEX(Objekte!$AD$2:$AD$201,MATCH($A100,Objekte!$Z$2:$Z$201,0)),"")</f>
        <v/>
      </c>
      <c r="R100">
        <f>IFERROR(INDEX(Objekte!$AB$2:$AB$201,MATCH($A100,Objekte!$Z$2:$Z$201,0)),"")</f>
        <v/>
      </c>
    </row>
    <row r="101">
      <c r="Q101">
        <f>IFERROR(INDEX(Objekte!$AD$2:$AD$201,MATCH($A101,Objekte!$Z$2:$Z$201,0)),"")</f>
        <v/>
      </c>
      <c r="R101">
        <f>IFERROR(INDEX(Objekte!$AB$2:$AB$201,MATCH($A101,Objekte!$Z$2:$Z$201,0)),"")</f>
        <v/>
      </c>
    </row>
    <row r="102">
      <c r="Q102">
        <f>IFERROR(INDEX(Objekte!$AD$2:$AD$201,MATCH($A102,Objekte!$Z$2:$Z$201,0)),"")</f>
        <v/>
      </c>
      <c r="R102">
        <f>IFERROR(INDEX(Objekte!$AB$2:$AB$201,MATCH($A102,Objekte!$Z$2:$Z$201,0)),"")</f>
        <v/>
      </c>
    </row>
    <row r="103">
      <c r="Q103">
        <f>IFERROR(INDEX(Objekte!$AD$2:$AD$201,MATCH($A103,Objekte!$Z$2:$Z$201,0)),"")</f>
        <v/>
      </c>
      <c r="R103">
        <f>IFERROR(INDEX(Objekte!$AB$2:$AB$201,MATCH($A103,Objekte!$Z$2:$Z$201,0)),"")</f>
        <v/>
      </c>
    </row>
    <row r="104">
      <c r="Q104">
        <f>IFERROR(INDEX(Objekte!$AD$2:$AD$201,MATCH($A104,Objekte!$Z$2:$Z$201,0)),"")</f>
        <v/>
      </c>
      <c r="R104">
        <f>IFERROR(INDEX(Objekte!$AB$2:$AB$201,MATCH($A104,Objekte!$Z$2:$Z$201,0)),"")</f>
        <v/>
      </c>
    </row>
    <row r="105">
      <c r="Q105">
        <f>IFERROR(INDEX(Objekte!$AD$2:$AD$201,MATCH($A105,Objekte!$Z$2:$Z$201,0)),"")</f>
        <v/>
      </c>
      <c r="R105">
        <f>IFERROR(INDEX(Objekte!$AB$2:$AB$201,MATCH($A105,Objekte!$Z$2:$Z$201,0)),"")</f>
        <v/>
      </c>
    </row>
    <row r="106">
      <c r="Q106">
        <f>IFERROR(INDEX(Objekte!$AD$2:$AD$201,MATCH($A106,Objekte!$Z$2:$Z$201,0)),"")</f>
        <v/>
      </c>
      <c r="R106">
        <f>IFERROR(INDEX(Objekte!$AB$2:$AB$201,MATCH($A106,Objekte!$Z$2:$Z$201,0)),"")</f>
        <v/>
      </c>
    </row>
    <row r="107">
      <c r="Q107">
        <f>IFERROR(INDEX(Objekte!$AD$2:$AD$201,MATCH($A107,Objekte!$Z$2:$Z$201,0)),"")</f>
        <v/>
      </c>
      <c r="R107">
        <f>IFERROR(INDEX(Objekte!$AB$2:$AB$201,MATCH($A107,Objekte!$Z$2:$Z$201,0)),"")</f>
        <v/>
      </c>
    </row>
    <row r="108">
      <c r="Q108">
        <f>IFERROR(INDEX(Objekte!$AD$2:$AD$201,MATCH($A108,Objekte!$Z$2:$Z$201,0)),"")</f>
        <v/>
      </c>
      <c r="R108">
        <f>IFERROR(INDEX(Objekte!$AB$2:$AB$201,MATCH($A108,Objekte!$Z$2:$Z$201,0)),"")</f>
        <v/>
      </c>
    </row>
    <row r="109">
      <c r="Q109">
        <f>IFERROR(INDEX(Objekte!$AD$2:$AD$201,MATCH($A109,Objekte!$Z$2:$Z$201,0)),"")</f>
        <v/>
      </c>
      <c r="R109">
        <f>IFERROR(INDEX(Objekte!$AB$2:$AB$201,MATCH($A109,Objekte!$Z$2:$Z$201,0)),"")</f>
        <v/>
      </c>
    </row>
    <row r="110">
      <c r="Q110">
        <f>IFERROR(INDEX(Objekte!$AD$2:$AD$201,MATCH($A110,Objekte!$Z$2:$Z$201,0)),"")</f>
        <v/>
      </c>
      <c r="R110">
        <f>IFERROR(INDEX(Objekte!$AB$2:$AB$201,MATCH($A110,Objekte!$Z$2:$Z$201,0)),"")</f>
        <v/>
      </c>
    </row>
    <row r="111">
      <c r="Q111">
        <f>IFERROR(INDEX(Objekte!$AD$2:$AD$201,MATCH($A111,Objekte!$Z$2:$Z$201,0)),"")</f>
        <v/>
      </c>
      <c r="R111">
        <f>IFERROR(INDEX(Objekte!$AB$2:$AB$201,MATCH($A111,Objekte!$Z$2:$Z$201,0)),"")</f>
        <v/>
      </c>
    </row>
    <row r="112">
      <c r="Q112">
        <f>IFERROR(INDEX(Objekte!$AD$2:$AD$201,MATCH($A112,Objekte!$Z$2:$Z$201,0)),"")</f>
        <v/>
      </c>
      <c r="R112">
        <f>IFERROR(INDEX(Objekte!$AB$2:$AB$201,MATCH($A112,Objekte!$Z$2:$Z$201,0)),"")</f>
        <v/>
      </c>
    </row>
    <row r="113">
      <c r="Q113">
        <f>IFERROR(INDEX(Objekte!$AD$2:$AD$201,MATCH($A113,Objekte!$Z$2:$Z$201,0)),"")</f>
        <v/>
      </c>
      <c r="R113">
        <f>IFERROR(INDEX(Objekte!$AB$2:$AB$201,MATCH($A113,Objekte!$Z$2:$Z$201,0)),"")</f>
        <v/>
      </c>
    </row>
    <row r="114">
      <c r="Q114">
        <f>IFERROR(INDEX(Objekte!$AD$2:$AD$201,MATCH($A114,Objekte!$Z$2:$Z$201,0)),"")</f>
        <v/>
      </c>
      <c r="R114">
        <f>IFERROR(INDEX(Objekte!$AB$2:$AB$201,MATCH($A114,Objekte!$Z$2:$Z$201,0)),"")</f>
        <v/>
      </c>
    </row>
    <row r="115">
      <c r="Q115">
        <f>IFERROR(INDEX(Objekte!$AD$2:$AD$201,MATCH($A115,Objekte!$Z$2:$Z$201,0)),"")</f>
        <v/>
      </c>
      <c r="R115">
        <f>IFERROR(INDEX(Objekte!$AB$2:$AB$201,MATCH($A115,Objekte!$Z$2:$Z$201,0)),"")</f>
        <v/>
      </c>
    </row>
    <row r="116">
      <c r="Q116">
        <f>IFERROR(INDEX(Objekte!$AD$2:$AD$201,MATCH($A116,Objekte!$Z$2:$Z$201,0)),"")</f>
        <v/>
      </c>
      <c r="R116">
        <f>IFERROR(INDEX(Objekte!$AB$2:$AB$201,MATCH($A116,Objekte!$Z$2:$Z$201,0)),"")</f>
        <v/>
      </c>
    </row>
    <row r="117">
      <c r="Q117">
        <f>IFERROR(INDEX(Objekte!$AD$2:$AD$201,MATCH($A117,Objekte!$Z$2:$Z$201,0)),"")</f>
        <v/>
      </c>
      <c r="R117">
        <f>IFERROR(INDEX(Objekte!$AB$2:$AB$201,MATCH($A117,Objekte!$Z$2:$Z$201,0)),"")</f>
        <v/>
      </c>
    </row>
    <row r="118">
      <c r="Q118">
        <f>IFERROR(INDEX(Objekte!$AD$2:$AD$201,MATCH($A118,Objekte!$Z$2:$Z$201,0)),"")</f>
        <v/>
      </c>
      <c r="R118">
        <f>IFERROR(INDEX(Objekte!$AB$2:$AB$201,MATCH($A118,Objekte!$Z$2:$Z$201,0)),"")</f>
        <v/>
      </c>
    </row>
    <row r="119">
      <c r="Q119">
        <f>IFERROR(INDEX(Objekte!$AD$2:$AD$201,MATCH($A119,Objekte!$Z$2:$Z$201,0)),"")</f>
        <v/>
      </c>
      <c r="R119">
        <f>IFERROR(INDEX(Objekte!$AB$2:$AB$201,MATCH($A119,Objekte!$Z$2:$Z$201,0)),"")</f>
        <v/>
      </c>
    </row>
    <row r="120">
      <c r="Q120">
        <f>IFERROR(INDEX(Objekte!$AD$2:$AD$201,MATCH($A120,Objekte!$Z$2:$Z$201,0)),"")</f>
        <v/>
      </c>
      <c r="R120">
        <f>IFERROR(INDEX(Objekte!$AB$2:$AB$201,MATCH($A120,Objekte!$Z$2:$Z$201,0)),"")</f>
        <v/>
      </c>
    </row>
    <row r="121">
      <c r="Q121">
        <f>IFERROR(INDEX(Objekte!$AD$2:$AD$201,MATCH($A121,Objekte!$Z$2:$Z$201,0)),"")</f>
        <v/>
      </c>
      <c r="R121">
        <f>IFERROR(INDEX(Objekte!$AB$2:$AB$201,MATCH($A121,Objekte!$Z$2:$Z$201,0)),"")</f>
        <v/>
      </c>
    </row>
    <row r="122">
      <c r="Q122">
        <f>IFERROR(INDEX(Objekte!$AD$2:$AD$201,MATCH($A122,Objekte!$Z$2:$Z$201,0)),"")</f>
        <v/>
      </c>
      <c r="R122">
        <f>IFERROR(INDEX(Objekte!$AB$2:$AB$201,MATCH($A122,Objekte!$Z$2:$Z$201,0)),"")</f>
        <v/>
      </c>
    </row>
    <row r="123">
      <c r="Q123">
        <f>IFERROR(INDEX(Objekte!$AD$2:$AD$201,MATCH($A123,Objekte!$Z$2:$Z$201,0)),"")</f>
        <v/>
      </c>
      <c r="R123">
        <f>IFERROR(INDEX(Objekte!$AB$2:$AB$201,MATCH($A123,Objekte!$Z$2:$Z$201,0)),"")</f>
        <v/>
      </c>
    </row>
    <row r="124">
      <c r="Q124">
        <f>IFERROR(INDEX(Objekte!$AD$2:$AD$201,MATCH($A124,Objekte!$Z$2:$Z$201,0)),"")</f>
        <v/>
      </c>
      <c r="R124">
        <f>IFERROR(INDEX(Objekte!$AB$2:$AB$201,MATCH($A124,Objekte!$Z$2:$Z$201,0)),"")</f>
        <v/>
      </c>
    </row>
    <row r="125">
      <c r="Q125">
        <f>IFERROR(INDEX(Objekte!$AD$2:$AD$201,MATCH($A125,Objekte!$Z$2:$Z$201,0)),"")</f>
        <v/>
      </c>
      <c r="R125">
        <f>IFERROR(INDEX(Objekte!$AB$2:$AB$201,MATCH($A125,Objekte!$Z$2:$Z$201,0)),"")</f>
        <v/>
      </c>
    </row>
    <row r="126">
      <c r="Q126">
        <f>IFERROR(INDEX(Objekte!$AD$2:$AD$201,MATCH($A126,Objekte!$Z$2:$Z$201,0)),"")</f>
        <v/>
      </c>
      <c r="R126">
        <f>IFERROR(INDEX(Objekte!$AB$2:$AB$201,MATCH($A126,Objekte!$Z$2:$Z$201,0)),"")</f>
        <v/>
      </c>
    </row>
    <row r="127">
      <c r="Q127">
        <f>IFERROR(INDEX(Objekte!$AD$2:$AD$201,MATCH($A127,Objekte!$Z$2:$Z$201,0)),"")</f>
        <v/>
      </c>
      <c r="R127">
        <f>IFERROR(INDEX(Objekte!$AB$2:$AB$201,MATCH($A127,Objekte!$Z$2:$Z$201,0)),"")</f>
        <v/>
      </c>
    </row>
    <row r="128">
      <c r="Q128">
        <f>IFERROR(INDEX(Objekte!$AD$2:$AD$201,MATCH($A128,Objekte!$Z$2:$Z$201,0)),"")</f>
        <v/>
      </c>
      <c r="R128">
        <f>IFERROR(INDEX(Objekte!$AB$2:$AB$201,MATCH($A128,Objekte!$Z$2:$Z$201,0)),"")</f>
        <v/>
      </c>
    </row>
    <row r="129">
      <c r="Q129">
        <f>IFERROR(INDEX(Objekte!$AD$2:$AD$201,MATCH($A129,Objekte!$Z$2:$Z$201,0)),"")</f>
        <v/>
      </c>
      <c r="R129">
        <f>IFERROR(INDEX(Objekte!$AB$2:$AB$201,MATCH($A129,Objekte!$Z$2:$Z$201,0)),"")</f>
        <v/>
      </c>
    </row>
    <row r="130">
      <c r="Q130">
        <f>IFERROR(INDEX(Objekte!$AD$2:$AD$201,MATCH($A130,Objekte!$Z$2:$Z$201,0)),"")</f>
        <v/>
      </c>
      <c r="R130">
        <f>IFERROR(INDEX(Objekte!$AB$2:$AB$201,MATCH($A130,Objekte!$Z$2:$Z$201,0)),"")</f>
        <v/>
      </c>
    </row>
    <row r="131">
      <c r="Q131">
        <f>IFERROR(INDEX(Objekte!$AD$2:$AD$201,MATCH($A131,Objekte!$Z$2:$Z$201,0)),"")</f>
        <v/>
      </c>
      <c r="R131">
        <f>IFERROR(INDEX(Objekte!$AB$2:$AB$201,MATCH($A131,Objekte!$Z$2:$Z$201,0)),"")</f>
        <v/>
      </c>
    </row>
    <row r="132">
      <c r="Q132">
        <f>IFERROR(INDEX(Objekte!$AD$2:$AD$201,MATCH($A132,Objekte!$Z$2:$Z$201,0)),"")</f>
        <v/>
      </c>
      <c r="R132">
        <f>IFERROR(INDEX(Objekte!$AB$2:$AB$201,MATCH($A132,Objekte!$Z$2:$Z$201,0)),"")</f>
        <v/>
      </c>
    </row>
    <row r="133">
      <c r="Q133">
        <f>IFERROR(INDEX(Objekte!$AD$2:$AD$201,MATCH($A133,Objekte!$Z$2:$Z$201,0)),"")</f>
        <v/>
      </c>
      <c r="R133">
        <f>IFERROR(INDEX(Objekte!$AB$2:$AB$201,MATCH($A133,Objekte!$Z$2:$Z$201,0)),"")</f>
        <v/>
      </c>
    </row>
    <row r="134">
      <c r="Q134">
        <f>IFERROR(INDEX(Objekte!$AD$2:$AD$201,MATCH($A134,Objekte!$Z$2:$Z$201,0)),"")</f>
        <v/>
      </c>
      <c r="R134">
        <f>IFERROR(INDEX(Objekte!$AB$2:$AB$201,MATCH($A134,Objekte!$Z$2:$Z$201,0)),"")</f>
        <v/>
      </c>
    </row>
    <row r="135">
      <c r="Q135">
        <f>IFERROR(INDEX(Objekte!$AD$2:$AD$201,MATCH($A135,Objekte!$Z$2:$Z$201,0)),"")</f>
        <v/>
      </c>
      <c r="R135">
        <f>IFERROR(INDEX(Objekte!$AB$2:$AB$201,MATCH($A135,Objekte!$Z$2:$Z$201,0)),"")</f>
        <v/>
      </c>
    </row>
    <row r="136">
      <c r="Q136">
        <f>IFERROR(INDEX(Objekte!$AD$2:$AD$201,MATCH($A136,Objekte!$Z$2:$Z$201,0)),"")</f>
        <v/>
      </c>
      <c r="R136">
        <f>IFERROR(INDEX(Objekte!$AB$2:$AB$201,MATCH($A136,Objekte!$Z$2:$Z$201,0)),"")</f>
        <v/>
      </c>
    </row>
    <row r="137">
      <c r="Q137">
        <f>IFERROR(INDEX(Objekte!$AD$2:$AD$201,MATCH($A137,Objekte!$Z$2:$Z$201,0)),"")</f>
        <v/>
      </c>
      <c r="R137">
        <f>IFERROR(INDEX(Objekte!$AB$2:$AB$201,MATCH($A137,Objekte!$Z$2:$Z$201,0)),"")</f>
        <v/>
      </c>
    </row>
    <row r="138">
      <c r="Q138">
        <f>IFERROR(INDEX(Objekte!$AD$2:$AD$201,MATCH($A138,Objekte!$Z$2:$Z$201,0)),"")</f>
        <v/>
      </c>
      <c r="R138">
        <f>IFERROR(INDEX(Objekte!$AB$2:$AB$201,MATCH($A138,Objekte!$Z$2:$Z$201,0)),"")</f>
        <v/>
      </c>
    </row>
    <row r="139">
      <c r="Q139">
        <f>IFERROR(INDEX(Objekte!$AD$2:$AD$201,MATCH($A139,Objekte!$Z$2:$Z$201,0)),"")</f>
        <v/>
      </c>
      <c r="R139">
        <f>IFERROR(INDEX(Objekte!$AB$2:$AB$201,MATCH($A139,Objekte!$Z$2:$Z$201,0)),"")</f>
        <v/>
      </c>
    </row>
    <row r="140">
      <c r="Q140">
        <f>IFERROR(INDEX(Objekte!$AD$2:$AD$201,MATCH($A140,Objekte!$Z$2:$Z$201,0)),"")</f>
        <v/>
      </c>
      <c r="R140">
        <f>IFERROR(INDEX(Objekte!$AB$2:$AB$201,MATCH($A140,Objekte!$Z$2:$Z$201,0)),"")</f>
        <v/>
      </c>
    </row>
    <row r="141">
      <c r="Q141">
        <f>IFERROR(INDEX(Objekte!$AD$2:$AD$201,MATCH($A141,Objekte!$Z$2:$Z$201,0)),"")</f>
        <v/>
      </c>
      <c r="R141">
        <f>IFERROR(INDEX(Objekte!$AB$2:$AB$201,MATCH($A141,Objekte!$Z$2:$Z$201,0)),"")</f>
        <v/>
      </c>
    </row>
    <row r="142">
      <c r="Q142">
        <f>IFERROR(INDEX(Objekte!$AD$2:$AD$201,MATCH($A142,Objekte!$Z$2:$Z$201,0)),"")</f>
        <v/>
      </c>
      <c r="R142">
        <f>IFERROR(INDEX(Objekte!$AB$2:$AB$201,MATCH($A142,Objekte!$Z$2:$Z$201,0)),"")</f>
        <v/>
      </c>
    </row>
    <row r="143">
      <c r="Q143">
        <f>IFERROR(INDEX(Objekte!$AD$2:$AD$201,MATCH($A143,Objekte!$Z$2:$Z$201,0)),"")</f>
        <v/>
      </c>
      <c r="R143">
        <f>IFERROR(INDEX(Objekte!$AB$2:$AB$201,MATCH($A143,Objekte!$Z$2:$Z$201,0)),"")</f>
        <v/>
      </c>
    </row>
    <row r="144">
      <c r="Q144">
        <f>IFERROR(INDEX(Objekte!$AD$2:$AD$201,MATCH($A144,Objekte!$Z$2:$Z$201,0)),"")</f>
        <v/>
      </c>
      <c r="R144">
        <f>IFERROR(INDEX(Objekte!$AB$2:$AB$201,MATCH($A144,Objekte!$Z$2:$Z$201,0)),"")</f>
        <v/>
      </c>
    </row>
    <row r="145">
      <c r="Q145">
        <f>IFERROR(INDEX(Objekte!$AD$2:$AD$201,MATCH($A145,Objekte!$Z$2:$Z$201,0)),"")</f>
        <v/>
      </c>
      <c r="R145">
        <f>IFERROR(INDEX(Objekte!$AB$2:$AB$201,MATCH($A145,Objekte!$Z$2:$Z$201,0)),"")</f>
        <v/>
      </c>
    </row>
    <row r="146">
      <c r="Q146">
        <f>IFERROR(INDEX(Objekte!$AD$2:$AD$201,MATCH($A146,Objekte!$Z$2:$Z$201,0)),"")</f>
        <v/>
      </c>
      <c r="R146">
        <f>IFERROR(INDEX(Objekte!$AB$2:$AB$201,MATCH($A146,Objekte!$Z$2:$Z$201,0)),"")</f>
        <v/>
      </c>
    </row>
    <row r="147">
      <c r="Q147">
        <f>IFERROR(INDEX(Objekte!$AD$2:$AD$201,MATCH($A147,Objekte!$Z$2:$Z$201,0)),"")</f>
        <v/>
      </c>
      <c r="R147">
        <f>IFERROR(INDEX(Objekte!$AB$2:$AB$201,MATCH($A147,Objekte!$Z$2:$Z$201,0)),"")</f>
        <v/>
      </c>
    </row>
    <row r="148">
      <c r="Q148">
        <f>IFERROR(INDEX(Objekte!$AD$2:$AD$201,MATCH($A148,Objekte!$Z$2:$Z$201,0)),"")</f>
        <v/>
      </c>
      <c r="R148">
        <f>IFERROR(INDEX(Objekte!$AB$2:$AB$201,MATCH($A148,Objekte!$Z$2:$Z$201,0)),"")</f>
        <v/>
      </c>
    </row>
    <row r="149">
      <c r="Q149">
        <f>IFERROR(INDEX(Objekte!$AD$2:$AD$201,MATCH($A149,Objekte!$Z$2:$Z$201,0)),"")</f>
        <v/>
      </c>
      <c r="R149">
        <f>IFERROR(INDEX(Objekte!$AB$2:$AB$201,MATCH($A149,Objekte!$Z$2:$Z$201,0)),"")</f>
        <v/>
      </c>
    </row>
    <row r="150">
      <c r="Q150">
        <f>IFERROR(INDEX(Objekte!$AD$2:$AD$201,MATCH($A150,Objekte!$Z$2:$Z$201,0)),"")</f>
        <v/>
      </c>
      <c r="R150">
        <f>IFERROR(INDEX(Objekte!$AB$2:$AB$201,MATCH($A150,Objekte!$Z$2:$Z$201,0)),"")</f>
        <v/>
      </c>
    </row>
    <row r="151">
      <c r="Q151">
        <f>IFERROR(INDEX(Objekte!$AD$2:$AD$201,MATCH($A151,Objekte!$Z$2:$Z$201,0)),"")</f>
        <v/>
      </c>
      <c r="R151">
        <f>IFERROR(INDEX(Objekte!$AB$2:$AB$201,MATCH($A151,Objekte!$Z$2:$Z$201,0)),"")</f>
        <v/>
      </c>
    </row>
    <row r="152">
      <c r="Q152">
        <f>IFERROR(INDEX(Objekte!$AD$2:$AD$201,MATCH($A152,Objekte!$Z$2:$Z$201,0)),"")</f>
        <v/>
      </c>
      <c r="R152">
        <f>IFERROR(INDEX(Objekte!$AB$2:$AB$201,MATCH($A152,Objekte!$Z$2:$Z$201,0)),"")</f>
        <v/>
      </c>
    </row>
    <row r="153">
      <c r="Q153">
        <f>IFERROR(INDEX(Objekte!$AD$2:$AD$201,MATCH($A153,Objekte!$Z$2:$Z$201,0)),"")</f>
        <v/>
      </c>
      <c r="R153">
        <f>IFERROR(INDEX(Objekte!$AB$2:$AB$201,MATCH($A153,Objekte!$Z$2:$Z$201,0)),"")</f>
        <v/>
      </c>
    </row>
    <row r="154">
      <c r="Q154">
        <f>IFERROR(INDEX(Objekte!$AD$2:$AD$201,MATCH($A154,Objekte!$Z$2:$Z$201,0)),"")</f>
        <v/>
      </c>
      <c r="R154">
        <f>IFERROR(INDEX(Objekte!$AB$2:$AB$201,MATCH($A154,Objekte!$Z$2:$Z$201,0)),"")</f>
        <v/>
      </c>
    </row>
    <row r="155">
      <c r="Q155">
        <f>IFERROR(INDEX(Objekte!$AD$2:$AD$201,MATCH($A155,Objekte!$Z$2:$Z$201,0)),"")</f>
        <v/>
      </c>
      <c r="R155">
        <f>IFERROR(INDEX(Objekte!$AB$2:$AB$201,MATCH($A155,Objekte!$Z$2:$Z$201,0)),"")</f>
        <v/>
      </c>
    </row>
    <row r="156">
      <c r="Q156">
        <f>IFERROR(INDEX(Objekte!$AD$2:$AD$201,MATCH($A156,Objekte!$Z$2:$Z$201,0)),"")</f>
        <v/>
      </c>
      <c r="R156">
        <f>IFERROR(INDEX(Objekte!$AB$2:$AB$201,MATCH($A156,Objekte!$Z$2:$Z$201,0)),"")</f>
        <v/>
      </c>
    </row>
    <row r="157">
      <c r="Q157">
        <f>IFERROR(INDEX(Objekte!$AD$2:$AD$201,MATCH($A157,Objekte!$Z$2:$Z$201,0)),"")</f>
        <v/>
      </c>
      <c r="R157">
        <f>IFERROR(INDEX(Objekte!$AB$2:$AB$201,MATCH($A157,Objekte!$Z$2:$Z$201,0)),"")</f>
        <v/>
      </c>
    </row>
    <row r="158">
      <c r="Q158">
        <f>IFERROR(INDEX(Objekte!$AD$2:$AD$201,MATCH($A158,Objekte!$Z$2:$Z$201,0)),"")</f>
        <v/>
      </c>
      <c r="R158">
        <f>IFERROR(INDEX(Objekte!$AB$2:$AB$201,MATCH($A158,Objekte!$Z$2:$Z$201,0)),"")</f>
        <v/>
      </c>
    </row>
    <row r="159">
      <c r="Q159">
        <f>IFERROR(INDEX(Objekte!$AD$2:$AD$201,MATCH($A159,Objekte!$Z$2:$Z$201,0)),"")</f>
        <v/>
      </c>
      <c r="R159">
        <f>IFERROR(INDEX(Objekte!$AB$2:$AB$201,MATCH($A159,Objekte!$Z$2:$Z$201,0)),"")</f>
        <v/>
      </c>
    </row>
    <row r="160">
      <c r="Q160">
        <f>IFERROR(INDEX(Objekte!$AD$2:$AD$201,MATCH($A160,Objekte!$Z$2:$Z$201,0)),"")</f>
        <v/>
      </c>
      <c r="R160">
        <f>IFERROR(INDEX(Objekte!$AB$2:$AB$201,MATCH($A160,Objekte!$Z$2:$Z$201,0)),"")</f>
        <v/>
      </c>
    </row>
    <row r="161">
      <c r="Q161">
        <f>IFERROR(INDEX(Objekte!$AD$2:$AD$201,MATCH($A161,Objekte!$Z$2:$Z$201,0)),"")</f>
        <v/>
      </c>
      <c r="R161">
        <f>IFERROR(INDEX(Objekte!$AB$2:$AB$201,MATCH($A161,Objekte!$Z$2:$Z$201,0)),"")</f>
        <v/>
      </c>
    </row>
    <row r="162">
      <c r="Q162">
        <f>IFERROR(INDEX(Objekte!$AD$2:$AD$201,MATCH($A162,Objekte!$Z$2:$Z$201,0)),"")</f>
        <v/>
      </c>
      <c r="R162">
        <f>IFERROR(INDEX(Objekte!$AB$2:$AB$201,MATCH($A162,Objekte!$Z$2:$Z$201,0)),"")</f>
        <v/>
      </c>
    </row>
    <row r="163">
      <c r="Q163">
        <f>IFERROR(INDEX(Objekte!$AD$2:$AD$201,MATCH($A163,Objekte!$Z$2:$Z$201,0)),"")</f>
        <v/>
      </c>
      <c r="R163">
        <f>IFERROR(INDEX(Objekte!$AB$2:$AB$201,MATCH($A163,Objekte!$Z$2:$Z$201,0)),"")</f>
        <v/>
      </c>
    </row>
    <row r="164">
      <c r="Q164">
        <f>IFERROR(INDEX(Objekte!$AD$2:$AD$201,MATCH($A164,Objekte!$Z$2:$Z$201,0)),"")</f>
        <v/>
      </c>
      <c r="R164">
        <f>IFERROR(INDEX(Objekte!$AB$2:$AB$201,MATCH($A164,Objekte!$Z$2:$Z$201,0)),"")</f>
        <v/>
      </c>
    </row>
    <row r="165">
      <c r="Q165">
        <f>IFERROR(INDEX(Objekte!$AD$2:$AD$201,MATCH($A165,Objekte!$Z$2:$Z$201,0)),"")</f>
        <v/>
      </c>
      <c r="R165">
        <f>IFERROR(INDEX(Objekte!$AB$2:$AB$201,MATCH($A165,Objekte!$Z$2:$Z$201,0)),"")</f>
        <v/>
      </c>
    </row>
    <row r="166">
      <c r="Q166">
        <f>IFERROR(INDEX(Objekte!$AD$2:$AD$201,MATCH($A166,Objekte!$Z$2:$Z$201,0)),"")</f>
        <v/>
      </c>
      <c r="R166">
        <f>IFERROR(INDEX(Objekte!$AB$2:$AB$201,MATCH($A166,Objekte!$Z$2:$Z$201,0)),"")</f>
        <v/>
      </c>
    </row>
    <row r="167">
      <c r="Q167">
        <f>IFERROR(INDEX(Objekte!$AD$2:$AD$201,MATCH($A167,Objekte!$Z$2:$Z$201,0)),"")</f>
        <v/>
      </c>
      <c r="R167">
        <f>IFERROR(INDEX(Objekte!$AB$2:$AB$201,MATCH($A167,Objekte!$Z$2:$Z$201,0)),"")</f>
        <v/>
      </c>
    </row>
    <row r="168">
      <c r="Q168">
        <f>IFERROR(INDEX(Objekte!$AD$2:$AD$201,MATCH($A168,Objekte!$Z$2:$Z$201,0)),"")</f>
        <v/>
      </c>
      <c r="R168">
        <f>IFERROR(INDEX(Objekte!$AB$2:$AB$201,MATCH($A168,Objekte!$Z$2:$Z$201,0)),"")</f>
        <v/>
      </c>
    </row>
    <row r="169">
      <c r="Q169">
        <f>IFERROR(INDEX(Objekte!$AD$2:$AD$201,MATCH($A169,Objekte!$Z$2:$Z$201,0)),"")</f>
        <v/>
      </c>
      <c r="R169">
        <f>IFERROR(INDEX(Objekte!$AB$2:$AB$201,MATCH($A169,Objekte!$Z$2:$Z$201,0)),"")</f>
        <v/>
      </c>
    </row>
    <row r="170">
      <c r="Q170">
        <f>IFERROR(INDEX(Objekte!$AD$2:$AD$201,MATCH($A170,Objekte!$Z$2:$Z$201,0)),"")</f>
        <v/>
      </c>
      <c r="R170">
        <f>IFERROR(INDEX(Objekte!$AB$2:$AB$201,MATCH($A170,Objekte!$Z$2:$Z$201,0)),"")</f>
        <v/>
      </c>
    </row>
    <row r="171">
      <c r="Q171">
        <f>IFERROR(INDEX(Objekte!$AD$2:$AD$201,MATCH($A171,Objekte!$Z$2:$Z$201,0)),"")</f>
        <v/>
      </c>
      <c r="R171">
        <f>IFERROR(INDEX(Objekte!$AB$2:$AB$201,MATCH($A171,Objekte!$Z$2:$Z$201,0)),"")</f>
        <v/>
      </c>
    </row>
    <row r="172">
      <c r="Q172">
        <f>IFERROR(INDEX(Objekte!$AD$2:$AD$201,MATCH($A172,Objekte!$Z$2:$Z$201,0)),"")</f>
        <v/>
      </c>
      <c r="R172">
        <f>IFERROR(INDEX(Objekte!$AB$2:$AB$201,MATCH($A172,Objekte!$Z$2:$Z$201,0)),"")</f>
        <v/>
      </c>
    </row>
    <row r="173">
      <c r="Q173">
        <f>IFERROR(INDEX(Objekte!$AD$2:$AD$201,MATCH($A173,Objekte!$Z$2:$Z$201,0)),"")</f>
        <v/>
      </c>
      <c r="R173">
        <f>IFERROR(INDEX(Objekte!$AB$2:$AB$201,MATCH($A173,Objekte!$Z$2:$Z$201,0)),"")</f>
        <v/>
      </c>
    </row>
    <row r="174">
      <c r="Q174">
        <f>IFERROR(INDEX(Objekte!$AD$2:$AD$201,MATCH($A174,Objekte!$Z$2:$Z$201,0)),"")</f>
        <v/>
      </c>
      <c r="R174">
        <f>IFERROR(INDEX(Objekte!$AB$2:$AB$201,MATCH($A174,Objekte!$Z$2:$Z$201,0)),"")</f>
        <v/>
      </c>
    </row>
    <row r="175">
      <c r="Q175">
        <f>IFERROR(INDEX(Objekte!$AD$2:$AD$201,MATCH($A175,Objekte!$Z$2:$Z$201,0)),"")</f>
        <v/>
      </c>
      <c r="R175">
        <f>IFERROR(INDEX(Objekte!$AB$2:$AB$201,MATCH($A175,Objekte!$Z$2:$Z$201,0)),"")</f>
        <v/>
      </c>
    </row>
    <row r="176">
      <c r="Q176">
        <f>IFERROR(INDEX(Objekte!$AD$2:$AD$201,MATCH($A176,Objekte!$Z$2:$Z$201,0)),"")</f>
        <v/>
      </c>
      <c r="R176">
        <f>IFERROR(INDEX(Objekte!$AB$2:$AB$201,MATCH($A176,Objekte!$Z$2:$Z$201,0)),"")</f>
        <v/>
      </c>
    </row>
    <row r="177">
      <c r="Q177">
        <f>IFERROR(INDEX(Objekte!$AD$2:$AD$201,MATCH($A177,Objekte!$Z$2:$Z$201,0)),"")</f>
        <v/>
      </c>
      <c r="R177">
        <f>IFERROR(INDEX(Objekte!$AB$2:$AB$201,MATCH($A177,Objekte!$Z$2:$Z$201,0)),"")</f>
        <v/>
      </c>
    </row>
    <row r="178">
      <c r="Q178">
        <f>IFERROR(INDEX(Objekte!$AD$2:$AD$201,MATCH($A178,Objekte!$Z$2:$Z$201,0)),"")</f>
        <v/>
      </c>
      <c r="R178">
        <f>IFERROR(INDEX(Objekte!$AB$2:$AB$201,MATCH($A178,Objekte!$Z$2:$Z$201,0)),"")</f>
        <v/>
      </c>
    </row>
    <row r="179">
      <c r="Q179">
        <f>IFERROR(INDEX(Objekte!$AD$2:$AD$201,MATCH($A179,Objekte!$Z$2:$Z$201,0)),"")</f>
        <v/>
      </c>
      <c r="R179">
        <f>IFERROR(INDEX(Objekte!$AB$2:$AB$201,MATCH($A179,Objekte!$Z$2:$Z$201,0)),"")</f>
        <v/>
      </c>
    </row>
    <row r="180">
      <c r="Q180">
        <f>IFERROR(INDEX(Objekte!$AD$2:$AD$201,MATCH($A180,Objekte!$Z$2:$Z$201,0)),"")</f>
        <v/>
      </c>
      <c r="R180">
        <f>IFERROR(INDEX(Objekte!$AB$2:$AB$201,MATCH($A180,Objekte!$Z$2:$Z$201,0)),"")</f>
        <v/>
      </c>
    </row>
    <row r="181">
      <c r="Q181">
        <f>IFERROR(INDEX(Objekte!$AD$2:$AD$201,MATCH($A181,Objekte!$Z$2:$Z$201,0)),"")</f>
        <v/>
      </c>
      <c r="R181">
        <f>IFERROR(INDEX(Objekte!$AB$2:$AB$201,MATCH($A181,Objekte!$Z$2:$Z$201,0)),"")</f>
        <v/>
      </c>
    </row>
    <row r="182">
      <c r="Q182">
        <f>IFERROR(INDEX(Objekte!$AD$2:$AD$201,MATCH($A182,Objekte!$Z$2:$Z$201,0)),"")</f>
        <v/>
      </c>
      <c r="R182">
        <f>IFERROR(INDEX(Objekte!$AB$2:$AB$201,MATCH($A182,Objekte!$Z$2:$Z$201,0)),"")</f>
        <v/>
      </c>
    </row>
    <row r="183">
      <c r="Q183">
        <f>IFERROR(INDEX(Objekte!$AD$2:$AD$201,MATCH($A183,Objekte!$Z$2:$Z$201,0)),"")</f>
        <v/>
      </c>
      <c r="R183">
        <f>IFERROR(INDEX(Objekte!$AB$2:$AB$201,MATCH($A183,Objekte!$Z$2:$Z$201,0)),"")</f>
        <v/>
      </c>
    </row>
    <row r="184">
      <c r="Q184">
        <f>IFERROR(INDEX(Objekte!$AD$2:$AD$201,MATCH($A184,Objekte!$Z$2:$Z$201,0)),"")</f>
        <v/>
      </c>
      <c r="R184">
        <f>IFERROR(INDEX(Objekte!$AB$2:$AB$201,MATCH($A184,Objekte!$Z$2:$Z$201,0)),"")</f>
        <v/>
      </c>
    </row>
    <row r="185">
      <c r="Q185">
        <f>IFERROR(INDEX(Objekte!$AD$2:$AD$201,MATCH($A185,Objekte!$Z$2:$Z$201,0)),"")</f>
        <v/>
      </c>
      <c r="R185">
        <f>IFERROR(INDEX(Objekte!$AB$2:$AB$201,MATCH($A185,Objekte!$Z$2:$Z$201,0)),"")</f>
        <v/>
      </c>
    </row>
    <row r="186">
      <c r="Q186">
        <f>IFERROR(INDEX(Objekte!$AD$2:$AD$201,MATCH($A186,Objekte!$Z$2:$Z$201,0)),"")</f>
        <v/>
      </c>
      <c r="R186">
        <f>IFERROR(INDEX(Objekte!$AB$2:$AB$201,MATCH($A186,Objekte!$Z$2:$Z$201,0)),"")</f>
        <v/>
      </c>
    </row>
    <row r="187">
      <c r="Q187">
        <f>IFERROR(INDEX(Objekte!$AD$2:$AD$201,MATCH($A187,Objekte!$Z$2:$Z$201,0)),"")</f>
        <v/>
      </c>
      <c r="R187">
        <f>IFERROR(INDEX(Objekte!$AB$2:$AB$201,MATCH($A187,Objekte!$Z$2:$Z$201,0)),"")</f>
        <v/>
      </c>
    </row>
    <row r="188">
      <c r="Q188">
        <f>IFERROR(INDEX(Objekte!$AD$2:$AD$201,MATCH($A188,Objekte!$Z$2:$Z$201,0)),"")</f>
        <v/>
      </c>
      <c r="R188">
        <f>IFERROR(INDEX(Objekte!$AB$2:$AB$201,MATCH($A188,Objekte!$Z$2:$Z$201,0)),"")</f>
        <v/>
      </c>
    </row>
    <row r="189">
      <c r="Q189">
        <f>IFERROR(INDEX(Objekte!$AD$2:$AD$201,MATCH($A189,Objekte!$Z$2:$Z$201,0)),"")</f>
        <v/>
      </c>
      <c r="R189">
        <f>IFERROR(INDEX(Objekte!$AB$2:$AB$201,MATCH($A189,Objekte!$Z$2:$Z$201,0)),"")</f>
        <v/>
      </c>
    </row>
    <row r="190">
      <c r="Q190">
        <f>IFERROR(INDEX(Objekte!$AD$2:$AD$201,MATCH($A190,Objekte!$Z$2:$Z$201,0)),"")</f>
        <v/>
      </c>
      <c r="R190">
        <f>IFERROR(INDEX(Objekte!$AB$2:$AB$201,MATCH($A190,Objekte!$Z$2:$Z$201,0)),"")</f>
        <v/>
      </c>
    </row>
    <row r="191">
      <c r="Q191">
        <f>IFERROR(INDEX(Objekte!$AD$2:$AD$201,MATCH($A191,Objekte!$Z$2:$Z$201,0)),"")</f>
        <v/>
      </c>
      <c r="R191">
        <f>IFERROR(INDEX(Objekte!$AB$2:$AB$201,MATCH($A191,Objekte!$Z$2:$Z$201,0)),"")</f>
        <v/>
      </c>
    </row>
    <row r="192">
      <c r="Q192">
        <f>IFERROR(INDEX(Objekte!$AD$2:$AD$201,MATCH($A192,Objekte!$Z$2:$Z$201,0)),"")</f>
        <v/>
      </c>
      <c r="R192">
        <f>IFERROR(INDEX(Objekte!$AB$2:$AB$201,MATCH($A192,Objekte!$Z$2:$Z$201,0)),"")</f>
        <v/>
      </c>
    </row>
    <row r="193">
      <c r="Q193">
        <f>IFERROR(INDEX(Objekte!$AD$2:$AD$201,MATCH($A193,Objekte!$Z$2:$Z$201,0)),"")</f>
        <v/>
      </c>
      <c r="R193">
        <f>IFERROR(INDEX(Objekte!$AB$2:$AB$201,MATCH($A193,Objekte!$Z$2:$Z$201,0)),"")</f>
        <v/>
      </c>
    </row>
    <row r="194">
      <c r="Q194">
        <f>IFERROR(INDEX(Objekte!$AD$2:$AD$201,MATCH($A194,Objekte!$Z$2:$Z$201,0)),"")</f>
        <v/>
      </c>
      <c r="R194">
        <f>IFERROR(INDEX(Objekte!$AB$2:$AB$201,MATCH($A194,Objekte!$Z$2:$Z$201,0)),"")</f>
        <v/>
      </c>
    </row>
    <row r="195">
      <c r="Q195">
        <f>IFERROR(INDEX(Objekte!$AD$2:$AD$201,MATCH($A195,Objekte!$Z$2:$Z$201,0)),"")</f>
        <v/>
      </c>
      <c r="R195">
        <f>IFERROR(INDEX(Objekte!$AB$2:$AB$201,MATCH($A195,Objekte!$Z$2:$Z$201,0)),"")</f>
        <v/>
      </c>
    </row>
    <row r="196">
      <c r="Q196">
        <f>IFERROR(INDEX(Objekte!$AD$2:$AD$201,MATCH($A196,Objekte!$Z$2:$Z$201,0)),"")</f>
        <v/>
      </c>
      <c r="R196">
        <f>IFERROR(INDEX(Objekte!$AB$2:$AB$201,MATCH($A196,Objekte!$Z$2:$Z$201,0)),"")</f>
        <v/>
      </c>
    </row>
    <row r="197">
      <c r="Q197">
        <f>IFERROR(INDEX(Objekte!$AD$2:$AD$201,MATCH($A197,Objekte!$Z$2:$Z$201,0)),"")</f>
        <v/>
      </c>
      <c r="R197">
        <f>IFERROR(INDEX(Objekte!$AB$2:$AB$201,MATCH($A197,Objekte!$Z$2:$Z$201,0)),"")</f>
        <v/>
      </c>
    </row>
    <row r="198">
      <c r="Q198">
        <f>IFERROR(INDEX(Objekte!$AD$2:$AD$201,MATCH($A198,Objekte!$Z$2:$Z$201,0)),"")</f>
        <v/>
      </c>
      <c r="R198">
        <f>IFERROR(INDEX(Objekte!$AB$2:$AB$201,MATCH($A198,Objekte!$Z$2:$Z$201,0)),"")</f>
        <v/>
      </c>
    </row>
    <row r="199">
      <c r="Q199">
        <f>IFERROR(INDEX(Objekte!$AD$2:$AD$201,MATCH($A199,Objekte!$Z$2:$Z$201,0)),"")</f>
        <v/>
      </c>
      <c r="R199">
        <f>IFERROR(INDEX(Objekte!$AB$2:$AB$201,MATCH($A199,Objekte!$Z$2:$Z$201,0)),"")</f>
        <v/>
      </c>
    </row>
    <row r="200">
      <c r="Q200">
        <f>IFERROR(INDEX(Objekte!$AD$2:$AD$201,MATCH($A200,Objekte!$Z$2:$Z$201,0)),"")</f>
        <v/>
      </c>
      <c r="R200">
        <f>IFERROR(INDEX(Objekte!$AB$2:$AB$201,MATCH($A200,Objekte!$Z$2:$Z$201,0)),"")</f>
        <v/>
      </c>
    </row>
    <row r="201">
      <c r="Q201">
        <f>IFERROR(INDEX(Objekte!$AD$2:$AD$201,MATCH($A201,Objekte!$Z$2:$Z$201,0)),"")</f>
        <v/>
      </c>
      <c r="R201">
        <f>IFERROR(INDEX(Objekte!$AB$2:$AB$201,MATCH($A201,Objekte!$Z$2:$Z$201,0)),"")</f>
        <v/>
      </c>
    </row>
    <row r="202">
      <c r="Q202">
        <f>IFERROR(INDEX(Objekte!$AD$2:$AD$201,MATCH($A202,Objekte!$Z$2:$Z$201,0)),"")</f>
        <v/>
      </c>
      <c r="R202">
        <f>IFERROR(INDEX(Objekte!$AB$2:$AB$201,MATCH($A202,Objekte!$Z$2:$Z$201,0)),"")</f>
        <v/>
      </c>
    </row>
    <row r="203">
      <c r="Q203">
        <f>IFERROR(INDEX(Objekte!$AD$2:$AD$201,MATCH($A203,Objekte!$Z$2:$Z$201,0)),"")</f>
        <v/>
      </c>
      <c r="R203">
        <f>IFERROR(INDEX(Objekte!$AB$2:$AB$201,MATCH($A203,Objekte!$Z$2:$Z$201,0)),"")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2026-02-12T19:35:26Z</dcterms:created>
  <dcterms:modified xsi:type="dcterms:W3CDTF">2026-02-17T03:41:13Z</dcterms:modified>
</cp:coreProperties>
</file>